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sharedStrings.xml><?xml version="1.0" encoding="utf-8"?>
<sst xmlns="http://schemas.openxmlformats.org/spreadsheetml/2006/main" count="11022" uniqueCount="749">
  <si>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</si>
  <si>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</si>
  <si>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</si>
  <si>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</si>
  <si>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</si>
  <si>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</si>
  <si>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</si>
  <si>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</si>
  <si>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</si>
  <si>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</si>
  <si>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</si>
  <si>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</si>
  <si>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</si>
  <si>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</si>
  <si>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</si>
  <si>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</si>
  <si>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</si>
  <si>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</si>
  <si>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</si>
  <si>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</si>
  <si>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</si>
  <si>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</si>
  <si>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</si>
  <si>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</si>
  <si>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</si>
  <si>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</si>
  <si>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</si>
  <si>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</si>
  <si>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</si>
  <si>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</si>
  <si>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</si>
  <si>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</si>
  <si>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</si>
  <si>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</si>
  <si>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</si>
  <si>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</si>
  <si>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</si>
  <si>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</si>
  <si>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</si>
  <si>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</si>
  <si>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</si>
  <si>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</si>
  <si>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</si>
  <si>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</si>
  <si>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</si>
  <si>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</si>
  <si>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</si>
  <si>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</si>
  <si>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</si>
  <si>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2022 and 2024 backtests. With only two test elections this understates real election-environment risk (a national swing of several points is plausible); treat the 95% range as a floor on uncertainty.</t>
  </si>
  <si>
    <t xml:space="preserve">ERROR TERMS IN THE BACKTESTS (same weights as the forecasts)</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</si>
  <si>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</si>
  <si>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</si>
  <si>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</si>
  <si>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</si>
  <si>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</si>
  <si>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</si>
  <si>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</si>
  <si>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</si>
  <si>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</si>
  <si>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</si>
  <si>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</si>
  <si>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2022 (trained on 2020 only)</t>
  </si>
  <si>
    <t xml:space="preserve">—</t>
  </si>
  <si>
    <t xml:space="preserve">2024 (trained on 2020–2022)</t>
  </si>
  <si>
    <t xml:space="preserve">The 2024 error terms were fixed before looking at 2024 (built from the 2022 backtest). Coverage above the ≈68% / ≈95% targets means the error terms are, if anything, conservative. The 2022 backtest had only one training election (2020), so its pattern errors are larger. 2026 error terms pool both backtests.</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</si>
  <si>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</si>
  <si>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</si>
  <si>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</si>
  <si>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</si>
  <si>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0.53 pts (largest 3.1), A vs C 0.87 (largest 2.4), B vs C 1.06 (largest 3.8) — against a 12.7-point spread of leans across precincts.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</si>
  <si>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</si>
  <si>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</si>
  <si>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</si>
  <si>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</si>
  <si>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</si>
  <si>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</si>
  <si>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</si>
  <si>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</si>
  <si>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</si>
  <si>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</si>
  <si>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</si>
  <si>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</si>
  <si>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Votes cast</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</si>
  <si>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</si>
  <si>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</si>
  <si>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</si>
  <si>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the district-wide error and turnout error, measured on the 2022 and 2024 backtests.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</si>
  <si>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</si>
  <si>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</si>
  <si>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</si>
  <si>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</si>
  <si>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</si>
  <si>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</si>
  <si>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v6.0 (current map, all years; results only; 2022 turnout × 2026 registration)</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</si>
  <si>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</si>
  <si>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</si>
  <si>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</si>
  <si>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</si>
  <si>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</si>
  <si>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</si>
  <si>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</si>
  <si>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</si>
  <si>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</si>
  <si>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</si>
  <si>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</si>
  <si>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</si>
  <si>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</si>
  <si>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</si>
  <si>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</si>
  <si>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</si>
  <si>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</si>
  <si>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</si>
  <si>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</si>
  <si>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built from the 2022 and 2024 backtests (pattern error by place size; district-wide error; turnout error). 95% low/high = Brooks share ± 1.96 × total error term. Only two test elections — the district-wide term understates real election-environment risk.</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</si>
  <si>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</si>
  <si>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</si>
  <si>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</si>
  <si>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</si>
  <si>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</si>
  <si>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</si>
  <si>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</si>
  <si>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</si>
  <si>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</si>
  <si>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</si>
  <si>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</si>
  <si>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</si>
  <si>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</si>
  <si>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</si>
  <si>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</si>
  <si>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</si>
  <si>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</si>
  <si>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</si>
  <si>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</si>
  <si>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</si>
  <si>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</si>
  <si>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</si>
  <si>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</si>
  <si>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</si>
  <si>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</si>
  <si>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</si>
  <si>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</si>
  <si>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</si>
  <si>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</si>
  <si>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</si>
  <si>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</si>
  <si>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</si>
  <si>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</si>
  <si>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</si>
  <si>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</si>
  <si>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</si>
  <si>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</si>
  <si>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</si>
  <si>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</si>
  <si>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</si>
  <si>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</si>
  <si>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</si>
  <si>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</si>
  <si>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</si>
  <si>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</si>
  <si>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</si>
  <si>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</si>
  <si>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</si>
  <si>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</si>
  <si>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</si>
  <si>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</si>
  <si>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</si>
  <si>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</si>
  <si>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</si>
  <si>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</si>
  <si>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</si>
  <si>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</si>
  <si>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</si>
  <si>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</si>
  <si>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</si>
  <si>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</si>
  <si>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</si>
  <si>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</si>
  <si>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</si>
  <si>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</si>
  <si>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</si>
  <si>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</si>
  <si>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</si>
  <si>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</si>
  <si>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</si>
  <si>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</si>
  <si>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</si>
  <si>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</si>
  <si>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</si>
  <si>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</si>
  <si>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</si>
  <si>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</si>
  <si>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</si>
  <si>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</si>
  <si>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</si>
  <si>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</si>
  <si>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</si>
  <si>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</si>
  <si>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</si>
  <si>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</si>
  <si>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</si>
  <si>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</si>
  <si>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</si>
  <si>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</si>
  <si>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</si>
  <si>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</si>
  <si>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</si>
  <si>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</si>
  <si>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</si>
  <si>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</si>
  <si>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</si>
  <si>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</si>
  <si>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</si>
  <si>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</si>
  <si>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</si>
  <si>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</si>
  <si>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</si>
  <si>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</si>
  <si>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</si>
  <si>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</si>
  <si>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</si>
  <si>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</si>
  <si>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</si>
  <si>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</si>
  <si>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</si>
  <si>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</si>
  <si>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</si>
  <si>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</si>
  <si>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</si>
  <si>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</si>
  <si>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</si>
  <si>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inputs lean on its municipality</t>
  </si>
  <si>
    <t xml:space="preserve">ALLENTOWN 17TH WD 4TH DT PARK</t>
  </si>
  <si>
    <t xml:space="preserve">voter file × municipality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</si>
  <si>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</si>
  <si>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</si>
  <si>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</si>
  <si>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</si>
  <si>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</si>
  <si>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</si>
  <si>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</si>
  <si>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</si>
  <si>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</si>
  <si>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</si>
  <si>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</si>
  <si>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</si>
  <si>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</si>
  <si>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</si>
  <si>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</si>
  <si>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</si>
  <si>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</si>
  <si>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</si>
  <si>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</si>
  <si>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</si>
  <si>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</si>
  <si>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</si>
  <si>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</si>
  <si>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</si>
  <si>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</si>
  <si>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</si>
  <si>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</si>
  <si>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</si>
  <si>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</si>
  <si>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</si>
  <si>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</si>
  <si>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</si>
  <si>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</si>
  <si>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</si>
  <si>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</si>
  <si>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</si>
  <si>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</si>
  <si>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</si>
  <si>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</si>
  <si>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</si>
  <si>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</si>
  <si>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</si>
  <si>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</si>
  <si>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</si>
  <si>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</si>
  <si>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</si>
  <si>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</si>
  <si>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</si>
  <si>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</si>
  <si>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</si>
  <si>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</si>
  <si>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</si>
  <si>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</si>
  <si>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</si>
  <si>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</si>
  <si>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</si>
  <si>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</si>
  <si>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</si>
  <si>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</si>
  <si>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</si>
  <si>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</si>
  <si>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</si>
  <si>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</si>
  <si>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</si>
  <si>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</si>
  <si>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</si>
  <si>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</si>
  <si>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</si>
  <si>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</si>
  <si>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</si>
  <si>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</si>
  <si>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</si>
  <si>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</si>
  <si>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</si>
  <si>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</si>
  <si>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</si>
  <si>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</si>
  <si>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</si>
  <si>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</si>
  <si>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</si>
  <si>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</si>
  <si>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</si>
  <si>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</si>
  <si>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</si>
  <si>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</si>
  <si>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</si>
  <si>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</si>
  <si>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</si>
  <si>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</si>
  <si>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</si>
  <si>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</si>
  <si>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</si>
  <si>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</si>
  <si>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</si>
  <si>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</si>
  <si>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</si>
  <si>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</si>
  <si>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</si>
  <si>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</si>
  <si>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</si>
  <si>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</si>
  <si>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</si>
  <si>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</si>
  <si>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</si>
  <si>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</si>
  <si>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</si>
  <si>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</si>
  <si>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</si>
  <si>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</si>
  <si>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</si>
  <si>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</si>
  <si>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</si>
  <si>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</si>
  <si>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</si>
  <si>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</si>
  <si>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</si>
  <si>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</si>
  <si>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</si>
  <si>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</si>
  <si>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</si>
  <si>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</si>
  <si>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</si>
  <si>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</si>
  <si>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</si>
  <si>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</si>
  <si>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</si>
  <si>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</si>
  <si>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</si>
  <si>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</si>
  <si>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</si>
  <si>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</si>
  <si>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</si>
  <si>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</si>
  <si>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</si>
  <si>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</si>
  <si>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</si>
  <si>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</si>
  <si>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</si>
  <si>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</si>
  <si>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</si>
  <si>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</si>
  <si>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</si>
  <si>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</si>
  <si>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</si>
  <si>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</si>
  <si>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</si>
  <si>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</si>
  <si>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</si>
  <si>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</si>
  <si>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</si>
  <si>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</si>
  <si>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</si>
  <si>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</si>
  <si>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</si>
  <si>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</si>
  <si>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</si>
  <si>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</si>
  <si>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</si>
  <si>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</si>
  <si>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</si>
  <si>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</si>
  <si>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</si>
  <si>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</si>
  <si>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</si>
  <si>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</si>
  <si>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</si>
  <si>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</si>
  <si>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</si>
  <si>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</si>
  <si>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</si>
  <si>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</si>
  <si>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</si>
  <si>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</si>
  <si>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</si>
  <si>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</si>
  <si>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</si>
  <si>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</si>
  <si>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</si>
  <si>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</si>
  <si>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</si>
  <si>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</si>
  <si>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</si>
  <si>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</si>
  <si>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</si>
  <si>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</si>
  <si>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</si>
  <si>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</si>
  <si>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</si>
  <si>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</si>
  <si>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</si>
  <si>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</si>
  <si>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</si>
  <si>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</si>
  <si>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</si>
  <si>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</si>
  <si>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</si>
  <si>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</si>
  <si>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</si>
  <si>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</si>
  <si>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</si>
  <si>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</si>
  <si>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</si>
  <si>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</si>
  <si>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</si>
  <si>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</si>
  <si>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</si>
  <si>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</si>
  <si>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</si>
  <si>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</si>
  <si>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</si>
  <si>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</si>
  <si>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</si>
  <si>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</si>
  <si>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</si>
  <si>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</si>
  <si>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</si>
  <si>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</si>
  <si>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</si>
  <si>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</si>
  <si>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</si>
  <si>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</si>
  <si>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</si>
  <si>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</si>
  <si>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</si>
  <si>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</si>
  <si>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</si>
  <si>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</si>
  <si>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</si>
  <si>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</si>
  <si>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</si>
  <si>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</si>
  <si>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</si>
  <si>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</si>
  <si>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</si>
  <si>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</si>
  <si>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</si>
  <si>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</si>
  <si>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</si>
  <si>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</si>
  <si>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</si>
  <si>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</si>
  <si>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</si>
  <si>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</si>
  <si>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</si>
  <si>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</si>
  <si>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</si>
  <si>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</si>
  <si>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</si>
  <si>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</si>
  <si>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</si>
  <si>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</si>
  <si>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</si>
  <si>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</si>
  <si>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</si>
  <si>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</si>
  <si>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</si>
  <si>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</si>
  <si>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</si>
  <si>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</si>
  <si>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</si>
  <si>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</si>
  <si>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</si>
  <si>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</si>
  <si>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</si>
  <si>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</si>
  <si>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</si>
  <si>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</si>
  <si>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</si>
  <si>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</si>
  <si>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</si>
  <si>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</si>
  <si>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</si>
  <si>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</si>
  <si>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</si>
  <si>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</si>
  <si>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</si>
  <si>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</si>
  <si>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</si>
  <si>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</si>
  <si>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</si>
  <si>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</si>
  <si>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</si>
  <si>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</si>
  <si>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</si>
  <si>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</si>
  <si>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</si>
  <si>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</si>
  <si>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</si>
  <si>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</si>
  <si>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</si>
  <si>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</si>
  <si>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</si>
  <si>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</si>
  <si>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</si>
  <si>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</si>
  <si>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</si>
  <si>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</si>
  <si>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</si>
  <si>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</si>
  <si>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</si>
  <si>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</si>
  <si>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</si>
  <si>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</si>
  <si>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</si>
  <si>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</si>
  <si>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</si>
  <si>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</si>
  <si>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</si>
  <si>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</si>
  <si>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</si>
  <si>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</si>
  <si>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</si>
  <si>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</si>
  <si>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</si>
  <si>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</si>
  <si>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</si>
  <si>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</si>
  <si>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</si>
  <si>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</si>
  <si>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</si>
  <si>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</si>
  <si>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</si>
  <si>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</si>
  <si>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</si>
  <si>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</si>
  <si>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</si>
  <si>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</si>
  <si>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</si>
  <si>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</si>
  <si>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</si>
  <si>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</si>
  <si>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</si>
  <si>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</si>
  <si>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</si>
  <si>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</si>
  <si>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</si>
  <si>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</si>
  <si>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</si>
  <si>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</si>
  <si>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</si>
  <si>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</si>
  <si>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</si>
  <si>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</si>
  <si>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</si>
  <si>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</si>
  <si>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23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</si>
  <si>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</si>
  <si>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</si>
  <si>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</si>
  <si>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</si>
  <si>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</si>
  <si>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</si>
  <si>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</si>
  <si>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</si>
  <si>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</si>
  <si>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</si>
  <si>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</si>
  <si>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</si>
  <si>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</si>
  <si>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3.20 → 3.08 points.</t>
  </si>
  <si>
    <t xml:space="preserve">Top inputs in each forecast (share of SHAP value in votes)</t>
  </si>
  <si>
    <t xml:space="preserve">#</t>
  </si>
  <si>
    <t xml:space="preserve">Share</t>
  </si>
  <si>
    <t xml:space="preserve">Precinct House lean, last election (t−2)</t>
  </si>
  <si>
    <t xml:space="preserve">Electorate last election: R % of ballots</t>
  </si>
  <si>
    <t xml:space="preserve">Municipality House lean, last election (t−2)</t>
  </si>
  <si>
    <t xml:space="preserve">State registration: R % (as of election)</t>
  </si>
  <si>
    <t xml:space="preserve">State registration: D % (as of election)</t>
  </si>
  <si>
    <t xml:space="preserve">Precinct House lean, last same-type election (t−4)</t>
  </si>
  <si>
    <t xml:space="preserve">State registration: change in D−R margin since t−2</t>
  </si>
  <si>
    <t xml:space="preserve">County: Carbon</t>
  </si>
  <si>
    <t xml:space="preserve">Precinct vs. its municipality, last election (pts)</t>
  </si>
  <si>
    <t xml:space="preserve">Voter-file party switch gap (today’s R % − state 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</si>
  <si>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</si>
  <si>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</si>
  <si>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</si>
  <si>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</si>
  <si>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</si>
  <si>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</si>
  <si>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</si>
  <si>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Registrants: Boomer + Silent %</t>
  </si>
  <si>
    <t xml:space="preserve">Registered voters (log, state)</t>
  </si>
  <si>
    <t xml:space="preserve">Registrants: Millennial + Gen Z %</t>
  </si>
  <si>
    <t xml:space="preserve">State registration: other %</t>
  </si>
  <si>
    <t xml:space="preserve">Turnout last election (state)</t>
  </si>
  <si>
    <t xml:space="preserve">Registrants: female % (known sex)</t>
  </si>
  <si>
    <t xml:space="preserve">Turnout last election: R registrants</t>
  </si>
  <si>
    <t xml:space="preserve">Mail use last election: D voters</t>
  </si>
  <si>
    <t xml:space="preserve">County: Northampton</t>
  </si>
  <si>
    <t xml:space="preserve">Mail use last election: R voters</t>
  </si>
  <si>
    <t xml:space="preserve">Turnout last election: D registrants</t>
  </si>
  <si>
    <t xml:space="preserve">County: Lehigh</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</si>
  <si>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</si>
  <si>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</si>
  <si>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</si>
  <si>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</si>
  <si>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</si>
  <si>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</si>
  <si>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</si>
  <si>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</si>
  <si>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</si>
  <si>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</si>
  <si>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</si>
  <si>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</si>
  <si>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t>
  </si>
  <si>
    <t xml:space="preserve">Kept in B</t>
  </si>
  <si>
    <t xml:space="preserve">Registered Republicans as a percent of everyone who voted, 2024 (voter file)</t>
  </si>
  <si>
    <t xml:space="preserve">Democratic percent of the two-party House vote in the precinct’s whole municipality, 2024, above or below the district average</t>
  </si>
  <si>
    <t xml:space="preserve">Registered Republicans as a percent of all registered voters, 2026 primary rolls (Department of State)</t>
  </si>
  <si>
    <t xml:space="preserve">Registered Democrats as a percent of all registered voters, 2026 primary rolls (Department of State)</t>
  </si>
  <si>
    <t xml:space="preserve">Democratic percent of the two-party House vote, 2022 — the last midterm (certified precinct results), above or below the district average</t>
  </si>
  <si>
    <t xml:space="preserve">Change in registered Democrats minus Republicans (percent of registered) from the 2024 general to the 2026 primary (Department of State)</t>
  </si>
  <si>
    <t xml:space="preserve">Dropped from B</t>
  </si>
  <si>
    <t xml:space="preserve">Precinct is in Carbon County (1/0)</t>
  </si>
  <si>
    <t xml:space="preserve">Precinct’s 2024 House Democratic percent minus its municipality’s, in points</t>
  </si>
  <si>
    <t xml:space="preserve">Republican percent of registered voters in the 2026 voter file minus the Republican percent on the 2026 state rolls (a party-switching signal)</t>
  </si>
  <si>
    <t xml:space="preserve">Number of registered voters, 2026 primary rolls, on a log scale (Department of State)</t>
  </si>
  <si>
    <t xml:space="preserve">Registered voters born 1964 or earlier, as a percent of all registered voters, 2026 (voter file)</t>
  </si>
  <si>
    <t xml:space="preserve">Registered voters born 1981 or later, as a percent of all registered voters, 2026 (voter file)</t>
  </si>
  <si>
    <t xml:space="preserve">Registered voters in neither major party, as a percent of all registered, 2026 primary rolls (Department of State)</t>
  </si>
  <si>
    <t xml:space="preserve">Women as a percent of registered voters whose sex is recorded, 2026 (voter file)</t>
  </si>
  <si>
    <t xml:space="preserve">Beat all 10 random comparison columns in 15 of 20 refits.</t>
  </si>
  <si>
    <t xml:space="preserve">Ballots cast as a percent of registered voters, 2024 (Department of State)</t>
  </si>
  <si>
    <t xml:space="preserve">Beat all 10 random comparison columns in 18 of 20 refits.</t>
  </si>
  <si>
    <t xml:space="preserve">Percent of registered Republicans who voted, 2024 (voter file)</t>
  </si>
  <si>
    <t xml:space="preserve">Beat all 10 random comparison columns in 11 of 20 refits.</t>
  </si>
  <si>
    <t xml:space="preserve">Precinct is in Northampton County (1/0)</t>
  </si>
  <si>
    <t xml:space="preserve">Beat all 10 random comparison columns in 3 of 20 refits.</t>
  </si>
  <si>
    <t xml:space="preserve">Percent of Democratic voters who voted by mail, 2024 (voter file)</t>
  </si>
  <si>
    <t xml:space="preserve">Beat all 10 random comparison columns in 5 of 20 refits.</t>
  </si>
  <si>
    <t xml:space="preserve">Percent of registered Democrats who voted, 2024 (voter file)</t>
  </si>
  <si>
    <t xml:space="preserve">Beat all 10 random comparison columns in 0 of 20 refits.</t>
  </si>
  <si>
    <t xml:space="preserve">Precinct is in Lehigh County (1/0)</t>
  </si>
  <si>
    <t xml:space="preserve">Percent of Republican voters who voted by mail, 2024 (voter file)</t>
  </si>
  <si>
    <t xml:space="preserve">Beat all 10 random comparison columns in 6 of 20 refits.</t>
  </si>
  <si>
    <t xml:space="preserve">Election type: 1 for a midterm year (2026), 0 for a presidential year</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</si>
  <si>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</si>
  <si>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</si>
  <si>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</si>
  <si>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</si>
  <si>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</si>
  <si>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</si>
  <si>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</si>
  <si>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370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</si>
  <si>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</si>
  <si>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</si>
  <si>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</si>
  <si>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</si>
  <si>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1030 precinct-elections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</si>
  <si>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</si>
  <si>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Geography &amp; municipal context ×1.00; Historical voter data ×1.17; Voter registration data ×0.67.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</si>
  <si>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</si>
  <si>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</si>
  <si>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</si>
  <si>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</si>
  <si>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</si>
  <si>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</si>
  <si>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</si>
  <si>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</si>
  <si>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</si>
  <si>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backtest)</t>
  </si>
  <si>
    <t xml:space="preserve">Error term: district-wide (± pts, from 2022 backtest)</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</si>
  <si>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</si>
  <si>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</si>
  <si>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</si>
  <si>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</si>
  <si>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</si>
  <si>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</si>
  <si>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</si>
  <si>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</si>
  <si>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</si>
  <si>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</si>
  <si>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</si>
  <si>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</si>
  <si>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</si>
  <si>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</si>
  <si>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</si>
  <si>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</si>
  <si>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</si>
  <si>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</si>
  <si>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before seeing 2024)</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</si>
  <si>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</si>
  <si>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</si>
  <si>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</si>
  <si>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</si>
  <si>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</si>
  <si>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What this tab is: the same forecast, run as if it were the week before the 2024 general election, compared with the actual 2024 House results.</t>
  </si>
  <si>
    <t xml:space="preserve">The backtest forest was trained only on the 2020 and 2022 elections. Registration as of the 2024 election was kept; 2024 results were removed.</t>
  </si>
  <si>
    <t xml:space="preserve">Weights: Forecast A’s full forest, refit on 2020 and 2022 only (same inputs and settings as the 2026 forecast).</t>
  </si>
  <si>
    <t xml:space="preserve">Turnout is not modelled: each row’s votes cast = its 2020 turnout rate (House votes ÷ registered voters) × its 2024 registered voters — the same rule as 2026 (2022 turnout × 2026 registered).</t>
  </si>
  <si>
    <t xml:space="preserve">District level: average of the two previous elections in today’s district WITH Carbon and Polk counted (2020 49.6%, 2022 50.9%), moved by 0.48 × the change in Democratic share of two-party registration since then = 49.1%. Actual 2024: 49.4%.</t>
  </si>
  <si>
    <t xml:space="preserve">Error terms on this tab were set BEFORE looking at 2024: they come from an earlier backtest that forecast 2022 using only 2020 training data (district miss -0.40 pts, votes cast -6.2%, pattern errors by place size). Columns R and S check whether each actual 2024 result landed inside them.</t>
  </si>
  <si>
    <t xml:space="preserve">Total error term = √(place pattern² + district-wide²). 95% range = predicted share ± 1.96 × total error term. Democratic-votes error term also includes turnout error.</t>
  </si>
  <si>
    <t xml:space="preserve">Actual votes are the 2024 House results exactly as given. Error = predicted minus actual. Shares are of the two-party vote. Wild was the 2024 Democratic candidate and Mackenzie the 2024 Republican candidate.</t>
  </si>
  <si>
    <t xml:space="preserve">Rows marked 'No comparable 2024 result' are left out of the district total and the error figures (their 2024 result does not line up with the number of people in today’s precinct who voted).</t>
  </si>
  <si>
    <t xml:space="preserve">Weights: Forecast B’s SHAP-selected inputs and settings, refit on 2020 and 2022 only.</t>
  </si>
  <si>
    <t xml:space="preserve">Weights: the SAME family weights as the 2026 Forecast C (Election type ×1.00; Geography &amp; municipal context ×1.00; Historical voter data ×1.17; Voter registration data ×0.67), applied to the SHAP values of a forest refit on 2020 and 2022 only. Those weights were fitted with 2024 among the held-out elections, so this backtest is slightly optimistic for C.</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</si>
  <si>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</si>
  <si>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</si>
  <si>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</si>
  <si>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</si>
  <si>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precinct = its 2022 turnout rate (two-party House votes ÷ registered voters, Department of State rolls) × its 2026 registered voters (2026 primary rolls). District total ≈ 306,118.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</si>
  <si>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(-5.1%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</si>
  <si>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</si>
  <si>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average of the last two elections in today’s district (all precincts, Carbon and Polk included) + k × change in two-party registration since then; k = 0.419 from precinct-level changes. 2026 default: 49.52%.</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</si>
  <si>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</si>
  <si>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</si>
  <si>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PA07_Precinct_Data.xlsx (Results Consolidated, Precinct Consolidated, Precinct Summary). Forest training rows: 2020, 2022, 2024 for every municipality/precinct with an observed result (2018 provides history only), including Carbon and Polk in 2020 and the Ross One estimate.</t>
  </si>
  <si>
    <t xml:space="preserve">Registration: linked state precinct rolls; 12 re-drawn or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</si>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</sst>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2" t="n">
        <v>0.564948284150881</v>
      </c>
    </row>
    <row r="24" customFormat="false" ht="15" hidden="false" customHeight="false" outlineLevel="0" collapsed="false">
      <c r="A24" s="2" t="s">
        <v>27</v>
      </c>
      <c r="C24" s="11" t="n">
        <v>538584.712376258</v>
      </c>
    </row>
    <row r="25" customFormat="false" ht="15" hidden="false" customHeight="false" outlineLevel="0" collapsed="false">
      <c r="A25" s="2" t="s">
        <v>28</v>
      </c>
      <c r="C25" s="18" t="n">
        <f aca="false">C23*C24</f>
        <v>304272.509126863</v>
      </c>
    </row>
    <row r="26" customFormat="false" ht="15" hidden="false" customHeight="false" outlineLevel="0" collapsed="false">
      <c r="A26" s="2" t="s">
        <v>29</v>
      </c>
      <c r="C26" s="11" t="n">
        <v>306117.603313909</v>
      </c>
      <c r="D26" s="3" t="s">
        <v>30</v>
      </c>
    </row>
    <row r="27" customFormat="false" ht="15" hidden="false" customHeight="false" outlineLevel="0" collapsed="false">
      <c r="A27" s="5" t="s">
        <v>31</v>
      </c>
      <c r="C27" s="19" t="n">
        <f aca="false">C26*C7</f>
        <v>306117.603313909</v>
      </c>
    </row>
    <row r="29" customFormat="false" ht="15" hidden="false" customHeight="false" outlineLevel="0" collapsed="false">
      <c r="A29" s="4" t="s">
        <v>32</v>
      </c>
      <c r="B29" s="4"/>
      <c r="C29" s="4"/>
      <c r="D29" s="4"/>
      <c r="E29" s="4"/>
      <c r="F29" s="4"/>
      <c r="G29" s="4"/>
      <c r="H29" s="4"/>
      <c r="I29" s="4"/>
      <c r="J29" s="4"/>
    </row>
    <row r="30" customFormat="false" ht="45" hidden="false" customHeight="true" outlineLevel="0" collapsed="false">
      <c r="A30" s="8" t="s">
        <v>33</v>
      </c>
      <c r="B30" s="8" t="s">
        <v>34</v>
      </c>
      <c r="C30" s="8" t="s">
        <v>35</v>
      </c>
      <c r="D30" s="8" t="s">
        <v>36</v>
      </c>
      <c r="E30" s="8" t="s">
        <v>37</v>
      </c>
      <c r="F30" s="8" t="s">
        <v>38</v>
      </c>
      <c r="G30" s="8" t="s">
        <v>39</v>
      </c>
      <c r="H30" s="8" t="s">
        <v>40</v>
      </c>
      <c r="I30" s="8" t="s">
        <v>41</v>
      </c>
      <c r="J30" s="8" t="s">
        <v>42</v>
      </c>
    </row>
    <row r="31" customFormat="false" ht="15" hidden="false" customHeight="false" outlineLevel="0" collapsed="false">
      <c r="A31" s="20" t="s">
        <v>43</v>
      </c>
      <c r="B31" s="21" t="s">
        <v>44</v>
      </c>
      <c r="C31" s="22" t="n">
        <f aca="false">'2026 Forecast A'!D8</f>
        <v>151580</v>
      </c>
      <c r="D31" s="22" t="n">
        <f aca="false">'2026 Forecast A'!E8</f>
        <v>154533</v>
      </c>
      <c r="E31" s="22" t="n">
        <f aca="false">'2026 Forecast A'!F8</f>
        <v>306113</v>
      </c>
      <c r="F31" s="23" t="n">
        <f aca="false">'2026 Forecast A'!G8</f>
        <v>0.495176617784936</v>
      </c>
      <c r="G31" s="24" t="n">
        <f aca="false">'2026 Forecast A'!L8</f>
        <v>0.297030231526703</v>
      </c>
      <c r="H31" s="21" t="str">
        <f aca="false">TEXT('2026 Forecast A'!M8,"0.0%")&amp;" – "&amp;TEXT('2026 Forecast A'!N8,"0.0%")</f>
        <v>48.9% – 50.1%</v>
      </c>
      <c r="I31" s="22" t="n">
        <f aca="false">'2026 Forecast A'!O8</f>
        <v>13579</v>
      </c>
      <c r="J31" s="22" t="n">
        <f aca="false">'2026 Forecast A'!P8</f>
        <v>6785</v>
      </c>
    </row>
    <row r="32" customFormat="false" ht="15" hidden="false" customHeight="false" outlineLevel="0" collapsed="false">
      <c r="A32" s="20" t="s">
        <v>45</v>
      </c>
      <c r="B32" s="21" t="s">
        <v>46</v>
      </c>
      <c r="C32" s="22" t="n">
        <f aca="false">'2026 Forecast B'!D8</f>
        <v>151578</v>
      </c>
      <c r="D32" s="22" t="n">
        <f aca="false">'2026 Forecast B'!E8</f>
        <v>154535</v>
      </c>
      <c r="E32" s="22" t="n">
        <f aca="false">'2026 Forecast B'!F8</f>
        <v>306113</v>
      </c>
      <c r="F32" s="23" t="n">
        <f aca="false">'2026 Forecast B'!G8</f>
        <v>0.495170084249934</v>
      </c>
      <c r="G32" s="24" t="n">
        <f aca="false">'2026 Forecast B'!L8</f>
        <v>0.297938238782275</v>
      </c>
      <c r="H32" s="21" t="str">
        <f aca="false">TEXT('2026 Forecast B'!M8,"0.0%")&amp;" – "&amp;TEXT('2026 Forecast B'!N8,"0.0%")</f>
        <v>48.9% – 50.1%</v>
      </c>
      <c r="I32" s="22" t="n">
        <f aca="false">'2026 Forecast B'!O8</f>
        <v>13579</v>
      </c>
      <c r="J32" s="22" t="n">
        <f aca="false">'2026 Forecast B'!P8</f>
        <v>6785</v>
      </c>
    </row>
    <row r="33" customFormat="false" ht="15" hidden="false" customHeight="false" outlineLevel="0" collapsed="false">
      <c r="A33" s="20" t="s">
        <v>47</v>
      </c>
      <c r="B33" s="21" t="s">
        <v>48</v>
      </c>
      <c r="C33" s="22" t="n">
        <f aca="false">'2026 Forecast C'!D8</f>
        <v>151570</v>
      </c>
      <c r="D33" s="22" t="n">
        <f aca="false">'2026 Forecast C'!E8</f>
        <v>154543</v>
      </c>
      <c r="E33" s="22" t="n">
        <f aca="false">'2026 Forecast C'!F8</f>
        <v>306113</v>
      </c>
      <c r="F33" s="23" t="n">
        <f aca="false">'2026 Forecast C'!G8</f>
        <v>0.495143950109927</v>
      </c>
      <c r="G33" s="24" t="n">
        <f aca="false">'2026 Forecast C'!L8</f>
        <v>0.296197623206382</v>
      </c>
      <c r="H33" s="21" t="str">
        <f aca="false">TEXT('2026 Forecast C'!M8,"0.0%")&amp;" – "&amp;TEXT('2026 Forecast C'!N8,"0.0%")</f>
        <v>48.9% – 50.1%</v>
      </c>
      <c r="I33" s="22" t="n">
        <f aca="false">'2026 Forecast C'!O8</f>
        <v>13579</v>
      </c>
      <c r="J33" s="22" t="n">
        <f aca="false">'2026 Forecast C'!P8</f>
        <v>6784</v>
      </c>
    </row>
    <row r="34" customFormat="false" ht="15" hidden="false" customHeight="false" outlineLevel="0" collapsed="false">
      <c r="A34" s="13" t="s">
        <v>49</v>
      </c>
      <c r="B34" s="13"/>
      <c r="C34" s="13"/>
      <c r="D34" s="13"/>
      <c r="E34" s="13"/>
      <c r="F34" s="13"/>
      <c r="G34" s="13"/>
      <c r="H34" s="13"/>
      <c r="I34" s="13"/>
      <c r="J34" s="13"/>
    </row>
    <row r="36" customFormat="false" ht="15" hidden="false" customHeight="false" outlineLevel="0" collapsed="false">
      <c r="A36" s="4" t="s">
        <v>50</v>
      </c>
      <c r="B36" s="4"/>
      <c r="C36" s="4"/>
      <c r="D36" s="4"/>
      <c r="E36" s="4"/>
      <c r="F36" s="4"/>
      <c r="G36" s="4"/>
      <c r="H36" s="4"/>
      <c r="I36" s="4"/>
      <c r="J36" s="4"/>
      <c r="K36" s="4"/>
      <c r="L36" s="4"/>
    </row>
    <row r="37" customFormat="false" ht="60" hidden="false" customHeight="true" outlineLevel="0" collapsed="false">
      <c r="A37" s="8" t="s">
        <v>33</v>
      </c>
      <c r="B37" s="8" t="s">
        <v>51</v>
      </c>
      <c r="C37" s="8" t="s">
        <v>52</v>
      </c>
      <c r="D37" s="8" t="s">
        <v>53</v>
      </c>
      <c r="E37" s="8" t="s">
        <v>54</v>
      </c>
      <c r="F37" s="8" t="s">
        <v>55</v>
      </c>
      <c r="G37" s="8" t="s">
        <v>56</v>
      </c>
      <c r="H37" s="8" t="s">
        <v>57</v>
      </c>
      <c r="I37" s="8" t="s">
        <v>58</v>
      </c>
      <c r="J37" s="8" t="s">
        <v>59</v>
      </c>
      <c r="K37" s="8" t="s">
        <v>60</v>
      </c>
      <c r="L37" s="8" t="s">
        <v>61</v>
      </c>
    </row>
    <row r="38" customFormat="false" ht="15" hidden="false" customHeight="false" outlineLevel="0" collapsed="false">
      <c r="A38" s="25" t="s">
        <v>43</v>
      </c>
      <c r="B38" s="25" t="s">
        <v>62</v>
      </c>
      <c r="C38" s="26" t="n">
        <v>-0.395914373242782</v>
      </c>
      <c r="D38" s="27" t="n">
        <v>-0.069808737324034</v>
      </c>
      <c r="E38" s="27" t="n">
        <v>-0.0549584650444754</v>
      </c>
      <c r="F38" s="27" t="n">
        <v>-0.0624805110762934</v>
      </c>
      <c r="G38" s="28" t="n">
        <v>2.71293904854718</v>
      </c>
      <c r="H38" s="28" t="n">
        <v>2.85671182048871</v>
      </c>
      <c r="I38" s="28" t="s">
        <v>63</v>
      </c>
      <c r="J38" s="29" t="s">
        <v>63</v>
      </c>
      <c r="K38" s="29" t="s">
        <v>63</v>
      </c>
      <c r="L38" s="29" t="n">
        <v>0.73469387755102</v>
      </c>
    </row>
    <row r="39" customFormat="false" ht="15" hidden="false" customHeight="false" outlineLevel="0" collapsed="false">
      <c r="A39" s="30" t="s">
        <v>43</v>
      </c>
      <c r="B39" s="30" t="s">
        <v>64</v>
      </c>
      <c r="C39" s="31" t="n">
        <f aca="false">'2024 Backtest A'!F380</f>
        <v>-0.140377084815824</v>
      </c>
      <c r="D39" s="32" t="n">
        <f aca="false">'2024 Backtest A'!F382</f>
        <v>-0.00847429898897356</v>
      </c>
      <c r="E39" s="33" t="n">
        <f aca="false">'2024 Backtest A'!F383</f>
        <v>-0.00288945586316547</v>
      </c>
      <c r="F39" s="32" t="n">
        <f aca="false">'2024 Backtest A'!F384</f>
        <v>-0.00563743838663544</v>
      </c>
      <c r="G39" s="34" t="n">
        <f aca="false">'2024 Backtest A'!F381</f>
        <v>2.33035968827426</v>
      </c>
      <c r="H39" s="34" t="n">
        <f aca="false">'2024 Backtest A'!F379</f>
        <v>2.32101843738426</v>
      </c>
      <c r="I39" s="34" t="n">
        <f aca="false">'2024 Backtest A'!F385</f>
        <v>2.65982993959446</v>
      </c>
      <c r="J39" s="35" t="n">
        <f aca="false">'2024 Backtest A'!F386</f>
        <v>0.807017543859649</v>
      </c>
      <c r="K39" s="35" t="n">
        <f aca="false">'2024 Backtest A'!F387</f>
        <v>0.970760233918129</v>
      </c>
      <c r="L39" s="36" t="n">
        <f aca="false">'2024 Backtest A'!F388</f>
        <v>0.847953216374269</v>
      </c>
    </row>
    <row r="40" customFormat="false" ht="15" hidden="false" customHeight="false" outlineLevel="0" collapsed="false">
      <c r="A40" s="25" t="s">
        <v>45</v>
      </c>
      <c r="B40" s="25" t="s">
        <v>62</v>
      </c>
      <c r="C40" s="26" t="n">
        <v>-0.397844942258686</v>
      </c>
      <c r="D40" s="27" t="n">
        <v>-0.0698443940496056</v>
      </c>
      <c r="E40" s="27" t="n">
        <v>-0.0549217084466662</v>
      </c>
      <c r="F40" s="27" t="n">
        <v>-0.0624805110762934</v>
      </c>
      <c r="G40" s="28" t="n">
        <v>2.73100934297115</v>
      </c>
      <c r="H40" s="28" t="n">
        <v>2.83939215598857</v>
      </c>
      <c r="I40" s="28" t="s">
        <v>63</v>
      </c>
      <c r="J40" s="29" t="s">
        <v>63</v>
      </c>
      <c r="K40" s="29" t="s">
        <v>63</v>
      </c>
      <c r="L40" s="29" t="n">
        <v>0.73469387755102</v>
      </c>
    </row>
    <row r="41" customFormat="false" ht="15" hidden="false" customHeight="false" outlineLevel="0" collapsed="false">
      <c r="A41" s="30" t="s">
        <v>45</v>
      </c>
      <c r="B41" s="30" t="s">
        <v>64</v>
      </c>
      <c r="C41" s="31" t="n">
        <f aca="false">'2024 Backtest B'!F380</f>
        <v>-0.13875802743103</v>
      </c>
      <c r="D41" s="32" t="n">
        <f aca="false">'2024 Backtest B'!F382</f>
        <v>-0.00844157968785786</v>
      </c>
      <c r="E41" s="33" t="n">
        <f aca="false">'2024 Backtest B'!F383</f>
        <v>-0.00292115007738669</v>
      </c>
      <c r="F41" s="32" t="n">
        <f aca="false">'2024 Backtest B'!F384</f>
        <v>-0.00563743838663544</v>
      </c>
      <c r="G41" s="34" t="n">
        <f aca="false">'2024 Backtest B'!F381</f>
        <v>2.35644491593681</v>
      </c>
      <c r="H41" s="34" t="n">
        <f aca="false">'2024 Backtest B'!F379</f>
        <v>2.34616017882553</v>
      </c>
      <c r="I41" s="34" t="n">
        <f aca="false">'2024 Backtest B'!F385</f>
        <v>2.73382198312276</v>
      </c>
      <c r="J41" s="35" t="n">
        <f aca="false">'2024 Backtest B'!F386</f>
        <v>0.801169590643275</v>
      </c>
      <c r="K41" s="35" t="n">
        <f aca="false">'2024 Backtest B'!F387</f>
        <v>0.973684210526316</v>
      </c>
      <c r="L41" s="36" t="n">
        <f aca="false">'2024 Backtest B'!F388</f>
        <v>0.839181286549708</v>
      </c>
    </row>
    <row r="42" customFormat="false" ht="15" hidden="false" customHeight="false" outlineLevel="0" collapsed="false">
      <c r="A42" s="25" t="s">
        <v>47</v>
      </c>
      <c r="B42" s="25" t="s">
        <v>62</v>
      </c>
      <c r="C42" s="26" t="n">
        <v>-0.395142145636406</v>
      </c>
      <c r="D42" s="27" t="n">
        <v>-0.0697944746338054</v>
      </c>
      <c r="E42" s="27" t="n">
        <v>-0.0549731676835992</v>
      </c>
      <c r="F42" s="27" t="n">
        <v>-0.0624805110762934</v>
      </c>
      <c r="G42" s="28" t="n">
        <v>2.80102435949833</v>
      </c>
      <c r="H42" s="28" t="n">
        <v>2.93658126002535</v>
      </c>
      <c r="I42" s="28" t="s">
        <v>63</v>
      </c>
      <c r="J42" s="29" t="s">
        <v>63</v>
      </c>
      <c r="K42" s="29" t="s">
        <v>63</v>
      </c>
      <c r="L42" s="29" t="n">
        <v>0.73469387755102</v>
      </c>
    </row>
    <row r="43" customFormat="false" ht="15" hidden="false" customHeight="false" outlineLevel="0" collapsed="false">
      <c r="A43" s="30" t="s">
        <v>47</v>
      </c>
      <c r="B43" s="30" t="s">
        <v>64</v>
      </c>
      <c r="C43" s="31" t="n">
        <f aca="false">'2024 Backtest C'!F380</f>
        <v>-0.139027870328495</v>
      </c>
      <c r="D43" s="32" t="n">
        <f aca="false">'2024 Backtest C'!F382</f>
        <v>-0.00844703290471049</v>
      </c>
      <c r="E43" s="33" t="n">
        <f aca="false">'2024 Backtest C'!F383</f>
        <v>-0.00291586770834984</v>
      </c>
      <c r="F43" s="32" t="n">
        <f aca="false">'2024 Backtest C'!F384</f>
        <v>-0.00563743838663544</v>
      </c>
      <c r="G43" s="34" t="n">
        <f aca="false">'2024 Backtest C'!F381</f>
        <v>2.73826313470653</v>
      </c>
      <c r="H43" s="34" t="n">
        <f aca="false">'2024 Backtest C'!F379</f>
        <v>2.72916100428707</v>
      </c>
      <c r="I43" s="34" t="n">
        <f aca="false">'2024 Backtest C'!F385</f>
        <v>2.75119551749588</v>
      </c>
      <c r="J43" s="35" t="n">
        <f aca="false">'2024 Backtest C'!F386</f>
        <v>0.760233918128655</v>
      </c>
      <c r="K43" s="35" t="n">
        <f aca="false">'2024 Backtest C'!F387</f>
        <v>0.953216374269006</v>
      </c>
      <c r="L43" s="36" t="n">
        <f aca="false">'2024 Backtest C'!F388</f>
        <v>0.780701754385965</v>
      </c>
    </row>
    <row r="44" customFormat="false" ht="15" hidden="false" customHeight="false" outlineLevel="0" collapsed="false">
      <c r="A44" s="13" t="s">
        <v>65</v>
      </c>
      <c r="B44" s="13"/>
      <c r="C44" s="13"/>
      <c r="D44" s="13"/>
      <c r="E44" s="13"/>
      <c r="F44" s="13"/>
      <c r="G44" s="13"/>
      <c r="H44" s="13"/>
      <c r="I44" s="13"/>
      <c r="J44" s="13"/>
      <c r="K44" s="13"/>
      <c r="L44" s="13"/>
    </row>
    <row r="46" customFormat="false" ht="15" hidden="false" customHeight="false" outlineLevel="0" collapsed="false">
      <c r="A46" s="4" t="s">
        <v>66</v>
      </c>
      <c r="B46" s="4"/>
      <c r="C46" s="4"/>
      <c r="D46" s="4"/>
      <c r="E46" s="4"/>
      <c r="F46" s="4"/>
      <c r="G46" s="4"/>
      <c r="H46" s="4"/>
      <c r="I46" s="4"/>
      <c r="J46" s="4"/>
      <c r="K46" s="4"/>
      <c r="L46" s="4"/>
    </row>
    <row r="47" customFormat="false" ht="15" hidden="false" customHeight="false" outlineLevel="0" collapsed="false">
      <c r="A47" s="5" t="s">
        <v>67</v>
      </c>
    </row>
    <row r="48" customFormat="false" ht="48" hidden="false" customHeight="true" outlineLevel="0" collapsed="false">
      <c r="A48" s="37" t="s">
        <v>68</v>
      </c>
      <c r="B48" s="37"/>
      <c r="C48" s="37"/>
      <c r="D48" s="37"/>
      <c r="E48" s="37"/>
      <c r="F48" s="37"/>
      <c r="G48" s="37"/>
      <c r="H48" s="37"/>
      <c r="I48" s="37"/>
      <c r="J48" s="37"/>
      <c r="K48" s="37"/>
      <c r="L48" s="37"/>
    </row>
    <row r="49" customFormat="false" ht="15" hidden="false" customHeight="false" outlineLevel="0" collapsed="false">
      <c r="A49" s="5" t="s">
        <v>69</v>
      </c>
    </row>
    <row r="50" customFormat="false" ht="48" hidden="false" customHeight="true" outlineLevel="0" collapsed="false">
      <c r="A50" s="37" t="s">
        <v>70</v>
      </c>
      <c r="B50" s="37"/>
      <c r="C50" s="37"/>
      <c r="D50" s="37"/>
      <c r="E50" s="37"/>
      <c r="F50" s="37"/>
      <c r="G50" s="37"/>
      <c r="H50" s="37"/>
      <c r="I50" s="37"/>
      <c r="J50" s="37"/>
      <c r="K50" s="37"/>
      <c r="L50" s="37"/>
    </row>
    <row r="51" customFormat="false" ht="15" hidden="false" customHeight="false" outlineLevel="0" collapsed="false">
      <c r="A51" s="5" t="s">
        <v>71</v>
      </c>
    </row>
    <row r="52" customFormat="false" ht="48" hidden="false" customHeight="true" outlineLevel="0" collapsed="false">
      <c r="A52" s="37" t="s">
        <v>72</v>
      </c>
      <c r="B52" s="37"/>
      <c r="C52" s="37"/>
      <c r="D52" s="37"/>
      <c r="E52" s="37"/>
      <c r="F52" s="37"/>
      <c r="G52" s="37"/>
      <c r="H52" s="37"/>
      <c r="I52" s="37"/>
      <c r="J52" s="37"/>
      <c r="K52" s="37"/>
      <c r="L52" s="37"/>
    </row>
    <row r="53" customFormat="false" ht="15" hidden="false" customHeight="false" outlineLevel="0" collapsed="false">
      <c r="A53" s="5" t="s">
        <v>73</v>
      </c>
    </row>
    <row r="54" customFormat="false" ht="48" hidden="false" customHeight="true" outlineLevel="0" collapsed="false">
      <c r="A54" s="37" t="s">
        <v>74</v>
      </c>
      <c r="B54" s="37"/>
      <c r="C54" s="37"/>
      <c r="D54" s="37"/>
      <c r="E54" s="37"/>
      <c r="F54" s="37"/>
      <c r="G54" s="37"/>
      <c r="H54" s="37"/>
      <c r="I54" s="37"/>
      <c r="J54" s="37"/>
      <c r="K54" s="37"/>
      <c r="L54" s="37"/>
    </row>
    <row r="56" customFormat="false" ht="15" hidden="false" customHeight="false" outlineLevel="0" collapsed="false">
      <c r="A56" s="4" t="s">
        <v>75</v>
      </c>
      <c r="B56" s="4"/>
      <c r="C56" s="4"/>
      <c r="D56" s="4"/>
      <c r="E56" s="4"/>
      <c r="F56" s="4"/>
      <c r="G56" s="4"/>
      <c r="H56" s="4"/>
      <c r="I56" s="4"/>
      <c r="J56" s="4"/>
      <c r="K56" s="4"/>
      <c r="L56" s="4"/>
    </row>
    <row r="57" customFormat="false" ht="31.5" hidden="false" customHeight="true" outlineLevel="0" collapsed="false">
      <c r="A57" s="8" t="s">
        <v>76</v>
      </c>
      <c r="B57" s="8" t="s">
        <v>77</v>
      </c>
      <c r="C57" s="8" t="s">
        <v>78</v>
      </c>
      <c r="D57" s="8" t="s">
        <v>43</v>
      </c>
      <c r="E57" s="8" t="s">
        <v>45</v>
      </c>
      <c r="F57" s="8" t="s">
        <v>47</v>
      </c>
      <c r="G57" s="8" t="s">
        <v>79</v>
      </c>
      <c r="H57" s="8" t="s">
        <v>80</v>
      </c>
      <c r="I57" s="8" t="s">
        <v>81</v>
      </c>
      <c r="J57" s="8" t="s">
        <v>82</v>
      </c>
      <c r="K57" s="8" t="s">
        <v>83</v>
      </c>
      <c r="L57" s="8" t="s">
        <v>84</v>
      </c>
    </row>
    <row r="58" customFormat="false" ht="15" hidden="false" customHeight="false" outlineLevel="0" collapsed="false">
      <c r="A58" s="9" t="str">
        <f aca="false">'2026 Forecast A'!A12</f>
        <v>Carbon</v>
      </c>
      <c r="B58" s="9" t="str">
        <f aca="false">'2026 Forecast A'!B12</f>
        <v>BANKS TOWNSHIP</v>
      </c>
      <c r="C58" s="9" t="str">
        <f aca="false">'2026 Forecast A'!C12</f>
        <v>BANKS TOWNSHIP</v>
      </c>
      <c r="D58" s="10" t="n">
        <f aca="false">'2026 Forecast A'!G12</f>
        <v>0.414835164835165</v>
      </c>
      <c r="E58" s="10" t="n">
        <f aca="false">'2026 Forecast B'!G12</f>
        <v>0.423076923076923</v>
      </c>
      <c r="F58" s="10" t="n">
        <f aca="false">'2026 Forecast C'!G12</f>
        <v>0.403846153846154</v>
      </c>
      <c r="G58" s="38" t="n">
        <f aca="false">(MAX(D58:F58)-MIN(D58:F58))*100</f>
        <v>1.92307692307692</v>
      </c>
      <c r="H58" s="39" t="n">
        <f aca="false">'2026 Forecast A'!L12</f>
        <v>3.43333352273176</v>
      </c>
      <c r="I58" s="39" t="n">
        <f aca="false">'2026 Forecast B'!L12</f>
        <v>3.21167747490571</v>
      </c>
      <c r="J58" s="39" t="n">
        <f aca="false">'2026 Forecast C'!L12</f>
        <v>3.72283676191068</v>
      </c>
      <c r="K58" s="18" t="n">
        <f aca="false">'2026 Forecast A'!F12</f>
        <v>364</v>
      </c>
      <c r="L58" s="40" t="str">
        <f aca="false">IF(OR(AND(D58&gt;0.5,E58&gt;0.5,F58&gt;0.5),AND(D58&lt;0.5,E58&lt;0.5,F58&lt;0.5)),"Yes","No — toss-up")</f>
        <v>Yes</v>
      </c>
    </row>
    <row r="59" customFormat="false" ht="15" hidden="false" customHeight="false" outlineLevel="0" collapsed="false">
      <c r="A59" s="9" t="str">
        <f aca="false">'2026 Forecast A'!A13</f>
        <v>Carbon</v>
      </c>
      <c r="B59" s="9" t="str">
        <f aca="false">'2026 Forecast A'!B13</f>
        <v>BEAVER MEADOWS BOROUGH</v>
      </c>
      <c r="C59" s="9" t="str">
        <f aca="false">'2026 Forecast A'!C13</f>
        <v>BEAVER MEADOWS BOROUGH</v>
      </c>
      <c r="D59" s="10" t="n">
        <f aca="false">'2026 Forecast A'!G13</f>
        <v>0.290909090909091</v>
      </c>
      <c r="E59" s="10" t="n">
        <f aca="false">'2026 Forecast B'!G13</f>
        <v>0.293939393939394</v>
      </c>
      <c r="F59" s="10" t="n">
        <f aca="false">'2026 Forecast C'!G13</f>
        <v>0.272727272727273</v>
      </c>
      <c r="G59" s="38" t="n">
        <f aca="false">(MAX(D59:F59)-MIN(D59:F59))*100</f>
        <v>2.12121212121212</v>
      </c>
      <c r="H59" s="39" t="n">
        <f aca="false">'2026 Forecast A'!L13</f>
        <v>3.43333352273176</v>
      </c>
      <c r="I59" s="39" t="n">
        <f aca="false">'2026 Forecast B'!L13</f>
        <v>3.21167747490571</v>
      </c>
      <c r="J59" s="39" t="n">
        <f aca="false">'2026 Forecast C'!L13</f>
        <v>3.72283676191068</v>
      </c>
      <c r="K59" s="18" t="n">
        <f aca="false">'2026 Forecast A'!F13</f>
        <v>330</v>
      </c>
      <c r="L59" s="40" t="str">
        <f aca="false">IF(OR(AND(D59&gt;0.5,E59&gt;0.5,F59&gt;0.5),AND(D59&lt;0.5,E59&lt;0.5,F59&lt;0.5)),"Yes","No — toss-up")</f>
        <v>Yes</v>
      </c>
    </row>
    <row r="60" customFormat="false" ht="15" hidden="false" customHeight="false" outlineLevel="0" collapsed="false">
      <c r="A60" s="9" t="str">
        <f aca="false">'2026 Forecast A'!A14</f>
        <v>Carbon</v>
      </c>
      <c r="B60" s="9" t="str">
        <f aca="false">'2026 Forecast A'!B14</f>
        <v>BOWMANSTOWN BOROUGH</v>
      </c>
      <c r="C60" s="9" t="str">
        <f aca="false">'2026 Forecast A'!C14</f>
        <v>BOWMANSTOWN BOROUGH</v>
      </c>
      <c r="D60" s="10" t="n">
        <f aca="false">'2026 Forecast A'!G14</f>
        <v>0.323033707865169</v>
      </c>
      <c r="E60" s="10" t="n">
        <f aca="false">'2026 Forecast B'!G14</f>
        <v>0.339887640449438</v>
      </c>
      <c r="F60" s="10" t="n">
        <f aca="false">'2026 Forecast C'!G14</f>
        <v>0.311797752808989</v>
      </c>
      <c r="G60" s="38" t="n">
        <f aca="false">(MAX(D60:F60)-MIN(D60:F60))*100</f>
        <v>2.80898876404495</v>
      </c>
      <c r="H60" s="39" t="n">
        <f aca="false">'2026 Forecast A'!L14</f>
        <v>3.43333352273176</v>
      </c>
      <c r="I60" s="39" t="n">
        <f aca="false">'2026 Forecast B'!L14</f>
        <v>3.21167747490571</v>
      </c>
      <c r="J60" s="39" t="n">
        <f aca="false">'2026 Forecast C'!L14</f>
        <v>3.72283676191068</v>
      </c>
      <c r="K60" s="18" t="n">
        <f aca="false">'2026 Forecast A'!F14</f>
        <v>356</v>
      </c>
      <c r="L60" s="40" t="str">
        <f aca="false">IF(OR(AND(D60&gt;0.5,E60&gt;0.5,F60&gt;0.5),AND(D60&lt;0.5,E60&lt;0.5,F60&lt;0.5)),"Yes","No — toss-up")</f>
        <v>Yes</v>
      </c>
    </row>
    <row r="61" customFormat="false" ht="15" hidden="false" customHeight="false" outlineLevel="0" collapsed="false">
      <c r="A61" s="9" t="str">
        <f aca="false">'2026 Forecast A'!A15</f>
        <v>Carbon</v>
      </c>
      <c r="B61" s="9" t="str">
        <f aca="false">'2026 Forecast A'!B15</f>
        <v>EAST PENN TOWNSHIP</v>
      </c>
      <c r="C61" s="9" t="str">
        <f aca="false">'2026 Forecast A'!C15</f>
        <v>EAST PENN TOWNSHIP-NORTH</v>
      </c>
      <c r="D61" s="10" t="n">
        <f aca="false">'2026 Forecast A'!G15</f>
        <v>0.265193370165746</v>
      </c>
      <c r="E61" s="10" t="n">
        <f aca="false">'2026 Forecast B'!G15</f>
        <v>0.265193370165746</v>
      </c>
      <c r="F61" s="10" t="n">
        <f aca="false">'2026 Forecast C'!G15</f>
        <v>0.244475138121547</v>
      </c>
      <c r="G61" s="38" t="n">
        <f aca="false">(MAX(D61:F61)-MIN(D61:F61))*100</f>
        <v>2.07182320441989</v>
      </c>
      <c r="H61" s="39" t="n">
        <f aca="false">'2026 Forecast A'!L15</f>
        <v>2.13789583153489</v>
      </c>
      <c r="I61" s="39" t="n">
        <f aca="false">'2026 Forecast B'!L15</f>
        <v>2.24475965619494</v>
      </c>
      <c r="J61" s="39" t="n">
        <f aca="false">'2026 Forecast C'!L15</f>
        <v>2.3915225360787</v>
      </c>
      <c r="K61" s="18" t="n">
        <f aca="false">'2026 Forecast A'!F15</f>
        <v>724</v>
      </c>
      <c r="L61" s="40" t="str">
        <f aca="false">IF(OR(AND(D61&gt;0.5,E61&gt;0.5,F61&gt;0.5),AND(D61&lt;0.5,E61&lt;0.5,F61&lt;0.5)),"Yes","No — toss-up")</f>
        <v>Yes</v>
      </c>
    </row>
    <row r="62" customFormat="false" ht="15" hidden="false" customHeight="false" outlineLevel="0" collapsed="false">
      <c r="A62" s="9" t="str">
        <f aca="false">'2026 Forecast A'!A16</f>
        <v>Carbon</v>
      </c>
      <c r="B62" s="9" t="str">
        <f aca="false">'2026 Forecast A'!B16</f>
        <v>EAST PENN TOWNSHIP</v>
      </c>
      <c r="C62" s="9" t="str">
        <f aca="false">'2026 Forecast A'!C16</f>
        <v>EAST PENN TOWNSHIP-SOUTH</v>
      </c>
      <c r="D62" s="10" t="n">
        <f aca="false">'2026 Forecast A'!G16</f>
        <v>0.286415711947627</v>
      </c>
      <c r="E62" s="10" t="n">
        <f aca="false">'2026 Forecast B'!G16</f>
        <v>0.284779050736498</v>
      </c>
      <c r="F62" s="10" t="n">
        <f aca="false">'2026 Forecast C'!G16</f>
        <v>0.266775777414075</v>
      </c>
      <c r="G62" s="38" t="n">
        <f aca="false">(MAX(D62:F62)-MIN(D62:F62))*100</f>
        <v>1.96399345335516</v>
      </c>
      <c r="H62" s="39" t="n">
        <f aca="false">'2026 Forecast A'!L16</f>
        <v>2.13789583153489</v>
      </c>
      <c r="I62" s="39" t="n">
        <f aca="false">'2026 Forecast B'!L16</f>
        <v>2.24475965619494</v>
      </c>
      <c r="J62" s="39" t="n">
        <f aca="false">'2026 Forecast C'!L16</f>
        <v>2.3915225360787</v>
      </c>
      <c r="K62" s="18" t="n">
        <f aca="false">'2026 Forecast A'!F16</f>
        <v>611</v>
      </c>
      <c r="L62" s="40" t="str">
        <f aca="false">IF(OR(AND(D62&gt;0.5,E62&gt;0.5,F62&gt;0.5),AND(D62&lt;0.5,E62&lt;0.5,F62&lt;0.5)),"Yes","No — toss-up")</f>
        <v>Yes</v>
      </c>
    </row>
    <row r="63" customFormat="false" ht="15" hidden="false" customHeight="false" outlineLevel="0" collapsed="false">
      <c r="A63" s="9" t="str">
        <f aca="false">'2026 Forecast A'!A17</f>
        <v>Carbon</v>
      </c>
      <c r="B63" s="9" t="str">
        <f aca="false">'2026 Forecast A'!B17</f>
        <v>EAST SIDE BOROUGH</v>
      </c>
      <c r="C63" s="9" t="str">
        <f aca="false">'2026 Forecast A'!C17</f>
        <v>EAST SIDE BOROUGH</v>
      </c>
      <c r="D63" s="10" t="n">
        <f aca="false">'2026 Forecast A'!G17</f>
        <v>0.344086021505376</v>
      </c>
      <c r="E63" s="10" t="n">
        <f aca="false">'2026 Forecast B'!G17</f>
        <v>0.354838709677419</v>
      </c>
      <c r="F63" s="10" t="n">
        <f aca="false">'2026 Forecast C'!G17</f>
        <v>0.333333333333333</v>
      </c>
      <c r="G63" s="38" t="n">
        <f aca="false">(MAX(D63:F63)-MIN(D63:F63))*100</f>
        <v>2.15053763440861</v>
      </c>
      <c r="H63" s="39" t="n">
        <f aca="false">'2026 Forecast A'!L17</f>
        <v>3.43333352273176</v>
      </c>
      <c r="I63" s="39" t="n">
        <f aca="false">'2026 Forecast B'!L17</f>
        <v>3.21167747490571</v>
      </c>
      <c r="J63" s="39" t="n">
        <f aca="false">'2026 Forecast C'!L17</f>
        <v>3.72283676191068</v>
      </c>
      <c r="K63" s="18" t="n">
        <f aca="false">'2026 Forecast A'!F17</f>
        <v>93</v>
      </c>
      <c r="L63" s="40" t="str">
        <f aca="false">IF(OR(AND(D63&gt;0.5,E63&gt;0.5,F63&gt;0.5),AND(D63&lt;0.5,E63&lt;0.5,F63&lt;0.5)),"Yes","No — toss-up")</f>
        <v>Yes</v>
      </c>
    </row>
    <row r="64" customFormat="false" ht="15" hidden="false" customHeight="false" outlineLevel="0" collapsed="false">
      <c r="A64" s="9" t="str">
        <f aca="false">'2026 Forecast A'!A18</f>
        <v>Carbon</v>
      </c>
      <c r="B64" s="9" t="str">
        <f aca="false">'2026 Forecast A'!B18</f>
        <v>FRANKLIN TOWNSHIP</v>
      </c>
      <c r="C64" s="9" t="str">
        <f aca="false">'2026 Forecast A'!C18</f>
        <v>FRANKLIN TOWNSHIP-HARRITY</v>
      </c>
      <c r="D64" s="10" t="n">
        <f aca="false">'2026 Forecast A'!G18</f>
        <v>0.284876905041032</v>
      </c>
      <c r="E64" s="10" t="n">
        <f aca="false">'2026 Forecast B'!G18</f>
        <v>0.287221570926143</v>
      </c>
      <c r="F64" s="10" t="n">
        <f aca="false">'2026 Forecast C'!G18</f>
        <v>0.266119577960141</v>
      </c>
      <c r="G64" s="38" t="n">
        <f aca="false">(MAX(D64:F64)-MIN(D64:F64))*100</f>
        <v>2.11019929660023</v>
      </c>
      <c r="H64" s="39" t="n">
        <f aca="false">'2026 Forecast A'!L18</f>
        <v>2.13789583153489</v>
      </c>
      <c r="I64" s="39" t="n">
        <f aca="false">'2026 Forecast B'!L18</f>
        <v>2.24475965619494</v>
      </c>
      <c r="J64" s="39" t="n">
        <f aca="false">'2026 Forecast C'!L18</f>
        <v>2.3915225360787</v>
      </c>
      <c r="K64" s="18" t="n">
        <f aca="false">'2026 Forecast A'!F18</f>
        <v>853</v>
      </c>
      <c r="L64" s="40" t="str">
        <f aca="false">IF(OR(AND(D64&gt;0.5,E64&gt;0.5,F64&gt;0.5),AND(D64&lt;0.5,E64&lt;0.5,F64&lt;0.5)),"Yes","No — toss-up")</f>
        <v>Yes</v>
      </c>
    </row>
    <row r="65" customFormat="false" ht="15" hidden="false" customHeight="false" outlineLevel="0" collapsed="false">
      <c r="A65" s="9" t="str">
        <f aca="false">'2026 Forecast A'!A19</f>
        <v>Carbon</v>
      </c>
      <c r="B65" s="9" t="str">
        <f aca="false">'2026 Forecast A'!B19</f>
        <v>FRANKLIN TOWNSHIP</v>
      </c>
      <c r="C65" s="9" t="str">
        <f aca="false">'2026 Forecast A'!C19</f>
        <v>FRANKLIN TOWNSHIP-IND DIST</v>
      </c>
      <c r="D65" s="10" t="n">
        <f aca="false">'2026 Forecast A'!G19</f>
        <v>0.276785714285714</v>
      </c>
      <c r="E65" s="10" t="n">
        <f aca="false">'2026 Forecast B'!G19</f>
        <v>0.279017857142857</v>
      </c>
      <c r="F65" s="10" t="n">
        <f aca="false">'2026 Forecast C'!G19</f>
        <v>0.256696428571429</v>
      </c>
      <c r="G65" s="38" t="n">
        <f aca="false">(MAX(D65:F65)-MIN(D65:F65))*100</f>
        <v>2.23214285714286</v>
      </c>
      <c r="H65" s="39" t="n">
        <f aca="false">'2026 Forecast A'!L19</f>
        <v>3.43333352273176</v>
      </c>
      <c r="I65" s="39" t="n">
        <f aca="false">'2026 Forecast B'!L19</f>
        <v>3.21167747490571</v>
      </c>
      <c r="J65" s="39" t="n">
        <f aca="false">'2026 Forecast C'!L19</f>
        <v>3.72283676191068</v>
      </c>
      <c r="K65" s="18" t="n">
        <f aca="false">'2026 Forecast A'!F19</f>
        <v>448</v>
      </c>
      <c r="L65" s="40" t="str">
        <f aca="false">IF(OR(AND(D65&gt;0.5,E65&gt;0.5,F65&gt;0.5),AND(D65&lt;0.5,E65&lt;0.5,F65&lt;0.5)),"Yes","No — toss-up")</f>
        <v>Yes</v>
      </c>
    </row>
    <row r="66" customFormat="false" ht="15" hidden="false" customHeight="false" outlineLevel="0" collapsed="false">
      <c r="A66" s="9" t="str">
        <f aca="false">'2026 Forecast A'!A20</f>
        <v>Carbon</v>
      </c>
      <c r="B66" s="9" t="str">
        <f aca="false">'2026 Forecast A'!B20</f>
        <v>FRANKLIN TOWNSHIP</v>
      </c>
      <c r="C66" s="9" t="str">
        <f aca="false">'2026 Forecast A'!C20</f>
        <v>FRANKLIN TOWNSHIP-LONG RUN</v>
      </c>
      <c r="D66" s="10" t="n">
        <f aca="false">'2026 Forecast A'!G20</f>
        <v>0.278184480234261</v>
      </c>
      <c r="E66" s="10" t="n">
        <f aca="false">'2026 Forecast B'!G20</f>
        <v>0.275256222547584</v>
      </c>
      <c r="F66" s="10" t="n">
        <f aca="false">'2026 Forecast C'!G20</f>
        <v>0.259150805270864</v>
      </c>
      <c r="G66" s="38" t="n">
        <f aca="false">(MAX(D66:F66)-MIN(D66:F66))*100</f>
        <v>1.90336749633968</v>
      </c>
      <c r="H66" s="39" t="n">
        <f aca="false">'2026 Forecast A'!L20</f>
        <v>2.13789583153489</v>
      </c>
      <c r="I66" s="39" t="n">
        <f aca="false">'2026 Forecast B'!L20</f>
        <v>2.24475965619494</v>
      </c>
      <c r="J66" s="39" t="n">
        <f aca="false">'2026 Forecast C'!L20</f>
        <v>2.3915225360787</v>
      </c>
      <c r="K66" s="18" t="n">
        <f aca="false">'2026 Forecast A'!F20</f>
        <v>683</v>
      </c>
      <c r="L66" s="40" t="str">
        <f aca="false">IF(OR(AND(D66&gt;0.5,E66&gt;0.5,F66&gt;0.5),AND(D66&lt;0.5,E66&lt;0.5,F66&lt;0.5)),"Yes","No — toss-up")</f>
        <v>Yes</v>
      </c>
    </row>
    <row r="67" customFormat="false" ht="15" hidden="false" customHeight="false" outlineLevel="0" collapsed="false">
      <c r="A67" s="9" t="str">
        <f aca="false">'2026 Forecast A'!A21</f>
        <v>Carbon</v>
      </c>
      <c r="B67" s="9" t="str">
        <f aca="false">'2026 Forecast A'!B21</f>
        <v>JIM THORPE BOROUGH</v>
      </c>
      <c r="C67" s="9" t="str">
        <f aca="false">'2026 Forecast A'!C21</f>
        <v>JIM THORPE BOROUGH-1ST</v>
      </c>
      <c r="D67" s="10" t="n">
        <f aca="false">'2026 Forecast A'!G21</f>
        <v>0.442660550458716</v>
      </c>
      <c r="E67" s="10" t="n">
        <f aca="false">'2026 Forecast B'!G21</f>
        <v>0.44954128440367</v>
      </c>
      <c r="F67" s="10" t="n">
        <f aca="false">'2026 Forecast C'!G21</f>
        <v>0.440366972477064</v>
      </c>
      <c r="G67" s="38" t="n">
        <f aca="false">(MAX(D67:F67)-MIN(D67:F67))*100</f>
        <v>0.917431192660551</v>
      </c>
      <c r="H67" s="39" t="n">
        <f aca="false">'2026 Forecast A'!L21</f>
        <v>3.43333352273176</v>
      </c>
      <c r="I67" s="39" t="n">
        <f aca="false">'2026 Forecast B'!L21</f>
        <v>3.21167747490571</v>
      </c>
      <c r="J67" s="39" t="n">
        <f aca="false">'2026 Forecast C'!L21</f>
        <v>3.72283676191068</v>
      </c>
      <c r="K67" s="18" t="n">
        <f aca="false">'2026 Forecast A'!F21</f>
        <v>436</v>
      </c>
      <c r="L67" s="40" t="str">
        <f aca="false">IF(OR(AND(D67&gt;0.5,E67&gt;0.5,F67&gt;0.5),AND(D67&lt;0.5,E67&lt;0.5,F67&lt;0.5)),"Yes","No — toss-up")</f>
        <v>Yes</v>
      </c>
    </row>
    <row r="68" customFormat="false" ht="15" hidden="false" customHeight="false" outlineLevel="0" collapsed="false">
      <c r="A68" s="9" t="str">
        <f aca="false">'2026 Forecast A'!A22</f>
        <v>Carbon</v>
      </c>
      <c r="B68" s="9" t="str">
        <f aca="false">'2026 Forecast A'!B22</f>
        <v>JIM THORPE BOROUGH</v>
      </c>
      <c r="C68" s="9" t="str">
        <f aca="false">'2026 Forecast A'!C22</f>
        <v>JIM THORPE BOROUGH-2ND</v>
      </c>
      <c r="D68" s="10" t="n">
        <f aca="false">'2026 Forecast A'!G22</f>
        <v>0.425</v>
      </c>
      <c r="E68" s="10" t="n">
        <f aca="false">'2026 Forecast B'!G22</f>
        <v>0.435714285714286</v>
      </c>
      <c r="F68" s="10" t="n">
        <f aca="false">'2026 Forecast C'!G22</f>
        <v>0.421428571428571</v>
      </c>
      <c r="G68" s="38" t="n">
        <f aca="false">(MAX(D68:F68)-MIN(D68:F68))*100</f>
        <v>1.42857142857143</v>
      </c>
      <c r="H68" s="39" t="n">
        <f aca="false">'2026 Forecast A'!L22</f>
        <v>3.43333352273176</v>
      </c>
      <c r="I68" s="39" t="n">
        <f aca="false">'2026 Forecast B'!L22</f>
        <v>3.21167747490571</v>
      </c>
      <c r="J68" s="39" t="n">
        <f aca="false">'2026 Forecast C'!L22</f>
        <v>3.72283676191068</v>
      </c>
      <c r="K68" s="18" t="n">
        <f aca="false">'2026 Forecast A'!F22</f>
        <v>280</v>
      </c>
      <c r="L68" s="40" t="str">
        <f aca="false">IF(OR(AND(D68&gt;0.5,E68&gt;0.5,F68&gt;0.5),AND(D68&lt;0.5,E68&lt;0.5,F68&lt;0.5)),"Yes","No — toss-up")</f>
        <v>Yes</v>
      </c>
    </row>
    <row r="69" customFormat="false" ht="15" hidden="false" customHeight="false" outlineLevel="0" collapsed="false">
      <c r="A69" s="9" t="str">
        <f aca="false">'2026 Forecast A'!A23</f>
        <v>Carbon</v>
      </c>
      <c r="B69" s="9" t="str">
        <f aca="false">'2026 Forecast A'!B23</f>
        <v>JIM THORPE BOROUGH</v>
      </c>
      <c r="C69" s="9" t="str">
        <f aca="false">'2026 Forecast A'!C23</f>
        <v>JIM THORPE BOROUGH-3RD</v>
      </c>
      <c r="D69" s="10" t="n">
        <f aca="false">'2026 Forecast A'!G23</f>
        <v>0.388544891640867</v>
      </c>
      <c r="E69" s="10" t="n">
        <f aca="false">'2026 Forecast B'!G23</f>
        <v>0.388544891640867</v>
      </c>
      <c r="F69" s="10" t="n">
        <f aca="false">'2026 Forecast C'!G23</f>
        <v>0.380804953560372</v>
      </c>
      <c r="G69" s="38" t="n">
        <f aca="false">(MAX(D69:F69)-MIN(D69:F69))*100</f>
        <v>0.773993808049533</v>
      </c>
      <c r="H69" s="39" t="n">
        <f aca="false">'2026 Forecast A'!L23</f>
        <v>2.13789583153489</v>
      </c>
      <c r="I69" s="39" t="n">
        <f aca="false">'2026 Forecast B'!L23</f>
        <v>2.24475965619494</v>
      </c>
      <c r="J69" s="39" t="n">
        <f aca="false">'2026 Forecast C'!L23</f>
        <v>2.3915225360787</v>
      </c>
      <c r="K69" s="18" t="n">
        <f aca="false">'2026 Forecast A'!F23</f>
        <v>646</v>
      </c>
      <c r="L69" s="40" t="str">
        <f aca="false">IF(OR(AND(D69&gt;0.5,E69&gt;0.5,F69&gt;0.5),AND(D69&lt;0.5,E69&lt;0.5,F69&lt;0.5)),"Yes","No — toss-up")</f>
        <v>Yes</v>
      </c>
    </row>
    <row r="70" customFormat="false" ht="15" hidden="false" customHeight="false" outlineLevel="0" collapsed="false">
      <c r="A70" s="9" t="str">
        <f aca="false">'2026 Forecast A'!A24</f>
        <v>Carbon</v>
      </c>
      <c r="B70" s="9" t="str">
        <f aca="false">'2026 Forecast A'!B24</f>
        <v>JIM THORPE BOROUGH</v>
      </c>
      <c r="C70" s="9" t="str">
        <f aca="false">'2026 Forecast A'!C24</f>
        <v>JIM THORPE BOROUGH-4TH</v>
      </c>
      <c r="D70" s="10" t="n">
        <f aca="false">'2026 Forecast A'!G24</f>
        <v>0.506550218340611</v>
      </c>
      <c r="E70" s="10" t="n">
        <f aca="false">'2026 Forecast B'!G24</f>
        <v>0.506550218340611</v>
      </c>
      <c r="F70" s="10" t="n">
        <f aca="false">'2026 Forecast C'!G24</f>
        <v>0.506550218340611</v>
      </c>
      <c r="G70" s="38" t="n">
        <f aca="false">(MAX(D70:F70)-MIN(D70:F70))*100</f>
        <v>0</v>
      </c>
      <c r="H70" s="39" t="n">
        <f aca="false">'2026 Forecast A'!L24</f>
        <v>3.43333352273176</v>
      </c>
      <c r="I70" s="39" t="n">
        <f aca="false">'2026 Forecast B'!L24</f>
        <v>3.21167747490571</v>
      </c>
      <c r="J70" s="39" t="n">
        <f aca="false">'2026 Forecast C'!L24</f>
        <v>3.72283676191068</v>
      </c>
      <c r="K70" s="18" t="n">
        <f aca="false">'2026 Forecast A'!F24</f>
        <v>229</v>
      </c>
      <c r="L70" s="40" t="str">
        <f aca="false">IF(OR(AND(D70&gt;0.5,E70&gt;0.5,F70&gt;0.5),AND(D70&lt;0.5,E70&lt;0.5,F70&lt;0.5)),"Yes","No — toss-up")</f>
        <v>Yes</v>
      </c>
    </row>
    <row r="71" customFormat="false" ht="15" hidden="false" customHeight="false" outlineLevel="0" collapsed="false">
      <c r="A71" s="9" t="str">
        <f aca="false">'2026 Forecast A'!A25</f>
        <v>Carbon</v>
      </c>
      <c r="B71" s="9" t="str">
        <f aca="false">'2026 Forecast A'!B25</f>
        <v>JIM THORPE BOROUGH</v>
      </c>
      <c r="C71" s="9" t="str">
        <f aca="false">'2026 Forecast A'!C25</f>
        <v>JIM THORPE BOROUGH-5TH</v>
      </c>
      <c r="D71" s="10" t="n">
        <f aca="false">'2026 Forecast A'!G25</f>
        <v>0.447013487475915</v>
      </c>
      <c r="E71" s="10" t="n">
        <f aca="false">'2026 Forecast B'!G25</f>
        <v>0.454720616570328</v>
      </c>
      <c r="F71" s="10" t="n">
        <f aca="false">'2026 Forecast C'!G25</f>
        <v>0.441233140655106</v>
      </c>
      <c r="G71" s="38" t="n">
        <f aca="false">(MAX(D71:F71)-MIN(D71:F71))*100</f>
        <v>1.34874759152215</v>
      </c>
      <c r="H71" s="39" t="n">
        <f aca="false">'2026 Forecast A'!L25</f>
        <v>3.43333352273176</v>
      </c>
      <c r="I71" s="39" t="n">
        <f aca="false">'2026 Forecast B'!L25</f>
        <v>3.21167747490571</v>
      </c>
      <c r="J71" s="39" t="n">
        <f aca="false">'2026 Forecast C'!L25</f>
        <v>3.72283676191068</v>
      </c>
      <c r="K71" s="18" t="n">
        <f aca="false">'2026 Forecast A'!F25</f>
        <v>519</v>
      </c>
      <c r="L71" s="40" t="str">
        <f aca="false">IF(OR(AND(D71&gt;0.5,E71&gt;0.5,F71&gt;0.5),AND(D71&lt;0.5,E71&lt;0.5,F71&lt;0.5)),"Yes","No — toss-up")</f>
        <v>Yes</v>
      </c>
    </row>
    <row r="72" customFormat="false" ht="15" hidden="false" customHeight="false" outlineLevel="0" collapsed="false">
      <c r="A72" s="9" t="str">
        <f aca="false">'2026 Forecast A'!A26</f>
        <v>Carbon</v>
      </c>
      <c r="B72" s="9" t="str">
        <f aca="false">'2026 Forecast A'!B26</f>
        <v>KIDDER TOWNSHIP</v>
      </c>
      <c r="C72" s="9" t="str">
        <f aca="false">'2026 Forecast A'!C26</f>
        <v>KIDDER TOWNSHIP-NORTH</v>
      </c>
      <c r="D72" s="10" t="n">
        <f aca="false">'2026 Forecast A'!G26</f>
        <v>0.367041198501873</v>
      </c>
      <c r="E72" s="10" t="n">
        <f aca="false">'2026 Forecast B'!G26</f>
        <v>0.363295880149813</v>
      </c>
      <c r="F72" s="10" t="n">
        <f aca="false">'2026 Forecast C'!G26</f>
        <v>0.355805243445693</v>
      </c>
      <c r="G72" s="38" t="n">
        <f aca="false">(MAX(D72:F72)-MIN(D72:F72))*100</f>
        <v>1.12359550561798</v>
      </c>
      <c r="H72" s="39" t="n">
        <f aca="false">'2026 Forecast A'!L26</f>
        <v>3.43333352273176</v>
      </c>
      <c r="I72" s="39" t="n">
        <f aca="false">'2026 Forecast B'!L26</f>
        <v>3.21167747490571</v>
      </c>
      <c r="J72" s="39" t="n">
        <f aca="false">'2026 Forecast C'!L26</f>
        <v>3.72283676191068</v>
      </c>
      <c r="K72" s="18" t="n">
        <f aca="false">'2026 Forecast A'!F26</f>
        <v>267</v>
      </c>
      <c r="L72" s="40" t="str">
        <f aca="false">IF(OR(AND(D72&gt;0.5,E72&gt;0.5,F72&gt;0.5),AND(D72&lt;0.5,E72&lt;0.5,F72&lt;0.5)),"Yes","No — toss-up")</f>
        <v>Yes</v>
      </c>
    </row>
    <row r="73" customFormat="false" ht="15" hidden="false" customHeight="false" outlineLevel="0" collapsed="false">
      <c r="A73" s="9" t="str">
        <f aca="false">'2026 Forecast A'!A27</f>
        <v>Carbon</v>
      </c>
      <c r="B73" s="9" t="str">
        <f aca="false">'2026 Forecast A'!B27</f>
        <v>KIDDER TOWNSHIP</v>
      </c>
      <c r="C73" s="9" t="str">
        <f aca="false">'2026 Forecast A'!C27</f>
        <v>KIDDER TOWNSHIP-SOUTH</v>
      </c>
      <c r="D73" s="10" t="n">
        <f aca="false">'2026 Forecast A'!G27</f>
        <v>0.324723247232472</v>
      </c>
      <c r="E73" s="10" t="n">
        <f aca="false">'2026 Forecast B'!G27</f>
        <v>0.326568265682657</v>
      </c>
      <c r="F73" s="10" t="n">
        <f aca="false">'2026 Forecast C'!G27</f>
        <v>0.309963099630996</v>
      </c>
      <c r="G73" s="38" t="n">
        <f aca="false">(MAX(D73:F73)-MIN(D73:F73))*100</f>
        <v>1.66051660516605</v>
      </c>
      <c r="H73" s="39" t="n">
        <f aca="false">'2026 Forecast A'!L27</f>
        <v>3.43333352273176</v>
      </c>
      <c r="I73" s="39" t="n">
        <f aca="false">'2026 Forecast B'!L27</f>
        <v>3.21167747490571</v>
      </c>
      <c r="J73" s="39" t="n">
        <f aca="false">'2026 Forecast C'!L27</f>
        <v>3.72283676191068</v>
      </c>
      <c r="K73" s="18" t="n">
        <f aca="false">'2026 Forecast A'!F27</f>
        <v>542</v>
      </c>
      <c r="L73" s="40" t="str">
        <f aca="false">IF(OR(AND(D73&gt;0.5,E73&gt;0.5,F73&gt;0.5),AND(D73&lt;0.5,E73&lt;0.5,F73&lt;0.5)),"Yes","No — toss-up")</f>
        <v>Yes</v>
      </c>
    </row>
    <row r="74" customFormat="false" ht="15" hidden="false" customHeight="false" outlineLevel="0" collapsed="false">
      <c r="A74" s="9" t="str">
        <f aca="false">'2026 Forecast A'!A28</f>
        <v>Carbon</v>
      </c>
      <c r="B74" s="9" t="str">
        <f aca="false">'2026 Forecast A'!B28</f>
        <v>LANSFORD BOROUGH</v>
      </c>
      <c r="C74" s="9" t="str">
        <f aca="false">'2026 Forecast A'!C28</f>
        <v>LANSFORD BOROUGH - EAST WARD</v>
      </c>
      <c r="D74" s="10" t="n">
        <f aca="false">'2026 Forecast A'!G28</f>
        <v>0.416030534351145</v>
      </c>
      <c r="E74" s="10" t="n">
        <f aca="false">'2026 Forecast B'!G28</f>
        <v>0.41793893129771</v>
      </c>
      <c r="F74" s="10" t="n">
        <f aca="false">'2026 Forecast C'!G28</f>
        <v>0.404580152671756</v>
      </c>
      <c r="G74" s="38" t="n">
        <f aca="false">(MAX(D74:F74)-MIN(D74:F74))*100</f>
        <v>1.33587786259542</v>
      </c>
      <c r="H74" s="39" t="n">
        <f aca="false">'2026 Forecast A'!L28</f>
        <v>3.43333352273176</v>
      </c>
      <c r="I74" s="39" t="n">
        <f aca="false">'2026 Forecast B'!L28</f>
        <v>3.21167747490571</v>
      </c>
      <c r="J74" s="39" t="n">
        <f aca="false">'2026 Forecast C'!L28</f>
        <v>3.72283676191068</v>
      </c>
      <c r="K74" s="18" t="n">
        <f aca="false">'2026 Forecast A'!F28</f>
        <v>524</v>
      </c>
      <c r="L74" s="40" t="str">
        <f aca="false">IF(OR(AND(D74&gt;0.5,E74&gt;0.5,F74&gt;0.5),AND(D74&lt;0.5,E74&lt;0.5,F74&lt;0.5)),"Yes","No — toss-up")</f>
        <v>Yes</v>
      </c>
    </row>
    <row r="75" customFormat="false" ht="15" hidden="false" customHeight="false" outlineLevel="0" collapsed="false">
      <c r="A75" s="9" t="str">
        <f aca="false">'2026 Forecast A'!A29</f>
        <v>Carbon</v>
      </c>
      <c r="B75" s="9" t="str">
        <f aca="false">'2026 Forecast A'!B29</f>
        <v>LANSFORD BOROUGH</v>
      </c>
      <c r="C75" s="9" t="str">
        <f aca="false">'2026 Forecast A'!C29</f>
        <v>LANSFORD BOROUGH-MIDDLE WARD</v>
      </c>
      <c r="D75" s="10" t="n">
        <f aca="false">'2026 Forecast A'!G29</f>
        <v>0.409395973154362</v>
      </c>
      <c r="E75" s="10" t="n">
        <f aca="false">'2026 Forecast B'!G29</f>
        <v>0.412751677852349</v>
      </c>
      <c r="F75" s="10" t="n">
        <f aca="false">'2026 Forecast C'!G29</f>
        <v>0.399328859060403</v>
      </c>
      <c r="G75" s="38" t="n">
        <f aca="false">(MAX(D75:F75)-MIN(D75:F75))*100</f>
        <v>1.34228187919463</v>
      </c>
      <c r="H75" s="39" t="n">
        <f aca="false">'2026 Forecast A'!L29</f>
        <v>3.43333352273176</v>
      </c>
      <c r="I75" s="39" t="n">
        <f aca="false">'2026 Forecast B'!L29</f>
        <v>3.21167747490571</v>
      </c>
      <c r="J75" s="39" t="n">
        <f aca="false">'2026 Forecast C'!L29</f>
        <v>3.72283676191068</v>
      </c>
      <c r="K75" s="18" t="n">
        <f aca="false">'2026 Forecast A'!F29</f>
        <v>298</v>
      </c>
      <c r="L75" s="40" t="str">
        <f aca="false">IF(OR(AND(D75&gt;0.5,E75&gt;0.5,F75&gt;0.5),AND(D75&lt;0.5,E75&lt;0.5,F75&lt;0.5)),"Yes","No — toss-up")</f>
        <v>Yes</v>
      </c>
    </row>
    <row r="76" customFormat="false" ht="15" hidden="false" customHeight="false" outlineLevel="0" collapsed="false">
      <c r="A76" s="9" t="str">
        <f aca="false">'2026 Forecast A'!A30</f>
        <v>Carbon</v>
      </c>
      <c r="B76" s="9" t="str">
        <f aca="false">'2026 Forecast A'!B30</f>
        <v>LANSFORD BOROUGH</v>
      </c>
      <c r="C76" s="9" t="str">
        <f aca="false">'2026 Forecast A'!C30</f>
        <v>LANSFORD BOROUGH-WEST WARD</v>
      </c>
      <c r="D76" s="10" t="n">
        <f aca="false">'2026 Forecast A'!G30</f>
        <v>0.413793103448276</v>
      </c>
      <c r="E76" s="10" t="n">
        <f aca="false">'2026 Forecast B'!G30</f>
        <v>0.425287356321839</v>
      </c>
      <c r="F76" s="10" t="n">
        <f aca="false">'2026 Forecast C'!G30</f>
        <v>0.406130268199234</v>
      </c>
      <c r="G76" s="38" t="n">
        <f aca="false">(MAX(D76:F76)-MIN(D76:F76))*100</f>
        <v>1.91570881226054</v>
      </c>
      <c r="H76" s="39" t="n">
        <f aca="false">'2026 Forecast A'!L30</f>
        <v>3.43333352273176</v>
      </c>
      <c r="I76" s="39" t="n">
        <f aca="false">'2026 Forecast B'!L30</f>
        <v>3.21167747490571</v>
      </c>
      <c r="J76" s="39" t="n">
        <f aca="false">'2026 Forecast C'!L30</f>
        <v>3.72283676191068</v>
      </c>
      <c r="K76" s="18" t="n">
        <f aca="false">'2026 Forecast A'!F30</f>
        <v>261</v>
      </c>
      <c r="L76" s="40" t="str">
        <f aca="false">IF(OR(AND(D76&gt;0.5,E76&gt;0.5,F76&gt;0.5),AND(D76&lt;0.5,E76&lt;0.5,F76&lt;0.5)),"Yes","No — toss-up")</f>
        <v>Yes</v>
      </c>
    </row>
    <row r="77" customFormat="false" ht="15" hidden="false" customHeight="false" outlineLevel="0" collapsed="false">
      <c r="A77" s="9" t="str">
        <f aca="false">'2026 Forecast A'!A31</f>
        <v>Carbon</v>
      </c>
      <c r="B77" s="9" t="str">
        <f aca="false">'2026 Forecast A'!B31</f>
        <v>LAUSANNE TOWNSHIP</v>
      </c>
      <c r="C77" s="9" t="str">
        <f aca="false">'2026 Forecast A'!C31</f>
        <v>LAUSANNE TOWNSHIP</v>
      </c>
      <c r="D77" s="10" t="n">
        <f aca="false">'2026 Forecast A'!G31</f>
        <v>0.271186440677966</v>
      </c>
      <c r="E77" s="10" t="n">
        <f aca="false">'2026 Forecast B'!G31</f>
        <v>0.271186440677966</v>
      </c>
      <c r="F77" s="10" t="n">
        <f aca="false">'2026 Forecast C'!G31</f>
        <v>0.26271186440678</v>
      </c>
      <c r="G77" s="38" t="n">
        <f aca="false">(MAX(D77:F77)-MIN(D77:F77))*100</f>
        <v>0.847457627118642</v>
      </c>
      <c r="H77" s="39" t="n">
        <f aca="false">'2026 Forecast A'!L31</f>
        <v>3.43333352273176</v>
      </c>
      <c r="I77" s="39" t="n">
        <f aca="false">'2026 Forecast B'!L31</f>
        <v>3.21167747490571</v>
      </c>
      <c r="J77" s="39" t="n">
        <f aca="false">'2026 Forecast C'!L31</f>
        <v>3.72283676191068</v>
      </c>
      <c r="K77" s="18" t="n">
        <f aca="false">'2026 Forecast A'!F31</f>
        <v>118</v>
      </c>
      <c r="L77" s="40" t="str">
        <f aca="false">IF(OR(AND(D77&gt;0.5,E77&gt;0.5,F77&gt;0.5),AND(D77&lt;0.5,E77&lt;0.5,F77&lt;0.5)),"Yes","No — toss-up")</f>
        <v>Yes</v>
      </c>
    </row>
    <row r="78" customFormat="false" ht="15" hidden="false" customHeight="false" outlineLevel="0" collapsed="false">
      <c r="A78" s="9" t="str">
        <f aca="false">'2026 Forecast A'!A32</f>
        <v>Carbon</v>
      </c>
      <c r="B78" s="9" t="str">
        <f aca="false">'2026 Forecast A'!B32</f>
        <v>LEHIGH TOWNSHIP</v>
      </c>
      <c r="C78" s="9" t="str">
        <f aca="false">'2026 Forecast A'!C32</f>
        <v>LEHIGH TOWNSHIP</v>
      </c>
      <c r="D78" s="10" t="n">
        <f aca="false">'2026 Forecast A'!G32</f>
        <v>0.215189873417722</v>
      </c>
      <c r="E78" s="10" t="n">
        <f aca="false">'2026 Forecast B'!G32</f>
        <v>0.215189873417722</v>
      </c>
      <c r="F78" s="10" t="n">
        <f aca="false">'2026 Forecast C'!G32</f>
        <v>0.194092827004219</v>
      </c>
      <c r="G78" s="38" t="n">
        <f aca="false">(MAX(D78:F78)-MIN(D78:F78))*100</f>
        <v>2.10970464135021</v>
      </c>
      <c r="H78" s="39" t="n">
        <f aca="false">'2026 Forecast A'!L32</f>
        <v>3.43333352273176</v>
      </c>
      <c r="I78" s="39" t="n">
        <f aca="false">'2026 Forecast B'!L32</f>
        <v>3.21167747490571</v>
      </c>
      <c r="J78" s="39" t="n">
        <f aca="false">'2026 Forecast C'!L32</f>
        <v>3.72283676191068</v>
      </c>
      <c r="K78" s="18" t="n">
        <f aca="false">'2026 Forecast A'!F32</f>
        <v>237</v>
      </c>
      <c r="L78" s="40" t="str">
        <f aca="false">IF(OR(AND(D78&gt;0.5,E78&gt;0.5,F78&gt;0.5),AND(D78&lt;0.5,E78&lt;0.5,F78&lt;0.5)),"Yes","No — toss-up")</f>
        <v>Yes</v>
      </c>
    </row>
    <row r="79" customFormat="false" ht="15" hidden="false" customHeight="false" outlineLevel="0" collapsed="false">
      <c r="A79" s="9" t="str">
        <f aca="false">'2026 Forecast A'!A33</f>
        <v>Carbon</v>
      </c>
      <c r="B79" s="9" t="str">
        <f aca="false">'2026 Forecast A'!B33</f>
        <v>LEHIGHTON BOROUGH</v>
      </c>
      <c r="C79" s="9" t="str">
        <f aca="false">'2026 Forecast A'!C33</f>
        <v>LEHIGHTON BOROUGH-1ST</v>
      </c>
      <c r="D79" s="10" t="n">
        <f aca="false">'2026 Forecast A'!G33</f>
        <v>0.404362416107383</v>
      </c>
      <c r="E79" s="10" t="n">
        <f aca="false">'2026 Forecast B'!G33</f>
        <v>0.412751677852349</v>
      </c>
      <c r="F79" s="10" t="n">
        <f aca="false">'2026 Forecast C'!G33</f>
        <v>0.395973154362416</v>
      </c>
      <c r="G79" s="38" t="n">
        <f aca="false">(MAX(D79:F79)-MIN(D79:F79))*100</f>
        <v>1.67785234899329</v>
      </c>
      <c r="H79" s="39" t="n">
        <f aca="false">'2026 Forecast A'!L33</f>
        <v>2.13789583153489</v>
      </c>
      <c r="I79" s="39" t="n">
        <f aca="false">'2026 Forecast B'!L33</f>
        <v>2.24475965619494</v>
      </c>
      <c r="J79" s="39" t="n">
        <f aca="false">'2026 Forecast C'!L33</f>
        <v>2.3915225360787</v>
      </c>
      <c r="K79" s="18" t="n">
        <f aca="false">'2026 Forecast A'!F33</f>
        <v>596</v>
      </c>
      <c r="L79" s="40" t="str">
        <f aca="false">IF(OR(AND(D79&gt;0.5,E79&gt;0.5,F79&gt;0.5),AND(D79&lt;0.5,E79&lt;0.5,F79&lt;0.5)),"Yes","No — toss-up")</f>
        <v>Yes</v>
      </c>
    </row>
    <row r="80" customFormat="false" ht="15" hidden="false" customHeight="false" outlineLevel="0" collapsed="false">
      <c r="A80" s="9" t="str">
        <f aca="false">'2026 Forecast A'!A34</f>
        <v>Carbon</v>
      </c>
      <c r="B80" s="9" t="str">
        <f aca="false">'2026 Forecast A'!B34</f>
        <v>LEHIGHTON BOROUGH</v>
      </c>
      <c r="C80" s="9" t="str">
        <f aca="false">'2026 Forecast A'!C34</f>
        <v>LEHIGHTON BOROUGH-2ND</v>
      </c>
      <c r="D80" s="10" t="n">
        <f aca="false">'2026 Forecast A'!G34</f>
        <v>0.392539964476021</v>
      </c>
      <c r="E80" s="10" t="n">
        <f aca="false">'2026 Forecast B'!G34</f>
        <v>0.396092362344583</v>
      </c>
      <c r="F80" s="10" t="n">
        <f aca="false">'2026 Forecast C'!G34</f>
        <v>0.387211367673179</v>
      </c>
      <c r="G80" s="38" t="n">
        <f aca="false">(MAX(D80:F80)-MIN(D80:F80))*100</f>
        <v>0.888099467140324</v>
      </c>
      <c r="H80" s="39" t="n">
        <f aca="false">'2026 Forecast A'!L34</f>
        <v>3.43333352273176</v>
      </c>
      <c r="I80" s="39" t="n">
        <f aca="false">'2026 Forecast B'!L34</f>
        <v>3.21167747490571</v>
      </c>
      <c r="J80" s="39" t="n">
        <f aca="false">'2026 Forecast C'!L34</f>
        <v>3.72283676191068</v>
      </c>
      <c r="K80" s="18" t="n">
        <f aca="false">'2026 Forecast A'!F34</f>
        <v>563</v>
      </c>
      <c r="L80" s="40" t="str">
        <f aca="false">IF(OR(AND(D80&gt;0.5,E80&gt;0.5,F80&gt;0.5),AND(D80&lt;0.5,E80&lt;0.5,F80&lt;0.5)),"Yes","No — toss-up")</f>
        <v>Yes</v>
      </c>
    </row>
    <row r="81" customFormat="false" ht="15" hidden="false" customHeight="false" outlineLevel="0" collapsed="false">
      <c r="A81" s="9" t="str">
        <f aca="false">'2026 Forecast A'!A35</f>
        <v>Carbon</v>
      </c>
      <c r="B81" s="9" t="str">
        <f aca="false">'2026 Forecast A'!B35</f>
        <v>LEHIGHTON BOROUGH</v>
      </c>
      <c r="C81" s="9" t="str">
        <f aca="false">'2026 Forecast A'!C35</f>
        <v>LEHIGHTON BOROUGH-3RD</v>
      </c>
      <c r="D81" s="10" t="n">
        <f aca="false">'2026 Forecast A'!G35</f>
        <v>0.392255892255892</v>
      </c>
      <c r="E81" s="10" t="n">
        <f aca="false">'2026 Forecast B'!G35</f>
        <v>0.395622895622896</v>
      </c>
      <c r="F81" s="10" t="n">
        <f aca="false">'2026 Forecast C'!G35</f>
        <v>0.385521885521886</v>
      </c>
      <c r="G81" s="38" t="n">
        <f aca="false">(MAX(D81:F81)-MIN(D81:F81))*100</f>
        <v>1.01010101010101</v>
      </c>
      <c r="H81" s="39" t="n">
        <f aca="false">'2026 Forecast A'!L35</f>
        <v>2.13789583153489</v>
      </c>
      <c r="I81" s="39" t="n">
        <f aca="false">'2026 Forecast B'!L35</f>
        <v>2.24475965619494</v>
      </c>
      <c r="J81" s="39" t="n">
        <f aca="false">'2026 Forecast C'!L35</f>
        <v>2.3915225360787</v>
      </c>
      <c r="K81" s="18" t="n">
        <f aca="false">'2026 Forecast A'!F35</f>
        <v>594</v>
      </c>
      <c r="L81" s="40" t="str">
        <f aca="false">IF(OR(AND(D81&gt;0.5,E81&gt;0.5,F81&gt;0.5),AND(D81&lt;0.5,E81&lt;0.5,F81&lt;0.5)),"Yes","No — toss-up")</f>
        <v>Yes</v>
      </c>
    </row>
    <row r="82" customFormat="false" ht="15" hidden="false" customHeight="false" outlineLevel="0" collapsed="false">
      <c r="A82" s="9" t="str">
        <f aca="false">'2026 Forecast A'!A36</f>
        <v>Carbon</v>
      </c>
      <c r="B82" s="9" t="str">
        <f aca="false">'2026 Forecast A'!B36</f>
        <v>LOWER TOWAMENSING TOWNSHIP</v>
      </c>
      <c r="C82" s="9" t="str">
        <f aca="false">'2026 Forecast A'!C36</f>
        <v>LOWER TOWAMENSING TWP.-NORTH</v>
      </c>
      <c r="D82" s="10" t="n">
        <f aca="false">'2026 Forecast A'!G36</f>
        <v>0.285542168674699</v>
      </c>
      <c r="E82" s="10" t="n">
        <f aca="false">'2026 Forecast B'!G36</f>
        <v>0.291566265060241</v>
      </c>
      <c r="F82" s="10" t="n">
        <f aca="false">'2026 Forecast C'!G36</f>
        <v>0.266265060240964</v>
      </c>
      <c r="G82" s="38" t="n">
        <f aca="false">(MAX(D82:F82)-MIN(D82:F82))*100</f>
        <v>2.53012048192771</v>
      </c>
      <c r="H82" s="39" t="n">
        <f aca="false">'2026 Forecast A'!L36</f>
        <v>2.13789583153489</v>
      </c>
      <c r="I82" s="39" t="n">
        <f aca="false">'2026 Forecast B'!L36</f>
        <v>2.24475965619494</v>
      </c>
      <c r="J82" s="39" t="n">
        <f aca="false">'2026 Forecast C'!L36</f>
        <v>2.3915225360787</v>
      </c>
      <c r="K82" s="18" t="n">
        <f aca="false">'2026 Forecast A'!F36</f>
        <v>830</v>
      </c>
      <c r="L82" s="40" t="str">
        <f aca="false">IF(OR(AND(D82&gt;0.5,E82&gt;0.5,F82&gt;0.5),AND(D82&lt;0.5,E82&lt;0.5,F82&lt;0.5)),"Yes","No — toss-up")</f>
        <v>Yes</v>
      </c>
    </row>
    <row r="83" customFormat="false" ht="15" hidden="false" customHeight="false" outlineLevel="0" collapsed="false">
      <c r="A83" s="9" t="str">
        <f aca="false">'2026 Forecast A'!A37</f>
        <v>Carbon</v>
      </c>
      <c r="B83" s="9" t="str">
        <f aca="false">'2026 Forecast A'!B37</f>
        <v>LOWER TOWAMENSING TOWNSHIP</v>
      </c>
      <c r="C83" s="9" t="str">
        <f aca="false">'2026 Forecast A'!C37</f>
        <v>LOWER TOWAMENSING TWP.-SOUTH</v>
      </c>
      <c r="D83" s="10" t="n">
        <f aca="false">'2026 Forecast A'!G37</f>
        <v>0.302977232924694</v>
      </c>
      <c r="E83" s="10" t="n">
        <f aca="false">'2026 Forecast B'!G37</f>
        <v>0.306479859894921</v>
      </c>
      <c r="F83" s="10" t="n">
        <f aca="false">'2026 Forecast C'!G37</f>
        <v>0.283712784588441</v>
      </c>
      <c r="G83" s="38" t="n">
        <f aca="false">(MAX(D83:F83)-MIN(D83:F83))*100</f>
        <v>2.27670753064799</v>
      </c>
      <c r="H83" s="39" t="n">
        <f aca="false">'2026 Forecast A'!L37</f>
        <v>3.43333352273176</v>
      </c>
      <c r="I83" s="39" t="n">
        <f aca="false">'2026 Forecast B'!L37</f>
        <v>3.21167747490571</v>
      </c>
      <c r="J83" s="39" t="n">
        <f aca="false">'2026 Forecast C'!L37</f>
        <v>3.72283676191068</v>
      </c>
      <c r="K83" s="18" t="n">
        <f aca="false">'2026 Forecast A'!F37</f>
        <v>571</v>
      </c>
      <c r="L83" s="40" t="str">
        <f aca="false">IF(OR(AND(D83&gt;0.5,E83&gt;0.5,F83&gt;0.5),AND(D83&lt;0.5,E83&lt;0.5,F83&lt;0.5)),"Yes","No — toss-up")</f>
        <v>Yes</v>
      </c>
    </row>
    <row r="84" customFormat="false" ht="15" hidden="false" customHeight="false" outlineLevel="0" collapsed="false">
      <c r="A84" s="9" t="str">
        <f aca="false">'2026 Forecast A'!A38</f>
        <v>Carbon</v>
      </c>
      <c r="B84" s="9" t="str">
        <f aca="false">'2026 Forecast A'!B38</f>
        <v>MAHONING TOWNSHIP</v>
      </c>
      <c r="C84" s="9" t="str">
        <f aca="false">'2026 Forecast A'!C38</f>
        <v>MAHONING TOWNSHIP - NEW MAHONING</v>
      </c>
      <c r="D84" s="10" t="n">
        <f aca="false">'2026 Forecast A'!G38</f>
        <v>0.26457399103139</v>
      </c>
      <c r="E84" s="10" t="n">
        <f aca="false">'2026 Forecast B'!G38</f>
        <v>0.269058295964126</v>
      </c>
      <c r="F84" s="10" t="n">
        <f aca="false">'2026 Forecast C'!G38</f>
        <v>0.246636771300448</v>
      </c>
      <c r="G84" s="38" t="n">
        <f aca="false">(MAX(D84:F84)-MIN(D84:F84))*100</f>
        <v>2.24215246636771</v>
      </c>
      <c r="H84" s="39" t="n">
        <f aca="false">'2026 Forecast A'!L38</f>
        <v>3.43333352273176</v>
      </c>
      <c r="I84" s="39" t="n">
        <f aca="false">'2026 Forecast B'!L38</f>
        <v>3.21167747490571</v>
      </c>
      <c r="J84" s="39" t="n">
        <f aca="false">'2026 Forecast C'!L38</f>
        <v>3.72283676191068</v>
      </c>
      <c r="K84" s="18" t="n">
        <f aca="false">'2026 Forecast A'!F38</f>
        <v>446</v>
      </c>
      <c r="L84" s="40" t="str">
        <f aca="false">IF(OR(AND(D84&gt;0.5,E84&gt;0.5,F84&gt;0.5),AND(D84&lt;0.5,E84&lt;0.5,F84&lt;0.5)),"Yes","No — toss-up")</f>
        <v>Yes</v>
      </c>
    </row>
    <row r="85" customFormat="false" ht="15" hidden="false" customHeight="false" outlineLevel="0" collapsed="false">
      <c r="A85" s="9" t="str">
        <f aca="false">'2026 Forecast A'!A39</f>
        <v>Carbon</v>
      </c>
      <c r="B85" s="9" t="str">
        <f aca="false">'2026 Forecast A'!B39</f>
        <v>MAHONING TOWNSHIP</v>
      </c>
      <c r="C85" s="9" t="str">
        <f aca="false">'2026 Forecast A'!C39</f>
        <v>MAHONING TOWNSHIP - PACKERTON/JAMESTOWN</v>
      </c>
      <c r="D85" s="10" t="n">
        <f aca="false">'2026 Forecast A'!G39</f>
        <v>0.295681063122924</v>
      </c>
      <c r="E85" s="10" t="n">
        <f aca="false">'2026 Forecast B'!G39</f>
        <v>0.302325581395349</v>
      </c>
      <c r="F85" s="10" t="n">
        <f aca="false">'2026 Forecast C'!G39</f>
        <v>0.27906976744186</v>
      </c>
      <c r="G85" s="38" t="n">
        <f aca="false">(MAX(D85:F85)-MIN(D85:F85))*100</f>
        <v>2.32558139534884</v>
      </c>
      <c r="H85" s="39" t="n">
        <f aca="false">'2026 Forecast A'!L39</f>
        <v>3.43333352273176</v>
      </c>
      <c r="I85" s="39" t="n">
        <f aca="false">'2026 Forecast B'!L39</f>
        <v>3.21167747490571</v>
      </c>
      <c r="J85" s="39" t="n">
        <f aca="false">'2026 Forecast C'!L39</f>
        <v>3.72283676191068</v>
      </c>
      <c r="K85" s="18" t="n">
        <f aca="false">'2026 Forecast A'!F39</f>
        <v>301</v>
      </c>
      <c r="L85" s="40" t="str">
        <f aca="false">IF(OR(AND(D85&gt;0.5,E85&gt;0.5,F85&gt;0.5),AND(D85&lt;0.5,E85&lt;0.5,F85&lt;0.5)),"Yes","No — toss-up")</f>
        <v>Yes</v>
      </c>
    </row>
    <row r="86" customFormat="false" ht="15" hidden="false" customHeight="false" outlineLevel="0" collapsed="false">
      <c r="A86" s="9" t="str">
        <f aca="false">'2026 Forecast A'!A40</f>
        <v>Carbon</v>
      </c>
      <c r="B86" s="9" t="str">
        <f aca="false">'2026 Forecast A'!B40</f>
        <v>MAHONING TOWNSHIP</v>
      </c>
      <c r="C86" s="9" t="str">
        <f aca="false">'2026 Forecast A'!C40</f>
        <v>MAHONING TOWNSHIP-MAHONING</v>
      </c>
      <c r="D86" s="10" t="n">
        <f aca="false">'2026 Forecast A'!G40</f>
        <v>0.296654929577465</v>
      </c>
      <c r="E86" s="10" t="n">
        <f aca="false">'2026 Forecast B'!G40</f>
        <v>0.300176056338028</v>
      </c>
      <c r="F86" s="10" t="n">
        <f aca="false">'2026 Forecast C'!G40</f>
        <v>0.279049295774648</v>
      </c>
      <c r="G86" s="38" t="n">
        <f aca="false">(MAX(D86:F86)-MIN(D86:F86))*100</f>
        <v>2.11267605633803</v>
      </c>
      <c r="H86" s="39" t="n">
        <f aca="false">'2026 Forecast A'!L40</f>
        <v>1.75369314833214</v>
      </c>
      <c r="I86" s="39" t="n">
        <f aca="false">'2026 Forecast B'!L40</f>
        <v>2.1038293183682</v>
      </c>
      <c r="J86" s="39" t="n">
        <f aca="false">'2026 Forecast C'!L40</f>
        <v>1.909243057213</v>
      </c>
      <c r="K86" s="18" t="n">
        <f aca="false">'2026 Forecast A'!F40</f>
        <v>1136</v>
      </c>
      <c r="L86" s="40" t="str">
        <f aca="false">IF(OR(AND(D86&gt;0.5,E86&gt;0.5,F86&gt;0.5),AND(D86&lt;0.5,E86&lt;0.5,F86&lt;0.5)),"Yes","No — toss-up")</f>
        <v>Yes</v>
      </c>
    </row>
    <row r="87" customFormat="false" ht="15" hidden="false" customHeight="false" outlineLevel="0" collapsed="false">
      <c r="A87" s="9" t="str">
        <f aca="false">'2026 Forecast A'!A41</f>
        <v>Carbon</v>
      </c>
      <c r="B87" s="9" t="str">
        <f aca="false">'2026 Forecast A'!B41</f>
        <v>NESQUEHONING BOROUGH</v>
      </c>
      <c r="C87" s="9" t="str">
        <f aca="false">'2026 Forecast A'!C41</f>
        <v>NESQUEHONING BOROUGH-EAST</v>
      </c>
      <c r="D87" s="10" t="n">
        <f aca="false">'2026 Forecast A'!G41</f>
        <v>0.416382252559727</v>
      </c>
      <c r="E87" s="10" t="n">
        <f aca="false">'2026 Forecast B'!G41</f>
        <v>0.409556313993174</v>
      </c>
      <c r="F87" s="10" t="n">
        <f aca="false">'2026 Forecast C'!G41</f>
        <v>0.404436860068259</v>
      </c>
      <c r="G87" s="38" t="n">
        <f aca="false">(MAX(D87:F87)-MIN(D87:F87))*100</f>
        <v>1.19453924914675</v>
      </c>
      <c r="H87" s="39" t="n">
        <f aca="false">'2026 Forecast A'!L41</f>
        <v>2.13789583153489</v>
      </c>
      <c r="I87" s="39" t="n">
        <f aca="false">'2026 Forecast B'!L41</f>
        <v>2.24475965619494</v>
      </c>
      <c r="J87" s="39" t="n">
        <f aca="false">'2026 Forecast C'!L41</f>
        <v>2.3915225360787</v>
      </c>
      <c r="K87" s="18" t="n">
        <f aca="false">'2026 Forecast A'!F41</f>
        <v>586</v>
      </c>
      <c r="L87" s="40" t="str">
        <f aca="false">IF(OR(AND(D87&gt;0.5,E87&gt;0.5,F87&gt;0.5),AND(D87&lt;0.5,E87&lt;0.5,F87&lt;0.5)),"Yes","No — toss-up")</f>
        <v>Yes</v>
      </c>
    </row>
    <row r="88" customFormat="false" ht="15" hidden="false" customHeight="false" outlineLevel="0" collapsed="false">
      <c r="A88" s="9" t="str">
        <f aca="false">'2026 Forecast A'!A42</f>
        <v>Carbon</v>
      </c>
      <c r="B88" s="9" t="str">
        <f aca="false">'2026 Forecast A'!B42</f>
        <v>NESQUEHONING BOROUGH</v>
      </c>
      <c r="C88" s="9" t="str">
        <f aca="false">'2026 Forecast A'!C42</f>
        <v>NESQUEHONING BOROUGH-WEST</v>
      </c>
      <c r="D88" s="10" t="n">
        <f aca="false">'2026 Forecast A'!G42</f>
        <v>0.399046104928458</v>
      </c>
      <c r="E88" s="10" t="n">
        <f aca="false">'2026 Forecast B'!G42</f>
        <v>0.400635930047695</v>
      </c>
      <c r="F88" s="10" t="n">
        <f aca="false">'2026 Forecast C'!G42</f>
        <v>0.389507154213037</v>
      </c>
      <c r="G88" s="38" t="n">
        <f aca="false">(MAX(D88:F88)-MIN(D88:F88))*100</f>
        <v>1.11287758346582</v>
      </c>
      <c r="H88" s="39" t="n">
        <f aca="false">'2026 Forecast A'!L42</f>
        <v>2.13789583153489</v>
      </c>
      <c r="I88" s="39" t="n">
        <f aca="false">'2026 Forecast B'!L42</f>
        <v>2.24475965619494</v>
      </c>
      <c r="J88" s="39" t="n">
        <f aca="false">'2026 Forecast C'!L42</f>
        <v>2.3915225360787</v>
      </c>
      <c r="K88" s="18" t="n">
        <f aca="false">'2026 Forecast A'!F42</f>
        <v>629</v>
      </c>
      <c r="L88" s="40" t="str">
        <f aca="false">IF(OR(AND(D88&gt;0.5,E88&gt;0.5,F88&gt;0.5),AND(D88&lt;0.5,E88&lt;0.5,F88&lt;0.5)),"Yes","No — toss-up")</f>
        <v>Yes</v>
      </c>
    </row>
    <row r="89" customFormat="false" ht="15" hidden="false" customHeight="false" outlineLevel="0" collapsed="false">
      <c r="A89" s="9" t="str">
        <f aca="false">'2026 Forecast A'!A43</f>
        <v>Carbon</v>
      </c>
      <c r="B89" s="9" t="str">
        <f aca="false">'2026 Forecast A'!B43</f>
        <v>PACKER TOWNSHIP</v>
      </c>
      <c r="C89" s="9" t="str">
        <f aca="false">'2026 Forecast A'!C43</f>
        <v>PACKER TOWNSHIP</v>
      </c>
      <c r="D89" s="10" t="n">
        <f aca="false">'2026 Forecast A'!G43</f>
        <v>0.209433962264151</v>
      </c>
      <c r="E89" s="10" t="n">
        <f aca="false">'2026 Forecast B'!G43</f>
        <v>0.207547169811321</v>
      </c>
      <c r="F89" s="10" t="n">
        <f aca="false">'2026 Forecast C'!G43</f>
        <v>0.188679245283019</v>
      </c>
      <c r="G89" s="38" t="n">
        <f aca="false">(MAX(D89:F89)-MIN(D89:F89))*100</f>
        <v>2.07547169811321</v>
      </c>
      <c r="H89" s="39" t="n">
        <f aca="false">'2026 Forecast A'!L43</f>
        <v>3.43333352273176</v>
      </c>
      <c r="I89" s="39" t="n">
        <f aca="false">'2026 Forecast B'!L43</f>
        <v>3.21167747490571</v>
      </c>
      <c r="J89" s="39" t="n">
        <f aca="false">'2026 Forecast C'!L43</f>
        <v>3.72283676191068</v>
      </c>
      <c r="K89" s="18" t="n">
        <f aca="false">'2026 Forecast A'!F43</f>
        <v>530</v>
      </c>
      <c r="L89" s="40" t="str">
        <f aca="false">IF(OR(AND(D89&gt;0.5,E89&gt;0.5,F89&gt;0.5),AND(D89&lt;0.5,E89&lt;0.5,F89&lt;0.5)),"Yes","No — toss-up")</f>
        <v>Yes</v>
      </c>
    </row>
    <row r="90" customFormat="false" ht="15" hidden="false" customHeight="false" outlineLevel="0" collapsed="false">
      <c r="A90" s="9" t="str">
        <f aca="false">'2026 Forecast A'!A44</f>
        <v>Carbon</v>
      </c>
      <c r="B90" s="9" t="str">
        <f aca="false">'2026 Forecast A'!B44</f>
        <v>PALMERTON BOROUGH</v>
      </c>
      <c r="C90" s="9" t="str">
        <f aca="false">'2026 Forecast A'!C44</f>
        <v>PALMERTON BOROUGH-EASTERN</v>
      </c>
      <c r="D90" s="10" t="n">
        <f aca="false">'2026 Forecast A'!G44</f>
        <v>0.338129496402878</v>
      </c>
      <c r="E90" s="10" t="n">
        <f aca="false">'2026 Forecast B'!G44</f>
        <v>0.341007194244604</v>
      </c>
      <c r="F90" s="10" t="n">
        <f aca="false">'2026 Forecast C'!G44</f>
        <v>0.323741007194245</v>
      </c>
      <c r="G90" s="38" t="n">
        <f aca="false">(MAX(D90:F90)-MIN(D90:F90))*100</f>
        <v>1.72661870503597</v>
      </c>
      <c r="H90" s="39" t="n">
        <f aca="false">'2026 Forecast A'!L44</f>
        <v>2.13789583153489</v>
      </c>
      <c r="I90" s="39" t="n">
        <f aca="false">'2026 Forecast B'!L44</f>
        <v>2.24475965619494</v>
      </c>
      <c r="J90" s="39" t="n">
        <f aca="false">'2026 Forecast C'!L44</f>
        <v>2.3915225360787</v>
      </c>
      <c r="K90" s="18" t="n">
        <f aca="false">'2026 Forecast A'!F44</f>
        <v>695</v>
      </c>
      <c r="L90" s="40" t="str">
        <f aca="false">IF(OR(AND(D90&gt;0.5,E90&gt;0.5,F90&gt;0.5),AND(D90&lt;0.5,E90&lt;0.5,F90&lt;0.5)),"Yes","No — toss-up")</f>
        <v>Yes</v>
      </c>
    </row>
    <row r="91" customFormat="false" ht="15" hidden="false" customHeight="false" outlineLevel="0" collapsed="false">
      <c r="A91" s="9" t="str">
        <f aca="false">'2026 Forecast A'!A45</f>
        <v>Carbon</v>
      </c>
      <c r="B91" s="9" t="str">
        <f aca="false">'2026 Forecast A'!B45</f>
        <v>PALMERTON BOROUGH</v>
      </c>
      <c r="C91" s="9" t="str">
        <f aca="false">'2026 Forecast A'!C45</f>
        <v>PALMERTON BOROUGH-MIDDLE</v>
      </c>
      <c r="D91" s="10" t="n">
        <f aca="false">'2026 Forecast A'!G45</f>
        <v>0.382113821138211</v>
      </c>
      <c r="E91" s="10" t="n">
        <f aca="false">'2026 Forecast B'!G45</f>
        <v>0.388211382113821</v>
      </c>
      <c r="F91" s="10" t="n">
        <f aca="false">'2026 Forecast C'!G45</f>
        <v>0.370934959349594</v>
      </c>
      <c r="G91" s="38" t="n">
        <f aca="false">(MAX(D91:F91)-MIN(D91:F91))*100</f>
        <v>1.72764227642276</v>
      </c>
      <c r="H91" s="39" t="n">
        <f aca="false">'2026 Forecast A'!L45</f>
        <v>1.75369314833214</v>
      </c>
      <c r="I91" s="39" t="n">
        <f aca="false">'2026 Forecast B'!L45</f>
        <v>2.1038293183682</v>
      </c>
      <c r="J91" s="39" t="n">
        <f aca="false">'2026 Forecast C'!L45</f>
        <v>1.909243057213</v>
      </c>
      <c r="K91" s="18" t="n">
        <f aca="false">'2026 Forecast A'!F45</f>
        <v>984</v>
      </c>
      <c r="L91" s="40" t="str">
        <f aca="false">IF(OR(AND(D91&gt;0.5,E91&gt;0.5,F91&gt;0.5),AND(D91&lt;0.5,E91&lt;0.5,F91&lt;0.5)),"Yes","No — toss-up")</f>
        <v>Yes</v>
      </c>
    </row>
    <row r="92" customFormat="false" ht="15" hidden="false" customHeight="false" outlineLevel="0" collapsed="false">
      <c r="A92" s="9" t="str">
        <f aca="false">'2026 Forecast A'!A46</f>
        <v>Carbon</v>
      </c>
      <c r="B92" s="9" t="str">
        <f aca="false">'2026 Forecast A'!B46</f>
        <v>PALMERTON BOROUGH</v>
      </c>
      <c r="C92" s="9" t="str">
        <f aca="false">'2026 Forecast A'!C46</f>
        <v>PALMERTON BOROUGH-WESTERN</v>
      </c>
      <c r="D92" s="10" t="n">
        <f aca="false">'2026 Forecast A'!G46</f>
        <v>0.35048231511254</v>
      </c>
      <c r="E92" s="10" t="n">
        <f aca="false">'2026 Forecast B'!G46</f>
        <v>0.356913183279743</v>
      </c>
      <c r="F92" s="10" t="n">
        <f aca="false">'2026 Forecast C'!G46</f>
        <v>0.334405144694534</v>
      </c>
      <c r="G92" s="38" t="n">
        <f aca="false">(MAX(D92:F92)-MIN(D92:F92))*100</f>
        <v>2.2508038585209</v>
      </c>
      <c r="H92" s="39" t="n">
        <f aca="false">'2026 Forecast A'!L46</f>
        <v>3.43333352273176</v>
      </c>
      <c r="I92" s="39" t="n">
        <f aca="false">'2026 Forecast B'!L46</f>
        <v>3.21167747490571</v>
      </c>
      <c r="J92" s="39" t="n">
        <f aca="false">'2026 Forecast C'!L46</f>
        <v>3.72283676191068</v>
      </c>
      <c r="K92" s="18" t="n">
        <f aca="false">'2026 Forecast A'!F46</f>
        <v>311</v>
      </c>
      <c r="L92" s="40" t="str">
        <f aca="false">IF(OR(AND(D92&gt;0.5,E92&gt;0.5,F92&gt;0.5),AND(D92&lt;0.5,E92&lt;0.5,F92&lt;0.5)),"Yes","No — toss-up")</f>
        <v>Yes</v>
      </c>
    </row>
    <row r="93" customFormat="false" ht="15" hidden="false" customHeight="false" outlineLevel="0" collapsed="false">
      <c r="A93" s="9" t="str">
        <f aca="false">'2026 Forecast A'!A47</f>
        <v>Carbon</v>
      </c>
      <c r="B93" s="9" t="str">
        <f aca="false">'2026 Forecast A'!B47</f>
        <v>PARRYVILLE BOROUGH</v>
      </c>
      <c r="C93" s="9" t="str">
        <f aca="false">'2026 Forecast A'!C47</f>
        <v>PARRYVILLE BOROUGH</v>
      </c>
      <c r="D93" s="10" t="n">
        <f aca="false">'2026 Forecast A'!G47</f>
        <v>0.318918918918919</v>
      </c>
      <c r="E93" s="10" t="n">
        <f aca="false">'2026 Forecast B'!G47</f>
        <v>0.313513513513514</v>
      </c>
      <c r="F93" s="10" t="n">
        <f aca="false">'2026 Forecast C'!G47</f>
        <v>0.302702702702703</v>
      </c>
      <c r="G93" s="38" t="n">
        <f aca="false">(MAX(D93:F93)-MIN(D93:F93))*100</f>
        <v>1.62162162162162</v>
      </c>
      <c r="H93" s="39" t="n">
        <f aca="false">'2026 Forecast A'!L47</f>
        <v>3.43333352273176</v>
      </c>
      <c r="I93" s="39" t="n">
        <f aca="false">'2026 Forecast B'!L47</f>
        <v>3.21167747490571</v>
      </c>
      <c r="J93" s="39" t="n">
        <f aca="false">'2026 Forecast C'!L47</f>
        <v>3.72283676191068</v>
      </c>
      <c r="K93" s="18" t="n">
        <f aca="false">'2026 Forecast A'!F47</f>
        <v>185</v>
      </c>
      <c r="L93" s="40" t="str">
        <f aca="false">IF(OR(AND(D93&gt;0.5,E93&gt;0.5,F93&gt;0.5),AND(D93&lt;0.5,E93&lt;0.5,F93&lt;0.5)),"Yes","No — toss-up")</f>
        <v>Yes</v>
      </c>
    </row>
    <row r="94" customFormat="false" ht="15" hidden="false" customHeight="false" outlineLevel="0" collapsed="false">
      <c r="A94" s="9" t="str">
        <f aca="false">'2026 Forecast A'!A48</f>
        <v>Carbon</v>
      </c>
      <c r="B94" s="9" t="str">
        <f aca="false">'2026 Forecast A'!B48</f>
        <v>PENN FOREST TOWNSHIP</v>
      </c>
      <c r="C94" s="9" t="str">
        <f aca="false">'2026 Forecast A'!C48</f>
        <v>PENN FOREST TOWNSHIP-EAST</v>
      </c>
      <c r="D94" s="10" t="n">
        <f aca="false">'2026 Forecast A'!G48</f>
        <v>0.379022646007151</v>
      </c>
      <c r="E94" s="10" t="n">
        <f aca="false">'2026 Forecast B'!G48</f>
        <v>0.379022646007151</v>
      </c>
      <c r="F94" s="10" t="n">
        <f aca="false">'2026 Forecast C'!G48</f>
        <v>0.367103694874851</v>
      </c>
      <c r="G94" s="38" t="n">
        <f aca="false">(MAX(D94:F94)-MIN(D94:F94))*100</f>
        <v>1.19189511323003</v>
      </c>
      <c r="H94" s="39" t="n">
        <f aca="false">'2026 Forecast A'!L48</f>
        <v>2.13789583153489</v>
      </c>
      <c r="I94" s="39" t="n">
        <f aca="false">'2026 Forecast B'!L48</f>
        <v>2.24475965619494</v>
      </c>
      <c r="J94" s="39" t="n">
        <f aca="false">'2026 Forecast C'!L48</f>
        <v>2.3915225360787</v>
      </c>
      <c r="K94" s="18" t="n">
        <f aca="false">'2026 Forecast A'!F48</f>
        <v>839</v>
      </c>
      <c r="L94" s="40" t="str">
        <f aca="false">IF(OR(AND(D94&gt;0.5,E94&gt;0.5,F94&gt;0.5),AND(D94&lt;0.5,E94&lt;0.5,F94&lt;0.5)),"Yes","No — toss-up")</f>
        <v>Yes</v>
      </c>
    </row>
    <row r="95" customFormat="false" ht="15" hidden="false" customHeight="false" outlineLevel="0" collapsed="false">
      <c r="A95" s="9" t="str">
        <f aca="false">'2026 Forecast A'!A49</f>
        <v>Carbon</v>
      </c>
      <c r="B95" s="9" t="str">
        <f aca="false">'2026 Forecast A'!B49</f>
        <v>PENN FOREST TOWNSHIP</v>
      </c>
      <c r="C95" s="9" t="str">
        <f aca="false">'2026 Forecast A'!C49</f>
        <v>PENN FOREST TOWNSHIP-MIDDLE</v>
      </c>
      <c r="D95" s="10" t="n">
        <f aca="false">'2026 Forecast A'!G49</f>
        <v>0.370199692780338</v>
      </c>
      <c r="E95" s="10" t="n">
        <f aca="false">'2026 Forecast B'!G49</f>
        <v>0.367127496159754</v>
      </c>
      <c r="F95" s="10" t="n">
        <f aca="false">'2026 Forecast C'!G49</f>
        <v>0.357910906298003</v>
      </c>
      <c r="G95" s="38" t="n">
        <f aca="false">(MAX(D95:F95)-MIN(D95:F95))*100</f>
        <v>1.22887864823348</v>
      </c>
      <c r="H95" s="39" t="n">
        <f aca="false">'2026 Forecast A'!L49</f>
        <v>2.13789583153489</v>
      </c>
      <c r="I95" s="39" t="n">
        <f aca="false">'2026 Forecast B'!L49</f>
        <v>2.24475965619494</v>
      </c>
      <c r="J95" s="39" t="n">
        <f aca="false">'2026 Forecast C'!L49</f>
        <v>2.3915225360787</v>
      </c>
      <c r="K95" s="18" t="n">
        <f aca="false">'2026 Forecast A'!F49</f>
        <v>651</v>
      </c>
      <c r="L95" s="40" t="str">
        <f aca="false">IF(OR(AND(D95&gt;0.5,E95&gt;0.5,F95&gt;0.5),AND(D95&lt;0.5,E95&lt;0.5,F95&lt;0.5)),"Yes","No — toss-up")</f>
        <v>Yes</v>
      </c>
    </row>
    <row r="96" customFormat="false" ht="15" hidden="false" customHeight="false" outlineLevel="0" collapsed="false">
      <c r="A96" s="9" t="str">
        <f aca="false">'2026 Forecast A'!A50</f>
        <v>Carbon</v>
      </c>
      <c r="B96" s="9" t="str">
        <f aca="false">'2026 Forecast A'!B50</f>
        <v>PENN FOREST TOWNSHIP</v>
      </c>
      <c r="C96" s="9" t="str">
        <f aca="false">'2026 Forecast A'!C50</f>
        <v>PENN FOREST TOWNSHIP-NORTH EAST</v>
      </c>
      <c r="D96" s="10" t="n">
        <f aca="false">'2026 Forecast A'!G50</f>
        <v>0.373544973544974</v>
      </c>
      <c r="E96" s="10" t="n">
        <f aca="false">'2026 Forecast B'!G50</f>
        <v>0.374603174603175</v>
      </c>
      <c r="F96" s="10" t="n">
        <f aca="false">'2026 Forecast C'!G50</f>
        <v>0.364021164021164</v>
      </c>
      <c r="G96" s="38" t="n">
        <f aca="false">(MAX(D96:F96)-MIN(D96:F96))*100</f>
        <v>1.05820105820106</v>
      </c>
      <c r="H96" s="39" t="n">
        <f aca="false">'2026 Forecast A'!L50</f>
        <v>1.75369314833214</v>
      </c>
      <c r="I96" s="39" t="n">
        <f aca="false">'2026 Forecast B'!L50</f>
        <v>2.1038293183682</v>
      </c>
      <c r="J96" s="39" t="n">
        <f aca="false">'2026 Forecast C'!L50</f>
        <v>1.909243057213</v>
      </c>
      <c r="K96" s="18" t="n">
        <f aca="false">'2026 Forecast A'!F50</f>
        <v>945</v>
      </c>
      <c r="L96" s="40" t="str">
        <f aca="false">IF(OR(AND(D96&gt;0.5,E96&gt;0.5,F96&gt;0.5),AND(D96&lt;0.5,E96&lt;0.5,F96&lt;0.5)),"Yes","No — toss-up")</f>
        <v>Yes</v>
      </c>
    </row>
    <row r="97" customFormat="false" ht="15" hidden="false" customHeight="false" outlineLevel="0" collapsed="false">
      <c r="A97" s="9" t="str">
        <f aca="false">'2026 Forecast A'!A51</f>
        <v>Carbon</v>
      </c>
      <c r="B97" s="9" t="str">
        <f aca="false">'2026 Forecast A'!B51</f>
        <v>PENN FOREST TOWNSHIP</v>
      </c>
      <c r="C97" s="9" t="str">
        <f aca="false">'2026 Forecast A'!C51</f>
        <v>PENN FOREST TOWNSHIP-NORTH WEST</v>
      </c>
      <c r="D97" s="10" t="n">
        <f aca="false">'2026 Forecast A'!G51</f>
        <v>0.32258064516129</v>
      </c>
      <c r="E97" s="10" t="n">
        <f aca="false">'2026 Forecast B'!G51</f>
        <v>0.327060931899642</v>
      </c>
      <c r="F97" s="10" t="n">
        <f aca="false">'2026 Forecast C'!G51</f>
        <v>0.308243727598566</v>
      </c>
      <c r="G97" s="38" t="n">
        <f aca="false">(MAX(D97:F97)-MIN(D97:F97))*100</f>
        <v>1.88172043010753</v>
      </c>
      <c r="H97" s="39" t="n">
        <f aca="false">'2026 Forecast A'!L51</f>
        <v>1.75369314833214</v>
      </c>
      <c r="I97" s="39" t="n">
        <f aca="false">'2026 Forecast B'!L51</f>
        <v>2.1038293183682</v>
      </c>
      <c r="J97" s="39" t="n">
        <f aca="false">'2026 Forecast C'!L51</f>
        <v>1.909243057213</v>
      </c>
      <c r="K97" s="18" t="n">
        <f aca="false">'2026 Forecast A'!F51</f>
        <v>1116</v>
      </c>
      <c r="L97" s="40" t="str">
        <f aca="false">IF(OR(AND(D97&gt;0.5,E97&gt;0.5,F97&gt;0.5),AND(D97&lt;0.5,E97&lt;0.5,F97&lt;0.5)),"Yes","No — toss-up")</f>
        <v>Yes</v>
      </c>
    </row>
    <row r="98" customFormat="false" ht="15" hidden="false" customHeight="false" outlineLevel="0" collapsed="false">
      <c r="A98" s="9" t="str">
        <f aca="false">'2026 Forecast A'!A52</f>
        <v>Carbon</v>
      </c>
      <c r="B98" s="9" t="str">
        <f aca="false">'2026 Forecast A'!B52</f>
        <v>PENN FOREST TOWNSHIP</v>
      </c>
      <c r="C98" s="9" t="str">
        <f aca="false">'2026 Forecast A'!C52</f>
        <v>PENN FOREST TOWNSHIP-SOUTH WEST</v>
      </c>
      <c r="D98" s="10" t="n">
        <f aca="false">'2026 Forecast A'!G52</f>
        <v>0.359442060085837</v>
      </c>
      <c r="E98" s="10" t="n">
        <f aca="false">'2026 Forecast B'!G52</f>
        <v>0.358369098712446</v>
      </c>
      <c r="F98" s="10" t="n">
        <f aca="false">'2026 Forecast C'!G52</f>
        <v>0.348712446351931</v>
      </c>
      <c r="G98" s="38" t="n">
        <f aca="false">(MAX(D98:F98)-MIN(D98:F98))*100</f>
        <v>1.07296137339056</v>
      </c>
      <c r="H98" s="39" t="n">
        <f aca="false">'2026 Forecast A'!L52</f>
        <v>2.13789583153489</v>
      </c>
      <c r="I98" s="39" t="n">
        <f aca="false">'2026 Forecast B'!L52</f>
        <v>2.24475965619494</v>
      </c>
      <c r="J98" s="39" t="n">
        <f aca="false">'2026 Forecast C'!L52</f>
        <v>2.3915225360787</v>
      </c>
      <c r="K98" s="18" t="n">
        <f aca="false">'2026 Forecast A'!F52</f>
        <v>932</v>
      </c>
      <c r="L98" s="40" t="str">
        <f aca="false">IF(OR(AND(D98&gt;0.5,E98&gt;0.5,F98&gt;0.5),AND(D98&lt;0.5,E98&lt;0.5,F98&lt;0.5)),"Yes","No — toss-up")</f>
        <v>Yes</v>
      </c>
    </row>
    <row r="99" customFormat="false" ht="15" hidden="false" customHeight="false" outlineLevel="0" collapsed="false">
      <c r="A99" s="9" t="str">
        <f aca="false">'2026 Forecast A'!A53</f>
        <v>Carbon</v>
      </c>
      <c r="B99" s="9" t="str">
        <f aca="false">'2026 Forecast A'!B53</f>
        <v>SUMMIT HILL BOROUGH</v>
      </c>
      <c r="C99" s="9" t="str">
        <f aca="false">'2026 Forecast A'!C53</f>
        <v>SUMMIT HILL BOROUGH-1ST</v>
      </c>
      <c r="D99" s="10" t="n">
        <f aca="false">'2026 Forecast A'!G53</f>
        <v>0.467105263157895</v>
      </c>
      <c r="E99" s="10" t="n">
        <f aca="false">'2026 Forecast B'!G53</f>
        <v>0.470394736842105</v>
      </c>
      <c r="F99" s="10" t="n">
        <f aca="false">'2026 Forecast C'!G53</f>
        <v>0.463815789473684</v>
      </c>
      <c r="G99" s="38" t="n">
        <f aca="false">(MAX(D99:F99)-MIN(D99:F99))*100</f>
        <v>0.657894736842102</v>
      </c>
      <c r="H99" s="39" t="n">
        <f aca="false">'2026 Forecast A'!L53</f>
        <v>3.43333352273176</v>
      </c>
      <c r="I99" s="39" t="n">
        <f aca="false">'2026 Forecast B'!L53</f>
        <v>3.21167747490571</v>
      </c>
      <c r="J99" s="39" t="n">
        <f aca="false">'2026 Forecast C'!L53</f>
        <v>3.72283676191068</v>
      </c>
      <c r="K99" s="18" t="n">
        <f aca="false">'2026 Forecast A'!F53</f>
        <v>304</v>
      </c>
      <c r="L99" s="40" t="str">
        <f aca="false">IF(OR(AND(D99&gt;0.5,E99&gt;0.5,F99&gt;0.5),AND(D99&lt;0.5,E99&lt;0.5,F99&lt;0.5)),"Yes","No — toss-up")</f>
        <v>Yes</v>
      </c>
    </row>
    <row r="100" customFormat="false" ht="15" hidden="false" customHeight="false" outlineLevel="0" collapsed="false">
      <c r="A100" s="9" t="str">
        <f aca="false">'2026 Forecast A'!A54</f>
        <v>Carbon</v>
      </c>
      <c r="B100" s="9" t="str">
        <f aca="false">'2026 Forecast A'!B54</f>
        <v>SUMMIT HILL BOROUGH</v>
      </c>
      <c r="C100" s="9" t="str">
        <f aca="false">'2026 Forecast A'!C54</f>
        <v>SUMMIT HILL BOROUGH-2ND</v>
      </c>
      <c r="D100" s="10" t="n">
        <f aca="false">'2026 Forecast A'!G54</f>
        <v>0.471976401179941</v>
      </c>
      <c r="E100" s="10" t="n">
        <f aca="false">'2026 Forecast B'!G54</f>
        <v>0.486725663716814</v>
      </c>
      <c r="F100" s="10" t="n">
        <f aca="false">'2026 Forecast C'!G54</f>
        <v>0.471976401179941</v>
      </c>
      <c r="G100" s="38" t="n">
        <f aca="false">(MAX(D100:F100)-MIN(D100:F100))*100</f>
        <v>1.47492625368731</v>
      </c>
      <c r="H100" s="39" t="n">
        <f aca="false">'2026 Forecast A'!L54</f>
        <v>3.43333352273176</v>
      </c>
      <c r="I100" s="39" t="n">
        <f aca="false">'2026 Forecast B'!L54</f>
        <v>3.21167747490571</v>
      </c>
      <c r="J100" s="39" t="n">
        <f aca="false">'2026 Forecast C'!L54</f>
        <v>3.72283676191068</v>
      </c>
      <c r="K100" s="18" t="n">
        <f aca="false">'2026 Forecast A'!F54</f>
        <v>339</v>
      </c>
      <c r="L100" s="40" t="str">
        <f aca="false">IF(OR(AND(D100&gt;0.5,E100&gt;0.5,F100&gt;0.5),AND(D100&lt;0.5,E100&lt;0.5,F100&lt;0.5)),"Yes","No — toss-up")</f>
        <v>Yes</v>
      </c>
    </row>
    <row r="101" customFormat="false" ht="15" hidden="false" customHeight="false" outlineLevel="0" collapsed="false">
      <c r="A101" s="9" t="str">
        <f aca="false">'2026 Forecast A'!A55</f>
        <v>Carbon</v>
      </c>
      <c r="B101" s="9" t="str">
        <f aca="false">'2026 Forecast A'!B55</f>
        <v>SUMMIT HILL BOROUGH</v>
      </c>
      <c r="C101" s="9" t="str">
        <f aca="false">'2026 Forecast A'!C55</f>
        <v>SUMMIT HILL BOROUGH-3RD/2ND</v>
      </c>
      <c r="D101" s="10" t="n">
        <f aca="false">'2026 Forecast A'!G55</f>
        <v>0.37037037037037</v>
      </c>
      <c r="E101" s="10" t="n">
        <f aca="false">'2026 Forecast B'!G55</f>
        <v>0.378600823045268</v>
      </c>
      <c r="F101" s="10" t="n">
        <f aca="false">'2026 Forecast C'!G55</f>
        <v>0.362139917695473</v>
      </c>
      <c r="G101" s="38" t="n">
        <f aca="false">(MAX(D101:F101)-MIN(D101:F101))*100</f>
        <v>1.64609053497942</v>
      </c>
      <c r="H101" s="39" t="n">
        <f aca="false">'2026 Forecast A'!L55</f>
        <v>3.43333352273176</v>
      </c>
      <c r="I101" s="39" t="n">
        <f aca="false">'2026 Forecast B'!L55</f>
        <v>3.21167747490571</v>
      </c>
      <c r="J101" s="39" t="n">
        <f aca="false">'2026 Forecast C'!L55</f>
        <v>3.72283676191068</v>
      </c>
      <c r="K101" s="18" t="n">
        <f aca="false">'2026 Forecast A'!F55</f>
        <v>243</v>
      </c>
      <c r="L101" s="40" t="str">
        <f aca="false">IF(OR(AND(D101&gt;0.5,E101&gt;0.5,F101&gt;0.5),AND(D101&lt;0.5,E101&lt;0.5,F101&lt;0.5)),"Yes","No — toss-up")</f>
        <v>Yes</v>
      </c>
    </row>
    <row r="102" customFormat="false" ht="15" hidden="false" customHeight="false" outlineLevel="0" collapsed="false">
      <c r="A102" s="9" t="str">
        <f aca="false">'2026 Forecast A'!A56</f>
        <v>Carbon</v>
      </c>
      <c r="B102" s="9" t="str">
        <f aca="false">'2026 Forecast A'!B56</f>
        <v>SUMMIT HILL BOROUGH</v>
      </c>
      <c r="C102" s="9" t="str">
        <f aca="false">'2026 Forecast A'!C56</f>
        <v>SUMMIT HILL-3RD/1ST DIST</v>
      </c>
      <c r="D102" s="10" t="n">
        <f aca="false">'2026 Forecast A'!G56</f>
        <v>0.412345679012346</v>
      </c>
      <c r="E102" s="10" t="n">
        <f aca="false">'2026 Forecast B'!G56</f>
        <v>0.412345679012346</v>
      </c>
      <c r="F102" s="10" t="n">
        <f aca="false">'2026 Forecast C'!G56</f>
        <v>0.404938271604938</v>
      </c>
      <c r="G102" s="38" t="n">
        <f aca="false">(MAX(D102:F102)-MIN(D102:F102))*100</f>
        <v>0.740740740740742</v>
      </c>
      <c r="H102" s="39" t="n">
        <f aca="false">'2026 Forecast A'!L56</f>
        <v>3.43333352273176</v>
      </c>
      <c r="I102" s="39" t="n">
        <f aca="false">'2026 Forecast B'!L56</f>
        <v>3.21167747490571</v>
      </c>
      <c r="J102" s="39" t="n">
        <f aca="false">'2026 Forecast C'!L56</f>
        <v>3.72283676191068</v>
      </c>
      <c r="K102" s="18" t="n">
        <f aca="false">'2026 Forecast A'!F56</f>
        <v>405</v>
      </c>
      <c r="L102" s="40" t="str">
        <f aca="false">IF(OR(AND(D102&gt;0.5,E102&gt;0.5,F102&gt;0.5),AND(D102&lt;0.5,E102&lt;0.5,F102&lt;0.5)),"Yes","No — toss-up")</f>
        <v>Yes</v>
      </c>
    </row>
    <row r="103" customFormat="false" ht="15" hidden="false" customHeight="false" outlineLevel="0" collapsed="false">
      <c r="A103" s="9" t="str">
        <f aca="false">'2026 Forecast A'!A57</f>
        <v>Carbon</v>
      </c>
      <c r="B103" s="9" t="str">
        <f aca="false">'2026 Forecast A'!B57</f>
        <v>TOWAMENSING TOWNSHIP</v>
      </c>
      <c r="C103" s="9" t="str">
        <f aca="false">'2026 Forecast A'!C57</f>
        <v>TOWAMENSING TOWNSHIP-NORTH</v>
      </c>
      <c r="D103" s="10" t="n">
        <f aca="false">'2026 Forecast A'!G57</f>
        <v>0.312987012987013</v>
      </c>
      <c r="E103" s="10" t="n">
        <f aca="false">'2026 Forecast B'!G57</f>
        <v>0.312987012987013</v>
      </c>
      <c r="F103" s="10" t="n">
        <f aca="false">'2026 Forecast C'!G57</f>
        <v>0.294805194805195</v>
      </c>
      <c r="G103" s="38" t="n">
        <f aca="false">(MAX(D103:F103)-MIN(D103:F103))*100</f>
        <v>1.81818181818182</v>
      </c>
      <c r="H103" s="39" t="n">
        <f aca="false">'2026 Forecast A'!L57</f>
        <v>2.13789583153489</v>
      </c>
      <c r="I103" s="39" t="n">
        <f aca="false">'2026 Forecast B'!L57</f>
        <v>2.24475965619494</v>
      </c>
      <c r="J103" s="39" t="n">
        <f aca="false">'2026 Forecast C'!L57</f>
        <v>2.3915225360787</v>
      </c>
      <c r="K103" s="18" t="n">
        <f aca="false">'2026 Forecast A'!F57</f>
        <v>770</v>
      </c>
      <c r="L103" s="40" t="str">
        <f aca="false">IF(OR(AND(D103&gt;0.5,E103&gt;0.5,F103&gt;0.5),AND(D103&lt;0.5,E103&lt;0.5,F103&lt;0.5)),"Yes","No — toss-up")</f>
        <v>Yes</v>
      </c>
    </row>
    <row r="104" customFormat="false" ht="15" hidden="false" customHeight="false" outlineLevel="0" collapsed="false">
      <c r="A104" s="9" t="str">
        <f aca="false">'2026 Forecast A'!A58</f>
        <v>Carbon</v>
      </c>
      <c r="B104" s="9" t="str">
        <f aca="false">'2026 Forecast A'!B58</f>
        <v>TOWAMENSING TOWNSHIP</v>
      </c>
      <c r="C104" s="9" t="str">
        <f aca="false">'2026 Forecast A'!C58</f>
        <v>TOWAMENSING TOWNSHIP-SOUTH-1</v>
      </c>
      <c r="D104" s="10" t="n">
        <f aca="false">'2026 Forecast A'!G58</f>
        <v>0.27735368956743</v>
      </c>
      <c r="E104" s="10" t="n">
        <f aca="false">'2026 Forecast B'!G58</f>
        <v>0.283715012722646</v>
      </c>
      <c r="F104" s="10" t="n">
        <f aca="false">'2026 Forecast C'!G58</f>
        <v>0.256997455470738</v>
      </c>
      <c r="G104" s="38" t="n">
        <f aca="false">(MAX(D104:F104)-MIN(D104:F104))*100</f>
        <v>2.67175572519084</v>
      </c>
      <c r="H104" s="39" t="n">
        <f aca="false">'2026 Forecast A'!L58</f>
        <v>2.13789583153489</v>
      </c>
      <c r="I104" s="39" t="n">
        <f aca="false">'2026 Forecast B'!L58</f>
        <v>2.24475965619494</v>
      </c>
      <c r="J104" s="39" t="n">
        <f aca="false">'2026 Forecast C'!L58</f>
        <v>2.3915225360787</v>
      </c>
      <c r="K104" s="18" t="n">
        <f aca="false">'2026 Forecast A'!F58</f>
        <v>786</v>
      </c>
      <c r="L104" s="40" t="str">
        <f aca="false">IF(OR(AND(D104&gt;0.5,E104&gt;0.5,F104&gt;0.5),AND(D104&lt;0.5,E104&lt;0.5,F104&lt;0.5)),"Yes","No — toss-up")</f>
        <v>Yes</v>
      </c>
    </row>
    <row r="105" customFormat="false" ht="15" hidden="false" customHeight="false" outlineLevel="0" collapsed="false">
      <c r="A105" s="9" t="str">
        <f aca="false">'2026 Forecast A'!A59</f>
        <v>Carbon</v>
      </c>
      <c r="B105" s="9" t="str">
        <f aca="false">'2026 Forecast A'!B59</f>
        <v>TOWAMENSING TOWNSHIP</v>
      </c>
      <c r="C105" s="9" t="str">
        <f aca="false">'2026 Forecast A'!C59</f>
        <v>TOWAMENSING TOWNSHIP-SOUTH-2</v>
      </c>
      <c r="D105" s="10" t="n">
        <f aca="false">'2026 Forecast A'!G59</f>
        <v>0.286733238231098</v>
      </c>
      <c r="E105" s="10" t="n">
        <f aca="false">'2026 Forecast B'!G59</f>
        <v>0.291012838801712</v>
      </c>
      <c r="F105" s="10" t="n">
        <f aca="false">'2026 Forecast C'!G59</f>
        <v>0.268188302425107</v>
      </c>
      <c r="G105" s="38" t="n">
        <f aca="false">(MAX(D105:F105)-MIN(D105:F105))*100</f>
        <v>2.28245363766049</v>
      </c>
      <c r="H105" s="39" t="n">
        <f aca="false">'2026 Forecast A'!L59</f>
        <v>2.13789583153489</v>
      </c>
      <c r="I105" s="39" t="n">
        <f aca="false">'2026 Forecast B'!L59</f>
        <v>2.24475965619494</v>
      </c>
      <c r="J105" s="39" t="n">
        <f aca="false">'2026 Forecast C'!L59</f>
        <v>2.3915225360787</v>
      </c>
      <c r="K105" s="18" t="n">
        <f aca="false">'2026 Forecast A'!F59</f>
        <v>701</v>
      </c>
      <c r="L105" s="40" t="str">
        <f aca="false">IF(OR(AND(D105&gt;0.5,E105&gt;0.5,F105&gt;0.5),AND(D105&lt;0.5,E105&lt;0.5,F105&lt;0.5)),"Yes","No — toss-up")</f>
        <v>Yes</v>
      </c>
    </row>
    <row r="106" customFormat="false" ht="15" hidden="false" customHeight="false" outlineLevel="0" collapsed="false">
      <c r="A106" s="9" t="str">
        <f aca="false">'2026 Forecast A'!A60</f>
        <v>Carbon</v>
      </c>
      <c r="B106" s="9" t="str">
        <f aca="false">'2026 Forecast A'!B60</f>
        <v>WEATHERLY BOROUGH</v>
      </c>
      <c r="C106" s="9" t="str">
        <f aca="false">'2026 Forecast A'!C60</f>
        <v>WEATHERLY BOROUGH-EAST</v>
      </c>
      <c r="D106" s="10" t="n">
        <f aca="false">'2026 Forecast A'!G60</f>
        <v>0.299500831946755</v>
      </c>
      <c r="E106" s="10" t="n">
        <f aca="false">'2026 Forecast B'!G60</f>
        <v>0.304492512479201</v>
      </c>
      <c r="F106" s="10" t="n">
        <f aca="false">'2026 Forecast C'!G60</f>
        <v>0.281198003327787</v>
      </c>
      <c r="G106" s="38" t="n">
        <f aca="false">(MAX(D106:F106)-MIN(D106:F106))*100</f>
        <v>2.32945091514143</v>
      </c>
      <c r="H106" s="39" t="n">
        <f aca="false">'2026 Forecast A'!L60</f>
        <v>2.13789583153489</v>
      </c>
      <c r="I106" s="39" t="n">
        <f aca="false">'2026 Forecast B'!L60</f>
        <v>2.24475965619494</v>
      </c>
      <c r="J106" s="39" t="n">
        <f aca="false">'2026 Forecast C'!L60</f>
        <v>2.3915225360787</v>
      </c>
      <c r="K106" s="18" t="n">
        <f aca="false">'2026 Forecast A'!F60</f>
        <v>601</v>
      </c>
      <c r="L106" s="40" t="str">
        <f aca="false">IF(OR(AND(D106&gt;0.5,E106&gt;0.5,F106&gt;0.5),AND(D106&lt;0.5,E106&lt;0.5,F106&lt;0.5)),"Yes","No — toss-up")</f>
        <v>Yes</v>
      </c>
    </row>
    <row r="107" customFormat="false" ht="15" hidden="false" customHeight="false" outlineLevel="0" collapsed="false">
      <c r="A107" s="9" t="str">
        <f aca="false">'2026 Forecast A'!A61</f>
        <v>Carbon</v>
      </c>
      <c r="B107" s="9" t="str">
        <f aca="false">'2026 Forecast A'!B61</f>
        <v>WEATHERLY BOROUGH</v>
      </c>
      <c r="C107" s="9" t="str">
        <f aca="false">'2026 Forecast A'!C61</f>
        <v>WEATHERLY BOROUGH-WEST</v>
      </c>
      <c r="D107" s="10" t="n">
        <f aca="false">'2026 Forecast A'!G61</f>
        <v>0.282051282051282</v>
      </c>
      <c r="E107" s="10" t="n">
        <f aca="false">'2026 Forecast B'!G61</f>
        <v>0.291666666666667</v>
      </c>
      <c r="F107" s="10" t="n">
        <f aca="false">'2026 Forecast C'!G61</f>
        <v>0.262820512820513</v>
      </c>
      <c r="G107" s="38" t="n">
        <f aca="false">(MAX(D107:F107)-MIN(D107:F107))*100</f>
        <v>2.88461538461539</v>
      </c>
      <c r="H107" s="39" t="n">
        <f aca="false">'2026 Forecast A'!L61</f>
        <v>3.43333352273176</v>
      </c>
      <c r="I107" s="39" t="n">
        <f aca="false">'2026 Forecast B'!L61</f>
        <v>3.21167747490571</v>
      </c>
      <c r="J107" s="39" t="n">
        <f aca="false">'2026 Forecast C'!L61</f>
        <v>3.72283676191068</v>
      </c>
      <c r="K107" s="18" t="n">
        <f aca="false">'2026 Forecast A'!F61</f>
        <v>312</v>
      </c>
      <c r="L107" s="40" t="str">
        <f aca="false">IF(OR(AND(D107&gt;0.5,E107&gt;0.5,F107&gt;0.5),AND(D107&lt;0.5,E107&lt;0.5,F107&lt;0.5)),"Yes","No — toss-up")</f>
        <v>Yes</v>
      </c>
    </row>
    <row r="108" customFormat="false" ht="15" hidden="false" customHeight="false" outlineLevel="0" collapsed="false">
      <c r="A108" s="9" t="str">
        <f aca="false">'2026 Forecast A'!A62</f>
        <v>Carbon</v>
      </c>
      <c r="B108" s="9" t="str">
        <f aca="false">'2026 Forecast A'!B62</f>
        <v>WEISSPORT BOROUGH</v>
      </c>
      <c r="C108" s="9" t="str">
        <f aca="false">'2026 Forecast A'!C62</f>
        <v>WEISSPORT BOROUGH</v>
      </c>
      <c r="D108" s="10" t="n">
        <f aca="false">'2026 Forecast A'!G62</f>
        <v>0.364485981308411</v>
      </c>
      <c r="E108" s="10" t="n">
        <f aca="false">'2026 Forecast B'!G62</f>
        <v>0.373831775700935</v>
      </c>
      <c r="F108" s="10" t="n">
        <f aca="false">'2026 Forecast C'!G62</f>
        <v>0.355140186915888</v>
      </c>
      <c r="G108" s="38" t="n">
        <f aca="false">(MAX(D108:F108)-MIN(D108:F108))*100</f>
        <v>1.86915887850467</v>
      </c>
      <c r="H108" s="39" t="n">
        <f aca="false">'2026 Forecast A'!L62</f>
        <v>3.43333352273176</v>
      </c>
      <c r="I108" s="39" t="n">
        <f aca="false">'2026 Forecast B'!L62</f>
        <v>3.21167747490571</v>
      </c>
      <c r="J108" s="39" t="n">
        <f aca="false">'2026 Forecast C'!L62</f>
        <v>3.72283676191068</v>
      </c>
      <c r="K108" s="18" t="n">
        <f aca="false">'2026 Forecast A'!F62</f>
        <v>107</v>
      </c>
      <c r="L108" s="40" t="str">
        <f aca="false">IF(OR(AND(D108&gt;0.5,E108&gt;0.5,F108&gt;0.5),AND(D108&lt;0.5,E108&lt;0.5,F108&lt;0.5)),"Yes","No — toss-up")</f>
        <v>Yes</v>
      </c>
    </row>
    <row r="109" customFormat="false" ht="15" hidden="false" customHeight="false" outlineLevel="0" collapsed="false">
      <c r="A109" s="9" t="str">
        <f aca="false">'2026 Forecast A'!A63</f>
        <v>Lehigh</v>
      </c>
      <c r="B109" s="9" t="str">
        <f aca="false">'2026 Forecast A'!B63</f>
        <v>ALBURTIS</v>
      </c>
      <c r="C109" s="9" t="str">
        <f aca="false">'2026 Forecast A'!C63</f>
        <v>ALBURTIS</v>
      </c>
      <c r="D109" s="10" t="n">
        <f aca="false">'2026 Forecast A'!G63</f>
        <v>0.462770970782281</v>
      </c>
      <c r="E109" s="10" t="n">
        <f aca="false">'2026 Forecast B'!G63</f>
        <v>0.461828463713478</v>
      </c>
      <c r="F109" s="10" t="n">
        <f aca="false">'2026 Forecast C'!G63</f>
        <v>0.457115928369463</v>
      </c>
      <c r="G109" s="38" t="n">
        <f aca="false">(MAX(D109:F109)-MIN(D109:F109))*100</f>
        <v>0.565504241281806</v>
      </c>
      <c r="H109" s="39" t="n">
        <f aca="false">'2026 Forecast A'!L63</f>
        <v>1.75369314833214</v>
      </c>
      <c r="I109" s="39" t="n">
        <f aca="false">'2026 Forecast B'!L63</f>
        <v>2.1038293183682</v>
      </c>
      <c r="J109" s="39" t="n">
        <f aca="false">'2026 Forecast C'!L63</f>
        <v>1.909243057213</v>
      </c>
      <c r="K109" s="18" t="n">
        <f aca="false">'2026 Forecast A'!F63</f>
        <v>1061</v>
      </c>
      <c r="L109" s="40" t="str">
        <f aca="false">IF(OR(AND(D109&gt;0.5,E109&gt;0.5,F109&gt;0.5),AND(D109&lt;0.5,E109&lt;0.5,F109&lt;0.5)),"Yes","No — toss-up")</f>
        <v>Yes</v>
      </c>
    </row>
    <row r="110" customFormat="false" ht="15" hidden="false" customHeight="false" outlineLevel="0" collapsed="false">
      <c r="A110" s="9" t="str">
        <f aca="false">'2026 Forecast A'!A64</f>
        <v>Lehigh</v>
      </c>
      <c r="B110" s="9" t="str">
        <f aca="false">'2026 Forecast A'!B64</f>
        <v>ALLENTOWN</v>
      </c>
      <c r="C110" s="9" t="str">
        <f aca="false">'2026 Forecast A'!C64</f>
        <v>ALLENTOWN 10TH WARD 1ST DIST</v>
      </c>
      <c r="D110" s="10" t="n">
        <f aca="false">'2026 Forecast A'!G64</f>
        <v>0.710914454277286</v>
      </c>
      <c r="E110" s="10" t="n">
        <f aca="false">'2026 Forecast B'!G64</f>
        <v>0.696165191740413</v>
      </c>
      <c r="F110" s="10" t="n">
        <f aca="false">'2026 Forecast C'!G64</f>
        <v>0.722713864306785</v>
      </c>
      <c r="G110" s="38" t="n">
        <f aca="false">(MAX(D110:F110)-MIN(D110:F110))*100</f>
        <v>2.65486725663716</v>
      </c>
      <c r="H110" s="39" t="n">
        <f aca="false">'2026 Forecast A'!L64</f>
        <v>3.43333352273176</v>
      </c>
      <c r="I110" s="39" t="n">
        <f aca="false">'2026 Forecast B'!L64</f>
        <v>3.21167747490571</v>
      </c>
      <c r="J110" s="39" t="n">
        <f aca="false">'2026 Forecast C'!L64</f>
        <v>3.72283676191068</v>
      </c>
      <c r="K110" s="18" t="n">
        <f aca="false">'2026 Forecast A'!F64</f>
        <v>339</v>
      </c>
      <c r="L110" s="40" t="str">
        <f aca="false">IF(OR(AND(D110&gt;0.5,E110&gt;0.5,F110&gt;0.5),AND(D110&lt;0.5,E110&lt;0.5,F110&lt;0.5)),"Yes","No — toss-up")</f>
        <v>Yes</v>
      </c>
    </row>
    <row r="111" customFormat="false" ht="15" hidden="false" customHeight="false" outlineLevel="0" collapsed="false">
      <c r="A111" s="9" t="str">
        <f aca="false">'2026 Forecast A'!A65</f>
        <v>Lehigh</v>
      </c>
      <c r="B111" s="9" t="str">
        <f aca="false">'2026 Forecast A'!B65</f>
        <v>ALLENTOWN</v>
      </c>
      <c r="C111" s="9" t="str">
        <f aca="false">'2026 Forecast A'!C65</f>
        <v>ALLENTOWN 10TH WARD 3RD DIST</v>
      </c>
      <c r="D111" s="10" t="n">
        <f aca="false">'2026 Forecast A'!G65</f>
        <v>0.661691542288557</v>
      </c>
      <c r="E111" s="10" t="n">
        <f aca="false">'2026 Forecast B'!G65</f>
        <v>0.671641791044776</v>
      </c>
      <c r="F111" s="10" t="n">
        <f aca="false">'2026 Forecast C'!G65</f>
        <v>0.676616915422886</v>
      </c>
      <c r="G111" s="38" t="n">
        <f aca="false">(MAX(D111:F111)-MIN(D111:F111))*100</f>
        <v>1.49253731343284</v>
      </c>
      <c r="H111" s="39" t="n">
        <f aca="false">'2026 Forecast A'!L65</f>
        <v>3.43333352273176</v>
      </c>
      <c r="I111" s="39" t="n">
        <f aca="false">'2026 Forecast B'!L65</f>
        <v>3.21167747490571</v>
      </c>
      <c r="J111" s="39" t="n">
        <f aca="false">'2026 Forecast C'!L65</f>
        <v>3.72283676191068</v>
      </c>
      <c r="K111" s="18" t="n">
        <f aca="false">'2026 Forecast A'!F65</f>
        <v>201</v>
      </c>
      <c r="L111" s="40" t="str">
        <f aca="false">IF(OR(AND(D111&gt;0.5,E111&gt;0.5,F111&gt;0.5),AND(D111&lt;0.5,E111&lt;0.5,F111&lt;0.5)),"Yes","No — toss-up")</f>
        <v>Yes</v>
      </c>
    </row>
    <row r="112" customFormat="false" ht="15" hidden="false" customHeight="false" outlineLevel="0" collapsed="false">
      <c r="A112" s="9" t="str">
        <f aca="false">'2026 Forecast A'!A66</f>
        <v>Lehigh</v>
      </c>
      <c r="B112" s="9" t="str">
        <f aca="false">'2026 Forecast A'!B66</f>
        <v>ALLENTOWN</v>
      </c>
      <c r="C112" s="9" t="str">
        <f aca="false">'2026 Forecast A'!C66</f>
        <v>ALLENTOWN 10TH WARD 4TH DIST</v>
      </c>
      <c r="D112" s="10" t="n">
        <f aca="false">'2026 Forecast A'!G66</f>
        <v>0.695278969957082</v>
      </c>
      <c r="E112" s="10" t="n">
        <f aca="false">'2026 Forecast B'!G66</f>
        <v>0.695278969957082</v>
      </c>
      <c r="F112" s="10" t="n">
        <f aca="false">'2026 Forecast C'!G66</f>
        <v>0.71244635193133</v>
      </c>
      <c r="G112" s="38" t="n">
        <f aca="false">(MAX(D112:F112)-MIN(D112:F112))*100</f>
        <v>1.71673819742489</v>
      </c>
      <c r="H112" s="39" t="n">
        <f aca="false">'2026 Forecast A'!L66</f>
        <v>3.43333352273176</v>
      </c>
      <c r="I112" s="39" t="n">
        <f aca="false">'2026 Forecast B'!L66</f>
        <v>3.21167747490571</v>
      </c>
      <c r="J112" s="39" t="n">
        <f aca="false">'2026 Forecast C'!L66</f>
        <v>3.72283676191068</v>
      </c>
      <c r="K112" s="18" t="n">
        <f aca="false">'2026 Forecast A'!F66</f>
        <v>233</v>
      </c>
      <c r="L112" s="40" t="str">
        <f aca="false">IF(OR(AND(D112&gt;0.5,E112&gt;0.5,F112&gt;0.5),AND(D112&lt;0.5,E112&lt;0.5,F112&lt;0.5)),"Yes","No — toss-up")</f>
        <v>Yes</v>
      </c>
    </row>
    <row r="113" customFormat="false" ht="15" hidden="false" customHeight="false" outlineLevel="0" collapsed="false">
      <c r="A113" s="9" t="str">
        <f aca="false">'2026 Forecast A'!A67</f>
        <v>Lehigh</v>
      </c>
      <c r="B113" s="9" t="str">
        <f aca="false">'2026 Forecast A'!B67</f>
        <v>ALLENTOWN</v>
      </c>
      <c r="C113" s="9" t="str">
        <f aca="false">'2026 Forecast A'!C67</f>
        <v>ALLENTOWN 11TH WARD 1ST DIST</v>
      </c>
      <c r="D113" s="10" t="n">
        <f aca="false">'2026 Forecast A'!G67</f>
        <v>0.668085106382979</v>
      </c>
      <c r="E113" s="10" t="n">
        <f aca="false">'2026 Forecast B'!G67</f>
        <v>0.676595744680851</v>
      </c>
      <c r="F113" s="10" t="n">
        <f aca="false">'2026 Forecast C'!G67</f>
        <v>0.680851063829787</v>
      </c>
      <c r="G113" s="38" t="n">
        <f aca="false">(MAX(D113:F113)-MIN(D113:F113))*100</f>
        <v>1.27659574468085</v>
      </c>
      <c r="H113" s="39" t="n">
        <f aca="false">'2026 Forecast A'!L67</f>
        <v>3.43333352273176</v>
      </c>
      <c r="I113" s="39" t="n">
        <f aca="false">'2026 Forecast B'!L67</f>
        <v>3.21167747490571</v>
      </c>
      <c r="J113" s="39" t="n">
        <f aca="false">'2026 Forecast C'!L67</f>
        <v>3.72283676191068</v>
      </c>
      <c r="K113" s="18" t="n">
        <f aca="false">'2026 Forecast A'!F67</f>
        <v>235</v>
      </c>
      <c r="L113" s="40" t="str">
        <f aca="false">IF(OR(AND(D113&gt;0.5,E113&gt;0.5,F113&gt;0.5),AND(D113&lt;0.5,E113&lt;0.5,F113&lt;0.5)),"Yes","No — toss-up")</f>
        <v>Yes</v>
      </c>
    </row>
    <row r="114" customFormat="false" ht="15" hidden="false" customHeight="false" outlineLevel="0" collapsed="false">
      <c r="A114" s="9" t="str">
        <f aca="false">'2026 Forecast A'!A68</f>
        <v>Lehigh</v>
      </c>
      <c r="B114" s="9" t="str">
        <f aca="false">'2026 Forecast A'!B68</f>
        <v>ALLENTOWN</v>
      </c>
      <c r="C114" s="9" t="str">
        <f aca="false">'2026 Forecast A'!C68</f>
        <v>ALLENTOWN 11TH WARD 2ND DIST</v>
      </c>
      <c r="D114" s="10" t="n">
        <f aca="false">'2026 Forecast A'!G68</f>
        <v>0.731277533039648</v>
      </c>
      <c r="E114" s="10" t="n">
        <f aca="false">'2026 Forecast B'!G68</f>
        <v>0.718061674008811</v>
      </c>
      <c r="F114" s="10" t="n">
        <f aca="false">'2026 Forecast C'!G68</f>
        <v>0.744493392070485</v>
      </c>
      <c r="G114" s="38" t="n">
        <f aca="false">(MAX(D114:F114)-MIN(D114:F114))*100</f>
        <v>2.6431718061674</v>
      </c>
      <c r="H114" s="39" t="n">
        <f aca="false">'2026 Forecast A'!L68</f>
        <v>3.43333352273176</v>
      </c>
      <c r="I114" s="39" t="n">
        <f aca="false">'2026 Forecast B'!L68</f>
        <v>3.21167747490571</v>
      </c>
      <c r="J114" s="39" t="n">
        <f aca="false">'2026 Forecast C'!L68</f>
        <v>3.72283676191068</v>
      </c>
      <c r="K114" s="18" t="n">
        <f aca="false">'2026 Forecast A'!F68</f>
        <v>227</v>
      </c>
      <c r="L114" s="40" t="str">
        <f aca="false">IF(OR(AND(D114&gt;0.5,E114&gt;0.5,F114&gt;0.5),AND(D114&lt;0.5,E114&lt;0.5,F114&lt;0.5)),"Yes","No — toss-up")</f>
        <v>Yes</v>
      </c>
    </row>
    <row r="115" customFormat="false" ht="15" hidden="false" customHeight="false" outlineLevel="0" collapsed="false">
      <c r="A115" s="9" t="str">
        <f aca="false">'2026 Forecast A'!A69</f>
        <v>Lehigh</v>
      </c>
      <c r="B115" s="9" t="str">
        <f aca="false">'2026 Forecast A'!B69</f>
        <v>ALLENTOWN</v>
      </c>
      <c r="C115" s="9" t="str">
        <f aca="false">'2026 Forecast A'!C69</f>
        <v>ALLENTOWN 11TH WARD 3RD DIST</v>
      </c>
      <c r="D115" s="10" t="n">
        <f aca="false">'2026 Forecast A'!G69</f>
        <v>0.686980609418283</v>
      </c>
      <c r="E115" s="10" t="n">
        <f aca="false">'2026 Forecast B'!G69</f>
        <v>0.681440443213296</v>
      </c>
      <c r="F115" s="10" t="n">
        <f aca="false">'2026 Forecast C'!G69</f>
        <v>0.703601108033241</v>
      </c>
      <c r="G115" s="38" t="n">
        <f aca="false">(MAX(D115:F115)-MIN(D115:F115))*100</f>
        <v>2.21606648199446</v>
      </c>
      <c r="H115" s="39" t="n">
        <f aca="false">'2026 Forecast A'!L69</f>
        <v>3.43333352273176</v>
      </c>
      <c r="I115" s="39" t="n">
        <f aca="false">'2026 Forecast B'!L69</f>
        <v>3.21167747490571</v>
      </c>
      <c r="J115" s="39" t="n">
        <f aca="false">'2026 Forecast C'!L69</f>
        <v>3.72283676191068</v>
      </c>
      <c r="K115" s="18" t="n">
        <f aca="false">'2026 Forecast A'!F69</f>
        <v>361</v>
      </c>
      <c r="L115" s="40" t="str">
        <f aca="false">IF(OR(AND(D115&gt;0.5,E115&gt;0.5,F115&gt;0.5),AND(D115&lt;0.5,E115&lt;0.5,F115&lt;0.5)),"Yes","No — toss-up")</f>
        <v>Yes</v>
      </c>
    </row>
    <row r="116" customFormat="false" ht="15" hidden="false" customHeight="false" outlineLevel="0" collapsed="false">
      <c r="A116" s="9" t="str">
        <f aca="false">'2026 Forecast A'!A70</f>
        <v>Lehigh</v>
      </c>
      <c r="B116" s="9" t="str">
        <f aca="false">'2026 Forecast A'!B70</f>
        <v>ALLENTOWN</v>
      </c>
      <c r="C116" s="9" t="str">
        <f aca="false">'2026 Forecast A'!C70</f>
        <v>ALLENTOWN 11TH WARD 4TH DIST</v>
      </c>
      <c r="D116" s="10" t="n">
        <f aca="false">'2026 Forecast A'!G70</f>
        <v>0.770448548812665</v>
      </c>
      <c r="E116" s="10" t="n">
        <f aca="false">'2026 Forecast B'!G70</f>
        <v>0.755936675461741</v>
      </c>
      <c r="F116" s="10" t="n">
        <f aca="false">'2026 Forecast C'!G70</f>
        <v>0.778364116094987</v>
      </c>
      <c r="G116" s="38" t="n">
        <f aca="false">(MAX(D116:F116)-MIN(D116:F116))*100</f>
        <v>2.24274406332454</v>
      </c>
      <c r="H116" s="39" t="n">
        <f aca="false">'2026 Forecast A'!L70</f>
        <v>2.13789583153489</v>
      </c>
      <c r="I116" s="39" t="n">
        <f aca="false">'2026 Forecast B'!L70</f>
        <v>2.24475965619494</v>
      </c>
      <c r="J116" s="39" t="n">
        <f aca="false">'2026 Forecast C'!L70</f>
        <v>2.3915225360787</v>
      </c>
      <c r="K116" s="18" t="n">
        <f aca="false">'2026 Forecast A'!F70</f>
        <v>758</v>
      </c>
      <c r="L116" s="40" t="str">
        <f aca="false">IF(OR(AND(D116&gt;0.5,E116&gt;0.5,F116&gt;0.5),AND(D116&lt;0.5,E116&lt;0.5,F116&lt;0.5)),"Yes","No — toss-up")</f>
        <v>Yes</v>
      </c>
    </row>
    <row r="117" customFormat="false" ht="15" hidden="false" customHeight="false" outlineLevel="0" collapsed="false">
      <c r="A117" s="9" t="str">
        <f aca="false">'2026 Forecast A'!A71</f>
        <v>Lehigh</v>
      </c>
      <c r="B117" s="9" t="str">
        <f aca="false">'2026 Forecast A'!B71</f>
        <v>ALLENTOWN</v>
      </c>
      <c r="C117" s="9" t="str">
        <f aca="false">'2026 Forecast A'!C71</f>
        <v>ALLENTOWN 11TH WARD 5TH DIST</v>
      </c>
      <c r="D117" s="10" t="n">
        <f aca="false">'2026 Forecast A'!G71</f>
        <v>0.652068126520681</v>
      </c>
      <c r="E117" s="10" t="n">
        <f aca="false">'2026 Forecast B'!G71</f>
        <v>0.654501216545012</v>
      </c>
      <c r="F117" s="10" t="n">
        <f aca="false">'2026 Forecast C'!G71</f>
        <v>0.664233576642336</v>
      </c>
      <c r="G117" s="38" t="n">
        <f aca="false">(MAX(D117:F117)-MIN(D117:F117))*100</f>
        <v>1.21654501216545</v>
      </c>
      <c r="H117" s="39" t="n">
        <f aca="false">'2026 Forecast A'!L71</f>
        <v>3.43333352273176</v>
      </c>
      <c r="I117" s="39" t="n">
        <f aca="false">'2026 Forecast B'!L71</f>
        <v>3.21167747490571</v>
      </c>
      <c r="J117" s="39" t="n">
        <f aca="false">'2026 Forecast C'!L71</f>
        <v>3.72283676191068</v>
      </c>
      <c r="K117" s="18" t="n">
        <f aca="false">'2026 Forecast A'!F71</f>
        <v>411</v>
      </c>
      <c r="L117" s="40" t="str">
        <f aca="false">IF(OR(AND(D117&gt;0.5,E117&gt;0.5,F117&gt;0.5),AND(D117&lt;0.5,E117&lt;0.5,F117&lt;0.5)),"Yes","No — toss-up")</f>
        <v>Yes</v>
      </c>
    </row>
    <row r="118" customFormat="false" ht="15" hidden="false" customHeight="false" outlineLevel="0" collapsed="false">
      <c r="A118" s="9" t="str">
        <f aca="false">'2026 Forecast A'!A72</f>
        <v>Lehigh</v>
      </c>
      <c r="B118" s="9" t="str">
        <f aca="false">'2026 Forecast A'!B72</f>
        <v>ALLENTOWN</v>
      </c>
      <c r="C118" s="9" t="str">
        <f aca="false">'2026 Forecast A'!C72</f>
        <v>ALLENTOWN 11TH WARD 6TH DIST</v>
      </c>
      <c r="D118" s="10" t="n">
        <f aca="false">'2026 Forecast A'!G72</f>
        <v>0.614925373134328</v>
      </c>
      <c r="E118" s="10" t="n">
        <f aca="false">'2026 Forecast B'!G72</f>
        <v>0.625373134328358</v>
      </c>
      <c r="F118" s="10" t="n">
        <f aca="false">'2026 Forecast C'!G72</f>
        <v>0.622388059701493</v>
      </c>
      <c r="G118" s="38" t="n">
        <f aca="false">(MAX(D118:F118)-MIN(D118:F118))*100</f>
        <v>1.04477611940298</v>
      </c>
      <c r="H118" s="39" t="n">
        <f aca="false">'2026 Forecast A'!L72</f>
        <v>2.13789583153489</v>
      </c>
      <c r="I118" s="39" t="n">
        <f aca="false">'2026 Forecast B'!L72</f>
        <v>2.24475965619494</v>
      </c>
      <c r="J118" s="39" t="n">
        <f aca="false">'2026 Forecast C'!L72</f>
        <v>2.3915225360787</v>
      </c>
      <c r="K118" s="18" t="n">
        <f aca="false">'2026 Forecast A'!F72</f>
        <v>670</v>
      </c>
      <c r="L118" s="40" t="str">
        <f aca="false">IF(OR(AND(D118&gt;0.5,E118&gt;0.5,F118&gt;0.5),AND(D118&lt;0.5,E118&lt;0.5,F118&lt;0.5)),"Yes","No — toss-up")</f>
        <v>Yes</v>
      </c>
    </row>
    <row r="119" customFormat="false" ht="15" hidden="false" customHeight="false" outlineLevel="0" collapsed="false">
      <c r="A119" s="9" t="str">
        <f aca="false">'2026 Forecast A'!A73</f>
        <v>Lehigh</v>
      </c>
      <c r="B119" s="9" t="str">
        <f aca="false">'2026 Forecast A'!B73</f>
        <v>ALLENTOWN</v>
      </c>
      <c r="C119" s="9" t="str">
        <f aca="false">'2026 Forecast A'!C73</f>
        <v>ALLENTOWN 11TH WARD 7TH DIST</v>
      </c>
      <c r="D119" s="10" t="n">
        <f aca="false">'2026 Forecast A'!G73</f>
        <v>0.633879781420765</v>
      </c>
      <c r="E119" s="10" t="n">
        <f aca="false">'2026 Forecast B'!G73</f>
        <v>0.633879781420765</v>
      </c>
      <c r="F119" s="10" t="n">
        <f aca="false">'2026 Forecast C'!G73</f>
        <v>0.644808743169399</v>
      </c>
      <c r="G119" s="38" t="n">
        <f aca="false">(MAX(D119:F119)-MIN(D119:F119))*100</f>
        <v>1.09289617486339</v>
      </c>
      <c r="H119" s="39" t="n">
        <f aca="false">'2026 Forecast A'!L73</f>
        <v>3.43333352273176</v>
      </c>
      <c r="I119" s="39" t="n">
        <f aca="false">'2026 Forecast B'!L73</f>
        <v>3.21167747490571</v>
      </c>
      <c r="J119" s="39" t="n">
        <f aca="false">'2026 Forecast C'!L73</f>
        <v>3.72283676191068</v>
      </c>
      <c r="K119" s="18" t="n">
        <f aca="false">'2026 Forecast A'!F73</f>
        <v>549</v>
      </c>
      <c r="L119" s="40" t="str">
        <f aca="false">IF(OR(AND(D119&gt;0.5,E119&gt;0.5,F119&gt;0.5),AND(D119&lt;0.5,E119&lt;0.5,F119&lt;0.5)),"Yes","No — toss-up")</f>
        <v>Yes</v>
      </c>
    </row>
    <row r="120" customFormat="false" ht="15" hidden="false" customHeight="false" outlineLevel="0" collapsed="false">
      <c r="A120" s="9" t="str">
        <f aca="false">'2026 Forecast A'!A74</f>
        <v>Lehigh</v>
      </c>
      <c r="B120" s="9" t="str">
        <f aca="false">'2026 Forecast A'!B74</f>
        <v>ALLENTOWN</v>
      </c>
      <c r="C120" s="9" t="str">
        <f aca="false">'2026 Forecast A'!C74</f>
        <v>ALLENTOWN 12TH WARD 1ST DIST</v>
      </c>
      <c r="D120" s="10" t="n">
        <f aca="false">'2026 Forecast A'!G74</f>
        <v>0.671957671957672</v>
      </c>
      <c r="E120" s="10" t="n">
        <f aca="false">'2026 Forecast B'!G74</f>
        <v>0.658730158730159</v>
      </c>
      <c r="F120" s="10" t="n">
        <f aca="false">'2026 Forecast C'!G74</f>
        <v>0.682539682539683</v>
      </c>
      <c r="G120" s="38" t="n">
        <f aca="false">(MAX(D120:F120)-MIN(D120:F120))*100</f>
        <v>2.38095238095238</v>
      </c>
      <c r="H120" s="39" t="n">
        <f aca="false">'2026 Forecast A'!L74</f>
        <v>3.43333352273176</v>
      </c>
      <c r="I120" s="39" t="n">
        <f aca="false">'2026 Forecast B'!L74</f>
        <v>3.21167747490571</v>
      </c>
      <c r="J120" s="39" t="n">
        <f aca="false">'2026 Forecast C'!L74</f>
        <v>3.72283676191068</v>
      </c>
      <c r="K120" s="18" t="n">
        <f aca="false">'2026 Forecast A'!F74</f>
        <v>378</v>
      </c>
      <c r="L120" s="40" t="str">
        <f aca="false">IF(OR(AND(D120&gt;0.5,E120&gt;0.5,F120&gt;0.5),AND(D120&lt;0.5,E120&lt;0.5,F120&lt;0.5)),"Yes","No — toss-up")</f>
        <v>Yes</v>
      </c>
    </row>
    <row r="121" customFormat="false" ht="15" hidden="false" customHeight="false" outlineLevel="0" collapsed="false">
      <c r="A121" s="9" t="str">
        <f aca="false">'2026 Forecast A'!A75</f>
        <v>Lehigh</v>
      </c>
      <c r="B121" s="9" t="str">
        <f aca="false">'2026 Forecast A'!B75</f>
        <v>ALLENTOWN</v>
      </c>
      <c r="C121" s="9" t="str">
        <f aca="false">'2026 Forecast A'!C75</f>
        <v>ALLENTOWN 12TH WARD 2ND DIST</v>
      </c>
      <c r="D121" s="10" t="n">
        <f aca="false">'2026 Forecast A'!G75</f>
        <v>0.635051546391753</v>
      </c>
      <c r="E121" s="10" t="n">
        <f aca="false">'2026 Forecast B'!G75</f>
        <v>0.641237113402062</v>
      </c>
      <c r="F121" s="10" t="n">
        <f aca="false">'2026 Forecast C'!G75</f>
        <v>0.643298969072165</v>
      </c>
      <c r="G121" s="38" t="n">
        <f aca="false">(MAX(D121:F121)-MIN(D121:F121))*100</f>
        <v>0.824742268041245</v>
      </c>
      <c r="H121" s="39" t="n">
        <f aca="false">'2026 Forecast A'!L75</f>
        <v>3.43333352273176</v>
      </c>
      <c r="I121" s="39" t="n">
        <f aca="false">'2026 Forecast B'!L75</f>
        <v>3.21167747490571</v>
      </c>
      <c r="J121" s="39" t="n">
        <f aca="false">'2026 Forecast C'!L75</f>
        <v>3.72283676191068</v>
      </c>
      <c r="K121" s="18" t="n">
        <f aca="false">'2026 Forecast A'!F75</f>
        <v>485</v>
      </c>
      <c r="L121" s="40" t="str">
        <f aca="false">IF(OR(AND(D121&gt;0.5,E121&gt;0.5,F121&gt;0.5),AND(D121&lt;0.5,E121&lt;0.5,F121&lt;0.5)),"Yes","No — toss-up")</f>
        <v>Yes</v>
      </c>
    </row>
    <row r="122" customFormat="false" ht="15" hidden="false" customHeight="false" outlineLevel="0" collapsed="false">
      <c r="A122" s="9" t="str">
        <f aca="false">'2026 Forecast A'!A76</f>
        <v>Lehigh</v>
      </c>
      <c r="B122" s="9" t="str">
        <f aca="false">'2026 Forecast A'!B76</f>
        <v>ALLENTOWN</v>
      </c>
      <c r="C122" s="9" t="str">
        <f aca="false">'2026 Forecast A'!C76</f>
        <v>ALLENTOWN 12TH WARD 3RD DIST</v>
      </c>
      <c r="D122" s="10" t="n">
        <f aca="false">'2026 Forecast A'!G76</f>
        <v>0.632404181184669</v>
      </c>
      <c r="E122" s="10" t="n">
        <f aca="false">'2026 Forecast B'!G76</f>
        <v>0.628919860627178</v>
      </c>
      <c r="F122" s="10" t="n">
        <f aca="false">'2026 Forecast C'!G76</f>
        <v>0.641114982578397</v>
      </c>
      <c r="G122" s="38" t="n">
        <f aca="false">(MAX(D122:F122)-MIN(D122:F122))*100</f>
        <v>1.21951219512194</v>
      </c>
      <c r="H122" s="39" t="n">
        <f aca="false">'2026 Forecast A'!L76</f>
        <v>2.13789583153489</v>
      </c>
      <c r="I122" s="39" t="n">
        <f aca="false">'2026 Forecast B'!L76</f>
        <v>2.24475965619494</v>
      </c>
      <c r="J122" s="39" t="n">
        <f aca="false">'2026 Forecast C'!L76</f>
        <v>2.3915225360787</v>
      </c>
      <c r="K122" s="18" t="n">
        <f aca="false">'2026 Forecast A'!F76</f>
        <v>574</v>
      </c>
      <c r="L122" s="40" t="str">
        <f aca="false">IF(OR(AND(D122&gt;0.5,E122&gt;0.5,F122&gt;0.5),AND(D122&lt;0.5,E122&lt;0.5,F122&lt;0.5)),"Yes","No — toss-up")</f>
        <v>Yes</v>
      </c>
    </row>
    <row r="123" customFormat="false" ht="15" hidden="false" customHeight="false" outlineLevel="0" collapsed="false">
      <c r="A123" s="9" t="str">
        <f aca="false">'2026 Forecast A'!A77</f>
        <v>Lehigh</v>
      </c>
      <c r="B123" s="9" t="str">
        <f aca="false">'2026 Forecast A'!B77</f>
        <v>ALLENTOWN</v>
      </c>
      <c r="C123" s="9" t="str">
        <f aca="false">'2026 Forecast A'!C77</f>
        <v>ALLENTOWN 12TH WARD 4TH DIST</v>
      </c>
      <c r="D123" s="10" t="n">
        <f aca="false">'2026 Forecast A'!G77</f>
        <v>0.569948186528497</v>
      </c>
      <c r="E123" s="10" t="n">
        <f aca="false">'2026 Forecast B'!G77</f>
        <v>0.57685664939551</v>
      </c>
      <c r="F123" s="10" t="n">
        <f aca="false">'2026 Forecast C'!G77</f>
        <v>0.583765112262522</v>
      </c>
      <c r="G123" s="38" t="n">
        <f aca="false">(MAX(D123:F123)-MIN(D123:F123))*100</f>
        <v>1.38169257340242</v>
      </c>
      <c r="H123" s="39" t="n">
        <f aca="false">'2026 Forecast A'!L77</f>
        <v>2.13789583153489</v>
      </c>
      <c r="I123" s="39" t="n">
        <f aca="false">'2026 Forecast B'!L77</f>
        <v>2.24475965619494</v>
      </c>
      <c r="J123" s="39" t="n">
        <f aca="false">'2026 Forecast C'!L77</f>
        <v>2.3915225360787</v>
      </c>
      <c r="K123" s="18" t="n">
        <f aca="false">'2026 Forecast A'!F77</f>
        <v>579</v>
      </c>
      <c r="L123" s="40" t="str">
        <f aca="false">IF(OR(AND(D123&gt;0.5,E123&gt;0.5,F123&gt;0.5),AND(D123&lt;0.5,E123&lt;0.5,F123&lt;0.5)),"Yes","No — toss-up")</f>
        <v>Yes</v>
      </c>
    </row>
    <row r="124" customFormat="false" ht="15" hidden="false" customHeight="false" outlineLevel="0" collapsed="false">
      <c r="A124" s="9" t="str">
        <f aca="false">'2026 Forecast A'!A78</f>
        <v>Lehigh</v>
      </c>
      <c r="B124" s="9" t="str">
        <f aca="false">'2026 Forecast A'!B78</f>
        <v>ALLENTOWN</v>
      </c>
      <c r="C124" s="9" t="str">
        <f aca="false">'2026 Forecast A'!C78</f>
        <v>ALLENTOWN 12TH WARD 5TH DIST</v>
      </c>
      <c r="D124" s="10" t="n">
        <f aca="false">'2026 Forecast A'!G78</f>
        <v>0.613425925925926</v>
      </c>
      <c r="E124" s="10" t="n">
        <f aca="false">'2026 Forecast B'!G78</f>
        <v>0.618055555555556</v>
      </c>
      <c r="F124" s="10" t="n">
        <f aca="false">'2026 Forecast C'!G78</f>
        <v>0.62037037037037</v>
      </c>
      <c r="G124" s="38" t="n">
        <f aca="false">(MAX(D124:F124)-MIN(D124:F124))*100</f>
        <v>0.694444444444442</v>
      </c>
      <c r="H124" s="39" t="n">
        <f aca="false">'2026 Forecast A'!L78</f>
        <v>3.43333352273176</v>
      </c>
      <c r="I124" s="39" t="n">
        <f aca="false">'2026 Forecast B'!L78</f>
        <v>3.21167747490571</v>
      </c>
      <c r="J124" s="39" t="n">
        <f aca="false">'2026 Forecast C'!L78</f>
        <v>3.72283676191068</v>
      </c>
      <c r="K124" s="18" t="n">
        <f aca="false">'2026 Forecast A'!F78</f>
        <v>432</v>
      </c>
      <c r="L124" s="40" t="str">
        <f aca="false">IF(OR(AND(D124&gt;0.5,E124&gt;0.5,F124&gt;0.5),AND(D124&lt;0.5,E124&lt;0.5,F124&lt;0.5)),"Yes","No — toss-up")</f>
        <v>Yes</v>
      </c>
    </row>
    <row r="125" customFormat="false" ht="15" hidden="false" customHeight="false" outlineLevel="0" collapsed="false">
      <c r="A125" s="9" t="str">
        <f aca="false">'2026 Forecast A'!A79</f>
        <v>Lehigh</v>
      </c>
      <c r="B125" s="9" t="str">
        <f aca="false">'2026 Forecast A'!B79</f>
        <v>ALLENTOWN</v>
      </c>
      <c r="C125" s="9" t="str">
        <f aca="false">'2026 Forecast A'!C79</f>
        <v>ALLENTOWN 13TH WARD 1ST DIST</v>
      </c>
      <c r="D125" s="10" t="n">
        <f aca="false">'2026 Forecast A'!G79</f>
        <v>0.695054945054945</v>
      </c>
      <c r="E125" s="10" t="n">
        <f aca="false">'2026 Forecast B'!G79</f>
        <v>0.695054945054945</v>
      </c>
      <c r="F125" s="10" t="n">
        <f aca="false">'2026 Forecast C'!G79</f>
        <v>0.708791208791209</v>
      </c>
      <c r="G125" s="38" t="n">
        <f aca="false">(MAX(D125:F125)-MIN(D125:F125))*100</f>
        <v>1.37362637362638</v>
      </c>
      <c r="H125" s="39" t="n">
        <f aca="false">'2026 Forecast A'!L79</f>
        <v>3.43333352273176</v>
      </c>
      <c r="I125" s="39" t="n">
        <f aca="false">'2026 Forecast B'!L79</f>
        <v>3.21167747490571</v>
      </c>
      <c r="J125" s="39" t="n">
        <f aca="false">'2026 Forecast C'!L79</f>
        <v>3.72283676191068</v>
      </c>
      <c r="K125" s="18" t="n">
        <f aca="false">'2026 Forecast A'!F79</f>
        <v>364</v>
      </c>
      <c r="L125" s="40" t="str">
        <f aca="false">IF(OR(AND(D125&gt;0.5,E125&gt;0.5,F125&gt;0.5),AND(D125&lt;0.5,E125&lt;0.5,F125&lt;0.5)),"Yes","No — toss-up")</f>
        <v>Yes</v>
      </c>
    </row>
    <row r="126" customFormat="false" ht="15" hidden="false" customHeight="false" outlineLevel="0" collapsed="false">
      <c r="A126" s="9" t="str">
        <f aca="false">'2026 Forecast A'!A80</f>
        <v>Lehigh</v>
      </c>
      <c r="B126" s="9" t="str">
        <f aca="false">'2026 Forecast A'!B80</f>
        <v>ALLENTOWN</v>
      </c>
      <c r="C126" s="9" t="str">
        <f aca="false">'2026 Forecast A'!C80</f>
        <v>ALLENTOWN 13TH WARD 2ND DIST</v>
      </c>
      <c r="D126" s="10" t="n">
        <f aca="false">'2026 Forecast A'!G80</f>
        <v>0.648026315789474</v>
      </c>
      <c r="E126" s="10" t="n">
        <f aca="false">'2026 Forecast B'!G80</f>
        <v>0.664473684210526</v>
      </c>
      <c r="F126" s="10" t="n">
        <f aca="false">'2026 Forecast C'!G80</f>
        <v>0.654605263157895</v>
      </c>
      <c r="G126" s="38" t="n">
        <f aca="false">(MAX(D126:F126)-MIN(D126:F126))*100</f>
        <v>1.64473684210527</v>
      </c>
      <c r="H126" s="39" t="n">
        <f aca="false">'2026 Forecast A'!L80</f>
        <v>3.43333352273176</v>
      </c>
      <c r="I126" s="39" t="n">
        <f aca="false">'2026 Forecast B'!L80</f>
        <v>3.21167747490571</v>
      </c>
      <c r="J126" s="39" t="n">
        <f aca="false">'2026 Forecast C'!L80</f>
        <v>3.72283676191068</v>
      </c>
      <c r="K126" s="18" t="n">
        <f aca="false">'2026 Forecast A'!F80</f>
        <v>304</v>
      </c>
      <c r="L126" s="40" t="str">
        <f aca="false">IF(OR(AND(D126&gt;0.5,E126&gt;0.5,F126&gt;0.5),AND(D126&lt;0.5,E126&lt;0.5,F126&lt;0.5)),"Yes","No — toss-up")</f>
        <v>Yes</v>
      </c>
    </row>
    <row r="127" customFormat="false" ht="15" hidden="false" customHeight="false" outlineLevel="0" collapsed="false">
      <c r="A127" s="9" t="str">
        <f aca="false">'2026 Forecast A'!A81</f>
        <v>Lehigh</v>
      </c>
      <c r="B127" s="9" t="str">
        <f aca="false">'2026 Forecast A'!B81</f>
        <v>ALLENTOWN</v>
      </c>
      <c r="C127" s="9" t="str">
        <f aca="false">'2026 Forecast A'!C81</f>
        <v>ALLENTOWN 13TH WARD 3RD DIST</v>
      </c>
      <c r="D127" s="10" t="n">
        <f aca="false">'2026 Forecast A'!G81</f>
        <v>0.650632911392405</v>
      </c>
      <c r="E127" s="10" t="n">
        <f aca="false">'2026 Forecast B'!G81</f>
        <v>0.655696202531646</v>
      </c>
      <c r="F127" s="10" t="n">
        <f aca="false">'2026 Forecast C'!G81</f>
        <v>0.658227848101266</v>
      </c>
      <c r="G127" s="38" t="n">
        <f aca="false">(MAX(D127:F127)-MIN(D127:F127))*100</f>
        <v>0.759493670886069</v>
      </c>
      <c r="H127" s="39" t="n">
        <f aca="false">'2026 Forecast A'!L81</f>
        <v>3.43333352273176</v>
      </c>
      <c r="I127" s="39" t="n">
        <f aca="false">'2026 Forecast B'!L81</f>
        <v>3.21167747490571</v>
      </c>
      <c r="J127" s="39" t="n">
        <f aca="false">'2026 Forecast C'!L81</f>
        <v>3.72283676191068</v>
      </c>
      <c r="K127" s="18" t="n">
        <f aca="false">'2026 Forecast A'!F81</f>
        <v>395</v>
      </c>
      <c r="L127" s="40" t="str">
        <f aca="false">IF(OR(AND(D127&gt;0.5,E127&gt;0.5,F127&gt;0.5),AND(D127&lt;0.5,E127&lt;0.5,F127&lt;0.5)),"Yes","No — toss-up")</f>
        <v>Yes</v>
      </c>
    </row>
    <row r="128" customFormat="false" ht="15" hidden="false" customHeight="false" outlineLevel="0" collapsed="false">
      <c r="A128" s="9" t="str">
        <f aca="false">'2026 Forecast A'!A82</f>
        <v>Lehigh</v>
      </c>
      <c r="B128" s="9" t="str">
        <f aca="false">'2026 Forecast A'!B82</f>
        <v>ALLENTOWN</v>
      </c>
      <c r="C128" s="9" t="str">
        <f aca="false">'2026 Forecast A'!C82</f>
        <v>ALLENTOWN 13TH WARD 4TH DIST</v>
      </c>
      <c r="D128" s="10" t="n">
        <f aca="false">'2026 Forecast A'!G82</f>
        <v>0.67109634551495</v>
      </c>
      <c r="E128" s="10" t="n">
        <f aca="false">'2026 Forecast B'!G82</f>
        <v>0.674418604651163</v>
      </c>
      <c r="F128" s="10" t="n">
        <f aca="false">'2026 Forecast C'!G82</f>
        <v>0.677740863787375</v>
      </c>
      <c r="G128" s="38" t="n">
        <f aca="false">(MAX(D128:F128)-MIN(D128:F128))*100</f>
        <v>0.664451827242529</v>
      </c>
      <c r="H128" s="39" t="n">
        <f aca="false">'2026 Forecast A'!L82</f>
        <v>3.43333352273176</v>
      </c>
      <c r="I128" s="39" t="n">
        <f aca="false">'2026 Forecast B'!L82</f>
        <v>3.21167747490571</v>
      </c>
      <c r="J128" s="39" t="n">
        <f aca="false">'2026 Forecast C'!L82</f>
        <v>3.72283676191068</v>
      </c>
      <c r="K128" s="18" t="n">
        <f aca="false">'2026 Forecast A'!F82</f>
        <v>301</v>
      </c>
      <c r="L128" s="40" t="str">
        <f aca="false">IF(OR(AND(D128&gt;0.5,E128&gt;0.5,F128&gt;0.5),AND(D128&lt;0.5,E128&lt;0.5,F128&lt;0.5)),"Yes","No — toss-up")</f>
        <v>Yes</v>
      </c>
    </row>
    <row r="129" customFormat="false" ht="15" hidden="false" customHeight="false" outlineLevel="0" collapsed="false">
      <c r="A129" s="9" t="str">
        <f aca="false">'2026 Forecast A'!A83</f>
        <v>Lehigh</v>
      </c>
      <c r="B129" s="9" t="str">
        <f aca="false">'2026 Forecast A'!B83</f>
        <v>ALLENTOWN</v>
      </c>
      <c r="C129" s="9" t="str">
        <f aca="false">'2026 Forecast A'!C83</f>
        <v>ALLENTOWN 14TH WARD 1ST DIST</v>
      </c>
      <c r="D129" s="10" t="n">
        <f aca="false">'2026 Forecast A'!G83</f>
        <v>0.638225255972696</v>
      </c>
      <c r="E129" s="10" t="n">
        <f aca="false">'2026 Forecast B'!G83</f>
        <v>0.636518771331058</v>
      </c>
      <c r="F129" s="10" t="n">
        <f aca="false">'2026 Forecast C'!G83</f>
        <v>0.645051194539249</v>
      </c>
      <c r="G129" s="38" t="n">
        <f aca="false">(MAX(D129:F129)-MIN(D129:F129))*100</f>
        <v>0.853242320819114</v>
      </c>
      <c r="H129" s="39" t="n">
        <f aca="false">'2026 Forecast A'!L83</f>
        <v>2.13789583153489</v>
      </c>
      <c r="I129" s="39" t="n">
        <f aca="false">'2026 Forecast B'!L83</f>
        <v>2.24475965619494</v>
      </c>
      <c r="J129" s="39" t="n">
        <f aca="false">'2026 Forecast C'!L83</f>
        <v>2.3915225360787</v>
      </c>
      <c r="K129" s="18" t="n">
        <f aca="false">'2026 Forecast A'!F83</f>
        <v>586</v>
      </c>
      <c r="L129" s="40" t="str">
        <f aca="false">IF(OR(AND(D129&gt;0.5,E129&gt;0.5,F129&gt;0.5),AND(D129&lt;0.5,E129&lt;0.5,F129&lt;0.5)),"Yes","No — toss-up")</f>
        <v>Yes</v>
      </c>
    </row>
    <row r="130" customFormat="false" ht="15" hidden="false" customHeight="false" outlineLevel="0" collapsed="false">
      <c r="A130" s="9" t="str">
        <f aca="false">'2026 Forecast A'!A84</f>
        <v>Lehigh</v>
      </c>
      <c r="B130" s="9" t="str">
        <f aca="false">'2026 Forecast A'!B84</f>
        <v>ALLENTOWN</v>
      </c>
      <c r="C130" s="9" t="str">
        <f aca="false">'2026 Forecast A'!C84</f>
        <v>ALLENTOWN 14TH WARD 2ND DIST</v>
      </c>
      <c r="D130" s="10" t="n">
        <f aca="false">'2026 Forecast A'!G84</f>
        <v>0.642732049036778</v>
      </c>
      <c r="E130" s="10" t="n">
        <f aca="false">'2026 Forecast B'!G84</f>
        <v>0.647985989492119</v>
      </c>
      <c r="F130" s="10" t="n">
        <f aca="false">'2026 Forecast C'!G84</f>
        <v>0.653239929947461</v>
      </c>
      <c r="G130" s="38" t="n">
        <f aca="false">(MAX(D130:F130)-MIN(D130:F130))*100</f>
        <v>1.0507880910683</v>
      </c>
      <c r="H130" s="39" t="n">
        <f aca="false">'2026 Forecast A'!L84</f>
        <v>3.43333352273176</v>
      </c>
      <c r="I130" s="39" t="n">
        <f aca="false">'2026 Forecast B'!L84</f>
        <v>3.21167747490571</v>
      </c>
      <c r="J130" s="39" t="n">
        <f aca="false">'2026 Forecast C'!L84</f>
        <v>3.72283676191068</v>
      </c>
      <c r="K130" s="18" t="n">
        <f aca="false">'2026 Forecast A'!F84</f>
        <v>571</v>
      </c>
      <c r="L130" s="40" t="str">
        <f aca="false">IF(OR(AND(D130&gt;0.5,E130&gt;0.5,F130&gt;0.5),AND(D130&lt;0.5,E130&lt;0.5,F130&lt;0.5)),"Yes","No — toss-up")</f>
        <v>Yes</v>
      </c>
    </row>
    <row r="131" customFormat="false" ht="15" hidden="false" customHeight="false" outlineLevel="0" collapsed="false">
      <c r="A131" s="9" t="str">
        <f aca="false">'2026 Forecast A'!A85</f>
        <v>Lehigh</v>
      </c>
      <c r="B131" s="9" t="str">
        <f aca="false">'2026 Forecast A'!B85</f>
        <v>ALLENTOWN</v>
      </c>
      <c r="C131" s="9" t="str">
        <f aca="false">'2026 Forecast A'!C85</f>
        <v>ALLENTOWN 15TH WARD 1ST DIST</v>
      </c>
      <c r="D131" s="10" t="n">
        <f aca="false">'2026 Forecast A'!G85</f>
        <v>0.573613766730402</v>
      </c>
      <c r="E131" s="10" t="n">
        <f aca="false">'2026 Forecast B'!G85</f>
        <v>0.58508604206501</v>
      </c>
      <c r="F131" s="10" t="n">
        <f aca="false">'2026 Forecast C'!G85</f>
        <v>0.575525812619503</v>
      </c>
      <c r="G131" s="38" t="n">
        <f aca="false">(MAX(D131:F131)-MIN(D131:F131))*100</f>
        <v>1.1472275334608</v>
      </c>
      <c r="H131" s="39" t="n">
        <f aca="false">'2026 Forecast A'!L85</f>
        <v>3.43333352273176</v>
      </c>
      <c r="I131" s="39" t="n">
        <f aca="false">'2026 Forecast B'!L85</f>
        <v>3.21167747490571</v>
      </c>
      <c r="J131" s="39" t="n">
        <f aca="false">'2026 Forecast C'!L85</f>
        <v>3.72283676191068</v>
      </c>
      <c r="K131" s="18" t="n">
        <f aca="false">'2026 Forecast A'!F85</f>
        <v>523</v>
      </c>
      <c r="L131" s="40" t="str">
        <f aca="false">IF(OR(AND(D131&gt;0.5,E131&gt;0.5,F131&gt;0.5),AND(D131&lt;0.5,E131&lt;0.5,F131&lt;0.5)),"Yes","No — toss-up")</f>
        <v>Yes</v>
      </c>
    </row>
    <row r="132" customFormat="false" ht="15" hidden="false" customHeight="false" outlineLevel="0" collapsed="false">
      <c r="A132" s="9" t="str">
        <f aca="false">'2026 Forecast A'!A86</f>
        <v>Lehigh</v>
      </c>
      <c r="B132" s="9" t="str">
        <f aca="false">'2026 Forecast A'!B86</f>
        <v>ALLENTOWN</v>
      </c>
      <c r="C132" s="9" t="str">
        <f aca="false">'2026 Forecast A'!C86</f>
        <v>ALLENTOWN 15TH WARD 2ND DIST</v>
      </c>
      <c r="D132" s="10" t="n">
        <f aca="false">'2026 Forecast A'!G86</f>
        <v>0.621311475409836</v>
      </c>
      <c r="E132" s="10" t="n">
        <f aca="false">'2026 Forecast B'!G86</f>
        <v>0.624590163934426</v>
      </c>
      <c r="F132" s="10" t="n">
        <f aca="false">'2026 Forecast C'!G86</f>
        <v>0.631147540983607</v>
      </c>
      <c r="G132" s="38" t="n">
        <f aca="false">(MAX(D132:F132)-MIN(D132:F132))*100</f>
        <v>0.983606557377048</v>
      </c>
      <c r="H132" s="39" t="n">
        <f aca="false">'2026 Forecast A'!L86</f>
        <v>2.13789583153489</v>
      </c>
      <c r="I132" s="39" t="n">
        <f aca="false">'2026 Forecast B'!L86</f>
        <v>2.24475965619494</v>
      </c>
      <c r="J132" s="39" t="n">
        <f aca="false">'2026 Forecast C'!L86</f>
        <v>2.3915225360787</v>
      </c>
      <c r="K132" s="18" t="n">
        <f aca="false">'2026 Forecast A'!F86</f>
        <v>610</v>
      </c>
      <c r="L132" s="40" t="str">
        <f aca="false">IF(OR(AND(D132&gt;0.5,E132&gt;0.5,F132&gt;0.5),AND(D132&lt;0.5,E132&lt;0.5,F132&lt;0.5)),"Yes","No — toss-up")</f>
        <v>Yes</v>
      </c>
    </row>
    <row r="133" customFormat="false" ht="15" hidden="false" customHeight="false" outlineLevel="0" collapsed="false">
      <c r="A133" s="9" t="str">
        <f aca="false">'2026 Forecast A'!A87</f>
        <v>Lehigh</v>
      </c>
      <c r="B133" s="9" t="str">
        <f aca="false">'2026 Forecast A'!B87</f>
        <v>ALLENTOWN</v>
      </c>
      <c r="C133" s="9" t="str">
        <f aca="false">'2026 Forecast A'!C87</f>
        <v>ALLENTOWN 15TH WARD 3RD DIST</v>
      </c>
      <c r="D133" s="10" t="n">
        <f aca="false">'2026 Forecast A'!G87</f>
        <v>0.619676945668135</v>
      </c>
      <c r="E133" s="10" t="n">
        <f aca="false">'2026 Forecast B'!G87</f>
        <v>0.627019089574156</v>
      </c>
      <c r="F133" s="10" t="n">
        <f aca="false">'2026 Forecast C'!G87</f>
        <v>0.627019089574156</v>
      </c>
      <c r="G133" s="38" t="n">
        <f aca="false">(MAX(D133:F133)-MIN(D133:F133))*100</f>
        <v>0.73421439060205</v>
      </c>
      <c r="H133" s="39" t="n">
        <f aca="false">'2026 Forecast A'!L87</f>
        <v>2.13789583153489</v>
      </c>
      <c r="I133" s="39" t="n">
        <f aca="false">'2026 Forecast B'!L87</f>
        <v>2.24475965619494</v>
      </c>
      <c r="J133" s="39" t="n">
        <f aca="false">'2026 Forecast C'!L87</f>
        <v>2.3915225360787</v>
      </c>
      <c r="K133" s="18" t="n">
        <f aca="false">'2026 Forecast A'!F87</f>
        <v>681</v>
      </c>
      <c r="L133" s="40" t="str">
        <f aca="false">IF(OR(AND(D133&gt;0.5,E133&gt;0.5,F133&gt;0.5),AND(D133&lt;0.5,E133&lt;0.5,F133&lt;0.5)),"Yes","No — toss-up")</f>
        <v>Yes</v>
      </c>
    </row>
    <row r="134" customFormat="false" ht="15" hidden="false" customHeight="false" outlineLevel="0" collapsed="false">
      <c r="A134" s="9" t="str">
        <f aca="false">'2026 Forecast A'!A88</f>
        <v>Lehigh</v>
      </c>
      <c r="B134" s="9" t="str">
        <f aca="false">'2026 Forecast A'!B88</f>
        <v>ALLENTOWN</v>
      </c>
      <c r="C134" s="9" t="str">
        <f aca="false">'2026 Forecast A'!C88</f>
        <v>ALLENTOWN 15TH WARD 4TH DIST</v>
      </c>
      <c r="D134" s="10" t="n">
        <f aca="false">'2026 Forecast A'!G88</f>
        <v>0.585365853658537</v>
      </c>
      <c r="E134" s="10" t="n">
        <f aca="false">'2026 Forecast B'!G88</f>
        <v>0.595528455284553</v>
      </c>
      <c r="F134" s="10" t="n">
        <f aca="false">'2026 Forecast C'!G88</f>
        <v>0.59349593495935</v>
      </c>
      <c r="G134" s="38" t="n">
        <f aca="false">(MAX(D134:F134)-MIN(D134:F134))*100</f>
        <v>1.01626016260163</v>
      </c>
      <c r="H134" s="39" t="n">
        <f aca="false">'2026 Forecast A'!L88</f>
        <v>3.43333352273176</v>
      </c>
      <c r="I134" s="39" t="n">
        <f aca="false">'2026 Forecast B'!L88</f>
        <v>3.21167747490571</v>
      </c>
      <c r="J134" s="39" t="n">
        <f aca="false">'2026 Forecast C'!L88</f>
        <v>3.72283676191068</v>
      </c>
      <c r="K134" s="18" t="n">
        <f aca="false">'2026 Forecast A'!F88</f>
        <v>492</v>
      </c>
      <c r="L134" s="40" t="str">
        <f aca="false">IF(OR(AND(D134&gt;0.5,E134&gt;0.5,F134&gt;0.5),AND(D134&lt;0.5,E134&lt;0.5,F134&lt;0.5)),"Yes","No — toss-up")</f>
        <v>Yes</v>
      </c>
    </row>
    <row r="135" customFormat="false" ht="15" hidden="false" customHeight="false" outlineLevel="0" collapsed="false">
      <c r="A135" s="9" t="str">
        <f aca="false">'2026 Forecast A'!A89</f>
        <v>Lehigh</v>
      </c>
      <c r="B135" s="9" t="str">
        <f aca="false">'2026 Forecast A'!B89</f>
        <v>ALLENTOWN</v>
      </c>
      <c r="C135" s="9" t="str">
        <f aca="false">'2026 Forecast A'!C89</f>
        <v>ALLENTOWN 16TH WARD 1ST DIST</v>
      </c>
      <c r="D135" s="10" t="n">
        <f aca="false">'2026 Forecast A'!G89</f>
        <v>0.623913043478261</v>
      </c>
      <c r="E135" s="10" t="n">
        <f aca="false">'2026 Forecast B'!G89</f>
        <v>0.621739130434783</v>
      </c>
      <c r="F135" s="10" t="n">
        <f aca="false">'2026 Forecast C'!G89</f>
        <v>0.632608695652174</v>
      </c>
      <c r="G135" s="38" t="n">
        <f aca="false">(MAX(D135:F135)-MIN(D135:F135))*100</f>
        <v>1.08695652173914</v>
      </c>
      <c r="H135" s="39" t="n">
        <f aca="false">'2026 Forecast A'!L89</f>
        <v>3.43333352273176</v>
      </c>
      <c r="I135" s="39" t="n">
        <f aca="false">'2026 Forecast B'!L89</f>
        <v>3.21167747490571</v>
      </c>
      <c r="J135" s="39" t="n">
        <f aca="false">'2026 Forecast C'!L89</f>
        <v>3.72283676191068</v>
      </c>
      <c r="K135" s="18" t="n">
        <f aca="false">'2026 Forecast A'!F89</f>
        <v>460</v>
      </c>
      <c r="L135" s="40" t="str">
        <f aca="false">IF(OR(AND(D135&gt;0.5,E135&gt;0.5,F135&gt;0.5),AND(D135&lt;0.5,E135&lt;0.5,F135&lt;0.5)),"Yes","No — toss-up")</f>
        <v>Yes</v>
      </c>
    </row>
    <row r="136" customFormat="false" ht="15" hidden="false" customHeight="false" outlineLevel="0" collapsed="false">
      <c r="A136" s="9" t="str">
        <f aca="false">'2026 Forecast A'!A90</f>
        <v>Lehigh</v>
      </c>
      <c r="B136" s="9" t="str">
        <f aca="false">'2026 Forecast A'!B90</f>
        <v>ALLENTOWN</v>
      </c>
      <c r="C136" s="9" t="str">
        <f aca="false">'2026 Forecast A'!C90</f>
        <v>ALLENTOWN 16TH WARD 2ND DIST</v>
      </c>
      <c r="D136" s="10" t="n">
        <f aca="false">'2026 Forecast A'!G90</f>
        <v>0.602923264311815</v>
      </c>
      <c r="E136" s="10" t="n">
        <f aca="false">'2026 Forecast B'!G90</f>
        <v>0.607795371498173</v>
      </c>
      <c r="F136" s="10" t="n">
        <f aca="false">'2026 Forecast C'!G90</f>
        <v>0.607795371498173</v>
      </c>
      <c r="G136" s="38" t="n">
        <f aca="false">(MAX(D136:F136)-MIN(D136:F136))*100</f>
        <v>0.487210718635811</v>
      </c>
      <c r="H136" s="39" t="n">
        <f aca="false">'2026 Forecast A'!L90</f>
        <v>2.13789583153489</v>
      </c>
      <c r="I136" s="39" t="n">
        <f aca="false">'2026 Forecast B'!L90</f>
        <v>2.24475965619494</v>
      </c>
      <c r="J136" s="39" t="n">
        <f aca="false">'2026 Forecast C'!L90</f>
        <v>2.3915225360787</v>
      </c>
      <c r="K136" s="18" t="n">
        <f aca="false">'2026 Forecast A'!F90</f>
        <v>821</v>
      </c>
      <c r="L136" s="40" t="str">
        <f aca="false">IF(OR(AND(D136&gt;0.5,E136&gt;0.5,F136&gt;0.5),AND(D136&lt;0.5,E136&lt;0.5,F136&lt;0.5)),"Yes","No — toss-up")</f>
        <v>Yes</v>
      </c>
    </row>
    <row r="137" customFormat="false" ht="15" hidden="false" customHeight="false" outlineLevel="0" collapsed="false">
      <c r="A137" s="9" t="str">
        <f aca="false">'2026 Forecast A'!A91</f>
        <v>Lehigh</v>
      </c>
      <c r="B137" s="9" t="str">
        <f aca="false">'2026 Forecast A'!B91</f>
        <v>ALLENTOWN</v>
      </c>
      <c r="C137" s="9" t="str">
        <f aca="false">'2026 Forecast A'!C91</f>
        <v>ALLENTOWN 17TH WARD 1ST DIST</v>
      </c>
      <c r="D137" s="10" t="n">
        <f aca="false">'2026 Forecast A'!G91</f>
        <v>0.675</v>
      </c>
      <c r="E137" s="10" t="n">
        <f aca="false">'2026 Forecast B'!G91</f>
        <v>0.673076923076923</v>
      </c>
      <c r="F137" s="10" t="n">
        <f aca="false">'2026 Forecast C'!G91</f>
        <v>0.684615384615385</v>
      </c>
      <c r="G137" s="38" t="n">
        <f aca="false">(MAX(D137:F137)-MIN(D137:F137))*100</f>
        <v>1.15384615384615</v>
      </c>
      <c r="H137" s="39" t="n">
        <f aca="false">'2026 Forecast A'!L91</f>
        <v>3.43333352273176</v>
      </c>
      <c r="I137" s="39" t="n">
        <f aca="false">'2026 Forecast B'!L91</f>
        <v>3.21167747490571</v>
      </c>
      <c r="J137" s="39" t="n">
        <f aca="false">'2026 Forecast C'!L91</f>
        <v>3.72283676191068</v>
      </c>
      <c r="K137" s="18" t="n">
        <f aca="false">'2026 Forecast A'!F91</f>
        <v>520</v>
      </c>
      <c r="L137" s="40" t="str">
        <f aca="false">IF(OR(AND(D137&gt;0.5,E137&gt;0.5,F137&gt;0.5),AND(D137&lt;0.5,E137&lt;0.5,F137&lt;0.5)),"Yes","No — toss-up")</f>
        <v>Yes</v>
      </c>
    </row>
    <row r="138" customFormat="false" ht="15" hidden="false" customHeight="false" outlineLevel="0" collapsed="false">
      <c r="A138" s="9" t="str">
        <f aca="false">'2026 Forecast A'!A92</f>
        <v>Lehigh</v>
      </c>
      <c r="B138" s="9" t="str">
        <f aca="false">'2026 Forecast A'!B92</f>
        <v>ALLENTOWN</v>
      </c>
      <c r="C138" s="9" t="str">
        <f aca="false">'2026 Forecast A'!C92</f>
        <v>ALLENTOWN 17TH WARD 2ND DIST</v>
      </c>
      <c r="D138" s="10" t="n">
        <f aca="false">'2026 Forecast A'!G92</f>
        <v>0.640194489465154</v>
      </c>
      <c r="E138" s="10" t="n">
        <f aca="false">'2026 Forecast B'!G92</f>
        <v>0.635332252836305</v>
      </c>
      <c r="F138" s="10" t="n">
        <f aca="false">'2026 Forecast C'!G92</f>
        <v>0.649918962722853</v>
      </c>
      <c r="G138" s="38" t="n">
        <f aca="false">(MAX(D138:F138)-MIN(D138:F138))*100</f>
        <v>1.45867098865479</v>
      </c>
      <c r="H138" s="39" t="n">
        <f aca="false">'2026 Forecast A'!L92</f>
        <v>2.13789583153489</v>
      </c>
      <c r="I138" s="39" t="n">
        <f aca="false">'2026 Forecast B'!L92</f>
        <v>2.24475965619494</v>
      </c>
      <c r="J138" s="39" t="n">
        <f aca="false">'2026 Forecast C'!L92</f>
        <v>2.3915225360787</v>
      </c>
      <c r="K138" s="18" t="n">
        <f aca="false">'2026 Forecast A'!F92</f>
        <v>617</v>
      </c>
      <c r="L138" s="40" t="str">
        <f aca="false">IF(OR(AND(D138&gt;0.5,E138&gt;0.5,F138&gt;0.5),AND(D138&lt;0.5,E138&lt;0.5,F138&lt;0.5)),"Yes","No — toss-up")</f>
        <v>Yes</v>
      </c>
    </row>
    <row r="139" customFormat="false" ht="15" hidden="false" customHeight="false" outlineLevel="0" collapsed="false">
      <c r="A139" s="9" t="str">
        <f aca="false">'2026 Forecast A'!A93</f>
        <v>Lehigh</v>
      </c>
      <c r="B139" s="9" t="str">
        <f aca="false">'2026 Forecast A'!B93</f>
        <v>ALLENTOWN</v>
      </c>
      <c r="C139" s="9" t="str">
        <f aca="false">'2026 Forecast A'!C93</f>
        <v>ALLENTOWN 17TH WARD 3RD DIST</v>
      </c>
      <c r="D139" s="10" t="n">
        <f aca="false">'2026 Forecast A'!G93</f>
        <v>0.627218934911243</v>
      </c>
      <c r="E139" s="10" t="n">
        <f aca="false">'2026 Forecast B'!G93</f>
        <v>0.622781065088757</v>
      </c>
      <c r="F139" s="10" t="n">
        <f aca="false">'2026 Forecast C'!G93</f>
        <v>0.640532544378698</v>
      </c>
      <c r="G139" s="38" t="n">
        <f aca="false">(MAX(D139:F139)-MIN(D139:F139))*100</f>
        <v>1.77514792899408</v>
      </c>
      <c r="H139" s="39" t="n">
        <f aca="false">'2026 Forecast A'!L93</f>
        <v>2.13789583153489</v>
      </c>
      <c r="I139" s="39" t="n">
        <f aca="false">'2026 Forecast B'!L93</f>
        <v>2.24475965619494</v>
      </c>
      <c r="J139" s="39" t="n">
        <f aca="false">'2026 Forecast C'!L93</f>
        <v>2.3915225360787</v>
      </c>
      <c r="K139" s="18" t="n">
        <f aca="false">'2026 Forecast A'!F93</f>
        <v>676</v>
      </c>
      <c r="L139" s="40" t="str">
        <f aca="false">IF(OR(AND(D139&gt;0.5,E139&gt;0.5,F139&gt;0.5),AND(D139&lt;0.5,E139&lt;0.5,F139&lt;0.5)),"Yes","No — toss-up")</f>
        <v>Yes</v>
      </c>
    </row>
    <row r="140" customFormat="false" ht="15" hidden="false" customHeight="false" outlineLevel="0" collapsed="false">
      <c r="A140" s="9" t="str">
        <f aca="false">'2026 Forecast A'!A94</f>
        <v>Lehigh</v>
      </c>
      <c r="B140" s="9" t="str">
        <f aca="false">'2026 Forecast A'!B94</f>
        <v>ALLENTOWN</v>
      </c>
      <c r="C140" s="9" t="str">
        <f aca="false">'2026 Forecast A'!C94</f>
        <v>ALLENTOWN 17TH WARD 4TH DIST</v>
      </c>
      <c r="D140" s="10" t="n">
        <f aca="false">'2026 Forecast A'!G94</f>
        <v>0.627027027027027</v>
      </c>
      <c r="E140" s="10" t="n">
        <f aca="false">'2026 Forecast B'!G94</f>
        <v>0.618018018018018</v>
      </c>
      <c r="F140" s="10" t="n">
        <f aca="false">'2026 Forecast C'!G94</f>
        <v>0.643243243243243</v>
      </c>
      <c r="G140" s="38" t="n">
        <f aca="false">(MAX(D140:F140)-MIN(D140:F140))*100</f>
        <v>2.52252252252252</v>
      </c>
      <c r="H140" s="39" t="n">
        <f aca="false">'2026 Forecast A'!L94</f>
        <v>3.43333352273176</v>
      </c>
      <c r="I140" s="39" t="n">
        <f aca="false">'2026 Forecast B'!L94</f>
        <v>3.21167747490571</v>
      </c>
      <c r="J140" s="39" t="n">
        <f aca="false">'2026 Forecast C'!L94</f>
        <v>3.72283676191068</v>
      </c>
      <c r="K140" s="18" t="n">
        <f aca="false">'2026 Forecast A'!F94</f>
        <v>555</v>
      </c>
      <c r="L140" s="40" t="str">
        <f aca="false">IF(OR(AND(D140&gt;0.5,E140&gt;0.5,F140&gt;0.5),AND(D140&lt;0.5,E140&lt;0.5,F140&lt;0.5)),"Yes","No — toss-up")</f>
        <v>Yes</v>
      </c>
    </row>
    <row r="141" customFormat="false" ht="15" hidden="false" customHeight="false" outlineLevel="0" collapsed="false">
      <c r="A141" s="9" t="str">
        <f aca="false">'2026 Forecast A'!A95</f>
        <v>Lehigh</v>
      </c>
      <c r="B141" s="9" t="str">
        <f aca="false">'2026 Forecast A'!B95</f>
        <v>ALLENTOWN</v>
      </c>
      <c r="C141" s="9" t="str">
        <f aca="false">'2026 Forecast A'!C95</f>
        <v>ALLENTOWN 17TH WD 4TH DT PARK</v>
      </c>
      <c r="D141" s="10" t="n">
        <f aca="false">'2026 Forecast A'!G95</f>
        <v>0.617744610281924</v>
      </c>
      <c r="E141" s="10" t="n">
        <f aca="false">'2026 Forecast B'!G95</f>
        <v>0.616915422885572</v>
      </c>
      <c r="F141" s="10" t="n">
        <f aca="false">'2026 Forecast C'!G95</f>
        <v>0.640961857379768</v>
      </c>
      <c r="G141" s="38" t="n">
        <f aca="false">(MAX(D141:F141)-MIN(D141:F141))*100</f>
        <v>2.40464344941957</v>
      </c>
      <c r="H141" s="39" t="n">
        <f aca="false">'2026 Forecast A'!L95</f>
        <v>1.75369314833214</v>
      </c>
      <c r="I141" s="39" t="n">
        <f aca="false">'2026 Forecast B'!L95</f>
        <v>2.1038293183682</v>
      </c>
      <c r="J141" s="39" t="n">
        <f aca="false">'2026 Forecast C'!L95</f>
        <v>1.909243057213</v>
      </c>
      <c r="K141" s="18" t="n">
        <f aca="false">'2026 Forecast A'!F95</f>
        <v>1206</v>
      </c>
      <c r="L141" s="40" t="str">
        <f aca="false">IF(OR(AND(D141&gt;0.5,E141&gt;0.5,F141&gt;0.5),AND(D141&lt;0.5,E141&lt;0.5,F141&lt;0.5)),"Yes","No — toss-up")</f>
        <v>Yes</v>
      </c>
    </row>
    <row r="142" customFormat="false" ht="15" hidden="false" customHeight="false" outlineLevel="0" collapsed="false">
      <c r="A142" s="9" t="str">
        <f aca="false">'2026 Forecast A'!A96</f>
        <v>Lehigh</v>
      </c>
      <c r="B142" s="9" t="str">
        <f aca="false">'2026 Forecast A'!B96</f>
        <v>ALLENTOWN</v>
      </c>
      <c r="C142" s="9" t="str">
        <f aca="false">'2026 Forecast A'!C96</f>
        <v>ALLENTOWN 18TH WARD 1ST DIST</v>
      </c>
      <c r="D142" s="10" t="n">
        <f aca="false">'2026 Forecast A'!G96</f>
        <v>0.671794871794872</v>
      </c>
      <c r="E142" s="10" t="n">
        <f aca="false">'2026 Forecast B'!G96</f>
        <v>0.666666666666667</v>
      </c>
      <c r="F142" s="10" t="n">
        <f aca="false">'2026 Forecast C'!G96</f>
        <v>0.68034188034188</v>
      </c>
      <c r="G142" s="38" t="n">
        <f aca="false">(MAX(D142:F142)-MIN(D142:F142))*100</f>
        <v>1.36752136752137</v>
      </c>
      <c r="H142" s="39" t="n">
        <f aca="false">'2026 Forecast A'!L96</f>
        <v>2.13789583153489</v>
      </c>
      <c r="I142" s="39" t="n">
        <f aca="false">'2026 Forecast B'!L96</f>
        <v>2.24475965619494</v>
      </c>
      <c r="J142" s="39" t="n">
        <f aca="false">'2026 Forecast C'!L96</f>
        <v>2.3915225360787</v>
      </c>
      <c r="K142" s="18" t="n">
        <f aca="false">'2026 Forecast A'!F96</f>
        <v>585</v>
      </c>
      <c r="L142" s="40" t="str">
        <f aca="false">IF(OR(AND(D142&gt;0.5,E142&gt;0.5,F142&gt;0.5),AND(D142&lt;0.5,E142&lt;0.5,F142&lt;0.5)),"Yes","No — toss-up")</f>
        <v>Yes</v>
      </c>
    </row>
    <row r="143" customFormat="false" ht="15" hidden="false" customHeight="false" outlineLevel="0" collapsed="false">
      <c r="A143" s="9" t="str">
        <f aca="false">'2026 Forecast A'!A97</f>
        <v>Lehigh</v>
      </c>
      <c r="B143" s="9" t="str">
        <f aca="false">'2026 Forecast A'!B97</f>
        <v>ALLENTOWN</v>
      </c>
      <c r="C143" s="9" t="str">
        <f aca="false">'2026 Forecast A'!C97</f>
        <v>ALLENTOWN 18TH WARD 2ND DIST</v>
      </c>
      <c r="D143" s="10" t="n">
        <f aca="false">'2026 Forecast A'!G97</f>
        <v>0.620382165605096</v>
      </c>
      <c r="E143" s="10" t="n">
        <f aca="false">'2026 Forecast B'!G97</f>
        <v>0.628025477707006</v>
      </c>
      <c r="F143" s="10" t="n">
        <f aca="false">'2026 Forecast C'!G97</f>
        <v>0.628025477707006</v>
      </c>
      <c r="G143" s="38" t="n">
        <f aca="false">(MAX(D143:F143)-MIN(D143:F143))*100</f>
        <v>0.764331210191083</v>
      </c>
      <c r="H143" s="39" t="n">
        <f aca="false">'2026 Forecast A'!L97</f>
        <v>2.13789583153489</v>
      </c>
      <c r="I143" s="39" t="n">
        <f aca="false">'2026 Forecast B'!L97</f>
        <v>2.24475965619494</v>
      </c>
      <c r="J143" s="39" t="n">
        <f aca="false">'2026 Forecast C'!L97</f>
        <v>2.3915225360787</v>
      </c>
      <c r="K143" s="18" t="n">
        <f aca="false">'2026 Forecast A'!F97</f>
        <v>785</v>
      </c>
      <c r="L143" s="40" t="str">
        <f aca="false">IF(OR(AND(D143&gt;0.5,E143&gt;0.5,F143&gt;0.5),AND(D143&lt;0.5,E143&lt;0.5,F143&lt;0.5)),"Yes","No — toss-up")</f>
        <v>Yes</v>
      </c>
    </row>
    <row r="144" customFormat="false" ht="15" hidden="false" customHeight="false" outlineLevel="0" collapsed="false">
      <c r="A144" s="9" t="str">
        <f aca="false">'2026 Forecast A'!A98</f>
        <v>Lehigh</v>
      </c>
      <c r="B144" s="9" t="str">
        <f aca="false">'2026 Forecast A'!B98</f>
        <v>ALLENTOWN</v>
      </c>
      <c r="C144" s="9" t="str">
        <f aca="false">'2026 Forecast A'!C98</f>
        <v>ALLENTOWN 18TH WD 2ND DT PARK</v>
      </c>
      <c r="D144" s="10" t="n">
        <f aca="false">'2026 Forecast A'!G98</f>
        <v>0.6</v>
      </c>
      <c r="E144" s="10" t="n">
        <f aca="false">'2026 Forecast B'!G98</f>
        <v>0.6</v>
      </c>
      <c r="F144" s="10" t="n">
        <f aca="false">'2026 Forecast C'!G98</f>
        <v>0.6</v>
      </c>
      <c r="G144" s="38" t="n">
        <f aca="false">(MAX(D144:F144)-MIN(D144:F144))*100</f>
        <v>0</v>
      </c>
      <c r="H144" s="39" t="n">
        <f aca="false">'2026 Forecast A'!L98</f>
        <v>3.43333352273176</v>
      </c>
      <c r="I144" s="39" t="n">
        <f aca="false">'2026 Forecast B'!L98</f>
        <v>3.21167747490571</v>
      </c>
      <c r="J144" s="39" t="n">
        <f aca="false">'2026 Forecast C'!L98</f>
        <v>3.72283676191068</v>
      </c>
      <c r="K144" s="18" t="n">
        <f aca="false">'2026 Forecast A'!F98</f>
        <v>20</v>
      </c>
      <c r="L144" s="40" t="str">
        <f aca="false">IF(OR(AND(D144&gt;0.5,E144&gt;0.5,F144&gt;0.5),AND(D144&lt;0.5,E144&lt;0.5,F144&lt;0.5)),"Yes","No — toss-up")</f>
        <v>Yes</v>
      </c>
    </row>
    <row r="145" customFormat="false" ht="15" hidden="false" customHeight="false" outlineLevel="0" collapsed="false">
      <c r="A145" s="9" t="str">
        <f aca="false">'2026 Forecast A'!A99</f>
        <v>Lehigh</v>
      </c>
      <c r="B145" s="9" t="str">
        <f aca="false">'2026 Forecast A'!B99</f>
        <v>ALLENTOWN</v>
      </c>
      <c r="C145" s="9" t="str">
        <f aca="false">'2026 Forecast A'!C99</f>
        <v>ALLENTOWN 19TH WARD 1ST DIST</v>
      </c>
      <c r="D145" s="10" t="n">
        <f aca="false">'2026 Forecast A'!G99</f>
        <v>0.572178477690289</v>
      </c>
      <c r="E145" s="10" t="n">
        <f aca="false">'2026 Forecast B'!G99</f>
        <v>0.585301837270341</v>
      </c>
      <c r="F145" s="10" t="n">
        <f aca="false">'2026 Forecast C'!G99</f>
        <v>0.57742782152231</v>
      </c>
      <c r="G145" s="38" t="n">
        <f aca="false">(MAX(D145:F145)-MIN(D145:F145))*100</f>
        <v>1.31233595800525</v>
      </c>
      <c r="H145" s="39" t="n">
        <f aca="false">'2026 Forecast A'!L99</f>
        <v>3.43333352273176</v>
      </c>
      <c r="I145" s="39" t="n">
        <f aca="false">'2026 Forecast B'!L99</f>
        <v>3.21167747490571</v>
      </c>
      <c r="J145" s="39" t="n">
        <f aca="false">'2026 Forecast C'!L99</f>
        <v>3.72283676191068</v>
      </c>
      <c r="K145" s="18" t="n">
        <f aca="false">'2026 Forecast A'!F99</f>
        <v>381</v>
      </c>
      <c r="L145" s="40" t="str">
        <f aca="false">IF(OR(AND(D145&gt;0.5,E145&gt;0.5,F145&gt;0.5),AND(D145&lt;0.5,E145&lt;0.5,F145&lt;0.5)),"Yes","No — toss-up")</f>
        <v>Yes</v>
      </c>
    </row>
    <row r="146" customFormat="false" ht="15" hidden="false" customHeight="false" outlineLevel="0" collapsed="false">
      <c r="A146" s="9" t="str">
        <f aca="false">'2026 Forecast A'!A100</f>
        <v>Lehigh</v>
      </c>
      <c r="B146" s="9" t="str">
        <f aca="false">'2026 Forecast A'!B100</f>
        <v>ALLENTOWN</v>
      </c>
      <c r="C146" s="9" t="str">
        <f aca="false">'2026 Forecast A'!C100</f>
        <v>ALLENTOWN 19TH WARD 2ND DIST</v>
      </c>
      <c r="D146" s="10" t="n">
        <f aca="false">'2026 Forecast A'!G100</f>
        <v>0.639285714285714</v>
      </c>
      <c r="E146" s="10" t="n">
        <f aca="false">'2026 Forecast B'!G100</f>
        <v>0.655357142857143</v>
      </c>
      <c r="F146" s="10" t="n">
        <f aca="false">'2026 Forecast C'!G100</f>
        <v>0.646428571428572</v>
      </c>
      <c r="G146" s="38" t="n">
        <f aca="false">(MAX(D146:F146)-MIN(D146:F146))*100</f>
        <v>1.60714285714286</v>
      </c>
      <c r="H146" s="39" t="n">
        <f aca="false">'2026 Forecast A'!L100</f>
        <v>3.43333352273176</v>
      </c>
      <c r="I146" s="39" t="n">
        <f aca="false">'2026 Forecast B'!L100</f>
        <v>3.21167747490571</v>
      </c>
      <c r="J146" s="39" t="n">
        <f aca="false">'2026 Forecast C'!L100</f>
        <v>3.72283676191068</v>
      </c>
      <c r="K146" s="18" t="n">
        <f aca="false">'2026 Forecast A'!F100</f>
        <v>560</v>
      </c>
      <c r="L146" s="40" t="str">
        <f aca="false">IF(OR(AND(D146&gt;0.5,E146&gt;0.5,F146&gt;0.5),AND(D146&lt;0.5,E146&lt;0.5,F146&lt;0.5)),"Yes","No — toss-up")</f>
        <v>Yes</v>
      </c>
    </row>
    <row r="147" customFormat="false" ht="15" hidden="false" customHeight="false" outlineLevel="0" collapsed="false">
      <c r="A147" s="9" t="str">
        <f aca="false">'2026 Forecast A'!A101</f>
        <v>Lehigh</v>
      </c>
      <c r="B147" s="9" t="str">
        <f aca="false">'2026 Forecast A'!B101</f>
        <v>ALLENTOWN</v>
      </c>
      <c r="C147" s="9" t="str">
        <f aca="false">'2026 Forecast A'!C101</f>
        <v>ALLENTOWN 19TH WARD 3RD DIST</v>
      </c>
      <c r="D147" s="10" t="n">
        <f aca="false">'2026 Forecast A'!G101</f>
        <v>0.599088838268793</v>
      </c>
      <c r="E147" s="10" t="n">
        <f aca="false">'2026 Forecast B'!G101</f>
        <v>0.601366742596811</v>
      </c>
      <c r="F147" s="10" t="n">
        <f aca="false">'2026 Forecast C'!G101</f>
        <v>0.610478359908884</v>
      </c>
      <c r="G147" s="38" t="n">
        <f aca="false">(MAX(D147:F147)-MIN(D147:F147))*100</f>
        <v>1.13895216400911</v>
      </c>
      <c r="H147" s="39" t="n">
        <f aca="false">'2026 Forecast A'!L101</f>
        <v>3.43333352273176</v>
      </c>
      <c r="I147" s="39" t="n">
        <f aca="false">'2026 Forecast B'!L101</f>
        <v>3.21167747490571</v>
      </c>
      <c r="J147" s="39" t="n">
        <f aca="false">'2026 Forecast C'!L101</f>
        <v>3.72283676191068</v>
      </c>
      <c r="K147" s="18" t="n">
        <f aca="false">'2026 Forecast A'!F101</f>
        <v>439</v>
      </c>
      <c r="L147" s="40" t="str">
        <f aca="false">IF(OR(AND(D147&gt;0.5,E147&gt;0.5,F147&gt;0.5),AND(D147&lt;0.5,E147&lt;0.5,F147&lt;0.5)),"Yes","No — toss-up")</f>
        <v>Yes</v>
      </c>
    </row>
    <row r="148" customFormat="false" ht="15" hidden="false" customHeight="false" outlineLevel="0" collapsed="false">
      <c r="A148" s="9" t="str">
        <f aca="false">'2026 Forecast A'!A102</f>
        <v>Lehigh</v>
      </c>
      <c r="B148" s="9" t="str">
        <f aca="false">'2026 Forecast A'!B102</f>
        <v>ALLENTOWN</v>
      </c>
      <c r="C148" s="9" t="str">
        <f aca="false">'2026 Forecast A'!C102</f>
        <v>ALLENTOWN 19TH WARD 4TH DIST</v>
      </c>
      <c r="D148" s="10" t="n">
        <f aca="false">'2026 Forecast A'!G102</f>
        <v>0.64</v>
      </c>
      <c r="E148" s="10" t="n">
        <f aca="false">'2026 Forecast B'!G102</f>
        <v>0.645333333333333</v>
      </c>
      <c r="F148" s="10" t="n">
        <f aca="false">'2026 Forecast C'!G102</f>
        <v>0.648</v>
      </c>
      <c r="G148" s="38" t="n">
        <f aca="false">(MAX(D148:F148)-MIN(D148:F148))*100</f>
        <v>0.800000000000001</v>
      </c>
      <c r="H148" s="39" t="n">
        <f aca="false">'2026 Forecast A'!L102</f>
        <v>3.43333352273176</v>
      </c>
      <c r="I148" s="39" t="n">
        <f aca="false">'2026 Forecast B'!L102</f>
        <v>3.21167747490571</v>
      </c>
      <c r="J148" s="39" t="n">
        <f aca="false">'2026 Forecast C'!L102</f>
        <v>3.72283676191068</v>
      </c>
      <c r="K148" s="18" t="n">
        <f aca="false">'2026 Forecast A'!F102</f>
        <v>375</v>
      </c>
      <c r="L148" s="40" t="str">
        <f aca="false">IF(OR(AND(D148&gt;0.5,E148&gt;0.5,F148&gt;0.5),AND(D148&lt;0.5,E148&lt;0.5,F148&lt;0.5)),"Yes","No — toss-up")</f>
        <v>Yes</v>
      </c>
    </row>
    <row r="149" customFormat="false" ht="15" hidden="false" customHeight="false" outlineLevel="0" collapsed="false">
      <c r="A149" s="9" t="str">
        <f aca="false">'2026 Forecast A'!A103</f>
        <v>Lehigh</v>
      </c>
      <c r="B149" s="9" t="str">
        <f aca="false">'2026 Forecast A'!B103</f>
        <v>ALLENTOWN</v>
      </c>
      <c r="C149" s="9" t="str">
        <f aca="false">'2026 Forecast A'!C103</f>
        <v>ALLENTOWN 19TH WARD 5TH DIST</v>
      </c>
      <c r="D149" s="10" t="n">
        <f aca="false">'2026 Forecast A'!G103</f>
        <v>0.610648918469218</v>
      </c>
      <c r="E149" s="10" t="n">
        <f aca="false">'2026 Forecast B'!G103</f>
        <v>0.613976705490849</v>
      </c>
      <c r="F149" s="10" t="n">
        <f aca="false">'2026 Forecast C'!G103</f>
        <v>0.617304492512479</v>
      </c>
      <c r="G149" s="38" t="n">
        <f aca="false">(MAX(D149:F149)-MIN(D149:F149))*100</f>
        <v>0.665557404326123</v>
      </c>
      <c r="H149" s="39" t="n">
        <f aca="false">'2026 Forecast A'!L103</f>
        <v>2.13789583153489</v>
      </c>
      <c r="I149" s="39" t="n">
        <f aca="false">'2026 Forecast B'!L103</f>
        <v>2.24475965619494</v>
      </c>
      <c r="J149" s="39" t="n">
        <f aca="false">'2026 Forecast C'!L103</f>
        <v>2.3915225360787</v>
      </c>
      <c r="K149" s="18" t="n">
        <f aca="false">'2026 Forecast A'!F103</f>
        <v>601</v>
      </c>
      <c r="L149" s="40" t="str">
        <f aca="false">IF(OR(AND(D149&gt;0.5,E149&gt;0.5,F149&gt;0.5),AND(D149&lt;0.5,E149&lt;0.5,F149&lt;0.5)),"Yes","No — toss-up")</f>
        <v>Yes</v>
      </c>
    </row>
    <row r="150" customFormat="false" ht="15" hidden="false" customHeight="false" outlineLevel="0" collapsed="false">
      <c r="A150" s="9" t="str">
        <f aca="false">'2026 Forecast A'!A104</f>
        <v>Lehigh</v>
      </c>
      <c r="B150" s="9" t="str">
        <f aca="false">'2026 Forecast A'!B104</f>
        <v>ALLENTOWN</v>
      </c>
      <c r="C150" s="9" t="str">
        <f aca="false">'2026 Forecast A'!C104</f>
        <v>ALLENTOWN 19TH WARD 5TH DT SAL</v>
      </c>
      <c r="D150" s="10" t="n">
        <f aca="false">'2026 Forecast A'!G104</f>
        <v>0.5</v>
      </c>
      <c r="E150" s="10" t="n">
        <f aca="false">'2026 Forecast B'!G104</f>
        <v>0.5</v>
      </c>
      <c r="F150" s="10" t="n">
        <f aca="false">'2026 Forecast C'!G104</f>
        <v>0.5</v>
      </c>
      <c r="G150" s="38" t="n">
        <f aca="false">(MAX(D150:F150)-MIN(D150:F150))*100</f>
        <v>0</v>
      </c>
      <c r="H150" s="39" t="n">
        <f aca="false">'2026 Forecast A'!L104</f>
        <v>3.43333352273176</v>
      </c>
      <c r="I150" s="39" t="n">
        <f aca="false">'2026 Forecast B'!L104</f>
        <v>3.21167747490571</v>
      </c>
      <c r="J150" s="39" t="n">
        <f aca="false">'2026 Forecast C'!L104</f>
        <v>3.72283676191068</v>
      </c>
      <c r="K150" s="18" t="n">
        <f aca="false">'2026 Forecast A'!F104</f>
        <v>2</v>
      </c>
      <c r="L150" s="40" t="str">
        <f aca="false">IF(OR(AND(D150&gt;0.5,E150&gt;0.5,F150&gt;0.5),AND(D150&lt;0.5,E150&lt;0.5,F150&lt;0.5)),"Yes","No — toss-up")</f>
        <v>No — toss-up</v>
      </c>
    </row>
    <row r="151" customFormat="false" ht="15" hidden="false" customHeight="false" outlineLevel="0" collapsed="false">
      <c r="A151" s="9" t="str">
        <f aca="false">'2026 Forecast A'!A105</f>
        <v>Lehigh</v>
      </c>
      <c r="B151" s="9" t="str">
        <f aca="false">'2026 Forecast A'!B105</f>
        <v>ALLENTOWN</v>
      </c>
      <c r="C151" s="9" t="str">
        <f aca="false">'2026 Forecast A'!C105</f>
        <v>ALLENTOWN 19TH WARD 6TH DIST</v>
      </c>
      <c r="D151" s="10" t="n">
        <f aca="false">'2026 Forecast A'!G105</f>
        <v>0.625</v>
      </c>
      <c r="E151" s="10" t="n">
        <f aca="false">'2026 Forecast B'!G105</f>
        <v>0.61734693877551</v>
      </c>
      <c r="F151" s="10" t="n">
        <f aca="false">'2026 Forecast C'!G105</f>
        <v>0.631377551020408</v>
      </c>
      <c r="G151" s="38" t="n">
        <f aca="false">(MAX(D151:F151)-MIN(D151:F151))*100</f>
        <v>1.4030612244898</v>
      </c>
      <c r="H151" s="39" t="n">
        <f aca="false">'2026 Forecast A'!L105</f>
        <v>2.13789583153489</v>
      </c>
      <c r="I151" s="39" t="n">
        <f aca="false">'2026 Forecast B'!L105</f>
        <v>2.24475965619494</v>
      </c>
      <c r="J151" s="39" t="n">
        <f aca="false">'2026 Forecast C'!L105</f>
        <v>2.3915225360787</v>
      </c>
      <c r="K151" s="18" t="n">
        <f aca="false">'2026 Forecast A'!F105</f>
        <v>784</v>
      </c>
      <c r="L151" s="40" t="str">
        <f aca="false">IF(OR(AND(D151&gt;0.5,E151&gt;0.5,F151&gt;0.5),AND(D151&lt;0.5,E151&lt;0.5,F151&lt;0.5)),"Yes","No — toss-up")</f>
        <v>Yes</v>
      </c>
    </row>
    <row r="152" customFormat="false" ht="15" hidden="false" customHeight="false" outlineLevel="0" collapsed="false">
      <c r="A152" s="9" t="str">
        <f aca="false">'2026 Forecast A'!A106</f>
        <v>Lehigh</v>
      </c>
      <c r="B152" s="9" t="str">
        <f aca="false">'2026 Forecast A'!B106</f>
        <v>ALLENTOWN</v>
      </c>
      <c r="C152" s="9" t="str">
        <f aca="false">'2026 Forecast A'!C106</f>
        <v>ALLENTOWN 1ST WARD</v>
      </c>
      <c r="D152" s="10" t="n">
        <f aca="false">'2026 Forecast A'!G106</f>
        <v>0.724025974025974</v>
      </c>
      <c r="E152" s="10" t="n">
        <f aca="false">'2026 Forecast B'!G106</f>
        <v>0.717532467532468</v>
      </c>
      <c r="F152" s="10" t="n">
        <f aca="false">'2026 Forecast C'!G106</f>
        <v>0.733766233766234</v>
      </c>
      <c r="G152" s="38" t="n">
        <f aca="false">(MAX(D152:F152)-MIN(D152:F152))*100</f>
        <v>1.62337662337662</v>
      </c>
      <c r="H152" s="39" t="n">
        <f aca="false">'2026 Forecast A'!L106</f>
        <v>3.43333352273176</v>
      </c>
      <c r="I152" s="39" t="n">
        <f aca="false">'2026 Forecast B'!L106</f>
        <v>3.21167747490571</v>
      </c>
      <c r="J152" s="39" t="n">
        <f aca="false">'2026 Forecast C'!L106</f>
        <v>3.72283676191068</v>
      </c>
      <c r="K152" s="18" t="n">
        <f aca="false">'2026 Forecast A'!F106</f>
        <v>308</v>
      </c>
      <c r="L152" s="40" t="str">
        <f aca="false">IF(OR(AND(D152&gt;0.5,E152&gt;0.5,F152&gt;0.5),AND(D152&lt;0.5,E152&lt;0.5,F152&lt;0.5)),"Yes","No — toss-up")</f>
        <v>Yes</v>
      </c>
    </row>
    <row r="153" customFormat="false" ht="15" hidden="false" customHeight="false" outlineLevel="0" collapsed="false">
      <c r="A153" s="9" t="str">
        <f aca="false">'2026 Forecast A'!A107</f>
        <v>Lehigh</v>
      </c>
      <c r="B153" s="9" t="str">
        <f aca="false">'2026 Forecast A'!B107</f>
        <v>ALLENTOWN</v>
      </c>
      <c r="C153" s="9" t="str">
        <f aca="false">'2026 Forecast A'!C107</f>
        <v>ALLENTOWN 2ND WARD</v>
      </c>
      <c r="D153" s="10" t="n">
        <f aca="false">'2026 Forecast A'!G107</f>
        <v>0.698529411764706</v>
      </c>
      <c r="E153" s="10" t="n">
        <f aca="false">'2026 Forecast B'!G107</f>
        <v>0.683823529411765</v>
      </c>
      <c r="F153" s="10" t="n">
        <f aca="false">'2026 Forecast C'!G107</f>
        <v>0.709558823529412</v>
      </c>
      <c r="G153" s="38" t="n">
        <f aca="false">(MAX(D153:F153)-MIN(D153:F153))*100</f>
        <v>2.57352941176471</v>
      </c>
      <c r="H153" s="39" t="n">
        <f aca="false">'2026 Forecast A'!L107</f>
        <v>3.43333352273176</v>
      </c>
      <c r="I153" s="39" t="n">
        <f aca="false">'2026 Forecast B'!L107</f>
        <v>3.21167747490571</v>
      </c>
      <c r="J153" s="39" t="n">
        <f aca="false">'2026 Forecast C'!L107</f>
        <v>3.72283676191068</v>
      </c>
      <c r="K153" s="18" t="n">
        <f aca="false">'2026 Forecast A'!F107</f>
        <v>272</v>
      </c>
      <c r="L153" s="40" t="str">
        <f aca="false">IF(OR(AND(D153&gt;0.5,E153&gt;0.5,F153&gt;0.5),AND(D153&lt;0.5,E153&lt;0.5,F153&lt;0.5)),"Yes","No — toss-up")</f>
        <v>Yes</v>
      </c>
    </row>
    <row r="154" customFormat="false" ht="15" hidden="false" customHeight="false" outlineLevel="0" collapsed="false">
      <c r="A154" s="9" t="str">
        <f aca="false">'2026 Forecast A'!A108</f>
        <v>Lehigh</v>
      </c>
      <c r="B154" s="9" t="str">
        <f aca="false">'2026 Forecast A'!B108</f>
        <v>ALLENTOWN</v>
      </c>
      <c r="C154" s="9" t="str">
        <f aca="false">'2026 Forecast A'!C108</f>
        <v>ALLENTOWN 3RD WARD</v>
      </c>
      <c r="D154" s="10" t="n">
        <f aca="false">'2026 Forecast A'!G108</f>
        <v>0.723636363636364</v>
      </c>
      <c r="E154" s="10" t="n">
        <f aca="false">'2026 Forecast B'!G108</f>
        <v>0.710909090909091</v>
      </c>
      <c r="F154" s="10" t="n">
        <f aca="false">'2026 Forecast C'!G108</f>
        <v>0.738181818181818</v>
      </c>
      <c r="G154" s="38" t="n">
        <f aca="false">(MAX(D154:F154)-MIN(D154:F154))*100</f>
        <v>2.72727272727272</v>
      </c>
      <c r="H154" s="39" t="n">
        <f aca="false">'2026 Forecast A'!L108</f>
        <v>3.43333352273176</v>
      </c>
      <c r="I154" s="39" t="n">
        <f aca="false">'2026 Forecast B'!L108</f>
        <v>3.21167747490571</v>
      </c>
      <c r="J154" s="39" t="n">
        <f aca="false">'2026 Forecast C'!L108</f>
        <v>3.72283676191068</v>
      </c>
      <c r="K154" s="18" t="n">
        <f aca="false">'2026 Forecast A'!F108</f>
        <v>550</v>
      </c>
      <c r="L154" s="40" t="str">
        <f aca="false">IF(OR(AND(D154&gt;0.5,E154&gt;0.5,F154&gt;0.5),AND(D154&lt;0.5,E154&lt;0.5,F154&lt;0.5)),"Yes","No — toss-up")</f>
        <v>Yes</v>
      </c>
    </row>
    <row r="155" customFormat="false" ht="15" hidden="false" customHeight="false" outlineLevel="0" collapsed="false">
      <c r="A155" s="9" t="str">
        <f aca="false">'2026 Forecast A'!A109</f>
        <v>Lehigh</v>
      </c>
      <c r="B155" s="9" t="str">
        <f aca="false">'2026 Forecast A'!B109</f>
        <v>ALLENTOWN</v>
      </c>
      <c r="C155" s="9" t="str">
        <f aca="false">'2026 Forecast A'!C109</f>
        <v>ALLENTOWN 4TH WARD</v>
      </c>
      <c r="D155" s="10" t="n">
        <f aca="false">'2026 Forecast A'!G109</f>
        <v>0.678111587982833</v>
      </c>
      <c r="E155" s="10" t="n">
        <f aca="false">'2026 Forecast B'!G109</f>
        <v>0.67381974248927</v>
      </c>
      <c r="F155" s="10" t="n">
        <f aca="false">'2026 Forecast C'!G109</f>
        <v>0.686695278969957</v>
      </c>
      <c r="G155" s="38" t="n">
        <f aca="false">(MAX(D155:F155)-MIN(D155:F155))*100</f>
        <v>1.28755364806867</v>
      </c>
      <c r="H155" s="39" t="n">
        <f aca="false">'2026 Forecast A'!L109</f>
        <v>3.43333352273176</v>
      </c>
      <c r="I155" s="39" t="n">
        <f aca="false">'2026 Forecast B'!L109</f>
        <v>3.21167747490571</v>
      </c>
      <c r="J155" s="39" t="n">
        <f aca="false">'2026 Forecast C'!L109</f>
        <v>3.72283676191068</v>
      </c>
      <c r="K155" s="18" t="n">
        <f aca="false">'2026 Forecast A'!F109</f>
        <v>233</v>
      </c>
      <c r="L155" s="40" t="str">
        <f aca="false">IF(OR(AND(D155&gt;0.5,E155&gt;0.5,F155&gt;0.5),AND(D155&lt;0.5,E155&lt;0.5,F155&lt;0.5)),"Yes","No — toss-up")</f>
        <v>Yes</v>
      </c>
    </row>
    <row r="156" customFormat="false" ht="15" hidden="false" customHeight="false" outlineLevel="0" collapsed="false">
      <c r="A156" s="9" t="str">
        <f aca="false">'2026 Forecast A'!A110</f>
        <v>Lehigh</v>
      </c>
      <c r="B156" s="9" t="str">
        <f aca="false">'2026 Forecast A'!B110</f>
        <v>ALLENTOWN</v>
      </c>
      <c r="C156" s="9" t="str">
        <f aca="false">'2026 Forecast A'!C110</f>
        <v>ALLENTOWN 5TH WARD</v>
      </c>
      <c r="D156" s="10" t="n">
        <f aca="false">'2026 Forecast A'!G110</f>
        <v>0.749185667752443</v>
      </c>
      <c r="E156" s="10" t="n">
        <f aca="false">'2026 Forecast B'!G110</f>
        <v>0.732899022801303</v>
      </c>
      <c r="F156" s="10" t="n">
        <f aca="false">'2026 Forecast C'!G110</f>
        <v>0.758957654723127</v>
      </c>
      <c r="G156" s="38" t="n">
        <f aca="false">(MAX(D156:F156)-MIN(D156:F156))*100</f>
        <v>2.60586319218241</v>
      </c>
      <c r="H156" s="39" t="n">
        <f aca="false">'2026 Forecast A'!L110</f>
        <v>3.43333352273176</v>
      </c>
      <c r="I156" s="39" t="n">
        <f aca="false">'2026 Forecast B'!L110</f>
        <v>3.21167747490571</v>
      </c>
      <c r="J156" s="39" t="n">
        <f aca="false">'2026 Forecast C'!L110</f>
        <v>3.72283676191068</v>
      </c>
      <c r="K156" s="18" t="n">
        <f aca="false">'2026 Forecast A'!F110</f>
        <v>307</v>
      </c>
      <c r="L156" s="40" t="str">
        <f aca="false">IF(OR(AND(D156&gt;0.5,E156&gt;0.5,F156&gt;0.5),AND(D156&lt;0.5,E156&lt;0.5,F156&lt;0.5)),"Yes","No — toss-up")</f>
        <v>Yes</v>
      </c>
    </row>
    <row r="157" customFormat="false" ht="15" hidden="false" customHeight="false" outlineLevel="0" collapsed="false">
      <c r="A157" s="9" t="str">
        <f aca="false">'2026 Forecast A'!A111</f>
        <v>Lehigh</v>
      </c>
      <c r="B157" s="9" t="str">
        <f aca="false">'2026 Forecast A'!B111</f>
        <v>ALLENTOWN</v>
      </c>
      <c r="C157" s="9" t="str">
        <f aca="false">'2026 Forecast A'!C111</f>
        <v>ALLENTOWN 6TH WARD 1ST DIST</v>
      </c>
      <c r="D157" s="10" t="n">
        <f aca="false">'2026 Forecast A'!G111</f>
        <v>0.647058823529412</v>
      </c>
      <c r="E157" s="10" t="n">
        <f aca="false">'2026 Forecast B'!G111</f>
        <v>0.663865546218487</v>
      </c>
      <c r="F157" s="10" t="n">
        <f aca="false">'2026 Forecast C'!G111</f>
        <v>0.65546218487395</v>
      </c>
      <c r="G157" s="38" t="n">
        <f aca="false">(MAX(D157:F157)-MIN(D157:F157))*100</f>
        <v>1.68067226890756</v>
      </c>
      <c r="H157" s="39" t="n">
        <f aca="false">'2026 Forecast A'!L111</f>
        <v>3.43333352273176</v>
      </c>
      <c r="I157" s="39" t="n">
        <f aca="false">'2026 Forecast B'!L111</f>
        <v>3.21167747490571</v>
      </c>
      <c r="J157" s="39" t="n">
        <f aca="false">'2026 Forecast C'!L111</f>
        <v>3.72283676191068</v>
      </c>
      <c r="K157" s="18" t="n">
        <f aca="false">'2026 Forecast A'!F111</f>
        <v>119</v>
      </c>
      <c r="L157" s="40" t="str">
        <f aca="false">IF(OR(AND(D157&gt;0.5,E157&gt;0.5,F157&gt;0.5),AND(D157&lt;0.5,E157&lt;0.5,F157&lt;0.5)),"Yes","No — toss-up")</f>
        <v>Yes</v>
      </c>
    </row>
    <row r="158" customFormat="false" ht="15" hidden="false" customHeight="false" outlineLevel="0" collapsed="false">
      <c r="A158" s="9" t="str">
        <f aca="false">'2026 Forecast A'!A112</f>
        <v>Lehigh</v>
      </c>
      <c r="B158" s="9" t="str">
        <f aca="false">'2026 Forecast A'!B112</f>
        <v>ALLENTOWN</v>
      </c>
      <c r="C158" s="9" t="str">
        <f aca="false">'2026 Forecast A'!C112</f>
        <v>ALLENTOWN 6TH WARD 2ND DIST</v>
      </c>
      <c r="D158" s="10" t="n">
        <f aca="false">'2026 Forecast A'!G112</f>
        <v>0.632302405498282</v>
      </c>
      <c r="E158" s="10" t="n">
        <f aca="false">'2026 Forecast B'!G112</f>
        <v>0.649484536082474</v>
      </c>
      <c r="F158" s="10" t="n">
        <f aca="false">'2026 Forecast C'!G112</f>
        <v>0.642611683848797</v>
      </c>
      <c r="G158" s="38" t="n">
        <f aca="false">(MAX(D158:F158)-MIN(D158:F158))*100</f>
        <v>1.71821305841925</v>
      </c>
      <c r="H158" s="39" t="n">
        <f aca="false">'2026 Forecast A'!L112</f>
        <v>3.43333352273176</v>
      </c>
      <c r="I158" s="39" t="n">
        <f aca="false">'2026 Forecast B'!L112</f>
        <v>3.21167747490571</v>
      </c>
      <c r="J158" s="39" t="n">
        <f aca="false">'2026 Forecast C'!L112</f>
        <v>3.72283676191068</v>
      </c>
      <c r="K158" s="18" t="n">
        <f aca="false">'2026 Forecast A'!F112</f>
        <v>291</v>
      </c>
      <c r="L158" s="40" t="str">
        <f aca="false">IF(OR(AND(D158&gt;0.5,E158&gt;0.5,F158&gt;0.5),AND(D158&lt;0.5,E158&lt;0.5,F158&lt;0.5)),"Yes","No — toss-up")</f>
        <v>Yes</v>
      </c>
    </row>
    <row r="159" customFormat="false" ht="15" hidden="false" customHeight="false" outlineLevel="0" collapsed="false">
      <c r="A159" s="9" t="str">
        <f aca="false">'2026 Forecast A'!A113</f>
        <v>Lehigh</v>
      </c>
      <c r="B159" s="9" t="str">
        <f aca="false">'2026 Forecast A'!B113</f>
        <v>ALLENTOWN</v>
      </c>
      <c r="C159" s="9" t="str">
        <f aca="false">'2026 Forecast A'!C113</f>
        <v>ALLENTOWN 7TH WARD</v>
      </c>
      <c r="D159" s="10" t="n">
        <f aca="false">'2026 Forecast A'!G113</f>
        <v>0.728</v>
      </c>
      <c r="E159" s="10" t="n">
        <f aca="false">'2026 Forecast B'!G113</f>
        <v>0.712</v>
      </c>
      <c r="F159" s="10" t="n">
        <f aca="false">'2026 Forecast C'!G113</f>
        <v>0.738666666666667</v>
      </c>
      <c r="G159" s="38" t="n">
        <f aca="false">(MAX(D159:F159)-MIN(D159:F159))*100</f>
        <v>2.66666666666667</v>
      </c>
      <c r="H159" s="39" t="n">
        <f aca="false">'2026 Forecast A'!L113</f>
        <v>3.43333352273176</v>
      </c>
      <c r="I159" s="39" t="n">
        <f aca="false">'2026 Forecast B'!L113</f>
        <v>3.21167747490571</v>
      </c>
      <c r="J159" s="39" t="n">
        <f aca="false">'2026 Forecast C'!L113</f>
        <v>3.72283676191068</v>
      </c>
      <c r="K159" s="18" t="n">
        <f aca="false">'2026 Forecast A'!F113</f>
        <v>375</v>
      </c>
      <c r="L159" s="40" t="str">
        <f aca="false">IF(OR(AND(D159&gt;0.5,E159&gt;0.5,F159&gt;0.5),AND(D159&lt;0.5,E159&lt;0.5,F159&lt;0.5)),"Yes","No — toss-up")</f>
        <v>Yes</v>
      </c>
    </row>
    <row r="160" customFormat="false" ht="15" hidden="false" customHeight="false" outlineLevel="0" collapsed="false">
      <c r="A160" s="9" t="str">
        <f aca="false">'2026 Forecast A'!A114</f>
        <v>Lehigh</v>
      </c>
      <c r="B160" s="9" t="str">
        <f aca="false">'2026 Forecast A'!B114</f>
        <v>ALLENTOWN</v>
      </c>
      <c r="C160" s="9" t="str">
        <f aca="false">'2026 Forecast A'!C114</f>
        <v>ALLENTOWN 8TH WARD 1ST DIST</v>
      </c>
      <c r="D160" s="10" t="n">
        <f aca="false">'2026 Forecast A'!G114</f>
        <v>0.729166666666667</v>
      </c>
      <c r="E160" s="10" t="n">
        <f aca="false">'2026 Forecast B'!G114</f>
        <v>0.722222222222222</v>
      </c>
      <c r="F160" s="10" t="n">
        <f aca="false">'2026 Forecast C'!G114</f>
        <v>0.743055555555556</v>
      </c>
      <c r="G160" s="38" t="n">
        <f aca="false">(MAX(D160:F160)-MIN(D160:F160))*100</f>
        <v>2.08333333333334</v>
      </c>
      <c r="H160" s="39" t="n">
        <f aca="false">'2026 Forecast A'!L114</f>
        <v>3.43333352273176</v>
      </c>
      <c r="I160" s="39" t="n">
        <f aca="false">'2026 Forecast B'!L114</f>
        <v>3.21167747490571</v>
      </c>
      <c r="J160" s="39" t="n">
        <f aca="false">'2026 Forecast C'!L114</f>
        <v>3.72283676191068</v>
      </c>
      <c r="K160" s="18" t="n">
        <f aca="false">'2026 Forecast A'!F114</f>
        <v>144</v>
      </c>
      <c r="L160" s="40" t="str">
        <f aca="false">IF(OR(AND(D160&gt;0.5,E160&gt;0.5,F160&gt;0.5),AND(D160&lt;0.5,E160&lt;0.5,F160&lt;0.5)),"Yes","No — toss-up")</f>
        <v>Yes</v>
      </c>
    </row>
    <row r="161" customFormat="false" ht="15" hidden="false" customHeight="false" outlineLevel="0" collapsed="false">
      <c r="A161" s="9" t="str">
        <f aca="false">'2026 Forecast A'!A115</f>
        <v>Lehigh</v>
      </c>
      <c r="B161" s="9" t="str">
        <f aca="false">'2026 Forecast A'!B115</f>
        <v>ALLENTOWN</v>
      </c>
      <c r="C161" s="9" t="str">
        <f aca="false">'2026 Forecast A'!C115</f>
        <v>ALLENTOWN 8TH WARD 2ND DIST</v>
      </c>
      <c r="D161" s="10" t="n">
        <f aca="false">'2026 Forecast A'!G115</f>
        <v>0.731428571428571</v>
      </c>
      <c r="E161" s="10" t="n">
        <f aca="false">'2026 Forecast B'!G115</f>
        <v>0.731428571428571</v>
      </c>
      <c r="F161" s="10" t="n">
        <f aca="false">'2026 Forecast C'!G115</f>
        <v>0.737142857142857</v>
      </c>
      <c r="G161" s="38" t="n">
        <f aca="false">(MAX(D161:F161)-MIN(D161:F161))*100</f>
        <v>0.571428571428567</v>
      </c>
      <c r="H161" s="39" t="n">
        <f aca="false">'2026 Forecast A'!L115</f>
        <v>3.43333352273176</v>
      </c>
      <c r="I161" s="39" t="n">
        <f aca="false">'2026 Forecast B'!L115</f>
        <v>3.21167747490571</v>
      </c>
      <c r="J161" s="39" t="n">
        <f aca="false">'2026 Forecast C'!L115</f>
        <v>3.72283676191068</v>
      </c>
      <c r="K161" s="18" t="n">
        <f aca="false">'2026 Forecast A'!F115</f>
        <v>175</v>
      </c>
      <c r="L161" s="40" t="str">
        <f aca="false">IF(OR(AND(D161&gt;0.5,E161&gt;0.5,F161&gt;0.5),AND(D161&lt;0.5,E161&lt;0.5,F161&lt;0.5)),"Yes","No — toss-up")</f>
        <v>Yes</v>
      </c>
    </row>
    <row r="162" customFormat="false" ht="15" hidden="false" customHeight="false" outlineLevel="0" collapsed="false">
      <c r="A162" s="9" t="str">
        <f aca="false">'2026 Forecast A'!A116</f>
        <v>Lehigh</v>
      </c>
      <c r="B162" s="9" t="str">
        <f aca="false">'2026 Forecast A'!B116</f>
        <v>ALLENTOWN</v>
      </c>
      <c r="C162" s="9" t="str">
        <f aca="false">'2026 Forecast A'!C116</f>
        <v>ALLENTOWN 8TH WARD 3RD DIST</v>
      </c>
      <c r="D162" s="10" t="n">
        <f aca="false">'2026 Forecast A'!G116</f>
        <v>0.730038022813688</v>
      </c>
      <c r="E162" s="10" t="n">
        <f aca="false">'2026 Forecast B'!G116</f>
        <v>0.726235741444867</v>
      </c>
      <c r="F162" s="10" t="n">
        <f aca="false">'2026 Forecast C'!G116</f>
        <v>0.741444866920152</v>
      </c>
      <c r="G162" s="38" t="n">
        <f aca="false">(MAX(D162:F162)-MIN(D162:F162))*100</f>
        <v>1.52091254752852</v>
      </c>
      <c r="H162" s="39" t="n">
        <f aca="false">'2026 Forecast A'!L116</f>
        <v>3.43333352273176</v>
      </c>
      <c r="I162" s="39" t="n">
        <f aca="false">'2026 Forecast B'!L116</f>
        <v>3.21167747490571</v>
      </c>
      <c r="J162" s="39" t="n">
        <f aca="false">'2026 Forecast C'!L116</f>
        <v>3.72283676191068</v>
      </c>
      <c r="K162" s="18" t="n">
        <f aca="false">'2026 Forecast A'!F116</f>
        <v>263</v>
      </c>
      <c r="L162" s="40" t="str">
        <f aca="false">IF(OR(AND(D162&gt;0.5,E162&gt;0.5,F162&gt;0.5),AND(D162&lt;0.5,E162&lt;0.5,F162&lt;0.5)),"Yes","No — toss-up")</f>
        <v>Yes</v>
      </c>
    </row>
    <row r="163" customFormat="false" ht="15" hidden="false" customHeight="false" outlineLevel="0" collapsed="false">
      <c r="A163" s="9" t="str">
        <f aca="false">'2026 Forecast A'!A117</f>
        <v>Lehigh</v>
      </c>
      <c r="B163" s="9" t="str">
        <f aca="false">'2026 Forecast A'!B117</f>
        <v>ALLENTOWN</v>
      </c>
      <c r="C163" s="9" t="str">
        <f aca="false">'2026 Forecast A'!C117</f>
        <v>ALLENTOWN 8TH WARD 4TH DIST</v>
      </c>
      <c r="D163" s="10" t="n">
        <f aca="false">'2026 Forecast A'!G117</f>
        <v>0.661257606490872</v>
      </c>
      <c r="E163" s="10" t="n">
        <f aca="false">'2026 Forecast B'!G117</f>
        <v>0.659229208924949</v>
      </c>
      <c r="F163" s="10" t="n">
        <f aca="false">'2026 Forecast C'!G117</f>
        <v>0.669371196754564</v>
      </c>
      <c r="G163" s="38" t="n">
        <f aca="false">(MAX(D163:F163)-MIN(D163:F163))*100</f>
        <v>1.01419878296146</v>
      </c>
      <c r="H163" s="39" t="n">
        <f aca="false">'2026 Forecast A'!L117</f>
        <v>3.43333352273176</v>
      </c>
      <c r="I163" s="39" t="n">
        <f aca="false">'2026 Forecast B'!L117</f>
        <v>3.21167747490571</v>
      </c>
      <c r="J163" s="39" t="n">
        <f aca="false">'2026 Forecast C'!L117</f>
        <v>3.72283676191068</v>
      </c>
      <c r="K163" s="18" t="n">
        <f aca="false">'2026 Forecast A'!F117</f>
        <v>493</v>
      </c>
      <c r="L163" s="40" t="str">
        <f aca="false">IF(OR(AND(D163&gt;0.5,E163&gt;0.5,F163&gt;0.5),AND(D163&lt;0.5,E163&lt;0.5,F163&lt;0.5)),"Yes","No — toss-up")</f>
        <v>Yes</v>
      </c>
    </row>
    <row r="164" customFormat="false" ht="15" hidden="false" customHeight="false" outlineLevel="0" collapsed="false">
      <c r="A164" s="9" t="str">
        <f aca="false">'2026 Forecast A'!A118</f>
        <v>Lehigh</v>
      </c>
      <c r="B164" s="9" t="str">
        <f aca="false">'2026 Forecast A'!B118</f>
        <v>ALLENTOWN</v>
      </c>
      <c r="C164" s="9" t="str">
        <f aca="false">'2026 Forecast A'!C118</f>
        <v>ALLENTOWN 8TH WARD 5TH DIST</v>
      </c>
      <c r="D164" s="10" t="n">
        <f aca="false">'2026 Forecast A'!G118</f>
        <v>0.665178571428571</v>
      </c>
      <c r="E164" s="10" t="n">
        <f aca="false">'2026 Forecast B'!G118</f>
        <v>0.669642857142857</v>
      </c>
      <c r="F164" s="10" t="n">
        <f aca="false">'2026 Forecast C'!G118</f>
        <v>0.678571428571429</v>
      </c>
      <c r="G164" s="38" t="n">
        <f aca="false">(MAX(D164:F164)-MIN(D164:F164))*100</f>
        <v>1.33928571428572</v>
      </c>
      <c r="H164" s="39" t="n">
        <f aca="false">'2026 Forecast A'!L118</f>
        <v>3.43333352273176</v>
      </c>
      <c r="I164" s="39" t="n">
        <f aca="false">'2026 Forecast B'!L118</f>
        <v>3.21167747490571</v>
      </c>
      <c r="J164" s="39" t="n">
        <f aca="false">'2026 Forecast C'!L118</f>
        <v>3.72283676191068</v>
      </c>
      <c r="K164" s="18" t="n">
        <f aca="false">'2026 Forecast A'!F118</f>
        <v>224</v>
      </c>
      <c r="L164" s="40" t="str">
        <f aca="false">IF(OR(AND(D164&gt;0.5,E164&gt;0.5,F164&gt;0.5),AND(D164&lt;0.5,E164&lt;0.5,F164&lt;0.5)),"Yes","No — toss-up")</f>
        <v>Yes</v>
      </c>
    </row>
    <row r="165" customFormat="false" ht="15" hidden="false" customHeight="false" outlineLevel="0" collapsed="false">
      <c r="A165" s="9" t="str">
        <f aca="false">'2026 Forecast A'!A119</f>
        <v>Lehigh</v>
      </c>
      <c r="B165" s="9" t="str">
        <f aca="false">'2026 Forecast A'!B119</f>
        <v>ALLENTOWN</v>
      </c>
      <c r="C165" s="9" t="str">
        <f aca="false">'2026 Forecast A'!C119</f>
        <v>ALLENTOWN 8TH WARD 6TH DIST</v>
      </c>
      <c r="D165" s="10" t="n">
        <f aca="false">'2026 Forecast A'!G119</f>
        <v>0.681818181818182</v>
      </c>
      <c r="E165" s="10" t="n">
        <f aca="false">'2026 Forecast B'!G119</f>
        <v>0.690082644628099</v>
      </c>
      <c r="F165" s="10" t="n">
        <f aca="false">'2026 Forecast C'!G119</f>
        <v>0.690082644628099</v>
      </c>
      <c r="G165" s="38" t="n">
        <f aca="false">(MAX(D165:F165)-MIN(D165:F165))*100</f>
        <v>0.826446280991744</v>
      </c>
      <c r="H165" s="39" t="n">
        <f aca="false">'2026 Forecast A'!L119</f>
        <v>3.43333352273176</v>
      </c>
      <c r="I165" s="39" t="n">
        <f aca="false">'2026 Forecast B'!L119</f>
        <v>3.21167747490571</v>
      </c>
      <c r="J165" s="39" t="n">
        <f aca="false">'2026 Forecast C'!L119</f>
        <v>3.72283676191068</v>
      </c>
      <c r="K165" s="18" t="n">
        <f aca="false">'2026 Forecast A'!F119</f>
        <v>242</v>
      </c>
      <c r="L165" s="40" t="str">
        <f aca="false">IF(OR(AND(D165&gt;0.5,E165&gt;0.5,F165&gt;0.5),AND(D165&lt;0.5,E165&lt;0.5,F165&lt;0.5)),"Yes","No — toss-up")</f>
        <v>Yes</v>
      </c>
    </row>
    <row r="166" customFormat="false" ht="15" hidden="false" customHeight="false" outlineLevel="0" collapsed="false">
      <c r="A166" s="9" t="str">
        <f aca="false">'2026 Forecast A'!A120</f>
        <v>Lehigh</v>
      </c>
      <c r="B166" s="9" t="str">
        <f aca="false">'2026 Forecast A'!B120</f>
        <v>ALLENTOWN</v>
      </c>
      <c r="C166" s="9" t="str">
        <f aca="false">'2026 Forecast A'!C120</f>
        <v>ALLENTOWN 8TH WARD 7TH DIST</v>
      </c>
      <c r="D166" s="10" t="n">
        <f aca="false">'2026 Forecast A'!G120</f>
        <v>0.621380846325167</v>
      </c>
      <c r="E166" s="10" t="n">
        <f aca="false">'2026 Forecast B'!G120</f>
        <v>0.628062360801782</v>
      </c>
      <c r="F166" s="10" t="n">
        <f aca="false">'2026 Forecast C'!G120</f>
        <v>0.630289532293987</v>
      </c>
      <c r="G166" s="38" t="n">
        <f aca="false">(MAX(D166:F166)-MIN(D166:F166))*100</f>
        <v>0.890868596881966</v>
      </c>
      <c r="H166" s="39" t="n">
        <f aca="false">'2026 Forecast A'!L120</f>
        <v>3.43333352273176</v>
      </c>
      <c r="I166" s="39" t="n">
        <f aca="false">'2026 Forecast B'!L120</f>
        <v>3.21167747490571</v>
      </c>
      <c r="J166" s="39" t="n">
        <f aca="false">'2026 Forecast C'!L120</f>
        <v>3.72283676191068</v>
      </c>
      <c r="K166" s="18" t="n">
        <f aca="false">'2026 Forecast A'!F120</f>
        <v>449</v>
      </c>
      <c r="L166" s="40" t="str">
        <f aca="false">IF(OR(AND(D166&gt;0.5,E166&gt;0.5,F166&gt;0.5),AND(D166&lt;0.5,E166&lt;0.5,F166&lt;0.5)),"Yes","No — toss-up")</f>
        <v>Yes</v>
      </c>
    </row>
    <row r="167" customFormat="false" ht="15" hidden="false" customHeight="false" outlineLevel="0" collapsed="false">
      <c r="A167" s="9" t="str">
        <f aca="false">'2026 Forecast A'!A121</f>
        <v>Lehigh</v>
      </c>
      <c r="B167" s="9" t="str">
        <f aca="false">'2026 Forecast A'!B121</f>
        <v>ALLENTOWN</v>
      </c>
      <c r="C167" s="9" t="str">
        <f aca="false">'2026 Forecast A'!C121</f>
        <v>ALLENTOWN 9TH WARD</v>
      </c>
      <c r="D167" s="10" t="n">
        <f aca="false">'2026 Forecast A'!G121</f>
        <v>0.687096774193548</v>
      </c>
      <c r="E167" s="10" t="n">
        <f aca="false">'2026 Forecast B'!G121</f>
        <v>0.690322580645161</v>
      </c>
      <c r="F167" s="10" t="n">
        <f aca="false">'2026 Forecast C'!G121</f>
        <v>0.696774193548387</v>
      </c>
      <c r="G167" s="38" t="n">
        <f aca="false">(MAX(D167:F167)-MIN(D167:F167))*100</f>
        <v>0.967741935483868</v>
      </c>
      <c r="H167" s="39" t="n">
        <f aca="false">'2026 Forecast A'!L121</f>
        <v>3.43333352273176</v>
      </c>
      <c r="I167" s="39" t="n">
        <f aca="false">'2026 Forecast B'!L121</f>
        <v>3.21167747490571</v>
      </c>
      <c r="J167" s="39" t="n">
        <f aca="false">'2026 Forecast C'!L121</f>
        <v>3.72283676191068</v>
      </c>
      <c r="K167" s="18" t="n">
        <f aca="false">'2026 Forecast A'!F121</f>
        <v>310</v>
      </c>
      <c r="L167" s="40" t="str">
        <f aca="false">IF(OR(AND(D167&gt;0.5,E167&gt;0.5,F167&gt;0.5),AND(D167&lt;0.5,E167&lt;0.5,F167&lt;0.5)),"Yes","No — toss-up")</f>
        <v>Yes</v>
      </c>
    </row>
    <row r="168" customFormat="false" ht="15" hidden="false" customHeight="false" outlineLevel="0" collapsed="false">
      <c r="A168" s="9" t="str">
        <f aca="false">'2026 Forecast A'!A122</f>
        <v>Lehigh</v>
      </c>
      <c r="B168" s="9" t="str">
        <f aca="false">'2026 Forecast A'!B122</f>
        <v>BETHLEHEM</v>
      </c>
      <c r="C168" s="9" t="str">
        <f aca="false">'2026 Forecast A'!C122</f>
        <v>BETHLEHEM 10TH WARD</v>
      </c>
      <c r="D168" s="10" t="n">
        <f aca="false">'2026 Forecast A'!G122</f>
        <v>0.710806697108067</v>
      </c>
      <c r="E168" s="10" t="n">
        <f aca="false">'2026 Forecast B'!G122</f>
        <v>0.700152207001522</v>
      </c>
      <c r="F168" s="10" t="n">
        <f aca="false">'2026 Forecast C'!G122</f>
        <v>0.722983257229833</v>
      </c>
      <c r="G168" s="38" t="n">
        <f aca="false">(MAX(D168:F168)-MIN(D168:F168))*100</f>
        <v>2.28310502283106</v>
      </c>
      <c r="H168" s="39" t="n">
        <f aca="false">'2026 Forecast A'!L122</f>
        <v>2.13789583153489</v>
      </c>
      <c r="I168" s="39" t="n">
        <f aca="false">'2026 Forecast B'!L122</f>
        <v>2.24475965619494</v>
      </c>
      <c r="J168" s="39" t="n">
        <f aca="false">'2026 Forecast C'!L122</f>
        <v>2.3915225360787</v>
      </c>
      <c r="K168" s="18" t="n">
        <f aca="false">'2026 Forecast A'!F122</f>
        <v>657</v>
      </c>
      <c r="L168" s="40" t="str">
        <f aca="false">IF(OR(AND(D168&gt;0.5,E168&gt;0.5,F168&gt;0.5),AND(D168&lt;0.5,E168&lt;0.5,F168&lt;0.5)),"Yes","No — toss-up")</f>
        <v>Yes</v>
      </c>
    </row>
    <row r="169" customFormat="false" ht="15" hidden="false" customHeight="false" outlineLevel="0" collapsed="false">
      <c r="A169" s="9" t="str">
        <f aca="false">'2026 Forecast A'!A123</f>
        <v>Lehigh</v>
      </c>
      <c r="B169" s="9" t="str">
        <f aca="false">'2026 Forecast A'!B123</f>
        <v>BETHLEHEM</v>
      </c>
      <c r="C169" s="9" t="str">
        <f aca="false">'2026 Forecast A'!C123</f>
        <v>BETHLEHEM 11TH WARD</v>
      </c>
      <c r="D169" s="10" t="n">
        <f aca="false">'2026 Forecast A'!G123</f>
        <v>0.667381974248927</v>
      </c>
      <c r="E169" s="10" t="n">
        <f aca="false">'2026 Forecast B'!G123</f>
        <v>0.656652360515021</v>
      </c>
      <c r="F169" s="10" t="n">
        <f aca="false">'2026 Forecast C'!G123</f>
        <v>0.67381974248927</v>
      </c>
      <c r="G169" s="38" t="n">
        <f aca="false">(MAX(D169:F169)-MIN(D169:F169))*100</f>
        <v>1.71673819742489</v>
      </c>
      <c r="H169" s="39" t="n">
        <f aca="false">'2026 Forecast A'!L123</f>
        <v>3.43333352273176</v>
      </c>
      <c r="I169" s="39" t="n">
        <f aca="false">'2026 Forecast B'!L123</f>
        <v>3.21167747490571</v>
      </c>
      <c r="J169" s="39" t="n">
        <f aca="false">'2026 Forecast C'!L123</f>
        <v>3.72283676191068</v>
      </c>
      <c r="K169" s="18" t="n">
        <f aca="false">'2026 Forecast A'!F123</f>
        <v>466</v>
      </c>
      <c r="L169" s="40" t="str">
        <f aca="false">IF(OR(AND(D169&gt;0.5,E169&gt;0.5,F169&gt;0.5),AND(D169&lt;0.5,E169&lt;0.5,F169&lt;0.5)),"Yes","No — toss-up")</f>
        <v>Yes</v>
      </c>
    </row>
    <row r="170" customFormat="false" ht="15" hidden="false" customHeight="false" outlineLevel="0" collapsed="false">
      <c r="A170" s="9" t="str">
        <f aca="false">'2026 Forecast A'!A124</f>
        <v>Lehigh</v>
      </c>
      <c r="B170" s="9" t="str">
        <f aca="false">'2026 Forecast A'!B124</f>
        <v>BETHLEHEM</v>
      </c>
      <c r="C170" s="9" t="str">
        <f aca="false">'2026 Forecast A'!C124</f>
        <v>BETHLEHEM 12TH WARD 1ST DIST</v>
      </c>
      <c r="D170" s="10" t="n">
        <f aca="false">'2026 Forecast A'!G124</f>
        <v>0.716632443531828</v>
      </c>
      <c r="E170" s="10" t="n">
        <f aca="false">'2026 Forecast B'!G124</f>
        <v>0.704312114989733</v>
      </c>
      <c r="F170" s="10" t="n">
        <f aca="false">'2026 Forecast C'!G124</f>
        <v>0.728952772073922</v>
      </c>
      <c r="G170" s="38" t="n">
        <f aca="false">(MAX(D170:F170)-MIN(D170:F170))*100</f>
        <v>2.46406570841889</v>
      </c>
      <c r="H170" s="39" t="n">
        <f aca="false">'2026 Forecast A'!L124</f>
        <v>3.43333352273176</v>
      </c>
      <c r="I170" s="39" t="n">
        <f aca="false">'2026 Forecast B'!L124</f>
        <v>3.21167747490571</v>
      </c>
      <c r="J170" s="39" t="n">
        <f aca="false">'2026 Forecast C'!L124</f>
        <v>3.72283676191068</v>
      </c>
      <c r="K170" s="18" t="n">
        <f aca="false">'2026 Forecast A'!F124</f>
        <v>487</v>
      </c>
      <c r="L170" s="40" t="str">
        <f aca="false">IF(OR(AND(D170&gt;0.5,E170&gt;0.5,F170&gt;0.5),AND(D170&lt;0.5,E170&lt;0.5,F170&lt;0.5)),"Yes","No — toss-up")</f>
        <v>Yes</v>
      </c>
    </row>
    <row r="171" customFormat="false" ht="15" hidden="false" customHeight="false" outlineLevel="0" collapsed="false">
      <c r="A171" s="9" t="str">
        <f aca="false">'2026 Forecast A'!A125</f>
        <v>Lehigh</v>
      </c>
      <c r="B171" s="9" t="str">
        <f aca="false">'2026 Forecast A'!B125</f>
        <v>BETHLEHEM</v>
      </c>
      <c r="C171" s="9" t="str">
        <f aca="false">'2026 Forecast A'!C125</f>
        <v>BETHLEHEM 12TH WARD 2ND DIST</v>
      </c>
      <c r="D171" s="10" t="n">
        <f aca="false">'2026 Forecast A'!G125</f>
        <v>0.685557586837294</v>
      </c>
      <c r="E171" s="10" t="n">
        <f aca="false">'2026 Forecast B'!G125</f>
        <v>0.681901279707496</v>
      </c>
      <c r="F171" s="10" t="n">
        <f aca="false">'2026 Forecast C'!G125</f>
        <v>0.694698354661792</v>
      </c>
      <c r="G171" s="38" t="n">
        <f aca="false">(MAX(D171:F171)-MIN(D171:F171))*100</f>
        <v>1.27970749542962</v>
      </c>
      <c r="H171" s="39" t="n">
        <f aca="false">'2026 Forecast A'!L125</f>
        <v>3.43333352273176</v>
      </c>
      <c r="I171" s="39" t="n">
        <f aca="false">'2026 Forecast B'!L125</f>
        <v>3.21167747490571</v>
      </c>
      <c r="J171" s="39" t="n">
        <f aca="false">'2026 Forecast C'!L125</f>
        <v>3.72283676191068</v>
      </c>
      <c r="K171" s="18" t="n">
        <f aca="false">'2026 Forecast A'!F125</f>
        <v>547</v>
      </c>
      <c r="L171" s="40" t="str">
        <f aca="false">IF(OR(AND(D171&gt;0.5,E171&gt;0.5,F171&gt;0.5),AND(D171&lt;0.5,E171&lt;0.5,F171&lt;0.5)),"Yes","No — toss-up")</f>
        <v>Yes</v>
      </c>
    </row>
    <row r="172" customFormat="false" ht="15" hidden="false" customHeight="false" outlineLevel="0" collapsed="false">
      <c r="A172" s="9" t="str">
        <f aca="false">'2026 Forecast A'!A126</f>
        <v>Lehigh</v>
      </c>
      <c r="B172" s="9" t="str">
        <f aca="false">'2026 Forecast A'!B126</f>
        <v>BETHLEHEM</v>
      </c>
      <c r="C172" s="9" t="str">
        <f aca="false">'2026 Forecast A'!C126</f>
        <v>BETHLEHEM 13TH WARD 1ST DIST</v>
      </c>
      <c r="D172" s="10" t="n">
        <f aca="false">'2026 Forecast A'!G126</f>
        <v>0.642538975501114</v>
      </c>
      <c r="E172" s="10" t="n">
        <f aca="false">'2026 Forecast B'!G126</f>
        <v>0.633630289532294</v>
      </c>
      <c r="F172" s="10" t="n">
        <f aca="false">'2026 Forecast C'!G126</f>
        <v>0.652561247216036</v>
      </c>
      <c r="G172" s="38" t="n">
        <f aca="false">(MAX(D172:F172)-MIN(D172:F172))*100</f>
        <v>1.89309576837416</v>
      </c>
      <c r="H172" s="39" t="n">
        <f aca="false">'2026 Forecast A'!L126</f>
        <v>2.13789583153489</v>
      </c>
      <c r="I172" s="39" t="n">
        <f aca="false">'2026 Forecast B'!L126</f>
        <v>2.24475965619494</v>
      </c>
      <c r="J172" s="39" t="n">
        <f aca="false">'2026 Forecast C'!L126</f>
        <v>2.3915225360787</v>
      </c>
      <c r="K172" s="18" t="n">
        <f aca="false">'2026 Forecast A'!F126</f>
        <v>898</v>
      </c>
      <c r="L172" s="40" t="str">
        <f aca="false">IF(OR(AND(D172&gt;0.5,E172&gt;0.5,F172&gt;0.5),AND(D172&lt;0.5,E172&lt;0.5,F172&lt;0.5)),"Yes","No — toss-up")</f>
        <v>Yes</v>
      </c>
    </row>
    <row r="173" customFormat="false" ht="15" hidden="false" customHeight="false" outlineLevel="0" collapsed="false">
      <c r="A173" s="9" t="str">
        <f aca="false">'2026 Forecast A'!A127</f>
        <v>Lehigh</v>
      </c>
      <c r="B173" s="9" t="str">
        <f aca="false">'2026 Forecast A'!B127</f>
        <v>BETHLEHEM</v>
      </c>
      <c r="C173" s="9" t="str">
        <f aca="false">'2026 Forecast A'!C127</f>
        <v>BETHLEHEM 13TH WARD 2ND DIST</v>
      </c>
      <c r="D173" s="10" t="n">
        <f aca="false">'2026 Forecast A'!G127</f>
        <v>0.621451104100946</v>
      </c>
      <c r="E173" s="10" t="n">
        <f aca="false">'2026 Forecast B'!G127</f>
        <v>0.623028391167192</v>
      </c>
      <c r="F173" s="10" t="n">
        <f aca="false">'2026 Forecast C'!G127</f>
        <v>0.627760252365931</v>
      </c>
      <c r="G173" s="38" t="n">
        <f aca="false">(MAX(D173:F173)-MIN(D173:F173))*100</f>
        <v>0.630914826498419</v>
      </c>
      <c r="H173" s="39" t="n">
        <f aca="false">'2026 Forecast A'!L127</f>
        <v>2.13789583153489</v>
      </c>
      <c r="I173" s="39" t="n">
        <f aca="false">'2026 Forecast B'!L127</f>
        <v>2.24475965619494</v>
      </c>
      <c r="J173" s="39" t="n">
        <f aca="false">'2026 Forecast C'!L127</f>
        <v>2.3915225360787</v>
      </c>
      <c r="K173" s="18" t="n">
        <f aca="false">'2026 Forecast A'!F127</f>
        <v>634</v>
      </c>
      <c r="L173" s="40" t="str">
        <f aca="false">IF(OR(AND(D173&gt;0.5,E173&gt;0.5,F173&gt;0.5),AND(D173&lt;0.5,E173&lt;0.5,F173&lt;0.5)),"Yes","No — toss-up")</f>
        <v>Yes</v>
      </c>
    </row>
    <row r="174" customFormat="false" ht="15" hidden="false" customHeight="false" outlineLevel="0" collapsed="false">
      <c r="A174" s="9" t="str">
        <f aca="false">'2026 Forecast A'!A128</f>
        <v>Lehigh</v>
      </c>
      <c r="B174" s="9" t="str">
        <f aca="false">'2026 Forecast A'!B128</f>
        <v>BETHLEHEM</v>
      </c>
      <c r="C174" s="9" t="str">
        <f aca="false">'2026 Forecast A'!C128</f>
        <v>BETHLEHEM 13TH WARD 3RD DIST</v>
      </c>
      <c r="D174" s="10" t="n">
        <f aca="false">'2026 Forecast A'!G128</f>
        <v>0.606602475928473</v>
      </c>
      <c r="E174" s="10" t="n">
        <f aca="false">'2026 Forecast B'!G128</f>
        <v>0.603851444291609</v>
      </c>
      <c r="F174" s="10" t="n">
        <f aca="false">'2026 Forecast C'!G128</f>
        <v>0.61898211829436</v>
      </c>
      <c r="G174" s="38" t="n">
        <f aca="false">(MAX(D174:F174)-MIN(D174:F174))*100</f>
        <v>1.5130674002751</v>
      </c>
      <c r="H174" s="39" t="n">
        <f aca="false">'2026 Forecast A'!L128</f>
        <v>2.13789583153489</v>
      </c>
      <c r="I174" s="39" t="n">
        <f aca="false">'2026 Forecast B'!L128</f>
        <v>2.24475965619494</v>
      </c>
      <c r="J174" s="39" t="n">
        <f aca="false">'2026 Forecast C'!L128</f>
        <v>2.3915225360787</v>
      </c>
      <c r="K174" s="18" t="n">
        <f aca="false">'2026 Forecast A'!F128</f>
        <v>727</v>
      </c>
      <c r="L174" s="40" t="str">
        <f aca="false">IF(OR(AND(D174&gt;0.5,E174&gt;0.5,F174&gt;0.5),AND(D174&lt;0.5,E174&lt;0.5,F174&lt;0.5)),"Yes","No — toss-up")</f>
        <v>Yes</v>
      </c>
    </row>
    <row r="175" customFormat="false" ht="15" hidden="false" customHeight="false" outlineLevel="0" collapsed="false">
      <c r="A175" s="9" t="str">
        <f aca="false">'2026 Forecast A'!A129</f>
        <v>Lehigh</v>
      </c>
      <c r="B175" s="9" t="str">
        <f aca="false">'2026 Forecast A'!B129</f>
        <v>BETHLEHEM</v>
      </c>
      <c r="C175" s="9" t="str">
        <f aca="false">'2026 Forecast A'!C129</f>
        <v>BETHLEHEM 13TH WARD 4TH DIST</v>
      </c>
      <c r="D175" s="10" t="n">
        <f aca="false">'2026 Forecast A'!G129</f>
        <v>0.616926503340757</v>
      </c>
      <c r="E175" s="10" t="n">
        <f aca="false">'2026 Forecast B'!G129</f>
        <v>0.611358574610245</v>
      </c>
      <c r="F175" s="10" t="n">
        <f aca="false">'2026 Forecast C'!G129</f>
        <v>0.626948775055679</v>
      </c>
      <c r="G175" s="38" t="n">
        <f aca="false">(MAX(D175:F175)-MIN(D175:F175))*100</f>
        <v>1.55902004454342</v>
      </c>
      <c r="H175" s="39" t="n">
        <f aca="false">'2026 Forecast A'!L129</f>
        <v>2.13789583153489</v>
      </c>
      <c r="I175" s="39" t="n">
        <f aca="false">'2026 Forecast B'!L129</f>
        <v>2.24475965619494</v>
      </c>
      <c r="J175" s="39" t="n">
        <f aca="false">'2026 Forecast C'!L129</f>
        <v>2.3915225360787</v>
      </c>
      <c r="K175" s="18" t="n">
        <f aca="false">'2026 Forecast A'!F129</f>
        <v>898</v>
      </c>
      <c r="L175" s="40" t="str">
        <f aca="false">IF(OR(AND(D175&gt;0.5,E175&gt;0.5,F175&gt;0.5),AND(D175&lt;0.5,E175&lt;0.5,F175&lt;0.5)),"Yes","No — toss-up")</f>
        <v>Yes</v>
      </c>
    </row>
    <row r="176" customFormat="false" ht="15" hidden="false" customHeight="false" outlineLevel="0" collapsed="false">
      <c r="A176" s="9" t="str">
        <f aca="false">'2026 Forecast A'!A130</f>
        <v>Lehigh</v>
      </c>
      <c r="B176" s="9" t="str">
        <f aca="false">'2026 Forecast A'!B130</f>
        <v>BETHLEHEM</v>
      </c>
      <c r="C176" s="9" t="str">
        <f aca="false">'2026 Forecast A'!C130</f>
        <v>BETHLEHEM 13TH WARD 5TH DIST</v>
      </c>
      <c r="D176" s="10" t="n">
        <f aca="false">'2026 Forecast A'!G130</f>
        <v>0.619548872180451</v>
      </c>
      <c r="E176" s="10" t="n">
        <f aca="false">'2026 Forecast B'!G130</f>
        <v>0.618045112781955</v>
      </c>
      <c r="F176" s="10" t="n">
        <f aca="false">'2026 Forecast C'!G130</f>
        <v>0.628571428571429</v>
      </c>
      <c r="G176" s="38" t="n">
        <f aca="false">(MAX(D176:F176)-MIN(D176:F176))*100</f>
        <v>1.05263157894737</v>
      </c>
      <c r="H176" s="39" t="n">
        <f aca="false">'2026 Forecast A'!L130</f>
        <v>2.13789583153489</v>
      </c>
      <c r="I176" s="39" t="n">
        <f aca="false">'2026 Forecast B'!L130</f>
        <v>2.24475965619494</v>
      </c>
      <c r="J176" s="39" t="n">
        <f aca="false">'2026 Forecast C'!L130</f>
        <v>2.3915225360787</v>
      </c>
      <c r="K176" s="18" t="n">
        <f aca="false">'2026 Forecast A'!F130</f>
        <v>665</v>
      </c>
      <c r="L176" s="40" t="str">
        <f aca="false">IF(OR(AND(D176&gt;0.5,E176&gt;0.5,F176&gt;0.5),AND(D176&lt;0.5,E176&lt;0.5,F176&lt;0.5)),"Yes","No — toss-up")</f>
        <v>Yes</v>
      </c>
    </row>
    <row r="177" customFormat="false" ht="15" hidden="false" customHeight="false" outlineLevel="0" collapsed="false">
      <c r="A177" s="9" t="str">
        <f aca="false">'2026 Forecast A'!A131</f>
        <v>Lehigh</v>
      </c>
      <c r="B177" s="9" t="str">
        <f aca="false">'2026 Forecast A'!B131</f>
        <v>BETHLEHEM</v>
      </c>
      <c r="C177" s="9" t="str">
        <f aca="false">'2026 Forecast A'!C131</f>
        <v>BETHLEHEM 13TH WARD 6TH DIST</v>
      </c>
      <c r="D177" s="10" t="n">
        <f aca="false">'2026 Forecast A'!G131</f>
        <v>0.568965517241379</v>
      </c>
      <c r="E177" s="10" t="n">
        <f aca="false">'2026 Forecast B'!G131</f>
        <v>0.570689655172414</v>
      </c>
      <c r="F177" s="10" t="n">
        <f aca="false">'2026 Forecast C'!G131</f>
        <v>0.58448275862069</v>
      </c>
      <c r="G177" s="38" t="n">
        <f aca="false">(MAX(D177:F177)-MIN(D177:F177))*100</f>
        <v>1.55172413793103</v>
      </c>
      <c r="H177" s="39" t="n">
        <f aca="false">'2026 Forecast A'!L131</f>
        <v>2.13789583153489</v>
      </c>
      <c r="I177" s="39" t="n">
        <f aca="false">'2026 Forecast B'!L131</f>
        <v>2.24475965619494</v>
      </c>
      <c r="J177" s="39" t="n">
        <f aca="false">'2026 Forecast C'!L131</f>
        <v>2.3915225360787</v>
      </c>
      <c r="K177" s="18" t="n">
        <f aca="false">'2026 Forecast A'!F131</f>
        <v>580</v>
      </c>
      <c r="L177" s="40" t="str">
        <f aca="false">IF(OR(AND(D177&gt;0.5,E177&gt;0.5,F177&gt;0.5),AND(D177&lt;0.5,E177&lt;0.5,F177&lt;0.5)),"Yes","No — toss-up")</f>
        <v>Yes</v>
      </c>
    </row>
    <row r="178" customFormat="false" ht="15" hidden="false" customHeight="false" outlineLevel="0" collapsed="false">
      <c r="A178" s="9" t="str">
        <f aca="false">'2026 Forecast A'!A132</f>
        <v>Lehigh</v>
      </c>
      <c r="B178" s="9" t="str">
        <f aca="false">'2026 Forecast A'!B132</f>
        <v>BETHLEHEM</v>
      </c>
      <c r="C178" s="9" t="str">
        <f aca="false">'2026 Forecast A'!C132</f>
        <v>BETHLEHEM 13TH WARD 7TH DIST</v>
      </c>
      <c r="D178" s="10" t="n">
        <f aca="false">'2026 Forecast A'!G132</f>
        <v>0.631419939577039</v>
      </c>
      <c r="E178" s="10" t="n">
        <f aca="false">'2026 Forecast B'!G132</f>
        <v>0.628398791540786</v>
      </c>
      <c r="F178" s="10" t="n">
        <f aca="false">'2026 Forecast C'!G132</f>
        <v>0.638972809667674</v>
      </c>
      <c r="G178" s="38" t="n">
        <f aca="false">(MAX(D178:F178)-MIN(D178:F178))*100</f>
        <v>1.05740181268882</v>
      </c>
      <c r="H178" s="39" t="n">
        <f aca="false">'2026 Forecast A'!L132</f>
        <v>2.13789583153489</v>
      </c>
      <c r="I178" s="39" t="n">
        <f aca="false">'2026 Forecast B'!L132</f>
        <v>2.24475965619494</v>
      </c>
      <c r="J178" s="39" t="n">
        <f aca="false">'2026 Forecast C'!L132</f>
        <v>2.3915225360787</v>
      </c>
      <c r="K178" s="18" t="n">
        <f aca="false">'2026 Forecast A'!F132</f>
        <v>662</v>
      </c>
      <c r="L178" s="40" t="str">
        <f aca="false">IF(OR(AND(D178&gt;0.5,E178&gt;0.5,F178&gt;0.5),AND(D178&lt;0.5,E178&lt;0.5,F178&lt;0.5)),"Yes","No — toss-up")</f>
        <v>Yes</v>
      </c>
    </row>
    <row r="179" customFormat="false" ht="15" hidden="false" customHeight="false" outlineLevel="0" collapsed="false">
      <c r="A179" s="9" t="str">
        <f aca="false">'2026 Forecast A'!A133</f>
        <v>Lehigh</v>
      </c>
      <c r="B179" s="9" t="str">
        <f aca="false">'2026 Forecast A'!B133</f>
        <v>BETHLEHEM</v>
      </c>
      <c r="C179" s="9" t="str">
        <f aca="false">'2026 Forecast A'!C133</f>
        <v>BETHLEHEM 13TH WARD 8TH DIST</v>
      </c>
      <c r="D179" s="10" t="n">
        <f aca="false">'2026 Forecast A'!G133</f>
        <v>0.609756097560976</v>
      </c>
      <c r="E179" s="10" t="n">
        <f aca="false">'2026 Forecast B'!G133</f>
        <v>0.611111111111111</v>
      </c>
      <c r="F179" s="10" t="n">
        <f aca="false">'2026 Forecast C'!G133</f>
        <v>0.617886178861789</v>
      </c>
      <c r="G179" s="38" t="n">
        <f aca="false">(MAX(D179:F179)-MIN(D179:F179))*100</f>
        <v>0.813008130081305</v>
      </c>
      <c r="H179" s="39" t="n">
        <f aca="false">'2026 Forecast A'!L133</f>
        <v>2.13789583153489</v>
      </c>
      <c r="I179" s="39" t="n">
        <f aca="false">'2026 Forecast B'!L133</f>
        <v>2.24475965619494</v>
      </c>
      <c r="J179" s="39" t="n">
        <f aca="false">'2026 Forecast C'!L133</f>
        <v>2.3915225360787</v>
      </c>
      <c r="K179" s="18" t="n">
        <f aca="false">'2026 Forecast A'!F133</f>
        <v>738</v>
      </c>
      <c r="L179" s="40" t="str">
        <f aca="false">IF(OR(AND(D179&gt;0.5,E179&gt;0.5,F179&gt;0.5),AND(D179&lt;0.5,E179&lt;0.5,F179&lt;0.5)),"Yes","No — toss-up")</f>
        <v>Yes</v>
      </c>
    </row>
    <row r="180" customFormat="false" ht="15" hidden="false" customHeight="false" outlineLevel="0" collapsed="false">
      <c r="A180" s="9" t="str">
        <f aca="false">'2026 Forecast A'!A134</f>
        <v>Lehigh</v>
      </c>
      <c r="B180" s="9" t="str">
        <f aca="false">'2026 Forecast A'!B134</f>
        <v>CATASAUQUA</v>
      </c>
      <c r="C180" s="9" t="str">
        <f aca="false">'2026 Forecast A'!C134</f>
        <v>CATASAUQUA 1ST DIST</v>
      </c>
      <c r="D180" s="10" t="n">
        <f aca="false">'2026 Forecast A'!G134</f>
        <v>0.56058394160584</v>
      </c>
      <c r="E180" s="10" t="n">
        <f aca="false">'2026 Forecast B'!G134</f>
        <v>0.562043795620438</v>
      </c>
      <c r="F180" s="10" t="n">
        <f aca="false">'2026 Forecast C'!G134</f>
        <v>0.566423357664234</v>
      </c>
      <c r="G180" s="38" t="n">
        <f aca="false">(MAX(D180:F180)-MIN(D180:F180))*100</f>
        <v>0.583941605839411</v>
      </c>
      <c r="H180" s="39" t="n">
        <f aca="false">'2026 Forecast A'!L134</f>
        <v>2.13789583153489</v>
      </c>
      <c r="I180" s="39" t="n">
        <f aca="false">'2026 Forecast B'!L134</f>
        <v>2.24475965619494</v>
      </c>
      <c r="J180" s="39" t="n">
        <f aca="false">'2026 Forecast C'!L134</f>
        <v>2.3915225360787</v>
      </c>
      <c r="K180" s="18" t="n">
        <f aca="false">'2026 Forecast A'!F134</f>
        <v>685</v>
      </c>
      <c r="L180" s="40" t="str">
        <f aca="false">IF(OR(AND(D180&gt;0.5,E180&gt;0.5,F180&gt;0.5),AND(D180&lt;0.5,E180&lt;0.5,F180&lt;0.5)),"Yes","No — toss-up")</f>
        <v>Yes</v>
      </c>
    </row>
    <row r="181" customFormat="false" ht="15" hidden="false" customHeight="false" outlineLevel="0" collapsed="false">
      <c r="A181" s="9" t="str">
        <f aca="false">'2026 Forecast A'!A135</f>
        <v>Lehigh</v>
      </c>
      <c r="B181" s="9" t="str">
        <f aca="false">'2026 Forecast A'!B135</f>
        <v>CATASAUQUA</v>
      </c>
      <c r="C181" s="9" t="str">
        <f aca="false">'2026 Forecast A'!C135</f>
        <v>CATASAUQUA 2ND DIST</v>
      </c>
      <c r="D181" s="10" t="n">
        <f aca="false">'2026 Forecast A'!G135</f>
        <v>0.488078541374474</v>
      </c>
      <c r="E181" s="10" t="n">
        <f aca="false">'2026 Forecast B'!G135</f>
        <v>0.496493688639551</v>
      </c>
      <c r="F181" s="10" t="n">
        <f aca="false">'2026 Forecast C'!G135</f>
        <v>0.488078541374474</v>
      </c>
      <c r="G181" s="38" t="n">
        <f aca="false">(MAX(D181:F181)-MIN(D181:F181))*100</f>
        <v>0.841514726507714</v>
      </c>
      <c r="H181" s="39" t="n">
        <f aca="false">'2026 Forecast A'!L135</f>
        <v>2.13789583153489</v>
      </c>
      <c r="I181" s="39" t="n">
        <f aca="false">'2026 Forecast B'!L135</f>
        <v>2.24475965619494</v>
      </c>
      <c r="J181" s="39" t="n">
        <f aca="false">'2026 Forecast C'!L135</f>
        <v>2.3915225360787</v>
      </c>
      <c r="K181" s="18" t="n">
        <f aca="false">'2026 Forecast A'!F135</f>
        <v>713</v>
      </c>
      <c r="L181" s="40" t="str">
        <f aca="false">IF(OR(AND(D181&gt;0.5,E181&gt;0.5,F181&gt;0.5),AND(D181&lt;0.5,E181&lt;0.5,F181&lt;0.5)),"Yes","No — toss-up")</f>
        <v>Yes</v>
      </c>
    </row>
    <row r="182" customFormat="false" ht="15" hidden="false" customHeight="false" outlineLevel="0" collapsed="false">
      <c r="A182" s="9" t="str">
        <f aca="false">'2026 Forecast A'!A136</f>
        <v>Lehigh</v>
      </c>
      <c r="B182" s="9" t="str">
        <f aca="false">'2026 Forecast A'!B136</f>
        <v>CATASAUQUA</v>
      </c>
      <c r="C182" s="9" t="str">
        <f aca="false">'2026 Forecast A'!C136</f>
        <v>CATASAUQUA 3RD DIST</v>
      </c>
      <c r="D182" s="10" t="n">
        <f aca="false">'2026 Forecast A'!G136</f>
        <v>0.513444302176697</v>
      </c>
      <c r="E182" s="10" t="n">
        <f aca="false">'2026 Forecast B'!G136</f>
        <v>0.519846350832266</v>
      </c>
      <c r="F182" s="10" t="n">
        <f aca="false">'2026 Forecast C'!G136</f>
        <v>0.516005121638924</v>
      </c>
      <c r="G182" s="38" t="n">
        <f aca="false">(MAX(D182:F182)-MIN(D182:F182))*100</f>
        <v>0.640204865556981</v>
      </c>
      <c r="H182" s="39" t="n">
        <f aca="false">'2026 Forecast A'!L136</f>
        <v>2.13789583153489</v>
      </c>
      <c r="I182" s="39" t="n">
        <f aca="false">'2026 Forecast B'!L136</f>
        <v>2.24475965619494</v>
      </c>
      <c r="J182" s="39" t="n">
        <f aca="false">'2026 Forecast C'!L136</f>
        <v>2.3915225360787</v>
      </c>
      <c r="K182" s="18" t="n">
        <f aca="false">'2026 Forecast A'!F136</f>
        <v>781</v>
      </c>
      <c r="L182" s="40" t="str">
        <f aca="false">IF(OR(AND(D182&gt;0.5,E182&gt;0.5,F182&gt;0.5),AND(D182&lt;0.5,E182&lt;0.5,F182&lt;0.5)),"Yes","No — toss-up")</f>
        <v>Yes</v>
      </c>
    </row>
    <row r="183" customFormat="false" ht="15" hidden="false" customHeight="false" outlineLevel="0" collapsed="false">
      <c r="A183" s="9" t="str">
        <f aca="false">'2026 Forecast A'!A137</f>
        <v>Lehigh</v>
      </c>
      <c r="B183" s="9" t="str">
        <f aca="false">'2026 Forecast A'!B137</f>
        <v>COOPERSBURG</v>
      </c>
      <c r="C183" s="9" t="str">
        <f aca="false">'2026 Forecast A'!C137</f>
        <v>COOPERSBURG</v>
      </c>
      <c r="D183" s="10" t="n">
        <f aca="false">'2026 Forecast A'!G137</f>
        <v>0.497637795275591</v>
      </c>
      <c r="E183" s="10" t="n">
        <f aca="false">'2026 Forecast B'!G137</f>
        <v>0.496850393700787</v>
      </c>
      <c r="F183" s="10" t="n">
        <f aca="false">'2026 Forecast C'!G137</f>
        <v>0.496850393700787</v>
      </c>
      <c r="G183" s="38" t="n">
        <f aca="false">(MAX(D183:F183)-MIN(D183:F183))*100</f>
        <v>0.078740157480317</v>
      </c>
      <c r="H183" s="39" t="n">
        <f aca="false">'2026 Forecast A'!L137</f>
        <v>1.75369314833214</v>
      </c>
      <c r="I183" s="39" t="n">
        <f aca="false">'2026 Forecast B'!L137</f>
        <v>2.1038293183682</v>
      </c>
      <c r="J183" s="39" t="n">
        <f aca="false">'2026 Forecast C'!L137</f>
        <v>1.909243057213</v>
      </c>
      <c r="K183" s="18" t="n">
        <f aca="false">'2026 Forecast A'!F137</f>
        <v>1270</v>
      </c>
      <c r="L183" s="40" t="str">
        <f aca="false">IF(OR(AND(D183&gt;0.5,E183&gt;0.5,F183&gt;0.5),AND(D183&lt;0.5,E183&lt;0.5,F183&lt;0.5)),"Yes","No — toss-up")</f>
        <v>Yes</v>
      </c>
    </row>
    <row r="184" customFormat="false" ht="15" hidden="false" customHeight="false" outlineLevel="0" collapsed="false">
      <c r="A184" s="9" t="str">
        <f aca="false">'2026 Forecast A'!A138</f>
        <v>Lehigh</v>
      </c>
      <c r="B184" s="9" t="str">
        <f aca="false">'2026 Forecast A'!B138</f>
        <v>COPLAY</v>
      </c>
      <c r="C184" s="9" t="str">
        <f aca="false">'2026 Forecast A'!C138</f>
        <v>COPLAY 1ST DISTRICT</v>
      </c>
      <c r="D184" s="10" t="n">
        <f aca="false">'2026 Forecast A'!G138</f>
        <v>0.509565217391304</v>
      </c>
      <c r="E184" s="10" t="n">
        <f aca="false">'2026 Forecast B'!G138</f>
        <v>0.511304347826087</v>
      </c>
      <c r="F184" s="10" t="n">
        <f aca="false">'2026 Forecast C'!G138</f>
        <v>0.511304347826087</v>
      </c>
      <c r="G184" s="38" t="n">
        <f aca="false">(MAX(D184:F184)-MIN(D184:F184))*100</f>
        <v>0.173913043478258</v>
      </c>
      <c r="H184" s="39" t="n">
        <f aca="false">'2026 Forecast A'!L138</f>
        <v>2.13789583153489</v>
      </c>
      <c r="I184" s="39" t="n">
        <f aca="false">'2026 Forecast B'!L138</f>
        <v>2.24475965619494</v>
      </c>
      <c r="J184" s="39" t="n">
        <f aca="false">'2026 Forecast C'!L138</f>
        <v>2.3915225360787</v>
      </c>
      <c r="K184" s="18" t="n">
        <f aca="false">'2026 Forecast A'!F138</f>
        <v>575</v>
      </c>
      <c r="L184" s="40" t="str">
        <f aca="false">IF(OR(AND(D184&gt;0.5,E184&gt;0.5,F184&gt;0.5),AND(D184&lt;0.5,E184&lt;0.5,F184&lt;0.5)),"Yes","No — toss-up")</f>
        <v>Yes</v>
      </c>
    </row>
    <row r="185" customFormat="false" ht="15" hidden="false" customHeight="false" outlineLevel="0" collapsed="false">
      <c r="A185" s="9" t="str">
        <f aca="false">'2026 Forecast A'!A139</f>
        <v>Lehigh</v>
      </c>
      <c r="B185" s="9" t="str">
        <f aca="false">'2026 Forecast A'!B139</f>
        <v>COPLAY</v>
      </c>
      <c r="C185" s="9" t="str">
        <f aca="false">'2026 Forecast A'!C139</f>
        <v>COPLAY 2ND DISTRICT</v>
      </c>
      <c r="D185" s="10" t="n">
        <f aca="false">'2026 Forecast A'!G139</f>
        <v>0.519645120405577</v>
      </c>
      <c r="E185" s="10" t="n">
        <f aca="false">'2026 Forecast B'!G139</f>
        <v>0.524714828897338</v>
      </c>
      <c r="F185" s="10" t="n">
        <f aca="false">'2026 Forecast C'!G139</f>
        <v>0.520912547528517</v>
      </c>
      <c r="G185" s="38" t="n">
        <f aca="false">(MAX(D185:F185)-MIN(D185:F185))*100</f>
        <v>0.50697084917618</v>
      </c>
      <c r="H185" s="39" t="n">
        <f aca="false">'2026 Forecast A'!L139</f>
        <v>2.13789583153489</v>
      </c>
      <c r="I185" s="39" t="n">
        <f aca="false">'2026 Forecast B'!L139</f>
        <v>2.24475965619494</v>
      </c>
      <c r="J185" s="39" t="n">
        <f aca="false">'2026 Forecast C'!L139</f>
        <v>2.3915225360787</v>
      </c>
      <c r="K185" s="18" t="n">
        <f aca="false">'2026 Forecast A'!F139</f>
        <v>789</v>
      </c>
      <c r="L185" s="40" t="str">
        <f aca="false">IF(OR(AND(D185&gt;0.5,E185&gt;0.5,F185&gt;0.5),AND(D185&lt;0.5,E185&lt;0.5,F185&lt;0.5)),"Yes","No — toss-up")</f>
        <v>Yes</v>
      </c>
    </row>
    <row r="186" customFormat="false" ht="15" hidden="false" customHeight="false" outlineLevel="0" collapsed="false">
      <c r="A186" s="9" t="str">
        <f aca="false">'2026 Forecast A'!A140</f>
        <v>Lehigh</v>
      </c>
      <c r="B186" s="9" t="str">
        <f aca="false">'2026 Forecast A'!B140</f>
        <v>EMMAUS</v>
      </c>
      <c r="C186" s="9" t="str">
        <f aca="false">'2026 Forecast A'!C140</f>
        <v>EMMAUS 1ST DISTRICT</v>
      </c>
      <c r="D186" s="10" t="n">
        <f aca="false">'2026 Forecast A'!G140</f>
        <v>0.547794117647059</v>
      </c>
      <c r="E186" s="10" t="n">
        <f aca="false">'2026 Forecast B'!G140</f>
        <v>0.544117647058824</v>
      </c>
      <c r="F186" s="10" t="n">
        <f aca="false">'2026 Forecast C'!G140</f>
        <v>0.552696078431373</v>
      </c>
      <c r="G186" s="38" t="n">
        <f aca="false">(MAX(D186:F186)-MIN(D186:F186))*100</f>
        <v>0.85784313725491</v>
      </c>
      <c r="H186" s="39" t="n">
        <f aca="false">'2026 Forecast A'!L140</f>
        <v>2.13789583153489</v>
      </c>
      <c r="I186" s="39" t="n">
        <f aca="false">'2026 Forecast B'!L140</f>
        <v>2.24475965619494</v>
      </c>
      <c r="J186" s="39" t="n">
        <f aca="false">'2026 Forecast C'!L140</f>
        <v>2.3915225360787</v>
      </c>
      <c r="K186" s="18" t="n">
        <f aca="false">'2026 Forecast A'!F140</f>
        <v>816</v>
      </c>
      <c r="L186" s="40" t="str">
        <f aca="false">IF(OR(AND(D186&gt;0.5,E186&gt;0.5,F186&gt;0.5),AND(D186&lt;0.5,E186&lt;0.5,F186&lt;0.5)),"Yes","No — toss-up")</f>
        <v>Yes</v>
      </c>
    </row>
    <row r="187" customFormat="false" ht="15" hidden="false" customHeight="false" outlineLevel="0" collapsed="false">
      <c r="A187" s="9" t="str">
        <f aca="false">'2026 Forecast A'!A141</f>
        <v>Lehigh</v>
      </c>
      <c r="B187" s="9" t="str">
        <f aca="false">'2026 Forecast A'!B141</f>
        <v>EMMAUS</v>
      </c>
      <c r="C187" s="9" t="str">
        <f aca="false">'2026 Forecast A'!C141</f>
        <v>EMMAUS 2ND DISTRICT</v>
      </c>
      <c r="D187" s="10" t="n">
        <f aca="false">'2026 Forecast A'!G141</f>
        <v>0.532199270959903</v>
      </c>
      <c r="E187" s="10" t="n">
        <f aca="false">'2026 Forecast B'!G141</f>
        <v>0.537059538274605</v>
      </c>
      <c r="F187" s="10" t="n">
        <f aca="false">'2026 Forecast C'!G141</f>
        <v>0.539489671931956</v>
      </c>
      <c r="G187" s="38" t="n">
        <f aca="false">(MAX(D187:F187)-MIN(D187:F187))*100</f>
        <v>0.729040097205347</v>
      </c>
      <c r="H187" s="39" t="n">
        <f aca="false">'2026 Forecast A'!L141</f>
        <v>2.13789583153489</v>
      </c>
      <c r="I187" s="39" t="n">
        <f aca="false">'2026 Forecast B'!L141</f>
        <v>2.24475965619494</v>
      </c>
      <c r="J187" s="39" t="n">
        <f aca="false">'2026 Forecast C'!L141</f>
        <v>2.3915225360787</v>
      </c>
      <c r="K187" s="18" t="n">
        <f aca="false">'2026 Forecast A'!F141</f>
        <v>823</v>
      </c>
      <c r="L187" s="40" t="str">
        <f aca="false">IF(OR(AND(D187&gt;0.5,E187&gt;0.5,F187&gt;0.5),AND(D187&lt;0.5,E187&lt;0.5,F187&lt;0.5)),"Yes","No — toss-up")</f>
        <v>Yes</v>
      </c>
    </row>
    <row r="188" customFormat="false" ht="15" hidden="false" customHeight="false" outlineLevel="0" collapsed="false">
      <c r="A188" s="9" t="str">
        <f aca="false">'2026 Forecast A'!A142</f>
        <v>Lehigh</v>
      </c>
      <c r="B188" s="9" t="str">
        <f aca="false">'2026 Forecast A'!B142</f>
        <v>EMMAUS</v>
      </c>
      <c r="C188" s="9" t="str">
        <f aca="false">'2026 Forecast A'!C142</f>
        <v>EMMAUS 3RD DISTRICT</v>
      </c>
      <c r="D188" s="10" t="n">
        <f aca="false">'2026 Forecast A'!G142</f>
        <v>0.51340373679935</v>
      </c>
      <c r="E188" s="10" t="n">
        <f aca="false">'2026 Forecast B'!G142</f>
        <v>0.515028432168968</v>
      </c>
      <c r="F188" s="10" t="n">
        <f aca="false">'2026 Forecast C'!G142</f>
        <v>0.515028432168968</v>
      </c>
      <c r="G188" s="38" t="n">
        <f aca="false">(MAX(D188:F188)-MIN(D188:F188))*100</f>
        <v>0.162469536961818</v>
      </c>
      <c r="H188" s="39" t="n">
        <f aca="false">'2026 Forecast A'!L142</f>
        <v>1.75369314833214</v>
      </c>
      <c r="I188" s="39" t="n">
        <f aca="false">'2026 Forecast B'!L142</f>
        <v>2.1038293183682</v>
      </c>
      <c r="J188" s="39" t="n">
        <f aca="false">'2026 Forecast C'!L142</f>
        <v>1.909243057213</v>
      </c>
      <c r="K188" s="18" t="n">
        <f aca="false">'2026 Forecast A'!F142</f>
        <v>1231</v>
      </c>
      <c r="L188" s="40" t="str">
        <f aca="false">IF(OR(AND(D188&gt;0.5,E188&gt;0.5,F188&gt;0.5),AND(D188&lt;0.5,E188&lt;0.5,F188&lt;0.5)),"Yes","No — toss-up")</f>
        <v>Yes</v>
      </c>
    </row>
    <row r="189" customFormat="false" ht="15" hidden="false" customHeight="false" outlineLevel="0" collapsed="false">
      <c r="A189" s="9" t="str">
        <f aca="false">'2026 Forecast A'!A143</f>
        <v>Lehigh</v>
      </c>
      <c r="B189" s="9" t="str">
        <f aca="false">'2026 Forecast A'!B143</f>
        <v>EMMAUS</v>
      </c>
      <c r="C189" s="9" t="str">
        <f aca="false">'2026 Forecast A'!C143</f>
        <v>EMMAUS 4TH DISTRICT</v>
      </c>
      <c r="D189" s="10" t="n">
        <f aca="false">'2026 Forecast A'!G143</f>
        <v>0.55663430420712</v>
      </c>
      <c r="E189" s="10" t="n">
        <f aca="false">'2026 Forecast B'!G143</f>
        <v>0.560949298813377</v>
      </c>
      <c r="F189" s="10" t="n">
        <f aca="false">'2026 Forecast C'!G143</f>
        <v>0.563106796116505</v>
      </c>
      <c r="G189" s="38" t="n">
        <f aca="false">(MAX(D189:F189)-MIN(D189:F189))*100</f>
        <v>0.647249190938504</v>
      </c>
      <c r="H189" s="39" t="n">
        <f aca="false">'2026 Forecast A'!L143</f>
        <v>2.13789583153489</v>
      </c>
      <c r="I189" s="39" t="n">
        <f aca="false">'2026 Forecast B'!L143</f>
        <v>2.24475965619494</v>
      </c>
      <c r="J189" s="39" t="n">
        <f aca="false">'2026 Forecast C'!L143</f>
        <v>2.3915225360787</v>
      </c>
      <c r="K189" s="18" t="n">
        <f aca="false">'2026 Forecast A'!F143</f>
        <v>927</v>
      </c>
      <c r="L189" s="40" t="str">
        <f aca="false">IF(OR(AND(D189&gt;0.5,E189&gt;0.5,F189&gt;0.5),AND(D189&lt;0.5,E189&lt;0.5,F189&lt;0.5)),"Yes","No — toss-up")</f>
        <v>Yes</v>
      </c>
    </row>
    <row r="190" customFormat="false" ht="15" hidden="false" customHeight="false" outlineLevel="0" collapsed="false">
      <c r="A190" s="9" t="str">
        <f aca="false">'2026 Forecast A'!A144</f>
        <v>Lehigh</v>
      </c>
      <c r="B190" s="9" t="str">
        <f aca="false">'2026 Forecast A'!B144</f>
        <v>EMMAUS</v>
      </c>
      <c r="C190" s="9" t="str">
        <f aca="false">'2026 Forecast A'!C144</f>
        <v>EMMAUS 5TH DISTRICT</v>
      </c>
      <c r="D190" s="10" t="n">
        <f aca="false">'2026 Forecast A'!G144</f>
        <v>0.51138353765324</v>
      </c>
      <c r="E190" s="10" t="n">
        <f aca="false">'2026 Forecast B'!G144</f>
        <v>0.514886164623468</v>
      </c>
      <c r="F190" s="10" t="n">
        <f aca="false">'2026 Forecast C'!G144</f>
        <v>0.513134851138354</v>
      </c>
      <c r="G190" s="38" t="n">
        <f aca="false">(MAX(D190:F190)-MIN(D190:F190))*100</f>
        <v>0.350262697022763</v>
      </c>
      <c r="H190" s="39" t="n">
        <f aca="false">'2026 Forecast A'!L144</f>
        <v>2.13789583153489</v>
      </c>
      <c r="I190" s="39" t="n">
        <f aca="false">'2026 Forecast B'!L144</f>
        <v>2.24475965619494</v>
      </c>
      <c r="J190" s="39" t="n">
        <f aca="false">'2026 Forecast C'!L144</f>
        <v>2.3915225360787</v>
      </c>
      <c r="K190" s="18" t="n">
        <f aca="false">'2026 Forecast A'!F144</f>
        <v>571</v>
      </c>
      <c r="L190" s="40" t="str">
        <f aca="false">IF(OR(AND(D190&gt;0.5,E190&gt;0.5,F190&gt;0.5),AND(D190&lt;0.5,E190&lt;0.5,F190&lt;0.5)),"Yes","No — toss-up")</f>
        <v>Yes</v>
      </c>
    </row>
    <row r="191" customFormat="false" ht="15" hidden="false" customHeight="false" outlineLevel="0" collapsed="false">
      <c r="A191" s="9" t="str">
        <f aca="false">'2026 Forecast A'!A145</f>
        <v>Lehigh</v>
      </c>
      <c r="B191" s="9" t="str">
        <f aca="false">'2026 Forecast A'!B145</f>
        <v>EMMAUS</v>
      </c>
      <c r="C191" s="9" t="str">
        <f aca="false">'2026 Forecast A'!C145</f>
        <v>EMMAUS 6TH DISTRICT</v>
      </c>
      <c r="D191" s="10" t="n">
        <f aca="false">'2026 Forecast A'!G145</f>
        <v>0.572139303482587</v>
      </c>
      <c r="E191" s="10" t="n">
        <f aca="false">'2026 Forecast B'!G145</f>
        <v>0.569154228855721</v>
      </c>
      <c r="F191" s="10" t="n">
        <f aca="false">'2026 Forecast C'!G145</f>
        <v>0.58407960199005</v>
      </c>
      <c r="G191" s="38" t="n">
        <f aca="false">(MAX(D191:F191)-MIN(D191:F191))*100</f>
        <v>1.49253731343283</v>
      </c>
      <c r="H191" s="39" t="n">
        <f aca="false">'2026 Forecast A'!L145</f>
        <v>1.75369314833214</v>
      </c>
      <c r="I191" s="39" t="n">
        <f aca="false">'2026 Forecast B'!L145</f>
        <v>2.1038293183682</v>
      </c>
      <c r="J191" s="39" t="n">
        <f aca="false">'2026 Forecast C'!L145</f>
        <v>1.909243057213</v>
      </c>
      <c r="K191" s="18" t="n">
        <f aca="false">'2026 Forecast A'!F145</f>
        <v>1005</v>
      </c>
      <c r="L191" s="40" t="str">
        <f aca="false">IF(OR(AND(D191&gt;0.5,E191&gt;0.5,F191&gt;0.5),AND(D191&lt;0.5,E191&lt;0.5,F191&lt;0.5)),"Yes","No — toss-up")</f>
        <v>Yes</v>
      </c>
    </row>
    <row r="192" customFormat="false" ht="15" hidden="false" customHeight="false" outlineLevel="0" collapsed="false">
      <c r="A192" s="9" t="str">
        <f aca="false">'2026 Forecast A'!A146</f>
        <v>Lehigh</v>
      </c>
      <c r="B192" s="9" t="str">
        <f aca="false">'2026 Forecast A'!B146</f>
        <v>FOUNTAIN HILL</v>
      </c>
      <c r="C192" s="9" t="str">
        <f aca="false">'2026 Forecast A'!C146</f>
        <v>FOUNTAIN HILL 1ST DIST</v>
      </c>
      <c r="D192" s="10" t="n">
        <f aca="false">'2026 Forecast A'!G146</f>
        <v>0.660033167495854</v>
      </c>
      <c r="E192" s="10" t="n">
        <f aca="false">'2026 Forecast B'!G146</f>
        <v>0.673300165837479</v>
      </c>
      <c r="F192" s="10" t="n">
        <f aca="false">'2026 Forecast C'!G146</f>
        <v>0.669983416252073</v>
      </c>
      <c r="G192" s="38" t="n">
        <f aca="false">(MAX(D192:F192)-MIN(D192:F192))*100</f>
        <v>1.32669983416253</v>
      </c>
      <c r="H192" s="39" t="n">
        <f aca="false">'2026 Forecast A'!L146</f>
        <v>2.13789583153489</v>
      </c>
      <c r="I192" s="39" t="n">
        <f aca="false">'2026 Forecast B'!L146</f>
        <v>2.24475965619494</v>
      </c>
      <c r="J192" s="39" t="n">
        <f aca="false">'2026 Forecast C'!L146</f>
        <v>2.3915225360787</v>
      </c>
      <c r="K192" s="18" t="n">
        <f aca="false">'2026 Forecast A'!F146</f>
        <v>603</v>
      </c>
      <c r="L192" s="40" t="str">
        <f aca="false">IF(OR(AND(D192&gt;0.5,E192&gt;0.5,F192&gt;0.5),AND(D192&lt;0.5,E192&lt;0.5,F192&lt;0.5)),"Yes","No — toss-up")</f>
        <v>Yes</v>
      </c>
    </row>
    <row r="193" customFormat="false" ht="15" hidden="false" customHeight="false" outlineLevel="0" collapsed="false">
      <c r="A193" s="9" t="str">
        <f aca="false">'2026 Forecast A'!A147</f>
        <v>Lehigh</v>
      </c>
      <c r="B193" s="9" t="str">
        <f aca="false">'2026 Forecast A'!B147</f>
        <v>FOUNTAIN HILL</v>
      </c>
      <c r="C193" s="9" t="str">
        <f aca="false">'2026 Forecast A'!C147</f>
        <v>FOUNTAIN HILL 2ND DIST</v>
      </c>
      <c r="D193" s="10" t="n">
        <f aca="false">'2026 Forecast A'!G147</f>
        <v>0.62396694214876</v>
      </c>
      <c r="E193" s="10" t="n">
        <f aca="false">'2026 Forecast B'!G147</f>
        <v>0.621900826446281</v>
      </c>
      <c r="F193" s="10" t="n">
        <f aca="false">'2026 Forecast C'!G147</f>
        <v>0.630165289256198</v>
      </c>
      <c r="G193" s="38" t="n">
        <f aca="false">(MAX(D193:F193)-MIN(D193:F193))*100</f>
        <v>0.826446280991733</v>
      </c>
      <c r="H193" s="39" t="n">
        <f aca="false">'2026 Forecast A'!L147</f>
        <v>3.43333352273176</v>
      </c>
      <c r="I193" s="39" t="n">
        <f aca="false">'2026 Forecast B'!L147</f>
        <v>3.21167747490571</v>
      </c>
      <c r="J193" s="39" t="n">
        <f aca="false">'2026 Forecast C'!L147</f>
        <v>3.72283676191068</v>
      </c>
      <c r="K193" s="18" t="n">
        <f aca="false">'2026 Forecast A'!F147</f>
        <v>484</v>
      </c>
      <c r="L193" s="40" t="str">
        <f aca="false">IF(OR(AND(D193&gt;0.5,E193&gt;0.5,F193&gt;0.5),AND(D193&lt;0.5,E193&lt;0.5,F193&lt;0.5)),"Yes","No — toss-up")</f>
        <v>Yes</v>
      </c>
    </row>
    <row r="194" customFormat="false" ht="15" hidden="false" customHeight="false" outlineLevel="0" collapsed="false">
      <c r="A194" s="9" t="str">
        <f aca="false">'2026 Forecast A'!A148</f>
        <v>Lehigh</v>
      </c>
      <c r="B194" s="9" t="str">
        <f aca="false">'2026 Forecast A'!B148</f>
        <v>FOUNTAIN HILL</v>
      </c>
      <c r="C194" s="9" t="str">
        <f aca="false">'2026 Forecast A'!C148</f>
        <v>FOUNTAIN HILL 3RD DIST</v>
      </c>
      <c r="D194" s="10" t="n">
        <f aca="false">'2026 Forecast A'!G148</f>
        <v>0.646601941747573</v>
      </c>
      <c r="E194" s="10" t="n">
        <f aca="false">'2026 Forecast B'!G148</f>
        <v>0.644660194174757</v>
      </c>
      <c r="F194" s="10" t="n">
        <f aca="false">'2026 Forecast C'!G148</f>
        <v>0.656310679611651</v>
      </c>
      <c r="G194" s="38" t="n">
        <f aca="false">(MAX(D194:F194)-MIN(D194:F194))*100</f>
        <v>1.16504854368932</v>
      </c>
      <c r="H194" s="39" t="n">
        <f aca="false">'2026 Forecast A'!L148</f>
        <v>3.43333352273176</v>
      </c>
      <c r="I194" s="39" t="n">
        <f aca="false">'2026 Forecast B'!L148</f>
        <v>3.21167747490571</v>
      </c>
      <c r="J194" s="39" t="n">
        <f aca="false">'2026 Forecast C'!L148</f>
        <v>3.72283676191068</v>
      </c>
      <c r="K194" s="18" t="n">
        <f aca="false">'2026 Forecast A'!F148</f>
        <v>515</v>
      </c>
      <c r="L194" s="40" t="str">
        <f aca="false">IF(OR(AND(D194&gt;0.5,E194&gt;0.5,F194&gt;0.5),AND(D194&lt;0.5,E194&lt;0.5,F194&lt;0.5)),"Yes","No — toss-up")</f>
        <v>Yes</v>
      </c>
    </row>
    <row r="195" customFormat="false" ht="15" hidden="false" customHeight="false" outlineLevel="0" collapsed="false">
      <c r="A195" s="9" t="str">
        <f aca="false">'2026 Forecast A'!A149</f>
        <v>Lehigh</v>
      </c>
      <c r="B195" s="9" t="str">
        <f aca="false">'2026 Forecast A'!B149</f>
        <v>HANOVER</v>
      </c>
      <c r="C195" s="9" t="str">
        <f aca="false">'2026 Forecast A'!C149</f>
        <v>HANOVER</v>
      </c>
      <c r="D195" s="10" t="n">
        <f aca="false">'2026 Forecast A'!G149</f>
        <v>0.553719008264463</v>
      </c>
      <c r="E195" s="10" t="n">
        <f aca="false">'2026 Forecast B'!G149</f>
        <v>0.555785123966942</v>
      </c>
      <c r="F195" s="10" t="n">
        <f aca="false">'2026 Forecast C'!G149</f>
        <v>0.555785123966942</v>
      </c>
      <c r="G195" s="38" t="n">
        <f aca="false">(MAX(D195:F195)-MIN(D195:F195))*100</f>
        <v>0.206611570247928</v>
      </c>
      <c r="H195" s="39" t="n">
        <f aca="false">'2026 Forecast A'!L149</f>
        <v>3.43333352273176</v>
      </c>
      <c r="I195" s="39" t="n">
        <f aca="false">'2026 Forecast B'!L149</f>
        <v>3.21167747490571</v>
      </c>
      <c r="J195" s="39" t="n">
        <f aca="false">'2026 Forecast C'!L149</f>
        <v>3.72283676191068</v>
      </c>
      <c r="K195" s="18" t="n">
        <f aca="false">'2026 Forecast A'!F149</f>
        <v>484</v>
      </c>
      <c r="L195" s="40" t="str">
        <f aca="false">IF(OR(AND(D195&gt;0.5,E195&gt;0.5,F195&gt;0.5),AND(D195&lt;0.5,E195&lt;0.5,F195&lt;0.5)),"Yes","No — toss-up")</f>
        <v>Yes</v>
      </c>
    </row>
    <row r="196" customFormat="false" ht="15" hidden="false" customHeight="false" outlineLevel="0" collapsed="false">
      <c r="A196" s="9" t="str">
        <f aca="false">'2026 Forecast A'!A150</f>
        <v>Lehigh</v>
      </c>
      <c r="B196" s="9" t="str">
        <f aca="false">'2026 Forecast A'!B150</f>
        <v>HEIDELBERG</v>
      </c>
      <c r="C196" s="9" t="str">
        <f aca="false">'2026 Forecast A'!C150</f>
        <v>HEIDELBERG</v>
      </c>
      <c r="D196" s="10" t="n">
        <f aca="false">'2026 Forecast A'!G150</f>
        <v>0.323476161738081</v>
      </c>
      <c r="E196" s="10" t="n">
        <f aca="false">'2026 Forecast B'!G150</f>
        <v>0.312613156306578</v>
      </c>
      <c r="F196" s="10" t="n">
        <f aca="false">'2026 Forecast C'!G150</f>
        <v>0.305371152685576</v>
      </c>
      <c r="G196" s="38" t="n">
        <f aca="false">(MAX(D196:F196)-MIN(D196:F196))*100</f>
        <v>1.81050090525045</v>
      </c>
      <c r="H196" s="39" t="n">
        <f aca="false">'2026 Forecast A'!L150</f>
        <v>1.75369314833214</v>
      </c>
      <c r="I196" s="39" t="n">
        <f aca="false">'2026 Forecast B'!L150</f>
        <v>2.1038293183682</v>
      </c>
      <c r="J196" s="39" t="n">
        <f aca="false">'2026 Forecast C'!L150</f>
        <v>1.909243057213</v>
      </c>
      <c r="K196" s="18" t="n">
        <f aca="false">'2026 Forecast A'!F150</f>
        <v>1657</v>
      </c>
      <c r="L196" s="40" t="str">
        <f aca="false">IF(OR(AND(D196&gt;0.5,E196&gt;0.5,F196&gt;0.5),AND(D196&lt;0.5,E196&lt;0.5,F196&lt;0.5)),"Yes","No — toss-up")</f>
        <v>Yes</v>
      </c>
    </row>
    <row r="197" customFormat="false" ht="15" hidden="false" customHeight="false" outlineLevel="0" collapsed="false">
      <c r="A197" s="9" t="str">
        <f aca="false">'2026 Forecast A'!A151</f>
        <v>Lehigh</v>
      </c>
      <c r="B197" s="9" t="str">
        <f aca="false">'2026 Forecast A'!B151</f>
        <v>LOWER MACUNGIE</v>
      </c>
      <c r="C197" s="9" t="str">
        <f aca="false">'2026 Forecast A'!C151</f>
        <v>LOWER MACUNGIE 10TH DISTRICT</v>
      </c>
      <c r="D197" s="10" t="n">
        <f aca="false">'2026 Forecast A'!G151</f>
        <v>0.5</v>
      </c>
      <c r="E197" s="10" t="n">
        <f aca="false">'2026 Forecast B'!G151</f>
        <v>0.501948051948052</v>
      </c>
      <c r="F197" s="10" t="n">
        <f aca="false">'2026 Forecast C'!G151</f>
        <v>0.5</v>
      </c>
      <c r="G197" s="38" t="n">
        <f aca="false">(MAX(D197:F197)-MIN(D197:F197))*100</f>
        <v>0.194805194805192</v>
      </c>
      <c r="H197" s="39" t="n">
        <f aca="false">'2026 Forecast A'!L151</f>
        <v>1.75369314833214</v>
      </c>
      <c r="I197" s="39" t="n">
        <f aca="false">'2026 Forecast B'!L151</f>
        <v>2.1038293183682</v>
      </c>
      <c r="J197" s="39" t="n">
        <f aca="false">'2026 Forecast C'!L151</f>
        <v>1.909243057213</v>
      </c>
      <c r="K197" s="18" t="n">
        <f aca="false">'2026 Forecast A'!F151</f>
        <v>1540</v>
      </c>
      <c r="L197" s="40" t="str">
        <f aca="false">IF(OR(AND(D197&gt;0.5,E197&gt;0.5,F197&gt;0.5),AND(D197&lt;0.5,E197&lt;0.5,F197&lt;0.5)),"Yes","No — toss-up")</f>
        <v>No — toss-up</v>
      </c>
    </row>
    <row r="198" customFormat="false" ht="15" hidden="false" customHeight="false" outlineLevel="0" collapsed="false">
      <c r="A198" s="9" t="str">
        <f aca="false">'2026 Forecast A'!A152</f>
        <v>Lehigh</v>
      </c>
      <c r="B198" s="9" t="str">
        <f aca="false">'2026 Forecast A'!B152</f>
        <v>LOWER MACUNGIE</v>
      </c>
      <c r="C198" s="9" t="str">
        <f aca="false">'2026 Forecast A'!C152</f>
        <v>LOWER MACUNGIE 1ST DISTRICT</v>
      </c>
      <c r="D198" s="10" t="n">
        <f aca="false">'2026 Forecast A'!G152</f>
        <v>0.506784660766962</v>
      </c>
      <c r="E198" s="10" t="n">
        <f aca="false">'2026 Forecast B'!G152</f>
        <v>0.507964601769912</v>
      </c>
      <c r="F198" s="10" t="n">
        <f aca="false">'2026 Forecast C'!G152</f>
        <v>0.508554572271387</v>
      </c>
      <c r="G198" s="38" t="n">
        <f aca="false">(MAX(D198:F198)-MIN(D198:F198))*100</f>
        <v>0.176991150442485</v>
      </c>
      <c r="H198" s="39" t="n">
        <f aca="false">'2026 Forecast A'!L152</f>
        <v>1.75369314833214</v>
      </c>
      <c r="I198" s="39" t="n">
        <f aca="false">'2026 Forecast B'!L152</f>
        <v>2.1038293183682</v>
      </c>
      <c r="J198" s="39" t="n">
        <f aca="false">'2026 Forecast C'!L152</f>
        <v>1.909243057213</v>
      </c>
      <c r="K198" s="18" t="n">
        <f aca="false">'2026 Forecast A'!F152</f>
        <v>1695</v>
      </c>
      <c r="L198" s="40" t="str">
        <f aca="false">IF(OR(AND(D198&gt;0.5,E198&gt;0.5,F198&gt;0.5),AND(D198&lt;0.5,E198&lt;0.5,F198&lt;0.5)),"Yes","No — toss-up")</f>
        <v>Yes</v>
      </c>
    </row>
    <row r="199" customFormat="false" ht="15" hidden="false" customHeight="false" outlineLevel="0" collapsed="false">
      <c r="A199" s="9" t="str">
        <f aca="false">'2026 Forecast A'!A153</f>
        <v>Lehigh</v>
      </c>
      <c r="B199" s="9" t="str">
        <f aca="false">'2026 Forecast A'!B153</f>
        <v>LOWER MACUNGIE</v>
      </c>
      <c r="C199" s="9" t="str">
        <f aca="false">'2026 Forecast A'!C153</f>
        <v>LOWER MACUNGIE 2ND DISTRICT</v>
      </c>
      <c r="D199" s="10" t="n">
        <f aca="false">'2026 Forecast A'!G153</f>
        <v>0.505902192242833</v>
      </c>
      <c r="E199" s="10" t="n">
        <f aca="false">'2026 Forecast B'!G153</f>
        <v>0.506576728499157</v>
      </c>
      <c r="F199" s="10" t="n">
        <f aca="false">'2026 Forecast C'!G153</f>
        <v>0.507588532883643</v>
      </c>
      <c r="G199" s="38" t="n">
        <f aca="false">(MAX(D199:F199)-MIN(D199:F199))*100</f>
        <v>0.168634064080941</v>
      </c>
      <c r="H199" s="39" t="n">
        <f aca="false">'2026 Forecast A'!L153</f>
        <v>1.75369314833214</v>
      </c>
      <c r="I199" s="39" t="n">
        <f aca="false">'2026 Forecast B'!L153</f>
        <v>2.1038293183682</v>
      </c>
      <c r="J199" s="39" t="n">
        <f aca="false">'2026 Forecast C'!L153</f>
        <v>1.909243057213</v>
      </c>
      <c r="K199" s="18" t="n">
        <f aca="false">'2026 Forecast A'!F153</f>
        <v>2965</v>
      </c>
      <c r="L199" s="40" t="str">
        <f aca="false">IF(OR(AND(D199&gt;0.5,E199&gt;0.5,F199&gt;0.5),AND(D199&lt;0.5,E199&lt;0.5,F199&lt;0.5)),"Yes","No — toss-up")</f>
        <v>Yes</v>
      </c>
    </row>
    <row r="200" customFormat="false" ht="15" hidden="false" customHeight="false" outlineLevel="0" collapsed="false">
      <c r="A200" s="9" t="str">
        <f aca="false">'2026 Forecast A'!A154</f>
        <v>Lehigh</v>
      </c>
      <c r="B200" s="9" t="str">
        <f aca="false">'2026 Forecast A'!B154</f>
        <v>LOWER MACUNGIE</v>
      </c>
      <c r="C200" s="9" t="str">
        <f aca="false">'2026 Forecast A'!C154</f>
        <v>LOWER MACUNGIE 3RD DISTRICT</v>
      </c>
      <c r="D200" s="10" t="n">
        <f aca="false">'2026 Forecast A'!G154</f>
        <v>0.498010610079576</v>
      </c>
      <c r="E200" s="10" t="n">
        <f aca="false">'2026 Forecast B'!G154</f>
        <v>0.502652519893899</v>
      </c>
      <c r="F200" s="10" t="n">
        <f aca="false">'2026 Forecast C'!G154</f>
        <v>0.499336870026525</v>
      </c>
      <c r="G200" s="38" t="n">
        <f aca="false">(MAX(D200:F200)-MIN(D200:F200))*100</f>
        <v>0.464190981432366</v>
      </c>
      <c r="H200" s="39" t="n">
        <f aca="false">'2026 Forecast A'!L154</f>
        <v>1.75369314833214</v>
      </c>
      <c r="I200" s="39" t="n">
        <f aca="false">'2026 Forecast B'!L154</f>
        <v>2.1038293183682</v>
      </c>
      <c r="J200" s="39" t="n">
        <f aca="false">'2026 Forecast C'!L154</f>
        <v>1.909243057213</v>
      </c>
      <c r="K200" s="18" t="n">
        <f aca="false">'2026 Forecast A'!F154</f>
        <v>1508</v>
      </c>
      <c r="L200" s="40" t="str">
        <f aca="false">IF(OR(AND(D200&gt;0.5,E200&gt;0.5,F200&gt;0.5),AND(D200&lt;0.5,E200&lt;0.5,F200&lt;0.5)),"Yes","No — toss-up")</f>
        <v>No — toss-up</v>
      </c>
    </row>
    <row r="201" customFormat="false" ht="15" hidden="false" customHeight="false" outlineLevel="0" collapsed="false">
      <c r="A201" s="9" t="str">
        <f aca="false">'2026 Forecast A'!A155</f>
        <v>Lehigh</v>
      </c>
      <c r="B201" s="9" t="str">
        <f aca="false">'2026 Forecast A'!B155</f>
        <v>LOWER MACUNGIE</v>
      </c>
      <c r="C201" s="9" t="str">
        <f aca="false">'2026 Forecast A'!C155</f>
        <v>LOWER MACUNGIE 4TH DISTRICT</v>
      </c>
      <c r="D201" s="10" t="n">
        <f aca="false">'2026 Forecast A'!G155</f>
        <v>0.497109826589595</v>
      </c>
      <c r="E201" s="10" t="n">
        <f aca="false">'2026 Forecast B'!G155</f>
        <v>0.500722543352601</v>
      </c>
      <c r="F201" s="10" t="n">
        <f aca="false">'2026 Forecast C'!G155</f>
        <v>0.499277456647399</v>
      </c>
      <c r="G201" s="38" t="n">
        <f aca="false">(MAX(D201:F201)-MIN(D201:F201))*100</f>
        <v>0.361271676300579</v>
      </c>
      <c r="H201" s="39" t="n">
        <f aca="false">'2026 Forecast A'!L155</f>
        <v>1.75369314833214</v>
      </c>
      <c r="I201" s="39" t="n">
        <f aca="false">'2026 Forecast B'!L155</f>
        <v>2.1038293183682</v>
      </c>
      <c r="J201" s="39" t="n">
        <f aca="false">'2026 Forecast C'!L155</f>
        <v>1.909243057213</v>
      </c>
      <c r="K201" s="18" t="n">
        <f aca="false">'2026 Forecast A'!F155</f>
        <v>1384</v>
      </c>
      <c r="L201" s="40" t="str">
        <f aca="false">IF(OR(AND(D201&gt;0.5,E201&gt;0.5,F201&gt;0.5),AND(D201&lt;0.5,E201&lt;0.5,F201&lt;0.5)),"Yes","No — toss-up")</f>
        <v>No — toss-up</v>
      </c>
    </row>
    <row r="202" customFormat="false" ht="15" hidden="false" customHeight="false" outlineLevel="0" collapsed="false">
      <c r="A202" s="9" t="str">
        <f aca="false">'2026 Forecast A'!A156</f>
        <v>Lehigh</v>
      </c>
      <c r="B202" s="9" t="str">
        <f aca="false">'2026 Forecast A'!B156</f>
        <v>LOWER MACUNGIE</v>
      </c>
      <c r="C202" s="9" t="str">
        <f aca="false">'2026 Forecast A'!C156</f>
        <v>LOWER MACUNGIE 5TH DISTRICT</v>
      </c>
      <c r="D202" s="10" t="n">
        <f aca="false">'2026 Forecast A'!G156</f>
        <v>0.521996615905245</v>
      </c>
      <c r="E202" s="10" t="n">
        <f aca="false">'2026 Forecast B'!G156</f>
        <v>0.516074450084602</v>
      </c>
      <c r="F202" s="10" t="n">
        <f aca="false">'2026 Forecast C'!G156</f>
        <v>0.525380710659898</v>
      </c>
      <c r="G202" s="38" t="n">
        <f aca="false">(MAX(D202:F202)-MIN(D202:F202))*100</f>
        <v>0.930626057529604</v>
      </c>
      <c r="H202" s="39" t="n">
        <f aca="false">'2026 Forecast A'!L156</f>
        <v>1.75369314833214</v>
      </c>
      <c r="I202" s="39" t="n">
        <f aca="false">'2026 Forecast B'!L156</f>
        <v>2.1038293183682</v>
      </c>
      <c r="J202" s="39" t="n">
        <f aca="false">'2026 Forecast C'!L156</f>
        <v>1.909243057213</v>
      </c>
      <c r="K202" s="18" t="n">
        <f aca="false">'2026 Forecast A'!F156</f>
        <v>1182</v>
      </c>
      <c r="L202" s="40" t="str">
        <f aca="false">IF(OR(AND(D202&gt;0.5,E202&gt;0.5,F202&gt;0.5),AND(D202&lt;0.5,E202&lt;0.5,F202&lt;0.5)),"Yes","No — toss-up")</f>
        <v>Yes</v>
      </c>
    </row>
    <row r="203" customFormat="false" ht="15" hidden="false" customHeight="false" outlineLevel="0" collapsed="false">
      <c r="A203" s="9" t="str">
        <f aca="false">'2026 Forecast A'!A157</f>
        <v>Lehigh</v>
      </c>
      <c r="B203" s="9" t="str">
        <f aca="false">'2026 Forecast A'!B157</f>
        <v>LOWER MACUNGIE</v>
      </c>
      <c r="C203" s="9" t="str">
        <f aca="false">'2026 Forecast A'!C157</f>
        <v>LOWER MACUNGIE 6TH DISTRICT</v>
      </c>
      <c r="D203" s="10" t="n">
        <f aca="false">'2026 Forecast A'!G157</f>
        <v>0.497601918465228</v>
      </c>
      <c r="E203" s="10" t="n">
        <f aca="false">'2026 Forecast B'!G157</f>
        <v>0.507194244604317</v>
      </c>
      <c r="F203" s="10" t="n">
        <f aca="false">'2026 Forecast C'!G157</f>
        <v>0.499200639488409</v>
      </c>
      <c r="G203" s="38" t="n">
        <f aca="false">(MAX(D203:F203)-MIN(D203:F203))*100</f>
        <v>0.959232613908867</v>
      </c>
      <c r="H203" s="39" t="n">
        <f aca="false">'2026 Forecast A'!L157</f>
        <v>1.75369314833214</v>
      </c>
      <c r="I203" s="39" t="n">
        <f aca="false">'2026 Forecast B'!L157</f>
        <v>2.1038293183682</v>
      </c>
      <c r="J203" s="39" t="n">
        <f aca="false">'2026 Forecast C'!L157</f>
        <v>1.909243057213</v>
      </c>
      <c r="K203" s="18" t="n">
        <f aca="false">'2026 Forecast A'!F157</f>
        <v>2502</v>
      </c>
      <c r="L203" s="40" t="str">
        <f aca="false">IF(OR(AND(D203&gt;0.5,E203&gt;0.5,F203&gt;0.5),AND(D203&lt;0.5,E203&lt;0.5,F203&lt;0.5)),"Yes","No — toss-up")</f>
        <v>No — toss-up</v>
      </c>
    </row>
    <row r="204" customFormat="false" ht="15" hidden="false" customHeight="false" outlineLevel="0" collapsed="false">
      <c r="A204" s="9" t="str">
        <f aca="false">'2026 Forecast A'!A158</f>
        <v>Lehigh</v>
      </c>
      <c r="B204" s="9" t="str">
        <f aca="false">'2026 Forecast A'!B158</f>
        <v>LOWER MACUNGIE</v>
      </c>
      <c r="C204" s="9" t="str">
        <f aca="false">'2026 Forecast A'!C158</f>
        <v>LOWER MACUNGIE 7TH DISTRICT</v>
      </c>
      <c r="D204" s="10" t="n">
        <f aca="false">'2026 Forecast A'!G158</f>
        <v>0.535415079969535</v>
      </c>
      <c r="E204" s="10" t="n">
        <f aca="false">'2026 Forecast B'!G158</f>
        <v>0.527798933739528</v>
      </c>
      <c r="F204" s="10" t="n">
        <f aca="false">'2026 Forecast C'!G158</f>
        <v>0.542269611576542</v>
      </c>
      <c r="G204" s="38" t="n">
        <f aca="false">(MAX(D204:F204)-MIN(D204:F204))*100</f>
        <v>1.44706778370145</v>
      </c>
      <c r="H204" s="39" t="n">
        <f aca="false">'2026 Forecast A'!L158</f>
        <v>1.75369314833214</v>
      </c>
      <c r="I204" s="39" t="n">
        <f aca="false">'2026 Forecast B'!L158</f>
        <v>2.1038293183682</v>
      </c>
      <c r="J204" s="39" t="n">
        <f aca="false">'2026 Forecast C'!L158</f>
        <v>1.909243057213</v>
      </c>
      <c r="K204" s="18" t="n">
        <f aca="false">'2026 Forecast A'!F158</f>
        <v>1313</v>
      </c>
      <c r="L204" s="40" t="str">
        <f aca="false">IF(OR(AND(D204&gt;0.5,E204&gt;0.5,F204&gt;0.5),AND(D204&lt;0.5,E204&lt;0.5,F204&lt;0.5)),"Yes","No — toss-up")</f>
        <v>Yes</v>
      </c>
    </row>
    <row r="205" customFormat="false" ht="15" hidden="false" customHeight="false" outlineLevel="0" collapsed="false">
      <c r="A205" s="9" t="str">
        <f aca="false">'2026 Forecast A'!A159</f>
        <v>Lehigh</v>
      </c>
      <c r="B205" s="9" t="str">
        <f aca="false">'2026 Forecast A'!B159</f>
        <v>LOWER MACUNGIE</v>
      </c>
      <c r="C205" s="9" t="str">
        <f aca="false">'2026 Forecast A'!C159</f>
        <v>LOWER MACUNGIE 8TH DISTRICT</v>
      </c>
      <c r="D205" s="10" t="n">
        <f aca="false">'2026 Forecast A'!G159</f>
        <v>0.516393442622951</v>
      </c>
      <c r="E205" s="10" t="n">
        <f aca="false">'2026 Forecast B'!G159</f>
        <v>0.515648286140089</v>
      </c>
      <c r="F205" s="10" t="n">
        <f aca="false">'2026 Forecast C'!G159</f>
        <v>0.518628912071535</v>
      </c>
      <c r="G205" s="38" t="n">
        <f aca="false">(MAX(D205:F205)-MIN(D205:F205))*100</f>
        <v>0.298062593144566</v>
      </c>
      <c r="H205" s="39" t="n">
        <f aca="false">'2026 Forecast A'!L159</f>
        <v>1.75369314833214</v>
      </c>
      <c r="I205" s="39" t="n">
        <f aca="false">'2026 Forecast B'!L159</f>
        <v>2.1038293183682</v>
      </c>
      <c r="J205" s="39" t="n">
        <f aca="false">'2026 Forecast C'!L159</f>
        <v>1.909243057213</v>
      </c>
      <c r="K205" s="18" t="n">
        <f aca="false">'2026 Forecast A'!F159</f>
        <v>1342</v>
      </c>
      <c r="L205" s="40" t="str">
        <f aca="false">IF(OR(AND(D205&gt;0.5,E205&gt;0.5,F205&gt;0.5),AND(D205&lt;0.5,E205&lt;0.5,F205&lt;0.5)),"Yes","No — toss-up")</f>
        <v>Yes</v>
      </c>
    </row>
    <row r="206" customFormat="false" ht="15" hidden="false" customHeight="false" outlineLevel="0" collapsed="false">
      <c r="A206" s="9" t="str">
        <f aca="false">'2026 Forecast A'!A160</f>
        <v>Lehigh</v>
      </c>
      <c r="B206" s="9" t="str">
        <f aca="false">'2026 Forecast A'!B160</f>
        <v>LOWER MACUNGIE</v>
      </c>
      <c r="C206" s="9" t="str">
        <f aca="false">'2026 Forecast A'!C160</f>
        <v>LOWER MACUNGIE 9TH DISTRICT</v>
      </c>
      <c r="D206" s="10" t="n">
        <f aca="false">'2026 Forecast A'!G160</f>
        <v>0.5125</v>
      </c>
      <c r="E206" s="10" t="n">
        <f aca="false">'2026 Forecast B'!G160</f>
        <v>0.515909090909091</v>
      </c>
      <c r="F206" s="10" t="n">
        <f aca="false">'2026 Forecast C'!G160</f>
        <v>0.514772727272727</v>
      </c>
      <c r="G206" s="38" t="n">
        <f aca="false">(MAX(D206:F206)-MIN(D206:F206))*100</f>
        <v>0.340909090909092</v>
      </c>
      <c r="H206" s="39" t="n">
        <f aca="false">'2026 Forecast A'!L160</f>
        <v>2.13789583153489</v>
      </c>
      <c r="I206" s="39" t="n">
        <f aca="false">'2026 Forecast B'!L160</f>
        <v>2.24475965619494</v>
      </c>
      <c r="J206" s="39" t="n">
        <f aca="false">'2026 Forecast C'!L160</f>
        <v>2.3915225360787</v>
      </c>
      <c r="K206" s="18" t="n">
        <f aca="false">'2026 Forecast A'!F160</f>
        <v>880</v>
      </c>
      <c r="L206" s="40" t="str">
        <f aca="false">IF(OR(AND(D206&gt;0.5,E206&gt;0.5,F206&gt;0.5),AND(D206&lt;0.5,E206&lt;0.5,F206&lt;0.5)),"Yes","No — toss-up")</f>
        <v>Yes</v>
      </c>
    </row>
    <row r="207" customFormat="false" ht="15" hidden="false" customHeight="false" outlineLevel="0" collapsed="false">
      <c r="A207" s="9" t="str">
        <f aca="false">'2026 Forecast A'!A161</f>
        <v>Lehigh</v>
      </c>
      <c r="B207" s="9" t="str">
        <f aca="false">'2026 Forecast A'!B161</f>
        <v>LOWER MILFORD</v>
      </c>
      <c r="C207" s="9" t="str">
        <f aca="false">'2026 Forecast A'!C161</f>
        <v>LOWER MILFORD</v>
      </c>
      <c r="D207" s="10" t="n">
        <f aca="false">'2026 Forecast A'!G161</f>
        <v>0.382486388384755</v>
      </c>
      <c r="E207" s="10" t="n">
        <f aca="false">'2026 Forecast B'!G161</f>
        <v>0.381578947368421</v>
      </c>
      <c r="F207" s="10" t="n">
        <f aca="false">'2026 Forecast C'!G161</f>
        <v>0.373411978221416</v>
      </c>
      <c r="G207" s="38" t="n">
        <f aca="false">(MAX(D207:F207)-MIN(D207:F207))*100</f>
        <v>0.907441016333943</v>
      </c>
      <c r="H207" s="39" t="n">
        <f aca="false">'2026 Forecast A'!L161</f>
        <v>1.75369314833214</v>
      </c>
      <c r="I207" s="39" t="n">
        <f aca="false">'2026 Forecast B'!L161</f>
        <v>2.1038293183682</v>
      </c>
      <c r="J207" s="39" t="n">
        <f aca="false">'2026 Forecast C'!L161</f>
        <v>1.909243057213</v>
      </c>
      <c r="K207" s="18" t="n">
        <f aca="false">'2026 Forecast A'!F161</f>
        <v>2204</v>
      </c>
      <c r="L207" s="40" t="str">
        <f aca="false">IF(OR(AND(D207&gt;0.5,E207&gt;0.5,F207&gt;0.5),AND(D207&lt;0.5,E207&lt;0.5,F207&lt;0.5)),"Yes","No — toss-up")</f>
        <v>Yes</v>
      </c>
    </row>
    <row r="208" customFormat="false" ht="15" hidden="false" customHeight="false" outlineLevel="0" collapsed="false">
      <c r="A208" s="9" t="str">
        <f aca="false">'2026 Forecast A'!A162</f>
        <v>Lehigh</v>
      </c>
      <c r="B208" s="9" t="str">
        <f aca="false">'2026 Forecast A'!B162</f>
        <v>LOWHILL</v>
      </c>
      <c r="C208" s="9" t="str">
        <f aca="false">'2026 Forecast A'!C162</f>
        <v>LOWHILL</v>
      </c>
      <c r="D208" s="10" t="n">
        <f aca="false">'2026 Forecast A'!G162</f>
        <v>0.357316087308003</v>
      </c>
      <c r="E208" s="10" t="n">
        <f aca="false">'2026 Forecast B'!G162</f>
        <v>0.361358124494745</v>
      </c>
      <c r="F208" s="10" t="n">
        <f aca="false">'2026 Forecast C'!G162</f>
        <v>0.345189975747777</v>
      </c>
      <c r="G208" s="38" t="n">
        <f aca="false">(MAX(D208:F208)-MIN(D208:F208))*100</f>
        <v>1.61681487469685</v>
      </c>
      <c r="H208" s="39" t="n">
        <f aca="false">'2026 Forecast A'!L162</f>
        <v>1.75369314833214</v>
      </c>
      <c r="I208" s="39" t="n">
        <f aca="false">'2026 Forecast B'!L162</f>
        <v>2.1038293183682</v>
      </c>
      <c r="J208" s="39" t="n">
        <f aca="false">'2026 Forecast C'!L162</f>
        <v>1.909243057213</v>
      </c>
      <c r="K208" s="18" t="n">
        <f aca="false">'2026 Forecast A'!F162</f>
        <v>1237</v>
      </c>
      <c r="L208" s="40" t="str">
        <f aca="false">IF(OR(AND(D208&gt;0.5,E208&gt;0.5,F208&gt;0.5),AND(D208&lt;0.5,E208&lt;0.5,F208&lt;0.5)),"Yes","No — toss-up")</f>
        <v>Yes</v>
      </c>
    </row>
    <row r="209" customFormat="false" ht="15" hidden="false" customHeight="false" outlineLevel="0" collapsed="false">
      <c r="A209" s="9" t="str">
        <f aca="false">'2026 Forecast A'!A163</f>
        <v>Lehigh</v>
      </c>
      <c r="B209" s="9" t="str">
        <f aca="false">'2026 Forecast A'!B163</f>
        <v>LYNN</v>
      </c>
      <c r="C209" s="9" t="str">
        <f aca="false">'2026 Forecast A'!C163</f>
        <v>LYNN JACKSONVILLE DISTRICT</v>
      </c>
      <c r="D209" s="10" t="n">
        <f aca="false">'2026 Forecast A'!G163</f>
        <v>0.285968028419183</v>
      </c>
      <c r="E209" s="10" t="n">
        <f aca="false">'2026 Forecast B'!G163</f>
        <v>0.280639431616341</v>
      </c>
      <c r="F209" s="10" t="n">
        <f aca="false">'2026 Forecast C'!G163</f>
        <v>0.268206039076377</v>
      </c>
      <c r="G209" s="38" t="n">
        <f aca="false">(MAX(D209:F209)-MIN(D209:F209))*100</f>
        <v>1.77619893428064</v>
      </c>
      <c r="H209" s="39" t="n">
        <f aca="false">'2026 Forecast A'!L163</f>
        <v>3.43333352273176</v>
      </c>
      <c r="I209" s="39" t="n">
        <f aca="false">'2026 Forecast B'!L163</f>
        <v>3.21167747490571</v>
      </c>
      <c r="J209" s="39" t="n">
        <f aca="false">'2026 Forecast C'!L163</f>
        <v>3.72283676191068</v>
      </c>
      <c r="K209" s="18" t="n">
        <f aca="false">'2026 Forecast A'!F163</f>
        <v>563</v>
      </c>
      <c r="L209" s="40" t="str">
        <f aca="false">IF(OR(AND(D209&gt;0.5,E209&gt;0.5,F209&gt;0.5),AND(D209&lt;0.5,E209&lt;0.5,F209&lt;0.5)),"Yes","No — toss-up")</f>
        <v>Yes</v>
      </c>
    </row>
    <row r="210" customFormat="false" ht="15" hidden="false" customHeight="false" outlineLevel="0" collapsed="false">
      <c r="A210" s="9" t="str">
        <f aca="false">'2026 Forecast A'!A164</f>
        <v>Lehigh</v>
      </c>
      <c r="B210" s="9" t="str">
        <f aca="false">'2026 Forecast A'!B164</f>
        <v>LYNN</v>
      </c>
      <c r="C210" s="9" t="str">
        <f aca="false">'2026 Forecast A'!C164</f>
        <v>LYNN LYNNVILLE DISTRICT</v>
      </c>
      <c r="D210" s="10" t="n">
        <f aca="false">'2026 Forecast A'!G164</f>
        <v>0.323759791122715</v>
      </c>
      <c r="E210" s="10" t="n">
        <f aca="false">'2026 Forecast B'!G164</f>
        <v>0.315926892950392</v>
      </c>
      <c r="F210" s="10" t="n">
        <f aca="false">'2026 Forecast C'!G164</f>
        <v>0.308093994778068</v>
      </c>
      <c r="G210" s="38" t="n">
        <f aca="false">(MAX(D210:F210)-MIN(D210:F210))*100</f>
        <v>1.56657963446475</v>
      </c>
      <c r="H210" s="39" t="n">
        <f aca="false">'2026 Forecast A'!L164</f>
        <v>3.43333352273176</v>
      </c>
      <c r="I210" s="39" t="n">
        <f aca="false">'2026 Forecast B'!L164</f>
        <v>3.21167747490571</v>
      </c>
      <c r="J210" s="39" t="n">
        <f aca="false">'2026 Forecast C'!L164</f>
        <v>3.72283676191068</v>
      </c>
      <c r="K210" s="18" t="n">
        <f aca="false">'2026 Forecast A'!F164</f>
        <v>383</v>
      </c>
      <c r="L210" s="40" t="str">
        <f aca="false">IF(OR(AND(D210&gt;0.5,E210&gt;0.5,F210&gt;0.5),AND(D210&lt;0.5,E210&lt;0.5,F210&lt;0.5)),"Yes","No — toss-up")</f>
        <v>Yes</v>
      </c>
    </row>
    <row r="211" customFormat="false" ht="15" hidden="false" customHeight="false" outlineLevel="0" collapsed="false">
      <c r="A211" s="9" t="str">
        <f aca="false">'2026 Forecast A'!A165</f>
        <v>Lehigh</v>
      </c>
      <c r="B211" s="9" t="str">
        <f aca="false">'2026 Forecast A'!B165</f>
        <v>LYNN</v>
      </c>
      <c r="C211" s="9" t="str">
        <f aca="false">'2026 Forecast A'!C165</f>
        <v>LYNN NEW TRIPOLI DISTRICT</v>
      </c>
      <c r="D211" s="10" t="n">
        <f aca="false">'2026 Forecast A'!G165</f>
        <v>0.338141025641026</v>
      </c>
      <c r="E211" s="10" t="n">
        <f aca="false">'2026 Forecast B'!G165</f>
        <v>0.332532051282051</v>
      </c>
      <c r="F211" s="10" t="n">
        <f aca="false">'2026 Forecast C'!G165</f>
        <v>0.321314102564103</v>
      </c>
      <c r="G211" s="38" t="n">
        <f aca="false">(MAX(D211:F211)-MIN(D211:F211))*100</f>
        <v>1.68269230769231</v>
      </c>
      <c r="H211" s="39" t="n">
        <f aca="false">'2026 Forecast A'!L165</f>
        <v>1.75369314833214</v>
      </c>
      <c r="I211" s="39" t="n">
        <f aca="false">'2026 Forecast B'!L165</f>
        <v>2.1038293183682</v>
      </c>
      <c r="J211" s="39" t="n">
        <f aca="false">'2026 Forecast C'!L165</f>
        <v>1.909243057213</v>
      </c>
      <c r="K211" s="18" t="n">
        <f aca="false">'2026 Forecast A'!F165</f>
        <v>1248</v>
      </c>
      <c r="L211" s="40" t="str">
        <f aca="false">IF(OR(AND(D211&gt;0.5,E211&gt;0.5,F211&gt;0.5),AND(D211&lt;0.5,E211&lt;0.5,F211&lt;0.5)),"Yes","No — toss-up")</f>
        <v>Yes</v>
      </c>
    </row>
    <row r="212" customFormat="false" ht="15" hidden="false" customHeight="false" outlineLevel="0" collapsed="false">
      <c r="A212" s="9" t="str">
        <f aca="false">'2026 Forecast A'!A166</f>
        <v>Lehigh</v>
      </c>
      <c r="B212" s="9" t="str">
        <f aca="false">'2026 Forecast A'!B166</f>
        <v>MACUNGIE</v>
      </c>
      <c r="C212" s="9" t="str">
        <f aca="false">'2026 Forecast A'!C166</f>
        <v>MACUNGIE</v>
      </c>
      <c r="D212" s="10" t="n">
        <f aca="false">'2026 Forecast A'!G166</f>
        <v>0.534699272967614</v>
      </c>
      <c r="E212" s="10" t="n">
        <f aca="false">'2026 Forecast B'!G166</f>
        <v>0.53536021150033</v>
      </c>
      <c r="F212" s="10" t="n">
        <f aca="false">'2026 Forecast C'!G166</f>
        <v>0.542630535360212</v>
      </c>
      <c r="G212" s="38" t="n">
        <f aca="false">(MAX(D212:F212)-MIN(D212:F212))*100</f>
        <v>0.793126239259756</v>
      </c>
      <c r="H212" s="39" t="n">
        <f aca="false">'2026 Forecast A'!L166</f>
        <v>1.75369314833214</v>
      </c>
      <c r="I212" s="39" t="n">
        <f aca="false">'2026 Forecast B'!L166</f>
        <v>2.1038293183682</v>
      </c>
      <c r="J212" s="39" t="n">
        <f aca="false">'2026 Forecast C'!L166</f>
        <v>1.909243057213</v>
      </c>
      <c r="K212" s="18" t="n">
        <f aca="false">'2026 Forecast A'!F166</f>
        <v>1513</v>
      </c>
      <c r="L212" s="40" t="str">
        <f aca="false">IF(OR(AND(D212&gt;0.5,E212&gt;0.5,F212&gt;0.5),AND(D212&lt;0.5,E212&lt;0.5,F212&lt;0.5)),"Yes","No — toss-up")</f>
        <v>Yes</v>
      </c>
    </row>
    <row r="213" customFormat="false" ht="15" hidden="false" customHeight="false" outlineLevel="0" collapsed="false">
      <c r="A213" s="9" t="str">
        <f aca="false">'2026 Forecast A'!A167</f>
        <v>Lehigh</v>
      </c>
      <c r="B213" s="9" t="str">
        <f aca="false">'2026 Forecast A'!B167</f>
        <v>NORTH WHITEHALL</v>
      </c>
      <c r="C213" s="9" t="str">
        <f aca="false">'2026 Forecast A'!C167</f>
        <v>NORTH WHITEHALL 1ST DISTRICT</v>
      </c>
      <c r="D213" s="10" t="n">
        <f aca="false">'2026 Forecast A'!G167</f>
        <v>0.429247764334561</v>
      </c>
      <c r="E213" s="10" t="n">
        <f aca="false">'2026 Forecast B'!G167</f>
        <v>0.41977906365071</v>
      </c>
      <c r="F213" s="10" t="n">
        <f aca="false">'2026 Forecast C'!G167</f>
        <v>0.425039452919516</v>
      </c>
      <c r="G213" s="38" t="n">
        <f aca="false">(MAX(D213:F213)-MIN(D213:F213))*100</f>
        <v>0.946870068385058</v>
      </c>
      <c r="H213" s="39" t="n">
        <f aca="false">'2026 Forecast A'!L167</f>
        <v>1.75369314833214</v>
      </c>
      <c r="I213" s="39" t="n">
        <f aca="false">'2026 Forecast B'!L167</f>
        <v>2.1038293183682</v>
      </c>
      <c r="J213" s="39" t="n">
        <f aca="false">'2026 Forecast C'!L167</f>
        <v>1.909243057213</v>
      </c>
      <c r="K213" s="18" t="n">
        <f aca="false">'2026 Forecast A'!F167</f>
        <v>1901</v>
      </c>
      <c r="L213" s="40" t="str">
        <f aca="false">IF(OR(AND(D213&gt;0.5,E213&gt;0.5,F213&gt;0.5),AND(D213&lt;0.5,E213&lt;0.5,F213&lt;0.5)),"Yes","No — toss-up")</f>
        <v>Yes</v>
      </c>
    </row>
    <row r="214" customFormat="false" ht="15" hidden="false" customHeight="false" outlineLevel="0" collapsed="false">
      <c r="A214" s="9" t="str">
        <f aca="false">'2026 Forecast A'!A168</f>
        <v>Lehigh</v>
      </c>
      <c r="B214" s="9" t="str">
        <f aca="false">'2026 Forecast A'!B168</f>
        <v>NORTH WHITEHALL</v>
      </c>
      <c r="C214" s="9" t="str">
        <f aca="false">'2026 Forecast A'!C168</f>
        <v>NORTH WHITEHALL 2ND DISTRICT</v>
      </c>
      <c r="D214" s="10" t="n">
        <f aca="false">'2026 Forecast A'!G168</f>
        <v>0.402380952380952</v>
      </c>
      <c r="E214" s="10" t="n">
        <f aca="false">'2026 Forecast B'!G168</f>
        <v>0.402976190476191</v>
      </c>
      <c r="F214" s="10" t="n">
        <f aca="false">'2026 Forecast C'!G168</f>
        <v>0.395238095238095</v>
      </c>
      <c r="G214" s="38" t="n">
        <f aca="false">(MAX(D214:F214)-MIN(D214:F214))*100</f>
        <v>0.773809523809527</v>
      </c>
      <c r="H214" s="39" t="n">
        <f aca="false">'2026 Forecast A'!L168</f>
        <v>1.75369314833214</v>
      </c>
      <c r="I214" s="39" t="n">
        <f aca="false">'2026 Forecast B'!L168</f>
        <v>2.1038293183682</v>
      </c>
      <c r="J214" s="39" t="n">
        <f aca="false">'2026 Forecast C'!L168</f>
        <v>1.909243057213</v>
      </c>
      <c r="K214" s="18" t="n">
        <f aca="false">'2026 Forecast A'!F168</f>
        <v>1680</v>
      </c>
      <c r="L214" s="40" t="str">
        <f aca="false">IF(OR(AND(D214&gt;0.5,E214&gt;0.5,F214&gt;0.5),AND(D214&lt;0.5,E214&lt;0.5,F214&lt;0.5)),"Yes","No — toss-up")</f>
        <v>Yes</v>
      </c>
    </row>
    <row r="215" customFormat="false" ht="15" hidden="false" customHeight="false" outlineLevel="0" collapsed="false">
      <c r="A215" s="9" t="str">
        <f aca="false">'2026 Forecast A'!A169</f>
        <v>Lehigh</v>
      </c>
      <c r="B215" s="9" t="str">
        <f aca="false">'2026 Forecast A'!B169</f>
        <v>NORTH WHITEHALL</v>
      </c>
      <c r="C215" s="9" t="str">
        <f aca="false">'2026 Forecast A'!C169</f>
        <v>NORTH WHITEHALL 3RD DISTRICT</v>
      </c>
      <c r="D215" s="10" t="n">
        <f aca="false">'2026 Forecast A'!G169</f>
        <v>0.399332591768632</v>
      </c>
      <c r="E215" s="10" t="n">
        <f aca="false">'2026 Forecast B'!G169</f>
        <v>0.397107897664071</v>
      </c>
      <c r="F215" s="10" t="n">
        <f aca="false">'2026 Forecast C'!G169</f>
        <v>0.39377085650723</v>
      </c>
      <c r="G215" s="38" t="n">
        <f aca="false">(MAX(D215:F215)-MIN(D215:F215))*100</f>
        <v>0.556173526140158</v>
      </c>
      <c r="H215" s="39" t="n">
        <f aca="false">'2026 Forecast A'!L169</f>
        <v>2.13789583153489</v>
      </c>
      <c r="I215" s="39" t="n">
        <f aca="false">'2026 Forecast B'!L169</f>
        <v>2.24475965619494</v>
      </c>
      <c r="J215" s="39" t="n">
        <f aca="false">'2026 Forecast C'!L169</f>
        <v>2.3915225360787</v>
      </c>
      <c r="K215" s="18" t="n">
        <f aca="false">'2026 Forecast A'!F169</f>
        <v>899</v>
      </c>
      <c r="L215" s="40" t="str">
        <f aca="false">IF(OR(AND(D215&gt;0.5,E215&gt;0.5,F215&gt;0.5),AND(D215&lt;0.5,E215&lt;0.5,F215&lt;0.5)),"Yes","No — toss-up")</f>
        <v>Yes</v>
      </c>
    </row>
    <row r="216" customFormat="false" ht="15" hidden="false" customHeight="false" outlineLevel="0" collapsed="false">
      <c r="A216" s="9" t="str">
        <f aca="false">'2026 Forecast A'!A170</f>
        <v>Lehigh</v>
      </c>
      <c r="B216" s="9" t="str">
        <f aca="false">'2026 Forecast A'!B170</f>
        <v>NORTH WHITEHALL</v>
      </c>
      <c r="C216" s="9" t="str">
        <f aca="false">'2026 Forecast A'!C170</f>
        <v>NORTH WHITEHALL 4TH DISTRICT</v>
      </c>
      <c r="D216" s="10" t="n">
        <f aca="false">'2026 Forecast A'!G170</f>
        <v>0.406179351921628</v>
      </c>
      <c r="E216" s="10" t="n">
        <f aca="false">'2026 Forecast B'!G170</f>
        <v>0.404672192916353</v>
      </c>
      <c r="F216" s="10" t="n">
        <f aca="false">'2026 Forecast C'!G170</f>
        <v>0.400150715900528</v>
      </c>
      <c r="G216" s="38" t="n">
        <f aca="false">(MAX(D216:F216)-MIN(D216:F216))*100</f>
        <v>0.602863602110021</v>
      </c>
      <c r="H216" s="39" t="n">
        <f aca="false">'2026 Forecast A'!L170</f>
        <v>1.75369314833214</v>
      </c>
      <c r="I216" s="39" t="n">
        <f aca="false">'2026 Forecast B'!L170</f>
        <v>2.1038293183682</v>
      </c>
      <c r="J216" s="39" t="n">
        <f aca="false">'2026 Forecast C'!L170</f>
        <v>1.909243057213</v>
      </c>
      <c r="K216" s="18" t="n">
        <f aca="false">'2026 Forecast A'!F170</f>
        <v>1327</v>
      </c>
      <c r="L216" s="40" t="str">
        <f aca="false">IF(OR(AND(D216&gt;0.5,E216&gt;0.5,F216&gt;0.5),AND(D216&lt;0.5,E216&lt;0.5,F216&lt;0.5)),"Yes","No — toss-up")</f>
        <v>Yes</v>
      </c>
    </row>
    <row r="217" customFormat="false" ht="15" hidden="false" customHeight="false" outlineLevel="0" collapsed="false">
      <c r="A217" s="9" t="str">
        <f aca="false">'2026 Forecast A'!A171</f>
        <v>Lehigh</v>
      </c>
      <c r="B217" s="9" t="str">
        <f aca="false">'2026 Forecast A'!B171</f>
        <v>NORTH WHITEHALL</v>
      </c>
      <c r="C217" s="9" t="str">
        <f aca="false">'2026 Forecast A'!C171</f>
        <v>NORTH WHITEHALL 5TH DISTRICT</v>
      </c>
      <c r="D217" s="10" t="n">
        <f aca="false">'2026 Forecast A'!G171</f>
        <v>0.389410760034159</v>
      </c>
      <c r="E217" s="10" t="n">
        <f aca="false">'2026 Forecast B'!G171</f>
        <v>0.390264730999146</v>
      </c>
      <c r="F217" s="10" t="n">
        <f aca="false">'2026 Forecast C'!G171</f>
        <v>0.381725021349274</v>
      </c>
      <c r="G217" s="38" t="n">
        <f aca="false">(MAX(D217:F217)-MIN(D217:F217))*100</f>
        <v>0.853970964987194</v>
      </c>
      <c r="H217" s="39" t="n">
        <f aca="false">'2026 Forecast A'!L171</f>
        <v>1.75369314833214</v>
      </c>
      <c r="I217" s="39" t="n">
        <f aca="false">'2026 Forecast B'!L171</f>
        <v>2.1038293183682</v>
      </c>
      <c r="J217" s="39" t="n">
        <f aca="false">'2026 Forecast C'!L171</f>
        <v>1.909243057213</v>
      </c>
      <c r="K217" s="18" t="n">
        <f aca="false">'2026 Forecast A'!F171</f>
        <v>1171</v>
      </c>
      <c r="L217" s="40" t="str">
        <f aca="false">IF(OR(AND(D217&gt;0.5,E217&gt;0.5,F217&gt;0.5),AND(D217&lt;0.5,E217&lt;0.5,F217&lt;0.5)),"Yes","No — toss-up")</f>
        <v>Yes</v>
      </c>
    </row>
    <row r="218" customFormat="false" ht="15" hidden="false" customHeight="false" outlineLevel="0" collapsed="false">
      <c r="A218" s="9" t="str">
        <f aca="false">'2026 Forecast A'!A172</f>
        <v>Lehigh</v>
      </c>
      <c r="B218" s="9" t="str">
        <f aca="false">'2026 Forecast A'!B172</f>
        <v>NORTH WHITEHALL</v>
      </c>
      <c r="C218" s="9" t="str">
        <f aca="false">'2026 Forecast A'!C172</f>
        <v>NORTH WHITEHALL 6TH DISTRICT</v>
      </c>
      <c r="D218" s="10" t="n">
        <f aca="false">'2026 Forecast A'!G172</f>
        <v>0.424972617743702</v>
      </c>
      <c r="E218" s="10" t="n">
        <f aca="false">'2026 Forecast B'!G172</f>
        <v>0.426067907995619</v>
      </c>
      <c r="F218" s="10" t="n">
        <f aca="false">'2026 Forecast C'!G172</f>
        <v>0.418400876232202</v>
      </c>
      <c r="G218" s="38" t="n">
        <f aca="false">(MAX(D218:F218)-MIN(D218:F218))*100</f>
        <v>0.766703176341732</v>
      </c>
      <c r="H218" s="39" t="n">
        <f aca="false">'2026 Forecast A'!L172</f>
        <v>2.13789583153489</v>
      </c>
      <c r="I218" s="39" t="n">
        <f aca="false">'2026 Forecast B'!L172</f>
        <v>2.24475965619494</v>
      </c>
      <c r="J218" s="39" t="n">
        <f aca="false">'2026 Forecast C'!L172</f>
        <v>2.3915225360787</v>
      </c>
      <c r="K218" s="18" t="n">
        <f aca="false">'2026 Forecast A'!F172</f>
        <v>913</v>
      </c>
      <c r="L218" s="40" t="str">
        <f aca="false">IF(OR(AND(D218&gt;0.5,E218&gt;0.5,F218&gt;0.5),AND(D218&lt;0.5,E218&lt;0.5,F218&lt;0.5)),"Yes","No — toss-up")</f>
        <v>Yes</v>
      </c>
    </row>
    <row r="219" customFormat="false" ht="15" hidden="false" customHeight="false" outlineLevel="0" collapsed="false">
      <c r="A219" s="9" t="str">
        <f aca="false">'2026 Forecast A'!A173</f>
        <v>Lehigh</v>
      </c>
      <c r="B219" s="9" t="str">
        <f aca="false">'2026 Forecast A'!B173</f>
        <v>SALISBURY</v>
      </c>
      <c r="C219" s="9" t="str">
        <f aca="false">'2026 Forecast A'!C173</f>
        <v>SALISBURY 1ST WARD</v>
      </c>
      <c r="D219" s="10" t="n">
        <f aca="false">'2026 Forecast A'!G173</f>
        <v>0.50441609421001</v>
      </c>
      <c r="E219" s="10" t="n">
        <f aca="false">'2026 Forecast B'!G173</f>
        <v>0.50441609421001</v>
      </c>
      <c r="F219" s="10" t="n">
        <f aca="false">'2026 Forecast C'!G173</f>
        <v>0.505397448478901</v>
      </c>
      <c r="G219" s="38" t="n">
        <f aca="false">(MAX(D219:F219)-MIN(D219:F219))*100</f>
        <v>0.0981354268891121</v>
      </c>
      <c r="H219" s="39" t="n">
        <f aca="false">'2026 Forecast A'!L173</f>
        <v>1.75369314833214</v>
      </c>
      <c r="I219" s="39" t="n">
        <f aca="false">'2026 Forecast B'!L173</f>
        <v>2.1038293183682</v>
      </c>
      <c r="J219" s="39" t="n">
        <f aca="false">'2026 Forecast C'!L173</f>
        <v>1.909243057213</v>
      </c>
      <c r="K219" s="18" t="n">
        <f aca="false">'2026 Forecast A'!F173</f>
        <v>1019</v>
      </c>
      <c r="L219" s="40" t="str">
        <f aca="false">IF(OR(AND(D219&gt;0.5,E219&gt;0.5,F219&gt;0.5),AND(D219&lt;0.5,E219&lt;0.5,F219&lt;0.5)),"Yes","No — toss-up")</f>
        <v>Yes</v>
      </c>
    </row>
    <row r="220" customFormat="false" ht="15" hidden="false" customHeight="false" outlineLevel="0" collapsed="false">
      <c r="A220" s="9" t="str">
        <f aca="false">'2026 Forecast A'!A174</f>
        <v>Lehigh</v>
      </c>
      <c r="B220" s="9" t="str">
        <f aca="false">'2026 Forecast A'!B174</f>
        <v>SALISBURY</v>
      </c>
      <c r="C220" s="9" t="str">
        <f aca="false">'2026 Forecast A'!C174</f>
        <v>SALISBURY 2ND WARD</v>
      </c>
      <c r="D220" s="10" t="n">
        <f aca="false">'2026 Forecast A'!G174</f>
        <v>0.503655564581641</v>
      </c>
      <c r="E220" s="10" t="n">
        <f aca="false">'2026 Forecast B'!G174</f>
        <v>0.509341998375305</v>
      </c>
      <c r="F220" s="10" t="n">
        <f aca="false">'2026 Forecast C'!G174</f>
        <v>0.505280259951259</v>
      </c>
      <c r="G220" s="38" t="n">
        <f aca="false">(MAX(D220:F220)-MIN(D220:F220))*100</f>
        <v>0.568643379366363</v>
      </c>
      <c r="H220" s="39" t="n">
        <f aca="false">'2026 Forecast A'!L174</f>
        <v>1.75369314833214</v>
      </c>
      <c r="I220" s="39" t="n">
        <f aca="false">'2026 Forecast B'!L174</f>
        <v>2.1038293183682</v>
      </c>
      <c r="J220" s="39" t="n">
        <f aca="false">'2026 Forecast C'!L174</f>
        <v>1.909243057213</v>
      </c>
      <c r="K220" s="18" t="n">
        <f aca="false">'2026 Forecast A'!F174</f>
        <v>1231</v>
      </c>
      <c r="L220" s="40" t="str">
        <f aca="false">IF(OR(AND(D220&gt;0.5,E220&gt;0.5,F220&gt;0.5),AND(D220&lt;0.5,E220&lt;0.5,F220&lt;0.5)),"Yes","No — toss-up")</f>
        <v>Yes</v>
      </c>
    </row>
    <row r="221" customFormat="false" ht="15" hidden="false" customHeight="false" outlineLevel="0" collapsed="false">
      <c r="A221" s="9" t="str">
        <f aca="false">'2026 Forecast A'!A175</f>
        <v>Lehigh</v>
      </c>
      <c r="B221" s="9" t="str">
        <f aca="false">'2026 Forecast A'!B175</f>
        <v>SALISBURY</v>
      </c>
      <c r="C221" s="9" t="str">
        <f aca="false">'2026 Forecast A'!C175</f>
        <v>SALISBURY 3RD WARD 1ST DIST</v>
      </c>
      <c r="D221" s="10" t="n">
        <f aca="false">'2026 Forecast A'!G175</f>
        <v>0.503610108303249</v>
      </c>
      <c r="E221" s="10" t="n">
        <f aca="false">'2026 Forecast B'!G175</f>
        <v>0.505415162454874</v>
      </c>
      <c r="F221" s="10" t="n">
        <f aca="false">'2026 Forecast C'!G175</f>
        <v>0.507220216606498</v>
      </c>
      <c r="G221" s="38" t="n">
        <f aca="false">(MAX(D221:F221)-MIN(D221:F221))*100</f>
        <v>0.361010830324904</v>
      </c>
      <c r="H221" s="39" t="n">
        <f aca="false">'2026 Forecast A'!L175</f>
        <v>3.43333352273176</v>
      </c>
      <c r="I221" s="39" t="n">
        <f aca="false">'2026 Forecast B'!L175</f>
        <v>3.21167747490571</v>
      </c>
      <c r="J221" s="39" t="n">
        <f aca="false">'2026 Forecast C'!L175</f>
        <v>3.72283676191068</v>
      </c>
      <c r="K221" s="18" t="n">
        <f aca="false">'2026 Forecast A'!F175</f>
        <v>554</v>
      </c>
      <c r="L221" s="40" t="str">
        <f aca="false">IF(OR(AND(D221&gt;0.5,E221&gt;0.5,F221&gt;0.5),AND(D221&lt;0.5,E221&lt;0.5,F221&lt;0.5)),"Yes","No — toss-up")</f>
        <v>Yes</v>
      </c>
    </row>
    <row r="222" customFormat="false" ht="15" hidden="false" customHeight="false" outlineLevel="0" collapsed="false">
      <c r="A222" s="9" t="str">
        <f aca="false">'2026 Forecast A'!A176</f>
        <v>Lehigh</v>
      </c>
      <c r="B222" s="9" t="str">
        <f aca="false">'2026 Forecast A'!B176</f>
        <v>SALISBURY</v>
      </c>
      <c r="C222" s="9" t="str">
        <f aca="false">'2026 Forecast A'!C176</f>
        <v>SALISBURY 3RD WARD 2ND DIST</v>
      </c>
      <c r="D222" s="10" t="n">
        <f aca="false">'2026 Forecast A'!G176</f>
        <v>0.510971786833856</v>
      </c>
      <c r="E222" s="10" t="n">
        <f aca="false">'2026 Forecast B'!G176</f>
        <v>0.515673981191223</v>
      </c>
      <c r="F222" s="10" t="n">
        <f aca="false">'2026 Forecast C'!G176</f>
        <v>0.512539184952978</v>
      </c>
      <c r="G222" s="38" t="n">
        <f aca="false">(MAX(D222:F222)-MIN(D222:F222))*100</f>
        <v>0.470219435736674</v>
      </c>
      <c r="H222" s="39" t="n">
        <f aca="false">'2026 Forecast A'!L176</f>
        <v>2.13789583153489</v>
      </c>
      <c r="I222" s="39" t="n">
        <f aca="false">'2026 Forecast B'!L176</f>
        <v>2.24475965619494</v>
      </c>
      <c r="J222" s="39" t="n">
        <f aca="false">'2026 Forecast C'!L176</f>
        <v>2.3915225360787</v>
      </c>
      <c r="K222" s="18" t="n">
        <f aca="false">'2026 Forecast A'!F176</f>
        <v>638</v>
      </c>
      <c r="L222" s="40" t="str">
        <f aca="false">IF(OR(AND(D222&gt;0.5,E222&gt;0.5,F222&gt;0.5),AND(D222&lt;0.5,E222&lt;0.5,F222&lt;0.5)),"Yes","No — toss-up")</f>
        <v>Yes</v>
      </c>
    </row>
    <row r="223" customFormat="false" ht="15" hidden="false" customHeight="false" outlineLevel="0" collapsed="false">
      <c r="A223" s="9" t="str">
        <f aca="false">'2026 Forecast A'!A177</f>
        <v>Lehigh</v>
      </c>
      <c r="B223" s="9" t="str">
        <f aca="false">'2026 Forecast A'!B177</f>
        <v>SALISBURY</v>
      </c>
      <c r="C223" s="9" t="str">
        <f aca="false">'2026 Forecast A'!C177</f>
        <v>SALISBURY 4TH WARD 1ST DIST</v>
      </c>
      <c r="D223" s="10" t="n">
        <f aca="false">'2026 Forecast A'!G177</f>
        <v>0.496495327102804</v>
      </c>
      <c r="E223" s="10" t="n">
        <f aca="false">'2026 Forecast B'!G177</f>
        <v>0.497663551401869</v>
      </c>
      <c r="F223" s="10" t="n">
        <f aca="false">'2026 Forecast C'!G177</f>
        <v>0.497663551401869</v>
      </c>
      <c r="G223" s="38" t="n">
        <f aca="false">(MAX(D223:F223)-MIN(D223:F223))*100</f>
        <v>0.116822429906543</v>
      </c>
      <c r="H223" s="39" t="n">
        <f aca="false">'2026 Forecast A'!L177</f>
        <v>2.13789583153489</v>
      </c>
      <c r="I223" s="39" t="n">
        <f aca="false">'2026 Forecast B'!L177</f>
        <v>2.24475965619494</v>
      </c>
      <c r="J223" s="39" t="n">
        <f aca="false">'2026 Forecast C'!L177</f>
        <v>2.3915225360787</v>
      </c>
      <c r="K223" s="18" t="n">
        <f aca="false">'2026 Forecast A'!F177</f>
        <v>856</v>
      </c>
      <c r="L223" s="40" t="str">
        <f aca="false">IF(OR(AND(D223&gt;0.5,E223&gt;0.5,F223&gt;0.5),AND(D223&lt;0.5,E223&lt;0.5,F223&lt;0.5)),"Yes","No — toss-up")</f>
        <v>Yes</v>
      </c>
    </row>
    <row r="224" customFormat="false" ht="15" hidden="false" customHeight="false" outlineLevel="0" collapsed="false">
      <c r="A224" s="9" t="str">
        <f aca="false">'2026 Forecast A'!A178</f>
        <v>Lehigh</v>
      </c>
      <c r="B224" s="9" t="str">
        <f aca="false">'2026 Forecast A'!B178</f>
        <v>SALISBURY</v>
      </c>
      <c r="C224" s="9" t="str">
        <f aca="false">'2026 Forecast A'!C178</f>
        <v>SALISBURY 4TH WARD 2ND DIST</v>
      </c>
      <c r="D224" s="10" t="n">
        <f aca="false">'2026 Forecast A'!G178</f>
        <v>0.485008818342152</v>
      </c>
      <c r="E224" s="10" t="n">
        <f aca="false">'2026 Forecast B'!G178</f>
        <v>0.485008818342152</v>
      </c>
      <c r="F224" s="10" t="n">
        <f aca="false">'2026 Forecast C'!G178</f>
        <v>0.483245149911817</v>
      </c>
      <c r="G224" s="38" t="n">
        <f aca="false">(MAX(D224:F224)-MIN(D224:F224))*100</f>
        <v>0.17636684303351</v>
      </c>
      <c r="H224" s="39" t="n">
        <f aca="false">'2026 Forecast A'!L178</f>
        <v>3.43333352273176</v>
      </c>
      <c r="I224" s="39" t="n">
        <f aca="false">'2026 Forecast B'!L178</f>
        <v>3.21167747490571</v>
      </c>
      <c r="J224" s="39" t="n">
        <f aca="false">'2026 Forecast C'!L178</f>
        <v>3.72283676191068</v>
      </c>
      <c r="K224" s="18" t="n">
        <f aca="false">'2026 Forecast A'!F178</f>
        <v>567</v>
      </c>
      <c r="L224" s="40" t="str">
        <f aca="false">IF(OR(AND(D224&gt;0.5,E224&gt;0.5,F224&gt;0.5),AND(D224&lt;0.5,E224&lt;0.5,F224&lt;0.5)),"Yes","No — toss-up")</f>
        <v>Yes</v>
      </c>
    </row>
    <row r="225" customFormat="false" ht="15" hidden="false" customHeight="false" outlineLevel="0" collapsed="false">
      <c r="A225" s="9" t="str">
        <f aca="false">'2026 Forecast A'!A179</f>
        <v>Lehigh</v>
      </c>
      <c r="B225" s="9" t="str">
        <f aca="false">'2026 Forecast A'!B179</f>
        <v>SALISBURY</v>
      </c>
      <c r="C225" s="9" t="str">
        <f aca="false">'2026 Forecast A'!C179</f>
        <v>SALISBURY 5TH WARD 1ST DIST</v>
      </c>
      <c r="D225" s="10" t="n">
        <f aca="false">'2026 Forecast A'!G179</f>
        <v>0.52959028831563</v>
      </c>
      <c r="E225" s="10" t="n">
        <f aca="false">'2026 Forecast B'!G179</f>
        <v>0.528072837632777</v>
      </c>
      <c r="F225" s="10" t="n">
        <f aca="false">'2026 Forecast C'!G179</f>
        <v>0.537177541729894</v>
      </c>
      <c r="G225" s="38" t="n">
        <f aca="false">(MAX(D225:F225)-MIN(D225:F225))*100</f>
        <v>0.910470409711683</v>
      </c>
      <c r="H225" s="39" t="n">
        <f aca="false">'2026 Forecast A'!L179</f>
        <v>2.13789583153489</v>
      </c>
      <c r="I225" s="39" t="n">
        <f aca="false">'2026 Forecast B'!L179</f>
        <v>2.24475965619494</v>
      </c>
      <c r="J225" s="39" t="n">
        <f aca="false">'2026 Forecast C'!L179</f>
        <v>2.3915225360787</v>
      </c>
      <c r="K225" s="18" t="n">
        <f aca="false">'2026 Forecast A'!F179</f>
        <v>659</v>
      </c>
      <c r="L225" s="40" t="str">
        <f aca="false">IF(OR(AND(D225&gt;0.5,E225&gt;0.5,F225&gt;0.5),AND(D225&lt;0.5,E225&lt;0.5,F225&lt;0.5)),"Yes","No — toss-up")</f>
        <v>Yes</v>
      </c>
    </row>
    <row r="226" customFormat="false" ht="15" hidden="false" customHeight="false" outlineLevel="0" collapsed="false">
      <c r="A226" s="9" t="str">
        <f aca="false">'2026 Forecast A'!A180</f>
        <v>Lehigh</v>
      </c>
      <c r="B226" s="9" t="str">
        <f aca="false">'2026 Forecast A'!B180</f>
        <v>SALISBURY</v>
      </c>
      <c r="C226" s="9" t="str">
        <f aca="false">'2026 Forecast A'!C180</f>
        <v>SALISBURY 5TH WARD 2ND DIST</v>
      </c>
      <c r="D226" s="10" t="n">
        <f aca="false">'2026 Forecast A'!G180</f>
        <v>0.507777777777778</v>
      </c>
      <c r="E226" s="10" t="n">
        <f aca="false">'2026 Forecast B'!G180</f>
        <v>0.512222222222222</v>
      </c>
      <c r="F226" s="10" t="n">
        <f aca="false">'2026 Forecast C'!G180</f>
        <v>0.51</v>
      </c>
      <c r="G226" s="38" t="n">
        <f aca="false">(MAX(D226:F226)-MIN(D226:F226))*100</f>
        <v>0.444444444444447</v>
      </c>
      <c r="H226" s="39" t="n">
        <f aca="false">'2026 Forecast A'!L180</f>
        <v>2.13789583153489</v>
      </c>
      <c r="I226" s="39" t="n">
        <f aca="false">'2026 Forecast B'!L180</f>
        <v>2.24475965619494</v>
      </c>
      <c r="J226" s="39" t="n">
        <f aca="false">'2026 Forecast C'!L180</f>
        <v>2.3915225360787</v>
      </c>
      <c r="K226" s="18" t="n">
        <f aca="false">'2026 Forecast A'!F180</f>
        <v>900</v>
      </c>
      <c r="L226" s="40" t="str">
        <f aca="false">IF(OR(AND(D226&gt;0.5,E226&gt;0.5,F226&gt;0.5),AND(D226&lt;0.5,E226&lt;0.5,F226&lt;0.5)),"Yes","No — toss-up")</f>
        <v>Yes</v>
      </c>
    </row>
    <row r="227" customFormat="false" ht="15" hidden="false" customHeight="false" outlineLevel="0" collapsed="false">
      <c r="A227" s="9" t="str">
        <f aca="false">'2026 Forecast A'!A181</f>
        <v>Lehigh</v>
      </c>
      <c r="B227" s="9" t="str">
        <f aca="false">'2026 Forecast A'!B181</f>
        <v>SLATINGTON</v>
      </c>
      <c r="C227" s="9" t="str">
        <f aca="false">'2026 Forecast A'!C181</f>
        <v>SLATINGTON 1ST DIST</v>
      </c>
      <c r="D227" s="10" t="n">
        <f aca="false">'2026 Forecast A'!G181</f>
        <v>0.445012787723785</v>
      </c>
      <c r="E227" s="10" t="n">
        <f aca="false">'2026 Forecast B'!G181</f>
        <v>0.445012787723785</v>
      </c>
      <c r="F227" s="10" t="n">
        <f aca="false">'2026 Forecast C'!G181</f>
        <v>0.434782608695652</v>
      </c>
      <c r="G227" s="38" t="n">
        <f aca="false">(MAX(D227:F227)-MIN(D227:F227))*100</f>
        <v>1.0230179028133</v>
      </c>
      <c r="H227" s="39" t="n">
        <f aca="false">'2026 Forecast A'!L181</f>
        <v>3.43333352273176</v>
      </c>
      <c r="I227" s="39" t="n">
        <f aca="false">'2026 Forecast B'!L181</f>
        <v>3.21167747490571</v>
      </c>
      <c r="J227" s="39" t="n">
        <f aca="false">'2026 Forecast C'!L181</f>
        <v>3.72283676191068</v>
      </c>
      <c r="K227" s="18" t="n">
        <f aca="false">'2026 Forecast A'!F181</f>
        <v>391</v>
      </c>
      <c r="L227" s="40" t="str">
        <f aca="false">IF(OR(AND(D227&gt;0.5,E227&gt;0.5,F227&gt;0.5),AND(D227&lt;0.5,E227&lt;0.5,F227&lt;0.5)),"Yes","No — toss-up")</f>
        <v>Yes</v>
      </c>
    </row>
    <row r="228" customFormat="false" ht="15" hidden="false" customHeight="false" outlineLevel="0" collapsed="false">
      <c r="A228" s="9" t="str">
        <f aca="false">'2026 Forecast A'!A182</f>
        <v>Lehigh</v>
      </c>
      <c r="B228" s="9" t="str">
        <f aca="false">'2026 Forecast A'!B182</f>
        <v>SLATINGTON</v>
      </c>
      <c r="C228" s="9" t="str">
        <f aca="false">'2026 Forecast A'!C182</f>
        <v>SLATINGTON 2ND DIST</v>
      </c>
      <c r="D228" s="10" t="n">
        <f aca="false">'2026 Forecast A'!G182</f>
        <v>0.414556962025316</v>
      </c>
      <c r="E228" s="10" t="n">
        <f aca="false">'2026 Forecast B'!G182</f>
        <v>0.417721518987342</v>
      </c>
      <c r="F228" s="10" t="n">
        <f aca="false">'2026 Forecast C'!G182</f>
        <v>0.408227848101266</v>
      </c>
      <c r="G228" s="38" t="n">
        <f aca="false">(MAX(D228:F228)-MIN(D228:F228))*100</f>
        <v>0.949367088607594</v>
      </c>
      <c r="H228" s="39" t="n">
        <f aca="false">'2026 Forecast A'!L182</f>
        <v>3.43333352273176</v>
      </c>
      <c r="I228" s="39" t="n">
        <f aca="false">'2026 Forecast B'!L182</f>
        <v>3.21167747490571</v>
      </c>
      <c r="J228" s="39" t="n">
        <f aca="false">'2026 Forecast C'!L182</f>
        <v>3.72283676191068</v>
      </c>
      <c r="K228" s="18" t="n">
        <f aca="false">'2026 Forecast A'!F182</f>
        <v>316</v>
      </c>
      <c r="L228" s="40" t="str">
        <f aca="false">IF(OR(AND(D228&gt;0.5,E228&gt;0.5,F228&gt;0.5),AND(D228&lt;0.5,E228&lt;0.5,F228&lt;0.5)),"Yes","No — toss-up")</f>
        <v>Yes</v>
      </c>
    </row>
    <row r="229" customFormat="false" ht="15" hidden="false" customHeight="false" outlineLevel="0" collapsed="false">
      <c r="A229" s="9" t="str">
        <f aca="false">'2026 Forecast A'!A183</f>
        <v>Lehigh</v>
      </c>
      <c r="B229" s="9" t="str">
        <f aca="false">'2026 Forecast A'!B183</f>
        <v>SLATINGTON</v>
      </c>
      <c r="C229" s="9" t="str">
        <f aca="false">'2026 Forecast A'!C183</f>
        <v>SLATINGTON 3RD DIST</v>
      </c>
      <c r="D229" s="10" t="n">
        <f aca="false">'2026 Forecast A'!G183</f>
        <v>0.421052631578947</v>
      </c>
      <c r="E229" s="10" t="n">
        <f aca="false">'2026 Forecast B'!G183</f>
        <v>0.421052631578947</v>
      </c>
      <c r="F229" s="10" t="n">
        <f aca="false">'2026 Forecast C'!G183</f>
        <v>0.41374269005848</v>
      </c>
      <c r="G229" s="38" t="n">
        <f aca="false">(MAX(D229:F229)-MIN(D229:F229))*100</f>
        <v>0.730994152046782</v>
      </c>
      <c r="H229" s="39" t="n">
        <f aca="false">'2026 Forecast A'!L183</f>
        <v>2.13789583153489</v>
      </c>
      <c r="I229" s="39" t="n">
        <f aca="false">'2026 Forecast B'!L183</f>
        <v>2.24475965619494</v>
      </c>
      <c r="J229" s="39" t="n">
        <f aca="false">'2026 Forecast C'!L183</f>
        <v>2.3915225360787</v>
      </c>
      <c r="K229" s="18" t="n">
        <f aca="false">'2026 Forecast A'!F183</f>
        <v>684</v>
      </c>
      <c r="L229" s="40" t="str">
        <f aca="false">IF(OR(AND(D229&gt;0.5,E229&gt;0.5,F229&gt;0.5),AND(D229&lt;0.5,E229&lt;0.5,F229&lt;0.5)),"Yes","No — toss-up")</f>
        <v>Yes</v>
      </c>
    </row>
    <row r="230" customFormat="false" ht="15" hidden="false" customHeight="false" outlineLevel="0" collapsed="false">
      <c r="A230" s="9" t="str">
        <f aca="false">'2026 Forecast A'!A184</f>
        <v>Lehigh</v>
      </c>
      <c r="B230" s="9" t="str">
        <f aca="false">'2026 Forecast A'!B184</f>
        <v>SOUTH WHITEHALL</v>
      </c>
      <c r="C230" s="9" t="str">
        <f aca="false">'2026 Forecast A'!C184</f>
        <v>SOUTH WHITEHALL 1ST DISTRICT</v>
      </c>
      <c r="D230" s="10" t="n">
        <f aca="false">'2026 Forecast A'!G184</f>
        <v>0.503875968992248</v>
      </c>
      <c r="E230" s="10" t="n">
        <f aca="false">'2026 Forecast B'!G184</f>
        <v>0.508809020436927</v>
      </c>
      <c r="F230" s="10" t="n">
        <f aca="false">'2026 Forecast C'!G184</f>
        <v>0.505990133897111</v>
      </c>
      <c r="G230" s="38" t="n">
        <f aca="false">(MAX(D230:F230)-MIN(D230:F230))*100</f>
        <v>0.493305144467937</v>
      </c>
      <c r="H230" s="39" t="n">
        <f aca="false">'2026 Forecast A'!L184</f>
        <v>1.75369314833214</v>
      </c>
      <c r="I230" s="39" t="n">
        <f aca="false">'2026 Forecast B'!L184</f>
        <v>2.1038293183682</v>
      </c>
      <c r="J230" s="39" t="n">
        <f aca="false">'2026 Forecast C'!L184</f>
        <v>1.909243057213</v>
      </c>
      <c r="K230" s="18" t="n">
        <f aca="false">'2026 Forecast A'!F184</f>
        <v>1419</v>
      </c>
      <c r="L230" s="40" t="str">
        <f aca="false">IF(OR(AND(D230&gt;0.5,E230&gt;0.5,F230&gt;0.5),AND(D230&lt;0.5,E230&lt;0.5,F230&lt;0.5)),"Yes","No — toss-up")</f>
        <v>Yes</v>
      </c>
    </row>
    <row r="231" customFormat="false" ht="15" hidden="false" customHeight="false" outlineLevel="0" collapsed="false">
      <c r="A231" s="9" t="str">
        <f aca="false">'2026 Forecast A'!A185</f>
        <v>Lehigh</v>
      </c>
      <c r="B231" s="9" t="str">
        <f aca="false">'2026 Forecast A'!B185</f>
        <v>SOUTH WHITEHALL</v>
      </c>
      <c r="C231" s="9" t="str">
        <f aca="false">'2026 Forecast A'!C185</f>
        <v>SOUTH WHITEHALL 2ND DISTRICT</v>
      </c>
      <c r="D231" s="10" t="n">
        <f aca="false">'2026 Forecast A'!G185</f>
        <v>0.51285930408472</v>
      </c>
      <c r="E231" s="10" t="n">
        <f aca="false">'2026 Forecast B'!G185</f>
        <v>0.518910741301059</v>
      </c>
      <c r="F231" s="10" t="n">
        <f aca="false">'2026 Forecast C'!G185</f>
        <v>0.517397881996974</v>
      </c>
      <c r="G231" s="38" t="n">
        <f aca="false">(MAX(D231:F231)-MIN(D231:F231))*100</f>
        <v>0.605143721633883</v>
      </c>
      <c r="H231" s="39" t="n">
        <f aca="false">'2026 Forecast A'!L185</f>
        <v>2.13789583153489</v>
      </c>
      <c r="I231" s="39" t="n">
        <f aca="false">'2026 Forecast B'!L185</f>
        <v>2.24475965619494</v>
      </c>
      <c r="J231" s="39" t="n">
        <f aca="false">'2026 Forecast C'!L185</f>
        <v>2.3915225360787</v>
      </c>
      <c r="K231" s="18" t="n">
        <f aca="false">'2026 Forecast A'!F185</f>
        <v>661</v>
      </c>
      <c r="L231" s="40" t="str">
        <f aca="false">IF(OR(AND(D231&gt;0.5,E231&gt;0.5,F231&gt;0.5),AND(D231&lt;0.5,E231&lt;0.5,F231&lt;0.5)),"Yes","No — toss-up")</f>
        <v>Yes</v>
      </c>
    </row>
    <row r="232" customFormat="false" ht="15" hidden="false" customHeight="false" outlineLevel="0" collapsed="false">
      <c r="A232" s="9" t="str">
        <f aca="false">'2026 Forecast A'!A186</f>
        <v>Lehigh</v>
      </c>
      <c r="B232" s="9" t="str">
        <f aca="false">'2026 Forecast A'!B186</f>
        <v>SOUTH WHITEHALL</v>
      </c>
      <c r="C232" s="9" t="str">
        <f aca="false">'2026 Forecast A'!C186</f>
        <v>SOUTH WHITEHALL 3RD DISTRICT</v>
      </c>
      <c r="D232" s="10" t="n">
        <f aca="false">'2026 Forecast A'!G186</f>
        <v>0.56223942823109</v>
      </c>
      <c r="E232" s="10" t="n">
        <f aca="false">'2026 Forecast B'!G186</f>
        <v>0.56223942823109</v>
      </c>
      <c r="F232" s="10" t="n">
        <f aca="false">'2026 Forecast C'!G186</f>
        <v>0.57355568790947</v>
      </c>
      <c r="G232" s="38" t="n">
        <f aca="false">(MAX(D232:F232)-MIN(D232:F232))*100</f>
        <v>1.13162596783799</v>
      </c>
      <c r="H232" s="39" t="n">
        <f aca="false">'2026 Forecast A'!L186</f>
        <v>1.75369314833214</v>
      </c>
      <c r="I232" s="39" t="n">
        <f aca="false">'2026 Forecast B'!L186</f>
        <v>2.1038293183682</v>
      </c>
      <c r="J232" s="39" t="n">
        <f aca="false">'2026 Forecast C'!L186</f>
        <v>1.909243057213</v>
      </c>
      <c r="K232" s="18" t="n">
        <f aca="false">'2026 Forecast A'!F186</f>
        <v>1679</v>
      </c>
      <c r="L232" s="40" t="str">
        <f aca="false">IF(OR(AND(D232&gt;0.5,E232&gt;0.5,F232&gt;0.5),AND(D232&lt;0.5,E232&lt;0.5,F232&lt;0.5)),"Yes","No — toss-up")</f>
        <v>Yes</v>
      </c>
    </row>
    <row r="233" customFormat="false" ht="15" hidden="false" customHeight="false" outlineLevel="0" collapsed="false">
      <c r="A233" s="9" t="str">
        <f aca="false">'2026 Forecast A'!A187</f>
        <v>Lehigh</v>
      </c>
      <c r="B233" s="9" t="str">
        <f aca="false">'2026 Forecast A'!B187</f>
        <v>SOUTH WHITEHALL</v>
      </c>
      <c r="C233" s="9" t="str">
        <f aca="false">'2026 Forecast A'!C187</f>
        <v>SOUTH WHITEHALL 4TH DISTRICT</v>
      </c>
      <c r="D233" s="10" t="n">
        <f aca="false">'2026 Forecast A'!G187</f>
        <v>0.493087557603687</v>
      </c>
      <c r="E233" s="10" t="n">
        <f aca="false">'2026 Forecast B'!G187</f>
        <v>0.498847926267281</v>
      </c>
      <c r="F233" s="10" t="n">
        <f aca="false">'2026 Forecast C'!G187</f>
        <v>0.493087557603687</v>
      </c>
      <c r="G233" s="38" t="n">
        <f aca="false">(MAX(D233:F233)-MIN(D233:F233))*100</f>
        <v>0.576036866359447</v>
      </c>
      <c r="H233" s="39" t="n">
        <f aca="false">'2026 Forecast A'!L187</f>
        <v>2.13789583153489</v>
      </c>
      <c r="I233" s="39" t="n">
        <f aca="false">'2026 Forecast B'!L187</f>
        <v>2.24475965619494</v>
      </c>
      <c r="J233" s="39" t="n">
        <f aca="false">'2026 Forecast C'!L187</f>
        <v>2.3915225360787</v>
      </c>
      <c r="K233" s="18" t="n">
        <f aca="false">'2026 Forecast A'!F187</f>
        <v>868</v>
      </c>
      <c r="L233" s="40" t="str">
        <f aca="false">IF(OR(AND(D233&gt;0.5,E233&gt;0.5,F233&gt;0.5),AND(D233&lt;0.5,E233&lt;0.5,F233&lt;0.5)),"Yes","No — toss-up")</f>
        <v>Yes</v>
      </c>
    </row>
    <row r="234" customFormat="false" ht="15" hidden="false" customHeight="false" outlineLevel="0" collapsed="false">
      <c r="A234" s="9" t="str">
        <f aca="false">'2026 Forecast A'!A188</f>
        <v>Lehigh</v>
      </c>
      <c r="B234" s="9" t="str">
        <f aca="false">'2026 Forecast A'!B188</f>
        <v>SOUTH WHITEHALL</v>
      </c>
      <c r="C234" s="9" t="str">
        <f aca="false">'2026 Forecast A'!C188</f>
        <v>SOUTH WHITEHALL 5TH DISTRICT</v>
      </c>
      <c r="D234" s="10" t="n">
        <f aca="false">'2026 Forecast A'!G188</f>
        <v>0.601074546675621</v>
      </c>
      <c r="E234" s="10" t="n">
        <f aca="false">'2026 Forecast B'!G188</f>
        <v>0.591672263263936</v>
      </c>
      <c r="F234" s="10" t="n">
        <f aca="false">'2026 Forecast C'!G188</f>
        <v>0.614506380120887</v>
      </c>
      <c r="G234" s="38" t="n">
        <f aca="false">(MAX(D234:F234)-MIN(D234:F234))*100</f>
        <v>2.2834116856951</v>
      </c>
      <c r="H234" s="39" t="n">
        <f aca="false">'2026 Forecast A'!L188</f>
        <v>1.75369314833214</v>
      </c>
      <c r="I234" s="39" t="n">
        <f aca="false">'2026 Forecast B'!L188</f>
        <v>2.1038293183682</v>
      </c>
      <c r="J234" s="39" t="n">
        <f aca="false">'2026 Forecast C'!L188</f>
        <v>1.909243057213</v>
      </c>
      <c r="K234" s="18" t="n">
        <f aca="false">'2026 Forecast A'!F188</f>
        <v>1489</v>
      </c>
      <c r="L234" s="40" t="str">
        <f aca="false">IF(OR(AND(D234&gt;0.5,E234&gt;0.5,F234&gt;0.5),AND(D234&lt;0.5,E234&lt;0.5,F234&lt;0.5)),"Yes","No — toss-up")</f>
        <v>Yes</v>
      </c>
    </row>
    <row r="235" customFormat="false" ht="15" hidden="false" customHeight="false" outlineLevel="0" collapsed="false">
      <c r="A235" s="9" t="str">
        <f aca="false">'2026 Forecast A'!A189</f>
        <v>Lehigh</v>
      </c>
      <c r="B235" s="9" t="str">
        <f aca="false">'2026 Forecast A'!B189</f>
        <v>SOUTH WHITEHALL</v>
      </c>
      <c r="C235" s="9" t="str">
        <f aca="false">'2026 Forecast A'!C189</f>
        <v>SOUTH WHITEHALL 6TH DISTRICT</v>
      </c>
      <c r="D235" s="10" t="n">
        <f aca="false">'2026 Forecast A'!G189</f>
        <v>0.594594594594595</v>
      </c>
      <c r="E235" s="10" t="n">
        <f aca="false">'2026 Forecast B'!G189</f>
        <v>0.593918918918919</v>
      </c>
      <c r="F235" s="10" t="n">
        <f aca="false">'2026 Forecast C'!G189</f>
        <v>0.607432432432432</v>
      </c>
      <c r="G235" s="38" t="n">
        <f aca="false">(MAX(D235:F235)-MIN(D235:F235))*100</f>
        <v>1.35135135135135</v>
      </c>
      <c r="H235" s="39" t="n">
        <f aca="false">'2026 Forecast A'!L189</f>
        <v>1.75369314833214</v>
      </c>
      <c r="I235" s="39" t="n">
        <f aca="false">'2026 Forecast B'!L189</f>
        <v>2.1038293183682</v>
      </c>
      <c r="J235" s="39" t="n">
        <f aca="false">'2026 Forecast C'!L189</f>
        <v>1.909243057213</v>
      </c>
      <c r="K235" s="18" t="n">
        <f aca="false">'2026 Forecast A'!F189</f>
        <v>1480</v>
      </c>
      <c r="L235" s="40" t="str">
        <f aca="false">IF(OR(AND(D235&gt;0.5,E235&gt;0.5,F235&gt;0.5),AND(D235&lt;0.5,E235&lt;0.5,F235&lt;0.5)),"Yes","No — toss-up")</f>
        <v>Yes</v>
      </c>
    </row>
    <row r="236" customFormat="false" ht="15" hidden="false" customHeight="false" outlineLevel="0" collapsed="false">
      <c r="A236" s="9" t="str">
        <f aca="false">'2026 Forecast A'!A190</f>
        <v>Lehigh</v>
      </c>
      <c r="B236" s="9" t="str">
        <f aca="false">'2026 Forecast A'!B190</f>
        <v>SOUTH WHITEHALL</v>
      </c>
      <c r="C236" s="9" t="str">
        <f aca="false">'2026 Forecast A'!C190</f>
        <v>SOUTH WHITEHALL 7TH DISTRICT</v>
      </c>
      <c r="D236" s="10" t="n">
        <f aca="false">'2026 Forecast A'!G190</f>
        <v>0.516752577319588</v>
      </c>
      <c r="E236" s="10" t="n">
        <f aca="false">'2026 Forecast B'!G190</f>
        <v>0.521907216494845</v>
      </c>
      <c r="F236" s="10" t="n">
        <f aca="false">'2026 Forecast C'!G190</f>
        <v>0.518041237113402</v>
      </c>
      <c r="G236" s="38" t="n">
        <f aca="false">(MAX(D236:F236)-MIN(D236:F236))*100</f>
        <v>0.515463917525771</v>
      </c>
      <c r="H236" s="39" t="n">
        <f aca="false">'2026 Forecast A'!L190</f>
        <v>2.13789583153489</v>
      </c>
      <c r="I236" s="39" t="n">
        <f aca="false">'2026 Forecast B'!L190</f>
        <v>2.24475965619494</v>
      </c>
      <c r="J236" s="39" t="n">
        <f aca="false">'2026 Forecast C'!L190</f>
        <v>2.3915225360787</v>
      </c>
      <c r="K236" s="18" t="n">
        <f aca="false">'2026 Forecast A'!F190</f>
        <v>776</v>
      </c>
      <c r="L236" s="40" t="str">
        <f aca="false">IF(OR(AND(D236&gt;0.5,E236&gt;0.5,F236&gt;0.5),AND(D236&lt;0.5,E236&lt;0.5,F236&lt;0.5)),"Yes","No — toss-up")</f>
        <v>Yes</v>
      </c>
    </row>
    <row r="237" customFormat="false" ht="15" hidden="false" customHeight="false" outlineLevel="0" collapsed="false">
      <c r="A237" s="9" t="str">
        <f aca="false">'2026 Forecast A'!A191</f>
        <v>Lehigh</v>
      </c>
      <c r="B237" s="9" t="str">
        <f aca="false">'2026 Forecast A'!B191</f>
        <v>SOUTH WHITEHALL</v>
      </c>
      <c r="C237" s="9" t="str">
        <f aca="false">'2026 Forecast A'!C191</f>
        <v>SOUTH WHITEHALL 8TH DISTRICT</v>
      </c>
      <c r="D237" s="10" t="n">
        <f aca="false">'2026 Forecast A'!G191</f>
        <v>0.51016548463357</v>
      </c>
      <c r="E237" s="10" t="n">
        <f aca="false">'2026 Forecast B'!G191</f>
        <v>0.513475177304965</v>
      </c>
      <c r="F237" s="10" t="n">
        <f aca="false">'2026 Forecast C'!G191</f>
        <v>0.513002364066194</v>
      </c>
      <c r="G237" s="38" t="n">
        <f aca="false">(MAX(D237:F237)-MIN(D237:F237))*100</f>
        <v>0.33096926713948</v>
      </c>
      <c r="H237" s="39" t="n">
        <f aca="false">'2026 Forecast A'!L191</f>
        <v>1.75369314833214</v>
      </c>
      <c r="I237" s="39" t="n">
        <f aca="false">'2026 Forecast B'!L191</f>
        <v>2.1038293183682</v>
      </c>
      <c r="J237" s="39" t="n">
        <f aca="false">'2026 Forecast C'!L191</f>
        <v>1.909243057213</v>
      </c>
      <c r="K237" s="18" t="n">
        <f aca="false">'2026 Forecast A'!F191</f>
        <v>2115</v>
      </c>
      <c r="L237" s="40" t="str">
        <f aca="false">IF(OR(AND(D237&gt;0.5,E237&gt;0.5,F237&gt;0.5),AND(D237&lt;0.5,E237&lt;0.5,F237&lt;0.5)),"Yes","No — toss-up")</f>
        <v>Yes</v>
      </c>
    </row>
    <row r="238" customFormat="false" ht="15" hidden="false" customHeight="false" outlineLevel="0" collapsed="false">
      <c r="A238" s="9" t="str">
        <f aca="false">'2026 Forecast A'!A192</f>
        <v>Lehigh</v>
      </c>
      <c r="B238" s="9" t="str">
        <f aca="false">'2026 Forecast A'!B192</f>
        <v>UPPER MACUNGIE</v>
      </c>
      <c r="C238" s="9" t="str">
        <f aca="false">'2026 Forecast A'!C192</f>
        <v>UPPER MACUNGIE 1ST DISTRICT</v>
      </c>
      <c r="D238" s="10" t="n">
        <f aca="false">'2026 Forecast A'!G192</f>
        <v>0.513351134846462</v>
      </c>
      <c r="E238" s="10" t="n">
        <f aca="false">'2026 Forecast B'!G192</f>
        <v>0.513351134846462</v>
      </c>
      <c r="F238" s="10" t="n">
        <f aca="false">'2026 Forecast C'!G192</f>
        <v>0.516021361815754</v>
      </c>
      <c r="G238" s="38" t="n">
        <f aca="false">(MAX(D238:F238)-MIN(D238:F238))*100</f>
        <v>0.267022696929231</v>
      </c>
      <c r="H238" s="39" t="n">
        <f aca="false">'2026 Forecast A'!L192</f>
        <v>1.75369314833214</v>
      </c>
      <c r="I238" s="39" t="n">
        <f aca="false">'2026 Forecast B'!L192</f>
        <v>2.1038293183682</v>
      </c>
      <c r="J238" s="39" t="n">
        <f aca="false">'2026 Forecast C'!L192</f>
        <v>1.909243057213</v>
      </c>
      <c r="K238" s="18" t="n">
        <f aca="false">'2026 Forecast A'!F192</f>
        <v>1498</v>
      </c>
      <c r="L238" s="40" t="str">
        <f aca="false">IF(OR(AND(D238&gt;0.5,E238&gt;0.5,F238&gt;0.5),AND(D238&lt;0.5,E238&lt;0.5,F238&lt;0.5)),"Yes","No — toss-up")</f>
        <v>Yes</v>
      </c>
    </row>
    <row r="239" customFormat="false" ht="15" hidden="false" customHeight="false" outlineLevel="0" collapsed="false">
      <c r="A239" s="9" t="str">
        <f aca="false">'2026 Forecast A'!A193</f>
        <v>Lehigh</v>
      </c>
      <c r="B239" s="9" t="str">
        <f aca="false">'2026 Forecast A'!B193</f>
        <v>UPPER MACUNGIE</v>
      </c>
      <c r="C239" s="9" t="str">
        <f aca="false">'2026 Forecast A'!C193</f>
        <v>UPPER MACUNGIE 2ND DISTRICT</v>
      </c>
      <c r="D239" s="10" t="n">
        <f aca="false">'2026 Forecast A'!G193</f>
        <v>0.514691478942214</v>
      </c>
      <c r="E239" s="10" t="n">
        <f aca="false">'2026 Forecast B'!G193</f>
        <v>0.51126346718903</v>
      </c>
      <c r="F239" s="10" t="n">
        <f aca="false">'2026 Forecast C'!G193</f>
        <v>0.517629774730656</v>
      </c>
      <c r="G239" s="38" t="n">
        <f aca="false">(MAX(D239:F239)-MIN(D239:F239))*100</f>
        <v>0.636630754162582</v>
      </c>
      <c r="H239" s="39" t="n">
        <f aca="false">'2026 Forecast A'!L193</f>
        <v>1.75369314833214</v>
      </c>
      <c r="I239" s="39" t="n">
        <f aca="false">'2026 Forecast B'!L193</f>
        <v>2.1038293183682</v>
      </c>
      <c r="J239" s="39" t="n">
        <f aca="false">'2026 Forecast C'!L193</f>
        <v>1.909243057213</v>
      </c>
      <c r="K239" s="18" t="n">
        <f aca="false">'2026 Forecast A'!F193</f>
        <v>2042</v>
      </c>
      <c r="L239" s="40" t="str">
        <f aca="false">IF(OR(AND(D239&gt;0.5,E239&gt;0.5,F239&gt;0.5),AND(D239&lt;0.5,E239&lt;0.5,F239&lt;0.5)),"Yes","No — toss-up")</f>
        <v>Yes</v>
      </c>
    </row>
    <row r="240" customFormat="false" ht="15" hidden="false" customHeight="false" outlineLevel="0" collapsed="false">
      <c r="A240" s="9" t="str">
        <f aca="false">'2026 Forecast A'!A194</f>
        <v>Lehigh</v>
      </c>
      <c r="B240" s="9" t="str">
        <f aca="false">'2026 Forecast A'!B194</f>
        <v>UPPER MACUNGIE</v>
      </c>
      <c r="C240" s="9" t="str">
        <f aca="false">'2026 Forecast A'!C194</f>
        <v>UPPER MACUNGIE 3RD DISTRICT</v>
      </c>
      <c r="D240" s="10" t="n">
        <f aca="false">'2026 Forecast A'!G194</f>
        <v>0.473372781065089</v>
      </c>
      <c r="E240" s="10" t="n">
        <f aca="false">'2026 Forecast B'!G194</f>
        <v>0.479289940828402</v>
      </c>
      <c r="F240" s="10" t="n">
        <f aca="false">'2026 Forecast C'!G194</f>
        <v>0.474556213017751</v>
      </c>
      <c r="G240" s="38" t="n">
        <f aca="false">(MAX(D240:F240)-MIN(D240:F240))*100</f>
        <v>0.591715976331364</v>
      </c>
      <c r="H240" s="39" t="n">
        <f aca="false">'2026 Forecast A'!L194</f>
        <v>1.75369314833214</v>
      </c>
      <c r="I240" s="39" t="n">
        <f aca="false">'2026 Forecast B'!L194</f>
        <v>2.1038293183682</v>
      </c>
      <c r="J240" s="39" t="n">
        <f aca="false">'2026 Forecast C'!L194</f>
        <v>1.909243057213</v>
      </c>
      <c r="K240" s="18" t="n">
        <f aca="false">'2026 Forecast A'!F194</f>
        <v>1690</v>
      </c>
      <c r="L240" s="40" t="str">
        <f aca="false">IF(OR(AND(D240&gt;0.5,E240&gt;0.5,F240&gt;0.5),AND(D240&lt;0.5,E240&lt;0.5,F240&lt;0.5)),"Yes","No — toss-up")</f>
        <v>Yes</v>
      </c>
    </row>
    <row r="241" customFormat="false" ht="15" hidden="false" customHeight="false" outlineLevel="0" collapsed="false">
      <c r="A241" s="9" t="str">
        <f aca="false">'2026 Forecast A'!A195</f>
        <v>Lehigh</v>
      </c>
      <c r="B241" s="9" t="str">
        <f aca="false">'2026 Forecast A'!B195</f>
        <v>UPPER MACUNGIE</v>
      </c>
      <c r="C241" s="9" t="str">
        <f aca="false">'2026 Forecast A'!C195</f>
        <v>UPPER MACUNGIE 4TH DISTRICT</v>
      </c>
      <c r="D241" s="10" t="n">
        <f aca="false">'2026 Forecast A'!G195</f>
        <v>0.544502617801047</v>
      </c>
      <c r="E241" s="10" t="n">
        <f aca="false">'2026 Forecast B'!G195</f>
        <v>0.539267015706806</v>
      </c>
      <c r="F241" s="10" t="n">
        <f aca="false">'2026 Forecast C'!G195</f>
        <v>0.551483420593368</v>
      </c>
      <c r="G241" s="38" t="n">
        <f aca="false">(MAX(D241:F241)-MIN(D241:F241))*100</f>
        <v>1.2216404886562</v>
      </c>
      <c r="H241" s="39" t="n">
        <f aca="false">'2026 Forecast A'!L195</f>
        <v>1.75369314833214</v>
      </c>
      <c r="I241" s="39" t="n">
        <f aca="false">'2026 Forecast B'!L195</f>
        <v>2.1038293183682</v>
      </c>
      <c r="J241" s="39" t="n">
        <f aca="false">'2026 Forecast C'!L195</f>
        <v>1.909243057213</v>
      </c>
      <c r="K241" s="18" t="n">
        <f aca="false">'2026 Forecast A'!F195</f>
        <v>1146</v>
      </c>
      <c r="L241" s="40" t="str">
        <f aca="false">IF(OR(AND(D241&gt;0.5,E241&gt;0.5,F241&gt;0.5),AND(D241&lt;0.5,E241&lt;0.5,F241&lt;0.5)),"Yes","No — toss-up")</f>
        <v>Yes</v>
      </c>
    </row>
    <row r="242" customFormat="false" ht="15" hidden="false" customHeight="false" outlineLevel="0" collapsed="false">
      <c r="A242" s="9" t="str">
        <f aca="false">'2026 Forecast A'!A196</f>
        <v>Lehigh</v>
      </c>
      <c r="B242" s="9" t="str">
        <f aca="false">'2026 Forecast A'!B196</f>
        <v>UPPER MACUNGIE</v>
      </c>
      <c r="C242" s="9" t="str">
        <f aca="false">'2026 Forecast A'!C196</f>
        <v>UPPER MACUNGIE 5TH DISTRICT</v>
      </c>
      <c r="D242" s="10" t="n">
        <f aca="false">'2026 Forecast A'!G196</f>
        <v>0.539338235294118</v>
      </c>
      <c r="E242" s="10" t="n">
        <f aca="false">'2026 Forecast B'!G196</f>
        <v>0.532720588235294</v>
      </c>
      <c r="F242" s="10" t="n">
        <f aca="false">'2026 Forecast C'!G196</f>
        <v>0.546323529411765</v>
      </c>
      <c r="G242" s="38" t="n">
        <f aca="false">(MAX(D242:F242)-MIN(D242:F242))*100</f>
        <v>1.36029411764705</v>
      </c>
      <c r="H242" s="39" t="n">
        <f aca="false">'2026 Forecast A'!L196</f>
        <v>1.75369314833214</v>
      </c>
      <c r="I242" s="39" t="n">
        <f aca="false">'2026 Forecast B'!L196</f>
        <v>2.1038293183682</v>
      </c>
      <c r="J242" s="39" t="n">
        <f aca="false">'2026 Forecast C'!L196</f>
        <v>1.909243057213</v>
      </c>
      <c r="K242" s="18" t="n">
        <f aca="false">'2026 Forecast A'!F196</f>
        <v>2720</v>
      </c>
      <c r="L242" s="40" t="str">
        <f aca="false">IF(OR(AND(D242&gt;0.5,E242&gt;0.5,F242&gt;0.5),AND(D242&lt;0.5,E242&lt;0.5,F242&lt;0.5)),"Yes","No — toss-up")</f>
        <v>Yes</v>
      </c>
    </row>
    <row r="243" customFormat="false" ht="15" hidden="false" customHeight="false" outlineLevel="0" collapsed="false">
      <c r="A243" s="9" t="str">
        <f aca="false">'2026 Forecast A'!A197</f>
        <v>Lehigh</v>
      </c>
      <c r="B243" s="9" t="str">
        <f aca="false">'2026 Forecast A'!B197</f>
        <v>UPPER MACUNGIE</v>
      </c>
      <c r="C243" s="9" t="str">
        <f aca="false">'2026 Forecast A'!C197</f>
        <v>UPPER MACUNGIE 6TH DISTRICT</v>
      </c>
      <c r="D243" s="10" t="n">
        <f aca="false">'2026 Forecast A'!G197</f>
        <v>0.530443756449949</v>
      </c>
      <c r="E243" s="10" t="n">
        <f aca="false">'2026 Forecast B'!G197</f>
        <v>0.524251805985552</v>
      </c>
      <c r="F243" s="10" t="n">
        <f aca="false">'2026 Forecast C'!G197</f>
        <v>0.533539731682147</v>
      </c>
      <c r="G243" s="38" t="n">
        <f aca="false">(MAX(D243:F243)-MIN(D243:F243))*100</f>
        <v>0.928792569659442</v>
      </c>
      <c r="H243" s="39" t="n">
        <f aca="false">'2026 Forecast A'!L197</f>
        <v>1.75369314833214</v>
      </c>
      <c r="I243" s="39" t="n">
        <f aca="false">'2026 Forecast B'!L197</f>
        <v>2.1038293183682</v>
      </c>
      <c r="J243" s="39" t="n">
        <f aca="false">'2026 Forecast C'!L197</f>
        <v>1.909243057213</v>
      </c>
      <c r="K243" s="18" t="n">
        <f aca="false">'2026 Forecast A'!F197</f>
        <v>969</v>
      </c>
      <c r="L243" s="40" t="str">
        <f aca="false">IF(OR(AND(D243&gt;0.5,E243&gt;0.5,F243&gt;0.5),AND(D243&lt;0.5,E243&lt;0.5,F243&lt;0.5)),"Yes","No — toss-up")</f>
        <v>Yes</v>
      </c>
    </row>
    <row r="244" customFormat="false" ht="15" hidden="false" customHeight="false" outlineLevel="0" collapsed="false">
      <c r="A244" s="9" t="str">
        <f aca="false">'2026 Forecast A'!A198</f>
        <v>Lehigh</v>
      </c>
      <c r="B244" s="9" t="str">
        <f aca="false">'2026 Forecast A'!B198</f>
        <v>UPPER MACUNGIE</v>
      </c>
      <c r="C244" s="9" t="str">
        <f aca="false">'2026 Forecast A'!C198</f>
        <v>UPPER MACUNGIE 7TH DISTRICT</v>
      </c>
      <c r="D244" s="10" t="n">
        <f aca="false">'2026 Forecast A'!G198</f>
        <v>0.551612903225807</v>
      </c>
      <c r="E244" s="10" t="n">
        <f aca="false">'2026 Forecast B'!G198</f>
        <v>0.548387096774194</v>
      </c>
      <c r="F244" s="10" t="n">
        <f aca="false">'2026 Forecast C'!G198</f>
        <v>0.555913978494624</v>
      </c>
      <c r="G244" s="38" t="n">
        <f aca="false">(MAX(D244:F244)-MIN(D244:F244))*100</f>
        <v>0.752688172043015</v>
      </c>
      <c r="H244" s="39" t="n">
        <f aca="false">'2026 Forecast A'!L198</f>
        <v>2.13789583153489</v>
      </c>
      <c r="I244" s="39" t="n">
        <f aca="false">'2026 Forecast B'!L198</f>
        <v>2.24475965619494</v>
      </c>
      <c r="J244" s="39" t="n">
        <f aca="false">'2026 Forecast C'!L198</f>
        <v>2.3915225360787</v>
      </c>
      <c r="K244" s="18" t="n">
        <f aca="false">'2026 Forecast A'!F198</f>
        <v>930</v>
      </c>
      <c r="L244" s="40" t="str">
        <f aca="false">IF(OR(AND(D244&gt;0.5,E244&gt;0.5,F244&gt;0.5),AND(D244&lt;0.5,E244&lt;0.5,F244&lt;0.5)),"Yes","No — toss-up")</f>
        <v>Yes</v>
      </c>
    </row>
    <row r="245" customFormat="false" ht="15" hidden="false" customHeight="false" outlineLevel="0" collapsed="false">
      <c r="A245" s="9" t="str">
        <f aca="false">'2026 Forecast A'!A199</f>
        <v>Lehigh</v>
      </c>
      <c r="B245" s="9" t="str">
        <f aca="false">'2026 Forecast A'!B199</f>
        <v>UPPER MACUNGIE</v>
      </c>
      <c r="C245" s="9" t="str">
        <f aca="false">'2026 Forecast A'!C199</f>
        <v>UPPER MACUNGIE 8TH DISTRICT</v>
      </c>
      <c r="D245" s="10" t="n">
        <f aca="false">'2026 Forecast A'!G199</f>
        <v>0.521072796934866</v>
      </c>
      <c r="E245" s="10" t="n">
        <f aca="false">'2026 Forecast B'!G199</f>
        <v>0.523946360153257</v>
      </c>
      <c r="F245" s="10" t="n">
        <f aca="false">'2026 Forecast C'!G199</f>
        <v>0.525862068965517</v>
      </c>
      <c r="G245" s="38" t="n">
        <f aca="false">(MAX(D245:F245)-MIN(D245:F245))*100</f>
        <v>0.478927203065138</v>
      </c>
      <c r="H245" s="39" t="n">
        <f aca="false">'2026 Forecast A'!L199</f>
        <v>1.75369314833214</v>
      </c>
      <c r="I245" s="39" t="n">
        <f aca="false">'2026 Forecast B'!L199</f>
        <v>2.1038293183682</v>
      </c>
      <c r="J245" s="39" t="n">
        <f aca="false">'2026 Forecast C'!L199</f>
        <v>1.909243057213</v>
      </c>
      <c r="K245" s="18" t="n">
        <f aca="false">'2026 Forecast A'!F199</f>
        <v>1044</v>
      </c>
      <c r="L245" s="40" t="str">
        <f aca="false">IF(OR(AND(D245&gt;0.5,E245&gt;0.5,F245&gt;0.5),AND(D245&lt;0.5,E245&lt;0.5,F245&lt;0.5)),"Yes","No — toss-up")</f>
        <v>Yes</v>
      </c>
    </row>
    <row r="246" customFormat="false" ht="15" hidden="false" customHeight="false" outlineLevel="0" collapsed="false">
      <c r="A246" s="9" t="str">
        <f aca="false">'2026 Forecast A'!A200</f>
        <v>Lehigh</v>
      </c>
      <c r="B246" s="9" t="str">
        <f aca="false">'2026 Forecast A'!B200</f>
        <v>UPPER MILFORD</v>
      </c>
      <c r="C246" s="9" t="str">
        <f aca="false">'2026 Forecast A'!C200</f>
        <v>UPPER MILFORD EASTERN DISTRICT</v>
      </c>
      <c r="D246" s="10" t="n">
        <f aca="false">'2026 Forecast A'!G200</f>
        <v>0.469806304595518</v>
      </c>
      <c r="E246" s="10" t="n">
        <f aca="false">'2026 Forecast B'!G200</f>
        <v>0.467907330041777</v>
      </c>
      <c r="F246" s="10" t="n">
        <f aca="false">'2026 Forecast C'!G200</f>
        <v>0.466388150398785</v>
      </c>
      <c r="G246" s="38" t="n">
        <f aca="false">(MAX(D246:F246)-MIN(D246:F246))*100</f>
        <v>0.341815419673375</v>
      </c>
      <c r="H246" s="39" t="n">
        <f aca="false">'2026 Forecast A'!L200</f>
        <v>1.75369314833214</v>
      </c>
      <c r="I246" s="39" t="n">
        <f aca="false">'2026 Forecast B'!L200</f>
        <v>2.1038293183682</v>
      </c>
      <c r="J246" s="39" t="n">
        <f aca="false">'2026 Forecast C'!L200</f>
        <v>1.909243057213</v>
      </c>
      <c r="K246" s="18" t="n">
        <f aca="false">'2026 Forecast A'!F200</f>
        <v>2633</v>
      </c>
      <c r="L246" s="40" t="str">
        <f aca="false">IF(OR(AND(D246&gt;0.5,E246&gt;0.5,F246&gt;0.5),AND(D246&lt;0.5,E246&lt;0.5,F246&lt;0.5)),"Yes","No — toss-up")</f>
        <v>Yes</v>
      </c>
    </row>
    <row r="247" customFormat="false" ht="15" hidden="false" customHeight="false" outlineLevel="0" collapsed="false">
      <c r="A247" s="9" t="str">
        <f aca="false">'2026 Forecast A'!A201</f>
        <v>Lehigh</v>
      </c>
      <c r="B247" s="9" t="str">
        <f aca="false">'2026 Forecast A'!B201</f>
        <v>UPPER MILFORD</v>
      </c>
      <c r="C247" s="9" t="str">
        <f aca="false">'2026 Forecast A'!C201</f>
        <v>UPPER MILFORD WESTERN DISTRICT</v>
      </c>
      <c r="D247" s="10" t="n">
        <f aca="false">'2026 Forecast A'!G201</f>
        <v>0.393127842344619</v>
      </c>
      <c r="E247" s="10" t="n">
        <f aca="false">'2026 Forecast B'!G201</f>
        <v>0.390096008084891</v>
      </c>
      <c r="F247" s="10" t="n">
        <f aca="false">'2026 Forecast C'!G201</f>
        <v>0.38655886811521</v>
      </c>
      <c r="G247" s="38" t="n">
        <f aca="false">(MAX(D247:F247)-MIN(D247:F247))*100</f>
        <v>0.656897422940883</v>
      </c>
      <c r="H247" s="39" t="n">
        <f aca="false">'2026 Forecast A'!L201</f>
        <v>1.75369314833214</v>
      </c>
      <c r="I247" s="39" t="n">
        <f aca="false">'2026 Forecast B'!L201</f>
        <v>2.1038293183682</v>
      </c>
      <c r="J247" s="39" t="n">
        <f aca="false">'2026 Forecast C'!L201</f>
        <v>1.909243057213</v>
      </c>
      <c r="K247" s="18" t="n">
        <f aca="false">'2026 Forecast A'!F201</f>
        <v>1979</v>
      </c>
      <c r="L247" s="40" t="str">
        <f aca="false">IF(OR(AND(D247&gt;0.5,E247&gt;0.5,F247&gt;0.5),AND(D247&lt;0.5,E247&lt;0.5,F247&lt;0.5)),"Yes","No — toss-up")</f>
        <v>Yes</v>
      </c>
    </row>
    <row r="248" customFormat="false" ht="15" hidden="false" customHeight="false" outlineLevel="0" collapsed="false">
      <c r="A248" s="9" t="str">
        <f aca="false">'2026 Forecast A'!A202</f>
        <v>Lehigh</v>
      </c>
      <c r="B248" s="9" t="str">
        <f aca="false">'2026 Forecast A'!B202</f>
        <v>UPPER SAUCON</v>
      </c>
      <c r="C248" s="9" t="str">
        <f aca="false">'2026 Forecast A'!C202</f>
        <v>UPPER SAUCON 1ST DISTRICT</v>
      </c>
      <c r="D248" s="10" t="n">
        <f aca="false">'2026 Forecast A'!G202</f>
        <v>0.500282645562465</v>
      </c>
      <c r="E248" s="10" t="n">
        <f aca="false">'2026 Forecast B'!G202</f>
        <v>0.501413227812323</v>
      </c>
      <c r="F248" s="10" t="n">
        <f aca="false">'2026 Forecast C'!G202</f>
        <v>0.501978518937253</v>
      </c>
      <c r="G248" s="38" t="n">
        <f aca="false">(MAX(D248:F248)-MIN(D248:F248))*100</f>
        <v>0.169587337478794</v>
      </c>
      <c r="H248" s="39" t="n">
        <f aca="false">'2026 Forecast A'!L202</f>
        <v>1.75369314833214</v>
      </c>
      <c r="I248" s="39" t="n">
        <f aca="false">'2026 Forecast B'!L202</f>
        <v>2.1038293183682</v>
      </c>
      <c r="J248" s="39" t="n">
        <f aca="false">'2026 Forecast C'!L202</f>
        <v>1.909243057213</v>
      </c>
      <c r="K248" s="18" t="n">
        <f aca="false">'2026 Forecast A'!F202</f>
        <v>1769</v>
      </c>
      <c r="L248" s="40" t="str">
        <f aca="false">IF(OR(AND(D248&gt;0.5,E248&gt;0.5,F248&gt;0.5),AND(D248&lt;0.5,E248&lt;0.5,F248&lt;0.5)),"Yes","No — toss-up")</f>
        <v>Yes</v>
      </c>
    </row>
    <row r="249" customFormat="false" ht="15" hidden="false" customHeight="false" outlineLevel="0" collapsed="false">
      <c r="A249" s="9" t="str">
        <f aca="false">'2026 Forecast A'!A203</f>
        <v>Lehigh</v>
      </c>
      <c r="B249" s="9" t="str">
        <f aca="false">'2026 Forecast A'!B203</f>
        <v>UPPER SAUCON</v>
      </c>
      <c r="C249" s="9" t="str">
        <f aca="false">'2026 Forecast A'!C203</f>
        <v>UPPER SAUCON 2ND DISTRICT</v>
      </c>
      <c r="D249" s="10" t="n">
        <f aca="false">'2026 Forecast A'!G203</f>
        <v>0.481992337164751</v>
      </c>
      <c r="E249" s="10" t="n">
        <f aca="false">'2026 Forecast B'!G203</f>
        <v>0.485057471264368</v>
      </c>
      <c r="F249" s="10" t="n">
        <f aca="false">'2026 Forecast C'!G203</f>
        <v>0.481992337164751</v>
      </c>
      <c r="G249" s="38" t="n">
        <f aca="false">(MAX(D249:F249)-MIN(D249:F249))*100</f>
        <v>0.306513409961684</v>
      </c>
      <c r="H249" s="39" t="n">
        <f aca="false">'2026 Forecast A'!L203</f>
        <v>1.75369314833214</v>
      </c>
      <c r="I249" s="39" t="n">
        <f aca="false">'2026 Forecast B'!L203</f>
        <v>2.1038293183682</v>
      </c>
      <c r="J249" s="39" t="n">
        <f aca="false">'2026 Forecast C'!L203</f>
        <v>1.909243057213</v>
      </c>
      <c r="K249" s="18" t="n">
        <f aca="false">'2026 Forecast A'!F203</f>
        <v>1305</v>
      </c>
      <c r="L249" s="40" t="str">
        <f aca="false">IF(OR(AND(D249&gt;0.5,E249&gt;0.5,F249&gt;0.5),AND(D249&lt;0.5,E249&lt;0.5,F249&lt;0.5)),"Yes","No — toss-up")</f>
        <v>Yes</v>
      </c>
    </row>
    <row r="250" customFormat="false" ht="15" hidden="false" customHeight="false" outlineLevel="0" collapsed="false">
      <c r="A250" s="9" t="str">
        <f aca="false">'2026 Forecast A'!A204</f>
        <v>Lehigh</v>
      </c>
      <c r="B250" s="9" t="str">
        <f aca="false">'2026 Forecast A'!B204</f>
        <v>UPPER SAUCON</v>
      </c>
      <c r="C250" s="9" t="str">
        <f aca="false">'2026 Forecast A'!C204</f>
        <v>UPPER SAUCON 3RD DISTRICT</v>
      </c>
      <c r="D250" s="10" t="n">
        <f aca="false">'2026 Forecast A'!G204</f>
        <v>0.486301369863014</v>
      </c>
      <c r="E250" s="10" t="n">
        <f aca="false">'2026 Forecast B'!G204</f>
        <v>0.484779299847793</v>
      </c>
      <c r="F250" s="10" t="n">
        <f aca="false">'2026 Forecast C'!G204</f>
        <v>0.489345509893455</v>
      </c>
      <c r="G250" s="38" t="n">
        <f aca="false">(MAX(D250:F250)-MIN(D250:F250))*100</f>
        <v>0.45662100456621</v>
      </c>
      <c r="H250" s="39" t="n">
        <f aca="false">'2026 Forecast A'!L204</f>
        <v>1.75369314833214</v>
      </c>
      <c r="I250" s="39" t="n">
        <f aca="false">'2026 Forecast B'!L204</f>
        <v>2.1038293183682</v>
      </c>
      <c r="J250" s="39" t="n">
        <f aca="false">'2026 Forecast C'!L204</f>
        <v>1.909243057213</v>
      </c>
      <c r="K250" s="18" t="n">
        <f aca="false">'2026 Forecast A'!F204</f>
        <v>1314</v>
      </c>
      <c r="L250" s="40" t="str">
        <f aca="false">IF(OR(AND(D250&gt;0.5,E250&gt;0.5,F250&gt;0.5),AND(D250&lt;0.5,E250&lt;0.5,F250&lt;0.5)),"Yes","No — toss-up")</f>
        <v>Yes</v>
      </c>
    </row>
    <row r="251" customFormat="false" ht="15" hidden="false" customHeight="false" outlineLevel="0" collapsed="false">
      <c r="A251" s="9" t="str">
        <f aca="false">'2026 Forecast A'!A205</f>
        <v>Lehigh</v>
      </c>
      <c r="B251" s="9" t="str">
        <f aca="false">'2026 Forecast A'!B205</f>
        <v>UPPER SAUCON</v>
      </c>
      <c r="C251" s="9" t="str">
        <f aca="false">'2026 Forecast A'!C205</f>
        <v>UPPER SAUCON 4TH DISTRICT</v>
      </c>
      <c r="D251" s="10" t="n">
        <f aca="false">'2026 Forecast A'!G205</f>
        <v>0.485583684950774</v>
      </c>
      <c r="E251" s="10" t="n">
        <f aca="false">'2026 Forecast B'!G205</f>
        <v>0.488396624472574</v>
      </c>
      <c r="F251" s="10" t="n">
        <f aca="false">'2026 Forecast C'!G205</f>
        <v>0.486638537271449</v>
      </c>
      <c r="G251" s="38" t="n">
        <f aca="false">(MAX(D251:F251)-MIN(D251:F251))*100</f>
        <v>0.281293952180028</v>
      </c>
      <c r="H251" s="39" t="n">
        <f aca="false">'2026 Forecast A'!L205</f>
        <v>1.75369314833214</v>
      </c>
      <c r="I251" s="39" t="n">
        <f aca="false">'2026 Forecast B'!L205</f>
        <v>2.1038293183682</v>
      </c>
      <c r="J251" s="39" t="n">
        <f aca="false">'2026 Forecast C'!L205</f>
        <v>1.909243057213</v>
      </c>
      <c r="K251" s="18" t="n">
        <f aca="false">'2026 Forecast A'!F205</f>
        <v>2844</v>
      </c>
      <c r="L251" s="40" t="str">
        <f aca="false">IF(OR(AND(D251&gt;0.5,E251&gt;0.5,F251&gt;0.5),AND(D251&lt;0.5,E251&lt;0.5,F251&lt;0.5)),"Yes","No — toss-up")</f>
        <v>Yes</v>
      </c>
    </row>
    <row r="252" customFormat="false" ht="15" hidden="false" customHeight="false" outlineLevel="0" collapsed="false">
      <c r="A252" s="9" t="str">
        <f aca="false">'2026 Forecast A'!A206</f>
        <v>Lehigh</v>
      </c>
      <c r="B252" s="9" t="str">
        <f aca="false">'2026 Forecast A'!B206</f>
        <v>UPPER SAUCON</v>
      </c>
      <c r="C252" s="9" t="str">
        <f aca="false">'2026 Forecast A'!C206</f>
        <v>UPPER SAUCON 5TH DISTRICT</v>
      </c>
      <c r="D252" s="10" t="n">
        <f aca="false">'2026 Forecast A'!G206</f>
        <v>0.510948905109489</v>
      </c>
      <c r="E252" s="10" t="n">
        <f aca="false">'2026 Forecast B'!G206</f>
        <v>0.512773722627737</v>
      </c>
      <c r="F252" s="10" t="n">
        <f aca="false">'2026 Forecast C'!G206</f>
        <v>0.512773722627737</v>
      </c>
      <c r="G252" s="38" t="n">
        <f aca="false">(MAX(D252:F252)-MIN(D252:F252))*100</f>
        <v>0.182481751824815</v>
      </c>
      <c r="H252" s="39" t="n">
        <f aca="false">'2026 Forecast A'!L206</f>
        <v>1.75369314833214</v>
      </c>
      <c r="I252" s="39" t="n">
        <f aca="false">'2026 Forecast B'!L206</f>
        <v>2.1038293183682</v>
      </c>
      <c r="J252" s="39" t="n">
        <f aca="false">'2026 Forecast C'!L206</f>
        <v>1.909243057213</v>
      </c>
      <c r="K252" s="18" t="n">
        <f aca="false">'2026 Forecast A'!F206</f>
        <v>1096</v>
      </c>
      <c r="L252" s="40" t="str">
        <f aca="false">IF(OR(AND(D252&gt;0.5,E252&gt;0.5,F252&gt;0.5),AND(D252&lt;0.5,E252&lt;0.5,F252&lt;0.5)),"Yes","No — toss-up")</f>
        <v>Yes</v>
      </c>
    </row>
    <row r="253" customFormat="false" ht="15" hidden="false" customHeight="false" outlineLevel="0" collapsed="false">
      <c r="A253" s="9" t="str">
        <f aca="false">'2026 Forecast A'!A207</f>
        <v>Lehigh</v>
      </c>
      <c r="B253" s="9" t="str">
        <f aca="false">'2026 Forecast A'!B207</f>
        <v>UPPER SAUCON</v>
      </c>
      <c r="C253" s="9" t="str">
        <f aca="false">'2026 Forecast A'!C207</f>
        <v>UPPER SAUCON 6TH DISTRICT</v>
      </c>
      <c r="D253" s="10" t="n">
        <f aca="false">'2026 Forecast A'!G207</f>
        <v>0.5263671875</v>
      </c>
      <c r="E253" s="10" t="n">
        <f aca="false">'2026 Forecast B'!G207</f>
        <v>0.5234375</v>
      </c>
      <c r="F253" s="10" t="n">
        <f aca="false">'2026 Forecast C'!G207</f>
        <v>0.5341796875</v>
      </c>
      <c r="G253" s="38" t="n">
        <f aca="false">(MAX(D253:F253)-MIN(D253:F253))*100</f>
        <v>1.07421875</v>
      </c>
      <c r="H253" s="39" t="n">
        <f aca="false">'2026 Forecast A'!L207</f>
        <v>1.75369314833214</v>
      </c>
      <c r="I253" s="39" t="n">
        <f aca="false">'2026 Forecast B'!L207</f>
        <v>2.1038293183682</v>
      </c>
      <c r="J253" s="39" t="n">
        <f aca="false">'2026 Forecast C'!L207</f>
        <v>1.909243057213</v>
      </c>
      <c r="K253" s="18" t="n">
        <f aca="false">'2026 Forecast A'!F207</f>
        <v>1024</v>
      </c>
      <c r="L253" s="40" t="str">
        <f aca="false">IF(OR(AND(D253&gt;0.5,E253&gt;0.5,F253&gt;0.5),AND(D253&lt;0.5,E253&lt;0.5,F253&lt;0.5)),"Yes","No — toss-up")</f>
        <v>Yes</v>
      </c>
    </row>
    <row r="254" customFormat="false" ht="15" hidden="false" customHeight="false" outlineLevel="0" collapsed="false">
      <c r="A254" s="9" t="str">
        <f aca="false">'2026 Forecast A'!A208</f>
        <v>Lehigh</v>
      </c>
      <c r="B254" s="9" t="str">
        <f aca="false">'2026 Forecast A'!B208</f>
        <v>WASHINGTON</v>
      </c>
      <c r="C254" s="9" t="str">
        <f aca="false">'2026 Forecast A'!C208</f>
        <v>WASHINGTON EASTERN DISTRICT</v>
      </c>
      <c r="D254" s="10" t="n">
        <f aca="false">'2026 Forecast A'!G208</f>
        <v>0.324503311258278</v>
      </c>
      <c r="E254" s="10" t="n">
        <f aca="false">'2026 Forecast B'!G208</f>
        <v>0.324503311258278</v>
      </c>
      <c r="F254" s="10" t="n">
        <f aca="false">'2026 Forecast C'!G208</f>
        <v>0.309602649006623</v>
      </c>
      <c r="G254" s="38" t="n">
        <f aca="false">(MAX(D254:F254)-MIN(D254:F254))*100</f>
        <v>1.49006622516556</v>
      </c>
      <c r="H254" s="39" t="n">
        <f aca="false">'2026 Forecast A'!L208</f>
        <v>2.13789583153489</v>
      </c>
      <c r="I254" s="39" t="n">
        <f aca="false">'2026 Forecast B'!L208</f>
        <v>2.24475965619494</v>
      </c>
      <c r="J254" s="39" t="n">
        <f aca="false">'2026 Forecast C'!L208</f>
        <v>2.3915225360787</v>
      </c>
      <c r="K254" s="18" t="n">
        <f aca="false">'2026 Forecast A'!F208</f>
        <v>604</v>
      </c>
      <c r="L254" s="40" t="str">
        <f aca="false">IF(OR(AND(D254&gt;0.5,E254&gt;0.5,F254&gt;0.5),AND(D254&lt;0.5,E254&lt;0.5,F254&lt;0.5)),"Yes","No — toss-up")</f>
        <v>Yes</v>
      </c>
    </row>
    <row r="255" customFormat="false" ht="15" hidden="false" customHeight="false" outlineLevel="0" collapsed="false">
      <c r="A255" s="9" t="str">
        <f aca="false">'2026 Forecast A'!A209</f>
        <v>Lehigh</v>
      </c>
      <c r="B255" s="9" t="str">
        <f aca="false">'2026 Forecast A'!B209</f>
        <v>WASHINGTON</v>
      </c>
      <c r="C255" s="9" t="str">
        <f aca="false">'2026 Forecast A'!C209</f>
        <v>WASHINGTON SOUTHERN DISTRICT</v>
      </c>
      <c r="D255" s="10" t="n">
        <f aca="false">'2026 Forecast A'!G209</f>
        <v>0.341849770056209</v>
      </c>
      <c r="E255" s="10" t="n">
        <f aca="false">'2026 Forecast B'!G209</f>
        <v>0.341849770056209</v>
      </c>
      <c r="F255" s="10" t="n">
        <f aca="false">'2026 Forecast C'!G209</f>
        <v>0.326520183955033</v>
      </c>
      <c r="G255" s="38" t="n">
        <f aca="false">(MAX(D255:F255)-MIN(D255:F255))*100</f>
        <v>1.53295861011752</v>
      </c>
      <c r="H255" s="39" t="n">
        <f aca="false">'2026 Forecast A'!L209</f>
        <v>1.75369314833214</v>
      </c>
      <c r="I255" s="39" t="n">
        <f aca="false">'2026 Forecast B'!L209</f>
        <v>2.1038293183682</v>
      </c>
      <c r="J255" s="39" t="n">
        <f aca="false">'2026 Forecast C'!L209</f>
        <v>1.909243057213</v>
      </c>
      <c r="K255" s="18" t="n">
        <f aca="false">'2026 Forecast A'!F209</f>
        <v>1957</v>
      </c>
      <c r="L255" s="40" t="str">
        <f aca="false">IF(OR(AND(D255&gt;0.5,E255&gt;0.5,F255&gt;0.5),AND(D255&lt;0.5,E255&lt;0.5,F255&lt;0.5)),"Yes","No — toss-up")</f>
        <v>Yes</v>
      </c>
    </row>
    <row r="256" customFormat="false" ht="15" hidden="false" customHeight="false" outlineLevel="0" collapsed="false">
      <c r="A256" s="9" t="str">
        <f aca="false">'2026 Forecast A'!A210</f>
        <v>Lehigh</v>
      </c>
      <c r="B256" s="9" t="str">
        <f aca="false">'2026 Forecast A'!B210</f>
        <v>WASHINGTON</v>
      </c>
      <c r="C256" s="9" t="str">
        <f aca="false">'2026 Forecast A'!C210</f>
        <v>WASHINGTON WESTERN DISTRICT</v>
      </c>
      <c r="D256" s="10" t="n">
        <f aca="false">'2026 Forecast A'!G210</f>
        <v>0.291512915129151</v>
      </c>
      <c r="E256" s="10" t="n">
        <f aca="false">'2026 Forecast B'!G210</f>
        <v>0.287822878228782</v>
      </c>
      <c r="F256" s="10" t="n">
        <f aca="false">'2026 Forecast C'!G210</f>
        <v>0.274907749077491</v>
      </c>
      <c r="G256" s="38" t="n">
        <f aca="false">(MAX(D256:F256)-MIN(D256:F256))*100</f>
        <v>1.66051660516605</v>
      </c>
      <c r="H256" s="39" t="n">
        <f aca="false">'2026 Forecast A'!L210</f>
        <v>3.43333352273176</v>
      </c>
      <c r="I256" s="39" t="n">
        <f aca="false">'2026 Forecast B'!L210</f>
        <v>3.21167747490571</v>
      </c>
      <c r="J256" s="39" t="n">
        <f aca="false">'2026 Forecast C'!L210</f>
        <v>3.72283676191068</v>
      </c>
      <c r="K256" s="18" t="n">
        <f aca="false">'2026 Forecast A'!F210</f>
        <v>542</v>
      </c>
      <c r="L256" s="40" t="str">
        <f aca="false">IF(OR(AND(D256&gt;0.5,E256&gt;0.5,F256&gt;0.5),AND(D256&lt;0.5,E256&lt;0.5,F256&lt;0.5)),"Yes","No — toss-up")</f>
        <v>Yes</v>
      </c>
    </row>
    <row r="257" customFormat="false" ht="15" hidden="false" customHeight="false" outlineLevel="0" collapsed="false">
      <c r="A257" s="9" t="str">
        <f aca="false">'2026 Forecast A'!A211</f>
        <v>Lehigh</v>
      </c>
      <c r="B257" s="9" t="str">
        <f aca="false">'2026 Forecast A'!B211</f>
        <v>WEISENBERG</v>
      </c>
      <c r="C257" s="9" t="str">
        <f aca="false">'2026 Forecast A'!C211</f>
        <v>WEISENBERG</v>
      </c>
      <c r="D257" s="10" t="n">
        <f aca="false">'2026 Forecast A'!G211</f>
        <v>0.353649635036496</v>
      </c>
      <c r="E257" s="10" t="n">
        <f aca="false">'2026 Forecast B'!G211</f>
        <v>0.351094890510949</v>
      </c>
      <c r="F257" s="10" t="n">
        <f aca="false">'2026 Forecast C'!G211</f>
        <v>0.34014598540146</v>
      </c>
      <c r="G257" s="38" t="n">
        <f aca="false">(MAX(D257:F257)-MIN(D257:F257))*100</f>
        <v>1.35036496350365</v>
      </c>
      <c r="H257" s="39" t="n">
        <f aca="false">'2026 Forecast A'!L211</f>
        <v>1.75369314833214</v>
      </c>
      <c r="I257" s="39" t="n">
        <f aca="false">'2026 Forecast B'!L211</f>
        <v>2.1038293183682</v>
      </c>
      <c r="J257" s="39" t="n">
        <f aca="false">'2026 Forecast C'!L211</f>
        <v>1.909243057213</v>
      </c>
      <c r="K257" s="18" t="n">
        <f aca="false">'2026 Forecast A'!F211</f>
        <v>2740</v>
      </c>
      <c r="L257" s="40" t="str">
        <f aca="false">IF(OR(AND(D257&gt;0.5,E257&gt;0.5,F257&gt;0.5),AND(D257&lt;0.5,E257&lt;0.5,F257&lt;0.5)),"Yes","No — toss-up")</f>
        <v>Yes</v>
      </c>
    </row>
    <row r="258" customFormat="false" ht="15" hidden="false" customHeight="false" outlineLevel="0" collapsed="false">
      <c r="A258" s="9" t="str">
        <f aca="false">'2026 Forecast A'!A212</f>
        <v>Lehigh</v>
      </c>
      <c r="B258" s="9" t="str">
        <f aca="false">'2026 Forecast A'!B212</f>
        <v>WHITEHALL</v>
      </c>
      <c r="C258" s="9" t="str">
        <f aca="false">'2026 Forecast A'!C212</f>
        <v>WHITEHALL 10TH DISTRICT</v>
      </c>
      <c r="D258" s="10" t="n">
        <f aca="false">'2026 Forecast A'!G212</f>
        <v>0.47956204379562</v>
      </c>
      <c r="E258" s="10" t="n">
        <f aca="false">'2026 Forecast B'!G212</f>
        <v>0.481021897810219</v>
      </c>
      <c r="F258" s="10" t="n">
        <f aca="false">'2026 Forecast C'!G212</f>
        <v>0.478102189781022</v>
      </c>
      <c r="G258" s="38" t="n">
        <f aca="false">(MAX(D258:F258)-MIN(D258:F258))*100</f>
        <v>0.291970802919705</v>
      </c>
      <c r="H258" s="39" t="n">
        <f aca="false">'2026 Forecast A'!L212</f>
        <v>1.75369314833214</v>
      </c>
      <c r="I258" s="39" t="n">
        <f aca="false">'2026 Forecast B'!L212</f>
        <v>2.1038293183682</v>
      </c>
      <c r="J258" s="39" t="n">
        <f aca="false">'2026 Forecast C'!L212</f>
        <v>1.909243057213</v>
      </c>
      <c r="K258" s="18" t="n">
        <f aca="false">'2026 Forecast A'!F212</f>
        <v>1370</v>
      </c>
      <c r="L258" s="40" t="str">
        <f aca="false">IF(OR(AND(D258&gt;0.5,E258&gt;0.5,F258&gt;0.5),AND(D258&lt;0.5,E258&lt;0.5,F258&lt;0.5)),"Yes","No — toss-up")</f>
        <v>Yes</v>
      </c>
    </row>
    <row r="259" customFormat="false" ht="15" hidden="false" customHeight="false" outlineLevel="0" collapsed="false">
      <c r="A259" s="9" t="str">
        <f aca="false">'2026 Forecast A'!A213</f>
        <v>Lehigh</v>
      </c>
      <c r="B259" s="9" t="str">
        <f aca="false">'2026 Forecast A'!B213</f>
        <v>WHITEHALL</v>
      </c>
      <c r="C259" s="9" t="str">
        <f aca="false">'2026 Forecast A'!C213</f>
        <v>WHITEHALL 11TH DISTRICT</v>
      </c>
      <c r="D259" s="10" t="n">
        <f aca="false">'2026 Forecast A'!G213</f>
        <v>0.482581967213115</v>
      </c>
      <c r="E259" s="10" t="n">
        <f aca="false">'2026 Forecast B'!G213</f>
        <v>0.486680327868852</v>
      </c>
      <c r="F259" s="10" t="n">
        <f aca="false">'2026 Forecast C'!G213</f>
        <v>0.48155737704918</v>
      </c>
      <c r="G259" s="38" t="n">
        <f aca="false">(MAX(D259:F259)-MIN(D259:F259))*100</f>
        <v>0.512295081967212</v>
      </c>
      <c r="H259" s="39" t="n">
        <f aca="false">'2026 Forecast A'!L213</f>
        <v>1.75369314833214</v>
      </c>
      <c r="I259" s="39" t="n">
        <f aca="false">'2026 Forecast B'!L213</f>
        <v>2.1038293183682</v>
      </c>
      <c r="J259" s="39" t="n">
        <f aca="false">'2026 Forecast C'!L213</f>
        <v>1.909243057213</v>
      </c>
      <c r="K259" s="18" t="n">
        <f aca="false">'2026 Forecast A'!F213</f>
        <v>976</v>
      </c>
      <c r="L259" s="40" t="str">
        <f aca="false">IF(OR(AND(D259&gt;0.5,E259&gt;0.5,F259&gt;0.5),AND(D259&lt;0.5,E259&lt;0.5,F259&lt;0.5)),"Yes","No — toss-up")</f>
        <v>Yes</v>
      </c>
    </row>
    <row r="260" customFormat="false" ht="15" hidden="false" customHeight="false" outlineLevel="0" collapsed="false">
      <c r="A260" s="9" t="str">
        <f aca="false">'2026 Forecast A'!A214</f>
        <v>Lehigh</v>
      </c>
      <c r="B260" s="9" t="str">
        <f aca="false">'2026 Forecast A'!B214</f>
        <v>WHITEHALL</v>
      </c>
      <c r="C260" s="9" t="str">
        <f aca="false">'2026 Forecast A'!C214</f>
        <v>WHITEHALL 12TH DISTRICT</v>
      </c>
      <c r="D260" s="10" t="n">
        <f aca="false">'2026 Forecast A'!G214</f>
        <v>0.558164354322305</v>
      </c>
      <c r="E260" s="10" t="n">
        <f aca="false">'2026 Forecast B'!G214</f>
        <v>0.562433297758805</v>
      </c>
      <c r="F260" s="10" t="n">
        <f aca="false">'2026 Forecast C'!G214</f>
        <v>0.562433297758805</v>
      </c>
      <c r="G260" s="38" t="n">
        <f aca="false">(MAX(D260:F260)-MIN(D260:F260))*100</f>
        <v>0.426894343649942</v>
      </c>
      <c r="H260" s="39" t="n">
        <f aca="false">'2026 Forecast A'!L214</f>
        <v>1.75369314833214</v>
      </c>
      <c r="I260" s="39" t="n">
        <f aca="false">'2026 Forecast B'!L214</f>
        <v>2.1038293183682</v>
      </c>
      <c r="J260" s="39" t="n">
        <f aca="false">'2026 Forecast C'!L214</f>
        <v>1.909243057213</v>
      </c>
      <c r="K260" s="18" t="n">
        <f aca="false">'2026 Forecast A'!F214</f>
        <v>937</v>
      </c>
      <c r="L260" s="40" t="str">
        <f aca="false">IF(OR(AND(D260&gt;0.5,E260&gt;0.5,F260&gt;0.5),AND(D260&lt;0.5,E260&lt;0.5,F260&lt;0.5)),"Yes","No — toss-up")</f>
        <v>Yes</v>
      </c>
    </row>
    <row r="261" customFormat="false" ht="15" hidden="false" customHeight="false" outlineLevel="0" collapsed="false">
      <c r="A261" s="9" t="str">
        <f aca="false">'2026 Forecast A'!A215</f>
        <v>Lehigh</v>
      </c>
      <c r="B261" s="9" t="str">
        <f aca="false">'2026 Forecast A'!B215</f>
        <v>WHITEHALL</v>
      </c>
      <c r="C261" s="9" t="str">
        <f aca="false">'2026 Forecast A'!C215</f>
        <v>WHITEHALL 1ST DISTRICT</v>
      </c>
      <c r="D261" s="10" t="n">
        <f aca="false">'2026 Forecast A'!G215</f>
        <v>0.593625498007968</v>
      </c>
      <c r="E261" s="10" t="n">
        <f aca="false">'2026 Forecast B'!G215</f>
        <v>0.592629482071713</v>
      </c>
      <c r="F261" s="10" t="n">
        <f aca="false">'2026 Forecast C'!G215</f>
        <v>0.595617529880478</v>
      </c>
      <c r="G261" s="38" t="n">
        <f aca="false">(MAX(D261:F261)-MIN(D261:F261))*100</f>
        <v>0.298804780876494</v>
      </c>
      <c r="H261" s="39" t="n">
        <f aca="false">'2026 Forecast A'!L215</f>
        <v>1.75369314833214</v>
      </c>
      <c r="I261" s="39" t="n">
        <f aca="false">'2026 Forecast B'!L215</f>
        <v>2.1038293183682</v>
      </c>
      <c r="J261" s="39" t="n">
        <f aca="false">'2026 Forecast C'!L215</f>
        <v>1.909243057213</v>
      </c>
      <c r="K261" s="18" t="n">
        <f aca="false">'2026 Forecast A'!F215</f>
        <v>1004</v>
      </c>
      <c r="L261" s="40" t="str">
        <f aca="false">IF(OR(AND(D261&gt;0.5,E261&gt;0.5,F261&gt;0.5),AND(D261&lt;0.5,E261&lt;0.5,F261&lt;0.5)),"Yes","No — toss-up")</f>
        <v>Yes</v>
      </c>
    </row>
    <row r="262" customFormat="false" ht="15" hidden="false" customHeight="false" outlineLevel="0" collapsed="false">
      <c r="A262" s="9" t="str">
        <f aca="false">'2026 Forecast A'!A216</f>
        <v>Lehigh</v>
      </c>
      <c r="B262" s="9" t="str">
        <f aca="false">'2026 Forecast A'!B216</f>
        <v>WHITEHALL</v>
      </c>
      <c r="C262" s="9" t="str">
        <f aca="false">'2026 Forecast A'!C216</f>
        <v>WHITEHALL 2ND DISTRICT</v>
      </c>
      <c r="D262" s="10" t="n">
        <f aca="false">'2026 Forecast A'!G216</f>
        <v>0.548872180451128</v>
      </c>
      <c r="E262" s="10" t="n">
        <f aca="false">'2026 Forecast B'!G216</f>
        <v>0.553884711779449</v>
      </c>
      <c r="F262" s="10" t="n">
        <f aca="false">'2026 Forecast C'!G216</f>
        <v>0.553884711779449</v>
      </c>
      <c r="G262" s="38" t="n">
        <f aca="false">(MAX(D262:F262)-MIN(D262:F262))*100</f>
        <v>0.50125313283208</v>
      </c>
      <c r="H262" s="39" t="n">
        <f aca="false">'2026 Forecast A'!L216</f>
        <v>3.43333352273176</v>
      </c>
      <c r="I262" s="39" t="n">
        <f aca="false">'2026 Forecast B'!L216</f>
        <v>3.21167747490571</v>
      </c>
      <c r="J262" s="39" t="n">
        <f aca="false">'2026 Forecast C'!L216</f>
        <v>3.72283676191068</v>
      </c>
      <c r="K262" s="18" t="n">
        <f aca="false">'2026 Forecast A'!F216</f>
        <v>399</v>
      </c>
      <c r="L262" s="40" t="str">
        <f aca="false">IF(OR(AND(D262&gt;0.5,E262&gt;0.5,F262&gt;0.5),AND(D262&lt;0.5,E262&lt;0.5,F262&lt;0.5)),"Yes","No — toss-up")</f>
        <v>Yes</v>
      </c>
    </row>
    <row r="263" customFormat="false" ht="15" hidden="false" customHeight="false" outlineLevel="0" collapsed="false">
      <c r="A263" s="9" t="str">
        <f aca="false">'2026 Forecast A'!A217</f>
        <v>Lehigh</v>
      </c>
      <c r="B263" s="9" t="str">
        <f aca="false">'2026 Forecast A'!B217</f>
        <v>WHITEHALL</v>
      </c>
      <c r="C263" s="9" t="str">
        <f aca="false">'2026 Forecast A'!C217</f>
        <v>WHITEHALL 3RD DISTRICT</v>
      </c>
      <c r="D263" s="10" t="n">
        <f aca="false">'2026 Forecast A'!G217</f>
        <v>0.603846153846154</v>
      </c>
      <c r="E263" s="10" t="n">
        <f aca="false">'2026 Forecast B'!G217</f>
        <v>0.603846153846154</v>
      </c>
      <c r="F263" s="10" t="n">
        <f aca="false">'2026 Forecast C'!G217</f>
        <v>0.605769230769231</v>
      </c>
      <c r="G263" s="38" t="n">
        <f aca="false">(MAX(D263:F263)-MIN(D263:F263))*100</f>
        <v>0.192307692307692</v>
      </c>
      <c r="H263" s="39" t="n">
        <f aca="false">'2026 Forecast A'!L217</f>
        <v>3.43333352273176</v>
      </c>
      <c r="I263" s="39" t="n">
        <f aca="false">'2026 Forecast B'!L217</f>
        <v>3.21167747490571</v>
      </c>
      <c r="J263" s="39" t="n">
        <f aca="false">'2026 Forecast C'!L217</f>
        <v>3.72283676191068</v>
      </c>
      <c r="K263" s="18" t="n">
        <f aca="false">'2026 Forecast A'!F217</f>
        <v>520</v>
      </c>
      <c r="L263" s="40" t="str">
        <f aca="false">IF(OR(AND(D263&gt;0.5,E263&gt;0.5,F263&gt;0.5),AND(D263&lt;0.5,E263&lt;0.5,F263&lt;0.5)),"Yes","No — toss-up")</f>
        <v>Yes</v>
      </c>
    </row>
    <row r="264" customFormat="false" ht="15" hidden="false" customHeight="false" outlineLevel="0" collapsed="false">
      <c r="A264" s="9" t="str">
        <f aca="false">'2026 Forecast A'!A218</f>
        <v>Lehigh</v>
      </c>
      <c r="B264" s="9" t="str">
        <f aca="false">'2026 Forecast A'!B218</f>
        <v>WHITEHALL</v>
      </c>
      <c r="C264" s="9" t="str">
        <f aca="false">'2026 Forecast A'!C218</f>
        <v>WHITEHALL 4TH DISTRICT</v>
      </c>
      <c r="D264" s="10" t="n">
        <f aca="false">'2026 Forecast A'!G218</f>
        <v>0.554585152838428</v>
      </c>
      <c r="E264" s="10" t="n">
        <f aca="false">'2026 Forecast B'!G218</f>
        <v>0.554585152838428</v>
      </c>
      <c r="F264" s="10" t="n">
        <f aca="false">'2026 Forecast C'!G218</f>
        <v>0.564774381368268</v>
      </c>
      <c r="G264" s="38" t="n">
        <f aca="false">(MAX(D264:F264)-MIN(D264:F264))*100</f>
        <v>1.01892285298399</v>
      </c>
      <c r="H264" s="39" t="n">
        <f aca="false">'2026 Forecast A'!L218</f>
        <v>2.13789583153489</v>
      </c>
      <c r="I264" s="39" t="n">
        <f aca="false">'2026 Forecast B'!L218</f>
        <v>2.24475965619494</v>
      </c>
      <c r="J264" s="39" t="n">
        <f aca="false">'2026 Forecast C'!L218</f>
        <v>2.3915225360787</v>
      </c>
      <c r="K264" s="18" t="n">
        <f aca="false">'2026 Forecast A'!F218</f>
        <v>687</v>
      </c>
      <c r="L264" s="40" t="str">
        <f aca="false">IF(OR(AND(D264&gt;0.5,E264&gt;0.5,F264&gt;0.5),AND(D264&lt;0.5,E264&lt;0.5,F264&lt;0.5)),"Yes","No — toss-up")</f>
        <v>Yes</v>
      </c>
    </row>
    <row r="265" customFormat="false" ht="15" hidden="false" customHeight="false" outlineLevel="0" collapsed="false">
      <c r="A265" s="9" t="str">
        <f aca="false">'2026 Forecast A'!A219</f>
        <v>Lehigh</v>
      </c>
      <c r="B265" s="9" t="str">
        <f aca="false">'2026 Forecast A'!B219</f>
        <v>WHITEHALL</v>
      </c>
      <c r="C265" s="9" t="str">
        <f aca="false">'2026 Forecast A'!C219</f>
        <v>WHITEHALL 5TH DISTRICT</v>
      </c>
      <c r="D265" s="10" t="n">
        <f aca="false">'2026 Forecast A'!G219</f>
        <v>0.482222222222222</v>
      </c>
      <c r="E265" s="10" t="n">
        <f aca="false">'2026 Forecast B'!G219</f>
        <v>0.486666666666667</v>
      </c>
      <c r="F265" s="10" t="n">
        <f aca="false">'2026 Forecast C'!G219</f>
        <v>0.482222222222222</v>
      </c>
      <c r="G265" s="38" t="n">
        <f aca="false">(MAX(D265:F265)-MIN(D265:F265))*100</f>
        <v>0.444444444444447</v>
      </c>
      <c r="H265" s="39" t="n">
        <f aca="false">'2026 Forecast A'!L219</f>
        <v>3.43333352273176</v>
      </c>
      <c r="I265" s="39" t="n">
        <f aca="false">'2026 Forecast B'!L219</f>
        <v>3.21167747490571</v>
      </c>
      <c r="J265" s="39" t="n">
        <f aca="false">'2026 Forecast C'!L219</f>
        <v>3.72283676191068</v>
      </c>
      <c r="K265" s="18" t="n">
        <f aca="false">'2026 Forecast A'!F219</f>
        <v>450</v>
      </c>
      <c r="L265" s="40" t="str">
        <f aca="false">IF(OR(AND(D265&gt;0.5,E265&gt;0.5,F265&gt;0.5),AND(D265&lt;0.5,E265&lt;0.5,F265&lt;0.5)),"Yes","No — toss-up")</f>
        <v>Yes</v>
      </c>
    </row>
    <row r="266" customFormat="false" ht="15" hidden="false" customHeight="false" outlineLevel="0" collapsed="false">
      <c r="A266" s="9" t="str">
        <f aca="false">'2026 Forecast A'!A220</f>
        <v>Lehigh</v>
      </c>
      <c r="B266" s="9" t="str">
        <f aca="false">'2026 Forecast A'!B220</f>
        <v>WHITEHALL</v>
      </c>
      <c r="C266" s="9" t="str">
        <f aca="false">'2026 Forecast A'!C220</f>
        <v>WHITEHALL 6TH DISTRICT</v>
      </c>
      <c r="D266" s="10" t="n">
        <f aca="false">'2026 Forecast A'!G220</f>
        <v>0.531289910600255</v>
      </c>
      <c r="E266" s="10" t="n">
        <f aca="false">'2026 Forecast B'!G220</f>
        <v>0.531289910600255</v>
      </c>
      <c r="F266" s="10" t="n">
        <f aca="false">'2026 Forecast C'!G220</f>
        <v>0.532567049808429</v>
      </c>
      <c r="G266" s="38" t="n">
        <f aca="false">(MAX(D266:F266)-MIN(D266:F266))*100</f>
        <v>0.127713920817374</v>
      </c>
      <c r="H266" s="39" t="n">
        <f aca="false">'2026 Forecast A'!L220</f>
        <v>2.13789583153489</v>
      </c>
      <c r="I266" s="39" t="n">
        <f aca="false">'2026 Forecast B'!L220</f>
        <v>2.24475965619494</v>
      </c>
      <c r="J266" s="39" t="n">
        <f aca="false">'2026 Forecast C'!L220</f>
        <v>2.3915225360787</v>
      </c>
      <c r="K266" s="18" t="n">
        <f aca="false">'2026 Forecast A'!F220</f>
        <v>783</v>
      </c>
      <c r="L266" s="40" t="str">
        <f aca="false">IF(OR(AND(D266&gt;0.5,E266&gt;0.5,F266&gt;0.5),AND(D266&lt;0.5,E266&lt;0.5,F266&lt;0.5)),"Yes","No — toss-up")</f>
        <v>Yes</v>
      </c>
    </row>
    <row r="267" customFormat="false" ht="15" hidden="false" customHeight="false" outlineLevel="0" collapsed="false">
      <c r="A267" s="9" t="str">
        <f aca="false">'2026 Forecast A'!A221</f>
        <v>Lehigh</v>
      </c>
      <c r="B267" s="9" t="str">
        <f aca="false">'2026 Forecast A'!B221</f>
        <v>WHITEHALL</v>
      </c>
      <c r="C267" s="9" t="str">
        <f aca="false">'2026 Forecast A'!C221</f>
        <v>WHITEHALL 7TH DISTRICT</v>
      </c>
      <c r="D267" s="10" t="n">
        <f aca="false">'2026 Forecast A'!G221</f>
        <v>0.476702508960574</v>
      </c>
      <c r="E267" s="10" t="n">
        <f aca="false">'2026 Forecast B'!G221</f>
        <v>0.482437275985663</v>
      </c>
      <c r="F267" s="10" t="n">
        <f aca="false">'2026 Forecast C'!G221</f>
        <v>0.475985663082437</v>
      </c>
      <c r="G267" s="38" t="n">
        <f aca="false">(MAX(D267:F267)-MIN(D267:F267))*100</f>
        <v>0.645161290322582</v>
      </c>
      <c r="H267" s="39" t="n">
        <f aca="false">'2026 Forecast A'!L221</f>
        <v>1.75369314833214</v>
      </c>
      <c r="I267" s="39" t="n">
        <f aca="false">'2026 Forecast B'!L221</f>
        <v>2.1038293183682</v>
      </c>
      <c r="J267" s="39" t="n">
        <f aca="false">'2026 Forecast C'!L221</f>
        <v>1.909243057213</v>
      </c>
      <c r="K267" s="18" t="n">
        <f aca="false">'2026 Forecast A'!F221</f>
        <v>1395</v>
      </c>
      <c r="L267" s="40" t="str">
        <f aca="false">IF(OR(AND(D267&gt;0.5,E267&gt;0.5,F267&gt;0.5),AND(D267&lt;0.5,E267&lt;0.5,F267&lt;0.5)),"Yes","No — toss-up")</f>
        <v>Yes</v>
      </c>
    </row>
    <row r="268" customFormat="false" ht="15" hidden="false" customHeight="false" outlineLevel="0" collapsed="false">
      <c r="A268" s="9" t="str">
        <f aca="false">'2026 Forecast A'!A222</f>
        <v>Lehigh</v>
      </c>
      <c r="B268" s="9" t="str">
        <f aca="false">'2026 Forecast A'!B222</f>
        <v>WHITEHALL</v>
      </c>
      <c r="C268" s="9" t="str">
        <f aca="false">'2026 Forecast A'!C222</f>
        <v>WHITEHALL 8TH DISTRICT</v>
      </c>
      <c r="D268" s="10" t="n">
        <f aca="false">'2026 Forecast A'!G222</f>
        <v>0.498233215547703</v>
      </c>
      <c r="E268" s="10" t="n">
        <f aca="false">'2026 Forecast B'!G222</f>
        <v>0.501766784452297</v>
      </c>
      <c r="F268" s="10" t="n">
        <f aca="false">'2026 Forecast C'!G222</f>
        <v>0.498233215547703</v>
      </c>
      <c r="G268" s="38" t="n">
        <f aca="false">(MAX(D268:F268)-MIN(D268:F268))*100</f>
        <v>0.353356890459366</v>
      </c>
      <c r="H268" s="39" t="n">
        <f aca="false">'2026 Forecast A'!L222</f>
        <v>1.75369314833214</v>
      </c>
      <c r="I268" s="39" t="n">
        <f aca="false">'2026 Forecast B'!L222</f>
        <v>2.1038293183682</v>
      </c>
      <c r="J268" s="39" t="n">
        <f aca="false">'2026 Forecast C'!L222</f>
        <v>1.909243057213</v>
      </c>
      <c r="K268" s="18" t="n">
        <f aca="false">'2026 Forecast A'!F222</f>
        <v>1132</v>
      </c>
      <c r="L268" s="40" t="str">
        <f aca="false">IF(OR(AND(D268&gt;0.5,E268&gt;0.5,F268&gt;0.5),AND(D268&lt;0.5,E268&lt;0.5,F268&lt;0.5)),"Yes","No — toss-up")</f>
        <v>No — toss-up</v>
      </c>
    </row>
    <row r="269" customFormat="false" ht="15" hidden="false" customHeight="false" outlineLevel="0" collapsed="false">
      <c r="A269" s="9" t="str">
        <f aca="false">'2026 Forecast A'!A223</f>
        <v>Lehigh</v>
      </c>
      <c r="B269" s="9" t="str">
        <f aca="false">'2026 Forecast A'!B223</f>
        <v>WHITEHALL</v>
      </c>
      <c r="C269" s="9" t="str">
        <f aca="false">'2026 Forecast A'!C223</f>
        <v>WHITEHALL 9TH DISTRICT</v>
      </c>
      <c r="D269" s="10" t="n">
        <f aca="false">'2026 Forecast A'!G223</f>
        <v>0.519298245614035</v>
      </c>
      <c r="E269" s="10" t="n">
        <f aca="false">'2026 Forecast B'!G223</f>
        <v>0.525146198830409</v>
      </c>
      <c r="F269" s="10" t="n">
        <f aca="false">'2026 Forecast C'!G223</f>
        <v>0.52280701754386</v>
      </c>
      <c r="G269" s="38" t="n">
        <f aca="false">(MAX(D269:F269)-MIN(D269:F269))*100</f>
        <v>0.584795321637432</v>
      </c>
      <c r="H269" s="39" t="n">
        <f aca="false">'2026 Forecast A'!L223</f>
        <v>2.13789583153489</v>
      </c>
      <c r="I269" s="39" t="n">
        <f aca="false">'2026 Forecast B'!L223</f>
        <v>2.24475965619494</v>
      </c>
      <c r="J269" s="39" t="n">
        <f aca="false">'2026 Forecast C'!L223</f>
        <v>2.3915225360787</v>
      </c>
      <c r="K269" s="18" t="n">
        <f aca="false">'2026 Forecast A'!F223</f>
        <v>855</v>
      </c>
      <c r="L269" s="40" t="str">
        <f aca="false">IF(OR(AND(D269&gt;0.5,E269&gt;0.5,F269&gt;0.5),AND(D269&lt;0.5,E269&lt;0.5,F269&lt;0.5)),"Yes","No — toss-up")</f>
        <v>Yes</v>
      </c>
    </row>
    <row r="270" customFormat="false" ht="15" hidden="false" customHeight="false" outlineLevel="0" collapsed="false">
      <c r="A270" s="9" t="str">
        <f aca="false">'2026 Forecast A'!A224</f>
        <v>Monroe</v>
      </c>
      <c r="B270" s="9" t="str">
        <f aca="false">'2026 Forecast A'!B224</f>
        <v>ELDRED TOWNSHIP</v>
      </c>
      <c r="C270" s="9" t="str">
        <f aca="false">'2026 Forecast A'!C224</f>
        <v>ELDRED</v>
      </c>
      <c r="D270" s="10" t="n">
        <f aca="false">'2026 Forecast A'!G224</f>
        <v>0.309562398703404</v>
      </c>
      <c r="E270" s="10" t="n">
        <f aca="false">'2026 Forecast B'!G224</f>
        <v>0.301458670988655</v>
      </c>
      <c r="F270" s="10" t="n">
        <f aca="false">'2026 Forecast C'!G224</f>
        <v>0.290113452188007</v>
      </c>
      <c r="G270" s="38" t="n">
        <f aca="false">(MAX(D270:F270)-MIN(D270:F270))*100</f>
        <v>1.94489465153971</v>
      </c>
      <c r="H270" s="39" t="n">
        <f aca="false">'2026 Forecast A'!L224</f>
        <v>1.75369314833214</v>
      </c>
      <c r="I270" s="39" t="n">
        <f aca="false">'2026 Forecast B'!L224</f>
        <v>2.1038293183682</v>
      </c>
      <c r="J270" s="39" t="n">
        <f aca="false">'2026 Forecast C'!L224</f>
        <v>1.909243057213</v>
      </c>
      <c r="K270" s="18" t="n">
        <f aca="false">'2026 Forecast A'!F224</f>
        <v>1234</v>
      </c>
      <c r="L270" s="40" t="str">
        <f aca="false">IF(OR(AND(D270&gt;0.5,E270&gt;0.5,F270&gt;0.5),AND(D270&lt;0.5,E270&lt;0.5,F270&lt;0.5)),"Yes","No — toss-up")</f>
        <v>Yes</v>
      </c>
    </row>
    <row r="271" customFormat="false" ht="15" hidden="false" customHeight="false" outlineLevel="0" collapsed="false">
      <c r="A271" s="9" t="str">
        <f aca="false">'2026 Forecast A'!A225</f>
        <v>Monroe</v>
      </c>
      <c r="B271" s="9" t="str">
        <f aca="false">'2026 Forecast A'!B225</f>
        <v>POLK TOWNSHIP</v>
      </c>
      <c r="C271" s="9" t="str">
        <f aca="false">'2026 Forecast A'!C225</f>
        <v>POLK</v>
      </c>
      <c r="D271" s="10" t="n">
        <f aca="false">'2026 Forecast A'!G225</f>
        <v>0.339047619047619</v>
      </c>
      <c r="E271" s="10" t="n">
        <f aca="false">'2026 Forecast B'!G225</f>
        <v>0.33968253968254</v>
      </c>
      <c r="F271" s="10" t="n">
        <f aca="false">'2026 Forecast C'!G225</f>
        <v>0.323492063492064</v>
      </c>
      <c r="G271" s="38" t="n">
        <f aca="false">(MAX(D271:F271)-MIN(D271:F271))*100</f>
        <v>1.61904761904762</v>
      </c>
      <c r="H271" s="39" t="n">
        <f aca="false">'2026 Forecast A'!L225</f>
        <v>1.75369314833214</v>
      </c>
      <c r="I271" s="39" t="n">
        <f aca="false">'2026 Forecast B'!L225</f>
        <v>2.1038293183682</v>
      </c>
      <c r="J271" s="39" t="n">
        <f aca="false">'2026 Forecast C'!L225</f>
        <v>1.909243057213</v>
      </c>
      <c r="K271" s="18" t="n">
        <f aca="false">'2026 Forecast A'!F225</f>
        <v>3150</v>
      </c>
      <c r="L271" s="40" t="str">
        <f aca="false">IF(OR(AND(D271&gt;0.5,E271&gt;0.5,F271&gt;0.5),AND(D271&lt;0.5,E271&lt;0.5,F271&lt;0.5)),"Yes","No — toss-up")</f>
        <v>Yes</v>
      </c>
    </row>
    <row r="272" customFormat="false" ht="15" hidden="false" customHeight="false" outlineLevel="0" collapsed="false">
      <c r="A272" s="9" t="str">
        <f aca="false">'2026 Forecast A'!A226</f>
        <v>Monroe</v>
      </c>
      <c r="B272" s="9" t="str">
        <f aca="false">'2026 Forecast A'!B226</f>
        <v>ROSS TOWNSHIP</v>
      </c>
      <c r="C272" s="9" t="str">
        <f aca="false">'2026 Forecast A'!C226</f>
        <v>ROSS 1</v>
      </c>
      <c r="D272" s="10" t="n">
        <f aca="false">'2026 Forecast A'!G226</f>
        <v>0.343296327924851</v>
      </c>
      <c r="E272" s="10" t="n">
        <f aca="false">'2026 Forecast B'!G226</f>
        <v>0.345004269854825</v>
      </c>
      <c r="F272" s="10" t="n">
        <f aca="false">'2026 Forecast C'!G226</f>
        <v>0.328778821520068</v>
      </c>
      <c r="G272" s="38" t="n">
        <f aca="false">(MAX(D272:F272)-MIN(D272:F272))*100</f>
        <v>1.62254483347566</v>
      </c>
      <c r="H272" s="39" t="n">
        <f aca="false">'2026 Forecast A'!L226</f>
        <v>1.75369314833214</v>
      </c>
      <c r="I272" s="39" t="n">
        <f aca="false">'2026 Forecast B'!L226</f>
        <v>2.1038293183682</v>
      </c>
      <c r="J272" s="39" t="n">
        <f aca="false">'2026 Forecast C'!L226</f>
        <v>1.909243057213</v>
      </c>
      <c r="K272" s="18" t="n">
        <f aca="false">'2026 Forecast A'!F226</f>
        <v>1171</v>
      </c>
      <c r="L272" s="40" t="str">
        <f aca="false">IF(OR(AND(D272&gt;0.5,E272&gt;0.5,F272&gt;0.5),AND(D272&lt;0.5,E272&lt;0.5,F272&lt;0.5)),"Yes","No — toss-up")</f>
        <v>Yes</v>
      </c>
    </row>
    <row r="273" customFormat="false" ht="15" hidden="false" customHeight="false" outlineLevel="0" collapsed="false">
      <c r="A273" s="9" t="str">
        <f aca="false">'2026 Forecast A'!A227</f>
        <v>Northampton</v>
      </c>
      <c r="B273" s="9" t="str">
        <f aca="false">'2026 Forecast A'!B227</f>
        <v>ALLEN</v>
      </c>
      <c r="C273" s="9" t="str">
        <f aca="false">'2026 Forecast A'!C227</f>
        <v>ALLEN TWSP - NORTH</v>
      </c>
      <c r="D273" s="10" t="n">
        <f aca="false">'2026 Forecast A'!G227</f>
        <v>0.417378917378917</v>
      </c>
      <c r="E273" s="10" t="n">
        <f aca="false">'2026 Forecast B'!G227</f>
        <v>0.42022792022792</v>
      </c>
      <c r="F273" s="10" t="n">
        <f aca="false">'2026 Forecast C'!G227</f>
        <v>0.408831908831909</v>
      </c>
      <c r="G273" s="38" t="n">
        <f aca="false">(MAX(D273:F273)-MIN(D273:F273))*100</f>
        <v>1.13960113960114</v>
      </c>
      <c r="H273" s="39" t="n">
        <f aca="false">'2026 Forecast A'!L227</f>
        <v>1.75369314833214</v>
      </c>
      <c r="I273" s="39" t="n">
        <f aca="false">'2026 Forecast B'!L227</f>
        <v>2.1038293183682</v>
      </c>
      <c r="J273" s="39" t="n">
        <f aca="false">'2026 Forecast C'!L227</f>
        <v>1.909243057213</v>
      </c>
      <c r="K273" s="18" t="n">
        <f aca="false">'2026 Forecast A'!F227</f>
        <v>1404</v>
      </c>
      <c r="L273" s="40" t="str">
        <f aca="false">IF(OR(AND(D273&gt;0.5,E273&gt;0.5,F273&gt;0.5),AND(D273&lt;0.5,E273&lt;0.5,F273&lt;0.5)),"Yes","No — toss-up")</f>
        <v>Yes</v>
      </c>
    </row>
    <row r="274" customFormat="false" ht="15" hidden="false" customHeight="false" outlineLevel="0" collapsed="false">
      <c r="A274" s="9" t="str">
        <f aca="false">'2026 Forecast A'!A228</f>
        <v>Northampton</v>
      </c>
      <c r="B274" s="9" t="str">
        <f aca="false">'2026 Forecast A'!B228</f>
        <v>ALLEN</v>
      </c>
      <c r="C274" s="9" t="str">
        <f aca="false">'2026 Forecast A'!C228</f>
        <v>ALLEN TWSP - SOUTH</v>
      </c>
      <c r="D274" s="10" t="n">
        <f aca="false">'2026 Forecast A'!G228</f>
        <v>0.465346534653465</v>
      </c>
      <c r="E274" s="10" t="n">
        <f aca="false">'2026 Forecast B'!G228</f>
        <v>0.460776846915461</v>
      </c>
      <c r="F274" s="10" t="n">
        <f aca="false">'2026 Forecast C'!G228</f>
        <v>0.460776846915461</v>
      </c>
      <c r="G274" s="38" t="n">
        <f aca="false">(MAX(D274:F274)-MIN(D274:F274))*100</f>
        <v>0.456968773800459</v>
      </c>
      <c r="H274" s="39" t="n">
        <f aca="false">'2026 Forecast A'!L228</f>
        <v>1.75369314833214</v>
      </c>
      <c r="I274" s="39" t="n">
        <f aca="false">'2026 Forecast B'!L228</f>
        <v>2.1038293183682</v>
      </c>
      <c r="J274" s="39" t="n">
        <f aca="false">'2026 Forecast C'!L228</f>
        <v>1.909243057213</v>
      </c>
      <c r="K274" s="18" t="n">
        <f aca="false">'2026 Forecast A'!F228</f>
        <v>1313</v>
      </c>
      <c r="L274" s="40" t="str">
        <f aca="false">IF(OR(AND(D274&gt;0.5,E274&gt;0.5,F274&gt;0.5),AND(D274&lt;0.5,E274&lt;0.5,F274&lt;0.5)),"Yes","No — toss-up")</f>
        <v>Yes</v>
      </c>
    </row>
    <row r="275" customFormat="false" ht="15" hidden="false" customHeight="false" outlineLevel="0" collapsed="false">
      <c r="A275" s="9" t="str">
        <f aca="false">'2026 Forecast A'!A229</f>
        <v>Northampton</v>
      </c>
      <c r="B275" s="9" t="str">
        <f aca="false">'2026 Forecast A'!B229</f>
        <v>BANGOR</v>
      </c>
      <c r="C275" s="9" t="str">
        <f aca="false">'2026 Forecast A'!C229</f>
        <v>BANGOR BORO NORTH</v>
      </c>
      <c r="D275" s="10" t="n">
        <f aca="false">'2026 Forecast A'!G229</f>
        <v>0.415906127770535</v>
      </c>
      <c r="E275" s="10" t="n">
        <f aca="false">'2026 Forecast B'!G229</f>
        <v>0.411342894393742</v>
      </c>
      <c r="F275" s="10" t="n">
        <f aca="false">'2026 Forecast C'!G229</f>
        <v>0.410691003911343</v>
      </c>
      <c r="G275" s="38" t="n">
        <f aca="false">(MAX(D275:F275)-MIN(D275:F275))*100</f>
        <v>0.521512385919165</v>
      </c>
      <c r="H275" s="39" t="n">
        <f aca="false">'2026 Forecast A'!L229</f>
        <v>1.75369314833214</v>
      </c>
      <c r="I275" s="39" t="n">
        <f aca="false">'2026 Forecast B'!L229</f>
        <v>2.1038293183682</v>
      </c>
      <c r="J275" s="39" t="n">
        <f aca="false">'2026 Forecast C'!L229</f>
        <v>1.909243057213</v>
      </c>
      <c r="K275" s="18" t="n">
        <f aca="false">'2026 Forecast A'!F229</f>
        <v>1534</v>
      </c>
      <c r="L275" s="40" t="str">
        <f aca="false">IF(OR(AND(D275&gt;0.5,E275&gt;0.5,F275&gt;0.5),AND(D275&lt;0.5,E275&lt;0.5,F275&lt;0.5)),"Yes","No — toss-up")</f>
        <v>Yes</v>
      </c>
    </row>
    <row r="276" customFormat="false" ht="15" hidden="false" customHeight="false" outlineLevel="0" collapsed="false">
      <c r="A276" s="9" t="str">
        <f aca="false">'2026 Forecast A'!A230</f>
        <v>Northampton</v>
      </c>
      <c r="B276" s="9" t="str">
        <f aca="false">'2026 Forecast A'!B230</f>
        <v>BANGOR</v>
      </c>
      <c r="C276" s="9" t="str">
        <f aca="false">'2026 Forecast A'!C230</f>
        <v>BANGOR BORO SOUTH</v>
      </c>
      <c r="D276" s="10" t="n">
        <f aca="false">'2026 Forecast A'!G230</f>
        <v>0.423027989821883</v>
      </c>
      <c r="E276" s="10" t="n">
        <f aca="false">'2026 Forecast B'!G230</f>
        <v>0.416666666666667</v>
      </c>
      <c r="F276" s="10" t="n">
        <f aca="false">'2026 Forecast C'!G230</f>
        <v>0.416666666666667</v>
      </c>
      <c r="G276" s="38" t="n">
        <f aca="false">(MAX(D276:F276)-MIN(D276:F276))*100</f>
        <v>0.636132315521626</v>
      </c>
      <c r="H276" s="39" t="n">
        <f aca="false">'2026 Forecast A'!L230</f>
        <v>1.75369314833214</v>
      </c>
      <c r="I276" s="39" t="n">
        <f aca="false">'2026 Forecast B'!L230</f>
        <v>2.1038293183682</v>
      </c>
      <c r="J276" s="39" t="n">
        <f aca="false">'2026 Forecast C'!L230</f>
        <v>1.909243057213</v>
      </c>
      <c r="K276" s="18" t="n">
        <f aca="false">'2026 Forecast A'!F230</f>
        <v>1572</v>
      </c>
      <c r="L276" s="40" t="str">
        <f aca="false">IF(OR(AND(D276&gt;0.5,E276&gt;0.5,F276&gt;0.5),AND(D276&lt;0.5,E276&lt;0.5,F276&lt;0.5)),"Yes","No — toss-up")</f>
        <v>Yes</v>
      </c>
    </row>
    <row r="277" customFormat="false" ht="15" hidden="false" customHeight="false" outlineLevel="0" collapsed="false">
      <c r="A277" s="9" t="str">
        <f aca="false">'2026 Forecast A'!A231</f>
        <v>Northampton</v>
      </c>
      <c r="B277" s="9" t="str">
        <f aca="false">'2026 Forecast A'!B231</f>
        <v>BATH</v>
      </c>
      <c r="C277" s="9" t="str">
        <f aca="false">'2026 Forecast A'!C231</f>
        <v>BATH BORO</v>
      </c>
      <c r="D277" s="10" t="n">
        <f aca="false">'2026 Forecast A'!G231</f>
        <v>0.46751968503937</v>
      </c>
      <c r="E277" s="10" t="n">
        <f aca="false">'2026 Forecast B'!G231</f>
        <v>0.46751968503937</v>
      </c>
      <c r="F277" s="10" t="n">
        <f aca="false">'2026 Forecast C'!G231</f>
        <v>0.464566929133858</v>
      </c>
      <c r="G277" s="38" t="n">
        <f aca="false">(MAX(D277:F277)-MIN(D277:F277))*100</f>
        <v>0.295275590551181</v>
      </c>
      <c r="H277" s="39" t="n">
        <f aca="false">'2026 Forecast A'!L231</f>
        <v>1.75369314833214</v>
      </c>
      <c r="I277" s="39" t="n">
        <f aca="false">'2026 Forecast B'!L231</f>
        <v>2.1038293183682</v>
      </c>
      <c r="J277" s="39" t="n">
        <f aca="false">'2026 Forecast C'!L231</f>
        <v>1.909243057213</v>
      </c>
      <c r="K277" s="18" t="n">
        <f aca="false">'2026 Forecast A'!F231</f>
        <v>1016</v>
      </c>
      <c r="L277" s="40" t="str">
        <f aca="false">IF(OR(AND(D277&gt;0.5,E277&gt;0.5,F277&gt;0.5),AND(D277&lt;0.5,E277&lt;0.5,F277&lt;0.5)),"Yes","No — toss-up")</f>
        <v>Yes</v>
      </c>
    </row>
    <row r="278" customFormat="false" ht="15" hidden="false" customHeight="false" outlineLevel="0" collapsed="false">
      <c r="A278" s="9" t="str">
        <f aca="false">'2026 Forecast A'!A232</f>
        <v>Northampton</v>
      </c>
      <c r="B278" s="9" t="str">
        <f aca="false">'2026 Forecast A'!B232</f>
        <v>BETHLEHEM</v>
      </c>
      <c r="C278" s="9" t="str">
        <f aca="false">'2026 Forecast A'!C232</f>
        <v>BETHLEHEM 14TH WARD 1ST DISTRICT</v>
      </c>
      <c r="D278" s="10" t="n">
        <f aca="false">'2026 Forecast A'!G232</f>
        <v>0.630192502532928</v>
      </c>
      <c r="E278" s="10" t="n">
        <f aca="false">'2026 Forecast B'!G232</f>
        <v>0.632218844984802</v>
      </c>
      <c r="F278" s="10" t="n">
        <f aca="false">'2026 Forecast C'!G232</f>
        <v>0.642350557244174</v>
      </c>
      <c r="G278" s="38" t="n">
        <f aca="false">(MAX(D278:F278)-MIN(D278:F278))*100</f>
        <v>1.21580547112462</v>
      </c>
      <c r="H278" s="39" t="n">
        <f aca="false">'2026 Forecast A'!L232</f>
        <v>1.75369314833214</v>
      </c>
      <c r="I278" s="39" t="n">
        <f aca="false">'2026 Forecast B'!L232</f>
        <v>2.1038293183682</v>
      </c>
      <c r="J278" s="39" t="n">
        <f aca="false">'2026 Forecast C'!L232</f>
        <v>1.909243057213</v>
      </c>
      <c r="K278" s="18" t="n">
        <f aca="false">'2026 Forecast A'!F232</f>
        <v>987</v>
      </c>
      <c r="L278" s="40" t="str">
        <f aca="false">IF(OR(AND(D278&gt;0.5,E278&gt;0.5,F278&gt;0.5),AND(D278&lt;0.5,E278&lt;0.5,F278&lt;0.5)),"Yes","No — toss-up")</f>
        <v>Yes</v>
      </c>
    </row>
    <row r="279" customFormat="false" ht="15" hidden="false" customHeight="false" outlineLevel="0" collapsed="false">
      <c r="A279" s="9" t="str">
        <f aca="false">'2026 Forecast A'!A233</f>
        <v>Northampton</v>
      </c>
      <c r="B279" s="9" t="str">
        <f aca="false">'2026 Forecast A'!B233</f>
        <v>BETHLEHEM</v>
      </c>
      <c r="C279" s="9" t="str">
        <f aca="false">'2026 Forecast A'!C233</f>
        <v>BETHLEHEM 14TH WARD 2ND DISTRICT</v>
      </c>
      <c r="D279" s="10" t="n">
        <f aca="false">'2026 Forecast A'!G233</f>
        <v>0.600701754385965</v>
      </c>
      <c r="E279" s="10" t="n">
        <f aca="false">'2026 Forecast B'!G233</f>
        <v>0.600701754385965</v>
      </c>
      <c r="F279" s="10" t="n">
        <f aca="false">'2026 Forecast C'!G233</f>
        <v>0.617543859649123</v>
      </c>
      <c r="G279" s="38" t="n">
        <f aca="false">(MAX(D279:F279)-MIN(D279:F279))*100</f>
        <v>1.68421052631579</v>
      </c>
      <c r="H279" s="39" t="n">
        <f aca="false">'2026 Forecast A'!L233</f>
        <v>1.75369314833214</v>
      </c>
      <c r="I279" s="39" t="n">
        <f aca="false">'2026 Forecast B'!L233</f>
        <v>2.1038293183682</v>
      </c>
      <c r="J279" s="39" t="n">
        <f aca="false">'2026 Forecast C'!L233</f>
        <v>1.909243057213</v>
      </c>
      <c r="K279" s="18" t="n">
        <f aca="false">'2026 Forecast A'!F233</f>
        <v>1425</v>
      </c>
      <c r="L279" s="40" t="str">
        <f aca="false">IF(OR(AND(D279&gt;0.5,E279&gt;0.5,F279&gt;0.5),AND(D279&lt;0.5,E279&lt;0.5,F279&lt;0.5)),"Yes","No — toss-up")</f>
        <v>Yes</v>
      </c>
    </row>
    <row r="280" customFormat="false" ht="15" hidden="false" customHeight="false" outlineLevel="0" collapsed="false">
      <c r="A280" s="9" t="str">
        <f aca="false">'2026 Forecast A'!A234</f>
        <v>Northampton</v>
      </c>
      <c r="B280" s="9" t="str">
        <f aca="false">'2026 Forecast A'!B234</f>
        <v>BETHLEHEM</v>
      </c>
      <c r="C280" s="9" t="str">
        <f aca="false">'2026 Forecast A'!C234</f>
        <v>BETHLEHEM 14TH WARD 3RD DISTRICT</v>
      </c>
      <c r="D280" s="10" t="n">
        <f aca="false">'2026 Forecast A'!G234</f>
        <v>0.646137787056368</v>
      </c>
      <c r="E280" s="10" t="n">
        <f aca="false">'2026 Forecast B'!G234</f>
        <v>0.6419624217119</v>
      </c>
      <c r="F280" s="10" t="n">
        <f aca="false">'2026 Forecast C'!G234</f>
        <v>0.656576200417537</v>
      </c>
      <c r="G280" s="38" t="n">
        <f aca="false">(MAX(D280:F280)-MIN(D280:F280))*100</f>
        <v>1.46137787056367</v>
      </c>
      <c r="H280" s="39" t="n">
        <f aca="false">'2026 Forecast A'!L234</f>
        <v>1.75369314833214</v>
      </c>
      <c r="I280" s="39" t="n">
        <f aca="false">'2026 Forecast B'!L234</f>
        <v>2.1038293183682</v>
      </c>
      <c r="J280" s="39" t="n">
        <f aca="false">'2026 Forecast C'!L234</f>
        <v>1.909243057213</v>
      </c>
      <c r="K280" s="18" t="n">
        <f aca="false">'2026 Forecast A'!F234</f>
        <v>958</v>
      </c>
      <c r="L280" s="40" t="str">
        <f aca="false">IF(OR(AND(D280&gt;0.5,E280&gt;0.5,F280&gt;0.5),AND(D280&lt;0.5,E280&lt;0.5,F280&lt;0.5)),"Yes","No — toss-up")</f>
        <v>Yes</v>
      </c>
    </row>
    <row r="281" customFormat="false" ht="15" hidden="false" customHeight="false" outlineLevel="0" collapsed="false">
      <c r="A281" s="9" t="str">
        <f aca="false">'2026 Forecast A'!A235</f>
        <v>Northampton</v>
      </c>
      <c r="B281" s="9" t="str">
        <f aca="false">'2026 Forecast A'!B235</f>
        <v>BETHLEHEM</v>
      </c>
      <c r="C281" s="9" t="str">
        <f aca="false">'2026 Forecast A'!C235</f>
        <v>BETHLEHEM 14TH WARD 4TH DISTRICT</v>
      </c>
      <c r="D281" s="10" t="n">
        <f aca="false">'2026 Forecast A'!G235</f>
        <v>0.637482900136799</v>
      </c>
      <c r="E281" s="10" t="n">
        <f aca="false">'2026 Forecast B'!G235</f>
        <v>0.642954856361149</v>
      </c>
      <c r="F281" s="10" t="n">
        <f aca="false">'2026 Forecast C'!G235</f>
        <v>0.648426812585499</v>
      </c>
      <c r="G281" s="38" t="n">
        <f aca="false">(MAX(D281:F281)-MIN(D281:F281))*100</f>
        <v>1.09439124487004</v>
      </c>
      <c r="H281" s="39" t="n">
        <f aca="false">'2026 Forecast A'!L235</f>
        <v>2.13789583153489</v>
      </c>
      <c r="I281" s="39" t="n">
        <f aca="false">'2026 Forecast B'!L235</f>
        <v>2.24475965619494</v>
      </c>
      <c r="J281" s="39" t="n">
        <f aca="false">'2026 Forecast C'!L235</f>
        <v>2.3915225360787</v>
      </c>
      <c r="K281" s="18" t="n">
        <f aca="false">'2026 Forecast A'!F235</f>
        <v>731</v>
      </c>
      <c r="L281" s="40" t="str">
        <f aca="false">IF(OR(AND(D281&gt;0.5,E281&gt;0.5,F281&gt;0.5),AND(D281&lt;0.5,E281&lt;0.5,F281&lt;0.5)),"Yes","No — toss-up")</f>
        <v>Yes</v>
      </c>
    </row>
    <row r="282" customFormat="false" ht="15" hidden="false" customHeight="false" outlineLevel="0" collapsed="false">
      <c r="A282" s="9" t="str">
        <f aca="false">'2026 Forecast A'!A236</f>
        <v>Northampton</v>
      </c>
      <c r="B282" s="9" t="str">
        <f aca="false">'2026 Forecast A'!B236</f>
        <v>BETHLEHEM</v>
      </c>
      <c r="C282" s="9" t="str">
        <f aca="false">'2026 Forecast A'!C236</f>
        <v>BETHLEHEM 14TH WARD 5TH DISTRICT</v>
      </c>
      <c r="D282" s="10" t="n">
        <f aca="false">'2026 Forecast A'!G236</f>
        <v>0.608341810783316</v>
      </c>
      <c r="E282" s="10" t="n">
        <f aca="false">'2026 Forecast B'!G236</f>
        <v>0.612410986775178</v>
      </c>
      <c r="F282" s="10" t="n">
        <f aca="false">'2026 Forecast C'!G236</f>
        <v>0.61648016276704</v>
      </c>
      <c r="G282" s="38" t="n">
        <f aca="false">(MAX(D282:F282)-MIN(D282:F282))*100</f>
        <v>0.813835198372326</v>
      </c>
      <c r="H282" s="39" t="n">
        <f aca="false">'2026 Forecast A'!L236</f>
        <v>1.75369314833214</v>
      </c>
      <c r="I282" s="39" t="n">
        <f aca="false">'2026 Forecast B'!L236</f>
        <v>2.1038293183682</v>
      </c>
      <c r="J282" s="39" t="n">
        <f aca="false">'2026 Forecast C'!L236</f>
        <v>1.909243057213</v>
      </c>
      <c r="K282" s="18" t="n">
        <f aca="false">'2026 Forecast A'!F236</f>
        <v>983</v>
      </c>
      <c r="L282" s="40" t="str">
        <f aca="false">IF(OR(AND(D282&gt;0.5,E282&gt;0.5,F282&gt;0.5),AND(D282&lt;0.5,E282&lt;0.5,F282&lt;0.5)),"Yes","No — toss-up")</f>
        <v>Yes</v>
      </c>
    </row>
    <row r="283" customFormat="false" ht="15" hidden="false" customHeight="false" outlineLevel="0" collapsed="false">
      <c r="A283" s="9" t="str">
        <f aca="false">'2026 Forecast A'!A237</f>
        <v>Northampton</v>
      </c>
      <c r="B283" s="9" t="str">
        <f aca="false">'2026 Forecast A'!B237</f>
        <v>BETHLEHEM</v>
      </c>
      <c r="C283" s="9" t="str">
        <f aca="false">'2026 Forecast A'!C237</f>
        <v>BETHLEHEM 14TH WARD 6TH DISTRICT</v>
      </c>
      <c r="D283" s="10" t="n">
        <f aca="false">'2026 Forecast A'!G237</f>
        <v>0.62141652613828</v>
      </c>
      <c r="E283" s="10" t="n">
        <f aca="false">'2026 Forecast B'!G237</f>
        <v>0.631534569983137</v>
      </c>
      <c r="F283" s="10" t="n">
        <f aca="false">'2026 Forecast C'!G237</f>
        <v>0.629005059021922</v>
      </c>
      <c r="G283" s="38" t="n">
        <f aca="false">(MAX(D283:F283)-MIN(D283:F283))*100</f>
        <v>1.01180438448567</v>
      </c>
      <c r="H283" s="39" t="n">
        <f aca="false">'2026 Forecast A'!L237</f>
        <v>1.75369314833214</v>
      </c>
      <c r="I283" s="39" t="n">
        <f aca="false">'2026 Forecast B'!L237</f>
        <v>2.1038293183682</v>
      </c>
      <c r="J283" s="39" t="n">
        <f aca="false">'2026 Forecast C'!L237</f>
        <v>1.909243057213</v>
      </c>
      <c r="K283" s="18" t="n">
        <f aca="false">'2026 Forecast A'!F237</f>
        <v>1186</v>
      </c>
      <c r="L283" s="40" t="str">
        <f aca="false">IF(OR(AND(D283&gt;0.5,E283&gt;0.5,F283&gt;0.5),AND(D283&lt;0.5,E283&lt;0.5,F283&lt;0.5)),"Yes","No — toss-up")</f>
        <v>Yes</v>
      </c>
    </row>
    <row r="284" customFormat="false" ht="15" hidden="false" customHeight="false" outlineLevel="0" collapsed="false">
      <c r="A284" s="9" t="str">
        <f aca="false">'2026 Forecast A'!A238</f>
        <v>Northampton</v>
      </c>
      <c r="B284" s="9" t="str">
        <f aca="false">'2026 Forecast A'!B238</f>
        <v>BETHLEHEM</v>
      </c>
      <c r="C284" s="9" t="str">
        <f aca="false">'2026 Forecast A'!C238</f>
        <v>BETHLEHEM 14TH WARD 7TH DISTRICT</v>
      </c>
      <c r="D284" s="10" t="n">
        <f aca="false">'2026 Forecast A'!G238</f>
        <v>0.581094527363184</v>
      </c>
      <c r="E284" s="10" t="n">
        <f aca="false">'2026 Forecast B'!G238</f>
        <v>0.586069651741294</v>
      </c>
      <c r="F284" s="10" t="n">
        <f aca="false">'2026 Forecast C'!G238</f>
        <v>0.593034825870647</v>
      </c>
      <c r="G284" s="38" t="n">
        <f aca="false">(MAX(D284:F284)-MIN(D284:F284))*100</f>
        <v>1.19402985074627</v>
      </c>
      <c r="H284" s="39" t="n">
        <f aca="false">'2026 Forecast A'!L238</f>
        <v>1.75369314833214</v>
      </c>
      <c r="I284" s="39" t="n">
        <f aca="false">'2026 Forecast B'!L238</f>
        <v>2.1038293183682</v>
      </c>
      <c r="J284" s="39" t="n">
        <f aca="false">'2026 Forecast C'!L238</f>
        <v>1.909243057213</v>
      </c>
      <c r="K284" s="18" t="n">
        <f aca="false">'2026 Forecast A'!F238</f>
        <v>1005</v>
      </c>
      <c r="L284" s="40" t="str">
        <f aca="false">IF(OR(AND(D284&gt;0.5,E284&gt;0.5,F284&gt;0.5),AND(D284&lt;0.5,E284&lt;0.5,F284&lt;0.5)),"Yes","No — toss-up")</f>
        <v>Yes</v>
      </c>
    </row>
    <row r="285" customFormat="false" ht="15" hidden="false" customHeight="false" outlineLevel="0" collapsed="false">
      <c r="A285" s="9" t="str">
        <f aca="false">'2026 Forecast A'!A239</f>
        <v>Northampton</v>
      </c>
      <c r="B285" s="9" t="str">
        <f aca="false">'2026 Forecast A'!B239</f>
        <v>BETHLEHEM</v>
      </c>
      <c r="C285" s="9" t="str">
        <f aca="false">'2026 Forecast A'!C239</f>
        <v>BETHLEHEM 14TH WARD 8TH DISTRICT</v>
      </c>
      <c r="D285" s="10" t="n">
        <f aca="false">'2026 Forecast A'!G239</f>
        <v>0.636103151862464</v>
      </c>
      <c r="E285" s="10" t="n">
        <f aca="false">'2026 Forecast B'!G239</f>
        <v>0.637535816618911</v>
      </c>
      <c r="F285" s="10" t="n">
        <f aca="false">'2026 Forecast C'!G239</f>
        <v>0.648997134670487</v>
      </c>
      <c r="G285" s="38" t="n">
        <f aca="false">(MAX(D285:F285)-MIN(D285:F285))*100</f>
        <v>1.2893982808023</v>
      </c>
      <c r="H285" s="39" t="n">
        <f aca="false">'2026 Forecast A'!L239</f>
        <v>2.13789583153489</v>
      </c>
      <c r="I285" s="39" t="n">
        <f aca="false">'2026 Forecast B'!L239</f>
        <v>2.24475965619494</v>
      </c>
      <c r="J285" s="39" t="n">
        <f aca="false">'2026 Forecast C'!L239</f>
        <v>2.3915225360787</v>
      </c>
      <c r="K285" s="18" t="n">
        <f aca="false">'2026 Forecast A'!F239</f>
        <v>698</v>
      </c>
      <c r="L285" s="40" t="str">
        <f aca="false">IF(OR(AND(D285&gt;0.5,E285&gt;0.5,F285&gt;0.5),AND(D285&lt;0.5,E285&lt;0.5,F285&lt;0.5)),"Yes","No — toss-up")</f>
        <v>Yes</v>
      </c>
    </row>
    <row r="286" customFormat="false" ht="15" hidden="false" customHeight="false" outlineLevel="0" collapsed="false">
      <c r="A286" s="9" t="str">
        <f aca="false">'2026 Forecast A'!A240</f>
        <v>Northampton</v>
      </c>
      <c r="B286" s="9" t="str">
        <f aca="false">'2026 Forecast A'!B240</f>
        <v>BETHLEHEM</v>
      </c>
      <c r="C286" s="9" t="str">
        <f aca="false">'2026 Forecast A'!C240</f>
        <v>BETHLEHEM 15TH WARD 1ST DISTRICT</v>
      </c>
      <c r="D286" s="10" t="n">
        <f aca="false">'2026 Forecast A'!G240</f>
        <v>0.660486674391657</v>
      </c>
      <c r="E286" s="10" t="n">
        <f aca="false">'2026 Forecast B'!G240</f>
        <v>0.661645422943221</v>
      </c>
      <c r="F286" s="10" t="n">
        <f aca="false">'2026 Forecast C'!G240</f>
        <v>0.6720741599073</v>
      </c>
      <c r="G286" s="38" t="n">
        <f aca="false">(MAX(D286:F286)-MIN(D286:F286))*100</f>
        <v>1.15874855156431</v>
      </c>
      <c r="H286" s="39" t="n">
        <f aca="false">'2026 Forecast A'!L240</f>
        <v>2.13789583153489</v>
      </c>
      <c r="I286" s="39" t="n">
        <f aca="false">'2026 Forecast B'!L240</f>
        <v>2.24475965619494</v>
      </c>
      <c r="J286" s="39" t="n">
        <f aca="false">'2026 Forecast C'!L240</f>
        <v>2.3915225360787</v>
      </c>
      <c r="K286" s="18" t="n">
        <f aca="false">'2026 Forecast A'!F240</f>
        <v>863</v>
      </c>
      <c r="L286" s="40" t="str">
        <f aca="false">IF(OR(AND(D286&gt;0.5,E286&gt;0.5,F286&gt;0.5),AND(D286&lt;0.5,E286&lt;0.5,F286&lt;0.5)),"Yes","No — toss-up")</f>
        <v>Yes</v>
      </c>
    </row>
    <row r="287" customFormat="false" ht="15" hidden="false" customHeight="false" outlineLevel="0" collapsed="false">
      <c r="A287" s="9" t="str">
        <f aca="false">'2026 Forecast A'!A241</f>
        <v>Northampton</v>
      </c>
      <c r="B287" s="9" t="str">
        <f aca="false">'2026 Forecast A'!B241</f>
        <v>BETHLEHEM</v>
      </c>
      <c r="C287" s="9" t="str">
        <f aca="false">'2026 Forecast A'!C241</f>
        <v>BETHLEHEM 15TH WARD 2ND DISTRICT</v>
      </c>
      <c r="D287" s="10" t="n">
        <f aca="false">'2026 Forecast A'!G241</f>
        <v>0.615384615384615</v>
      </c>
      <c r="E287" s="10" t="n">
        <f aca="false">'2026 Forecast B'!G241</f>
        <v>0.626878868258179</v>
      </c>
      <c r="F287" s="10" t="n">
        <f aca="false">'2026 Forecast C'!G241</f>
        <v>0.623342175066313</v>
      </c>
      <c r="G287" s="38" t="n">
        <f aca="false">(MAX(D287:F287)-MIN(D287:F287))*100</f>
        <v>1.14942528735632</v>
      </c>
      <c r="H287" s="39" t="n">
        <f aca="false">'2026 Forecast A'!L241</f>
        <v>1.75369314833214</v>
      </c>
      <c r="I287" s="39" t="n">
        <f aca="false">'2026 Forecast B'!L241</f>
        <v>2.1038293183682</v>
      </c>
      <c r="J287" s="39" t="n">
        <f aca="false">'2026 Forecast C'!L241</f>
        <v>1.909243057213</v>
      </c>
      <c r="K287" s="18" t="n">
        <f aca="false">'2026 Forecast A'!F241</f>
        <v>1131</v>
      </c>
      <c r="L287" s="40" t="str">
        <f aca="false">IF(OR(AND(D287&gt;0.5,E287&gt;0.5,F287&gt;0.5),AND(D287&lt;0.5,E287&lt;0.5,F287&lt;0.5)),"Yes","No — toss-up")</f>
        <v>Yes</v>
      </c>
    </row>
    <row r="288" customFormat="false" ht="15" hidden="false" customHeight="false" outlineLevel="0" collapsed="false">
      <c r="A288" s="9" t="str">
        <f aca="false">'2026 Forecast A'!A242</f>
        <v>Northampton</v>
      </c>
      <c r="B288" s="9" t="str">
        <f aca="false">'2026 Forecast A'!B242</f>
        <v>BETHLEHEM</v>
      </c>
      <c r="C288" s="9" t="str">
        <f aca="false">'2026 Forecast A'!C242</f>
        <v>BETHLEHEM 15TH WARD 3RD DISTRICT</v>
      </c>
      <c r="D288" s="10" t="n">
        <f aca="false">'2026 Forecast A'!G242</f>
        <v>0.686486486486487</v>
      </c>
      <c r="E288" s="10" t="n">
        <f aca="false">'2026 Forecast B'!G242</f>
        <v>0.681081081081081</v>
      </c>
      <c r="F288" s="10" t="n">
        <f aca="false">'2026 Forecast C'!G242</f>
        <v>0.697297297297297</v>
      </c>
      <c r="G288" s="38" t="n">
        <f aca="false">(MAX(D288:F288)-MIN(D288:F288))*100</f>
        <v>1.62162162162162</v>
      </c>
      <c r="H288" s="39" t="n">
        <f aca="false">'2026 Forecast A'!L242</f>
        <v>2.13789583153489</v>
      </c>
      <c r="I288" s="39" t="n">
        <f aca="false">'2026 Forecast B'!L242</f>
        <v>2.24475965619494</v>
      </c>
      <c r="J288" s="39" t="n">
        <f aca="false">'2026 Forecast C'!L242</f>
        <v>2.3915225360787</v>
      </c>
      <c r="K288" s="18" t="n">
        <f aca="false">'2026 Forecast A'!F242</f>
        <v>740</v>
      </c>
      <c r="L288" s="40" t="str">
        <f aca="false">IF(OR(AND(D288&gt;0.5,E288&gt;0.5,F288&gt;0.5),AND(D288&lt;0.5,E288&lt;0.5,F288&lt;0.5)),"Yes","No — toss-up")</f>
        <v>Yes</v>
      </c>
    </row>
    <row r="289" customFormat="false" ht="15" hidden="false" customHeight="false" outlineLevel="0" collapsed="false">
      <c r="A289" s="9" t="str">
        <f aca="false">'2026 Forecast A'!A243</f>
        <v>Northampton</v>
      </c>
      <c r="B289" s="9" t="str">
        <f aca="false">'2026 Forecast A'!B243</f>
        <v>BETHLEHEM</v>
      </c>
      <c r="C289" s="9" t="str">
        <f aca="false">'2026 Forecast A'!C243</f>
        <v>BETHLEHEM 16TH WARD</v>
      </c>
      <c r="D289" s="10" t="n">
        <f aca="false">'2026 Forecast A'!G243</f>
        <v>0.622273249138921</v>
      </c>
      <c r="E289" s="10" t="n">
        <f aca="false">'2026 Forecast B'!G243</f>
        <v>0.625717566016074</v>
      </c>
      <c r="F289" s="10" t="n">
        <f aca="false">'2026 Forecast C'!G243</f>
        <v>0.634902411021814</v>
      </c>
      <c r="G289" s="38" t="n">
        <f aca="false">(MAX(D289:F289)-MIN(D289:F289))*100</f>
        <v>1.26291618828932</v>
      </c>
      <c r="H289" s="39" t="n">
        <f aca="false">'2026 Forecast A'!L243</f>
        <v>2.13789583153489</v>
      </c>
      <c r="I289" s="39" t="n">
        <f aca="false">'2026 Forecast B'!L243</f>
        <v>2.24475965619494</v>
      </c>
      <c r="J289" s="39" t="n">
        <f aca="false">'2026 Forecast C'!L243</f>
        <v>2.3915225360787</v>
      </c>
      <c r="K289" s="18" t="n">
        <f aca="false">'2026 Forecast A'!F243</f>
        <v>871</v>
      </c>
      <c r="L289" s="40" t="str">
        <f aca="false">IF(OR(AND(D289&gt;0.5,E289&gt;0.5,F289&gt;0.5),AND(D289&lt;0.5,E289&lt;0.5,F289&lt;0.5)),"Yes","No — toss-up")</f>
        <v>Yes</v>
      </c>
    </row>
    <row r="290" customFormat="false" ht="15" hidden="false" customHeight="false" outlineLevel="0" collapsed="false">
      <c r="A290" s="9" t="str">
        <f aca="false">'2026 Forecast A'!A244</f>
        <v>Northampton</v>
      </c>
      <c r="B290" s="9" t="str">
        <f aca="false">'2026 Forecast A'!B244</f>
        <v>BETHLEHEM</v>
      </c>
      <c r="C290" s="9" t="str">
        <f aca="false">'2026 Forecast A'!C244</f>
        <v>BETHLEHEM 17TH WARD</v>
      </c>
      <c r="D290" s="10" t="n">
        <f aca="false">'2026 Forecast A'!G244</f>
        <v>0.711627906976744</v>
      </c>
      <c r="E290" s="10" t="n">
        <f aca="false">'2026 Forecast B'!G244</f>
        <v>0.711627906976744</v>
      </c>
      <c r="F290" s="10" t="n">
        <f aca="false">'2026 Forecast C'!G244</f>
        <v>0.725581395348837</v>
      </c>
      <c r="G290" s="38" t="n">
        <f aca="false">(MAX(D290:F290)-MIN(D290:F290))*100</f>
        <v>1.39534883720931</v>
      </c>
      <c r="H290" s="39" t="n">
        <f aca="false">'2026 Forecast A'!L244</f>
        <v>3.43333352273176</v>
      </c>
      <c r="I290" s="39" t="n">
        <f aca="false">'2026 Forecast B'!L244</f>
        <v>3.21167747490571</v>
      </c>
      <c r="J290" s="39" t="n">
        <f aca="false">'2026 Forecast C'!L244</f>
        <v>3.72283676191068</v>
      </c>
      <c r="K290" s="18" t="n">
        <f aca="false">'2026 Forecast A'!F244</f>
        <v>215</v>
      </c>
      <c r="L290" s="40" t="str">
        <f aca="false">IF(OR(AND(D290&gt;0.5,E290&gt;0.5,F290&gt;0.5),AND(D290&lt;0.5,E290&lt;0.5,F290&lt;0.5)),"Yes","No — toss-up")</f>
        <v>Yes</v>
      </c>
    </row>
    <row r="291" customFormat="false" ht="15" hidden="false" customHeight="false" outlineLevel="0" collapsed="false">
      <c r="A291" s="9" t="str">
        <f aca="false">'2026 Forecast A'!A245</f>
        <v>Northampton</v>
      </c>
      <c r="B291" s="9" t="str">
        <f aca="false">'2026 Forecast A'!B245</f>
        <v>BETHLEHEM</v>
      </c>
      <c r="C291" s="9" t="str">
        <f aca="false">'2026 Forecast A'!C245</f>
        <v>BETHLEHEM 1ST WARD - NORTHERN</v>
      </c>
      <c r="D291" s="10" t="n">
        <f aca="false">'2026 Forecast A'!G245</f>
        <v>0.723356009070295</v>
      </c>
      <c r="E291" s="10" t="n">
        <f aca="false">'2026 Forecast B'!G245</f>
        <v>0.71655328798186</v>
      </c>
      <c r="F291" s="10" t="n">
        <f aca="false">'2026 Forecast C'!G245</f>
        <v>0.736961451247166</v>
      </c>
      <c r="G291" s="38" t="n">
        <f aca="false">(MAX(D291:F291)-MIN(D291:F291))*100</f>
        <v>2.0408163265306</v>
      </c>
      <c r="H291" s="39" t="n">
        <f aca="false">'2026 Forecast A'!L245</f>
        <v>3.43333352273176</v>
      </c>
      <c r="I291" s="39" t="n">
        <f aca="false">'2026 Forecast B'!L245</f>
        <v>3.21167747490571</v>
      </c>
      <c r="J291" s="39" t="n">
        <f aca="false">'2026 Forecast C'!L245</f>
        <v>3.72283676191068</v>
      </c>
      <c r="K291" s="18" t="n">
        <f aca="false">'2026 Forecast A'!F245</f>
        <v>441</v>
      </c>
      <c r="L291" s="40" t="str">
        <f aca="false">IF(OR(AND(D291&gt;0.5,E291&gt;0.5,F291&gt;0.5),AND(D291&lt;0.5,E291&lt;0.5,F291&lt;0.5)),"Yes","No — toss-up")</f>
        <v>Yes</v>
      </c>
    </row>
    <row r="292" customFormat="false" ht="15" hidden="false" customHeight="false" outlineLevel="0" collapsed="false">
      <c r="A292" s="9" t="str">
        <f aca="false">'2026 Forecast A'!A246</f>
        <v>Northampton</v>
      </c>
      <c r="B292" s="9" t="str">
        <f aca="false">'2026 Forecast A'!B246</f>
        <v>BETHLEHEM</v>
      </c>
      <c r="C292" s="9" t="str">
        <f aca="false">'2026 Forecast A'!C246</f>
        <v>BETHLEHEM 1ST WARD - SOUTHERN</v>
      </c>
      <c r="D292" s="10" t="n">
        <f aca="false">'2026 Forecast A'!G246</f>
        <v>0.722826086956522</v>
      </c>
      <c r="E292" s="10" t="n">
        <f aca="false">'2026 Forecast B'!G246</f>
        <v>0.720108695652174</v>
      </c>
      <c r="F292" s="10" t="n">
        <f aca="false">'2026 Forecast C'!G246</f>
        <v>0.736413043478261</v>
      </c>
      <c r="G292" s="38" t="n">
        <f aca="false">(MAX(D292:F292)-MIN(D292:F292))*100</f>
        <v>1.63043478260869</v>
      </c>
      <c r="H292" s="39" t="n">
        <f aca="false">'2026 Forecast A'!L246</f>
        <v>3.43333352273176</v>
      </c>
      <c r="I292" s="39" t="n">
        <f aca="false">'2026 Forecast B'!L246</f>
        <v>3.21167747490571</v>
      </c>
      <c r="J292" s="39" t="n">
        <f aca="false">'2026 Forecast C'!L246</f>
        <v>3.72283676191068</v>
      </c>
      <c r="K292" s="18" t="n">
        <f aca="false">'2026 Forecast A'!F246</f>
        <v>368</v>
      </c>
      <c r="L292" s="40" t="str">
        <f aca="false">IF(OR(AND(D292&gt;0.5,E292&gt;0.5,F292&gt;0.5),AND(D292&lt;0.5,E292&lt;0.5,F292&lt;0.5)),"Yes","No — toss-up")</f>
        <v>Yes</v>
      </c>
    </row>
    <row r="293" customFormat="false" ht="15" hidden="false" customHeight="false" outlineLevel="0" collapsed="false">
      <c r="A293" s="9" t="str">
        <f aca="false">'2026 Forecast A'!A247</f>
        <v>Northampton</v>
      </c>
      <c r="B293" s="9" t="str">
        <f aca="false">'2026 Forecast A'!B247</f>
        <v>BETHLEHEM</v>
      </c>
      <c r="C293" s="9" t="str">
        <f aca="false">'2026 Forecast A'!C247</f>
        <v>BETHLEHEM 2ND WARD</v>
      </c>
      <c r="D293" s="10" t="n">
        <f aca="false">'2026 Forecast A'!G247</f>
        <v>0.751054852320675</v>
      </c>
      <c r="E293" s="10" t="n">
        <f aca="false">'2026 Forecast B'!G247</f>
        <v>0.734177215189873</v>
      </c>
      <c r="F293" s="10" t="n">
        <f aca="false">'2026 Forecast C'!G247</f>
        <v>0.761603375527426</v>
      </c>
      <c r="G293" s="38" t="n">
        <f aca="false">(MAX(D293:F293)-MIN(D293:F293))*100</f>
        <v>2.74261603375527</v>
      </c>
      <c r="H293" s="39" t="n">
        <f aca="false">'2026 Forecast A'!L247</f>
        <v>3.43333352273176</v>
      </c>
      <c r="I293" s="39" t="n">
        <f aca="false">'2026 Forecast B'!L247</f>
        <v>3.21167747490571</v>
      </c>
      <c r="J293" s="39" t="n">
        <f aca="false">'2026 Forecast C'!L247</f>
        <v>3.72283676191068</v>
      </c>
      <c r="K293" s="18" t="n">
        <f aca="false">'2026 Forecast A'!F247</f>
        <v>474</v>
      </c>
      <c r="L293" s="40" t="str">
        <f aca="false">IF(OR(AND(D293&gt;0.5,E293&gt;0.5,F293&gt;0.5),AND(D293&lt;0.5,E293&lt;0.5,F293&lt;0.5)),"Yes","No — toss-up")</f>
        <v>Yes</v>
      </c>
    </row>
    <row r="294" customFormat="false" ht="15" hidden="false" customHeight="false" outlineLevel="0" collapsed="false">
      <c r="A294" s="9" t="str">
        <f aca="false">'2026 Forecast A'!A248</f>
        <v>Northampton</v>
      </c>
      <c r="B294" s="9" t="str">
        <f aca="false">'2026 Forecast A'!B248</f>
        <v>BETHLEHEM</v>
      </c>
      <c r="C294" s="9" t="str">
        <f aca="false">'2026 Forecast A'!C248</f>
        <v>BETHLEHEM 3RD WARD</v>
      </c>
      <c r="D294" s="10" t="n">
        <f aca="false">'2026 Forecast A'!G248</f>
        <v>0.801435406698565</v>
      </c>
      <c r="E294" s="10" t="n">
        <f aca="false">'2026 Forecast B'!G248</f>
        <v>0.773923444976077</v>
      </c>
      <c r="F294" s="10" t="n">
        <f aca="false">'2026 Forecast C'!G248</f>
        <v>0.807416267942584</v>
      </c>
      <c r="G294" s="38" t="n">
        <f aca="false">(MAX(D294:F294)-MIN(D294:F294))*100</f>
        <v>3.34928229665071</v>
      </c>
      <c r="H294" s="39" t="n">
        <f aca="false">'2026 Forecast A'!L248</f>
        <v>2.13789583153489</v>
      </c>
      <c r="I294" s="39" t="n">
        <f aca="false">'2026 Forecast B'!L248</f>
        <v>2.24475965619494</v>
      </c>
      <c r="J294" s="39" t="n">
        <f aca="false">'2026 Forecast C'!L248</f>
        <v>2.3915225360787</v>
      </c>
      <c r="K294" s="18" t="n">
        <f aca="false">'2026 Forecast A'!F248</f>
        <v>836</v>
      </c>
      <c r="L294" s="40" t="str">
        <f aca="false">IF(OR(AND(D294&gt;0.5,E294&gt;0.5,F294&gt;0.5),AND(D294&lt;0.5,E294&lt;0.5,F294&lt;0.5)),"Yes","No — toss-up")</f>
        <v>Yes</v>
      </c>
    </row>
    <row r="295" customFormat="false" ht="15" hidden="false" customHeight="false" outlineLevel="0" collapsed="false">
      <c r="A295" s="9" t="str">
        <f aca="false">'2026 Forecast A'!A249</f>
        <v>Northampton</v>
      </c>
      <c r="B295" s="9" t="str">
        <f aca="false">'2026 Forecast A'!B249</f>
        <v>BETHLEHEM</v>
      </c>
      <c r="C295" s="9" t="str">
        <f aca="false">'2026 Forecast A'!C249</f>
        <v>BETHLEHEM 4TH WARD</v>
      </c>
      <c r="D295" s="10" t="n">
        <f aca="false">'2026 Forecast A'!G249</f>
        <v>0.736220472440945</v>
      </c>
      <c r="E295" s="10" t="n">
        <f aca="false">'2026 Forecast B'!G249</f>
        <v>0.730314960629921</v>
      </c>
      <c r="F295" s="10" t="n">
        <f aca="false">'2026 Forecast C'!G249</f>
        <v>0.746062992125984</v>
      </c>
      <c r="G295" s="38" t="n">
        <f aca="false">(MAX(D295:F295)-MIN(D295:F295))*100</f>
        <v>1.5748031496063</v>
      </c>
      <c r="H295" s="39" t="n">
        <f aca="false">'2026 Forecast A'!L249</f>
        <v>3.43333352273176</v>
      </c>
      <c r="I295" s="39" t="n">
        <f aca="false">'2026 Forecast B'!L249</f>
        <v>3.21167747490571</v>
      </c>
      <c r="J295" s="39" t="n">
        <f aca="false">'2026 Forecast C'!L249</f>
        <v>3.72283676191068</v>
      </c>
      <c r="K295" s="18" t="n">
        <f aca="false">'2026 Forecast A'!F249</f>
        <v>508</v>
      </c>
      <c r="L295" s="40" t="str">
        <f aca="false">IF(OR(AND(D295&gt;0.5,E295&gt;0.5,F295&gt;0.5),AND(D295&lt;0.5,E295&lt;0.5,F295&lt;0.5)),"Yes","No — toss-up")</f>
        <v>Yes</v>
      </c>
    </row>
    <row r="296" customFormat="false" ht="15" hidden="false" customHeight="false" outlineLevel="0" collapsed="false">
      <c r="A296" s="9" t="str">
        <f aca="false">'2026 Forecast A'!A250</f>
        <v>Northampton</v>
      </c>
      <c r="B296" s="9" t="str">
        <f aca="false">'2026 Forecast A'!B250</f>
        <v>BETHLEHEM</v>
      </c>
      <c r="C296" s="9" t="str">
        <f aca="false">'2026 Forecast A'!C250</f>
        <v>BETHLEHEM 5TH WARD</v>
      </c>
      <c r="D296" s="10" t="n">
        <f aca="false">'2026 Forecast A'!G250</f>
        <v>0.713426853707415</v>
      </c>
      <c r="E296" s="10" t="n">
        <f aca="false">'2026 Forecast B'!G250</f>
        <v>0.711422845691383</v>
      </c>
      <c r="F296" s="10" t="n">
        <f aca="false">'2026 Forecast C'!G250</f>
        <v>0.725450901803607</v>
      </c>
      <c r="G296" s="38" t="n">
        <f aca="false">(MAX(D296:F296)-MIN(D296:F296))*100</f>
        <v>1.40280561122244</v>
      </c>
      <c r="H296" s="39" t="n">
        <f aca="false">'2026 Forecast A'!L250</f>
        <v>3.43333352273176</v>
      </c>
      <c r="I296" s="39" t="n">
        <f aca="false">'2026 Forecast B'!L250</f>
        <v>3.21167747490571</v>
      </c>
      <c r="J296" s="39" t="n">
        <f aca="false">'2026 Forecast C'!L250</f>
        <v>3.72283676191068</v>
      </c>
      <c r="K296" s="18" t="n">
        <f aca="false">'2026 Forecast A'!F250</f>
        <v>499</v>
      </c>
      <c r="L296" s="40" t="str">
        <f aca="false">IF(OR(AND(D296&gt;0.5,E296&gt;0.5,F296&gt;0.5),AND(D296&lt;0.5,E296&lt;0.5,F296&lt;0.5)),"Yes","No — toss-up")</f>
        <v>Yes</v>
      </c>
    </row>
    <row r="297" customFormat="false" ht="15" hidden="false" customHeight="false" outlineLevel="0" collapsed="false">
      <c r="A297" s="9" t="str">
        <f aca="false">'2026 Forecast A'!A251</f>
        <v>Northampton</v>
      </c>
      <c r="B297" s="9" t="str">
        <f aca="false">'2026 Forecast A'!B251</f>
        <v>BETHLEHEM</v>
      </c>
      <c r="C297" s="9" t="str">
        <f aca="false">'2026 Forecast A'!C251</f>
        <v>BETHLEHEM 6TH WARD</v>
      </c>
      <c r="D297" s="10" t="n">
        <f aca="false">'2026 Forecast A'!G251</f>
        <v>0.735955056179775</v>
      </c>
      <c r="E297" s="10" t="n">
        <f aca="false">'2026 Forecast B'!G251</f>
        <v>0.719101123595506</v>
      </c>
      <c r="F297" s="10" t="n">
        <f aca="false">'2026 Forecast C'!G251</f>
        <v>0.750936329588015</v>
      </c>
      <c r="G297" s="38" t="n">
        <f aca="false">(MAX(D297:F297)-MIN(D297:F297))*100</f>
        <v>3.18352059925093</v>
      </c>
      <c r="H297" s="39" t="n">
        <f aca="false">'2026 Forecast A'!L251</f>
        <v>3.43333352273176</v>
      </c>
      <c r="I297" s="39" t="n">
        <f aca="false">'2026 Forecast B'!L251</f>
        <v>3.21167747490571</v>
      </c>
      <c r="J297" s="39" t="n">
        <f aca="false">'2026 Forecast C'!L251</f>
        <v>3.72283676191068</v>
      </c>
      <c r="K297" s="18" t="n">
        <f aca="false">'2026 Forecast A'!F251</f>
        <v>534</v>
      </c>
      <c r="L297" s="40" t="str">
        <f aca="false">IF(OR(AND(D297&gt;0.5,E297&gt;0.5,F297&gt;0.5),AND(D297&lt;0.5,E297&lt;0.5,F297&lt;0.5)),"Yes","No — toss-up")</f>
        <v>Yes</v>
      </c>
    </row>
    <row r="298" customFormat="false" ht="15" hidden="false" customHeight="false" outlineLevel="0" collapsed="false">
      <c r="A298" s="9" t="str">
        <f aca="false">'2026 Forecast A'!A252</f>
        <v>Northampton</v>
      </c>
      <c r="B298" s="9" t="str">
        <f aca="false">'2026 Forecast A'!B252</f>
        <v>BETHLEHEM</v>
      </c>
      <c r="C298" s="9" t="str">
        <f aca="false">'2026 Forecast A'!C252</f>
        <v>BETHLEHEM 7TH WARD</v>
      </c>
      <c r="D298" s="10" t="n">
        <f aca="false">'2026 Forecast A'!G252</f>
        <v>0.711779448621554</v>
      </c>
      <c r="E298" s="10" t="n">
        <f aca="false">'2026 Forecast B'!G252</f>
        <v>0.710526315789474</v>
      </c>
      <c r="F298" s="10" t="n">
        <f aca="false">'2026 Forecast C'!G252</f>
        <v>0.723057644110276</v>
      </c>
      <c r="G298" s="38" t="n">
        <f aca="false">(MAX(D298:F298)-MIN(D298:F298))*100</f>
        <v>1.25313283208021</v>
      </c>
      <c r="H298" s="39" t="n">
        <f aca="false">'2026 Forecast A'!L252</f>
        <v>2.13789583153489</v>
      </c>
      <c r="I298" s="39" t="n">
        <f aca="false">'2026 Forecast B'!L252</f>
        <v>2.24475965619494</v>
      </c>
      <c r="J298" s="39" t="n">
        <f aca="false">'2026 Forecast C'!L252</f>
        <v>2.3915225360787</v>
      </c>
      <c r="K298" s="18" t="n">
        <f aca="false">'2026 Forecast A'!F252</f>
        <v>798</v>
      </c>
      <c r="L298" s="40" t="str">
        <f aca="false">IF(OR(AND(D298&gt;0.5,E298&gt;0.5,F298&gt;0.5),AND(D298&lt;0.5,E298&lt;0.5,F298&lt;0.5)),"Yes","No — toss-up")</f>
        <v>Yes</v>
      </c>
    </row>
    <row r="299" customFormat="false" ht="15" hidden="false" customHeight="false" outlineLevel="0" collapsed="false">
      <c r="A299" s="9" t="str">
        <f aca="false">'2026 Forecast A'!A253</f>
        <v>Northampton</v>
      </c>
      <c r="B299" s="9" t="str">
        <f aca="false">'2026 Forecast A'!B253</f>
        <v>BETHLEHEM</v>
      </c>
      <c r="C299" s="9" t="str">
        <f aca="false">'2026 Forecast A'!C253</f>
        <v>BETHLEHEM 8TH WARD</v>
      </c>
      <c r="D299" s="10" t="n">
        <f aca="false">'2026 Forecast A'!G253</f>
        <v>0.675953079178886</v>
      </c>
      <c r="E299" s="10" t="n">
        <f aca="false">'2026 Forecast B'!G253</f>
        <v>0.678885630498534</v>
      </c>
      <c r="F299" s="10" t="n">
        <f aca="false">'2026 Forecast C'!G253</f>
        <v>0.686217008797654</v>
      </c>
      <c r="G299" s="38" t="n">
        <f aca="false">(MAX(D299:F299)-MIN(D299:F299))*100</f>
        <v>1.02639296187683</v>
      </c>
      <c r="H299" s="39" t="n">
        <f aca="false">'2026 Forecast A'!L253</f>
        <v>2.13789583153489</v>
      </c>
      <c r="I299" s="39" t="n">
        <f aca="false">'2026 Forecast B'!L253</f>
        <v>2.24475965619494</v>
      </c>
      <c r="J299" s="39" t="n">
        <f aca="false">'2026 Forecast C'!L253</f>
        <v>2.3915225360787</v>
      </c>
      <c r="K299" s="18" t="n">
        <f aca="false">'2026 Forecast A'!F253</f>
        <v>682</v>
      </c>
      <c r="L299" s="40" t="str">
        <f aca="false">IF(OR(AND(D299&gt;0.5,E299&gt;0.5,F299&gt;0.5),AND(D299&lt;0.5,E299&lt;0.5,F299&lt;0.5)),"Yes","No — toss-up")</f>
        <v>Yes</v>
      </c>
    </row>
    <row r="300" customFormat="false" ht="15" hidden="false" customHeight="false" outlineLevel="0" collapsed="false">
      <c r="A300" s="9" t="str">
        <f aca="false">'2026 Forecast A'!A254</f>
        <v>Northampton</v>
      </c>
      <c r="B300" s="9" t="str">
        <f aca="false">'2026 Forecast A'!B254</f>
        <v>BETHLEHEM</v>
      </c>
      <c r="C300" s="9" t="str">
        <f aca="false">'2026 Forecast A'!C254</f>
        <v>BETHLEHEM 9TH WARD EAST</v>
      </c>
      <c r="D300" s="10" t="n">
        <f aca="false">'2026 Forecast A'!G254</f>
        <v>0.678980891719745</v>
      </c>
      <c r="E300" s="10" t="n">
        <f aca="false">'2026 Forecast B'!G254</f>
        <v>0.678980891719745</v>
      </c>
      <c r="F300" s="10" t="n">
        <f aca="false">'2026 Forecast C'!G254</f>
        <v>0.689171974522293</v>
      </c>
      <c r="G300" s="38" t="n">
        <f aca="false">(MAX(D300:F300)-MIN(D300:F300))*100</f>
        <v>1.01910828025478</v>
      </c>
      <c r="H300" s="39" t="n">
        <f aca="false">'2026 Forecast A'!L254</f>
        <v>2.13789583153489</v>
      </c>
      <c r="I300" s="39" t="n">
        <f aca="false">'2026 Forecast B'!L254</f>
        <v>2.24475965619494</v>
      </c>
      <c r="J300" s="39" t="n">
        <f aca="false">'2026 Forecast C'!L254</f>
        <v>2.3915225360787</v>
      </c>
      <c r="K300" s="18" t="n">
        <f aca="false">'2026 Forecast A'!F254</f>
        <v>785</v>
      </c>
      <c r="L300" s="40" t="str">
        <f aca="false">IF(OR(AND(D300&gt;0.5,E300&gt;0.5,F300&gt;0.5),AND(D300&lt;0.5,E300&lt;0.5,F300&lt;0.5)),"Yes","No — toss-up")</f>
        <v>Yes</v>
      </c>
    </row>
    <row r="301" customFormat="false" ht="15" hidden="false" customHeight="false" outlineLevel="0" collapsed="false">
      <c r="A301" s="9" t="str">
        <f aca="false">'2026 Forecast A'!A255</f>
        <v>Northampton</v>
      </c>
      <c r="B301" s="9" t="str">
        <f aca="false">'2026 Forecast A'!B255</f>
        <v>BETHLEHEM</v>
      </c>
      <c r="C301" s="9" t="str">
        <f aca="false">'2026 Forecast A'!C255</f>
        <v>BETHLEHEM 9TH WARD WEST</v>
      </c>
      <c r="D301" s="10" t="n">
        <f aca="false">'2026 Forecast A'!G255</f>
        <v>0.656862745098039</v>
      </c>
      <c r="E301" s="10" t="n">
        <f aca="false">'2026 Forecast B'!G255</f>
        <v>0.656162464985994</v>
      </c>
      <c r="F301" s="10" t="n">
        <f aca="false">'2026 Forecast C'!G255</f>
        <v>0.666666666666667</v>
      </c>
      <c r="G301" s="38" t="n">
        <f aca="false">(MAX(D301:F301)-MIN(D301:F301))*100</f>
        <v>1.05042016806722</v>
      </c>
      <c r="H301" s="39" t="n">
        <f aca="false">'2026 Forecast A'!L255</f>
        <v>1.75369314833214</v>
      </c>
      <c r="I301" s="39" t="n">
        <f aca="false">'2026 Forecast B'!L255</f>
        <v>2.1038293183682</v>
      </c>
      <c r="J301" s="39" t="n">
        <f aca="false">'2026 Forecast C'!L255</f>
        <v>1.909243057213</v>
      </c>
      <c r="K301" s="18" t="n">
        <f aca="false">'2026 Forecast A'!F255</f>
        <v>1428</v>
      </c>
      <c r="L301" s="40" t="str">
        <f aca="false">IF(OR(AND(D301&gt;0.5,E301&gt;0.5,F301&gt;0.5),AND(D301&lt;0.5,E301&lt;0.5,F301&lt;0.5)),"Yes","No — toss-up")</f>
        <v>Yes</v>
      </c>
    </row>
    <row r="302" customFormat="false" ht="15" hidden="false" customHeight="false" outlineLevel="0" collapsed="false">
      <c r="A302" s="9" t="str">
        <f aca="false">'2026 Forecast A'!A256</f>
        <v>Northampton</v>
      </c>
      <c r="B302" s="9" t="str">
        <f aca="false">'2026 Forecast A'!B256</f>
        <v>BETHLEHEM TOWNSHIP</v>
      </c>
      <c r="C302" s="9" t="str">
        <f aca="false">'2026 Forecast A'!C256</f>
        <v>BETHLEHEM TWSP 1ST WARD 1ST DISTRICT</v>
      </c>
      <c r="D302" s="10" t="n">
        <f aca="false">'2026 Forecast A'!G256</f>
        <v>0.534075104311544</v>
      </c>
      <c r="E302" s="10" t="n">
        <f aca="false">'2026 Forecast B'!G256</f>
        <v>0.535465924895688</v>
      </c>
      <c r="F302" s="10" t="n">
        <f aca="false">'2026 Forecast C'!G256</f>
        <v>0.542420027816412</v>
      </c>
      <c r="G302" s="38" t="n">
        <f aca="false">(MAX(D302:F302)-MIN(D302:F302))*100</f>
        <v>0.834492350486782</v>
      </c>
      <c r="H302" s="39" t="n">
        <f aca="false">'2026 Forecast A'!L256</f>
        <v>2.13789583153489</v>
      </c>
      <c r="I302" s="39" t="n">
        <f aca="false">'2026 Forecast B'!L256</f>
        <v>2.24475965619494</v>
      </c>
      <c r="J302" s="39" t="n">
        <f aca="false">'2026 Forecast C'!L256</f>
        <v>2.3915225360787</v>
      </c>
      <c r="K302" s="18" t="n">
        <f aca="false">'2026 Forecast A'!F256</f>
        <v>719</v>
      </c>
      <c r="L302" s="40" t="str">
        <f aca="false">IF(OR(AND(D302&gt;0.5,E302&gt;0.5,F302&gt;0.5),AND(D302&lt;0.5,E302&lt;0.5,F302&lt;0.5)),"Yes","No — toss-up")</f>
        <v>Yes</v>
      </c>
    </row>
    <row r="303" customFormat="false" ht="15" hidden="false" customHeight="false" outlineLevel="0" collapsed="false">
      <c r="A303" s="9" t="str">
        <f aca="false">'2026 Forecast A'!A257</f>
        <v>Northampton</v>
      </c>
      <c r="B303" s="9" t="str">
        <f aca="false">'2026 Forecast A'!B257</f>
        <v>BETHLEHEM TOWNSHIP</v>
      </c>
      <c r="C303" s="9" t="str">
        <f aca="false">'2026 Forecast A'!C257</f>
        <v>BETHLEHEM TWSP 1ST WARD 2ND DISTRICT</v>
      </c>
      <c r="D303" s="10" t="n">
        <f aca="false">'2026 Forecast A'!G257</f>
        <v>0.529601722282024</v>
      </c>
      <c r="E303" s="10" t="n">
        <f aca="false">'2026 Forecast B'!G257</f>
        <v>0.533907427341227</v>
      </c>
      <c r="F303" s="10" t="n">
        <f aca="false">'2026 Forecast C'!G257</f>
        <v>0.534983853606028</v>
      </c>
      <c r="G303" s="38" t="n">
        <f aca="false">(MAX(D303:F303)-MIN(D303:F303))*100</f>
        <v>0.538213132400423</v>
      </c>
      <c r="H303" s="39" t="n">
        <f aca="false">'2026 Forecast A'!L257</f>
        <v>2.13789583153489</v>
      </c>
      <c r="I303" s="39" t="n">
        <f aca="false">'2026 Forecast B'!L257</f>
        <v>2.24475965619494</v>
      </c>
      <c r="J303" s="39" t="n">
        <f aca="false">'2026 Forecast C'!L257</f>
        <v>2.3915225360787</v>
      </c>
      <c r="K303" s="18" t="n">
        <f aca="false">'2026 Forecast A'!F257</f>
        <v>929</v>
      </c>
      <c r="L303" s="40" t="str">
        <f aca="false">IF(OR(AND(D303&gt;0.5,E303&gt;0.5,F303&gt;0.5),AND(D303&lt;0.5,E303&lt;0.5,F303&lt;0.5)),"Yes","No — toss-up")</f>
        <v>Yes</v>
      </c>
    </row>
    <row r="304" customFormat="false" ht="15" hidden="false" customHeight="false" outlineLevel="0" collapsed="false">
      <c r="A304" s="9" t="str">
        <f aca="false">'2026 Forecast A'!A258</f>
        <v>Northampton</v>
      </c>
      <c r="B304" s="9" t="str">
        <f aca="false">'2026 Forecast A'!B258</f>
        <v>BETHLEHEM TOWNSHIP</v>
      </c>
      <c r="C304" s="9" t="str">
        <f aca="false">'2026 Forecast A'!C258</f>
        <v>BETHLEHEM TWSP 1ST WARD 3RD DISTRICT</v>
      </c>
      <c r="D304" s="10" t="n">
        <f aca="false">'2026 Forecast A'!G258</f>
        <v>0.550505050505051</v>
      </c>
      <c r="E304" s="10" t="n">
        <f aca="false">'2026 Forecast B'!G258</f>
        <v>0.54949494949495</v>
      </c>
      <c r="F304" s="10" t="n">
        <f aca="false">'2026 Forecast C'!G258</f>
        <v>0.560606060606061</v>
      </c>
      <c r="G304" s="38" t="n">
        <f aca="false">(MAX(D304:F304)-MIN(D304:F304))*100</f>
        <v>1.11111111111111</v>
      </c>
      <c r="H304" s="39" t="n">
        <f aca="false">'2026 Forecast A'!L258</f>
        <v>1.75369314833214</v>
      </c>
      <c r="I304" s="39" t="n">
        <f aca="false">'2026 Forecast B'!L258</f>
        <v>2.1038293183682</v>
      </c>
      <c r="J304" s="39" t="n">
        <f aca="false">'2026 Forecast C'!L258</f>
        <v>1.909243057213</v>
      </c>
      <c r="K304" s="18" t="n">
        <f aca="false">'2026 Forecast A'!F258</f>
        <v>990</v>
      </c>
      <c r="L304" s="40" t="str">
        <f aca="false">IF(OR(AND(D304&gt;0.5,E304&gt;0.5,F304&gt;0.5),AND(D304&lt;0.5,E304&lt;0.5,F304&lt;0.5)),"Yes","No — toss-up")</f>
        <v>Yes</v>
      </c>
    </row>
    <row r="305" customFormat="false" ht="15" hidden="false" customHeight="false" outlineLevel="0" collapsed="false">
      <c r="A305" s="9" t="str">
        <f aca="false">'2026 Forecast A'!A259</f>
        <v>Northampton</v>
      </c>
      <c r="B305" s="9" t="str">
        <f aca="false">'2026 Forecast A'!B259</f>
        <v>BETHLEHEM TOWNSHIP</v>
      </c>
      <c r="C305" s="9" t="str">
        <f aca="false">'2026 Forecast A'!C259</f>
        <v>BETHLEHEM TWSP 1ST WARD 4TH DISTRICT</v>
      </c>
      <c r="D305" s="10" t="n">
        <f aca="false">'2026 Forecast A'!G259</f>
        <v>0.507782101167315</v>
      </c>
      <c r="E305" s="10" t="n">
        <f aca="false">'2026 Forecast B'!G259</f>
        <v>0.509727626459144</v>
      </c>
      <c r="F305" s="10" t="n">
        <f aca="false">'2026 Forecast C'!G259</f>
        <v>0.509727626459144</v>
      </c>
      <c r="G305" s="38" t="n">
        <f aca="false">(MAX(D305:F305)-MIN(D305:F305))*100</f>
        <v>0.194552529182879</v>
      </c>
      <c r="H305" s="39" t="n">
        <f aca="false">'2026 Forecast A'!L259</f>
        <v>3.43333352273176</v>
      </c>
      <c r="I305" s="39" t="n">
        <f aca="false">'2026 Forecast B'!L259</f>
        <v>3.21167747490571</v>
      </c>
      <c r="J305" s="39" t="n">
        <f aca="false">'2026 Forecast C'!L259</f>
        <v>3.72283676191068</v>
      </c>
      <c r="K305" s="18" t="n">
        <f aca="false">'2026 Forecast A'!F259</f>
        <v>514</v>
      </c>
      <c r="L305" s="40" t="str">
        <f aca="false">IF(OR(AND(D305&gt;0.5,E305&gt;0.5,F305&gt;0.5),AND(D305&lt;0.5,E305&lt;0.5,F305&lt;0.5)),"Yes","No — toss-up")</f>
        <v>Yes</v>
      </c>
    </row>
    <row r="306" customFormat="false" ht="15" hidden="false" customHeight="false" outlineLevel="0" collapsed="false">
      <c r="A306" s="9" t="str">
        <f aca="false">'2026 Forecast A'!A260</f>
        <v>Northampton</v>
      </c>
      <c r="B306" s="9" t="str">
        <f aca="false">'2026 Forecast A'!B260</f>
        <v>BETHLEHEM TOWNSHIP</v>
      </c>
      <c r="C306" s="9" t="str">
        <f aca="false">'2026 Forecast A'!C260</f>
        <v>BETHLEHEM TWSP 2ND WARD 1ST DISTRICT</v>
      </c>
      <c r="D306" s="10" t="n">
        <f aca="false">'2026 Forecast A'!G260</f>
        <v>0.554292929292929</v>
      </c>
      <c r="E306" s="10" t="n">
        <f aca="false">'2026 Forecast B'!G260</f>
        <v>0.561868686868687</v>
      </c>
      <c r="F306" s="10" t="n">
        <f aca="false">'2026 Forecast C'!G260</f>
        <v>0.561868686868687</v>
      </c>
      <c r="G306" s="38" t="n">
        <f aca="false">(MAX(D306:F306)-MIN(D306:F306))*100</f>
        <v>0.757575757575757</v>
      </c>
      <c r="H306" s="39" t="n">
        <f aca="false">'2026 Forecast A'!L260</f>
        <v>2.13789583153489</v>
      </c>
      <c r="I306" s="39" t="n">
        <f aca="false">'2026 Forecast B'!L260</f>
        <v>2.24475965619494</v>
      </c>
      <c r="J306" s="39" t="n">
        <f aca="false">'2026 Forecast C'!L260</f>
        <v>2.3915225360787</v>
      </c>
      <c r="K306" s="18" t="n">
        <f aca="false">'2026 Forecast A'!F260</f>
        <v>792</v>
      </c>
      <c r="L306" s="40" t="str">
        <f aca="false">IF(OR(AND(D306&gt;0.5,E306&gt;0.5,F306&gt;0.5),AND(D306&lt;0.5,E306&lt;0.5,F306&lt;0.5)),"Yes","No — toss-up")</f>
        <v>Yes</v>
      </c>
    </row>
    <row r="307" customFormat="false" ht="15" hidden="false" customHeight="false" outlineLevel="0" collapsed="false">
      <c r="A307" s="9" t="str">
        <f aca="false">'2026 Forecast A'!A261</f>
        <v>Northampton</v>
      </c>
      <c r="B307" s="9" t="str">
        <f aca="false">'2026 Forecast A'!B261</f>
        <v>BETHLEHEM TOWNSHIP</v>
      </c>
      <c r="C307" s="9" t="str">
        <f aca="false">'2026 Forecast A'!C261</f>
        <v>BETHLEHEM TWSP 2ND WARD 2ND DISTRICT</v>
      </c>
      <c r="D307" s="10" t="n">
        <f aca="false">'2026 Forecast A'!G261</f>
        <v>0.528571428571429</v>
      </c>
      <c r="E307" s="10" t="n">
        <f aca="false">'2026 Forecast B'!G261</f>
        <v>0.53452380952381</v>
      </c>
      <c r="F307" s="10" t="n">
        <f aca="false">'2026 Forecast C'!G261</f>
        <v>0.53452380952381</v>
      </c>
      <c r="G307" s="38" t="n">
        <f aca="false">(MAX(D307:F307)-MIN(D307:F307))*100</f>
        <v>0.595238095238093</v>
      </c>
      <c r="H307" s="39" t="n">
        <f aca="false">'2026 Forecast A'!L261</f>
        <v>2.13789583153489</v>
      </c>
      <c r="I307" s="39" t="n">
        <f aca="false">'2026 Forecast B'!L261</f>
        <v>2.24475965619494</v>
      </c>
      <c r="J307" s="39" t="n">
        <f aca="false">'2026 Forecast C'!L261</f>
        <v>2.3915225360787</v>
      </c>
      <c r="K307" s="18" t="n">
        <f aca="false">'2026 Forecast A'!F261</f>
        <v>840</v>
      </c>
      <c r="L307" s="40" t="str">
        <f aca="false">IF(OR(AND(D307&gt;0.5,E307&gt;0.5,F307&gt;0.5),AND(D307&lt;0.5,E307&lt;0.5,F307&lt;0.5)),"Yes","No — toss-up")</f>
        <v>Yes</v>
      </c>
    </row>
    <row r="308" customFormat="false" ht="15" hidden="false" customHeight="false" outlineLevel="0" collapsed="false">
      <c r="A308" s="9" t="str">
        <f aca="false">'2026 Forecast A'!A262</f>
        <v>Northampton</v>
      </c>
      <c r="B308" s="9" t="str">
        <f aca="false">'2026 Forecast A'!B262</f>
        <v>BETHLEHEM TOWNSHIP</v>
      </c>
      <c r="C308" s="9" t="str">
        <f aca="false">'2026 Forecast A'!C262</f>
        <v>BETHLEHEM TWSP 2ND WARD 3RD DISTRICT</v>
      </c>
      <c r="D308" s="10" t="n">
        <f aca="false">'2026 Forecast A'!G262</f>
        <v>0.544747081712062</v>
      </c>
      <c r="E308" s="10" t="n">
        <f aca="false">'2026 Forecast B'!G262</f>
        <v>0.552529182879378</v>
      </c>
      <c r="F308" s="10" t="n">
        <f aca="false">'2026 Forecast C'!G262</f>
        <v>0.552529182879378</v>
      </c>
      <c r="G308" s="38" t="n">
        <f aca="false">(MAX(D308:F308)-MIN(D308:F308))*100</f>
        <v>0.778210116731526</v>
      </c>
      <c r="H308" s="39" t="n">
        <f aca="false">'2026 Forecast A'!L262</f>
        <v>3.43333352273176</v>
      </c>
      <c r="I308" s="39" t="n">
        <f aca="false">'2026 Forecast B'!L262</f>
        <v>3.21167747490571</v>
      </c>
      <c r="J308" s="39" t="n">
        <f aca="false">'2026 Forecast C'!L262</f>
        <v>3.72283676191068</v>
      </c>
      <c r="K308" s="18" t="n">
        <f aca="false">'2026 Forecast A'!F262</f>
        <v>514</v>
      </c>
      <c r="L308" s="40" t="str">
        <f aca="false">IF(OR(AND(D308&gt;0.5,E308&gt;0.5,F308&gt;0.5),AND(D308&lt;0.5,E308&lt;0.5,F308&lt;0.5)),"Yes","No — toss-up")</f>
        <v>Yes</v>
      </c>
    </row>
    <row r="309" customFormat="false" ht="15" hidden="false" customHeight="false" outlineLevel="0" collapsed="false">
      <c r="A309" s="9" t="str">
        <f aca="false">'2026 Forecast A'!A263</f>
        <v>Northampton</v>
      </c>
      <c r="B309" s="9" t="str">
        <f aca="false">'2026 Forecast A'!B263</f>
        <v>BETHLEHEM TOWNSHIP</v>
      </c>
      <c r="C309" s="9" t="str">
        <f aca="false">'2026 Forecast A'!C263</f>
        <v>BETHLEHEM TWSP 2ND WARD 4TH DISTRICT</v>
      </c>
      <c r="D309" s="10" t="n">
        <f aca="false">'2026 Forecast A'!G263</f>
        <v>0.569405099150142</v>
      </c>
      <c r="E309" s="10" t="n">
        <f aca="false">'2026 Forecast B'!G263</f>
        <v>0.576487252124646</v>
      </c>
      <c r="F309" s="10" t="n">
        <f aca="false">'2026 Forecast C'!G263</f>
        <v>0.580736543909349</v>
      </c>
      <c r="G309" s="38" t="n">
        <f aca="false">(MAX(D309:F309)-MIN(D309:F309))*100</f>
        <v>1.13314447592069</v>
      </c>
      <c r="H309" s="39" t="n">
        <f aca="false">'2026 Forecast A'!L263</f>
        <v>2.13789583153489</v>
      </c>
      <c r="I309" s="39" t="n">
        <f aca="false">'2026 Forecast B'!L263</f>
        <v>2.24475965619494</v>
      </c>
      <c r="J309" s="39" t="n">
        <f aca="false">'2026 Forecast C'!L263</f>
        <v>2.3915225360787</v>
      </c>
      <c r="K309" s="18" t="n">
        <f aca="false">'2026 Forecast A'!F263</f>
        <v>706</v>
      </c>
      <c r="L309" s="40" t="str">
        <f aca="false">IF(OR(AND(D309&gt;0.5,E309&gt;0.5,F309&gt;0.5),AND(D309&lt;0.5,E309&lt;0.5,F309&lt;0.5)),"Yes","No — toss-up")</f>
        <v>Yes</v>
      </c>
    </row>
    <row r="310" customFormat="false" ht="15" hidden="false" customHeight="false" outlineLevel="0" collapsed="false">
      <c r="A310" s="9" t="str">
        <f aca="false">'2026 Forecast A'!A264</f>
        <v>Northampton</v>
      </c>
      <c r="B310" s="9" t="str">
        <f aca="false">'2026 Forecast A'!B264</f>
        <v>BETHLEHEM TOWNSHIP</v>
      </c>
      <c r="C310" s="9" t="str">
        <f aca="false">'2026 Forecast A'!C264</f>
        <v>BETHLEHEM TWSP 3RD WARD 1ST DISTRICT</v>
      </c>
      <c r="D310" s="10" t="n">
        <f aca="false">'2026 Forecast A'!G264</f>
        <v>0.596736596736597</v>
      </c>
      <c r="E310" s="10" t="n">
        <f aca="false">'2026 Forecast B'!G264</f>
        <v>0.594405594405594</v>
      </c>
      <c r="F310" s="10" t="n">
        <f aca="false">'2026 Forecast C'!G264</f>
        <v>0.606060606060606</v>
      </c>
      <c r="G310" s="38" t="n">
        <f aca="false">(MAX(D310:F310)-MIN(D310:F310))*100</f>
        <v>1.16550116550117</v>
      </c>
      <c r="H310" s="39" t="n">
        <f aca="false">'2026 Forecast A'!L264</f>
        <v>3.43333352273176</v>
      </c>
      <c r="I310" s="39" t="n">
        <f aca="false">'2026 Forecast B'!L264</f>
        <v>3.21167747490571</v>
      </c>
      <c r="J310" s="39" t="n">
        <f aca="false">'2026 Forecast C'!L264</f>
        <v>3.72283676191068</v>
      </c>
      <c r="K310" s="18" t="n">
        <f aca="false">'2026 Forecast A'!F264</f>
        <v>429</v>
      </c>
      <c r="L310" s="40" t="str">
        <f aca="false">IF(OR(AND(D310&gt;0.5,E310&gt;0.5,F310&gt;0.5),AND(D310&lt;0.5,E310&lt;0.5,F310&lt;0.5)),"Yes","No — toss-up")</f>
        <v>Yes</v>
      </c>
    </row>
    <row r="311" customFormat="false" ht="15" hidden="false" customHeight="false" outlineLevel="0" collapsed="false">
      <c r="A311" s="9" t="str">
        <f aca="false">'2026 Forecast A'!A265</f>
        <v>Northampton</v>
      </c>
      <c r="B311" s="9" t="str">
        <f aca="false">'2026 Forecast A'!B265</f>
        <v>BETHLEHEM TOWNSHIP</v>
      </c>
      <c r="C311" s="9" t="str">
        <f aca="false">'2026 Forecast A'!C265</f>
        <v>BETHLEHEM TWSP 3RD WARD 2ND DISTRICT</v>
      </c>
      <c r="D311" s="10" t="n">
        <f aca="false">'2026 Forecast A'!G265</f>
        <v>0.512867647058824</v>
      </c>
      <c r="E311" s="10" t="n">
        <f aca="false">'2026 Forecast B'!G265</f>
        <v>0.514705882352941</v>
      </c>
      <c r="F311" s="10" t="n">
        <f aca="false">'2026 Forecast C'!G265</f>
        <v>0.518382352941177</v>
      </c>
      <c r="G311" s="38" t="n">
        <f aca="false">(MAX(D311:F311)-MIN(D311:F311))*100</f>
        <v>0.551470588235303</v>
      </c>
      <c r="H311" s="39" t="n">
        <f aca="false">'2026 Forecast A'!L265</f>
        <v>3.43333352273176</v>
      </c>
      <c r="I311" s="39" t="n">
        <f aca="false">'2026 Forecast B'!L265</f>
        <v>3.21167747490571</v>
      </c>
      <c r="J311" s="39" t="n">
        <f aca="false">'2026 Forecast C'!L265</f>
        <v>3.72283676191068</v>
      </c>
      <c r="K311" s="18" t="n">
        <f aca="false">'2026 Forecast A'!F265</f>
        <v>544</v>
      </c>
      <c r="L311" s="40" t="str">
        <f aca="false">IF(OR(AND(D311&gt;0.5,E311&gt;0.5,F311&gt;0.5),AND(D311&lt;0.5,E311&lt;0.5,F311&lt;0.5)),"Yes","No — toss-up")</f>
        <v>Yes</v>
      </c>
    </row>
    <row r="312" customFormat="false" ht="15" hidden="false" customHeight="false" outlineLevel="0" collapsed="false">
      <c r="A312" s="9" t="str">
        <f aca="false">'2026 Forecast A'!A266</f>
        <v>Northampton</v>
      </c>
      <c r="B312" s="9" t="str">
        <f aca="false">'2026 Forecast A'!B266</f>
        <v>BETHLEHEM TOWNSHIP</v>
      </c>
      <c r="C312" s="9" t="str">
        <f aca="false">'2026 Forecast A'!C266</f>
        <v>BETHLEHEM TWSP 3RD WARD 3RD DISTRICT</v>
      </c>
      <c r="D312" s="10" t="n">
        <f aca="false">'2026 Forecast A'!G266</f>
        <v>0.532924961715161</v>
      </c>
      <c r="E312" s="10" t="n">
        <f aca="false">'2026 Forecast B'!G266</f>
        <v>0.540581929555896</v>
      </c>
      <c r="F312" s="10" t="n">
        <f aca="false">'2026 Forecast C'!G266</f>
        <v>0.540581929555896</v>
      </c>
      <c r="G312" s="38" t="n">
        <f aca="false">(MAX(D312:F312)-MIN(D312:F312))*100</f>
        <v>0.765696784073511</v>
      </c>
      <c r="H312" s="39" t="n">
        <f aca="false">'2026 Forecast A'!L266</f>
        <v>2.13789583153489</v>
      </c>
      <c r="I312" s="39" t="n">
        <f aca="false">'2026 Forecast B'!L266</f>
        <v>2.24475965619494</v>
      </c>
      <c r="J312" s="39" t="n">
        <f aca="false">'2026 Forecast C'!L266</f>
        <v>2.3915225360787</v>
      </c>
      <c r="K312" s="18" t="n">
        <f aca="false">'2026 Forecast A'!F266</f>
        <v>653</v>
      </c>
      <c r="L312" s="40" t="str">
        <f aca="false">IF(OR(AND(D312&gt;0.5,E312&gt;0.5,F312&gt;0.5),AND(D312&lt;0.5,E312&lt;0.5,F312&lt;0.5)),"Yes","No — toss-up")</f>
        <v>Yes</v>
      </c>
    </row>
    <row r="313" customFormat="false" ht="15" hidden="false" customHeight="false" outlineLevel="0" collapsed="false">
      <c r="A313" s="9" t="str">
        <f aca="false">'2026 Forecast A'!A267</f>
        <v>Northampton</v>
      </c>
      <c r="B313" s="9" t="str">
        <f aca="false">'2026 Forecast A'!B267</f>
        <v>BETHLEHEM TOWNSHIP</v>
      </c>
      <c r="C313" s="9" t="str">
        <f aca="false">'2026 Forecast A'!C267</f>
        <v>BETHLEHEM TWSP 3RD WARD 4TH DISTRICT</v>
      </c>
      <c r="D313" s="10" t="n">
        <f aca="false">'2026 Forecast A'!G267</f>
        <v>0.562337662337662</v>
      </c>
      <c r="E313" s="10" t="n">
        <f aca="false">'2026 Forecast B'!G267</f>
        <v>0.567532467532468</v>
      </c>
      <c r="F313" s="10" t="n">
        <f aca="false">'2026 Forecast C'!G267</f>
        <v>0.571428571428571</v>
      </c>
      <c r="G313" s="38" t="n">
        <f aca="false">(MAX(D313:F313)-MIN(D313:F313))*100</f>
        <v>0.909090909090904</v>
      </c>
      <c r="H313" s="39" t="n">
        <f aca="false">'2026 Forecast A'!L267</f>
        <v>2.13789583153489</v>
      </c>
      <c r="I313" s="39" t="n">
        <f aca="false">'2026 Forecast B'!L267</f>
        <v>2.24475965619494</v>
      </c>
      <c r="J313" s="39" t="n">
        <f aca="false">'2026 Forecast C'!L267</f>
        <v>2.3915225360787</v>
      </c>
      <c r="K313" s="18" t="n">
        <f aca="false">'2026 Forecast A'!F267</f>
        <v>770</v>
      </c>
      <c r="L313" s="40" t="str">
        <f aca="false">IF(OR(AND(D313&gt;0.5,E313&gt;0.5,F313&gt;0.5),AND(D313&lt;0.5,E313&lt;0.5,F313&lt;0.5)),"Yes","No — toss-up")</f>
        <v>Yes</v>
      </c>
    </row>
    <row r="314" customFormat="false" ht="15" hidden="false" customHeight="false" outlineLevel="0" collapsed="false">
      <c r="A314" s="9" t="str">
        <f aca="false">'2026 Forecast A'!A268</f>
        <v>Northampton</v>
      </c>
      <c r="B314" s="9" t="str">
        <f aca="false">'2026 Forecast A'!B268</f>
        <v>BETHLEHEM TOWNSHIP</v>
      </c>
      <c r="C314" s="9" t="str">
        <f aca="false">'2026 Forecast A'!C268</f>
        <v>BETHLEHEM TWSP 3RD WARD 5TH DISTRICT</v>
      </c>
      <c r="D314" s="10" t="n">
        <f aca="false">'2026 Forecast A'!G268</f>
        <v>0.512743628185907</v>
      </c>
      <c r="E314" s="10" t="n">
        <f aca="false">'2026 Forecast B'!G268</f>
        <v>0.512743628185907</v>
      </c>
      <c r="F314" s="10" t="n">
        <f aca="false">'2026 Forecast C'!G268</f>
        <v>0.517241379310345</v>
      </c>
      <c r="G314" s="38" t="n">
        <f aca="false">(MAX(D314:F314)-MIN(D314:F314))*100</f>
        <v>0.449775112443784</v>
      </c>
      <c r="H314" s="39" t="n">
        <f aca="false">'2026 Forecast A'!L268</f>
        <v>2.13789583153489</v>
      </c>
      <c r="I314" s="39" t="n">
        <f aca="false">'2026 Forecast B'!L268</f>
        <v>2.24475965619494</v>
      </c>
      <c r="J314" s="39" t="n">
        <f aca="false">'2026 Forecast C'!L268</f>
        <v>2.3915225360787</v>
      </c>
      <c r="K314" s="18" t="n">
        <f aca="false">'2026 Forecast A'!F268</f>
        <v>667</v>
      </c>
      <c r="L314" s="40" t="str">
        <f aca="false">IF(OR(AND(D314&gt;0.5,E314&gt;0.5,F314&gt;0.5),AND(D314&lt;0.5,E314&lt;0.5,F314&lt;0.5)),"Yes","No — toss-up")</f>
        <v>Yes</v>
      </c>
    </row>
    <row r="315" customFormat="false" ht="15" hidden="false" customHeight="false" outlineLevel="0" collapsed="false">
      <c r="A315" s="9" t="str">
        <f aca="false">'2026 Forecast A'!A269</f>
        <v>Northampton</v>
      </c>
      <c r="B315" s="9" t="str">
        <f aca="false">'2026 Forecast A'!B269</f>
        <v>BETHLEHEM TOWNSHIP</v>
      </c>
      <c r="C315" s="9" t="str">
        <f aca="false">'2026 Forecast A'!C269</f>
        <v>BETHLEHEM TWSP 4TH WARD 1ST DISTRICT</v>
      </c>
      <c r="D315" s="10" t="n">
        <f aca="false">'2026 Forecast A'!G269</f>
        <v>0.563348416289593</v>
      </c>
      <c r="E315" s="10" t="n">
        <f aca="false">'2026 Forecast B'!G269</f>
        <v>0.563348416289593</v>
      </c>
      <c r="F315" s="10" t="n">
        <f aca="false">'2026 Forecast C'!G269</f>
        <v>0.576168929110106</v>
      </c>
      <c r="G315" s="38" t="n">
        <f aca="false">(MAX(D315:F315)-MIN(D315:F315))*100</f>
        <v>1.28205128205128</v>
      </c>
      <c r="H315" s="39" t="n">
        <f aca="false">'2026 Forecast A'!L269</f>
        <v>1.75369314833214</v>
      </c>
      <c r="I315" s="39" t="n">
        <f aca="false">'2026 Forecast B'!L269</f>
        <v>2.1038293183682</v>
      </c>
      <c r="J315" s="39" t="n">
        <f aca="false">'2026 Forecast C'!L269</f>
        <v>1.909243057213</v>
      </c>
      <c r="K315" s="18" t="n">
        <f aca="false">'2026 Forecast A'!F269</f>
        <v>1326</v>
      </c>
      <c r="L315" s="40" t="str">
        <f aca="false">IF(OR(AND(D315&gt;0.5,E315&gt;0.5,F315&gt;0.5),AND(D315&lt;0.5,E315&lt;0.5,F315&lt;0.5)),"Yes","No — toss-up")</f>
        <v>Yes</v>
      </c>
    </row>
    <row r="316" customFormat="false" ht="15" hidden="false" customHeight="false" outlineLevel="0" collapsed="false">
      <c r="A316" s="9" t="str">
        <f aca="false">'2026 Forecast A'!A270</f>
        <v>Northampton</v>
      </c>
      <c r="B316" s="9" t="str">
        <f aca="false">'2026 Forecast A'!B270</f>
        <v>BETHLEHEM TOWNSHIP</v>
      </c>
      <c r="C316" s="9" t="str">
        <f aca="false">'2026 Forecast A'!C270</f>
        <v>BETHLEHEM TWSP 4TH WARD 2ND DISTRICT</v>
      </c>
      <c r="D316" s="10" t="n">
        <f aca="false">'2026 Forecast A'!G270</f>
        <v>0.512468827930175</v>
      </c>
      <c r="E316" s="10" t="n">
        <f aca="false">'2026 Forecast B'!G270</f>
        <v>0.513715710723192</v>
      </c>
      <c r="F316" s="10" t="n">
        <f aca="false">'2026 Forecast C'!G270</f>
        <v>0.516209476309227</v>
      </c>
      <c r="G316" s="38" t="n">
        <f aca="false">(MAX(D316:F316)-MIN(D316:F316))*100</f>
        <v>0.374064837905241</v>
      </c>
      <c r="H316" s="39" t="n">
        <f aca="false">'2026 Forecast A'!L270</f>
        <v>2.13789583153489</v>
      </c>
      <c r="I316" s="39" t="n">
        <f aca="false">'2026 Forecast B'!L270</f>
        <v>2.24475965619494</v>
      </c>
      <c r="J316" s="39" t="n">
        <f aca="false">'2026 Forecast C'!L270</f>
        <v>2.3915225360787</v>
      </c>
      <c r="K316" s="18" t="n">
        <f aca="false">'2026 Forecast A'!F270</f>
        <v>802</v>
      </c>
      <c r="L316" s="40" t="str">
        <f aca="false">IF(OR(AND(D316&gt;0.5,E316&gt;0.5,F316&gt;0.5),AND(D316&lt;0.5,E316&lt;0.5,F316&lt;0.5)),"Yes","No — toss-up")</f>
        <v>Yes</v>
      </c>
    </row>
    <row r="317" customFormat="false" ht="15" hidden="false" customHeight="false" outlineLevel="0" collapsed="false">
      <c r="A317" s="9" t="str">
        <f aca="false">'2026 Forecast A'!A271</f>
        <v>Northampton</v>
      </c>
      <c r="B317" s="9" t="str">
        <f aca="false">'2026 Forecast A'!B271</f>
        <v>BETHLEHEM TOWNSHIP</v>
      </c>
      <c r="C317" s="9" t="str">
        <f aca="false">'2026 Forecast A'!C271</f>
        <v>BETHLEHEM TWSP 4TH WARD 3RD DISTRICT</v>
      </c>
      <c r="D317" s="10" t="n">
        <f aca="false">'2026 Forecast A'!G271</f>
        <v>0.52234993614304</v>
      </c>
      <c r="E317" s="10" t="n">
        <f aca="false">'2026 Forecast B'!G271</f>
        <v>0.52234993614304</v>
      </c>
      <c r="F317" s="10" t="n">
        <f aca="false">'2026 Forecast C'!G271</f>
        <v>0.527458492975734</v>
      </c>
      <c r="G317" s="38" t="n">
        <f aca="false">(MAX(D317:F317)-MIN(D317:F317))*100</f>
        <v>0.510855683269473</v>
      </c>
      <c r="H317" s="39" t="n">
        <f aca="false">'2026 Forecast A'!L271</f>
        <v>2.13789583153489</v>
      </c>
      <c r="I317" s="39" t="n">
        <f aca="false">'2026 Forecast B'!L271</f>
        <v>2.24475965619494</v>
      </c>
      <c r="J317" s="39" t="n">
        <f aca="false">'2026 Forecast C'!L271</f>
        <v>2.3915225360787</v>
      </c>
      <c r="K317" s="18" t="n">
        <f aca="false">'2026 Forecast A'!F271</f>
        <v>783</v>
      </c>
      <c r="L317" s="40" t="str">
        <f aca="false">IF(OR(AND(D317&gt;0.5,E317&gt;0.5,F317&gt;0.5),AND(D317&lt;0.5,E317&lt;0.5,F317&lt;0.5)),"Yes","No — toss-up")</f>
        <v>Yes</v>
      </c>
    </row>
    <row r="318" customFormat="false" ht="15" hidden="false" customHeight="false" outlineLevel="0" collapsed="false">
      <c r="A318" s="9" t="str">
        <f aca="false">'2026 Forecast A'!A272</f>
        <v>Northampton</v>
      </c>
      <c r="B318" s="9" t="str">
        <f aca="false">'2026 Forecast A'!B272</f>
        <v>BETHLEHEM TOWNSHIP</v>
      </c>
      <c r="C318" s="9" t="str">
        <f aca="false">'2026 Forecast A'!C272</f>
        <v>BETHLEHEM TWSP 4TH WARD 4TH DISTRICT</v>
      </c>
      <c r="D318" s="10" t="n">
        <f aca="false">'2026 Forecast A'!G272</f>
        <v>0.525759577278732</v>
      </c>
      <c r="E318" s="10" t="n">
        <f aca="false">'2026 Forecast B'!G272</f>
        <v>0.533685601056803</v>
      </c>
      <c r="F318" s="10" t="n">
        <f aca="false">'2026 Forecast C'!G272</f>
        <v>0.532364597093791</v>
      </c>
      <c r="G318" s="38" t="n">
        <f aca="false">(MAX(D318:F318)-MIN(D318:F318))*100</f>
        <v>0.792602377807139</v>
      </c>
      <c r="H318" s="39" t="n">
        <f aca="false">'2026 Forecast A'!L272</f>
        <v>2.13789583153489</v>
      </c>
      <c r="I318" s="39" t="n">
        <f aca="false">'2026 Forecast B'!L272</f>
        <v>2.24475965619494</v>
      </c>
      <c r="J318" s="39" t="n">
        <f aca="false">'2026 Forecast C'!L272</f>
        <v>2.3915225360787</v>
      </c>
      <c r="K318" s="18" t="n">
        <f aca="false">'2026 Forecast A'!F272</f>
        <v>757</v>
      </c>
      <c r="L318" s="40" t="str">
        <f aca="false">IF(OR(AND(D318&gt;0.5,E318&gt;0.5,F318&gt;0.5),AND(D318&lt;0.5,E318&lt;0.5,F318&lt;0.5)),"Yes","No — toss-up")</f>
        <v>Yes</v>
      </c>
    </row>
    <row r="319" customFormat="false" ht="15" hidden="false" customHeight="false" outlineLevel="0" collapsed="false">
      <c r="A319" s="9" t="str">
        <f aca="false">'2026 Forecast A'!A273</f>
        <v>Northampton</v>
      </c>
      <c r="B319" s="9" t="str">
        <f aca="false">'2026 Forecast A'!B273</f>
        <v>BUSHKILL</v>
      </c>
      <c r="C319" s="9" t="str">
        <f aca="false">'2026 Forecast A'!C273</f>
        <v>BUSHKILL TWSP - BUSHKILL CENTER</v>
      </c>
      <c r="D319" s="10" t="n">
        <f aca="false">'2026 Forecast A'!G273</f>
        <v>0.389666307857912</v>
      </c>
      <c r="E319" s="10" t="n">
        <f aca="false">'2026 Forecast B'!G273</f>
        <v>0.379440258342304</v>
      </c>
      <c r="F319" s="10" t="n">
        <f aca="false">'2026 Forecast C'!G273</f>
        <v>0.382131324004306</v>
      </c>
      <c r="G319" s="38" t="n">
        <f aca="false">(MAX(D319:F319)-MIN(D319:F319))*100</f>
        <v>1.02260495156082</v>
      </c>
      <c r="H319" s="39" t="n">
        <f aca="false">'2026 Forecast A'!L273</f>
        <v>1.75369314833214</v>
      </c>
      <c r="I319" s="39" t="n">
        <f aca="false">'2026 Forecast B'!L273</f>
        <v>2.1038293183682</v>
      </c>
      <c r="J319" s="39" t="n">
        <f aca="false">'2026 Forecast C'!L273</f>
        <v>1.909243057213</v>
      </c>
      <c r="K319" s="18" t="n">
        <f aca="false">'2026 Forecast A'!F273</f>
        <v>1858</v>
      </c>
      <c r="L319" s="40" t="str">
        <f aca="false">IF(OR(AND(D319&gt;0.5,E319&gt;0.5,F319&gt;0.5),AND(D319&lt;0.5,E319&lt;0.5,F319&lt;0.5)),"Yes","No — toss-up")</f>
        <v>Yes</v>
      </c>
    </row>
    <row r="320" customFormat="false" ht="15" hidden="false" customHeight="false" outlineLevel="0" collapsed="false">
      <c r="A320" s="9" t="str">
        <f aca="false">'2026 Forecast A'!A274</f>
        <v>Northampton</v>
      </c>
      <c r="B320" s="9" t="str">
        <f aca="false">'2026 Forecast A'!B274</f>
        <v>BUSHKILL</v>
      </c>
      <c r="C320" s="9" t="str">
        <f aca="false">'2026 Forecast A'!C274</f>
        <v>BUSHKILL TWSP - CHERRY HILL</v>
      </c>
      <c r="D320" s="10" t="n">
        <f aca="false">'2026 Forecast A'!G274</f>
        <v>0.406875</v>
      </c>
      <c r="E320" s="10" t="n">
        <f aca="false">'2026 Forecast B'!G274</f>
        <v>0.3975</v>
      </c>
      <c r="F320" s="10" t="n">
        <f aca="false">'2026 Forecast C'!G274</f>
        <v>0.4025</v>
      </c>
      <c r="G320" s="38" t="n">
        <f aca="false">(MAX(D320:F320)-MIN(D320:F320))*100</f>
        <v>0.937499999999997</v>
      </c>
      <c r="H320" s="39" t="n">
        <f aca="false">'2026 Forecast A'!L274</f>
        <v>1.75369314833214</v>
      </c>
      <c r="I320" s="39" t="n">
        <f aca="false">'2026 Forecast B'!L274</f>
        <v>2.1038293183682</v>
      </c>
      <c r="J320" s="39" t="n">
        <f aca="false">'2026 Forecast C'!L274</f>
        <v>1.909243057213</v>
      </c>
      <c r="K320" s="18" t="n">
        <f aca="false">'2026 Forecast A'!F274</f>
        <v>1600</v>
      </c>
      <c r="L320" s="40" t="str">
        <f aca="false">IF(OR(AND(D320&gt;0.5,E320&gt;0.5,F320&gt;0.5),AND(D320&lt;0.5,E320&lt;0.5,F320&lt;0.5)),"Yes","No — toss-up")</f>
        <v>Yes</v>
      </c>
    </row>
    <row r="321" customFormat="false" ht="15" hidden="false" customHeight="false" outlineLevel="0" collapsed="false">
      <c r="A321" s="9" t="str">
        <f aca="false">'2026 Forecast A'!A275</f>
        <v>Northampton</v>
      </c>
      <c r="B321" s="9" t="str">
        <f aca="false">'2026 Forecast A'!B275</f>
        <v>BUSHKILL</v>
      </c>
      <c r="C321" s="9" t="str">
        <f aca="false">'2026 Forecast A'!C275</f>
        <v>BUSHKILL TWSP - CLEARFIELD</v>
      </c>
      <c r="D321" s="10" t="n">
        <f aca="false">'2026 Forecast A'!G275</f>
        <v>0.356178608515057</v>
      </c>
      <c r="E321" s="10" t="n">
        <f aca="false">'2026 Forecast B'!G275</f>
        <v>0.345794392523364</v>
      </c>
      <c r="F321" s="10" t="n">
        <f aca="false">'2026 Forecast C'!G275</f>
        <v>0.342679127725857</v>
      </c>
      <c r="G321" s="38" t="n">
        <f aca="false">(MAX(D321:F321)-MIN(D321:F321))*100</f>
        <v>1.34994807892004</v>
      </c>
      <c r="H321" s="39" t="n">
        <f aca="false">'2026 Forecast A'!L275</f>
        <v>1.75369314833214</v>
      </c>
      <c r="I321" s="39" t="n">
        <f aca="false">'2026 Forecast B'!L275</f>
        <v>2.1038293183682</v>
      </c>
      <c r="J321" s="39" t="n">
        <f aca="false">'2026 Forecast C'!L275</f>
        <v>1.909243057213</v>
      </c>
      <c r="K321" s="18" t="n">
        <f aca="false">'2026 Forecast A'!F275</f>
        <v>963</v>
      </c>
      <c r="L321" s="40" t="str">
        <f aca="false">IF(OR(AND(D321&gt;0.5,E321&gt;0.5,F321&gt;0.5),AND(D321&lt;0.5,E321&lt;0.5,F321&lt;0.5)),"Yes","No — toss-up")</f>
        <v>Yes</v>
      </c>
    </row>
    <row r="322" customFormat="false" ht="15" hidden="false" customHeight="false" outlineLevel="0" collapsed="false">
      <c r="A322" s="9" t="str">
        <f aca="false">'2026 Forecast A'!A276</f>
        <v>Northampton</v>
      </c>
      <c r="B322" s="9" t="str">
        <f aca="false">'2026 Forecast A'!B276</f>
        <v>CHAPMAN</v>
      </c>
      <c r="C322" s="9" t="str">
        <f aca="false">'2026 Forecast A'!C276</f>
        <v>CHAPMAN</v>
      </c>
      <c r="D322" s="10" t="n">
        <f aca="false">'2026 Forecast A'!G276</f>
        <v>0.360824742268041</v>
      </c>
      <c r="E322" s="10" t="n">
        <f aca="false">'2026 Forecast B'!G276</f>
        <v>0.360824742268041</v>
      </c>
      <c r="F322" s="10" t="n">
        <f aca="false">'2026 Forecast C'!G276</f>
        <v>0.34020618556701</v>
      </c>
      <c r="G322" s="38" t="n">
        <f aca="false">(MAX(D322:F322)-MIN(D322:F322))*100</f>
        <v>2.06185567010309</v>
      </c>
      <c r="H322" s="39" t="n">
        <f aca="false">'2026 Forecast A'!L276</f>
        <v>3.43333352273176</v>
      </c>
      <c r="I322" s="39" t="n">
        <f aca="false">'2026 Forecast B'!L276</f>
        <v>3.21167747490571</v>
      </c>
      <c r="J322" s="39" t="n">
        <f aca="false">'2026 Forecast C'!L276</f>
        <v>3.72283676191068</v>
      </c>
      <c r="K322" s="18" t="n">
        <f aca="false">'2026 Forecast A'!F276</f>
        <v>97</v>
      </c>
      <c r="L322" s="40" t="str">
        <f aca="false">IF(OR(AND(D322&gt;0.5,E322&gt;0.5,F322&gt;0.5),AND(D322&lt;0.5,E322&lt;0.5,F322&lt;0.5)),"Yes","No — toss-up")</f>
        <v>Yes</v>
      </c>
    </row>
    <row r="323" customFormat="false" ht="15" hidden="false" customHeight="false" outlineLevel="0" collapsed="false">
      <c r="A323" s="9" t="str">
        <f aca="false">'2026 Forecast A'!A277</f>
        <v>Northampton</v>
      </c>
      <c r="B323" s="9" t="str">
        <f aca="false">'2026 Forecast A'!B277</f>
        <v>EAST ALLEN</v>
      </c>
      <c r="C323" s="9" t="str">
        <f aca="false">'2026 Forecast A'!C277</f>
        <v>EAST ALLEN TWSP - EASTERN</v>
      </c>
      <c r="D323" s="10" t="n">
        <f aca="false">'2026 Forecast A'!G277</f>
        <v>0.428369795342272</v>
      </c>
      <c r="E323" s="10" t="n">
        <f aca="false">'2026 Forecast B'!G277</f>
        <v>0.417078334509527</v>
      </c>
      <c r="F323" s="10" t="n">
        <f aca="false">'2026 Forecast C'!G277</f>
        <v>0.42484121383204</v>
      </c>
      <c r="G323" s="38" t="n">
        <f aca="false">(MAX(D323:F323)-MIN(D323:F323))*100</f>
        <v>1.12914608327452</v>
      </c>
      <c r="H323" s="39" t="n">
        <f aca="false">'2026 Forecast A'!L277</f>
        <v>1.75369314833214</v>
      </c>
      <c r="I323" s="39" t="n">
        <f aca="false">'2026 Forecast B'!L277</f>
        <v>2.1038293183682</v>
      </c>
      <c r="J323" s="39" t="n">
        <f aca="false">'2026 Forecast C'!L277</f>
        <v>1.909243057213</v>
      </c>
      <c r="K323" s="18" t="n">
        <f aca="false">'2026 Forecast A'!F277</f>
        <v>1417</v>
      </c>
      <c r="L323" s="40" t="str">
        <f aca="false">IF(OR(AND(D323&gt;0.5,E323&gt;0.5,F323&gt;0.5),AND(D323&lt;0.5,E323&lt;0.5,F323&lt;0.5)),"Yes","No — toss-up")</f>
        <v>Yes</v>
      </c>
    </row>
    <row r="324" customFormat="false" ht="15" hidden="false" customHeight="false" outlineLevel="0" collapsed="false">
      <c r="A324" s="9" t="str">
        <f aca="false">'2026 Forecast A'!A278</f>
        <v>Northampton</v>
      </c>
      <c r="B324" s="9" t="str">
        <f aca="false">'2026 Forecast A'!B278</f>
        <v>EAST ALLEN</v>
      </c>
      <c r="C324" s="9" t="str">
        <f aca="false">'2026 Forecast A'!C278</f>
        <v>EAST ALLEN TWSP - WESTERN</v>
      </c>
      <c r="D324" s="10" t="n">
        <f aca="false">'2026 Forecast A'!G278</f>
        <v>0.441632653061225</v>
      </c>
      <c r="E324" s="10" t="n">
        <f aca="false">'2026 Forecast B'!G278</f>
        <v>0.438367346938776</v>
      </c>
      <c r="F324" s="10" t="n">
        <f aca="false">'2026 Forecast C'!G278</f>
        <v>0.434285714285714</v>
      </c>
      <c r="G324" s="38" t="n">
        <f aca="false">(MAX(D324:F324)-MIN(D324:F324))*100</f>
        <v>0.734693877551024</v>
      </c>
      <c r="H324" s="39" t="n">
        <f aca="false">'2026 Forecast A'!L278</f>
        <v>1.75369314833214</v>
      </c>
      <c r="I324" s="39" t="n">
        <f aca="false">'2026 Forecast B'!L278</f>
        <v>2.1038293183682</v>
      </c>
      <c r="J324" s="39" t="n">
        <f aca="false">'2026 Forecast C'!L278</f>
        <v>1.909243057213</v>
      </c>
      <c r="K324" s="18" t="n">
        <f aca="false">'2026 Forecast A'!F278</f>
        <v>1225</v>
      </c>
      <c r="L324" s="40" t="str">
        <f aca="false">IF(OR(AND(D324&gt;0.5,E324&gt;0.5,F324&gt;0.5),AND(D324&lt;0.5,E324&lt;0.5,F324&lt;0.5)),"Yes","No — toss-up")</f>
        <v>Yes</v>
      </c>
    </row>
    <row r="325" customFormat="false" ht="15" hidden="false" customHeight="false" outlineLevel="0" collapsed="false">
      <c r="A325" s="9" t="str">
        <f aca="false">'2026 Forecast A'!A279</f>
        <v>Northampton</v>
      </c>
      <c r="B325" s="9" t="str">
        <f aca="false">'2026 Forecast A'!B279</f>
        <v>EAST BANGOR</v>
      </c>
      <c r="C325" s="9" t="str">
        <f aca="false">'2026 Forecast A'!C279</f>
        <v>EAST BANGOR</v>
      </c>
      <c r="D325" s="10" t="n">
        <f aca="false">'2026 Forecast A'!G279</f>
        <v>0.405555555555556</v>
      </c>
      <c r="E325" s="10" t="n">
        <f aca="false">'2026 Forecast B'!G279</f>
        <v>0.405555555555556</v>
      </c>
      <c r="F325" s="10" t="n">
        <f aca="false">'2026 Forecast C'!G279</f>
        <v>0.4</v>
      </c>
      <c r="G325" s="38" t="n">
        <f aca="false">(MAX(D325:F325)-MIN(D325:F325))*100</f>
        <v>0.555555555555554</v>
      </c>
      <c r="H325" s="39" t="n">
        <f aca="false">'2026 Forecast A'!L279</f>
        <v>3.43333352273176</v>
      </c>
      <c r="I325" s="39" t="n">
        <f aca="false">'2026 Forecast B'!L279</f>
        <v>3.21167747490571</v>
      </c>
      <c r="J325" s="39" t="n">
        <f aca="false">'2026 Forecast C'!L279</f>
        <v>3.72283676191068</v>
      </c>
      <c r="K325" s="18" t="n">
        <f aca="false">'2026 Forecast A'!F279</f>
        <v>360</v>
      </c>
      <c r="L325" s="40" t="str">
        <f aca="false">IF(OR(AND(D325&gt;0.5,E325&gt;0.5,F325&gt;0.5),AND(D325&lt;0.5,E325&lt;0.5,F325&lt;0.5)),"Yes","No — toss-up")</f>
        <v>Yes</v>
      </c>
    </row>
    <row r="326" customFormat="false" ht="15" hidden="false" customHeight="false" outlineLevel="0" collapsed="false">
      <c r="A326" s="9" t="str">
        <f aca="false">'2026 Forecast A'!A280</f>
        <v>Northampton</v>
      </c>
      <c r="B326" s="9" t="str">
        <f aca="false">'2026 Forecast A'!B280</f>
        <v>EASTON</v>
      </c>
      <c r="C326" s="9" t="str">
        <f aca="false">'2026 Forecast A'!C280</f>
        <v>EASTON 10TH WARD</v>
      </c>
      <c r="D326" s="10" t="n">
        <f aca="false">'2026 Forecast A'!G280</f>
        <v>0.680437424058323</v>
      </c>
      <c r="E326" s="10" t="n">
        <f aca="false">'2026 Forecast B'!G280</f>
        <v>0.687727825030377</v>
      </c>
      <c r="F326" s="10" t="n">
        <f aca="false">'2026 Forecast C'!G280</f>
        <v>0.69501822600243</v>
      </c>
      <c r="G326" s="38" t="n">
        <f aca="false">(MAX(D326:F326)-MIN(D326:F326))*100</f>
        <v>1.45808019441069</v>
      </c>
      <c r="H326" s="39" t="n">
        <f aca="false">'2026 Forecast A'!L280</f>
        <v>2.13789583153489</v>
      </c>
      <c r="I326" s="39" t="n">
        <f aca="false">'2026 Forecast B'!L280</f>
        <v>2.24475965619494</v>
      </c>
      <c r="J326" s="39" t="n">
        <f aca="false">'2026 Forecast C'!L280</f>
        <v>2.3915225360787</v>
      </c>
      <c r="K326" s="18" t="n">
        <f aca="false">'2026 Forecast A'!F280</f>
        <v>823</v>
      </c>
      <c r="L326" s="40" t="str">
        <f aca="false">IF(OR(AND(D326&gt;0.5,E326&gt;0.5,F326&gt;0.5),AND(D326&lt;0.5,E326&lt;0.5,F326&lt;0.5)),"Yes","No — toss-up")</f>
        <v>Yes</v>
      </c>
    </row>
    <row r="327" customFormat="false" ht="15" hidden="false" customHeight="false" outlineLevel="0" collapsed="false">
      <c r="A327" s="9" t="str">
        <f aca="false">'2026 Forecast A'!A281</f>
        <v>Northampton</v>
      </c>
      <c r="B327" s="9" t="str">
        <f aca="false">'2026 Forecast A'!B281</f>
        <v>EASTON</v>
      </c>
      <c r="C327" s="9" t="str">
        <f aca="false">'2026 Forecast A'!C281</f>
        <v>EASTON 11TH WARD</v>
      </c>
      <c r="D327" s="10" t="n">
        <f aca="false">'2026 Forecast A'!G281</f>
        <v>0.680769230769231</v>
      </c>
      <c r="E327" s="10" t="n">
        <f aca="false">'2026 Forecast B'!G281</f>
        <v>0.682051282051282</v>
      </c>
      <c r="F327" s="10" t="n">
        <f aca="false">'2026 Forecast C'!G281</f>
        <v>0.694871794871795</v>
      </c>
      <c r="G327" s="38" t="n">
        <f aca="false">(MAX(D327:F327)-MIN(D327:F327))*100</f>
        <v>1.41025641025641</v>
      </c>
      <c r="H327" s="39" t="n">
        <f aca="false">'2026 Forecast A'!L281</f>
        <v>2.13789583153489</v>
      </c>
      <c r="I327" s="39" t="n">
        <f aca="false">'2026 Forecast B'!L281</f>
        <v>2.24475965619494</v>
      </c>
      <c r="J327" s="39" t="n">
        <f aca="false">'2026 Forecast C'!L281</f>
        <v>2.3915225360787</v>
      </c>
      <c r="K327" s="18" t="n">
        <f aca="false">'2026 Forecast A'!F281</f>
        <v>780</v>
      </c>
      <c r="L327" s="40" t="str">
        <f aca="false">IF(OR(AND(D327&gt;0.5,E327&gt;0.5,F327&gt;0.5),AND(D327&lt;0.5,E327&lt;0.5,F327&lt;0.5)),"Yes","No — toss-up")</f>
        <v>Yes</v>
      </c>
    </row>
    <row r="328" customFormat="false" ht="15" hidden="false" customHeight="false" outlineLevel="0" collapsed="false">
      <c r="A328" s="9" t="str">
        <f aca="false">'2026 Forecast A'!A282</f>
        <v>Northampton</v>
      </c>
      <c r="B328" s="9" t="str">
        <f aca="false">'2026 Forecast A'!B282</f>
        <v>EASTON</v>
      </c>
      <c r="C328" s="9" t="str">
        <f aca="false">'2026 Forecast A'!C282</f>
        <v>EASTON 2ND WARD</v>
      </c>
      <c r="D328" s="10" t="n">
        <f aca="false">'2026 Forecast A'!G282</f>
        <v>0.711442786069652</v>
      </c>
      <c r="E328" s="10" t="n">
        <f aca="false">'2026 Forecast B'!G282</f>
        <v>0.696517412935323</v>
      </c>
      <c r="F328" s="10" t="n">
        <f aca="false">'2026 Forecast C'!G282</f>
        <v>0.724709784411277</v>
      </c>
      <c r="G328" s="38" t="n">
        <f aca="false">(MAX(D328:F328)-MIN(D328:F328))*100</f>
        <v>2.81923714759536</v>
      </c>
      <c r="H328" s="39" t="n">
        <f aca="false">'2026 Forecast A'!L282</f>
        <v>2.13789583153489</v>
      </c>
      <c r="I328" s="39" t="n">
        <f aca="false">'2026 Forecast B'!L282</f>
        <v>2.24475965619494</v>
      </c>
      <c r="J328" s="39" t="n">
        <f aca="false">'2026 Forecast C'!L282</f>
        <v>2.3915225360787</v>
      </c>
      <c r="K328" s="18" t="n">
        <f aca="false">'2026 Forecast A'!F282</f>
        <v>603</v>
      </c>
      <c r="L328" s="40" t="str">
        <f aca="false">IF(OR(AND(D328&gt;0.5,E328&gt;0.5,F328&gt;0.5),AND(D328&lt;0.5,E328&lt;0.5,F328&lt;0.5)),"Yes","No — toss-up")</f>
        <v>Yes</v>
      </c>
    </row>
    <row r="329" customFormat="false" ht="15" hidden="false" customHeight="false" outlineLevel="0" collapsed="false">
      <c r="A329" s="9" t="str">
        <f aca="false">'2026 Forecast A'!A283</f>
        <v>Northampton</v>
      </c>
      <c r="B329" s="9" t="str">
        <f aca="false">'2026 Forecast A'!B283</f>
        <v>EASTON</v>
      </c>
      <c r="C329" s="9" t="str">
        <f aca="false">'2026 Forecast A'!C283</f>
        <v>EASTON 3RD WARD 2ND DISTRICT</v>
      </c>
      <c r="D329" s="10" t="n">
        <f aca="false">'2026 Forecast A'!G283</f>
        <v>0.729598051157126</v>
      </c>
      <c r="E329" s="10" t="n">
        <f aca="false">'2026 Forecast B'!G283</f>
        <v>0.722289890377588</v>
      </c>
      <c r="F329" s="10" t="n">
        <f aca="false">'2026 Forecast C'!G283</f>
        <v>0.7442143727162</v>
      </c>
      <c r="G329" s="38" t="n">
        <f aca="false">(MAX(D329:F329)-MIN(D329:F329))*100</f>
        <v>2.19244823386114</v>
      </c>
      <c r="H329" s="39" t="n">
        <f aca="false">'2026 Forecast A'!L283</f>
        <v>2.13789583153489</v>
      </c>
      <c r="I329" s="39" t="n">
        <f aca="false">'2026 Forecast B'!L283</f>
        <v>2.24475965619494</v>
      </c>
      <c r="J329" s="39" t="n">
        <f aca="false">'2026 Forecast C'!L283</f>
        <v>2.3915225360787</v>
      </c>
      <c r="K329" s="18" t="n">
        <f aca="false">'2026 Forecast A'!F283</f>
        <v>821</v>
      </c>
      <c r="L329" s="40" t="str">
        <f aca="false">IF(OR(AND(D329&gt;0.5,E329&gt;0.5,F329&gt;0.5),AND(D329&lt;0.5,E329&lt;0.5,F329&lt;0.5)),"Yes","No — toss-up")</f>
        <v>Yes</v>
      </c>
    </row>
    <row r="330" customFormat="false" ht="15" hidden="false" customHeight="false" outlineLevel="0" collapsed="false">
      <c r="A330" s="9" t="str">
        <f aca="false">'2026 Forecast A'!A284</f>
        <v>Northampton</v>
      </c>
      <c r="B330" s="9" t="str">
        <f aca="false">'2026 Forecast A'!B284</f>
        <v>EASTON</v>
      </c>
      <c r="C330" s="9" t="str">
        <f aca="false">'2026 Forecast A'!C284</f>
        <v>EASTON 3RD WARD 3RD DISTRICT</v>
      </c>
      <c r="D330" s="10" t="n">
        <f aca="false">'2026 Forecast A'!G284</f>
        <v>0.7834179357022</v>
      </c>
      <c r="E330" s="10" t="n">
        <f aca="false">'2026 Forecast B'!G284</f>
        <v>0.776649746192893</v>
      </c>
      <c r="F330" s="10" t="n">
        <f aca="false">'2026 Forecast C'!G284</f>
        <v>0.790186125211506</v>
      </c>
      <c r="G330" s="38" t="n">
        <f aca="false">(MAX(D330:F330)-MIN(D330:F330))*100</f>
        <v>1.35363790186125</v>
      </c>
      <c r="H330" s="39" t="n">
        <f aca="false">'2026 Forecast A'!L284</f>
        <v>2.13789583153489</v>
      </c>
      <c r="I330" s="39" t="n">
        <f aca="false">'2026 Forecast B'!L284</f>
        <v>2.24475965619494</v>
      </c>
      <c r="J330" s="39" t="n">
        <f aca="false">'2026 Forecast C'!L284</f>
        <v>2.3915225360787</v>
      </c>
      <c r="K330" s="18" t="n">
        <f aca="false">'2026 Forecast A'!F284</f>
        <v>591</v>
      </c>
      <c r="L330" s="40" t="str">
        <f aca="false">IF(OR(AND(D330&gt;0.5,E330&gt;0.5,F330&gt;0.5),AND(D330&lt;0.5,E330&lt;0.5,F330&lt;0.5)),"Yes","No — toss-up")</f>
        <v>Yes</v>
      </c>
    </row>
    <row r="331" customFormat="false" ht="15" hidden="false" customHeight="false" outlineLevel="0" collapsed="false">
      <c r="A331" s="9" t="str">
        <f aca="false">'2026 Forecast A'!A285</f>
        <v>Northampton</v>
      </c>
      <c r="B331" s="9" t="str">
        <f aca="false">'2026 Forecast A'!B285</f>
        <v>EASTON</v>
      </c>
      <c r="C331" s="9" t="str">
        <f aca="false">'2026 Forecast A'!C285</f>
        <v>EASTON 3RD WARD 4TH DISTRICT</v>
      </c>
      <c r="D331" s="10" t="n">
        <f aca="false">'2026 Forecast A'!G285</f>
        <v>0.667149059334298</v>
      </c>
      <c r="E331" s="10" t="n">
        <f aca="false">'2026 Forecast B'!G285</f>
        <v>0.664254703328509</v>
      </c>
      <c r="F331" s="10" t="n">
        <f aca="false">'2026 Forecast C'!G285</f>
        <v>0.681620839363242</v>
      </c>
      <c r="G331" s="38" t="n">
        <f aca="false">(MAX(D331:F331)-MIN(D331:F331))*100</f>
        <v>1.73661360347323</v>
      </c>
      <c r="H331" s="39" t="n">
        <f aca="false">'2026 Forecast A'!L285</f>
        <v>2.13789583153489</v>
      </c>
      <c r="I331" s="39" t="n">
        <f aca="false">'2026 Forecast B'!L285</f>
        <v>2.24475965619494</v>
      </c>
      <c r="J331" s="39" t="n">
        <f aca="false">'2026 Forecast C'!L285</f>
        <v>2.3915225360787</v>
      </c>
      <c r="K331" s="18" t="n">
        <f aca="false">'2026 Forecast A'!F285</f>
        <v>691</v>
      </c>
      <c r="L331" s="40" t="str">
        <f aca="false">IF(OR(AND(D331&gt;0.5,E331&gt;0.5,F331&gt;0.5),AND(D331&lt;0.5,E331&lt;0.5,F331&lt;0.5)),"Yes","No — toss-up")</f>
        <v>Yes</v>
      </c>
    </row>
    <row r="332" customFormat="false" ht="15" hidden="false" customHeight="false" outlineLevel="0" collapsed="false">
      <c r="A332" s="9" t="str">
        <f aca="false">'2026 Forecast A'!A286</f>
        <v>Northampton</v>
      </c>
      <c r="B332" s="9" t="str">
        <f aca="false">'2026 Forecast A'!B286</f>
        <v>EASTON</v>
      </c>
      <c r="C332" s="9" t="str">
        <f aca="false">'2026 Forecast A'!C286</f>
        <v>EASTON 4TH WARD</v>
      </c>
      <c r="D332" s="10" t="n">
        <f aca="false">'2026 Forecast A'!G286</f>
        <v>0.647058823529412</v>
      </c>
      <c r="E332" s="10" t="n">
        <f aca="false">'2026 Forecast B'!G286</f>
        <v>0.643137254901961</v>
      </c>
      <c r="F332" s="10" t="n">
        <f aca="false">'2026 Forecast C'!G286</f>
        <v>0.658823529411765</v>
      </c>
      <c r="G332" s="38" t="n">
        <f aca="false">(MAX(D332:F332)-MIN(D332:F332))*100</f>
        <v>1.56862745098039</v>
      </c>
      <c r="H332" s="39" t="n">
        <f aca="false">'2026 Forecast A'!L286</f>
        <v>3.43333352273176</v>
      </c>
      <c r="I332" s="39" t="n">
        <f aca="false">'2026 Forecast B'!L286</f>
        <v>3.21167747490571</v>
      </c>
      <c r="J332" s="39" t="n">
        <f aca="false">'2026 Forecast C'!L286</f>
        <v>3.72283676191068</v>
      </c>
      <c r="K332" s="18" t="n">
        <f aca="false">'2026 Forecast A'!F286</f>
        <v>510</v>
      </c>
      <c r="L332" s="40" t="str">
        <f aca="false">IF(OR(AND(D332&gt;0.5,E332&gt;0.5,F332&gt;0.5),AND(D332&lt;0.5,E332&lt;0.5,F332&lt;0.5)),"Yes","No — toss-up")</f>
        <v>Yes</v>
      </c>
    </row>
    <row r="333" customFormat="false" ht="15" hidden="false" customHeight="false" outlineLevel="0" collapsed="false">
      <c r="A333" s="9" t="str">
        <f aca="false">'2026 Forecast A'!A287</f>
        <v>Northampton</v>
      </c>
      <c r="B333" s="9" t="str">
        <f aca="false">'2026 Forecast A'!B287</f>
        <v>EASTON</v>
      </c>
      <c r="C333" s="9" t="str">
        <f aca="false">'2026 Forecast A'!C287</f>
        <v>EASTON 5TH WARD</v>
      </c>
      <c r="D333" s="10" t="n">
        <f aca="false">'2026 Forecast A'!G287</f>
        <v>0.714285714285714</v>
      </c>
      <c r="E333" s="10" t="n">
        <f aca="false">'2026 Forecast B'!G287</f>
        <v>0.714285714285714</v>
      </c>
      <c r="F333" s="10" t="n">
        <f aca="false">'2026 Forecast C'!G287</f>
        <v>0.733990147783251</v>
      </c>
      <c r="G333" s="38" t="n">
        <f aca="false">(MAX(D333:F333)-MIN(D333:F333))*100</f>
        <v>1.97044334975369</v>
      </c>
      <c r="H333" s="39" t="n">
        <f aca="false">'2026 Forecast A'!L287</f>
        <v>3.43333352273176</v>
      </c>
      <c r="I333" s="39" t="n">
        <f aca="false">'2026 Forecast B'!L287</f>
        <v>3.21167747490571</v>
      </c>
      <c r="J333" s="39" t="n">
        <f aca="false">'2026 Forecast C'!L287</f>
        <v>3.72283676191068</v>
      </c>
      <c r="K333" s="18" t="n">
        <f aca="false">'2026 Forecast A'!F287</f>
        <v>203</v>
      </c>
      <c r="L333" s="40" t="str">
        <f aca="false">IF(OR(AND(D333&gt;0.5,E333&gt;0.5,F333&gt;0.5),AND(D333&lt;0.5,E333&lt;0.5,F333&lt;0.5)),"Yes","No — toss-up")</f>
        <v>Yes</v>
      </c>
    </row>
    <row r="334" customFormat="false" ht="15" hidden="false" customHeight="false" outlineLevel="0" collapsed="false">
      <c r="A334" s="9" t="str">
        <f aca="false">'2026 Forecast A'!A288</f>
        <v>Northampton</v>
      </c>
      <c r="B334" s="9" t="str">
        <f aca="false">'2026 Forecast A'!B288</f>
        <v>EASTON</v>
      </c>
      <c r="C334" s="9" t="str">
        <f aca="false">'2026 Forecast A'!C288</f>
        <v>EASTON 6TH WARD</v>
      </c>
      <c r="D334" s="10" t="n">
        <f aca="false">'2026 Forecast A'!G288</f>
        <v>0.720125786163522</v>
      </c>
      <c r="E334" s="10" t="n">
        <f aca="false">'2026 Forecast B'!G288</f>
        <v>0.720125786163522</v>
      </c>
      <c r="F334" s="10" t="n">
        <f aca="false">'2026 Forecast C'!G288</f>
        <v>0.735849056603774</v>
      </c>
      <c r="G334" s="38" t="n">
        <f aca="false">(MAX(D334:F334)-MIN(D334:F334))*100</f>
        <v>1.57232704402516</v>
      </c>
      <c r="H334" s="39" t="n">
        <f aca="false">'2026 Forecast A'!L288</f>
        <v>3.43333352273176</v>
      </c>
      <c r="I334" s="39" t="n">
        <f aca="false">'2026 Forecast B'!L288</f>
        <v>3.21167747490571</v>
      </c>
      <c r="J334" s="39" t="n">
        <f aca="false">'2026 Forecast C'!L288</f>
        <v>3.72283676191068</v>
      </c>
      <c r="K334" s="18" t="n">
        <f aca="false">'2026 Forecast A'!F288</f>
        <v>318</v>
      </c>
      <c r="L334" s="40" t="str">
        <f aca="false">IF(OR(AND(D334&gt;0.5,E334&gt;0.5,F334&gt;0.5),AND(D334&lt;0.5,E334&lt;0.5,F334&lt;0.5)),"Yes","No — toss-up")</f>
        <v>Yes</v>
      </c>
    </row>
    <row r="335" customFormat="false" ht="15" hidden="false" customHeight="false" outlineLevel="0" collapsed="false">
      <c r="A335" s="9" t="str">
        <f aca="false">'2026 Forecast A'!A289</f>
        <v>Northampton</v>
      </c>
      <c r="B335" s="9" t="str">
        <f aca="false">'2026 Forecast A'!B289</f>
        <v>EASTON</v>
      </c>
      <c r="C335" s="9" t="str">
        <f aca="false">'2026 Forecast A'!C289</f>
        <v>EASTON 7TH WARD</v>
      </c>
      <c r="D335" s="10" t="n">
        <f aca="false">'2026 Forecast A'!G289</f>
        <v>0.663817663817664</v>
      </c>
      <c r="E335" s="10" t="n">
        <f aca="false">'2026 Forecast B'!G289</f>
        <v>0.658119658119658</v>
      </c>
      <c r="F335" s="10" t="n">
        <f aca="false">'2026 Forecast C'!G289</f>
        <v>0.675213675213675</v>
      </c>
      <c r="G335" s="38" t="n">
        <f aca="false">(MAX(D335:F335)-MIN(D335:F335))*100</f>
        <v>1.70940170940171</v>
      </c>
      <c r="H335" s="39" t="n">
        <f aca="false">'2026 Forecast A'!L289</f>
        <v>3.43333352273176</v>
      </c>
      <c r="I335" s="39" t="n">
        <f aca="false">'2026 Forecast B'!L289</f>
        <v>3.21167747490571</v>
      </c>
      <c r="J335" s="39" t="n">
        <f aca="false">'2026 Forecast C'!L289</f>
        <v>3.72283676191068</v>
      </c>
      <c r="K335" s="18" t="n">
        <f aca="false">'2026 Forecast A'!F289</f>
        <v>351</v>
      </c>
      <c r="L335" s="40" t="str">
        <f aca="false">IF(OR(AND(D335&gt;0.5,E335&gt;0.5,F335&gt;0.5),AND(D335&lt;0.5,E335&lt;0.5,F335&lt;0.5)),"Yes","No — toss-up")</f>
        <v>Yes</v>
      </c>
    </row>
    <row r="336" customFormat="false" ht="15" hidden="false" customHeight="false" outlineLevel="0" collapsed="false">
      <c r="A336" s="9" t="str">
        <f aca="false">'2026 Forecast A'!A290</f>
        <v>Northampton</v>
      </c>
      <c r="B336" s="9" t="str">
        <f aca="false">'2026 Forecast A'!B290</f>
        <v>EASTON</v>
      </c>
      <c r="C336" s="9" t="str">
        <f aca="false">'2026 Forecast A'!C290</f>
        <v>EASTON 8TH WARD</v>
      </c>
      <c r="D336" s="10" t="n">
        <f aca="false">'2026 Forecast A'!G290</f>
        <v>0.683729433272395</v>
      </c>
      <c r="E336" s="10" t="n">
        <f aca="false">'2026 Forecast B'!G290</f>
        <v>0.67702620353443</v>
      </c>
      <c r="F336" s="10" t="n">
        <f aca="false">'2026 Forecast C'!G290</f>
        <v>0.697745277269957</v>
      </c>
      <c r="G336" s="38" t="n">
        <f aca="false">(MAX(D336:F336)-MIN(D336:F336))*100</f>
        <v>2.07190737355272</v>
      </c>
      <c r="H336" s="39" t="n">
        <f aca="false">'2026 Forecast A'!L290</f>
        <v>1.75369314833214</v>
      </c>
      <c r="I336" s="39" t="n">
        <f aca="false">'2026 Forecast B'!L290</f>
        <v>2.1038293183682</v>
      </c>
      <c r="J336" s="39" t="n">
        <f aca="false">'2026 Forecast C'!L290</f>
        <v>1.909243057213</v>
      </c>
      <c r="K336" s="18" t="n">
        <f aca="false">'2026 Forecast A'!F290</f>
        <v>1641</v>
      </c>
      <c r="L336" s="40" t="str">
        <f aca="false">IF(OR(AND(D336&gt;0.5,E336&gt;0.5,F336&gt;0.5),AND(D336&lt;0.5,E336&lt;0.5,F336&lt;0.5)),"Yes","No — toss-up")</f>
        <v>Yes</v>
      </c>
    </row>
    <row r="337" customFormat="false" ht="15" hidden="false" customHeight="false" outlineLevel="0" collapsed="false">
      <c r="A337" s="9" t="str">
        <f aca="false">'2026 Forecast A'!A291</f>
        <v>Northampton</v>
      </c>
      <c r="B337" s="9" t="str">
        <f aca="false">'2026 Forecast A'!B291</f>
        <v>EASTON</v>
      </c>
      <c r="C337" s="9" t="str">
        <f aca="false">'2026 Forecast A'!C291</f>
        <v>EASTON 9TH WARD</v>
      </c>
      <c r="D337" s="10" t="n">
        <f aca="false">'2026 Forecast A'!G291</f>
        <v>0.660907127429806</v>
      </c>
      <c r="E337" s="10" t="n">
        <f aca="false">'2026 Forecast B'!G291</f>
        <v>0.661987041036717</v>
      </c>
      <c r="F337" s="10" t="n">
        <f aca="false">'2026 Forecast C'!G291</f>
        <v>0.670626349892009</v>
      </c>
      <c r="G337" s="38" t="n">
        <f aca="false">(MAX(D337:F337)-MIN(D337:F337))*100</f>
        <v>0.971922246220303</v>
      </c>
      <c r="H337" s="39" t="n">
        <f aca="false">'2026 Forecast A'!L291</f>
        <v>2.13789583153489</v>
      </c>
      <c r="I337" s="39" t="n">
        <f aca="false">'2026 Forecast B'!L291</f>
        <v>2.24475965619494</v>
      </c>
      <c r="J337" s="39" t="n">
        <f aca="false">'2026 Forecast C'!L291</f>
        <v>2.3915225360787</v>
      </c>
      <c r="K337" s="18" t="n">
        <f aca="false">'2026 Forecast A'!F291</f>
        <v>926</v>
      </c>
      <c r="L337" s="40" t="str">
        <f aca="false">IF(OR(AND(D337&gt;0.5,E337&gt;0.5,F337&gt;0.5),AND(D337&lt;0.5,E337&lt;0.5,F337&lt;0.5)),"Yes","No — toss-up")</f>
        <v>Yes</v>
      </c>
    </row>
    <row r="338" customFormat="false" ht="15" hidden="false" customHeight="false" outlineLevel="0" collapsed="false">
      <c r="A338" s="9" t="str">
        <f aca="false">'2026 Forecast A'!A292</f>
        <v>Northampton</v>
      </c>
      <c r="B338" s="9" t="str">
        <f aca="false">'2026 Forecast A'!B292</f>
        <v>FORKS</v>
      </c>
      <c r="C338" s="9" t="str">
        <f aca="false">'2026 Forecast A'!C292</f>
        <v>FORKS TWSP EAST</v>
      </c>
      <c r="D338" s="10" t="n">
        <f aca="false">'2026 Forecast A'!G292</f>
        <v>0.530102790014684</v>
      </c>
      <c r="E338" s="10" t="n">
        <f aca="false">'2026 Forecast B'!G292</f>
        <v>0.520558002936858</v>
      </c>
      <c r="F338" s="10" t="n">
        <f aca="false">'2026 Forecast C'!G292</f>
        <v>0.533039647577093</v>
      </c>
      <c r="G338" s="38" t="n">
        <f aca="false">(MAX(D338:F338)-MIN(D338:F338))*100</f>
        <v>1.24816446402349</v>
      </c>
      <c r="H338" s="39" t="n">
        <f aca="false">'2026 Forecast A'!L292</f>
        <v>1.75369314833214</v>
      </c>
      <c r="I338" s="39" t="n">
        <f aca="false">'2026 Forecast B'!L292</f>
        <v>2.1038293183682</v>
      </c>
      <c r="J338" s="39" t="n">
        <f aca="false">'2026 Forecast C'!L292</f>
        <v>1.909243057213</v>
      </c>
      <c r="K338" s="18" t="n">
        <f aca="false">'2026 Forecast A'!F292</f>
        <v>1362</v>
      </c>
      <c r="L338" s="40" t="str">
        <f aca="false">IF(OR(AND(D338&gt;0.5,E338&gt;0.5,F338&gt;0.5),AND(D338&lt;0.5,E338&lt;0.5,F338&lt;0.5)),"Yes","No — toss-up")</f>
        <v>Yes</v>
      </c>
    </row>
    <row r="339" customFormat="false" ht="15" hidden="false" customHeight="false" outlineLevel="0" collapsed="false">
      <c r="A339" s="9" t="str">
        <f aca="false">'2026 Forecast A'!A293</f>
        <v>Northampton</v>
      </c>
      <c r="B339" s="9" t="str">
        <f aca="false">'2026 Forecast A'!B293</f>
        <v>FORKS</v>
      </c>
      <c r="C339" s="9" t="str">
        <f aca="false">'2026 Forecast A'!C293</f>
        <v>FORKS TWSP NORTH</v>
      </c>
      <c r="D339" s="10" t="n">
        <f aca="false">'2026 Forecast A'!G293</f>
        <v>0.519598906107566</v>
      </c>
      <c r="E339" s="10" t="n">
        <f aca="false">'2026 Forecast B'!G293</f>
        <v>0.514129443938013</v>
      </c>
      <c r="F339" s="10" t="n">
        <f aca="false">'2026 Forecast C'!G293</f>
        <v>0.525068368277119</v>
      </c>
      <c r="G339" s="38" t="n">
        <f aca="false">(MAX(D339:F339)-MIN(D339:F339))*100</f>
        <v>1.09389243391067</v>
      </c>
      <c r="H339" s="39" t="n">
        <f aca="false">'2026 Forecast A'!L293</f>
        <v>1.75369314833214</v>
      </c>
      <c r="I339" s="39" t="n">
        <f aca="false">'2026 Forecast B'!L293</f>
        <v>2.1038293183682</v>
      </c>
      <c r="J339" s="39" t="n">
        <f aca="false">'2026 Forecast C'!L293</f>
        <v>1.909243057213</v>
      </c>
      <c r="K339" s="18" t="n">
        <f aca="false">'2026 Forecast A'!F293</f>
        <v>1097</v>
      </c>
      <c r="L339" s="40" t="str">
        <f aca="false">IF(OR(AND(D339&gt;0.5,E339&gt;0.5,F339&gt;0.5),AND(D339&lt;0.5,E339&lt;0.5,F339&lt;0.5)),"Yes","No — toss-up")</f>
        <v>Yes</v>
      </c>
    </row>
    <row r="340" customFormat="false" ht="15" hidden="false" customHeight="false" outlineLevel="0" collapsed="false">
      <c r="A340" s="9" t="str">
        <f aca="false">'2026 Forecast A'!A294</f>
        <v>Northampton</v>
      </c>
      <c r="B340" s="9" t="str">
        <f aca="false">'2026 Forecast A'!B294</f>
        <v>FORKS</v>
      </c>
      <c r="C340" s="9" t="str">
        <f aca="false">'2026 Forecast A'!C294</f>
        <v>FORKS TWSP NORTHWEST</v>
      </c>
      <c r="D340" s="10" t="n">
        <f aca="false">'2026 Forecast A'!G294</f>
        <v>0.543889845094664</v>
      </c>
      <c r="E340" s="10" t="n">
        <f aca="false">'2026 Forecast B'!G294</f>
        <v>0.543889845094664</v>
      </c>
      <c r="F340" s="10" t="n">
        <f aca="false">'2026 Forecast C'!G294</f>
        <v>0.542168674698795</v>
      </c>
      <c r="G340" s="38" t="n">
        <f aca="false">(MAX(D340:F340)-MIN(D340:F340))*100</f>
        <v>0.172117039586928</v>
      </c>
      <c r="H340" s="39" t="n">
        <f aca="false">'2026 Forecast A'!L294</f>
        <v>2.13789583153489</v>
      </c>
      <c r="I340" s="39" t="n">
        <f aca="false">'2026 Forecast B'!L294</f>
        <v>2.24475965619494</v>
      </c>
      <c r="J340" s="39" t="n">
        <f aca="false">'2026 Forecast C'!L294</f>
        <v>2.3915225360787</v>
      </c>
      <c r="K340" s="18" t="n">
        <f aca="false">'2026 Forecast A'!F294</f>
        <v>581</v>
      </c>
      <c r="L340" s="40" t="str">
        <f aca="false">IF(OR(AND(D340&gt;0.5,E340&gt;0.5,F340&gt;0.5),AND(D340&lt;0.5,E340&lt;0.5,F340&lt;0.5)),"Yes","No — toss-up")</f>
        <v>Yes</v>
      </c>
    </row>
    <row r="341" customFormat="false" ht="15" hidden="false" customHeight="false" outlineLevel="0" collapsed="false">
      <c r="A341" s="9" t="str">
        <f aca="false">'2026 Forecast A'!A295</f>
        <v>Northampton</v>
      </c>
      <c r="B341" s="9" t="str">
        <f aca="false">'2026 Forecast A'!B295</f>
        <v>FORKS</v>
      </c>
      <c r="C341" s="9" t="str">
        <f aca="false">'2026 Forecast A'!C295</f>
        <v>FORKS TWSP SOUTH</v>
      </c>
      <c r="D341" s="10" t="n">
        <f aca="false">'2026 Forecast A'!G295</f>
        <v>0.521888412017167</v>
      </c>
      <c r="E341" s="10" t="n">
        <f aca="false">'2026 Forecast B'!G295</f>
        <v>0.51931330472103</v>
      </c>
      <c r="F341" s="10" t="n">
        <f aca="false">'2026 Forecast C'!G295</f>
        <v>0.527896995708155</v>
      </c>
      <c r="G341" s="38" t="n">
        <f aca="false">(MAX(D341:F341)-MIN(D341:F341))*100</f>
        <v>0.858369098712453</v>
      </c>
      <c r="H341" s="39" t="n">
        <f aca="false">'2026 Forecast A'!L295</f>
        <v>1.75369314833214</v>
      </c>
      <c r="I341" s="39" t="n">
        <f aca="false">'2026 Forecast B'!L295</f>
        <v>2.1038293183682</v>
      </c>
      <c r="J341" s="39" t="n">
        <f aca="false">'2026 Forecast C'!L295</f>
        <v>1.909243057213</v>
      </c>
      <c r="K341" s="18" t="n">
        <f aca="false">'2026 Forecast A'!F295</f>
        <v>1165</v>
      </c>
      <c r="L341" s="40" t="str">
        <f aca="false">IF(OR(AND(D341&gt;0.5,E341&gt;0.5,F341&gt;0.5),AND(D341&lt;0.5,E341&lt;0.5,F341&lt;0.5)),"Yes","No — toss-up")</f>
        <v>Yes</v>
      </c>
    </row>
    <row r="342" customFormat="false" ht="15" hidden="false" customHeight="false" outlineLevel="0" collapsed="false">
      <c r="A342" s="9" t="str">
        <f aca="false">'2026 Forecast A'!A296</f>
        <v>Northampton</v>
      </c>
      <c r="B342" s="9" t="str">
        <f aca="false">'2026 Forecast A'!B296</f>
        <v>FORKS</v>
      </c>
      <c r="C342" s="9" t="str">
        <f aca="false">'2026 Forecast A'!C296</f>
        <v>FORKS TWSP SOUTHEAST</v>
      </c>
      <c r="D342" s="10" t="n">
        <f aca="false">'2026 Forecast A'!G296</f>
        <v>0.521224086870681</v>
      </c>
      <c r="E342" s="10" t="n">
        <f aca="false">'2026 Forecast B'!G296</f>
        <v>0.528134254689042</v>
      </c>
      <c r="F342" s="10" t="n">
        <f aca="false">'2026 Forecast C'!G296</f>
        <v>0.527147087857848</v>
      </c>
      <c r="G342" s="38" t="n">
        <f aca="false">(MAX(D342:F342)-MIN(D342:F342))*100</f>
        <v>0.691016781836129</v>
      </c>
      <c r="H342" s="39" t="n">
        <f aca="false">'2026 Forecast A'!L296</f>
        <v>1.75369314833214</v>
      </c>
      <c r="I342" s="39" t="n">
        <f aca="false">'2026 Forecast B'!L296</f>
        <v>2.1038293183682</v>
      </c>
      <c r="J342" s="39" t="n">
        <f aca="false">'2026 Forecast C'!L296</f>
        <v>1.909243057213</v>
      </c>
      <c r="K342" s="18" t="n">
        <f aca="false">'2026 Forecast A'!F296</f>
        <v>1013</v>
      </c>
      <c r="L342" s="40" t="str">
        <f aca="false">IF(OR(AND(D342&gt;0.5,E342&gt;0.5,F342&gt;0.5),AND(D342&lt;0.5,E342&lt;0.5,F342&lt;0.5)),"Yes","No — toss-up")</f>
        <v>Yes</v>
      </c>
    </row>
    <row r="343" customFormat="false" ht="15" hidden="false" customHeight="false" outlineLevel="0" collapsed="false">
      <c r="A343" s="9" t="str">
        <f aca="false">'2026 Forecast A'!A297</f>
        <v>Northampton</v>
      </c>
      <c r="B343" s="9" t="str">
        <f aca="false">'2026 Forecast A'!B297</f>
        <v>FORKS</v>
      </c>
      <c r="C343" s="9" t="str">
        <f aca="false">'2026 Forecast A'!C297</f>
        <v>FORKS TWSP SOUTHWEST</v>
      </c>
      <c r="D343" s="10" t="n">
        <f aca="false">'2026 Forecast A'!G297</f>
        <v>0.518333333333333</v>
      </c>
      <c r="E343" s="10" t="n">
        <f aca="false">'2026 Forecast B'!G297</f>
        <v>0.515</v>
      </c>
      <c r="F343" s="10" t="n">
        <f aca="false">'2026 Forecast C'!G297</f>
        <v>0.524166666666667</v>
      </c>
      <c r="G343" s="38" t="n">
        <f aca="false">(MAX(D343:F343)-MIN(D343:F343))*100</f>
        <v>0.916666666666666</v>
      </c>
      <c r="H343" s="39" t="n">
        <f aca="false">'2026 Forecast A'!L297</f>
        <v>1.75369314833214</v>
      </c>
      <c r="I343" s="39" t="n">
        <f aca="false">'2026 Forecast B'!L297</f>
        <v>2.1038293183682</v>
      </c>
      <c r="J343" s="39" t="n">
        <f aca="false">'2026 Forecast C'!L297</f>
        <v>1.909243057213</v>
      </c>
      <c r="K343" s="18" t="n">
        <f aca="false">'2026 Forecast A'!F297</f>
        <v>1200</v>
      </c>
      <c r="L343" s="40" t="str">
        <f aca="false">IF(OR(AND(D343&gt;0.5,E343&gt;0.5,F343&gt;0.5),AND(D343&lt;0.5,E343&lt;0.5,F343&lt;0.5)),"Yes","No — toss-up")</f>
        <v>Yes</v>
      </c>
    </row>
    <row r="344" customFormat="false" ht="15" hidden="false" customHeight="false" outlineLevel="0" collapsed="false">
      <c r="A344" s="9" t="str">
        <f aca="false">'2026 Forecast A'!A298</f>
        <v>Northampton</v>
      </c>
      <c r="B344" s="9" t="str">
        <f aca="false">'2026 Forecast A'!B298</f>
        <v>FORKS</v>
      </c>
      <c r="C344" s="9" t="str">
        <f aca="false">'2026 Forecast A'!C298</f>
        <v>FORKS TWSP WEST</v>
      </c>
      <c r="D344" s="10" t="n">
        <f aca="false">'2026 Forecast A'!G298</f>
        <v>0.507389162561576</v>
      </c>
      <c r="E344" s="10" t="n">
        <f aca="false">'2026 Forecast B'!G298</f>
        <v>0.517241379310345</v>
      </c>
      <c r="F344" s="10" t="n">
        <f aca="false">'2026 Forecast C'!G298</f>
        <v>0.517241379310345</v>
      </c>
      <c r="G344" s="38" t="n">
        <f aca="false">(MAX(D344:F344)-MIN(D344:F344))*100</f>
        <v>0.985221674876846</v>
      </c>
      <c r="H344" s="39" t="n">
        <f aca="false">'2026 Forecast A'!L298</f>
        <v>2.13789583153489</v>
      </c>
      <c r="I344" s="39" t="n">
        <f aca="false">'2026 Forecast B'!L298</f>
        <v>2.24475965619494</v>
      </c>
      <c r="J344" s="39" t="n">
        <f aca="false">'2026 Forecast C'!L298</f>
        <v>2.3915225360787</v>
      </c>
      <c r="K344" s="18" t="n">
        <f aca="false">'2026 Forecast A'!F298</f>
        <v>609</v>
      </c>
      <c r="L344" s="40" t="str">
        <f aca="false">IF(OR(AND(D344&gt;0.5,E344&gt;0.5,F344&gt;0.5),AND(D344&lt;0.5,E344&lt;0.5,F344&lt;0.5)),"Yes","No — toss-up")</f>
        <v>Yes</v>
      </c>
    </row>
    <row r="345" customFormat="false" ht="15" hidden="false" customHeight="false" outlineLevel="0" collapsed="false">
      <c r="A345" s="9" t="str">
        <f aca="false">'2026 Forecast A'!A299</f>
        <v>Northampton</v>
      </c>
      <c r="B345" s="9" t="str">
        <f aca="false">'2026 Forecast A'!B299</f>
        <v>FREEMANSBURG</v>
      </c>
      <c r="C345" s="9" t="str">
        <f aca="false">'2026 Forecast A'!C299</f>
        <v>FREEMANSBURG</v>
      </c>
      <c r="D345" s="10" t="n">
        <f aca="false">'2026 Forecast A'!G299</f>
        <v>0.599260172626387</v>
      </c>
      <c r="E345" s="10" t="n">
        <f aca="false">'2026 Forecast B'!G299</f>
        <v>0.599260172626387</v>
      </c>
      <c r="F345" s="10" t="n">
        <f aca="false">'2026 Forecast C'!G299</f>
        <v>0.606658446362515</v>
      </c>
      <c r="G345" s="38" t="n">
        <f aca="false">(MAX(D345:F345)-MIN(D345:F345))*100</f>
        <v>0.739827373612823</v>
      </c>
      <c r="H345" s="39" t="n">
        <f aca="false">'2026 Forecast A'!L299</f>
        <v>2.13789583153489</v>
      </c>
      <c r="I345" s="39" t="n">
        <f aca="false">'2026 Forecast B'!L299</f>
        <v>2.24475965619494</v>
      </c>
      <c r="J345" s="39" t="n">
        <f aca="false">'2026 Forecast C'!L299</f>
        <v>2.3915225360787</v>
      </c>
      <c r="K345" s="18" t="n">
        <f aca="false">'2026 Forecast A'!F299</f>
        <v>811</v>
      </c>
      <c r="L345" s="40" t="str">
        <f aca="false">IF(OR(AND(D345&gt;0.5,E345&gt;0.5,F345&gt;0.5),AND(D345&lt;0.5,E345&lt;0.5,F345&lt;0.5)),"Yes","No — toss-up")</f>
        <v>Yes</v>
      </c>
    </row>
    <row r="346" customFormat="false" ht="15" hidden="false" customHeight="false" outlineLevel="0" collapsed="false">
      <c r="A346" s="9" t="str">
        <f aca="false">'2026 Forecast A'!A300</f>
        <v>Northampton</v>
      </c>
      <c r="B346" s="9" t="str">
        <f aca="false">'2026 Forecast A'!B300</f>
        <v>GLENDON</v>
      </c>
      <c r="C346" s="9" t="str">
        <f aca="false">'2026 Forecast A'!C300</f>
        <v>GLENDON</v>
      </c>
      <c r="D346" s="10" t="n">
        <f aca="false">'2026 Forecast A'!G300</f>
        <v>0.520833333333333</v>
      </c>
      <c r="E346" s="10" t="n">
        <f aca="false">'2026 Forecast B'!G300</f>
        <v>0.527777777777778</v>
      </c>
      <c r="F346" s="10" t="n">
        <f aca="false">'2026 Forecast C'!G300</f>
        <v>0.534722222222222</v>
      </c>
      <c r="G346" s="38" t="n">
        <f aca="false">(MAX(D346:F346)-MIN(D346:F346))*100</f>
        <v>1.38888888888888</v>
      </c>
      <c r="H346" s="39" t="n">
        <f aca="false">'2026 Forecast A'!L300</f>
        <v>3.43333352273176</v>
      </c>
      <c r="I346" s="39" t="n">
        <f aca="false">'2026 Forecast B'!L300</f>
        <v>3.21167747490571</v>
      </c>
      <c r="J346" s="39" t="n">
        <f aca="false">'2026 Forecast C'!L300</f>
        <v>3.72283676191068</v>
      </c>
      <c r="K346" s="18" t="n">
        <f aca="false">'2026 Forecast A'!F300</f>
        <v>144</v>
      </c>
      <c r="L346" s="40" t="str">
        <f aca="false">IF(OR(AND(D346&gt;0.5,E346&gt;0.5,F346&gt;0.5),AND(D346&lt;0.5,E346&lt;0.5,F346&lt;0.5)),"Yes","No — toss-up")</f>
        <v>Yes</v>
      </c>
    </row>
    <row r="347" customFormat="false" ht="15" hidden="false" customHeight="false" outlineLevel="0" collapsed="false">
      <c r="A347" s="9" t="str">
        <f aca="false">'2026 Forecast A'!A301</f>
        <v>Northampton</v>
      </c>
      <c r="B347" s="9" t="str">
        <f aca="false">'2026 Forecast A'!B301</f>
        <v>HANOVER</v>
      </c>
      <c r="C347" s="9" t="str">
        <f aca="false">'2026 Forecast A'!C301</f>
        <v>HANOVER #1</v>
      </c>
      <c r="D347" s="10" t="n">
        <f aca="false">'2026 Forecast A'!G301</f>
        <v>0.584876543209877</v>
      </c>
      <c r="E347" s="10" t="n">
        <f aca="false">'2026 Forecast B'!G301</f>
        <v>0.585648148148148</v>
      </c>
      <c r="F347" s="10" t="n">
        <f aca="false">'2026 Forecast C'!G301</f>
        <v>0.596450617283951</v>
      </c>
      <c r="G347" s="38" t="n">
        <f aca="false">(MAX(D347:F347)-MIN(D347:F347))*100</f>
        <v>1.15740740740741</v>
      </c>
      <c r="H347" s="39" t="n">
        <f aca="false">'2026 Forecast A'!L301</f>
        <v>1.75369314833214</v>
      </c>
      <c r="I347" s="39" t="n">
        <f aca="false">'2026 Forecast B'!L301</f>
        <v>2.1038293183682</v>
      </c>
      <c r="J347" s="39" t="n">
        <f aca="false">'2026 Forecast C'!L301</f>
        <v>1.909243057213</v>
      </c>
      <c r="K347" s="18" t="n">
        <f aca="false">'2026 Forecast A'!F301</f>
        <v>1296</v>
      </c>
      <c r="L347" s="40" t="str">
        <f aca="false">IF(OR(AND(D347&gt;0.5,E347&gt;0.5,F347&gt;0.5),AND(D347&lt;0.5,E347&lt;0.5,F347&lt;0.5)),"Yes","No — toss-up")</f>
        <v>Yes</v>
      </c>
    </row>
    <row r="348" customFormat="false" ht="15" hidden="false" customHeight="false" outlineLevel="0" collapsed="false">
      <c r="A348" s="9" t="str">
        <f aca="false">'2026 Forecast A'!A302</f>
        <v>Northampton</v>
      </c>
      <c r="B348" s="9" t="str">
        <f aca="false">'2026 Forecast A'!B302</f>
        <v>HANOVER</v>
      </c>
      <c r="C348" s="9" t="str">
        <f aca="false">'2026 Forecast A'!C302</f>
        <v>HANOVER #2</v>
      </c>
      <c r="D348" s="10" t="n">
        <f aca="false">'2026 Forecast A'!G302</f>
        <v>0.553272450532725</v>
      </c>
      <c r="E348" s="10" t="n">
        <f aca="false">'2026 Forecast B'!G302</f>
        <v>0.556316590563166</v>
      </c>
      <c r="F348" s="10" t="n">
        <f aca="false">'2026 Forecast C'!G302</f>
        <v>0.563926940639269</v>
      </c>
      <c r="G348" s="38" t="n">
        <f aca="false">(MAX(D348:F348)-MIN(D348:F348))*100</f>
        <v>1.06544901065448</v>
      </c>
      <c r="H348" s="39" t="n">
        <f aca="false">'2026 Forecast A'!L302</f>
        <v>1.75369314833214</v>
      </c>
      <c r="I348" s="39" t="n">
        <f aca="false">'2026 Forecast B'!L302</f>
        <v>2.1038293183682</v>
      </c>
      <c r="J348" s="39" t="n">
        <f aca="false">'2026 Forecast C'!L302</f>
        <v>1.909243057213</v>
      </c>
      <c r="K348" s="18" t="n">
        <f aca="false">'2026 Forecast A'!F302</f>
        <v>1314</v>
      </c>
      <c r="L348" s="40" t="str">
        <f aca="false">IF(OR(AND(D348&gt;0.5,E348&gt;0.5,F348&gt;0.5),AND(D348&lt;0.5,E348&lt;0.5,F348&lt;0.5)),"Yes","No — toss-up")</f>
        <v>Yes</v>
      </c>
    </row>
    <row r="349" customFormat="false" ht="15" hidden="false" customHeight="false" outlineLevel="0" collapsed="false">
      <c r="A349" s="9" t="str">
        <f aca="false">'2026 Forecast A'!A303</f>
        <v>Northampton</v>
      </c>
      <c r="B349" s="9" t="str">
        <f aca="false">'2026 Forecast A'!B303</f>
        <v>HANOVER</v>
      </c>
      <c r="C349" s="9" t="str">
        <f aca="false">'2026 Forecast A'!C303</f>
        <v>HANOVER #3</v>
      </c>
      <c r="D349" s="10" t="n">
        <f aca="false">'2026 Forecast A'!G303</f>
        <v>0.526027397260274</v>
      </c>
      <c r="E349" s="10" t="n">
        <f aca="false">'2026 Forecast B'!G303</f>
        <v>0.523287671232877</v>
      </c>
      <c r="F349" s="10" t="n">
        <f aca="false">'2026 Forecast C'!G303</f>
        <v>0.531506849315069</v>
      </c>
      <c r="G349" s="38" t="n">
        <f aca="false">(MAX(D349:F349)-MIN(D349:F349))*100</f>
        <v>0.821917808219186</v>
      </c>
      <c r="H349" s="39" t="n">
        <f aca="false">'2026 Forecast A'!L303</f>
        <v>2.13789583153489</v>
      </c>
      <c r="I349" s="39" t="n">
        <f aca="false">'2026 Forecast B'!L303</f>
        <v>2.24475965619494</v>
      </c>
      <c r="J349" s="39" t="n">
        <f aca="false">'2026 Forecast C'!L303</f>
        <v>2.3915225360787</v>
      </c>
      <c r="K349" s="18" t="n">
        <f aca="false">'2026 Forecast A'!F303</f>
        <v>730</v>
      </c>
      <c r="L349" s="40" t="str">
        <f aca="false">IF(OR(AND(D349&gt;0.5,E349&gt;0.5,F349&gt;0.5),AND(D349&lt;0.5,E349&lt;0.5,F349&lt;0.5)),"Yes","No — toss-up")</f>
        <v>Yes</v>
      </c>
    </row>
    <row r="350" customFormat="false" ht="15" hidden="false" customHeight="false" outlineLevel="0" collapsed="false">
      <c r="A350" s="9" t="str">
        <f aca="false">'2026 Forecast A'!A304</f>
        <v>Northampton</v>
      </c>
      <c r="B350" s="9" t="str">
        <f aca="false">'2026 Forecast A'!B304</f>
        <v>HANOVER</v>
      </c>
      <c r="C350" s="9" t="str">
        <f aca="false">'2026 Forecast A'!C304</f>
        <v>HANOVER #4</v>
      </c>
      <c r="D350" s="10" t="n">
        <f aca="false">'2026 Forecast A'!G304</f>
        <v>0.526406926406926</v>
      </c>
      <c r="E350" s="10" t="n">
        <f aca="false">'2026 Forecast B'!G304</f>
        <v>0.522077922077922</v>
      </c>
      <c r="F350" s="10" t="n">
        <f aca="false">'2026 Forecast C'!G304</f>
        <v>0.531601731601732</v>
      </c>
      <c r="G350" s="38" t="n">
        <f aca="false">(MAX(D350:F350)-MIN(D350:F350))*100</f>
        <v>0.95238095238096</v>
      </c>
      <c r="H350" s="39" t="n">
        <f aca="false">'2026 Forecast A'!L304</f>
        <v>1.75369314833214</v>
      </c>
      <c r="I350" s="39" t="n">
        <f aca="false">'2026 Forecast B'!L304</f>
        <v>2.1038293183682</v>
      </c>
      <c r="J350" s="39" t="n">
        <f aca="false">'2026 Forecast C'!L304</f>
        <v>1.909243057213</v>
      </c>
      <c r="K350" s="18" t="n">
        <f aca="false">'2026 Forecast A'!F304</f>
        <v>1155</v>
      </c>
      <c r="L350" s="40" t="str">
        <f aca="false">IF(OR(AND(D350&gt;0.5,E350&gt;0.5,F350&gt;0.5),AND(D350&lt;0.5,E350&lt;0.5,F350&lt;0.5)),"Yes","No — toss-up")</f>
        <v>Yes</v>
      </c>
    </row>
    <row r="351" customFormat="false" ht="15" hidden="false" customHeight="false" outlineLevel="0" collapsed="false">
      <c r="A351" s="9" t="str">
        <f aca="false">'2026 Forecast A'!A305</f>
        <v>Northampton</v>
      </c>
      <c r="B351" s="9" t="str">
        <f aca="false">'2026 Forecast A'!B305</f>
        <v>HANOVER</v>
      </c>
      <c r="C351" s="9" t="str">
        <f aca="false">'2026 Forecast A'!C305</f>
        <v>HANOVER #5</v>
      </c>
      <c r="D351" s="10" t="n">
        <f aca="false">'2026 Forecast A'!G305</f>
        <v>0.5503746877602</v>
      </c>
      <c r="E351" s="10" t="n">
        <f aca="false">'2026 Forecast B'!G305</f>
        <v>0.548709408825978</v>
      </c>
      <c r="F351" s="10" t="n">
        <f aca="false">'2026 Forecast C'!G305</f>
        <v>0.559533721898418</v>
      </c>
      <c r="G351" s="38" t="n">
        <f aca="false">(MAX(D351:F351)-MIN(D351:F351))*100</f>
        <v>1.08243130724396</v>
      </c>
      <c r="H351" s="39" t="n">
        <f aca="false">'2026 Forecast A'!L305</f>
        <v>1.75369314833214</v>
      </c>
      <c r="I351" s="39" t="n">
        <f aca="false">'2026 Forecast B'!L305</f>
        <v>2.1038293183682</v>
      </c>
      <c r="J351" s="39" t="n">
        <f aca="false">'2026 Forecast C'!L305</f>
        <v>1.909243057213</v>
      </c>
      <c r="K351" s="18" t="n">
        <f aca="false">'2026 Forecast A'!F305</f>
        <v>1201</v>
      </c>
      <c r="L351" s="40" t="str">
        <f aca="false">IF(OR(AND(D351&gt;0.5,E351&gt;0.5,F351&gt;0.5),AND(D351&lt;0.5,E351&lt;0.5,F351&lt;0.5)),"Yes","No — toss-up")</f>
        <v>Yes</v>
      </c>
    </row>
    <row r="352" customFormat="false" ht="15" hidden="false" customHeight="false" outlineLevel="0" collapsed="false">
      <c r="A352" s="9" t="str">
        <f aca="false">'2026 Forecast A'!A306</f>
        <v>Northampton</v>
      </c>
      <c r="B352" s="9" t="str">
        <f aca="false">'2026 Forecast A'!B306</f>
        <v>HANOVER</v>
      </c>
      <c r="C352" s="9" t="str">
        <f aca="false">'2026 Forecast A'!C306</f>
        <v>HANOVER #6</v>
      </c>
      <c r="D352" s="10" t="n">
        <f aca="false">'2026 Forecast A'!G306</f>
        <v>0.532876712328767</v>
      </c>
      <c r="E352" s="10" t="n">
        <f aca="false">'2026 Forecast B'!G306</f>
        <v>0.53013698630137</v>
      </c>
      <c r="F352" s="10" t="n">
        <f aca="false">'2026 Forecast C'!G306</f>
        <v>0.541095890410959</v>
      </c>
      <c r="G352" s="38" t="n">
        <f aca="false">(MAX(D352:F352)-MIN(D352:F352))*100</f>
        <v>1.09589041095891</v>
      </c>
      <c r="H352" s="39" t="n">
        <f aca="false">'2026 Forecast A'!L306</f>
        <v>2.13789583153489</v>
      </c>
      <c r="I352" s="39" t="n">
        <f aca="false">'2026 Forecast B'!L306</f>
        <v>2.24475965619494</v>
      </c>
      <c r="J352" s="39" t="n">
        <f aca="false">'2026 Forecast C'!L306</f>
        <v>2.3915225360787</v>
      </c>
      <c r="K352" s="18" t="n">
        <f aca="false">'2026 Forecast A'!F306</f>
        <v>730</v>
      </c>
      <c r="L352" s="40" t="str">
        <f aca="false">IF(OR(AND(D352&gt;0.5,E352&gt;0.5,F352&gt;0.5),AND(D352&lt;0.5,E352&lt;0.5,F352&lt;0.5)),"Yes","No — toss-up")</f>
        <v>Yes</v>
      </c>
    </row>
    <row r="353" customFormat="false" ht="15" hidden="false" customHeight="false" outlineLevel="0" collapsed="false">
      <c r="A353" s="9" t="str">
        <f aca="false">'2026 Forecast A'!A307</f>
        <v>Northampton</v>
      </c>
      <c r="B353" s="9" t="str">
        <f aca="false">'2026 Forecast A'!B307</f>
        <v>HELLERTOWN</v>
      </c>
      <c r="C353" s="9" t="str">
        <f aca="false">'2026 Forecast A'!C307</f>
        <v>HELLERTOWN BORO 1ST WARD</v>
      </c>
      <c r="D353" s="10" t="n">
        <f aca="false">'2026 Forecast A'!G307</f>
        <v>0.496703296703297</v>
      </c>
      <c r="E353" s="10" t="n">
        <f aca="false">'2026 Forecast B'!G307</f>
        <v>0.5</v>
      </c>
      <c r="F353" s="10" t="n">
        <f aca="false">'2026 Forecast C'!G307</f>
        <v>0.497802197802198</v>
      </c>
      <c r="G353" s="38" t="n">
        <f aca="false">(MAX(D353:F353)-MIN(D353:F353))*100</f>
        <v>0.329670329670329</v>
      </c>
      <c r="H353" s="39" t="n">
        <f aca="false">'2026 Forecast A'!L307</f>
        <v>2.13789583153489</v>
      </c>
      <c r="I353" s="39" t="n">
        <f aca="false">'2026 Forecast B'!L307</f>
        <v>2.24475965619494</v>
      </c>
      <c r="J353" s="39" t="n">
        <f aca="false">'2026 Forecast C'!L307</f>
        <v>2.3915225360787</v>
      </c>
      <c r="K353" s="18" t="n">
        <f aca="false">'2026 Forecast A'!F307</f>
        <v>910</v>
      </c>
      <c r="L353" s="40" t="str">
        <f aca="false">IF(OR(AND(D353&gt;0.5,E353&gt;0.5,F353&gt;0.5),AND(D353&lt;0.5,E353&lt;0.5,F353&lt;0.5)),"Yes","No — toss-up")</f>
        <v>No — toss-up</v>
      </c>
    </row>
    <row r="354" customFormat="false" ht="15" hidden="false" customHeight="false" outlineLevel="0" collapsed="false">
      <c r="A354" s="9" t="str">
        <f aca="false">'2026 Forecast A'!A308</f>
        <v>Northampton</v>
      </c>
      <c r="B354" s="9" t="str">
        <f aca="false">'2026 Forecast A'!B308</f>
        <v>HELLERTOWN</v>
      </c>
      <c r="C354" s="9" t="str">
        <f aca="false">'2026 Forecast A'!C308</f>
        <v>HELLERTOWN BORO 2ND WARD</v>
      </c>
      <c r="D354" s="10" t="n">
        <f aca="false">'2026 Forecast A'!G308</f>
        <v>0.516405135520685</v>
      </c>
      <c r="E354" s="10" t="n">
        <f aca="false">'2026 Forecast B'!G308</f>
        <v>0.522111269614836</v>
      </c>
      <c r="F354" s="10" t="n">
        <f aca="false">'2026 Forecast C'!G308</f>
        <v>0.520684736091298</v>
      </c>
      <c r="G354" s="38" t="n">
        <f aca="false">(MAX(D354:F354)-MIN(D354:F354))*100</f>
        <v>0.570613409415111</v>
      </c>
      <c r="H354" s="39" t="n">
        <f aca="false">'2026 Forecast A'!L308</f>
        <v>2.13789583153489</v>
      </c>
      <c r="I354" s="39" t="n">
        <f aca="false">'2026 Forecast B'!L308</f>
        <v>2.24475965619494</v>
      </c>
      <c r="J354" s="39" t="n">
        <f aca="false">'2026 Forecast C'!L308</f>
        <v>2.3915225360787</v>
      </c>
      <c r="K354" s="18" t="n">
        <f aca="false">'2026 Forecast A'!F308</f>
        <v>701</v>
      </c>
      <c r="L354" s="40" t="str">
        <f aca="false">IF(OR(AND(D354&gt;0.5,E354&gt;0.5,F354&gt;0.5),AND(D354&lt;0.5,E354&lt;0.5,F354&lt;0.5)),"Yes","No — toss-up")</f>
        <v>Yes</v>
      </c>
    </row>
    <row r="355" customFormat="false" ht="15" hidden="false" customHeight="false" outlineLevel="0" collapsed="false">
      <c r="A355" s="9" t="str">
        <f aca="false">'2026 Forecast A'!A309</f>
        <v>Northampton</v>
      </c>
      <c r="B355" s="9" t="str">
        <f aca="false">'2026 Forecast A'!B309</f>
        <v>HELLERTOWN</v>
      </c>
      <c r="C355" s="9" t="str">
        <f aca="false">'2026 Forecast A'!C309</f>
        <v>HELLERTOWN BORO 3RD WARD</v>
      </c>
      <c r="D355" s="10" t="n">
        <f aca="false">'2026 Forecast A'!G309</f>
        <v>0.532940019665683</v>
      </c>
      <c r="E355" s="10" t="n">
        <f aca="false">'2026 Forecast B'!G309</f>
        <v>0.530973451327434</v>
      </c>
      <c r="F355" s="10" t="n">
        <f aca="false">'2026 Forecast C'!G309</f>
        <v>0.538839724680433</v>
      </c>
      <c r="G355" s="38" t="n">
        <f aca="false">(MAX(D355:F355)-MIN(D355:F355))*100</f>
        <v>0.786627335299894</v>
      </c>
      <c r="H355" s="39" t="n">
        <f aca="false">'2026 Forecast A'!L309</f>
        <v>1.75369314833214</v>
      </c>
      <c r="I355" s="39" t="n">
        <f aca="false">'2026 Forecast B'!L309</f>
        <v>2.1038293183682</v>
      </c>
      <c r="J355" s="39" t="n">
        <f aca="false">'2026 Forecast C'!L309</f>
        <v>1.909243057213</v>
      </c>
      <c r="K355" s="18" t="n">
        <f aca="false">'2026 Forecast A'!F309</f>
        <v>1017</v>
      </c>
      <c r="L355" s="40" t="str">
        <f aca="false">IF(OR(AND(D355&gt;0.5,E355&gt;0.5,F355&gt;0.5),AND(D355&lt;0.5,E355&lt;0.5,F355&lt;0.5)),"Yes","No — toss-up")</f>
        <v>Yes</v>
      </c>
    </row>
    <row r="356" customFormat="false" ht="15" hidden="false" customHeight="false" outlineLevel="0" collapsed="false">
      <c r="A356" s="9" t="str">
        <f aca="false">'2026 Forecast A'!A310</f>
        <v>Northampton</v>
      </c>
      <c r="B356" s="9" t="str">
        <f aca="false">'2026 Forecast A'!B310</f>
        <v>LEHIGH</v>
      </c>
      <c r="C356" s="9" t="str">
        <f aca="false">'2026 Forecast A'!C310</f>
        <v>LEHIGH TWSP - CENTRAL</v>
      </c>
      <c r="D356" s="10" t="n">
        <f aca="false">'2026 Forecast A'!G310</f>
        <v>0.341299477221807</v>
      </c>
      <c r="E356" s="10" t="n">
        <f aca="false">'2026 Forecast B'!G310</f>
        <v>0.344286781179985</v>
      </c>
      <c r="F356" s="10" t="n">
        <f aca="false">'2026 Forecast C'!G310</f>
        <v>0.325616131441374</v>
      </c>
      <c r="G356" s="38" t="n">
        <f aca="false">(MAX(D356:F356)-MIN(D356:F356))*100</f>
        <v>1.86706497386109</v>
      </c>
      <c r="H356" s="39" t="n">
        <f aca="false">'2026 Forecast A'!L310</f>
        <v>1.75369314833214</v>
      </c>
      <c r="I356" s="39" t="n">
        <f aca="false">'2026 Forecast B'!L310</f>
        <v>2.1038293183682</v>
      </c>
      <c r="J356" s="39" t="n">
        <f aca="false">'2026 Forecast C'!L310</f>
        <v>1.909243057213</v>
      </c>
      <c r="K356" s="18" t="n">
        <f aca="false">'2026 Forecast A'!F310</f>
        <v>1339</v>
      </c>
      <c r="L356" s="40" t="str">
        <f aca="false">IF(OR(AND(D356&gt;0.5,E356&gt;0.5,F356&gt;0.5),AND(D356&lt;0.5,E356&lt;0.5,F356&lt;0.5)),"Yes","No — toss-up")</f>
        <v>Yes</v>
      </c>
    </row>
    <row r="357" customFormat="false" ht="15" hidden="false" customHeight="false" outlineLevel="0" collapsed="false">
      <c r="A357" s="9" t="str">
        <f aca="false">'2026 Forecast A'!A311</f>
        <v>Northampton</v>
      </c>
      <c r="B357" s="9" t="str">
        <f aca="false">'2026 Forecast A'!B311</f>
        <v>LEHIGH</v>
      </c>
      <c r="C357" s="9" t="str">
        <f aca="false">'2026 Forecast A'!C311</f>
        <v>LEHIGH TWSP - DANIELSVILLE</v>
      </c>
      <c r="D357" s="10" t="n">
        <f aca="false">'2026 Forecast A'!G311</f>
        <v>0.345150501672241</v>
      </c>
      <c r="E357" s="10" t="n">
        <f aca="false">'2026 Forecast B'!G311</f>
        <v>0.34314381270903</v>
      </c>
      <c r="F357" s="10" t="n">
        <f aca="false">'2026 Forecast C'!G311</f>
        <v>0.331772575250836</v>
      </c>
      <c r="G357" s="38" t="n">
        <f aca="false">(MAX(D357:F357)-MIN(D357:F357))*100</f>
        <v>1.33779264214047</v>
      </c>
      <c r="H357" s="39" t="n">
        <f aca="false">'2026 Forecast A'!L311</f>
        <v>1.75369314833214</v>
      </c>
      <c r="I357" s="39" t="n">
        <f aca="false">'2026 Forecast B'!L311</f>
        <v>2.1038293183682</v>
      </c>
      <c r="J357" s="39" t="n">
        <f aca="false">'2026 Forecast C'!L311</f>
        <v>1.909243057213</v>
      </c>
      <c r="K357" s="18" t="n">
        <f aca="false">'2026 Forecast A'!F311</f>
        <v>1495</v>
      </c>
      <c r="L357" s="40" t="str">
        <f aca="false">IF(OR(AND(D357&gt;0.5,E357&gt;0.5,F357&gt;0.5),AND(D357&lt;0.5,E357&lt;0.5,F357&lt;0.5)),"Yes","No — toss-up")</f>
        <v>Yes</v>
      </c>
    </row>
    <row r="358" customFormat="false" ht="15" hidden="false" customHeight="false" outlineLevel="0" collapsed="false">
      <c r="A358" s="9" t="str">
        <f aca="false">'2026 Forecast A'!A312</f>
        <v>Northampton</v>
      </c>
      <c r="B358" s="9" t="str">
        <f aca="false">'2026 Forecast A'!B312</f>
        <v>LEHIGH</v>
      </c>
      <c r="C358" s="9" t="str">
        <f aca="false">'2026 Forecast A'!C312</f>
        <v>LEHIGH TWSP - NORTHWESTERN</v>
      </c>
      <c r="D358" s="10" t="n">
        <f aca="false">'2026 Forecast A'!G312</f>
        <v>0.32156862745098</v>
      </c>
      <c r="E358" s="10" t="n">
        <f aca="false">'2026 Forecast B'!G312</f>
        <v>0.323529411764706</v>
      </c>
      <c r="F358" s="10" t="n">
        <f aca="false">'2026 Forecast C'!G312</f>
        <v>0.305882352941177</v>
      </c>
      <c r="G358" s="38" t="n">
        <f aca="false">(MAX(D358:F358)-MIN(D358:F358))*100</f>
        <v>1.76470588235294</v>
      </c>
      <c r="H358" s="39" t="n">
        <f aca="false">'2026 Forecast A'!L312</f>
        <v>3.43333352273176</v>
      </c>
      <c r="I358" s="39" t="n">
        <f aca="false">'2026 Forecast B'!L312</f>
        <v>3.21167747490571</v>
      </c>
      <c r="J358" s="39" t="n">
        <f aca="false">'2026 Forecast C'!L312</f>
        <v>3.72283676191068</v>
      </c>
      <c r="K358" s="18" t="n">
        <f aca="false">'2026 Forecast A'!F312</f>
        <v>510</v>
      </c>
      <c r="L358" s="40" t="str">
        <f aca="false">IF(OR(AND(D358&gt;0.5,E358&gt;0.5,F358&gt;0.5),AND(D358&lt;0.5,E358&lt;0.5,F358&lt;0.5)),"Yes","No — toss-up")</f>
        <v>Yes</v>
      </c>
    </row>
    <row r="359" customFormat="false" ht="15" hidden="false" customHeight="false" outlineLevel="0" collapsed="false">
      <c r="A359" s="9" t="str">
        <f aca="false">'2026 Forecast A'!A313</f>
        <v>Northampton</v>
      </c>
      <c r="B359" s="9" t="str">
        <f aca="false">'2026 Forecast A'!B313</f>
        <v>LEHIGH</v>
      </c>
      <c r="C359" s="9" t="str">
        <f aca="false">'2026 Forecast A'!C313</f>
        <v>LEHIGH TWSP - PENNSVILLE</v>
      </c>
      <c r="D359" s="10" t="n">
        <f aca="false">'2026 Forecast A'!G313</f>
        <v>0.34625322997416</v>
      </c>
      <c r="E359" s="10" t="n">
        <f aca="false">'2026 Forecast B'!G313</f>
        <v>0.348837209302326</v>
      </c>
      <c r="F359" s="10" t="n">
        <f aca="false">'2026 Forecast C'!G313</f>
        <v>0.332472006890612</v>
      </c>
      <c r="G359" s="38" t="n">
        <f aca="false">(MAX(D359:F359)-MIN(D359:F359))*100</f>
        <v>1.63652024117141</v>
      </c>
      <c r="H359" s="39" t="n">
        <f aca="false">'2026 Forecast A'!L313</f>
        <v>1.75369314833214</v>
      </c>
      <c r="I359" s="39" t="n">
        <f aca="false">'2026 Forecast B'!L313</f>
        <v>2.1038293183682</v>
      </c>
      <c r="J359" s="39" t="n">
        <f aca="false">'2026 Forecast C'!L313</f>
        <v>1.909243057213</v>
      </c>
      <c r="K359" s="18" t="n">
        <f aca="false">'2026 Forecast A'!F313</f>
        <v>1161</v>
      </c>
      <c r="L359" s="40" t="str">
        <f aca="false">IF(OR(AND(D359&gt;0.5,E359&gt;0.5,F359&gt;0.5),AND(D359&lt;0.5,E359&lt;0.5,F359&lt;0.5)),"Yes","No — toss-up")</f>
        <v>Yes</v>
      </c>
    </row>
    <row r="360" customFormat="false" ht="15" hidden="false" customHeight="false" outlineLevel="0" collapsed="false">
      <c r="A360" s="9" t="str">
        <f aca="false">'2026 Forecast A'!A314</f>
        <v>Northampton</v>
      </c>
      <c r="B360" s="9" t="str">
        <f aca="false">'2026 Forecast A'!B314</f>
        <v>LEHIGH</v>
      </c>
      <c r="C360" s="9" t="str">
        <f aca="false">'2026 Forecast A'!C314</f>
        <v>LEHIGH TWSP - TREICHLERS</v>
      </c>
      <c r="D360" s="10" t="n">
        <f aca="false">'2026 Forecast A'!G314</f>
        <v>0.364945978391357</v>
      </c>
      <c r="E360" s="10" t="n">
        <f aca="false">'2026 Forecast B'!G314</f>
        <v>0.358943577430972</v>
      </c>
      <c r="F360" s="10" t="n">
        <f aca="false">'2026 Forecast C'!G314</f>
        <v>0.350540216086435</v>
      </c>
      <c r="G360" s="38" t="n">
        <f aca="false">(MAX(D360:F360)-MIN(D360:F360))*100</f>
        <v>1.4405762304922</v>
      </c>
      <c r="H360" s="39" t="n">
        <f aca="false">'2026 Forecast A'!L314</f>
        <v>2.13789583153489</v>
      </c>
      <c r="I360" s="39" t="n">
        <f aca="false">'2026 Forecast B'!L314</f>
        <v>2.24475965619494</v>
      </c>
      <c r="J360" s="39" t="n">
        <f aca="false">'2026 Forecast C'!L314</f>
        <v>2.3915225360787</v>
      </c>
      <c r="K360" s="18" t="n">
        <f aca="false">'2026 Forecast A'!F314</f>
        <v>833</v>
      </c>
      <c r="L360" s="40" t="str">
        <f aca="false">IF(OR(AND(D360&gt;0.5,E360&gt;0.5,F360&gt;0.5),AND(D360&lt;0.5,E360&lt;0.5,F360&lt;0.5)),"Yes","No — toss-up")</f>
        <v>Yes</v>
      </c>
    </row>
    <row r="361" customFormat="false" ht="15" hidden="false" customHeight="false" outlineLevel="0" collapsed="false">
      <c r="A361" s="9" t="str">
        <f aca="false">'2026 Forecast A'!A315</f>
        <v>Northampton</v>
      </c>
      <c r="B361" s="9" t="str">
        <f aca="false">'2026 Forecast A'!B315</f>
        <v>LOWER MOUNT BETHEL</v>
      </c>
      <c r="C361" s="9" t="str">
        <f aca="false">'2026 Forecast A'!C315</f>
        <v>LOWER MT BETHEL - LOWER</v>
      </c>
      <c r="D361" s="10" t="n">
        <f aca="false">'2026 Forecast A'!G315</f>
        <v>0.358778625954198</v>
      </c>
      <c r="E361" s="10" t="n">
        <f aca="false">'2026 Forecast B'!G315</f>
        <v>0.358778625954198</v>
      </c>
      <c r="F361" s="10" t="n">
        <f aca="false">'2026 Forecast C'!G315</f>
        <v>0.358778625954198</v>
      </c>
      <c r="G361" s="38" t="n">
        <f aca="false">(MAX(D361:F361)-MIN(D361:F361))*100</f>
        <v>0</v>
      </c>
      <c r="H361" s="39" t="n">
        <f aca="false">'2026 Forecast A'!L315</f>
        <v>3.43333352273176</v>
      </c>
      <c r="I361" s="39" t="n">
        <f aca="false">'2026 Forecast B'!L315</f>
        <v>3.21167747490571</v>
      </c>
      <c r="J361" s="39" t="n">
        <f aca="false">'2026 Forecast C'!L315</f>
        <v>3.72283676191068</v>
      </c>
      <c r="K361" s="18" t="n">
        <f aca="false">'2026 Forecast A'!F315</f>
        <v>131</v>
      </c>
      <c r="L361" s="40" t="str">
        <f aca="false">IF(OR(AND(D361&gt;0.5,E361&gt;0.5,F361&gt;0.5),AND(D361&lt;0.5,E361&lt;0.5,F361&lt;0.5)),"Yes","No — toss-up")</f>
        <v>Yes</v>
      </c>
    </row>
    <row r="362" customFormat="false" ht="15" hidden="false" customHeight="false" outlineLevel="0" collapsed="false">
      <c r="A362" s="9" t="str">
        <f aca="false">'2026 Forecast A'!A316</f>
        <v>Northampton</v>
      </c>
      <c r="B362" s="9" t="str">
        <f aca="false">'2026 Forecast A'!B316</f>
        <v>LOWER MOUNT BETHEL</v>
      </c>
      <c r="C362" s="9" t="str">
        <f aca="false">'2026 Forecast A'!C316</f>
        <v>LOWER MT BETHEL - UPPER</v>
      </c>
      <c r="D362" s="10" t="n">
        <f aca="false">'2026 Forecast A'!G316</f>
        <v>0.332579185520362</v>
      </c>
      <c r="E362" s="10" t="n">
        <f aca="false">'2026 Forecast B'!G316</f>
        <v>0.33710407239819</v>
      </c>
      <c r="F362" s="10" t="n">
        <f aca="false">'2026 Forecast C'!G316</f>
        <v>0.319004524886878</v>
      </c>
      <c r="G362" s="38" t="n">
        <f aca="false">(MAX(D362:F362)-MIN(D362:F362))*100</f>
        <v>1.80995475113123</v>
      </c>
      <c r="H362" s="39" t="n">
        <f aca="false">'2026 Forecast A'!L316</f>
        <v>2.13789583153489</v>
      </c>
      <c r="I362" s="39" t="n">
        <f aca="false">'2026 Forecast B'!L316</f>
        <v>2.24475965619494</v>
      </c>
      <c r="J362" s="39" t="n">
        <f aca="false">'2026 Forecast C'!L316</f>
        <v>2.3915225360787</v>
      </c>
      <c r="K362" s="18" t="n">
        <f aca="false">'2026 Forecast A'!F316</f>
        <v>884</v>
      </c>
      <c r="L362" s="40" t="str">
        <f aca="false">IF(OR(AND(D362&gt;0.5,E362&gt;0.5,F362&gt;0.5),AND(D362&lt;0.5,E362&lt;0.5,F362&lt;0.5)),"Yes","No — toss-up")</f>
        <v>Yes</v>
      </c>
    </row>
    <row r="363" customFormat="false" ht="15" hidden="false" customHeight="false" outlineLevel="0" collapsed="false">
      <c r="A363" s="9" t="str">
        <f aca="false">'2026 Forecast A'!A317</f>
        <v>Northampton</v>
      </c>
      <c r="B363" s="9" t="str">
        <f aca="false">'2026 Forecast A'!B317</f>
        <v>LOWER NAZARETH</v>
      </c>
      <c r="C363" s="9" t="str">
        <f aca="false">'2026 Forecast A'!C317</f>
        <v>LOWER NAZARETH EAST</v>
      </c>
      <c r="D363" s="10" t="n">
        <f aca="false">'2026 Forecast A'!G317</f>
        <v>0.454545454545455</v>
      </c>
      <c r="E363" s="10" t="n">
        <f aca="false">'2026 Forecast B'!G317</f>
        <v>0.454545454545455</v>
      </c>
      <c r="F363" s="10" t="n">
        <f aca="false">'2026 Forecast C'!G317</f>
        <v>0.454545454545455</v>
      </c>
      <c r="G363" s="38" t="n">
        <f aca="false">(MAX(D363:F363)-MIN(D363:F363))*100</f>
        <v>0</v>
      </c>
      <c r="H363" s="39" t="n">
        <f aca="false">'2026 Forecast A'!L317</f>
        <v>3.43333352273176</v>
      </c>
      <c r="I363" s="39" t="n">
        <f aca="false">'2026 Forecast B'!L317</f>
        <v>3.21167747490571</v>
      </c>
      <c r="J363" s="39" t="n">
        <f aca="false">'2026 Forecast C'!L317</f>
        <v>3.72283676191068</v>
      </c>
      <c r="K363" s="18" t="n">
        <f aca="false">'2026 Forecast A'!F317</f>
        <v>88</v>
      </c>
      <c r="L363" s="40" t="str">
        <f aca="false">IF(OR(AND(D363&gt;0.5,E363&gt;0.5,F363&gt;0.5),AND(D363&lt;0.5,E363&lt;0.5,F363&lt;0.5)),"Yes","No — toss-up")</f>
        <v>Yes</v>
      </c>
    </row>
    <row r="364" customFormat="false" ht="15" hidden="false" customHeight="false" outlineLevel="0" collapsed="false">
      <c r="A364" s="9" t="str">
        <f aca="false">'2026 Forecast A'!A318</f>
        <v>Northampton</v>
      </c>
      <c r="B364" s="9" t="str">
        <f aca="false">'2026 Forecast A'!B318</f>
        <v>LOWER NAZARETH</v>
      </c>
      <c r="C364" s="9" t="str">
        <f aca="false">'2026 Forecast A'!C318</f>
        <v>LOWER NAZARETH NORTH</v>
      </c>
      <c r="D364" s="10" t="n">
        <f aca="false">'2026 Forecast A'!G318</f>
        <v>0.462272333044232</v>
      </c>
      <c r="E364" s="10" t="n">
        <f aca="false">'2026 Forecast B'!G318</f>
        <v>0.458803122289679</v>
      </c>
      <c r="F364" s="10" t="n">
        <f aca="false">'2026 Forecast C'!G318</f>
        <v>0.458803122289679</v>
      </c>
      <c r="G364" s="38" t="n">
        <f aca="false">(MAX(D364:F364)-MIN(D364:F364))*100</f>
        <v>0.346921075455331</v>
      </c>
      <c r="H364" s="39" t="n">
        <f aca="false">'2026 Forecast A'!L318</f>
        <v>1.75369314833214</v>
      </c>
      <c r="I364" s="39" t="n">
        <f aca="false">'2026 Forecast B'!L318</f>
        <v>2.1038293183682</v>
      </c>
      <c r="J364" s="39" t="n">
        <f aca="false">'2026 Forecast C'!L318</f>
        <v>1.909243057213</v>
      </c>
      <c r="K364" s="18" t="n">
        <f aca="false">'2026 Forecast A'!F318</f>
        <v>1153</v>
      </c>
      <c r="L364" s="40" t="str">
        <f aca="false">IF(OR(AND(D364&gt;0.5,E364&gt;0.5,F364&gt;0.5),AND(D364&lt;0.5,E364&lt;0.5,F364&lt;0.5)),"Yes","No — toss-up")</f>
        <v>Yes</v>
      </c>
    </row>
    <row r="365" customFormat="false" ht="15" hidden="false" customHeight="false" outlineLevel="0" collapsed="false">
      <c r="A365" s="9" t="str">
        <f aca="false">'2026 Forecast A'!A319</f>
        <v>Northampton</v>
      </c>
      <c r="B365" s="9" t="str">
        <f aca="false">'2026 Forecast A'!B319</f>
        <v>LOWER NAZARETH</v>
      </c>
      <c r="C365" s="9" t="str">
        <f aca="false">'2026 Forecast A'!C319</f>
        <v>LOWER NAZARETH SOUTH</v>
      </c>
      <c r="D365" s="10" t="n">
        <f aca="false">'2026 Forecast A'!G319</f>
        <v>0.43429158110883</v>
      </c>
      <c r="E365" s="10" t="n">
        <f aca="false">'2026 Forecast B'!G319</f>
        <v>0.431211498973306</v>
      </c>
      <c r="F365" s="10" t="n">
        <f aca="false">'2026 Forecast C'!G319</f>
        <v>0.431211498973306</v>
      </c>
      <c r="G365" s="38" t="n">
        <f aca="false">(MAX(D365:F365)-MIN(D365:F365))*100</f>
        <v>0.308008213552363</v>
      </c>
      <c r="H365" s="39" t="n">
        <f aca="false">'2026 Forecast A'!L319</f>
        <v>1.75369314833214</v>
      </c>
      <c r="I365" s="39" t="n">
        <f aca="false">'2026 Forecast B'!L319</f>
        <v>2.1038293183682</v>
      </c>
      <c r="J365" s="39" t="n">
        <f aca="false">'2026 Forecast C'!L319</f>
        <v>1.909243057213</v>
      </c>
      <c r="K365" s="18" t="n">
        <f aca="false">'2026 Forecast A'!F319</f>
        <v>974</v>
      </c>
      <c r="L365" s="40" t="str">
        <f aca="false">IF(OR(AND(D365&gt;0.5,E365&gt;0.5,F365&gt;0.5),AND(D365&lt;0.5,E365&lt;0.5,F365&lt;0.5)),"Yes","No — toss-up")</f>
        <v>Yes</v>
      </c>
    </row>
    <row r="366" customFormat="false" ht="15" hidden="false" customHeight="false" outlineLevel="0" collapsed="false">
      <c r="A366" s="9" t="str">
        <f aca="false">'2026 Forecast A'!A320</f>
        <v>Northampton</v>
      </c>
      <c r="B366" s="9" t="str">
        <f aca="false">'2026 Forecast A'!B320</f>
        <v>LOWER NAZARETH</v>
      </c>
      <c r="C366" s="9" t="str">
        <f aca="false">'2026 Forecast A'!C320</f>
        <v>LOWER NAZARETH WEST</v>
      </c>
      <c r="D366" s="10" t="n">
        <f aca="false">'2026 Forecast A'!G320</f>
        <v>0.450490633363069</v>
      </c>
      <c r="E366" s="10" t="n">
        <f aca="false">'2026 Forecast B'!G320</f>
        <v>0.43978590544157</v>
      </c>
      <c r="F366" s="10" t="n">
        <f aca="false">'2026 Forecast C'!G320</f>
        <v>0.445138269402319</v>
      </c>
      <c r="G366" s="38" t="n">
        <f aca="false">(MAX(D366:F366)-MIN(D366:F366))*100</f>
        <v>1.07047279214987</v>
      </c>
      <c r="H366" s="39" t="n">
        <f aca="false">'2026 Forecast A'!L320</f>
        <v>1.75369314833214</v>
      </c>
      <c r="I366" s="39" t="n">
        <f aca="false">'2026 Forecast B'!L320</f>
        <v>2.1038293183682</v>
      </c>
      <c r="J366" s="39" t="n">
        <f aca="false">'2026 Forecast C'!L320</f>
        <v>1.909243057213</v>
      </c>
      <c r="K366" s="18" t="n">
        <f aca="false">'2026 Forecast A'!F320</f>
        <v>1121</v>
      </c>
      <c r="L366" s="40" t="str">
        <f aca="false">IF(OR(AND(D366&gt;0.5,E366&gt;0.5,F366&gt;0.5),AND(D366&lt;0.5,E366&lt;0.5,F366&lt;0.5)),"Yes","No — toss-up")</f>
        <v>Yes</v>
      </c>
    </row>
    <row r="367" customFormat="false" ht="15" hidden="false" customHeight="false" outlineLevel="0" collapsed="false">
      <c r="A367" s="9" t="str">
        <f aca="false">'2026 Forecast A'!A321</f>
        <v>Northampton</v>
      </c>
      <c r="B367" s="9" t="str">
        <f aca="false">'2026 Forecast A'!B321</f>
        <v>LOWER SAUCON</v>
      </c>
      <c r="C367" s="9" t="str">
        <f aca="false">'2026 Forecast A'!C321</f>
        <v>LOWER SAUCON TWSP - 1</v>
      </c>
      <c r="D367" s="10" t="n">
        <f aca="false">'2026 Forecast A'!G321</f>
        <v>0.526595744680851</v>
      </c>
      <c r="E367" s="10" t="n">
        <f aca="false">'2026 Forecast B'!G321</f>
        <v>0.525531914893617</v>
      </c>
      <c r="F367" s="10" t="n">
        <f aca="false">'2026 Forecast C'!G321</f>
        <v>0.534042553191489</v>
      </c>
      <c r="G367" s="38" t="n">
        <f aca="false">(MAX(D367:F367)-MIN(D367:F367))*100</f>
        <v>0.851063829787235</v>
      </c>
      <c r="H367" s="39" t="n">
        <f aca="false">'2026 Forecast A'!L321</f>
        <v>1.75369314833214</v>
      </c>
      <c r="I367" s="39" t="n">
        <f aca="false">'2026 Forecast B'!L321</f>
        <v>2.1038293183682</v>
      </c>
      <c r="J367" s="39" t="n">
        <f aca="false">'2026 Forecast C'!L321</f>
        <v>1.909243057213</v>
      </c>
      <c r="K367" s="18" t="n">
        <f aca="false">'2026 Forecast A'!F321</f>
        <v>940</v>
      </c>
      <c r="L367" s="40" t="str">
        <f aca="false">IF(OR(AND(D367&gt;0.5,E367&gt;0.5,F367&gt;0.5),AND(D367&lt;0.5,E367&lt;0.5,F367&lt;0.5)),"Yes","No — toss-up")</f>
        <v>Yes</v>
      </c>
    </row>
    <row r="368" customFormat="false" ht="15" hidden="false" customHeight="false" outlineLevel="0" collapsed="false">
      <c r="A368" s="9" t="str">
        <f aca="false">'2026 Forecast A'!A322</f>
        <v>Northampton</v>
      </c>
      <c r="B368" s="9" t="str">
        <f aca="false">'2026 Forecast A'!B322</f>
        <v>LOWER SAUCON</v>
      </c>
      <c r="C368" s="9" t="str">
        <f aca="false">'2026 Forecast A'!C322</f>
        <v>LOWER SAUCON TWSP - 2</v>
      </c>
      <c r="D368" s="10" t="n">
        <f aca="false">'2026 Forecast A'!G322</f>
        <v>0.43142144638404</v>
      </c>
      <c r="E368" s="10" t="n">
        <f aca="false">'2026 Forecast B'!G322</f>
        <v>0.433915211970075</v>
      </c>
      <c r="F368" s="10" t="n">
        <f aca="false">'2026 Forecast C'!G322</f>
        <v>0.428927680798005</v>
      </c>
      <c r="G368" s="38" t="n">
        <f aca="false">(MAX(D368:F368)-MIN(D368:F368))*100</f>
        <v>0.498753117206985</v>
      </c>
      <c r="H368" s="39" t="n">
        <f aca="false">'2026 Forecast A'!L322</f>
        <v>1.75369314833214</v>
      </c>
      <c r="I368" s="39" t="n">
        <f aca="false">'2026 Forecast B'!L322</f>
        <v>2.1038293183682</v>
      </c>
      <c r="J368" s="39" t="n">
        <f aca="false">'2026 Forecast C'!L322</f>
        <v>1.909243057213</v>
      </c>
      <c r="K368" s="18" t="n">
        <f aca="false">'2026 Forecast A'!F322</f>
        <v>1203</v>
      </c>
      <c r="L368" s="40" t="str">
        <f aca="false">IF(OR(AND(D368&gt;0.5,E368&gt;0.5,F368&gt;0.5),AND(D368&lt;0.5,E368&lt;0.5,F368&lt;0.5)),"Yes","No — toss-up")</f>
        <v>Yes</v>
      </c>
    </row>
    <row r="369" customFormat="false" ht="15" hidden="false" customHeight="false" outlineLevel="0" collapsed="false">
      <c r="A369" s="9" t="str">
        <f aca="false">'2026 Forecast A'!A323</f>
        <v>Northampton</v>
      </c>
      <c r="B369" s="9" t="str">
        <f aca="false">'2026 Forecast A'!B323</f>
        <v>LOWER SAUCON</v>
      </c>
      <c r="C369" s="9" t="str">
        <f aca="false">'2026 Forecast A'!C323</f>
        <v>LOWER SAUCON TWSP - 3</v>
      </c>
      <c r="D369" s="10" t="n">
        <f aca="false">'2026 Forecast A'!G323</f>
        <v>0.475049900199601</v>
      </c>
      <c r="E369" s="10" t="n">
        <f aca="false">'2026 Forecast B'!G323</f>
        <v>0.467065868263473</v>
      </c>
      <c r="F369" s="10" t="n">
        <f aca="false">'2026 Forecast C'!G323</f>
        <v>0.478043912175649</v>
      </c>
      <c r="G369" s="38" t="n">
        <f aca="false">(MAX(D369:F369)-MIN(D369:F369))*100</f>
        <v>1.09780439121756</v>
      </c>
      <c r="H369" s="39" t="n">
        <f aca="false">'2026 Forecast A'!L323</f>
        <v>1.75369314833214</v>
      </c>
      <c r="I369" s="39" t="n">
        <f aca="false">'2026 Forecast B'!L323</f>
        <v>2.1038293183682</v>
      </c>
      <c r="J369" s="39" t="n">
        <f aca="false">'2026 Forecast C'!L323</f>
        <v>1.909243057213</v>
      </c>
      <c r="K369" s="18" t="n">
        <f aca="false">'2026 Forecast A'!F323</f>
        <v>1002</v>
      </c>
      <c r="L369" s="40" t="str">
        <f aca="false">IF(OR(AND(D369&gt;0.5,E369&gt;0.5,F369&gt;0.5),AND(D369&lt;0.5,E369&lt;0.5,F369&lt;0.5)),"Yes","No — toss-up")</f>
        <v>Yes</v>
      </c>
    </row>
    <row r="370" customFormat="false" ht="15" hidden="false" customHeight="false" outlineLevel="0" collapsed="false">
      <c r="A370" s="9" t="str">
        <f aca="false">'2026 Forecast A'!A324</f>
        <v>Northampton</v>
      </c>
      <c r="B370" s="9" t="str">
        <f aca="false">'2026 Forecast A'!B324</f>
        <v>LOWER SAUCON</v>
      </c>
      <c r="C370" s="9" t="str">
        <f aca="false">'2026 Forecast A'!C324</f>
        <v>LOWER SAUCON TWSP - 4</v>
      </c>
      <c r="D370" s="10" t="n">
        <f aca="false">'2026 Forecast A'!G324</f>
        <v>0.524071526822558</v>
      </c>
      <c r="E370" s="10" t="n">
        <f aca="false">'2026 Forecast B'!G324</f>
        <v>0.518569463548831</v>
      </c>
      <c r="F370" s="10" t="n">
        <f aca="false">'2026 Forecast C'!G324</f>
        <v>0.528198074277854</v>
      </c>
      <c r="G370" s="38" t="n">
        <f aca="false">(MAX(D370:F370)-MIN(D370:F370))*100</f>
        <v>0.962861072902332</v>
      </c>
      <c r="H370" s="39" t="n">
        <f aca="false">'2026 Forecast A'!L324</f>
        <v>2.13789583153489</v>
      </c>
      <c r="I370" s="39" t="n">
        <f aca="false">'2026 Forecast B'!L324</f>
        <v>2.24475965619494</v>
      </c>
      <c r="J370" s="39" t="n">
        <f aca="false">'2026 Forecast C'!L324</f>
        <v>2.3915225360787</v>
      </c>
      <c r="K370" s="18" t="n">
        <f aca="false">'2026 Forecast A'!F324</f>
        <v>727</v>
      </c>
      <c r="L370" s="40" t="str">
        <f aca="false">IF(OR(AND(D370&gt;0.5,E370&gt;0.5,F370&gt;0.5),AND(D370&lt;0.5,E370&lt;0.5,F370&lt;0.5)),"Yes","No — toss-up")</f>
        <v>Yes</v>
      </c>
    </row>
    <row r="371" customFormat="false" ht="15" hidden="false" customHeight="false" outlineLevel="0" collapsed="false">
      <c r="A371" s="9" t="str">
        <f aca="false">'2026 Forecast A'!A325</f>
        <v>Northampton</v>
      </c>
      <c r="B371" s="9" t="str">
        <f aca="false">'2026 Forecast A'!B325</f>
        <v>LOWER SAUCON</v>
      </c>
      <c r="C371" s="9" t="str">
        <f aca="false">'2026 Forecast A'!C325</f>
        <v>LOWER SAUCON TWSP - 6</v>
      </c>
      <c r="D371" s="10" t="n">
        <f aca="false">'2026 Forecast A'!G325</f>
        <v>0.42434988179669</v>
      </c>
      <c r="E371" s="10" t="n">
        <f aca="false">'2026 Forecast B'!G325</f>
        <v>0.421985815602837</v>
      </c>
      <c r="F371" s="10" t="n">
        <f aca="false">'2026 Forecast C'!G325</f>
        <v>0.423167848699764</v>
      </c>
      <c r="G371" s="38" t="n">
        <f aca="false">(MAX(D371:F371)-MIN(D371:F371))*100</f>
        <v>0.236406619385343</v>
      </c>
      <c r="H371" s="39" t="n">
        <f aca="false">'2026 Forecast A'!L325</f>
        <v>2.13789583153489</v>
      </c>
      <c r="I371" s="39" t="n">
        <f aca="false">'2026 Forecast B'!L325</f>
        <v>2.24475965619494</v>
      </c>
      <c r="J371" s="39" t="n">
        <f aca="false">'2026 Forecast C'!L325</f>
        <v>2.3915225360787</v>
      </c>
      <c r="K371" s="18" t="n">
        <f aca="false">'2026 Forecast A'!F325</f>
        <v>846</v>
      </c>
      <c r="L371" s="40" t="str">
        <f aca="false">IF(OR(AND(D371&gt;0.5,E371&gt;0.5,F371&gt;0.5),AND(D371&lt;0.5,E371&lt;0.5,F371&lt;0.5)),"Yes","No — toss-up")</f>
        <v>Yes</v>
      </c>
    </row>
    <row r="372" customFormat="false" ht="15" hidden="false" customHeight="false" outlineLevel="0" collapsed="false">
      <c r="A372" s="9" t="str">
        <f aca="false">'2026 Forecast A'!A326</f>
        <v>Northampton</v>
      </c>
      <c r="B372" s="9" t="str">
        <f aca="false">'2026 Forecast A'!B326</f>
        <v>LOWER SAUCON</v>
      </c>
      <c r="C372" s="9" t="str">
        <f aca="false">'2026 Forecast A'!C326</f>
        <v>LOWER SAUCON TWSP - 7</v>
      </c>
      <c r="D372" s="10" t="n">
        <f aca="false">'2026 Forecast A'!G326</f>
        <v>0.494839101396478</v>
      </c>
      <c r="E372" s="10" t="n">
        <f aca="false">'2026 Forecast B'!G326</f>
        <v>0.486338797814208</v>
      </c>
      <c r="F372" s="10" t="n">
        <f aca="false">'2026 Forecast C'!G326</f>
        <v>0.493017607771706</v>
      </c>
      <c r="G372" s="38" t="n">
        <f aca="false">(MAX(D372:F372)-MIN(D372:F372))*100</f>
        <v>0.850030358227083</v>
      </c>
      <c r="H372" s="39" t="n">
        <f aca="false">'2026 Forecast A'!L326</f>
        <v>1.75369314833214</v>
      </c>
      <c r="I372" s="39" t="n">
        <f aca="false">'2026 Forecast B'!L326</f>
        <v>2.1038293183682</v>
      </c>
      <c r="J372" s="39" t="n">
        <f aca="false">'2026 Forecast C'!L326</f>
        <v>1.909243057213</v>
      </c>
      <c r="K372" s="18" t="n">
        <f aca="false">'2026 Forecast A'!F326</f>
        <v>1647</v>
      </c>
      <c r="L372" s="40" t="str">
        <f aca="false">IF(OR(AND(D372&gt;0.5,E372&gt;0.5,F372&gt;0.5),AND(D372&lt;0.5,E372&lt;0.5,F372&lt;0.5)),"Yes","No — toss-up")</f>
        <v>Yes</v>
      </c>
    </row>
    <row r="373" customFormat="false" ht="15" hidden="false" customHeight="false" outlineLevel="0" collapsed="false">
      <c r="A373" s="9" t="str">
        <f aca="false">'2026 Forecast A'!A327</f>
        <v>Northampton</v>
      </c>
      <c r="B373" s="9" t="str">
        <f aca="false">'2026 Forecast A'!B327</f>
        <v>MOORE</v>
      </c>
      <c r="C373" s="9" t="str">
        <f aca="false">'2026 Forecast A'!C327</f>
        <v>MOORE TWSP - BEERSVILLE</v>
      </c>
      <c r="D373" s="10" t="n">
        <f aca="false">'2026 Forecast A'!G327</f>
        <v>0.350840336134454</v>
      </c>
      <c r="E373" s="10" t="n">
        <f aca="false">'2026 Forecast B'!G327</f>
        <v>0.346638655462185</v>
      </c>
      <c r="F373" s="10" t="n">
        <f aca="false">'2026 Forecast C'!G327</f>
        <v>0.338235294117647</v>
      </c>
      <c r="G373" s="38" t="n">
        <f aca="false">(MAX(D373:F373)-MIN(D373:F373))*100</f>
        <v>1.26050420168067</v>
      </c>
      <c r="H373" s="39" t="n">
        <f aca="false">'2026 Forecast A'!L327</f>
        <v>1.75369314833214</v>
      </c>
      <c r="I373" s="39" t="n">
        <f aca="false">'2026 Forecast B'!L327</f>
        <v>2.1038293183682</v>
      </c>
      <c r="J373" s="39" t="n">
        <f aca="false">'2026 Forecast C'!L327</f>
        <v>1.909243057213</v>
      </c>
      <c r="K373" s="18" t="n">
        <f aca="false">'2026 Forecast A'!F327</f>
        <v>952</v>
      </c>
      <c r="L373" s="40" t="str">
        <f aca="false">IF(OR(AND(D373&gt;0.5,E373&gt;0.5,F373&gt;0.5),AND(D373&lt;0.5,E373&lt;0.5,F373&lt;0.5)),"Yes","No — toss-up")</f>
        <v>Yes</v>
      </c>
    </row>
    <row r="374" customFormat="false" ht="15" hidden="false" customHeight="false" outlineLevel="0" collapsed="false">
      <c r="A374" s="9" t="str">
        <f aca="false">'2026 Forecast A'!A328</f>
        <v>Northampton</v>
      </c>
      <c r="B374" s="9" t="str">
        <f aca="false">'2026 Forecast A'!B328</f>
        <v>MOORE</v>
      </c>
      <c r="C374" s="9" t="str">
        <f aca="false">'2026 Forecast A'!C328</f>
        <v>MOORE TWSP - EASTERN</v>
      </c>
      <c r="D374" s="10" t="n">
        <f aca="false">'2026 Forecast A'!G328</f>
        <v>0.339622641509434</v>
      </c>
      <c r="E374" s="10" t="n">
        <f aca="false">'2026 Forecast B'!G328</f>
        <v>0.344339622641509</v>
      </c>
      <c r="F374" s="10" t="n">
        <f aca="false">'2026 Forecast C'!G328</f>
        <v>0.324947589098533</v>
      </c>
      <c r="G374" s="38" t="n">
        <f aca="false">(MAX(D374:F374)-MIN(D374:F374))*100</f>
        <v>1.93920335429769</v>
      </c>
      <c r="H374" s="39" t="n">
        <f aca="false">'2026 Forecast A'!L328</f>
        <v>1.75369314833214</v>
      </c>
      <c r="I374" s="39" t="n">
        <f aca="false">'2026 Forecast B'!L328</f>
        <v>2.1038293183682</v>
      </c>
      <c r="J374" s="39" t="n">
        <f aca="false">'2026 Forecast C'!L328</f>
        <v>1.909243057213</v>
      </c>
      <c r="K374" s="18" t="n">
        <f aca="false">'2026 Forecast A'!F328</f>
        <v>1908</v>
      </c>
      <c r="L374" s="40" t="str">
        <f aca="false">IF(OR(AND(D374&gt;0.5,E374&gt;0.5,F374&gt;0.5),AND(D374&lt;0.5,E374&lt;0.5,F374&lt;0.5)),"Yes","No — toss-up")</f>
        <v>Yes</v>
      </c>
    </row>
    <row r="375" customFormat="false" ht="15" hidden="false" customHeight="false" outlineLevel="0" collapsed="false">
      <c r="A375" s="9" t="str">
        <f aca="false">'2026 Forecast A'!A329</f>
        <v>Northampton</v>
      </c>
      <c r="B375" s="9" t="str">
        <f aca="false">'2026 Forecast A'!B329</f>
        <v>MOORE</v>
      </c>
      <c r="C375" s="9" t="str">
        <f aca="false">'2026 Forecast A'!C329</f>
        <v>MOORE TWSP - KLECKNERSVILLE</v>
      </c>
      <c r="D375" s="10" t="n">
        <f aca="false">'2026 Forecast A'!G329</f>
        <v>0.325909428359317</v>
      </c>
      <c r="E375" s="10" t="n">
        <f aca="false">'2026 Forecast B'!G329</f>
        <v>0.329621380846325</v>
      </c>
      <c r="F375" s="10" t="n">
        <f aca="false">'2026 Forecast C'!G329</f>
        <v>0.311804008908686</v>
      </c>
      <c r="G375" s="38" t="n">
        <f aca="false">(MAX(D375:F375)-MIN(D375:F375))*100</f>
        <v>1.78173719376392</v>
      </c>
      <c r="H375" s="39" t="n">
        <f aca="false">'2026 Forecast A'!L329</f>
        <v>1.75369314833214</v>
      </c>
      <c r="I375" s="39" t="n">
        <f aca="false">'2026 Forecast B'!L329</f>
        <v>2.1038293183682</v>
      </c>
      <c r="J375" s="39" t="n">
        <f aca="false">'2026 Forecast C'!L329</f>
        <v>1.909243057213</v>
      </c>
      <c r="K375" s="18" t="n">
        <f aca="false">'2026 Forecast A'!F329</f>
        <v>1347</v>
      </c>
      <c r="L375" s="40" t="str">
        <f aca="false">IF(OR(AND(D375&gt;0.5,E375&gt;0.5,F375&gt;0.5),AND(D375&lt;0.5,E375&lt;0.5,F375&lt;0.5)),"Yes","No — toss-up")</f>
        <v>Yes</v>
      </c>
    </row>
    <row r="376" customFormat="false" ht="15" hidden="false" customHeight="false" outlineLevel="0" collapsed="false">
      <c r="A376" s="9" t="str">
        <f aca="false">'2026 Forecast A'!A330</f>
        <v>Northampton</v>
      </c>
      <c r="B376" s="9" t="str">
        <f aca="false">'2026 Forecast A'!B330</f>
        <v>MOORE</v>
      </c>
      <c r="C376" s="9" t="str">
        <f aca="false">'2026 Forecast A'!C330</f>
        <v>MOORE TWSP - POINT PHILLIPS</v>
      </c>
      <c r="D376" s="10" t="n">
        <f aca="false">'2026 Forecast A'!G330</f>
        <v>0.3328125</v>
      </c>
      <c r="E376" s="10" t="n">
        <f aca="false">'2026 Forecast B'!G330</f>
        <v>0.3375</v>
      </c>
      <c r="F376" s="10" t="n">
        <f aca="false">'2026 Forecast C'!G330</f>
        <v>0.3171875</v>
      </c>
      <c r="G376" s="38" t="n">
        <f aca="false">(MAX(D376:F376)-MIN(D376:F376))*100</f>
        <v>2.03125</v>
      </c>
      <c r="H376" s="39" t="n">
        <f aca="false">'2026 Forecast A'!L330</f>
        <v>2.13789583153489</v>
      </c>
      <c r="I376" s="39" t="n">
        <f aca="false">'2026 Forecast B'!L330</f>
        <v>2.24475965619494</v>
      </c>
      <c r="J376" s="39" t="n">
        <f aca="false">'2026 Forecast C'!L330</f>
        <v>2.3915225360787</v>
      </c>
      <c r="K376" s="18" t="n">
        <f aca="false">'2026 Forecast A'!F330</f>
        <v>640</v>
      </c>
      <c r="L376" s="40" t="str">
        <f aca="false">IF(OR(AND(D376&gt;0.5,E376&gt;0.5,F376&gt;0.5),AND(D376&lt;0.5,E376&lt;0.5,F376&lt;0.5)),"Yes","No — toss-up")</f>
        <v>Yes</v>
      </c>
    </row>
    <row r="377" customFormat="false" ht="15" hidden="false" customHeight="false" outlineLevel="0" collapsed="false">
      <c r="A377" s="9" t="str">
        <f aca="false">'2026 Forecast A'!A331</f>
        <v>Northampton</v>
      </c>
      <c r="B377" s="9" t="str">
        <f aca="false">'2026 Forecast A'!B331</f>
        <v>NAZARETH</v>
      </c>
      <c r="C377" s="9" t="str">
        <f aca="false">'2026 Forecast A'!C331</f>
        <v>NAZARETH BORO 1ST WARD</v>
      </c>
      <c r="D377" s="10" t="n">
        <f aca="false">'2026 Forecast A'!G331</f>
        <v>0.50920245398773</v>
      </c>
      <c r="E377" s="10" t="n">
        <f aca="false">'2026 Forecast B'!G331</f>
        <v>0.505112474437628</v>
      </c>
      <c r="F377" s="10" t="n">
        <f aca="false">'2026 Forecast C'!G331</f>
        <v>0.511247443762781</v>
      </c>
      <c r="G377" s="38" t="n">
        <f aca="false">(MAX(D377:F377)-MIN(D377:F377))*100</f>
        <v>0.613496932515334</v>
      </c>
      <c r="H377" s="39" t="n">
        <f aca="false">'2026 Forecast A'!L331</f>
        <v>1.75369314833214</v>
      </c>
      <c r="I377" s="39" t="n">
        <f aca="false">'2026 Forecast B'!L331</f>
        <v>2.1038293183682</v>
      </c>
      <c r="J377" s="39" t="n">
        <f aca="false">'2026 Forecast C'!L331</f>
        <v>1.909243057213</v>
      </c>
      <c r="K377" s="18" t="n">
        <f aca="false">'2026 Forecast A'!F331</f>
        <v>978</v>
      </c>
      <c r="L377" s="40" t="str">
        <f aca="false">IF(OR(AND(D377&gt;0.5,E377&gt;0.5,F377&gt;0.5),AND(D377&lt;0.5,E377&lt;0.5,F377&lt;0.5)),"Yes","No — toss-up")</f>
        <v>Yes</v>
      </c>
    </row>
    <row r="378" customFormat="false" ht="15" hidden="false" customHeight="false" outlineLevel="0" collapsed="false">
      <c r="A378" s="9" t="str">
        <f aca="false">'2026 Forecast A'!A332</f>
        <v>Northampton</v>
      </c>
      <c r="B378" s="9" t="str">
        <f aca="false">'2026 Forecast A'!B332</f>
        <v>NAZARETH</v>
      </c>
      <c r="C378" s="9" t="str">
        <f aca="false">'2026 Forecast A'!C332</f>
        <v>NAZARETH BORO 2ND WARD</v>
      </c>
      <c r="D378" s="10" t="n">
        <f aca="false">'2026 Forecast A'!G332</f>
        <v>0.516005121638924</v>
      </c>
      <c r="E378" s="10" t="n">
        <f aca="false">'2026 Forecast B'!G332</f>
        <v>0.517285531370038</v>
      </c>
      <c r="F378" s="10" t="n">
        <f aca="false">'2026 Forecast C'!G332</f>
        <v>0.517285531370038</v>
      </c>
      <c r="G378" s="38" t="n">
        <f aca="false">(MAX(D378:F378)-MIN(D378:F378))*100</f>
        <v>0.128040973111399</v>
      </c>
      <c r="H378" s="39" t="n">
        <f aca="false">'2026 Forecast A'!L332</f>
        <v>2.13789583153489</v>
      </c>
      <c r="I378" s="39" t="n">
        <f aca="false">'2026 Forecast B'!L332</f>
        <v>2.24475965619494</v>
      </c>
      <c r="J378" s="39" t="n">
        <f aca="false">'2026 Forecast C'!L332</f>
        <v>2.3915225360787</v>
      </c>
      <c r="K378" s="18" t="n">
        <f aca="false">'2026 Forecast A'!F332</f>
        <v>781</v>
      </c>
      <c r="L378" s="40" t="str">
        <f aca="false">IF(OR(AND(D378&gt;0.5,E378&gt;0.5,F378&gt;0.5),AND(D378&lt;0.5,E378&lt;0.5,F378&lt;0.5)),"Yes","No — toss-up")</f>
        <v>Yes</v>
      </c>
    </row>
    <row r="379" customFormat="false" ht="15" hidden="false" customHeight="false" outlineLevel="0" collapsed="false">
      <c r="A379" s="9" t="str">
        <f aca="false">'2026 Forecast A'!A333</f>
        <v>Northampton</v>
      </c>
      <c r="B379" s="9" t="str">
        <f aca="false">'2026 Forecast A'!B333</f>
        <v>NAZARETH</v>
      </c>
      <c r="C379" s="9" t="str">
        <f aca="false">'2026 Forecast A'!C333</f>
        <v>NAZARETH BORO 3RD WARD</v>
      </c>
      <c r="D379" s="10" t="n">
        <f aca="false">'2026 Forecast A'!G333</f>
        <v>0.487450462351387</v>
      </c>
      <c r="E379" s="10" t="n">
        <f aca="false">'2026 Forecast B'!G333</f>
        <v>0.492734478203435</v>
      </c>
      <c r="F379" s="10" t="n">
        <f aca="false">'2026 Forecast C'!G333</f>
        <v>0.490092470277411</v>
      </c>
      <c r="G379" s="38" t="n">
        <f aca="false">(MAX(D379:F379)-MIN(D379:F379))*100</f>
        <v>0.528401585204757</v>
      </c>
      <c r="H379" s="39" t="n">
        <f aca="false">'2026 Forecast A'!L333</f>
        <v>2.13789583153489</v>
      </c>
      <c r="I379" s="39" t="n">
        <f aca="false">'2026 Forecast B'!L333</f>
        <v>2.24475965619494</v>
      </c>
      <c r="J379" s="39" t="n">
        <f aca="false">'2026 Forecast C'!L333</f>
        <v>2.3915225360787</v>
      </c>
      <c r="K379" s="18" t="n">
        <f aca="false">'2026 Forecast A'!F333</f>
        <v>757</v>
      </c>
      <c r="L379" s="40" t="str">
        <f aca="false">IF(OR(AND(D379&gt;0.5,E379&gt;0.5,F379&gt;0.5),AND(D379&lt;0.5,E379&lt;0.5,F379&lt;0.5)),"Yes","No — toss-up")</f>
        <v>Yes</v>
      </c>
    </row>
    <row r="380" customFormat="false" ht="15" hidden="false" customHeight="false" outlineLevel="0" collapsed="false">
      <c r="A380" s="9" t="str">
        <f aca="false">'2026 Forecast A'!A334</f>
        <v>Northampton</v>
      </c>
      <c r="B380" s="9" t="str">
        <f aca="false">'2026 Forecast A'!B334</f>
        <v>NORTH CATASAUQUA</v>
      </c>
      <c r="C380" s="9" t="str">
        <f aca="false">'2026 Forecast A'!C334</f>
        <v>NORTH CATASAUQUA 1ST WARD</v>
      </c>
      <c r="D380" s="10" t="n">
        <f aca="false">'2026 Forecast A'!G334</f>
        <v>0.464751958224543</v>
      </c>
      <c r="E380" s="10" t="n">
        <f aca="false">'2026 Forecast B'!G334</f>
        <v>0.477806788511749</v>
      </c>
      <c r="F380" s="10" t="n">
        <f aca="false">'2026 Forecast C'!G334</f>
        <v>0.464751958224543</v>
      </c>
      <c r="G380" s="38" t="n">
        <f aca="false">(MAX(D380:F380)-MIN(D380:F380))*100</f>
        <v>1.30548302872063</v>
      </c>
      <c r="H380" s="39" t="n">
        <f aca="false">'2026 Forecast A'!L334</f>
        <v>3.43333352273176</v>
      </c>
      <c r="I380" s="39" t="n">
        <f aca="false">'2026 Forecast B'!L334</f>
        <v>3.21167747490571</v>
      </c>
      <c r="J380" s="39" t="n">
        <f aca="false">'2026 Forecast C'!L334</f>
        <v>3.72283676191068</v>
      </c>
      <c r="K380" s="18" t="n">
        <f aca="false">'2026 Forecast A'!F334</f>
        <v>383</v>
      </c>
      <c r="L380" s="40" t="str">
        <f aca="false">IF(OR(AND(D380&gt;0.5,E380&gt;0.5,F380&gt;0.5),AND(D380&lt;0.5,E380&lt;0.5,F380&lt;0.5)),"Yes","No — toss-up")</f>
        <v>Yes</v>
      </c>
    </row>
    <row r="381" customFormat="false" ht="15" hidden="false" customHeight="false" outlineLevel="0" collapsed="false">
      <c r="A381" s="9" t="str">
        <f aca="false">'2026 Forecast A'!A335</f>
        <v>Northampton</v>
      </c>
      <c r="B381" s="9" t="str">
        <f aca="false">'2026 Forecast A'!B335</f>
        <v>NORTH CATASAUQUA</v>
      </c>
      <c r="C381" s="9" t="str">
        <f aca="false">'2026 Forecast A'!C335</f>
        <v>NORTH CATASAUQUA 2ND WARD</v>
      </c>
      <c r="D381" s="10" t="n">
        <f aca="false">'2026 Forecast A'!G335</f>
        <v>0.511916110581506</v>
      </c>
      <c r="E381" s="10" t="n">
        <f aca="false">'2026 Forecast B'!G335</f>
        <v>0.513822688274547</v>
      </c>
      <c r="F381" s="10" t="n">
        <f aca="false">'2026 Forecast C'!G335</f>
        <v>0.513822688274547</v>
      </c>
      <c r="G381" s="38" t="n">
        <f aca="false">(MAX(D381:F381)-MIN(D381:F381))*100</f>
        <v>0.190657769304092</v>
      </c>
      <c r="H381" s="39" t="n">
        <f aca="false">'2026 Forecast A'!L335</f>
        <v>1.75369314833214</v>
      </c>
      <c r="I381" s="39" t="n">
        <f aca="false">'2026 Forecast B'!L335</f>
        <v>2.1038293183682</v>
      </c>
      <c r="J381" s="39" t="n">
        <f aca="false">'2026 Forecast C'!L335</f>
        <v>1.909243057213</v>
      </c>
      <c r="K381" s="18" t="n">
        <f aca="false">'2026 Forecast A'!F335</f>
        <v>1049</v>
      </c>
      <c r="L381" s="40" t="str">
        <f aca="false">IF(OR(AND(D381&gt;0.5,E381&gt;0.5,F381&gt;0.5),AND(D381&lt;0.5,E381&lt;0.5,F381&lt;0.5)),"Yes","No — toss-up")</f>
        <v>Yes</v>
      </c>
    </row>
    <row r="382" customFormat="false" ht="15" hidden="false" customHeight="false" outlineLevel="0" collapsed="false">
      <c r="A382" s="9" t="str">
        <f aca="false">'2026 Forecast A'!A336</f>
        <v>Northampton</v>
      </c>
      <c r="B382" s="9" t="str">
        <f aca="false">'2026 Forecast A'!B336</f>
        <v>NORTHAMPTON</v>
      </c>
      <c r="C382" s="9" t="str">
        <f aca="false">'2026 Forecast A'!C336</f>
        <v>NORTHAMPTON BORO 1ST WARD</v>
      </c>
      <c r="D382" s="10" t="n">
        <f aca="false">'2026 Forecast A'!G336</f>
        <v>0.477626459143969</v>
      </c>
      <c r="E382" s="10" t="n">
        <f aca="false">'2026 Forecast B'!G336</f>
        <v>0.47568093385214</v>
      </c>
      <c r="F382" s="10" t="n">
        <f aca="false">'2026 Forecast C'!G336</f>
        <v>0.474708171206226</v>
      </c>
      <c r="G382" s="38" t="n">
        <f aca="false">(MAX(D382:F382)-MIN(D382:F382))*100</f>
        <v>0.291828793774324</v>
      </c>
      <c r="H382" s="39" t="n">
        <f aca="false">'2026 Forecast A'!L336</f>
        <v>1.75369314833214</v>
      </c>
      <c r="I382" s="39" t="n">
        <f aca="false">'2026 Forecast B'!L336</f>
        <v>2.1038293183682</v>
      </c>
      <c r="J382" s="39" t="n">
        <f aca="false">'2026 Forecast C'!L336</f>
        <v>1.909243057213</v>
      </c>
      <c r="K382" s="18" t="n">
        <f aca="false">'2026 Forecast A'!F336</f>
        <v>1028</v>
      </c>
      <c r="L382" s="40" t="str">
        <f aca="false">IF(OR(AND(D382&gt;0.5,E382&gt;0.5,F382&gt;0.5),AND(D382&lt;0.5,E382&lt;0.5,F382&lt;0.5)),"Yes","No — toss-up")</f>
        <v>Yes</v>
      </c>
    </row>
    <row r="383" customFormat="false" ht="15" hidden="false" customHeight="false" outlineLevel="0" collapsed="false">
      <c r="A383" s="9" t="str">
        <f aca="false">'2026 Forecast A'!A337</f>
        <v>Northampton</v>
      </c>
      <c r="B383" s="9" t="str">
        <f aca="false">'2026 Forecast A'!B337</f>
        <v>NORTHAMPTON</v>
      </c>
      <c r="C383" s="9" t="str">
        <f aca="false">'2026 Forecast A'!C337</f>
        <v>NORTHAMPTON BORO 2ND WARD</v>
      </c>
      <c r="D383" s="10" t="n">
        <f aca="false">'2026 Forecast A'!G337</f>
        <v>0.494239631336406</v>
      </c>
      <c r="E383" s="10" t="n">
        <f aca="false">'2026 Forecast B'!G337</f>
        <v>0.494239631336406</v>
      </c>
      <c r="F383" s="10" t="n">
        <f aca="false">'2026 Forecast C'!G337</f>
        <v>0.493087557603687</v>
      </c>
      <c r="G383" s="38" t="n">
        <f aca="false">(MAX(D383:F383)-MIN(D383:F383))*100</f>
        <v>0.115207373271892</v>
      </c>
      <c r="H383" s="39" t="n">
        <f aca="false">'2026 Forecast A'!L337</f>
        <v>2.13789583153489</v>
      </c>
      <c r="I383" s="39" t="n">
        <f aca="false">'2026 Forecast B'!L337</f>
        <v>2.24475965619494</v>
      </c>
      <c r="J383" s="39" t="n">
        <f aca="false">'2026 Forecast C'!L337</f>
        <v>2.3915225360787</v>
      </c>
      <c r="K383" s="18" t="n">
        <f aca="false">'2026 Forecast A'!F337</f>
        <v>868</v>
      </c>
      <c r="L383" s="40" t="str">
        <f aca="false">IF(OR(AND(D383&gt;0.5,E383&gt;0.5,F383&gt;0.5),AND(D383&lt;0.5,E383&lt;0.5,F383&lt;0.5)),"Yes","No — toss-up")</f>
        <v>Yes</v>
      </c>
    </row>
    <row r="384" customFormat="false" ht="15" hidden="false" customHeight="false" outlineLevel="0" collapsed="false">
      <c r="A384" s="9" t="str">
        <f aca="false">'2026 Forecast A'!A338</f>
        <v>Northampton</v>
      </c>
      <c r="B384" s="9" t="str">
        <f aca="false">'2026 Forecast A'!B338</f>
        <v>NORTHAMPTON</v>
      </c>
      <c r="C384" s="9" t="str">
        <f aca="false">'2026 Forecast A'!C338</f>
        <v>NORTHAMPTON BORO 3RD WARD</v>
      </c>
      <c r="D384" s="10" t="n">
        <f aca="false">'2026 Forecast A'!G338</f>
        <v>0.472251867662753</v>
      </c>
      <c r="E384" s="10" t="n">
        <f aca="false">'2026 Forecast B'!G338</f>
        <v>0.474919957310566</v>
      </c>
      <c r="F384" s="10" t="n">
        <f aca="false">'2026 Forecast C'!G338</f>
        <v>0.470117395944504</v>
      </c>
      <c r="G384" s="38" t="n">
        <f aca="false">(MAX(D384:F384)-MIN(D384:F384))*100</f>
        <v>0.480256136606189</v>
      </c>
      <c r="H384" s="39" t="n">
        <f aca="false">'2026 Forecast A'!L338</f>
        <v>1.75369314833214</v>
      </c>
      <c r="I384" s="39" t="n">
        <f aca="false">'2026 Forecast B'!L338</f>
        <v>2.1038293183682</v>
      </c>
      <c r="J384" s="39" t="n">
        <f aca="false">'2026 Forecast C'!L338</f>
        <v>1.909243057213</v>
      </c>
      <c r="K384" s="18" t="n">
        <f aca="false">'2026 Forecast A'!F338</f>
        <v>1874</v>
      </c>
      <c r="L384" s="40" t="str">
        <f aca="false">IF(OR(AND(D384&gt;0.5,E384&gt;0.5,F384&gt;0.5),AND(D384&lt;0.5,E384&lt;0.5,F384&lt;0.5)),"Yes","No — toss-up")</f>
        <v>Yes</v>
      </c>
    </row>
    <row r="385" customFormat="false" ht="15" hidden="false" customHeight="false" outlineLevel="0" collapsed="false">
      <c r="A385" s="9" t="str">
        <f aca="false">'2026 Forecast A'!A339</f>
        <v>Northampton</v>
      </c>
      <c r="B385" s="9" t="str">
        <f aca="false">'2026 Forecast A'!B339</f>
        <v>NORTHAMPTON</v>
      </c>
      <c r="C385" s="9" t="str">
        <f aca="false">'2026 Forecast A'!C339</f>
        <v>NORTHAMPTON BORO 4TH WARD</v>
      </c>
      <c r="D385" s="10" t="n">
        <f aca="false">'2026 Forecast A'!G339</f>
        <v>0.454773869346734</v>
      </c>
      <c r="E385" s="10" t="n">
        <f aca="false">'2026 Forecast B'!G339</f>
        <v>0.462311557788945</v>
      </c>
      <c r="F385" s="10" t="n">
        <f aca="false">'2026 Forecast C'!G339</f>
        <v>0.449748743718593</v>
      </c>
      <c r="G385" s="38" t="n">
        <f aca="false">(MAX(D385:F385)-MIN(D385:F385))*100</f>
        <v>1.25628140703518</v>
      </c>
      <c r="H385" s="39" t="n">
        <f aca="false">'2026 Forecast A'!L339</f>
        <v>3.43333352273176</v>
      </c>
      <c r="I385" s="39" t="n">
        <f aca="false">'2026 Forecast B'!L339</f>
        <v>3.21167747490571</v>
      </c>
      <c r="J385" s="39" t="n">
        <f aca="false">'2026 Forecast C'!L339</f>
        <v>3.72283676191068</v>
      </c>
      <c r="K385" s="18" t="n">
        <f aca="false">'2026 Forecast A'!F339</f>
        <v>398</v>
      </c>
      <c r="L385" s="40" t="str">
        <f aca="false">IF(OR(AND(D385&gt;0.5,E385&gt;0.5,F385&gt;0.5),AND(D385&lt;0.5,E385&lt;0.5,F385&lt;0.5)),"Yes","No — toss-up")</f>
        <v>Yes</v>
      </c>
    </row>
    <row r="386" customFormat="false" ht="15" hidden="false" customHeight="false" outlineLevel="0" collapsed="false">
      <c r="A386" s="9" t="str">
        <f aca="false">'2026 Forecast A'!A340</f>
        <v>Northampton</v>
      </c>
      <c r="B386" s="9" t="str">
        <f aca="false">'2026 Forecast A'!B340</f>
        <v>PALMER</v>
      </c>
      <c r="C386" s="9" t="str">
        <f aca="false">'2026 Forecast A'!C340</f>
        <v>PALMER - CENTRAL</v>
      </c>
      <c r="D386" s="10" t="n">
        <f aca="false">'2026 Forecast A'!G340</f>
        <v>0.484431571325127</v>
      </c>
      <c r="E386" s="10" t="n">
        <f aca="false">'2026 Forecast B'!G340</f>
        <v>0.491672700941347</v>
      </c>
      <c r="F386" s="10" t="n">
        <f aca="false">'2026 Forecast C'!G340</f>
        <v>0.482983345401883</v>
      </c>
      <c r="G386" s="38" t="n">
        <f aca="false">(MAX(D386:F386)-MIN(D386:F386))*100</f>
        <v>0.868935553946415</v>
      </c>
      <c r="H386" s="39" t="n">
        <f aca="false">'2026 Forecast A'!L340</f>
        <v>1.75369314833214</v>
      </c>
      <c r="I386" s="39" t="n">
        <f aca="false">'2026 Forecast B'!L340</f>
        <v>2.1038293183682</v>
      </c>
      <c r="J386" s="39" t="n">
        <f aca="false">'2026 Forecast C'!L340</f>
        <v>1.909243057213</v>
      </c>
      <c r="K386" s="18" t="n">
        <f aca="false">'2026 Forecast A'!F340</f>
        <v>1381</v>
      </c>
      <c r="L386" s="40" t="str">
        <f aca="false">IF(OR(AND(D386&gt;0.5,E386&gt;0.5,F386&gt;0.5),AND(D386&lt;0.5,E386&lt;0.5,F386&lt;0.5)),"Yes","No — toss-up")</f>
        <v>Yes</v>
      </c>
    </row>
    <row r="387" customFormat="false" ht="15" hidden="false" customHeight="false" outlineLevel="0" collapsed="false">
      <c r="A387" s="9" t="str">
        <f aca="false">'2026 Forecast A'!A341</f>
        <v>Northampton</v>
      </c>
      <c r="B387" s="9" t="str">
        <f aca="false">'2026 Forecast A'!B341</f>
        <v>PALMER</v>
      </c>
      <c r="C387" s="9" t="str">
        <f aca="false">'2026 Forecast A'!C341</f>
        <v>PALMER - EAST</v>
      </c>
      <c r="D387" s="10" t="n">
        <f aca="false">'2026 Forecast A'!G341</f>
        <v>0.52317880794702</v>
      </c>
      <c r="E387" s="10" t="n">
        <f aca="false">'2026 Forecast B'!G341</f>
        <v>0.526490066225166</v>
      </c>
      <c r="F387" s="10" t="n">
        <f aca="false">'2026 Forecast C'!G341</f>
        <v>0.526490066225166</v>
      </c>
      <c r="G387" s="38" t="n">
        <f aca="false">(MAX(D387:F387)-MIN(D387:F387))*100</f>
        <v>0.331125827814571</v>
      </c>
      <c r="H387" s="39" t="n">
        <f aca="false">'2026 Forecast A'!L341</f>
        <v>3.43333352273176</v>
      </c>
      <c r="I387" s="39" t="n">
        <f aca="false">'2026 Forecast B'!L341</f>
        <v>3.21167747490571</v>
      </c>
      <c r="J387" s="39" t="n">
        <f aca="false">'2026 Forecast C'!L341</f>
        <v>3.72283676191068</v>
      </c>
      <c r="K387" s="18" t="n">
        <f aca="false">'2026 Forecast A'!F341</f>
        <v>302</v>
      </c>
      <c r="L387" s="40" t="str">
        <f aca="false">IF(OR(AND(D387&gt;0.5,E387&gt;0.5,F387&gt;0.5),AND(D387&lt;0.5,E387&lt;0.5,F387&lt;0.5)),"Yes","No — toss-up")</f>
        <v>Yes</v>
      </c>
    </row>
    <row r="388" customFormat="false" ht="15" hidden="false" customHeight="false" outlineLevel="0" collapsed="false">
      <c r="A388" s="9" t="str">
        <f aca="false">'2026 Forecast A'!A342</f>
        <v>Northampton</v>
      </c>
      <c r="B388" s="9" t="str">
        <f aca="false">'2026 Forecast A'!B342</f>
        <v>PALMER</v>
      </c>
      <c r="C388" s="9" t="str">
        <f aca="false">'2026 Forecast A'!C342</f>
        <v>PALMER - NORTH</v>
      </c>
      <c r="D388" s="10" t="n">
        <f aca="false">'2026 Forecast A'!G342</f>
        <v>0.508403361344538</v>
      </c>
      <c r="E388" s="10" t="n">
        <f aca="false">'2026 Forecast B'!G342</f>
        <v>0.508403361344538</v>
      </c>
      <c r="F388" s="10" t="n">
        <f aca="false">'2026 Forecast C'!G342</f>
        <v>0.512605042016807</v>
      </c>
      <c r="G388" s="38" t="n">
        <f aca="false">(MAX(D388:F388)-MIN(D388:F388))*100</f>
        <v>0.420168067226889</v>
      </c>
      <c r="H388" s="39" t="n">
        <f aca="false">'2026 Forecast A'!L342</f>
        <v>1.75369314833214</v>
      </c>
      <c r="I388" s="39" t="n">
        <f aca="false">'2026 Forecast B'!L342</f>
        <v>2.1038293183682</v>
      </c>
      <c r="J388" s="39" t="n">
        <f aca="false">'2026 Forecast C'!L342</f>
        <v>1.909243057213</v>
      </c>
      <c r="K388" s="18" t="n">
        <f aca="false">'2026 Forecast A'!F342</f>
        <v>1190</v>
      </c>
      <c r="L388" s="40" t="str">
        <f aca="false">IF(OR(AND(D388&gt;0.5,E388&gt;0.5,F388&gt;0.5),AND(D388&lt;0.5,E388&lt;0.5,F388&lt;0.5)),"Yes","No — toss-up")</f>
        <v>Yes</v>
      </c>
    </row>
    <row r="389" customFormat="false" ht="15" hidden="false" customHeight="false" outlineLevel="0" collapsed="false">
      <c r="A389" s="9" t="str">
        <f aca="false">'2026 Forecast A'!A343</f>
        <v>Northampton</v>
      </c>
      <c r="B389" s="9" t="str">
        <f aca="false">'2026 Forecast A'!B343</f>
        <v>PALMER</v>
      </c>
      <c r="C389" s="9" t="str">
        <f aca="false">'2026 Forecast A'!C343</f>
        <v>PALMER - NORTHEAST</v>
      </c>
      <c r="D389" s="10" t="n">
        <f aca="false">'2026 Forecast A'!G343</f>
        <v>0.532430506058446</v>
      </c>
      <c r="E389" s="10" t="n">
        <f aca="false">'2026 Forecast B'!G343</f>
        <v>0.52744119743407</v>
      </c>
      <c r="F389" s="10" t="n">
        <f aca="false">'2026 Forecast C'!G343</f>
        <v>0.532430506058446</v>
      </c>
      <c r="G389" s="38" t="n">
        <f aca="false">(MAX(D389:F389)-MIN(D389:F389))*100</f>
        <v>0.498930862437641</v>
      </c>
      <c r="H389" s="39" t="n">
        <f aca="false">'2026 Forecast A'!L343</f>
        <v>1.75369314833214</v>
      </c>
      <c r="I389" s="39" t="n">
        <f aca="false">'2026 Forecast B'!L343</f>
        <v>2.1038293183682</v>
      </c>
      <c r="J389" s="39" t="n">
        <f aca="false">'2026 Forecast C'!L343</f>
        <v>1.909243057213</v>
      </c>
      <c r="K389" s="18" t="n">
        <f aca="false">'2026 Forecast A'!F343</f>
        <v>1403</v>
      </c>
      <c r="L389" s="40" t="str">
        <f aca="false">IF(OR(AND(D389&gt;0.5,E389&gt;0.5,F389&gt;0.5),AND(D389&lt;0.5,E389&lt;0.5,F389&lt;0.5)),"Yes","No — toss-up")</f>
        <v>Yes</v>
      </c>
    </row>
    <row r="390" customFormat="false" ht="15" hidden="false" customHeight="false" outlineLevel="0" collapsed="false">
      <c r="A390" s="9" t="str">
        <f aca="false">'2026 Forecast A'!A344</f>
        <v>Northampton</v>
      </c>
      <c r="B390" s="9" t="str">
        <f aca="false">'2026 Forecast A'!B344</f>
        <v>PALMER</v>
      </c>
      <c r="C390" s="9" t="str">
        <f aca="false">'2026 Forecast A'!C344</f>
        <v>PALMER - NORTHWEST</v>
      </c>
      <c r="D390" s="10" t="n">
        <f aca="false">'2026 Forecast A'!G344</f>
        <v>0.495275590551181</v>
      </c>
      <c r="E390" s="10" t="n">
        <f aca="false">'2026 Forecast B'!G344</f>
        <v>0.493700787401575</v>
      </c>
      <c r="F390" s="10" t="n">
        <f aca="false">'2026 Forecast C'!G344</f>
        <v>0.492913385826772</v>
      </c>
      <c r="G390" s="38" t="n">
        <f aca="false">(MAX(D390:F390)-MIN(D390:F390))*100</f>
        <v>0.236220472440946</v>
      </c>
      <c r="H390" s="39" t="n">
        <f aca="false">'2026 Forecast A'!L344</f>
        <v>1.75369314833214</v>
      </c>
      <c r="I390" s="39" t="n">
        <f aca="false">'2026 Forecast B'!L344</f>
        <v>2.1038293183682</v>
      </c>
      <c r="J390" s="39" t="n">
        <f aca="false">'2026 Forecast C'!L344</f>
        <v>1.909243057213</v>
      </c>
      <c r="K390" s="18" t="n">
        <f aca="false">'2026 Forecast A'!F344</f>
        <v>1270</v>
      </c>
      <c r="L390" s="40" t="str">
        <f aca="false">IF(OR(AND(D390&gt;0.5,E390&gt;0.5,F390&gt;0.5),AND(D390&lt;0.5,E390&lt;0.5,F390&lt;0.5)),"Yes","No — toss-up")</f>
        <v>Yes</v>
      </c>
    </row>
    <row r="391" customFormat="false" ht="15" hidden="false" customHeight="false" outlineLevel="0" collapsed="false">
      <c r="A391" s="9" t="str">
        <f aca="false">'2026 Forecast A'!A345</f>
        <v>Northampton</v>
      </c>
      <c r="B391" s="9" t="str">
        <f aca="false">'2026 Forecast A'!B345</f>
        <v>PALMER</v>
      </c>
      <c r="C391" s="9" t="str">
        <f aca="false">'2026 Forecast A'!C345</f>
        <v>PALMER - SOUTH</v>
      </c>
      <c r="D391" s="10" t="n">
        <f aca="false">'2026 Forecast A'!G345</f>
        <v>0.5</v>
      </c>
      <c r="E391" s="10" t="n">
        <f aca="false">'2026 Forecast B'!G345</f>
        <v>0.501610305958132</v>
      </c>
      <c r="F391" s="10" t="n">
        <f aca="false">'2026 Forecast C'!G345</f>
        <v>0.502415458937198</v>
      </c>
      <c r="G391" s="38" t="n">
        <f aca="false">(MAX(D391:F391)-MIN(D391:F391))*100</f>
        <v>0.241545893719808</v>
      </c>
      <c r="H391" s="39" t="n">
        <f aca="false">'2026 Forecast A'!L345</f>
        <v>1.75369314833214</v>
      </c>
      <c r="I391" s="39" t="n">
        <f aca="false">'2026 Forecast B'!L345</f>
        <v>2.1038293183682</v>
      </c>
      <c r="J391" s="39" t="n">
        <f aca="false">'2026 Forecast C'!L345</f>
        <v>1.909243057213</v>
      </c>
      <c r="K391" s="18" t="n">
        <f aca="false">'2026 Forecast A'!F345</f>
        <v>1242</v>
      </c>
      <c r="L391" s="40" t="str">
        <f aca="false">IF(OR(AND(D391&gt;0.5,E391&gt;0.5,F391&gt;0.5),AND(D391&lt;0.5,E391&lt;0.5,F391&lt;0.5)),"Yes","No — toss-up")</f>
        <v>No — toss-up</v>
      </c>
    </row>
    <row r="392" customFormat="false" ht="15" hidden="false" customHeight="false" outlineLevel="0" collapsed="false">
      <c r="A392" s="9" t="str">
        <f aca="false">'2026 Forecast A'!A346</f>
        <v>Northampton</v>
      </c>
      <c r="B392" s="9" t="str">
        <f aca="false">'2026 Forecast A'!B346</f>
        <v>PALMER</v>
      </c>
      <c r="C392" s="9" t="str">
        <f aca="false">'2026 Forecast A'!C346</f>
        <v>PALMER - SOUTHEAST</v>
      </c>
      <c r="D392" s="10" t="n">
        <f aca="false">'2026 Forecast A'!G346</f>
        <v>0.522232734153264</v>
      </c>
      <c r="E392" s="10" t="n">
        <f aca="false">'2026 Forecast B'!G346</f>
        <v>0.525070955534532</v>
      </c>
      <c r="F392" s="10" t="n">
        <f aca="false">'2026 Forecast C'!G346</f>
        <v>0.528855250709555</v>
      </c>
      <c r="G392" s="38" t="n">
        <f aca="false">(MAX(D392:F392)-MIN(D392:F392))*100</f>
        <v>0.662251655629131</v>
      </c>
      <c r="H392" s="39" t="n">
        <f aca="false">'2026 Forecast A'!L346</f>
        <v>1.75369314833214</v>
      </c>
      <c r="I392" s="39" t="n">
        <f aca="false">'2026 Forecast B'!L346</f>
        <v>2.1038293183682</v>
      </c>
      <c r="J392" s="39" t="n">
        <f aca="false">'2026 Forecast C'!L346</f>
        <v>1.909243057213</v>
      </c>
      <c r="K392" s="18" t="n">
        <f aca="false">'2026 Forecast A'!F346</f>
        <v>1057</v>
      </c>
      <c r="L392" s="40" t="str">
        <f aca="false">IF(OR(AND(D392&gt;0.5,E392&gt;0.5,F392&gt;0.5),AND(D392&lt;0.5,E392&lt;0.5,F392&lt;0.5)),"Yes","No — toss-up")</f>
        <v>Yes</v>
      </c>
    </row>
    <row r="393" customFormat="false" ht="15" hidden="false" customHeight="false" outlineLevel="0" collapsed="false">
      <c r="A393" s="9" t="str">
        <f aca="false">'2026 Forecast A'!A347</f>
        <v>Northampton</v>
      </c>
      <c r="B393" s="9" t="str">
        <f aca="false">'2026 Forecast A'!B347</f>
        <v>PALMER</v>
      </c>
      <c r="C393" s="9" t="str">
        <f aca="false">'2026 Forecast A'!C347</f>
        <v>PALMER - SOUTHWEST</v>
      </c>
      <c r="D393" s="10" t="n">
        <f aca="false">'2026 Forecast A'!G347</f>
        <v>0.507865168539326</v>
      </c>
      <c r="E393" s="10" t="n">
        <f aca="false">'2026 Forecast B'!G347</f>
        <v>0.512359550561798</v>
      </c>
      <c r="F393" s="10" t="n">
        <f aca="false">'2026 Forecast C'!G347</f>
        <v>0.512359550561798</v>
      </c>
      <c r="G393" s="38" t="n">
        <f aca="false">(MAX(D393:F393)-MIN(D393:F393))*100</f>
        <v>0.449438202247188</v>
      </c>
      <c r="H393" s="39" t="n">
        <f aca="false">'2026 Forecast A'!L347</f>
        <v>3.43333352273176</v>
      </c>
      <c r="I393" s="39" t="n">
        <f aca="false">'2026 Forecast B'!L347</f>
        <v>3.21167747490571</v>
      </c>
      <c r="J393" s="39" t="n">
        <f aca="false">'2026 Forecast C'!L347</f>
        <v>3.72283676191068</v>
      </c>
      <c r="K393" s="18" t="n">
        <f aca="false">'2026 Forecast A'!F347</f>
        <v>445</v>
      </c>
      <c r="L393" s="40" t="str">
        <f aca="false">IF(OR(AND(D393&gt;0.5,E393&gt;0.5,F393&gt;0.5),AND(D393&lt;0.5,E393&lt;0.5,F393&lt;0.5)),"Yes","No — toss-up")</f>
        <v>Yes</v>
      </c>
    </row>
    <row r="394" customFormat="false" ht="15" hidden="false" customHeight="false" outlineLevel="0" collapsed="false">
      <c r="A394" s="9" t="str">
        <f aca="false">'2026 Forecast A'!A348</f>
        <v>Northampton</v>
      </c>
      <c r="B394" s="9" t="str">
        <f aca="false">'2026 Forecast A'!B348</f>
        <v>PALMER</v>
      </c>
      <c r="C394" s="9" t="str">
        <f aca="false">'2026 Forecast A'!C348</f>
        <v>PALMER - WEST</v>
      </c>
      <c r="D394" s="10" t="n">
        <f aca="false">'2026 Forecast A'!G348</f>
        <v>0.509039010466223</v>
      </c>
      <c r="E394" s="10" t="n">
        <f aca="false">'2026 Forecast B'!G348</f>
        <v>0.510941960038059</v>
      </c>
      <c r="F394" s="10" t="n">
        <f aca="false">'2026 Forecast C'!G348</f>
        <v>0.513796384395814</v>
      </c>
      <c r="G394" s="38" t="n">
        <f aca="false">(MAX(D394:F394)-MIN(D394:F394))*100</f>
        <v>0.475737392959086</v>
      </c>
      <c r="H394" s="39" t="n">
        <f aca="false">'2026 Forecast A'!L348</f>
        <v>1.75369314833214</v>
      </c>
      <c r="I394" s="39" t="n">
        <f aca="false">'2026 Forecast B'!L348</f>
        <v>2.1038293183682</v>
      </c>
      <c r="J394" s="39" t="n">
        <f aca="false">'2026 Forecast C'!L348</f>
        <v>1.909243057213</v>
      </c>
      <c r="K394" s="18" t="n">
        <f aca="false">'2026 Forecast A'!F348</f>
        <v>1051</v>
      </c>
      <c r="L394" s="40" t="str">
        <f aca="false">IF(OR(AND(D394&gt;0.5,E394&gt;0.5,F394&gt;0.5),AND(D394&lt;0.5,E394&lt;0.5,F394&lt;0.5)),"Yes","No — toss-up")</f>
        <v>Yes</v>
      </c>
    </row>
    <row r="395" customFormat="false" ht="15" hidden="false" customHeight="false" outlineLevel="0" collapsed="false">
      <c r="A395" s="9" t="str">
        <f aca="false">'2026 Forecast A'!A349</f>
        <v>Northampton</v>
      </c>
      <c r="B395" s="9" t="str">
        <f aca="false">'2026 Forecast A'!B349</f>
        <v>PEN ARGYL</v>
      </c>
      <c r="C395" s="9" t="str">
        <f aca="false">'2026 Forecast A'!C349</f>
        <v>PEN ARGYL BORO 1ST WARD</v>
      </c>
      <c r="D395" s="10" t="n">
        <f aca="false">'2026 Forecast A'!G349</f>
        <v>0.386046511627907</v>
      </c>
      <c r="E395" s="10" t="n">
        <f aca="false">'2026 Forecast B'!G349</f>
        <v>0.376744186046512</v>
      </c>
      <c r="F395" s="10" t="n">
        <f aca="false">'2026 Forecast C'!G349</f>
        <v>0.376744186046512</v>
      </c>
      <c r="G395" s="38" t="n">
        <f aca="false">(MAX(D395:F395)-MIN(D395:F395))*100</f>
        <v>0.930232558139538</v>
      </c>
      <c r="H395" s="39" t="n">
        <f aca="false">'2026 Forecast A'!L349</f>
        <v>3.43333352273176</v>
      </c>
      <c r="I395" s="39" t="n">
        <f aca="false">'2026 Forecast B'!L349</f>
        <v>3.21167747490571</v>
      </c>
      <c r="J395" s="39" t="n">
        <f aca="false">'2026 Forecast C'!L349</f>
        <v>3.72283676191068</v>
      </c>
      <c r="K395" s="18" t="n">
        <f aca="false">'2026 Forecast A'!F349</f>
        <v>215</v>
      </c>
      <c r="L395" s="40" t="str">
        <f aca="false">IF(OR(AND(D395&gt;0.5,E395&gt;0.5,F395&gt;0.5),AND(D395&lt;0.5,E395&lt;0.5,F395&lt;0.5)),"Yes","No — toss-up")</f>
        <v>Yes</v>
      </c>
    </row>
    <row r="396" customFormat="false" ht="15" hidden="false" customHeight="false" outlineLevel="0" collapsed="false">
      <c r="A396" s="9" t="str">
        <f aca="false">'2026 Forecast A'!A350</f>
        <v>Northampton</v>
      </c>
      <c r="B396" s="9" t="str">
        <f aca="false">'2026 Forecast A'!B350</f>
        <v>PEN ARGYL</v>
      </c>
      <c r="C396" s="9" t="str">
        <f aca="false">'2026 Forecast A'!C350</f>
        <v>PEN ARGYL BORO 2ND WARD</v>
      </c>
      <c r="D396" s="10" t="n">
        <f aca="false">'2026 Forecast A'!G350</f>
        <v>0.36056838365897</v>
      </c>
      <c r="E396" s="10" t="n">
        <f aca="false">'2026 Forecast B'!G350</f>
        <v>0.36056838365897</v>
      </c>
      <c r="F396" s="10" t="n">
        <f aca="false">'2026 Forecast C'!G350</f>
        <v>0.348134991119005</v>
      </c>
      <c r="G396" s="38" t="n">
        <f aca="false">(MAX(D396:F396)-MIN(D396:F396))*100</f>
        <v>1.24333925399645</v>
      </c>
      <c r="H396" s="39" t="n">
        <f aca="false">'2026 Forecast A'!L350</f>
        <v>3.43333352273176</v>
      </c>
      <c r="I396" s="39" t="n">
        <f aca="false">'2026 Forecast B'!L350</f>
        <v>3.21167747490571</v>
      </c>
      <c r="J396" s="39" t="n">
        <f aca="false">'2026 Forecast C'!L350</f>
        <v>3.72283676191068</v>
      </c>
      <c r="K396" s="18" t="n">
        <f aca="false">'2026 Forecast A'!F350</f>
        <v>563</v>
      </c>
      <c r="L396" s="40" t="str">
        <f aca="false">IF(OR(AND(D396&gt;0.5,E396&gt;0.5,F396&gt;0.5),AND(D396&lt;0.5,E396&lt;0.5,F396&lt;0.5)),"Yes","No — toss-up")</f>
        <v>Yes</v>
      </c>
    </row>
    <row r="397" customFormat="false" ht="15" hidden="false" customHeight="false" outlineLevel="0" collapsed="false">
      <c r="A397" s="9" t="str">
        <f aca="false">'2026 Forecast A'!A351</f>
        <v>Northampton</v>
      </c>
      <c r="B397" s="9" t="str">
        <f aca="false">'2026 Forecast A'!B351</f>
        <v>PEN ARGYL</v>
      </c>
      <c r="C397" s="9" t="str">
        <f aca="false">'2026 Forecast A'!C351</f>
        <v>PEN ARGYL BORO 3RD WARD</v>
      </c>
      <c r="D397" s="10" t="n">
        <f aca="false">'2026 Forecast A'!G351</f>
        <v>0.406077348066298</v>
      </c>
      <c r="E397" s="10" t="n">
        <f aca="false">'2026 Forecast B'!G351</f>
        <v>0.406077348066298</v>
      </c>
      <c r="F397" s="10" t="n">
        <f aca="false">'2026 Forecast C'!G351</f>
        <v>0.397790055248619</v>
      </c>
      <c r="G397" s="38" t="n">
        <f aca="false">(MAX(D397:F397)-MIN(D397:F397))*100</f>
        <v>0.828729281767959</v>
      </c>
      <c r="H397" s="39" t="n">
        <f aca="false">'2026 Forecast A'!L351</f>
        <v>3.43333352273176</v>
      </c>
      <c r="I397" s="39" t="n">
        <f aca="false">'2026 Forecast B'!L351</f>
        <v>3.21167747490571</v>
      </c>
      <c r="J397" s="39" t="n">
        <f aca="false">'2026 Forecast C'!L351</f>
        <v>3.72283676191068</v>
      </c>
      <c r="K397" s="18" t="n">
        <f aca="false">'2026 Forecast A'!F351</f>
        <v>362</v>
      </c>
      <c r="L397" s="40" t="str">
        <f aca="false">IF(OR(AND(D397&gt;0.5,E397&gt;0.5,F397&gt;0.5),AND(D397&lt;0.5,E397&lt;0.5,F397&lt;0.5)),"Yes","No — toss-up")</f>
        <v>Yes</v>
      </c>
    </row>
    <row r="398" customFormat="false" ht="15" hidden="false" customHeight="false" outlineLevel="0" collapsed="false">
      <c r="A398" s="9" t="str">
        <f aca="false">'2026 Forecast A'!A352</f>
        <v>Northampton</v>
      </c>
      <c r="B398" s="9" t="str">
        <f aca="false">'2026 Forecast A'!B352</f>
        <v>PEN ARGYL</v>
      </c>
      <c r="C398" s="9" t="str">
        <f aca="false">'2026 Forecast A'!C352</f>
        <v>PEN ARGYL BORO 4TH WARD</v>
      </c>
      <c r="D398" s="10" t="n">
        <f aca="false">'2026 Forecast A'!G352</f>
        <v>0.407407407407407</v>
      </c>
      <c r="E398" s="10" t="n">
        <f aca="false">'2026 Forecast B'!G352</f>
        <v>0.412037037037037</v>
      </c>
      <c r="F398" s="10" t="n">
        <f aca="false">'2026 Forecast C'!G352</f>
        <v>0.398148148148148</v>
      </c>
      <c r="G398" s="38" t="n">
        <f aca="false">(MAX(D398:F398)-MIN(D398:F398))*100</f>
        <v>1.38888888888889</v>
      </c>
      <c r="H398" s="39" t="n">
        <f aca="false">'2026 Forecast A'!L352</f>
        <v>3.43333352273176</v>
      </c>
      <c r="I398" s="39" t="n">
        <f aca="false">'2026 Forecast B'!L352</f>
        <v>3.21167747490571</v>
      </c>
      <c r="J398" s="39" t="n">
        <f aca="false">'2026 Forecast C'!L352</f>
        <v>3.72283676191068</v>
      </c>
      <c r="K398" s="18" t="n">
        <f aca="false">'2026 Forecast A'!F352</f>
        <v>216</v>
      </c>
      <c r="L398" s="40" t="str">
        <f aca="false">IF(OR(AND(D398&gt;0.5,E398&gt;0.5,F398&gt;0.5),AND(D398&lt;0.5,E398&lt;0.5,F398&lt;0.5)),"Yes","No — toss-up")</f>
        <v>Yes</v>
      </c>
    </row>
    <row r="399" customFormat="false" ht="15" hidden="false" customHeight="false" outlineLevel="0" collapsed="false">
      <c r="A399" s="9" t="str">
        <f aca="false">'2026 Forecast A'!A353</f>
        <v>Northampton</v>
      </c>
      <c r="B399" s="9" t="str">
        <f aca="false">'2026 Forecast A'!B353</f>
        <v>PLAINFIELD</v>
      </c>
      <c r="C399" s="9" t="str">
        <f aca="false">'2026 Forecast A'!C353</f>
        <v>PLAINFIELD TWSP - BELFAST</v>
      </c>
      <c r="D399" s="10" t="n">
        <f aca="false">'2026 Forecast A'!G353</f>
        <v>0.355415352260778</v>
      </c>
      <c r="E399" s="10" t="n">
        <f aca="false">'2026 Forecast B'!G353</f>
        <v>0.351209253417455</v>
      </c>
      <c r="F399" s="10" t="n">
        <f aca="false">'2026 Forecast C'!G353</f>
        <v>0.341745531019979</v>
      </c>
      <c r="G399" s="38" t="n">
        <f aca="false">(MAX(D399:F399)-MIN(D399:F399))*100</f>
        <v>1.36698212407992</v>
      </c>
      <c r="H399" s="39" t="n">
        <f aca="false">'2026 Forecast A'!L353</f>
        <v>1.75369314833214</v>
      </c>
      <c r="I399" s="39" t="n">
        <f aca="false">'2026 Forecast B'!L353</f>
        <v>2.1038293183682</v>
      </c>
      <c r="J399" s="39" t="n">
        <f aca="false">'2026 Forecast C'!L353</f>
        <v>1.909243057213</v>
      </c>
      <c r="K399" s="18" t="n">
        <f aca="false">'2026 Forecast A'!F353</f>
        <v>951</v>
      </c>
      <c r="L399" s="40" t="str">
        <f aca="false">IF(OR(AND(D399&gt;0.5,E399&gt;0.5,F399&gt;0.5),AND(D399&lt;0.5,E399&lt;0.5,F399&lt;0.5)),"Yes","No — toss-up")</f>
        <v>Yes</v>
      </c>
    </row>
    <row r="400" customFormat="false" ht="15" hidden="false" customHeight="false" outlineLevel="0" collapsed="false">
      <c r="A400" s="9" t="str">
        <f aca="false">'2026 Forecast A'!A354</f>
        <v>Northampton</v>
      </c>
      <c r="B400" s="9" t="str">
        <f aca="false">'2026 Forecast A'!B354</f>
        <v>PLAINFIELD</v>
      </c>
      <c r="C400" s="9" t="str">
        <f aca="false">'2026 Forecast A'!C354</f>
        <v>PLAINFIELD TWSP - DELABOLE</v>
      </c>
      <c r="D400" s="10" t="n">
        <f aca="false">'2026 Forecast A'!G354</f>
        <v>0.363150867823765</v>
      </c>
      <c r="E400" s="10" t="n">
        <f aca="false">'2026 Forecast B'!G354</f>
        <v>0.364485981308411</v>
      </c>
      <c r="F400" s="10" t="n">
        <f aca="false">'2026 Forecast C'!G354</f>
        <v>0.349799732977303</v>
      </c>
      <c r="G400" s="38" t="n">
        <f aca="false">(MAX(D400:F400)-MIN(D400:F400))*100</f>
        <v>1.46862483311082</v>
      </c>
      <c r="H400" s="39" t="n">
        <f aca="false">'2026 Forecast A'!L354</f>
        <v>2.13789583153489</v>
      </c>
      <c r="I400" s="39" t="n">
        <f aca="false">'2026 Forecast B'!L354</f>
        <v>2.24475965619494</v>
      </c>
      <c r="J400" s="39" t="n">
        <f aca="false">'2026 Forecast C'!L354</f>
        <v>2.3915225360787</v>
      </c>
      <c r="K400" s="18" t="n">
        <f aca="false">'2026 Forecast A'!F354</f>
        <v>749</v>
      </c>
      <c r="L400" s="40" t="str">
        <f aca="false">IF(OR(AND(D400&gt;0.5,E400&gt;0.5,F400&gt;0.5),AND(D400&lt;0.5,E400&lt;0.5,F400&lt;0.5)),"Yes","No — toss-up")</f>
        <v>Yes</v>
      </c>
    </row>
    <row r="401" customFormat="false" ht="15" hidden="false" customHeight="false" outlineLevel="0" collapsed="false">
      <c r="A401" s="9" t="str">
        <f aca="false">'2026 Forecast A'!A355</f>
        <v>Northampton</v>
      </c>
      <c r="B401" s="9" t="str">
        <f aca="false">'2026 Forecast A'!B355</f>
        <v>PLAINFIELD</v>
      </c>
      <c r="C401" s="9" t="str">
        <f aca="false">'2026 Forecast A'!C355</f>
        <v>PLAINFIELD TWSP - KESSLERSVILLE</v>
      </c>
      <c r="D401" s="10" t="n">
        <f aca="false">'2026 Forecast A'!G355</f>
        <v>0.336633663366337</v>
      </c>
      <c r="E401" s="10" t="n">
        <f aca="false">'2026 Forecast B'!G355</f>
        <v>0.338048090523338</v>
      </c>
      <c r="F401" s="10" t="n">
        <f aca="false">'2026 Forecast C'!G355</f>
        <v>0.323903818953324</v>
      </c>
      <c r="G401" s="38" t="n">
        <f aca="false">(MAX(D401:F401)-MIN(D401:F401))*100</f>
        <v>1.41442715700141</v>
      </c>
      <c r="H401" s="39" t="n">
        <f aca="false">'2026 Forecast A'!L355</f>
        <v>2.13789583153489</v>
      </c>
      <c r="I401" s="39" t="n">
        <f aca="false">'2026 Forecast B'!L355</f>
        <v>2.24475965619494</v>
      </c>
      <c r="J401" s="39" t="n">
        <f aca="false">'2026 Forecast C'!L355</f>
        <v>2.3915225360787</v>
      </c>
      <c r="K401" s="18" t="n">
        <f aca="false">'2026 Forecast A'!F355</f>
        <v>707</v>
      </c>
      <c r="L401" s="40" t="str">
        <f aca="false">IF(OR(AND(D401&gt;0.5,E401&gt;0.5,F401&gt;0.5),AND(D401&lt;0.5,E401&lt;0.5,F401&lt;0.5)),"Yes","No — toss-up")</f>
        <v>Yes</v>
      </c>
    </row>
    <row r="402" customFormat="false" ht="15" hidden="false" customHeight="false" outlineLevel="0" collapsed="false">
      <c r="A402" s="9" t="str">
        <f aca="false">'2026 Forecast A'!A356</f>
        <v>Northampton</v>
      </c>
      <c r="B402" s="9" t="str">
        <f aca="false">'2026 Forecast A'!B356</f>
        <v>PLAINFIELD</v>
      </c>
      <c r="C402" s="9" t="str">
        <f aca="false">'2026 Forecast A'!C356</f>
        <v>PLAINFIELD TWSP - PLAINFIELD CHURCH</v>
      </c>
      <c r="D402" s="10" t="n">
        <f aca="false">'2026 Forecast A'!G356</f>
        <v>0.339410939691445</v>
      </c>
      <c r="E402" s="10" t="n">
        <f aca="false">'2026 Forecast B'!G356</f>
        <v>0.342215988779804</v>
      </c>
      <c r="F402" s="10" t="n">
        <f aca="false">'2026 Forecast C'!G356</f>
        <v>0.32398316970547</v>
      </c>
      <c r="G402" s="38" t="n">
        <f aca="false">(MAX(D402:F402)-MIN(D402:F402))*100</f>
        <v>1.82328190743338</v>
      </c>
      <c r="H402" s="39" t="n">
        <f aca="false">'2026 Forecast A'!L356</f>
        <v>2.13789583153489</v>
      </c>
      <c r="I402" s="39" t="n">
        <f aca="false">'2026 Forecast B'!L356</f>
        <v>2.24475965619494</v>
      </c>
      <c r="J402" s="39" t="n">
        <f aca="false">'2026 Forecast C'!L356</f>
        <v>2.3915225360787</v>
      </c>
      <c r="K402" s="18" t="n">
        <f aca="false">'2026 Forecast A'!F356</f>
        <v>713</v>
      </c>
      <c r="L402" s="40" t="str">
        <f aca="false">IF(OR(AND(D402&gt;0.5,E402&gt;0.5,F402&gt;0.5),AND(D402&lt;0.5,E402&lt;0.5,F402&lt;0.5)),"Yes","No — toss-up")</f>
        <v>Yes</v>
      </c>
    </row>
    <row r="403" customFormat="false" ht="15" hidden="false" customHeight="false" outlineLevel="0" collapsed="false">
      <c r="A403" s="9" t="str">
        <f aca="false">'2026 Forecast A'!A357</f>
        <v>Northampton</v>
      </c>
      <c r="B403" s="9" t="str">
        <f aca="false">'2026 Forecast A'!B357</f>
        <v>PORTLAND</v>
      </c>
      <c r="C403" s="9" t="str">
        <f aca="false">'2026 Forecast A'!C357</f>
        <v>PORTLAND BORO</v>
      </c>
      <c r="D403" s="10" t="n">
        <f aca="false">'2026 Forecast A'!G357</f>
        <v>0.352040816326531</v>
      </c>
      <c r="E403" s="10" t="n">
        <f aca="false">'2026 Forecast B'!G357</f>
        <v>0.346938775510204</v>
      </c>
      <c r="F403" s="10" t="n">
        <f aca="false">'2026 Forecast C'!G357</f>
        <v>0.341836734693878</v>
      </c>
      <c r="G403" s="38" t="n">
        <f aca="false">(MAX(D403:F403)-MIN(D403:F403))*100</f>
        <v>1.02040816326531</v>
      </c>
      <c r="H403" s="39" t="n">
        <f aca="false">'2026 Forecast A'!L357</f>
        <v>3.43333352273176</v>
      </c>
      <c r="I403" s="39" t="n">
        <f aca="false">'2026 Forecast B'!L357</f>
        <v>3.21167747490571</v>
      </c>
      <c r="J403" s="39" t="n">
        <f aca="false">'2026 Forecast C'!L357</f>
        <v>3.72283676191068</v>
      </c>
      <c r="K403" s="18" t="n">
        <f aca="false">'2026 Forecast A'!F357</f>
        <v>196</v>
      </c>
      <c r="L403" s="40" t="str">
        <f aca="false">IF(OR(AND(D403&gt;0.5,E403&gt;0.5,F403&gt;0.5),AND(D403&lt;0.5,E403&lt;0.5,F403&lt;0.5)),"Yes","No — toss-up")</f>
        <v>Yes</v>
      </c>
    </row>
    <row r="404" customFormat="false" ht="15" hidden="false" customHeight="false" outlineLevel="0" collapsed="false">
      <c r="A404" s="9" t="str">
        <f aca="false">'2026 Forecast A'!A358</f>
        <v>Northampton</v>
      </c>
      <c r="B404" s="9" t="str">
        <f aca="false">'2026 Forecast A'!B358</f>
        <v>ROSETO</v>
      </c>
      <c r="C404" s="9" t="str">
        <f aca="false">'2026 Forecast A'!C358</f>
        <v>ROSETO BORO</v>
      </c>
      <c r="D404" s="10" t="n">
        <f aca="false">'2026 Forecast A'!G358</f>
        <v>0.375730994152047</v>
      </c>
      <c r="E404" s="10" t="n">
        <f aca="false">'2026 Forecast B'!G358</f>
        <v>0.375730994152047</v>
      </c>
      <c r="F404" s="10" t="n">
        <f aca="false">'2026 Forecast C'!G358</f>
        <v>0.362573099415205</v>
      </c>
      <c r="G404" s="38" t="n">
        <f aca="false">(MAX(D404:F404)-MIN(D404:F404))*100</f>
        <v>1.31578947368421</v>
      </c>
      <c r="H404" s="39" t="n">
        <f aca="false">'2026 Forecast A'!L358</f>
        <v>2.13789583153489</v>
      </c>
      <c r="I404" s="39" t="n">
        <f aca="false">'2026 Forecast B'!L358</f>
        <v>2.24475965619494</v>
      </c>
      <c r="J404" s="39" t="n">
        <f aca="false">'2026 Forecast C'!L358</f>
        <v>2.3915225360787</v>
      </c>
      <c r="K404" s="18" t="n">
        <f aca="false">'2026 Forecast A'!F358</f>
        <v>684</v>
      </c>
      <c r="L404" s="40" t="str">
        <f aca="false">IF(OR(AND(D404&gt;0.5,E404&gt;0.5,F404&gt;0.5),AND(D404&lt;0.5,E404&lt;0.5,F404&lt;0.5)),"Yes","No — toss-up")</f>
        <v>Yes</v>
      </c>
    </row>
    <row r="405" customFormat="false" ht="15" hidden="false" customHeight="false" outlineLevel="0" collapsed="false">
      <c r="A405" s="9" t="str">
        <f aca="false">'2026 Forecast A'!A359</f>
        <v>Northampton</v>
      </c>
      <c r="B405" s="9" t="str">
        <f aca="false">'2026 Forecast A'!B359</f>
        <v>STOCKERTOWN</v>
      </c>
      <c r="C405" s="9" t="str">
        <f aca="false">'2026 Forecast A'!C359</f>
        <v>STOCKERTOWN BORO</v>
      </c>
      <c r="D405" s="10" t="n">
        <f aca="false">'2026 Forecast A'!G359</f>
        <v>0.408740359897172</v>
      </c>
      <c r="E405" s="10" t="n">
        <f aca="false">'2026 Forecast B'!G359</f>
        <v>0.413881748071979</v>
      </c>
      <c r="F405" s="10" t="n">
        <f aca="false">'2026 Forecast C'!G359</f>
        <v>0.401028277634961</v>
      </c>
      <c r="G405" s="38" t="n">
        <f aca="false">(MAX(D405:F405)-MIN(D405:F405))*100</f>
        <v>1.2853470437018</v>
      </c>
      <c r="H405" s="39" t="n">
        <f aca="false">'2026 Forecast A'!L359</f>
        <v>3.43333352273176</v>
      </c>
      <c r="I405" s="39" t="n">
        <f aca="false">'2026 Forecast B'!L359</f>
        <v>3.21167747490571</v>
      </c>
      <c r="J405" s="39" t="n">
        <f aca="false">'2026 Forecast C'!L359</f>
        <v>3.72283676191068</v>
      </c>
      <c r="K405" s="18" t="n">
        <f aca="false">'2026 Forecast A'!F359</f>
        <v>389</v>
      </c>
      <c r="L405" s="40" t="str">
        <f aca="false">IF(OR(AND(D405&gt;0.5,E405&gt;0.5,F405&gt;0.5),AND(D405&lt;0.5,E405&lt;0.5,F405&lt;0.5)),"Yes","No — toss-up")</f>
        <v>Yes</v>
      </c>
    </row>
    <row r="406" customFormat="false" ht="15" hidden="false" customHeight="false" outlineLevel="0" collapsed="false">
      <c r="A406" s="9" t="str">
        <f aca="false">'2026 Forecast A'!A360</f>
        <v>Northampton</v>
      </c>
      <c r="B406" s="9" t="str">
        <f aca="false">'2026 Forecast A'!B360</f>
        <v>TATAMY</v>
      </c>
      <c r="C406" s="9" t="str">
        <f aca="false">'2026 Forecast A'!C360</f>
        <v>TATAMY BORO</v>
      </c>
      <c r="D406" s="10" t="n">
        <f aca="false">'2026 Forecast A'!G360</f>
        <v>0.430232558139535</v>
      </c>
      <c r="E406" s="10" t="n">
        <f aca="false">'2026 Forecast B'!G360</f>
        <v>0.42358803986711</v>
      </c>
      <c r="F406" s="10" t="n">
        <f aca="false">'2026 Forecast C'!G360</f>
        <v>0.42358803986711</v>
      </c>
      <c r="G406" s="38" t="n">
        <f aca="false">(MAX(D406:F406)-MIN(D406:F406))*100</f>
        <v>0.664451827242524</v>
      </c>
      <c r="H406" s="39" t="n">
        <f aca="false">'2026 Forecast A'!L360</f>
        <v>2.13789583153489</v>
      </c>
      <c r="I406" s="39" t="n">
        <f aca="false">'2026 Forecast B'!L360</f>
        <v>2.24475965619494</v>
      </c>
      <c r="J406" s="39" t="n">
        <f aca="false">'2026 Forecast C'!L360</f>
        <v>2.3915225360787</v>
      </c>
      <c r="K406" s="18" t="n">
        <f aca="false">'2026 Forecast A'!F360</f>
        <v>602</v>
      </c>
      <c r="L406" s="40" t="str">
        <f aca="false">IF(OR(AND(D406&gt;0.5,E406&gt;0.5,F406&gt;0.5),AND(D406&lt;0.5,E406&lt;0.5,F406&lt;0.5)),"Yes","No — toss-up")</f>
        <v>Yes</v>
      </c>
    </row>
    <row r="407" customFormat="false" ht="15" hidden="false" customHeight="false" outlineLevel="0" collapsed="false">
      <c r="A407" s="9" t="str">
        <f aca="false">'2026 Forecast A'!A361</f>
        <v>Northampton</v>
      </c>
      <c r="B407" s="9" t="str">
        <f aca="false">'2026 Forecast A'!B361</f>
        <v>UPPER MOUNT BETHEL</v>
      </c>
      <c r="C407" s="9" t="str">
        <f aca="false">'2026 Forecast A'!C361</f>
        <v>UPPER MT BETHEL TWSP - CENTERVILLE</v>
      </c>
      <c r="D407" s="10" t="n">
        <f aca="false">'2026 Forecast A'!G361</f>
        <v>0.293611793611794</v>
      </c>
      <c r="E407" s="10" t="n">
        <f aca="false">'2026 Forecast B'!G361</f>
        <v>0.28992628992629</v>
      </c>
      <c r="F407" s="10" t="n">
        <f aca="false">'2026 Forecast C'!G361</f>
        <v>0.276412776412776</v>
      </c>
      <c r="G407" s="38" t="n">
        <f aca="false">(MAX(D407:F407)-MIN(D407:F407))*100</f>
        <v>1.71990171990172</v>
      </c>
      <c r="H407" s="39" t="n">
        <f aca="false">'2026 Forecast A'!L361</f>
        <v>2.13789583153489</v>
      </c>
      <c r="I407" s="39" t="n">
        <f aca="false">'2026 Forecast B'!L361</f>
        <v>2.24475965619494</v>
      </c>
      <c r="J407" s="39" t="n">
        <f aca="false">'2026 Forecast C'!L361</f>
        <v>2.3915225360787</v>
      </c>
      <c r="K407" s="18" t="n">
        <f aca="false">'2026 Forecast A'!F361</f>
        <v>814</v>
      </c>
      <c r="L407" s="40" t="str">
        <f aca="false">IF(OR(AND(D407&gt;0.5,E407&gt;0.5,F407&gt;0.5),AND(D407&lt;0.5,E407&lt;0.5,F407&lt;0.5)),"Yes","No — toss-up")</f>
        <v>Yes</v>
      </c>
    </row>
    <row r="408" customFormat="false" ht="15" hidden="false" customHeight="false" outlineLevel="0" collapsed="false">
      <c r="A408" s="9" t="str">
        <f aca="false">'2026 Forecast A'!A362</f>
        <v>Northampton</v>
      </c>
      <c r="B408" s="9" t="str">
        <f aca="false">'2026 Forecast A'!B362</f>
        <v>UPPER MOUNT BETHEL</v>
      </c>
      <c r="C408" s="9" t="str">
        <f aca="false">'2026 Forecast A'!C362</f>
        <v>UPPER MT BETHEL TWSP - JOHNSONVILLE</v>
      </c>
      <c r="D408" s="10" t="n">
        <f aca="false">'2026 Forecast A'!G362</f>
        <v>0.3322528363047</v>
      </c>
      <c r="E408" s="10" t="n">
        <f aca="false">'2026 Forecast B'!G362</f>
        <v>0.3322528363047</v>
      </c>
      <c r="F408" s="10" t="n">
        <f aca="false">'2026 Forecast C'!G362</f>
        <v>0.316045380875203</v>
      </c>
      <c r="G408" s="38" t="n">
        <f aca="false">(MAX(D408:F408)-MIN(D408:F408))*100</f>
        <v>1.62074554294975</v>
      </c>
      <c r="H408" s="39" t="n">
        <f aca="false">'2026 Forecast A'!L362</f>
        <v>2.13789583153489</v>
      </c>
      <c r="I408" s="39" t="n">
        <f aca="false">'2026 Forecast B'!L362</f>
        <v>2.24475965619494</v>
      </c>
      <c r="J408" s="39" t="n">
        <f aca="false">'2026 Forecast C'!L362</f>
        <v>2.3915225360787</v>
      </c>
      <c r="K408" s="18" t="n">
        <f aca="false">'2026 Forecast A'!F362</f>
        <v>617</v>
      </c>
      <c r="L408" s="40" t="str">
        <f aca="false">IF(OR(AND(D408&gt;0.5,E408&gt;0.5,F408&gt;0.5),AND(D408&lt;0.5,E408&lt;0.5,F408&lt;0.5)),"Yes","No — toss-up")</f>
        <v>Yes</v>
      </c>
    </row>
    <row r="409" customFormat="false" ht="15" hidden="false" customHeight="false" outlineLevel="0" collapsed="false">
      <c r="A409" s="9" t="str">
        <f aca="false">'2026 Forecast A'!A363</f>
        <v>Northampton</v>
      </c>
      <c r="B409" s="9" t="str">
        <f aca="false">'2026 Forecast A'!B363</f>
        <v>UPPER MOUNT BETHEL</v>
      </c>
      <c r="C409" s="9" t="str">
        <f aca="false">'2026 Forecast A'!C363</f>
        <v>UPPER MT BETHEL TWSP - NORTH BANGOR</v>
      </c>
      <c r="D409" s="10" t="n">
        <f aca="false">'2026 Forecast A'!G363</f>
        <v>0.295454545454545</v>
      </c>
      <c r="E409" s="10" t="n">
        <f aca="false">'2026 Forecast B'!G363</f>
        <v>0.299242424242424</v>
      </c>
      <c r="F409" s="10" t="n">
        <f aca="false">'2026 Forecast C'!G363</f>
        <v>0.276515151515152</v>
      </c>
      <c r="G409" s="38" t="n">
        <f aca="false">(MAX(D409:F409)-MIN(D409:F409))*100</f>
        <v>2.27272727272728</v>
      </c>
      <c r="H409" s="39" t="n">
        <f aca="false">'2026 Forecast A'!L363</f>
        <v>3.43333352273176</v>
      </c>
      <c r="I409" s="39" t="n">
        <f aca="false">'2026 Forecast B'!L363</f>
        <v>3.21167747490571</v>
      </c>
      <c r="J409" s="39" t="n">
        <f aca="false">'2026 Forecast C'!L363</f>
        <v>3.72283676191068</v>
      </c>
      <c r="K409" s="18" t="n">
        <f aca="false">'2026 Forecast A'!F363</f>
        <v>528</v>
      </c>
      <c r="L409" s="40" t="str">
        <f aca="false">IF(OR(AND(D409&gt;0.5,E409&gt;0.5,F409&gt;0.5),AND(D409&lt;0.5,E409&lt;0.5,F409&lt;0.5)),"Yes","No — toss-up")</f>
        <v>Yes</v>
      </c>
    </row>
    <row r="410" customFormat="false" ht="15" hidden="false" customHeight="false" outlineLevel="0" collapsed="false">
      <c r="A410" s="9" t="str">
        <f aca="false">'2026 Forecast A'!A364</f>
        <v>Northampton</v>
      </c>
      <c r="B410" s="9" t="str">
        <f aca="false">'2026 Forecast A'!B364</f>
        <v>UPPER MOUNT BETHEL</v>
      </c>
      <c r="C410" s="9" t="str">
        <f aca="false">'2026 Forecast A'!C364</f>
        <v>UPPER MT BETHEL TWSP - SLATEFORD</v>
      </c>
      <c r="D410" s="10" t="n">
        <f aca="false">'2026 Forecast A'!G364</f>
        <v>0.302375809935205</v>
      </c>
      <c r="E410" s="10" t="n">
        <f aca="false">'2026 Forecast B'!G364</f>
        <v>0.298056155507559</v>
      </c>
      <c r="F410" s="10" t="n">
        <f aca="false">'2026 Forecast C'!G364</f>
        <v>0.287257019438445</v>
      </c>
      <c r="G410" s="38" t="n">
        <f aca="false">(MAX(D410:F410)-MIN(D410:F410))*100</f>
        <v>1.51187904967602</v>
      </c>
      <c r="H410" s="39" t="n">
        <f aca="false">'2026 Forecast A'!L364</f>
        <v>3.43333352273176</v>
      </c>
      <c r="I410" s="39" t="n">
        <f aca="false">'2026 Forecast B'!L364</f>
        <v>3.21167747490571</v>
      </c>
      <c r="J410" s="39" t="n">
        <f aca="false">'2026 Forecast C'!L364</f>
        <v>3.72283676191068</v>
      </c>
      <c r="K410" s="18" t="n">
        <f aca="false">'2026 Forecast A'!F364</f>
        <v>463</v>
      </c>
      <c r="L410" s="40" t="str">
        <f aca="false">IF(OR(AND(D410&gt;0.5,E410&gt;0.5,F410&gt;0.5),AND(D410&lt;0.5,E410&lt;0.5,F410&lt;0.5)),"Yes","No — toss-up")</f>
        <v>Yes</v>
      </c>
    </row>
    <row r="411" customFormat="false" ht="15" hidden="false" customHeight="false" outlineLevel="0" collapsed="false">
      <c r="A411" s="9" t="str">
        <f aca="false">'2026 Forecast A'!A365</f>
        <v>Northampton</v>
      </c>
      <c r="B411" s="9" t="str">
        <f aca="false">'2026 Forecast A'!B365</f>
        <v>UPPER MOUNT BETHEL</v>
      </c>
      <c r="C411" s="9" t="str">
        <f aca="false">'2026 Forecast A'!C365</f>
        <v>UPPER MT BETHEL TWSP - WILLIAMSBURG</v>
      </c>
      <c r="D411" s="10" t="n">
        <f aca="false">'2026 Forecast A'!G365</f>
        <v>0.369146005509642</v>
      </c>
      <c r="E411" s="10" t="n">
        <f aca="false">'2026 Forecast B'!G365</f>
        <v>0.370523415977961</v>
      </c>
      <c r="F411" s="10" t="n">
        <f aca="false">'2026 Forecast C'!G365</f>
        <v>0.359504132231405</v>
      </c>
      <c r="G411" s="38" t="n">
        <f aca="false">(MAX(D411:F411)-MIN(D411:F411))*100</f>
        <v>1.10192837465565</v>
      </c>
      <c r="H411" s="39" t="n">
        <f aca="false">'2026 Forecast A'!L365</f>
        <v>2.13789583153489</v>
      </c>
      <c r="I411" s="39" t="n">
        <f aca="false">'2026 Forecast B'!L365</f>
        <v>2.24475965619494</v>
      </c>
      <c r="J411" s="39" t="n">
        <f aca="false">'2026 Forecast C'!L365</f>
        <v>2.3915225360787</v>
      </c>
      <c r="K411" s="18" t="n">
        <f aca="false">'2026 Forecast A'!F365</f>
        <v>726</v>
      </c>
      <c r="L411" s="40" t="str">
        <f aca="false">IF(OR(AND(D411&gt;0.5,E411&gt;0.5,F411&gt;0.5),AND(D411&lt;0.5,E411&lt;0.5,F411&lt;0.5)),"Yes","No — toss-up")</f>
        <v>Yes</v>
      </c>
    </row>
    <row r="412" customFormat="false" ht="15" hidden="false" customHeight="false" outlineLevel="0" collapsed="false">
      <c r="A412" s="9" t="str">
        <f aca="false">'2026 Forecast A'!A366</f>
        <v>Northampton</v>
      </c>
      <c r="B412" s="9" t="str">
        <f aca="false">'2026 Forecast A'!B366</f>
        <v>UPPER NAZARETH</v>
      </c>
      <c r="C412" s="9" t="str">
        <f aca="false">'2026 Forecast A'!C366</f>
        <v>UPPER NAZARETH - EAST 1</v>
      </c>
      <c r="D412" s="10" t="n">
        <f aca="false">'2026 Forecast A'!G366</f>
        <v>0.492</v>
      </c>
      <c r="E412" s="10" t="n">
        <f aca="false">'2026 Forecast B'!G366</f>
        <v>0.4952</v>
      </c>
      <c r="F412" s="10" t="n">
        <f aca="false">'2026 Forecast C'!G366</f>
        <v>0.4944</v>
      </c>
      <c r="G412" s="38" t="n">
        <f aca="false">(MAX(D412:F412)-MIN(D412:F412))*100</f>
        <v>0.319999999999998</v>
      </c>
      <c r="H412" s="39" t="n">
        <f aca="false">'2026 Forecast A'!L366</f>
        <v>1.75369314833214</v>
      </c>
      <c r="I412" s="39" t="n">
        <f aca="false">'2026 Forecast B'!L366</f>
        <v>2.1038293183682</v>
      </c>
      <c r="J412" s="39" t="n">
        <f aca="false">'2026 Forecast C'!L366</f>
        <v>1.909243057213</v>
      </c>
      <c r="K412" s="18" t="n">
        <f aca="false">'2026 Forecast A'!F366</f>
        <v>1250</v>
      </c>
      <c r="L412" s="40" t="str">
        <f aca="false">IF(OR(AND(D412&gt;0.5,E412&gt;0.5,F412&gt;0.5),AND(D412&lt;0.5,E412&lt;0.5,F412&lt;0.5)),"Yes","No — toss-up")</f>
        <v>Yes</v>
      </c>
    </row>
    <row r="413" customFormat="false" ht="15" hidden="false" customHeight="false" outlineLevel="0" collapsed="false">
      <c r="A413" s="9" t="str">
        <f aca="false">'2026 Forecast A'!A367</f>
        <v>Northampton</v>
      </c>
      <c r="B413" s="9" t="str">
        <f aca="false">'2026 Forecast A'!B367</f>
        <v>UPPER NAZARETH</v>
      </c>
      <c r="C413" s="9" t="str">
        <f aca="false">'2026 Forecast A'!C367</f>
        <v>UPPER NAZARETH - EAST 2</v>
      </c>
      <c r="D413" s="10" t="n">
        <f aca="false">'2026 Forecast A'!G367</f>
        <v>0.485617597292724</v>
      </c>
      <c r="E413" s="10" t="n">
        <f aca="false">'2026 Forecast B'!G367</f>
        <v>0.49238578680203</v>
      </c>
      <c r="F413" s="10" t="n">
        <f aca="false">'2026 Forecast C'!G367</f>
        <v>0.487309644670051</v>
      </c>
      <c r="G413" s="38" t="n">
        <f aca="false">(MAX(D413:F413)-MIN(D413:F413))*100</f>
        <v>0.676818950930624</v>
      </c>
      <c r="H413" s="39" t="n">
        <f aca="false">'2026 Forecast A'!L367</f>
        <v>2.13789583153489</v>
      </c>
      <c r="I413" s="39" t="n">
        <f aca="false">'2026 Forecast B'!L367</f>
        <v>2.24475965619494</v>
      </c>
      <c r="J413" s="39" t="n">
        <f aca="false">'2026 Forecast C'!L367</f>
        <v>2.3915225360787</v>
      </c>
      <c r="K413" s="18" t="n">
        <f aca="false">'2026 Forecast A'!F367</f>
        <v>591</v>
      </c>
      <c r="L413" s="40" t="str">
        <f aca="false">IF(OR(AND(D413&gt;0.5,E413&gt;0.5,F413&gt;0.5),AND(D413&lt;0.5,E413&lt;0.5,F413&lt;0.5)),"Yes","No — toss-up")</f>
        <v>Yes</v>
      </c>
    </row>
    <row r="414" customFormat="false" ht="15" hidden="false" customHeight="false" outlineLevel="0" collapsed="false">
      <c r="A414" s="9" t="str">
        <f aca="false">'2026 Forecast A'!A368</f>
        <v>Northampton</v>
      </c>
      <c r="B414" s="9" t="str">
        <f aca="false">'2026 Forecast A'!B368</f>
        <v>UPPER NAZARETH</v>
      </c>
      <c r="C414" s="9" t="str">
        <f aca="false">'2026 Forecast A'!C368</f>
        <v>UPPER NAZARETH - WEST 1</v>
      </c>
      <c r="D414" s="10" t="n">
        <f aca="false">'2026 Forecast A'!G368</f>
        <v>0.485514485514486</v>
      </c>
      <c r="E414" s="10" t="n">
        <f aca="false">'2026 Forecast B'!G368</f>
        <v>0.485514485514486</v>
      </c>
      <c r="F414" s="10" t="n">
        <f aca="false">'2026 Forecast C'!G368</f>
        <v>0.485514485514486</v>
      </c>
      <c r="G414" s="38" t="n">
        <f aca="false">(MAX(D414:F414)-MIN(D414:F414))*100</f>
        <v>0</v>
      </c>
      <c r="H414" s="39" t="n">
        <f aca="false">'2026 Forecast A'!L368</f>
        <v>1.75369314833214</v>
      </c>
      <c r="I414" s="39" t="n">
        <f aca="false">'2026 Forecast B'!L368</f>
        <v>2.1038293183682</v>
      </c>
      <c r="J414" s="39" t="n">
        <f aca="false">'2026 Forecast C'!L368</f>
        <v>1.909243057213</v>
      </c>
      <c r="K414" s="18" t="n">
        <f aca="false">'2026 Forecast A'!F368</f>
        <v>1001</v>
      </c>
      <c r="L414" s="40" t="str">
        <f aca="false">IF(OR(AND(D414&gt;0.5,E414&gt;0.5,F414&gt;0.5),AND(D414&lt;0.5,E414&lt;0.5,F414&lt;0.5)),"Yes","No — toss-up")</f>
        <v>Yes</v>
      </c>
    </row>
    <row r="415" customFormat="false" ht="15" hidden="false" customHeight="false" outlineLevel="0" collapsed="false">
      <c r="A415" s="9" t="str">
        <f aca="false">'2026 Forecast A'!A369</f>
        <v>Northampton</v>
      </c>
      <c r="B415" s="9" t="str">
        <f aca="false">'2026 Forecast A'!B369</f>
        <v>UPPER NAZARETH</v>
      </c>
      <c r="C415" s="9" t="str">
        <f aca="false">'2026 Forecast A'!C369</f>
        <v>UPPER NAZARETH - WEST 2</v>
      </c>
      <c r="D415" s="10" t="n">
        <f aca="false">'2026 Forecast A'!G369</f>
        <v>0.484162895927602</v>
      </c>
      <c r="E415" s="10" t="n">
        <f aca="false">'2026 Forecast B'!G369</f>
        <v>0.490950226244344</v>
      </c>
      <c r="F415" s="10" t="n">
        <f aca="false">'2026 Forecast C'!G369</f>
        <v>0.481900452488688</v>
      </c>
      <c r="G415" s="38" t="n">
        <f aca="false">(MAX(D415:F415)-MIN(D415:F415))*100</f>
        <v>0.904977375565608</v>
      </c>
      <c r="H415" s="39" t="n">
        <f aca="false">'2026 Forecast A'!L369</f>
        <v>3.43333352273176</v>
      </c>
      <c r="I415" s="39" t="n">
        <f aca="false">'2026 Forecast B'!L369</f>
        <v>3.21167747490571</v>
      </c>
      <c r="J415" s="39" t="n">
        <f aca="false">'2026 Forecast C'!L369</f>
        <v>3.72283676191068</v>
      </c>
      <c r="K415" s="18" t="n">
        <f aca="false">'2026 Forecast A'!F369</f>
        <v>442</v>
      </c>
      <c r="L415" s="40" t="str">
        <f aca="false">IF(OR(AND(D415&gt;0.5,E415&gt;0.5,F415&gt;0.5),AND(D415&lt;0.5,E415&lt;0.5,F415&lt;0.5)),"Yes","No — toss-up")</f>
        <v>Yes</v>
      </c>
    </row>
    <row r="416" customFormat="false" ht="15" hidden="false" customHeight="false" outlineLevel="0" collapsed="false">
      <c r="A416" s="9" t="str">
        <f aca="false">'2026 Forecast A'!A370</f>
        <v>Northampton</v>
      </c>
      <c r="B416" s="9" t="str">
        <f aca="false">'2026 Forecast A'!B370</f>
        <v>WALNUTPORT</v>
      </c>
      <c r="C416" s="9" t="str">
        <f aca="false">'2026 Forecast A'!C370</f>
        <v>WALNUTPORT BORO</v>
      </c>
      <c r="D416" s="10" t="n">
        <f aca="false">'2026 Forecast A'!G370</f>
        <v>0.409986859395532</v>
      </c>
      <c r="E416" s="10" t="n">
        <f aca="false">'2026 Forecast B'!G370</f>
        <v>0.407358738501971</v>
      </c>
      <c r="F416" s="10" t="n">
        <f aca="false">'2026 Forecast C'!G370</f>
        <v>0.400788436268068</v>
      </c>
      <c r="G416" s="38" t="n">
        <f aca="false">(MAX(D416:F416)-MIN(D416:F416))*100</f>
        <v>0.919842312746388</v>
      </c>
      <c r="H416" s="39" t="n">
        <f aca="false">'2026 Forecast A'!L370</f>
        <v>2.13789583153489</v>
      </c>
      <c r="I416" s="39" t="n">
        <f aca="false">'2026 Forecast B'!L370</f>
        <v>2.24475965619494</v>
      </c>
      <c r="J416" s="39" t="n">
        <f aca="false">'2026 Forecast C'!L370</f>
        <v>2.3915225360787</v>
      </c>
      <c r="K416" s="18" t="n">
        <f aca="false">'2026 Forecast A'!F370</f>
        <v>761</v>
      </c>
      <c r="L416" s="40" t="str">
        <f aca="false">IF(OR(AND(D416&gt;0.5,E416&gt;0.5,F416&gt;0.5),AND(D416&lt;0.5,E416&lt;0.5,F416&lt;0.5)),"Yes","No — toss-up")</f>
        <v>Yes</v>
      </c>
    </row>
    <row r="417" customFormat="false" ht="15" hidden="false" customHeight="false" outlineLevel="0" collapsed="false">
      <c r="A417" s="9" t="str">
        <f aca="false">'2026 Forecast A'!A371</f>
        <v>Northampton</v>
      </c>
      <c r="B417" s="9" t="str">
        <f aca="false">'2026 Forecast A'!B371</f>
        <v>WASHINGTON</v>
      </c>
      <c r="C417" s="9" t="str">
        <f aca="false">'2026 Forecast A'!C371</f>
        <v>WASHINGTON TWSP - LOWER</v>
      </c>
      <c r="D417" s="10" t="n">
        <f aca="false">'2026 Forecast A'!G371</f>
        <v>0.3376</v>
      </c>
      <c r="E417" s="10" t="n">
        <f aca="false">'2026 Forecast B'!G371</f>
        <v>0.3424</v>
      </c>
      <c r="F417" s="10" t="n">
        <f aca="false">'2026 Forecast C'!G371</f>
        <v>0.3232</v>
      </c>
      <c r="G417" s="38" t="n">
        <f aca="false">(MAX(D417:F417)-MIN(D417:F417))*100</f>
        <v>1.92</v>
      </c>
      <c r="H417" s="39" t="n">
        <f aca="false">'2026 Forecast A'!L371</f>
        <v>1.75369314833214</v>
      </c>
      <c r="I417" s="39" t="n">
        <f aca="false">'2026 Forecast B'!L371</f>
        <v>2.1038293183682</v>
      </c>
      <c r="J417" s="39" t="n">
        <f aca="false">'2026 Forecast C'!L371</f>
        <v>1.909243057213</v>
      </c>
      <c r="K417" s="18" t="n">
        <f aca="false">'2026 Forecast A'!F371</f>
        <v>1250</v>
      </c>
      <c r="L417" s="40" t="str">
        <f aca="false">IF(OR(AND(D417&gt;0.5,E417&gt;0.5,F417&gt;0.5),AND(D417&lt;0.5,E417&lt;0.5,F417&lt;0.5)),"Yes","No — toss-up")</f>
        <v>Yes</v>
      </c>
    </row>
    <row r="418" customFormat="false" ht="15" hidden="false" customHeight="false" outlineLevel="0" collapsed="false">
      <c r="A418" s="9" t="str">
        <f aca="false">'2026 Forecast A'!A372</f>
        <v>Northampton</v>
      </c>
      <c r="B418" s="9" t="str">
        <f aca="false">'2026 Forecast A'!B372</f>
        <v>WASHINGTON</v>
      </c>
      <c r="C418" s="9" t="str">
        <f aca="false">'2026 Forecast A'!C372</f>
        <v>WASHINGTON TWSP - UPPER</v>
      </c>
      <c r="D418" s="10" t="n">
        <f aca="false">'2026 Forecast A'!G372</f>
        <v>0.33767172812726</v>
      </c>
      <c r="E418" s="10" t="n">
        <f aca="false">'2026 Forecast B'!G372</f>
        <v>0.344179320318149</v>
      </c>
      <c r="F418" s="10" t="n">
        <f aca="false">'2026 Forecast C'!G372</f>
        <v>0.322487346348518</v>
      </c>
      <c r="G418" s="38" t="n">
        <f aca="false">(MAX(D418:F418)-MIN(D418:F418))*100</f>
        <v>2.16919739696312</v>
      </c>
      <c r="H418" s="39" t="n">
        <f aca="false">'2026 Forecast A'!L372</f>
        <v>1.75369314833214</v>
      </c>
      <c r="I418" s="39" t="n">
        <f aca="false">'2026 Forecast B'!L372</f>
        <v>2.1038293183682</v>
      </c>
      <c r="J418" s="39" t="n">
        <f aca="false">'2026 Forecast C'!L372</f>
        <v>1.909243057213</v>
      </c>
      <c r="K418" s="18" t="n">
        <f aca="false">'2026 Forecast A'!F372</f>
        <v>1383</v>
      </c>
      <c r="L418" s="40" t="str">
        <f aca="false">IF(OR(AND(D418&gt;0.5,E418&gt;0.5,F418&gt;0.5),AND(D418&lt;0.5,E418&lt;0.5,F418&lt;0.5)),"Yes","No — toss-up")</f>
        <v>Yes</v>
      </c>
    </row>
    <row r="419" customFormat="false" ht="15" hidden="false" customHeight="false" outlineLevel="0" collapsed="false">
      <c r="A419" s="9" t="str">
        <f aca="false">'2026 Forecast A'!A373</f>
        <v>Northampton</v>
      </c>
      <c r="B419" s="9" t="str">
        <f aca="false">'2026 Forecast A'!B373</f>
        <v>WEST EASTON</v>
      </c>
      <c r="C419" s="9" t="str">
        <f aca="false">'2026 Forecast A'!C373</f>
        <v>WEST EASTON</v>
      </c>
      <c r="D419" s="10" t="n">
        <f aca="false">'2026 Forecast A'!G373</f>
        <v>0.484018264840183</v>
      </c>
      <c r="E419" s="10" t="n">
        <f aca="false">'2026 Forecast B'!G373</f>
        <v>0.486301369863014</v>
      </c>
      <c r="F419" s="10" t="n">
        <f aca="false">'2026 Forecast C'!G373</f>
        <v>0.484018264840183</v>
      </c>
      <c r="G419" s="38" t="n">
        <f aca="false">(MAX(D419:F419)-MIN(D419:F419))*100</f>
        <v>0.228310502283108</v>
      </c>
      <c r="H419" s="39" t="n">
        <f aca="false">'2026 Forecast A'!L373</f>
        <v>3.43333352273176</v>
      </c>
      <c r="I419" s="39" t="n">
        <f aca="false">'2026 Forecast B'!L373</f>
        <v>3.21167747490571</v>
      </c>
      <c r="J419" s="39" t="n">
        <f aca="false">'2026 Forecast C'!L373</f>
        <v>3.72283676191068</v>
      </c>
      <c r="K419" s="18" t="n">
        <f aca="false">'2026 Forecast A'!F373</f>
        <v>438</v>
      </c>
      <c r="L419" s="40" t="str">
        <f aca="false">IF(OR(AND(D419&gt;0.5,E419&gt;0.5,F419&gt;0.5),AND(D419&lt;0.5,E419&lt;0.5,F419&lt;0.5)),"Yes","No — toss-up")</f>
        <v>Yes</v>
      </c>
    </row>
    <row r="420" customFormat="false" ht="15" hidden="false" customHeight="false" outlineLevel="0" collapsed="false">
      <c r="A420" s="9" t="str">
        <f aca="false">'2026 Forecast A'!A374</f>
        <v>Northampton</v>
      </c>
      <c r="B420" s="9" t="str">
        <f aca="false">'2026 Forecast A'!B374</f>
        <v>WILLIAMS TOWNSHIP</v>
      </c>
      <c r="C420" s="9" t="str">
        <f aca="false">'2026 Forecast A'!C374</f>
        <v>WILLAMS TWSP - EASTERN</v>
      </c>
      <c r="D420" s="10" t="n">
        <f aca="false">'2026 Forecast A'!G374</f>
        <v>0.419816138917263</v>
      </c>
      <c r="E420" s="10" t="n">
        <f aca="false">'2026 Forecast B'!G374</f>
        <v>0.417773237997957</v>
      </c>
      <c r="F420" s="10" t="n">
        <f aca="false">'2026 Forecast C'!G374</f>
        <v>0.414708886618999</v>
      </c>
      <c r="G420" s="38" t="n">
        <f aca="false">(MAX(D420:F420)-MIN(D420:F420))*100</f>
        <v>0.510725229826353</v>
      </c>
      <c r="H420" s="39" t="n">
        <f aca="false">'2026 Forecast A'!L374</f>
        <v>1.75369314833214</v>
      </c>
      <c r="I420" s="39" t="n">
        <f aca="false">'2026 Forecast B'!L374</f>
        <v>2.1038293183682</v>
      </c>
      <c r="J420" s="39" t="n">
        <f aca="false">'2026 Forecast C'!L374</f>
        <v>1.909243057213</v>
      </c>
      <c r="K420" s="18" t="n">
        <f aca="false">'2026 Forecast A'!F374</f>
        <v>979</v>
      </c>
      <c r="L420" s="40" t="str">
        <f aca="false">IF(OR(AND(D420&gt;0.5,E420&gt;0.5,F420&gt;0.5),AND(D420&lt;0.5,E420&lt;0.5,F420&lt;0.5)),"Yes","No — toss-up")</f>
        <v>Yes</v>
      </c>
    </row>
    <row r="421" customFormat="false" ht="15" hidden="false" customHeight="false" outlineLevel="0" collapsed="false">
      <c r="A421" s="9" t="str">
        <f aca="false">'2026 Forecast A'!A375</f>
        <v>Northampton</v>
      </c>
      <c r="B421" s="9" t="str">
        <f aca="false">'2026 Forecast A'!B375</f>
        <v>WILLIAMS TOWNSHIP</v>
      </c>
      <c r="C421" s="9" t="str">
        <f aca="false">'2026 Forecast A'!C375</f>
        <v>WILLIAMS TWSP - MIDDLE</v>
      </c>
      <c r="D421" s="10" t="n">
        <f aca="false">'2026 Forecast A'!G375</f>
        <v>0.397629310344828</v>
      </c>
      <c r="E421" s="10" t="n">
        <f aca="false">'2026 Forecast B'!G375</f>
        <v>0.392241379310345</v>
      </c>
      <c r="F421" s="10" t="n">
        <f aca="false">'2026 Forecast C'!G375</f>
        <v>0.392241379310345</v>
      </c>
      <c r="G421" s="38" t="n">
        <f aca="false">(MAX(D421:F421)-MIN(D421:F421))*100</f>
        <v>0.538793103448276</v>
      </c>
      <c r="H421" s="39" t="n">
        <f aca="false">'2026 Forecast A'!L375</f>
        <v>2.13789583153489</v>
      </c>
      <c r="I421" s="39" t="n">
        <f aca="false">'2026 Forecast B'!L375</f>
        <v>2.24475965619494</v>
      </c>
      <c r="J421" s="39" t="n">
        <f aca="false">'2026 Forecast C'!L375</f>
        <v>2.3915225360787</v>
      </c>
      <c r="K421" s="18" t="n">
        <f aca="false">'2026 Forecast A'!F375</f>
        <v>928</v>
      </c>
      <c r="L421" s="40" t="str">
        <f aca="false">IF(OR(AND(D421&gt;0.5,E421&gt;0.5,F421&gt;0.5),AND(D421&lt;0.5,E421&lt;0.5,F421&lt;0.5)),"Yes","No — toss-up")</f>
        <v>Yes</v>
      </c>
    </row>
    <row r="422" customFormat="false" ht="15" hidden="false" customHeight="false" outlineLevel="0" collapsed="false">
      <c r="A422" s="9" t="str">
        <f aca="false">'2026 Forecast A'!A376</f>
        <v>Northampton</v>
      </c>
      <c r="B422" s="9" t="str">
        <f aca="false">'2026 Forecast A'!B376</f>
        <v>WILLIAMS TOWNSHIP</v>
      </c>
      <c r="C422" s="9" t="str">
        <f aca="false">'2026 Forecast A'!C376</f>
        <v>WILLIAMS TWSP - UPPER</v>
      </c>
      <c r="D422" s="10" t="n">
        <f aca="false">'2026 Forecast A'!G376</f>
        <v>0.492688413948256</v>
      </c>
      <c r="E422" s="10" t="n">
        <f aca="false">'2026 Forecast B'!G376</f>
        <v>0.483689538807649</v>
      </c>
      <c r="F422" s="10" t="n">
        <f aca="false">'2026 Forecast C'!G376</f>
        <v>0.492688413948256</v>
      </c>
      <c r="G422" s="38" t="n">
        <f aca="false">(MAX(D422:F422)-MIN(D422:F422))*100</f>
        <v>0.899887514060743</v>
      </c>
      <c r="H422" s="39" t="n">
        <f aca="false">'2026 Forecast A'!L376</f>
        <v>2.13789583153489</v>
      </c>
      <c r="I422" s="39" t="n">
        <f aca="false">'2026 Forecast B'!L376</f>
        <v>2.24475965619494</v>
      </c>
      <c r="J422" s="39" t="n">
        <f aca="false">'2026 Forecast C'!L376</f>
        <v>2.3915225360787</v>
      </c>
      <c r="K422" s="18" t="n">
        <f aca="false">'2026 Forecast A'!F376</f>
        <v>889</v>
      </c>
      <c r="L422" s="40" t="str">
        <f aca="false">IF(OR(AND(D422&gt;0.5,E422&gt;0.5,F422&gt;0.5),AND(D422&lt;0.5,E422&lt;0.5,F422&lt;0.5)),"Yes","No — toss-up")</f>
        <v>Yes</v>
      </c>
    </row>
    <row r="423" customFormat="false" ht="15" hidden="false" customHeight="false" outlineLevel="0" collapsed="false">
      <c r="A423" s="9" t="str">
        <f aca="false">'2026 Forecast A'!A377</f>
        <v>Northampton</v>
      </c>
      <c r="B423" s="9" t="str">
        <f aca="false">'2026 Forecast A'!B377</f>
        <v>WILLIAMS TOWNSHIP</v>
      </c>
      <c r="C423" s="9" t="str">
        <f aca="false">'2026 Forecast A'!C377</f>
        <v>WILLIAMS TWSP - WESTERN</v>
      </c>
      <c r="D423" s="10" t="n">
        <f aca="false">'2026 Forecast A'!G377</f>
        <v>0.416523235800344</v>
      </c>
      <c r="E423" s="10" t="n">
        <f aca="false">'2026 Forecast B'!G377</f>
        <v>0.418244406196213</v>
      </c>
      <c r="F423" s="10" t="n">
        <f aca="false">'2026 Forecast C'!G377</f>
        <v>0.411359724612737</v>
      </c>
      <c r="G423" s="38" t="n">
        <f aca="false">(MAX(D423:F423)-MIN(D423:F423))*100</f>
        <v>0.688468158347677</v>
      </c>
      <c r="H423" s="39" t="n">
        <f aca="false">'2026 Forecast A'!L377</f>
        <v>2.13789583153489</v>
      </c>
      <c r="I423" s="39" t="n">
        <f aca="false">'2026 Forecast B'!L377</f>
        <v>2.24475965619494</v>
      </c>
      <c r="J423" s="39" t="n">
        <f aca="false">'2026 Forecast C'!L377</f>
        <v>2.3915225360787</v>
      </c>
      <c r="K423" s="18" t="n">
        <f aca="false">'2026 Forecast A'!F377</f>
        <v>581</v>
      </c>
      <c r="L423" s="40" t="str">
        <f aca="false">IF(OR(AND(D423&gt;0.5,E423&gt;0.5,F423&gt;0.5),AND(D423&lt;0.5,E423&lt;0.5,F423&lt;0.5)),"Yes","No — toss-up")</f>
        <v>Yes</v>
      </c>
    </row>
    <row r="424" customFormat="false" ht="15" hidden="false" customHeight="false" outlineLevel="0" collapsed="false">
      <c r="A424" s="9" t="str">
        <f aca="false">'2026 Forecast A'!A378</f>
        <v>Northampton</v>
      </c>
      <c r="B424" s="9" t="str">
        <f aca="false">'2026 Forecast A'!B378</f>
        <v>WILSON</v>
      </c>
      <c r="C424" s="9" t="str">
        <f aca="false">'2026 Forecast A'!C378</f>
        <v>WILSON BORO 1ST WARD</v>
      </c>
      <c r="D424" s="10" t="n">
        <f aca="false">'2026 Forecast A'!G378</f>
        <v>0.592156862745098</v>
      </c>
      <c r="E424" s="10" t="n">
        <f aca="false">'2026 Forecast B'!G378</f>
        <v>0.596078431372549</v>
      </c>
      <c r="F424" s="10" t="n">
        <f aca="false">'2026 Forecast C'!G378</f>
        <v>0.598692810457516</v>
      </c>
      <c r="G424" s="38" t="n">
        <f aca="false">(MAX(D424:F424)-MIN(D424:F424))*100</f>
        <v>0.653594771241828</v>
      </c>
      <c r="H424" s="39" t="n">
        <f aca="false">'2026 Forecast A'!L378</f>
        <v>2.13789583153489</v>
      </c>
      <c r="I424" s="39" t="n">
        <f aca="false">'2026 Forecast B'!L378</f>
        <v>2.24475965619494</v>
      </c>
      <c r="J424" s="39" t="n">
        <f aca="false">'2026 Forecast C'!L378</f>
        <v>2.3915225360787</v>
      </c>
      <c r="K424" s="18" t="n">
        <f aca="false">'2026 Forecast A'!F378</f>
        <v>765</v>
      </c>
      <c r="L424" s="40" t="str">
        <f aca="false">IF(OR(AND(D424&gt;0.5,E424&gt;0.5,F424&gt;0.5),AND(D424&lt;0.5,E424&lt;0.5,F424&lt;0.5)),"Yes","No — toss-up")</f>
        <v>Yes</v>
      </c>
    </row>
    <row r="425" customFormat="false" ht="15" hidden="false" customHeight="false" outlineLevel="0" collapsed="false">
      <c r="A425" s="9" t="str">
        <f aca="false">'2026 Forecast A'!A379</f>
        <v>Northampton</v>
      </c>
      <c r="B425" s="9" t="str">
        <f aca="false">'2026 Forecast A'!B379</f>
        <v>WILSON</v>
      </c>
      <c r="C425" s="9" t="str">
        <f aca="false">'2026 Forecast A'!C379</f>
        <v>WILSON BORO 2ND WARD</v>
      </c>
      <c r="D425" s="10" t="n">
        <f aca="false">'2026 Forecast A'!G379</f>
        <v>0.563812600969305</v>
      </c>
      <c r="E425" s="10" t="n">
        <f aca="false">'2026 Forecast B'!G379</f>
        <v>0.567043618739903</v>
      </c>
      <c r="F425" s="10" t="n">
        <f aca="false">'2026 Forecast C'!G379</f>
        <v>0.570274636510501</v>
      </c>
      <c r="G425" s="38" t="n">
        <f aca="false">(MAX(D425:F425)-MIN(D425:F425))*100</f>
        <v>0.646203554119551</v>
      </c>
      <c r="H425" s="39" t="n">
        <f aca="false">'2026 Forecast A'!L379</f>
        <v>2.13789583153489</v>
      </c>
      <c r="I425" s="39" t="n">
        <f aca="false">'2026 Forecast B'!L379</f>
        <v>2.24475965619494</v>
      </c>
      <c r="J425" s="39" t="n">
        <f aca="false">'2026 Forecast C'!L379</f>
        <v>2.3915225360787</v>
      </c>
      <c r="K425" s="18" t="n">
        <f aca="false">'2026 Forecast A'!F379</f>
        <v>619</v>
      </c>
      <c r="L425" s="40" t="str">
        <f aca="false">IF(OR(AND(D425&gt;0.5,E425&gt;0.5,F425&gt;0.5),AND(D425&lt;0.5,E425&lt;0.5,F425&lt;0.5)),"Yes","No — toss-up")</f>
        <v>Yes</v>
      </c>
    </row>
    <row r="426" customFormat="false" ht="15" hidden="false" customHeight="false" outlineLevel="0" collapsed="false">
      <c r="A426" s="9" t="str">
        <f aca="false">'2026 Forecast A'!A380</f>
        <v>Northampton</v>
      </c>
      <c r="B426" s="9" t="str">
        <f aca="false">'2026 Forecast A'!B380</f>
        <v>WILSON</v>
      </c>
      <c r="C426" s="9" t="str">
        <f aca="false">'2026 Forecast A'!C380</f>
        <v>WILSON BORO 3RD WARD</v>
      </c>
      <c r="D426" s="10" t="n">
        <f aca="false">'2026 Forecast A'!G380</f>
        <v>0.546583850931677</v>
      </c>
      <c r="E426" s="10" t="n">
        <f aca="false">'2026 Forecast B'!G380</f>
        <v>0.55175983436853</v>
      </c>
      <c r="F426" s="10" t="n">
        <f aca="false">'2026 Forecast C'!G380</f>
        <v>0.55175983436853</v>
      </c>
      <c r="G426" s="38" t="n">
        <f aca="false">(MAX(D426:F426)-MIN(D426:F426))*100</f>
        <v>0.517598343685299</v>
      </c>
      <c r="H426" s="39" t="n">
        <f aca="false">'2026 Forecast A'!L380</f>
        <v>1.75369314833214</v>
      </c>
      <c r="I426" s="39" t="n">
        <f aca="false">'2026 Forecast B'!L380</f>
        <v>2.1038293183682</v>
      </c>
      <c r="J426" s="39" t="n">
        <f aca="false">'2026 Forecast C'!L380</f>
        <v>1.909243057213</v>
      </c>
      <c r="K426" s="18" t="n">
        <f aca="false">'2026 Forecast A'!F380</f>
        <v>966</v>
      </c>
      <c r="L426" s="40" t="str">
        <f aca="false">IF(OR(AND(D426&gt;0.5,E426&gt;0.5,F426&gt;0.5),AND(D426&lt;0.5,E426&lt;0.5,F426&lt;0.5)),"Yes","No — toss-up")</f>
        <v>Yes</v>
      </c>
    </row>
    <row r="427" customFormat="false" ht="15" hidden="false" customHeight="false" outlineLevel="0" collapsed="false">
      <c r="A427" s="9" t="str">
        <f aca="false">'2026 Forecast A'!A381</f>
        <v>Northampton</v>
      </c>
      <c r="B427" s="9" t="str">
        <f aca="false">'2026 Forecast A'!B381</f>
        <v>WIND GAP</v>
      </c>
      <c r="C427" s="9" t="str">
        <f aca="false">'2026 Forecast A'!C381</f>
        <v>WIND GAP</v>
      </c>
      <c r="D427" s="10" t="n">
        <f aca="false">'2026 Forecast A'!G381</f>
        <v>0.429694323144105</v>
      </c>
      <c r="E427" s="10" t="n">
        <f aca="false">'2026 Forecast B'!G381</f>
        <v>0.425327510917031</v>
      </c>
      <c r="F427" s="10" t="n">
        <f aca="false">'2026 Forecast C'!G381</f>
        <v>0.424454148471616</v>
      </c>
      <c r="G427" s="38" t="n">
        <f aca="false">(MAX(D427:F427)-MIN(D427:F427))*100</f>
        <v>0.524017467248911</v>
      </c>
      <c r="H427" s="39" t="n">
        <f aca="false">'2026 Forecast A'!L381</f>
        <v>1.75369314833214</v>
      </c>
      <c r="I427" s="39" t="n">
        <f aca="false">'2026 Forecast B'!L381</f>
        <v>2.1038293183682</v>
      </c>
      <c r="J427" s="39" t="n">
        <f aca="false">'2026 Forecast C'!L381</f>
        <v>1.909243057213</v>
      </c>
      <c r="K427" s="18" t="n">
        <f aca="false">'2026 Forecast A'!F381</f>
        <v>1145</v>
      </c>
      <c r="L427" s="40" t="str">
        <f aca="false">IF(OR(AND(D427&gt;0.5,E427&gt;0.5,F427&gt;0.5),AND(D427&lt;0.5,E427&lt;0.5,F427&lt;0.5)),"Yes","No — toss-up")</f>
        <v>Yes</v>
      </c>
    </row>
  </sheetData>
  <mergeCells count="13">
    <mergeCell ref="A5:I5"/>
    <mergeCell ref="A9:I9"/>
    <mergeCell ref="A16:I16"/>
    <mergeCell ref="A29:J29"/>
    <mergeCell ref="A34:J34"/>
    <mergeCell ref="A36:L36"/>
    <mergeCell ref="A44:L44"/>
    <mergeCell ref="A46:L46"/>
    <mergeCell ref="A48:L48"/>
    <mergeCell ref="A50:L50"/>
    <mergeCell ref="A52:L52"/>
    <mergeCell ref="A54:L54"/>
    <mergeCell ref="A56:L56"/>
  </mergeCells>
  <conditionalFormatting sqref="D58:F427">
    <cfRule type="colorScale" priority="2">
      <colorScale>
        <cfvo type="num" val="0.25"/>
        <cfvo type="num" val="0.5"/>
        <cfvo type="num" val="0.75"/>
        <color rgb="FFF4B6B6"/>
        <color rgb="FFFFFFFF"/>
        <color rgb="FFB4C7E7"/>
      </colorScale>
    </cfRule>
  </conditionalFormatting>
  <conditionalFormatting sqref="L58:L427">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85</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89</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B5-SUMPRODUCT(R12:R381,S12:S381)/SUM(S12:S381)/100</f>
        <v>0.508055048967305</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SUM(D12:D381)</f>
        <v>151580</v>
      </c>
      <c r="E8" s="46" t="n">
        <f aca="false">SUM(E12:E381)</f>
        <v>154533</v>
      </c>
      <c r="F8" s="46" t="n">
        <f aca="false">D8+E8</f>
        <v>306113</v>
      </c>
      <c r="G8" s="47" t="n">
        <f aca="false">IF(F8=0,"",D8/F8)</f>
        <v>0.495176617784936</v>
      </c>
      <c r="H8" s="47" t="n">
        <f aca="false">IF(F8=0,"",E8/F8)</f>
        <v>0.504823382215064</v>
      </c>
      <c r="I8" s="20" t="s">
        <v>113</v>
      </c>
      <c r="J8" s="48" t="n">
        <v>0</v>
      </c>
      <c r="K8" s="48" t="n">
        <v>0.297030231526703</v>
      </c>
      <c r="L8" s="48" t="n">
        <f aca="false">SQRT(J8^2+K8^2)</f>
        <v>0.297030231526703</v>
      </c>
      <c r="M8" s="47" t="n">
        <f aca="false">G8-1.96*L8/100</f>
        <v>0.489354825247012</v>
      </c>
      <c r="N8" s="47" t="n">
        <f aca="false">G8+1.96*L8/100</f>
        <v>0.500998410322859</v>
      </c>
      <c r="O8" s="46" t="n">
        <f aca="false">ROUND(F8*0.04436,0)</f>
        <v>13579</v>
      </c>
      <c r="P8" s="46" t="n">
        <f aca="false">ROUND(SQRT((F8*L8/100)^2+(G8*O8)^2),0)</f>
        <v>6785</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127</v>
      </c>
      <c r="D12" s="52" t="n">
        <f aca="false">ROUND(S12*T12,0)</f>
        <v>151</v>
      </c>
      <c r="E12" s="52" t="n">
        <f aca="false">ROUND(S12,0)-D12</f>
        <v>213</v>
      </c>
      <c r="F12" s="52" t="n">
        <f aca="false">IF(COUNTA(D12:E12)=0,"",SUM(D12:E12))</f>
        <v>364</v>
      </c>
      <c r="G12" s="53" t="n">
        <f aca="false">IF(OR(F12="",F12=0),"",D12/F12)</f>
        <v>0.414835164835165</v>
      </c>
      <c r="H12" s="53" t="n">
        <f aca="false">IF(OR(F12="",F12=0),"",E12/F12)</f>
        <v>0.585164835164835</v>
      </c>
      <c r="I12" s="25" t="s">
        <v>128</v>
      </c>
      <c r="J12" s="28" t="n">
        <v>3.42046080519466</v>
      </c>
      <c r="K12" s="28" t="n">
        <f aca="false">$K$8</f>
        <v>0.297030231526703</v>
      </c>
      <c r="L12" s="28" t="n">
        <f aca="false">SQRT(J12^2+K12^2)</f>
        <v>3.43333352273176</v>
      </c>
      <c r="M12" s="53" t="n">
        <f aca="false">IF(G12="","",MAX(0,G12-1.96*L12/100))</f>
        <v>0.347541827789622</v>
      </c>
      <c r="N12" s="53" t="n">
        <f aca="false">IF(G12="","",MIN(1,G12+1.96*L12/100))</f>
        <v>0.482128501880707</v>
      </c>
      <c r="O12" s="52" t="n">
        <f aca="false">ROUND(S12*W12,0)</f>
        <v>54</v>
      </c>
      <c r="P12" s="52" t="n">
        <f aca="false">IF(F12="","",ROUND(SQRT((F12*L12/100)^2+(G12*O12)^2),0))</f>
        <v>26</v>
      </c>
      <c r="R12" s="54" t="n">
        <v>-9.3825015125205</v>
      </c>
      <c r="S12" s="55" t="n">
        <f aca="false">U12*V12*$F$5</f>
        <v>364.490963855422</v>
      </c>
      <c r="T12" s="56" t="n">
        <f aca="false">MAX(0,MIN(1,R12/100+$D$5))</f>
        <v>0.4142300338421</v>
      </c>
      <c r="U12" s="56" t="n">
        <v>0.58132530120482</v>
      </c>
      <c r="V12" s="55" t="n">
        <v>627</v>
      </c>
      <c r="W12" s="56" t="n">
        <v>0.148097331980838</v>
      </c>
      <c r="X12" s="57" t="s">
        <v>129</v>
      </c>
      <c r="Y12" s="57" t="s">
        <v>130</v>
      </c>
    </row>
    <row r="13" customFormat="false" ht="15" hidden="false" customHeight="false" outlineLevel="0" collapsed="false">
      <c r="A13" s="25" t="s">
        <v>126</v>
      </c>
      <c r="B13" s="25" t="s">
        <v>131</v>
      </c>
      <c r="C13" s="25" t="s">
        <v>131</v>
      </c>
      <c r="D13" s="52" t="n">
        <f aca="false">ROUND(S13*T13,0)</f>
        <v>96</v>
      </c>
      <c r="E13" s="52" t="n">
        <f aca="false">ROUND(S13,0)-D13</f>
        <v>234</v>
      </c>
      <c r="F13" s="52" t="n">
        <f aca="false">IF(COUNTA(D13:E13)=0,"",SUM(D13:E13))</f>
        <v>330</v>
      </c>
      <c r="G13" s="53" t="n">
        <f aca="false">IF(OR(F13="",F13=0),"",D13/F13)</f>
        <v>0.290909090909091</v>
      </c>
      <c r="H13" s="53" t="n">
        <f aca="false">IF(OR(F13="",F13=0),"",E13/F13)</f>
        <v>0.709090909090909</v>
      </c>
      <c r="I13" s="25" t="s">
        <v>128</v>
      </c>
      <c r="J13" s="28" t="n">
        <v>3.42046080519466</v>
      </c>
      <c r="K13" s="28" t="n">
        <f aca="false">$K$8</f>
        <v>0.297030231526703</v>
      </c>
      <c r="L13" s="28" t="n">
        <f aca="false">SQRT(J13^2+K13^2)</f>
        <v>3.43333352273176</v>
      </c>
      <c r="M13" s="53" t="n">
        <f aca="false">IF(G13="","",MAX(0,G13-1.96*L13/100))</f>
        <v>0.223615753863548</v>
      </c>
      <c r="N13" s="53" t="n">
        <f aca="false">IF(G13="","",MIN(1,G13+1.96*L13/100))</f>
        <v>0.358202427954633</v>
      </c>
      <c r="O13" s="52" t="n">
        <f aca="false">ROUND(S13*W13,0)</f>
        <v>49</v>
      </c>
      <c r="P13" s="52" t="n">
        <f aca="false">IF(F13="","",ROUND(SQRT((F13*L13/100)^2+(G13*O13)^2),0))</f>
        <v>18</v>
      </c>
      <c r="R13" s="54" t="n">
        <v>-21.7237438301837</v>
      </c>
      <c r="S13" s="55" t="n">
        <f aca="false">U13*V13*$F$5</f>
        <v>330.130136986301</v>
      </c>
      <c r="T13" s="56" t="n">
        <f aca="false">MAX(0,MIN(1,R13/100+$D$5))</f>
        <v>0.290817610665468</v>
      </c>
      <c r="U13" s="56" t="n">
        <v>0.537671232876712</v>
      </c>
      <c r="V13" s="55" t="n">
        <v>614</v>
      </c>
      <c r="W13" s="56" t="n">
        <v>0.148097331980838</v>
      </c>
      <c r="X13" s="57" t="s">
        <v>129</v>
      </c>
      <c r="Y13" s="57" t="s">
        <v>130</v>
      </c>
    </row>
    <row r="14" customFormat="false" ht="15" hidden="false" customHeight="false" outlineLevel="0" collapsed="false">
      <c r="A14" s="25" t="s">
        <v>126</v>
      </c>
      <c r="B14" s="25" t="s">
        <v>132</v>
      </c>
      <c r="C14" s="25" t="s">
        <v>132</v>
      </c>
      <c r="D14" s="52" t="n">
        <f aca="false">ROUND(S14*T14,0)</f>
        <v>115</v>
      </c>
      <c r="E14" s="52" t="n">
        <f aca="false">ROUND(S14,0)-D14</f>
        <v>241</v>
      </c>
      <c r="F14" s="52" t="n">
        <f aca="false">IF(COUNTA(D14:E14)=0,"",SUM(D14:E14))</f>
        <v>356</v>
      </c>
      <c r="G14" s="53" t="n">
        <f aca="false">IF(OR(F14="",F14=0),"",D14/F14)</f>
        <v>0.323033707865169</v>
      </c>
      <c r="H14" s="53" t="n">
        <f aca="false">IF(OR(F14="",F14=0),"",E14/F14)</f>
        <v>0.676966292134832</v>
      </c>
      <c r="I14" s="25" t="s">
        <v>128</v>
      </c>
      <c r="J14" s="28" t="n">
        <v>3.42046080519466</v>
      </c>
      <c r="K14" s="28" t="n">
        <f aca="false">$K$8</f>
        <v>0.297030231526703</v>
      </c>
      <c r="L14" s="28" t="n">
        <f aca="false">SQRT(J14^2+K14^2)</f>
        <v>3.43333352273176</v>
      </c>
      <c r="M14" s="53" t="n">
        <f aca="false">IF(G14="","",MAX(0,G14-1.96*L14/100))</f>
        <v>0.255740370819626</v>
      </c>
      <c r="N14" s="53" t="n">
        <f aca="false">IF(G14="","",MIN(1,G14+1.96*L14/100))</f>
        <v>0.390327044910711</v>
      </c>
      <c r="O14" s="52" t="n">
        <f aca="false">ROUND(S14*W14,0)</f>
        <v>53</v>
      </c>
      <c r="P14" s="52" t="n">
        <f aca="false">IF(F14="","",ROUND(SQRT((F14*L14/100)^2+(G14*O14)^2),0))</f>
        <v>21</v>
      </c>
      <c r="R14" s="54" t="n">
        <v>-18.4128181159256</v>
      </c>
      <c r="S14" s="55" t="n">
        <f aca="false">U14*V14*$F$5</f>
        <v>355.63436928702</v>
      </c>
      <c r="T14" s="56" t="n">
        <f aca="false">MAX(0,MIN(1,R14/100+$D$5))</f>
        <v>0.323926867808049</v>
      </c>
      <c r="U14" s="56" t="n">
        <v>0.636197440585009</v>
      </c>
      <c r="V14" s="55" t="n">
        <v>559</v>
      </c>
      <c r="W14" s="56" t="n">
        <v>0.148097331980838</v>
      </c>
      <c r="X14" s="57" t="s">
        <v>129</v>
      </c>
      <c r="Y14" s="57" t="s">
        <v>130</v>
      </c>
    </row>
    <row r="15" customFormat="false" ht="15" hidden="false" customHeight="false" outlineLevel="0" collapsed="false">
      <c r="A15" s="25" t="s">
        <v>126</v>
      </c>
      <c r="B15" s="25" t="s">
        <v>133</v>
      </c>
      <c r="C15" s="25" t="s">
        <v>134</v>
      </c>
      <c r="D15" s="52" t="n">
        <f aca="false">ROUND(S15*T15,0)</f>
        <v>192</v>
      </c>
      <c r="E15" s="52" t="n">
        <f aca="false">ROUND(S15,0)-D15</f>
        <v>532</v>
      </c>
      <c r="F15" s="52" t="n">
        <f aca="false">IF(COUNTA(D15:E15)=0,"",SUM(D15:E15))</f>
        <v>724</v>
      </c>
      <c r="G15" s="53" t="n">
        <f aca="false">IF(OR(F15="",F15=0),"",D15/F15)</f>
        <v>0.265193370165746</v>
      </c>
      <c r="H15" s="53" t="n">
        <f aca="false">IF(OR(F15="",F15=0),"",E15/F15)</f>
        <v>0.734806629834254</v>
      </c>
      <c r="I15" s="25" t="s">
        <v>128</v>
      </c>
      <c r="J15" s="28" t="n">
        <v>2.11716121919269</v>
      </c>
      <c r="K15" s="28" t="n">
        <f aca="false">$K$8</f>
        <v>0.297030231526703</v>
      </c>
      <c r="L15" s="28" t="n">
        <f aca="false">SQRT(J15^2+K15^2)</f>
        <v>2.13789583153489</v>
      </c>
      <c r="M15" s="53" t="n">
        <f aca="false">IF(G15="","",MAX(0,G15-1.96*L15/100))</f>
        <v>0.223290611867662</v>
      </c>
      <c r="N15" s="53" t="n">
        <f aca="false">IF(G15="","",MIN(1,G15+1.96*L15/100))</f>
        <v>0.30709612846383</v>
      </c>
      <c r="O15" s="52" t="n">
        <f aca="false">ROUND(S15*W15,0)</f>
        <v>64</v>
      </c>
      <c r="P15" s="52" t="n">
        <f aca="false">IF(F15="","",ROUND(SQRT((F15*L15/100)^2+(G15*O15)^2),0))</f>
        <v>23</v>
      </c>
      <c r="R15" s="54" t="n">
        <v>-24.3349566622074</v>
      </c>
      <c r="S15" s="55" t="n">
        <f aca="false">U15*V15*$F$5</f>
        <v>724.377906976744</v>
      </c>
      <c r="T15" s="56" t="n">
        <f aca="false">MAX(0,MIN(1,R15/100+$D$5))</f>
        <v>0.264705482345231</v>
      </c>
      <c r="U15" s="56" t="n">
        <v>0.676356589147287</v>
      </c>
      <c r="V15" s="55" t="n">
        <v>1071</v>
      </c>
      <c r="W15" s="56" t="n">
        <v>0.0887445098984521</v>
      </c>
      <c r="X15" s="57" t="s">
        <v>135</v>
      </c>
      <c r="Y15" s="57" t="s">
        <v>130</v>
      </c>
    </row>
    <row r="16" customFormat="false" ht="15" hidden="false" customHeight="false" outlineLevel="0" collapsed="false">
      <c r="A16" s="25" t="s">
        <v>126</v>
      </c>
      <c r="B16" s="25" t="s">
        <v>133</v>
      </c>
      <c r="C16" s="25" t="s">
        <v>136</v>
      </c>
      <c r="D16" s="52" t="n">
        <f aca="false">ROUND(S16*T16,0)</f>
        <v>175</v>
      </c>
      <c r="E16" s="52" t="n">
        <f aca="false">ROUND(S16,0)-D16</f>
        <v>436</v>
      </c>
      <c r="F16" s="52" t="n">
        <f aca="false">IF(COUNTA(D16:E16)=0,"",SUM(D16:E16))</f>
        <v>611</v>
      </c>
      <c r="G16" s="53" t="n">
        <f aca="false">IF(OR(F16="",F16=0),"",D16/F16)</f>
        <v>0.286415711947627</v>
      </c>
      <c r="H16" s="53" t="n">
        <f aca="false">IF(OR(F16="",F16=0),"",E16/F16)</f>
        <v>0.713584288052373</v>
      </c>
      <c r="I16" s="25" t="s">
        <v>128</v>
      </c>
      <c r="J16" s="28" t="n">
        <v>2.11716121919269</v>
      </c>
      <c r="K16" s="28" t="n">
        <f aca="false">$K$8</f>
        <v>0.297030231526703</v>
      </c>
      <c r="L16" s="28" t="n">
        <f aca="false">SQRT(J16^2+K16^2)</f>
        <v>2.13789583153489</v>
      </c>
      <c r="M16" s="53" t="n">
        <f aca="false">IF(G16="","",MAX(0,G16-1.96*L16/100))</f>
        <v>0.244512953649543</v>
      </c>
      <c r="N16" s="53" t="n">
        <f aca="false">IF(G16="","",MIN(1,G16+1.96*L16/100))</f>
        <v>0.328318470245711</v>
      </c>
      <c r="O16" s="52" t="n">
        <f aca="false">ROUND(S16*W16,0)</f>
        <v>54</v>
      </c>
      <c r="P16" s="52" t="n">
        <f aca="false">IF(F16="","",ROUND(SQRT((F16*L16/100)^2+(G16*O16)^2),0))</f>
        <v>20</v>
      </c>
      <c r="R16" s="54" t="n">
        <v>-22.1471567395668</v>
      </c>
      <c r="S16" s="55" t="n">
        <f aca="false">U16*V16*$F$5</f>
        <v>610.89237199582</v>
      </c>
      <c r="T16" s="56" t="n">
        <f aca="false">MAX(0,MIN(1,R16/100+$D$5))</f>
        <v>0.286583481571636</v>
      </c>
      <c r="U16" s="56" t="n">
        <v>0.625914315569488</v>
      </c>
      <c r="V16" s="55" t="n">
        <v>976</v>
      </c>
      <c r="W16" s="56" t="n">
        <v>0.0887445098984521</v>
      </c>
      <c r="X16" s="57" t="s">
        <v>135</v>
      </c>
      <c r="Y16" s="57" t="s">
        <v>130</v>
      </c>
    </row>
    <row r="17" customFormat="false" ht="15" hidden="false" customHeight="false" outlineLevel="0" collapsed="false">
      <c r="A17" s="25" t="s">
        <v>126</v>
      </c>
      <c r="B17" s="25" t="s">
        <v>137</v>
      </c>
      <c r="C17" s="25" t="s">
        <v>137</v>
      </c>
      <c r="D17" s="52" t="n">
        <f aca="false">ROUND(S17*T17,0)</f>
        <v>32</v>
      </c>
      <c r="E17" s="52" t="n">
        <f aca="false">ROUND(S17,0)-D17</f>
        <v>61</v>
      </c>
      <c r="F17" s="52" t="n">
        <f aca="false">IF(COUNTA(D17:E17)=0,"",SUM(D17:E17))</f>
        <v>93</v>
      </c>
      <c r="G17" s="53" t="n">
        <f aca="false">IF(OR(F17="",F17=0),"",D17/F17)</f>
        <v>0.344086021505376</v>
      </c>
      <c r="H17" s="53" t="n">
        <f aca="false">IF(OR(F17="",F17=0),"",E17/F17)</f>
        <v>0.655913978494624</v>
      </c>
      <c r="I17" s="25" t="s">
        <v>128</v>
      </c>
      <c r="J17" s="28" t="n">
        <v>3.42046080519466</v>
      </c>
      <c r="K17" s="28" t="n">
        <f aca="false">$K$8</f>
        <v>0.297030231526703</v>
      </c>
      <c r="L17" s="28" t="n">
        <f aca="false">SQRT(J17^2+K17^2)</f>
        <v>3.43333352273176</v>
      </c>
      <c r="M17" s="53" t="n">
        <f aca="false">IF(G17="","",MAX(0,G17-1.96*L17/100))</f>
        <v>0.276792684459834</v>
      </c>
      <c r="N17" s="53" t="n">
        <f aca="false">IF(G17="","",MIN(1,G17+1.96*L17/100))</f>
        <v>0.411379358550919</v>
      </c>
      <c r="O17" s="52" t="n">
        <f aca="false">ROUND(S17*W17,0)</f>
        <v>14</v>
      </c>
      <c r="P17" s="52" t="n">
        <f aca="false">IF(F17="","",ROUND(SQRT((F17*L17/100)^2+(G17*O17)^2),0))</f>
        <v>6</v>
      </c>
      <c r="R17" s="54" t="n">
        <v>-16.9353177818693</v>
      </c>
      <c r="S17" s="55" t="n">
        <f aca="false">U17*V17*$F$5</f>
        <v>93.4268292682927</v>
      </c>
      <c r="T17" s="56" t="n">
        <f aca="false">MAX(0,MIN(1,R17/100+$D$5))</f>
        <v>0.338701871148612</v>
      </c>
      <c r="U17" s="56" t="n">
        <v>0.573170731707317</v>
      </c>
      <c r="V17" s="55" t="n">
        <v>163</v>
      </c>
      <c r="W17" s="56" t="n">
        <v>0.148097331980838</v>
      </c>
      <c r="X17" s="57" t="s">
        <v>129</v>
      </c>
      <c r="Y17" s="57" t="s">
        <v>130</v>
      </c>
    </row>
    <row r="18" customFormat="false" ht="15" hidden="false" customHeight="false" outlineLevel="0" collapsed="false">
      <c r="A18" s="25" t="s">
        <v>126</v>
      </c>
      <c r="B18" s="25" t="s">
        <v>138</v>
      </c>
      <c r="C18" s="25" t="s">
        <v>139</v>
      </c>
      <c r="D18" s="52" t="n">
        <f aca="false">ROUND(S18*T18,0)</f>
        <v>243</v>
      </c>
      <c r="E18" s="52" t="n">
        <f aca="false">ROUND(S18,0)-D18</f>
        <v>610</v>
      </c>
      <c r="F18" s="52" t="n">
        <f aca="false">IF(COUNTA(D18:E18)=0,"",SUM(D18:E18))</f>
        <v>853</v>
      </c>
      <c r="G18" s="53" t="n">
        <f aca="false">IF(OR(F18="",F18=0),"",D18/F18)</f>
        <v>0.284876905041032</v>
      </c>
      <c r="H18" s="53" t="n">
        <f aca="false">IF(OR(F18="",F18=0),"",E18/F18)</f>
        <v>0.715123094958968</v>
      </c>
      <c r="I18" s="25" t="s">
        <v>128</v>
      </c>
      <c r="J18" s="28" t="n">
        <v>2.11716121919269</v>
      </c>
      <c r="K18" s="28" t="n">
        <f aca="false">$K$8</f>
        <v>0.297030231526703</v>
      </c>
      <c r="L18" s="28" t="n">
        <f aca="false">SQRT(J18^2+K18^2)</f>
        <v>2.13789583153489</v>
      </c>
      <c r="M18" s="53" t="n">
        <f aca="false">IF(G18="","",MAX(0,G18-1.96*L18/100))</f>
        <v>0.242974146742948</v>
      </c>
      <c r="N18" s="53" t="n">
        <f aca="false">IF(G18="","",MIN(1,G18+1.96*L18/100))</f>
        <v>0.326779663339116</v>
      </c>
      <c r="O18" s="52" t="n">
        <f aca="false">ROUND(S18*W18,0)</f>
        <v>76</v>
      </c>
      <c r="P18" s="52" t="n">
        <f aca="false">IF(F18="","",ROUND(SQRT((F18*L18/100)^2+(G18*O18)^2),0))</f>
        <v>28</v>
      </c>
      <c r="R18" s="54" t="n">
        <v>-22.2649499345954</v>
      </c>
      <c r="S18" s="55" t="n">
        <f aca="false">U18*V18*$F$5</f>
        <v>852.994440031771</v>
      </c>
      <c r="T18" s="56" t="n">
        <f aca="false">MAX(0,MIN(1,R18/100+$D$5))</f>
        <v>0.285405549621351</v>
      </c>
      <c r="U18" s="56" t="n">
        <v>0.666401906274821</v>
      </c>
      <c r="V18" s="55" t="n">
        <v>1280</v>
      </c>
      <c r="W18" s="56" t="n">
        <v>0.0887445098984521</v>
      </c>
      <c r="X18" s="57" t="s">
        <v>135</v>
      </c>
      <c r="Y18" s="57" t="s">
        <v>130</v>
      </c>
    </row>
    <row r="19" customFormat="false" ht="15" hidden="false" customHeight="false" outlineLevel="0" collapsed="false">
      <c r="A19" s="25" t="s">
        <v>126</v>
      </c>
      <c r="B19" s="25" t="s">
        <v>138</v>
      </c>
      <c r="C19" s="25" t="s">
        <v>140</v>
      </c>
      <c r="D19" s="52" t="n">
        <f aca="false">ROUND(S19*T19,0)</f>
        <v>124</v>
      </c>
      <c r="E19" s="52" t="n">
        <f aca="false">ROUND(S19,0)-D19</f>
        <v>324</v>
      </c>
      <c r="F19" s="52" t="n">
        <f aca="false">IF(COUNTA(D19:E19)=0,"",SUM(D19:E19))</f>
        <v>448</v>
      </c>
      <c r="G19" s="53" t="n">
        <f aca="false">IF(OR(F19="",F19=0),"",D19/F19)</f>
        <v>0.276785714285714</v>
      </c>
      <c r="H19" s="53" t="n">
        <f aca="false">IF(OR(F19="",F19=0),"",E19/F19)</f>
        <v>0.723214285714286</v>
      </c>
      <c r="I19" s="25" t="s">
        <v>128</v>
      </c>
      <c r="J19" s="28" t="n">
        <v>3.42046080519466</v>
      </c>
      <c r="K19" s="28" t="n">
        <f aca="false">$K$8</f>
        <v>0.297030231526703</v>
      </c>
      <c r="L19" s="28" t="n">
        <f aca="false">SQRT(J19^2+K19^2)</f>
        <v>3.43333352273176</v>
      </c>
      <c r="M19" s="53" t="n">
        <f aca="false">IF(G19="","",MAX(0,G19-1.96*L19/100))</f>
        <v>0.209492377240172</v>
      </c>
      <c r="N19" s="53" t="n">
        <f aca="false">IF(G19="","",MIN(1,G19+1.96*L19/100))</f>
        <v>0.344079051331257</v>
      </c>
      <c r="O19" s="52" t="n">
        <f aca="false">ROUND(S19*W19,0)</f>
        <v>66</v>
      </c>
      <c r="P19" s="52" t="n">
        <f aca="false">IF(F19="","",ROUND(SQRT((F19*L19/100)^2+(G19*O19)^2),0))</f>
        <v>24</v>
      </c>
      <c r="R19" s="54" t="n">
        <v>-23.0217669332316</v>
      </c>
      <c r="S19" s="55" t="n">
        <f aca="false">U19*V19*$F$5</f>
        <v>447.939320388349</v>
      </c>
      <c r="T19" s="56" t="n">
        <f aca="false">MAX(0,MIN(1,R19/100+$D$5))</f>
        <v>0.277837379634989</v>
      </c>
      <c r="U19" s="56" t="n">
        <v>0.550970873786408</v>
      </c>
      <c r="V19" s="55" t="n">
        <v>813</v>
      </c>
      <c r="W19" s="56" t="n">
        <v>0.148097331980838</v>
      </c>
      <c r="X19" s="57" t="s">
        <v>129</v>
      </c>
      <c r="Y19" s="57" t="s">
        <v>130</v>
      </c>
    </row>
    <row r="20" customFormat="false" ht="15" hidden="false" customHeight="false" outlineLevel="0" collapsed="false">
      <c r="A20" s="25" t="s">
        <v>126</v>
      </c>
      <c r="B20" s="25" t="s">
        <v>138</v>
      </c>
      <c r="C20" s="25" t="s">
        <v>141</v>
      </c>
      <c r="D20" s="52" t="n">
        <f aca="false">ROUND(S20*T20,0)</f>
        <v>190</v>
      </c>
      <c r="E20" s="52" t="n">
        <f aca="false">ROUND(S20,0)-D20</f>
        <v>493</v>
      </c>
      <c r="F20" s="52" t="n">
        <f aca="false">IF(COUNTA(D20:E20)=0,"",SUM(D20:E20))</f>
        <v>683</v>
      </c>
      <c r="G20" s="53" t="n">
        <f aca="false">IF(OR(F20="",F20=0),"",D20/F20)</f>
        <v>0.278184480234261</v>
      </c>
      <c r="H20" s="53" t="n">
        <f aca="false">IF(OR(F20="",F20=0),"",E20/F20)</f>
        <v>0.721815519765739</v>
      </c>
      <c r="I20" s="25" t="s">
        <v>128</v>
      </c>
      <c r="J20" s="28" t="n">
        <v>2.11716121919269</v>
      </c>
      <c r="K20" s="28" t="n">
        <f aca="false">$K$8</f>
        <v>0.297030231526703</v>
      </c>
      <c r="L20" s="28" t="n">
        <f aca="false">SQRT(J20^2+K20^2)</f>
        <v>2.13789583153489</v>
      </c>
      <c r="M20" s="53" t="n">
        <f aca="false">IF(G20="","",MAX(0,G20-1.96*L20/100))</f>
        <v>0.236281721936177</v>
      </c>
      <c r="N20" s="53" t="n">
        <f aca="false">IF(G20="","",MIN(1,G20+1.96*L20/100))</f>
        <v>0.320087238532345</v>
      </c>
      <c r="O20" s="52" t="n">
        <f aca="false">ROUND(S20*W20,0)</f>
        <v>61</v>
      </c>
      <c r="P20" s="52" t="n">
        <f aca="false">IF(F20="","",ROUND(SQRT((F20*L20/100)^2+(G20*O20)^2),0))</f>
        <v>22</v>
      </c>
      <c r="R20" s="54" t="n">
        <v>-22.9986931566212</v>
      </c>
      <c r="S20" s="55" t="n">
        <f aca="false">U20*V20*$F$5</f>
        <v>683.326771653543</v>
      </c>
      <c r="T20" s="56" t="n">
        <f aca="false">MAX(0,MIN(1,R20/100+$D$5))</f>
        <v>0.278068117401093</v>
      </c>
      <c r="U20" s="56" t="n">
        <v>0.654527559055118</v>
      </c>
      <c r="V20" s="55" t="n">
        <v>1044</v>
      </c>
      <c r="W20" s="56" t="n">
        <v>0.0887445098984521</v>
      </c>
      <c r="X20" s="57" t="s">
        <v>135</v>
      </c>
      <c r="Y20" s="57" t="s">
        <v>130</v>
      </c>
    </row>
    <row r="21" customFormat="false" ht="15" hidden="false" customHeight="false" outlineLevel="0" collapsed="false">
      <c r="A21" s="25" t="s">
        <v>126</v>
      </c>
      <c r="B21" s="25" t="s">
        <v>142</v>
      </c>
      <c r="C21" s="25" t="s">
        <v>143</v>
      </c>
      <c r="D21" s="52" t="n">
        <f aca="false">ROUND(S21*T21,0)</f>
        <v>193</v>
      </c>
      <c r="E21" s="52" t="n">
        <f aca="false">ROUND(S21,0)-D21</f>
        <v>243</v>
      </c>
      <c r="F21" s="52" t="n">
        <f aca="false">IF(COUNTA(D21:E21)=0,"",SUM(D21:E21))</f>
        <v>436</v>
      </c>
      <c r="G21" s="53" t="n">
        <f aca="false">IF(OR(F21="",F21=0),"",D21/F21)</f>
        <v>0.442660550458716</v>
      </c>
      <c r="H21" s="53" t="n">
        <f aca="false">IF(OR(F21="",F21=0),"",E21/F21)</f>
        <v>0.557339449541284</v>
      </c>
      <c r="I21" s="25" t="s">
        <v>128</v>
      </c>
      <c r="J21" s="28" t="n">
        <v>3.42046080519466</v>
      </c>
      <c r="K21" s="28" t="n">
        <f aca="false">$K$8</f>
        <v>0.297030231526703</v>
      </c>
      <c r="L21" s="28" t="n">
        <f aca="false">SQRT(J21^2+K21^2)</f>
        <v>3.43333352273176</v>
      </c>
      <c r="M21" s="53" t="n">
        <f aca="false">IF(G21="","",MAX(0,G21-1.96*L21/100))</f>
        <v>0.375367213413173</v>
      </c>
      <c r="N21" s="53" t="n">
        <f aca="false">IF(G21="","",MIN(1,G21+1.96*L21/100))</f>
        <v>0.509953887504258</v>
      </c>
      <c r="O21" s="52" t="n">
        <f aca="false">ROUND(S21*W21,0)</f>
        <v>65</v>
      </c>
      <c r="P21" s="52" t="n">
        <f aca="false">IF(F21="","",ROUND(SQRT((F21*L21/100)^2+(G21*O21)^2),0))</f>
        <v>32</v>
      </c>
      <c r="R21" s="54" t="n">
        <v>-6.54026796685542</v>
      </c>
      <c r="S21" s="55" t="n">
        <f aca="false">U21*V21*$F$5</f>
        <v>436.24466571835</v>
      </c>
      <c r="T21" s="56" t="n">
        <f aca="false">MAX(0,MIN(1,R21/100+$D$5))</f>
        <v>0.442652369298751</v>
      </c>
      <c r="U21" s="56" t="n">
        <v>0.625889046941679</v>
      </c>
      <c r="V21" s="55" t="n">
        <v>697</v>
      </c>
      <c r="W21" s="56" t="n">
        <v>0.148097331980838</v>
      </c>
      <c r="X21" s="57" t="s">
        <v>129</v>
      </c>
      <c r="Y21" s="57" t="s">
        <v>130</v>
      </c>
    </row>
    <row r="22" customFormat="false" ht="15" hidden="false" customHeight="false" outlineLevel="0" collapsed="false">
      <c r="A22" s="25" t="s">
        <v>126</v>
      </c>
      <c r="B22" s="25" t="s">
        <v>142</v>
      </c>
      <c r="C22" s="25" t="s">
        <v>144</v>
      </c>
      <c r="D22" s="52" t="n">
        <f aca="false">ROUND(S22*T22,0)</f>
        <v>119</v>
      </c>
      <c r="E22" s="52" t="n">
        <f aca="false">ROUND(S22,0)-D22</f>
        <v>161</v>
      </c>
      <c r="F22" s="52" t="n">
        <f aca="false">IF(COUNTA(D22:E22)=0,"",SUM(D22:E22))</f>
        <v>280</v>
      </c>
      <c r="G22" s="53" t="n">
        <f aca="false">IF(OR(F22="",F22=0),"",D22/F22)</f>
        <v>0.425</v>
      </c>
      <c r="H22" s="53" t="n">
        <f aca="false">IF(OR(F22="",F22=0),"",E22/F22)</f>
        <v>0.575</v>
      </c>
      <c r="I22" s="25" t="s">
        <v>128</v>
      </c>
      <c r="J22" s="28" t="n">
        <v>3.42046080519466</v>
      </c>
      <c r="K22" s="28" t="n">
        <f aca="false">$K$8</f>
        <v>0.297030231526703</v>
      </c>
      <c r="L22" s="28" t="n">
        <f aca="false">SQRT(J22^2+K22^2)</f>
        <v>3.43333352273176</v>
      </c>
      <c r="M22" s="53" t="n">
        <f aca="false">IF(G22="","",MAX(0,G22-1.96*L22/100))</f>
        <v>0.357706662954457</v>
      </c>
      <c r="N22" s="53" t="n">
        <f aca="false">IF(G22="","",MIN(1,G22+1.96*L22/100))</f>
        <v>0.492293337045543</v>
      </c>
      <c r="O22" s="52" t="n">
        <f aca="false">ROUND(S22*W22,0)</f>
        <v>42</v>
      </c>
      <c r="P22" s="52" t="n">
        <f aca="false">IF(F22="","",ROUND(SQRT((F22*L22/100)^2+(G22*O22)^2),0))</f>
        <v>20</v>
      </c>
      <c r="R22" s="54" t="n">
        <v>-8.50457433751894</v>
      </c>
      <c r="S22" s="55" t="n">
        <f aca="false">U22*V22*$F$5</f>
        <v>280.5</v>
      </c>
      <c r="T22" s="56" t="n">
        <f aca="false">MAX(0,MIN(1,R22/100+$D$5))</f>
        <v>0.423009305592115</v>
      </c>
      <c r="U22" s="56" t="n">
        <v>0.568965517241379</v>
      </c>
      <c r="V22" s="55" t="n">
        <v>493</v>
      </c>
      <c r="W22" s="56" t="n">
        <v>0.148097331980838</v>
      </c>
      <c r="X22" s="57" t="s">
        <v>129</v>
      </c>
      <c r="Y22" s="57" t="s">
        <v>130</v>
      </c>
    </row>
    <row r="23" customFormat="false" ht="15" hidden="false" customHeight="false" outlineLevel="0" collapsed="false">
      <c r="A23" s="25" t="s">
        <v>126</v>
      </c>
      <c r="B23" s="25" t="s">
        <v>142</v>
      </c>
      <c r="C23" s="25" t="s">
        <v>145</v>
      </c>
      <c r="D23" s="52" t="n">
        <f aca="false">ROUND(S23*T23,0)</f>
        <v>251</v>
      </c>
      <c r="E23" s="52" t="n">
        <f aca="false">ROUND(S23,0)-D23</f>
        <v>395</v>
      </c>
      <c r="F23" s="52" t="n">
        <f aca="false">IF(COUNTA(D23:E23)=0,"",SUM(D23:E23))</f>
        <v>646</v>
      </c>
      <c r="G23" s="53" t="n">
        <f aca="false">IF(OR(F23="",F23=0),"",D23/F23)</f>
        <v>0.388544891640867</v>
      </c>
      <c r="H23" s="53" t="n">
        <f aca="false">IF(OR(F23="",F23=0),"",E23/F23)</f>
        <v>0.611455108359133</v>
      </c>
      <c r="I23" s="25" t="s">
        <v>128</v>
      </c>
      <c r="J23" s="28" t="n">
        <v>2.11716121919269</v>
      </c>
      <c r="K23" s="28" t="n">
        <f aca="false">$K$8</f>
        <v>0.297030231526703</v>
      </c>
      <c r="L23" s="28" t="n">
        <f aca="false">SQRT(J23^2+K23^2)</f>
        <v>2.13789583153489</v>
      </c>
      <c r="M23" s="53" t="n">
        <f aca="false">IF(G23="","",MAX(0,G23-1.96*L23/100))</f>
        <v>0.346642133342783</v>
      </c>
      <c r="N23" s="53" t="n">
        <f aca="false">IF(G23="","",MIN(1,G23+1.96*L23/100))</f>
        <v>0.430447649938951</v>
      </c>
      <c r="O23" s="52" t="n">
        <f aca="false">ROUND(S23*W23,0)</f>
        <v>57</v>
      </c>
      <c r="P23" s="52" t="n">
        <f aca="false">IF(F23="","",ROUND(SQRT((F23*L23/100)^2+(G23*O23)^2),0))</f>
        <v>26</v>
      </c>
      <c r="R23" s="54" t="n">
        <v>-11.8962389691386</v>
      </c>
      <c r="S23" s="55" t="n">
        <f aca="false">U23*V23*$F$5</f>
        <v>645.69536423841</v>
      </c>
      <c r="T23" s="56" t="n">
        <f aca="false">MAX(0,MIN(1,R23/100+$D$5))</f>
        <v>0.389092659275919</v>
      </c>
      <c r="U23" s="56" t="n">
        <v>0.689845474613686</v>
      </c>
      <c r="V23" s="55" t="n">
        <v>936</v>
      </c>
      <c r="W23" s="56" t="n">
        <v>0.0887445098984521</v>
      </c>
      <c r="X23" s="57" t="s">
        <v>135</v>
      </c>
      <c r="Y23" s="57" t="s">
        <v>130</v>
      </c>
    </row>
    <row r="24" customFormat="false" ht="15" hidden="false" customHeight="false" outlineLevel="0" collapsed="false">
      <c r="A24" s="25" t="s">
        <v>126</v>
      </c>
      <c r="B24" s="25" t="s">
        <v>142</v>
      </c>
      <c r="C24" s="25" t="s">
        <v>146</v>
      </c>
      <c r="D24" s="52" t="n">
        <f aca="false">ROUND(S24*T24,0)</f>
        <v>116</v>
      </c>
      <c r="E24" s="52" t="n">
        <f aca="false">ROUND(S24,0)-D24</f>
        <v>113</v>
      </c>
      <c r="F24" s="52" t="n">
        <f aca="false">IF(COUNTA(D24:E24)=0,"",SUM(D24:E24))</f>
        <v>229</v>
      </c>
      <c r="G24" s="53" t="n">
        <f aca="false">IF(OR(F24="",F24=0),"",D24/F24)</f>
        <v>0.506550218340611</v>
      </c>
      <c r="H24" s="53" t="n">
        <f aca="false">IF(OR(F24="",F24=0),"",E24/F24)</f>
        <v>0.493449781659389</v>
      </c>
      <c r="I24" s="25" t="s">
        <v>128</v>
      </c>
      <c r="J24" s="28" t="n">
        <v>3.42046080519466</v>
      </c>
      <c r="K24" s="28" t="n">
        <f aca="false">$K$8</f>
        <v>0.297030231526703</v>
      </c>
      <c r="L24" s="28" t="n">
        <f aca="false">SQRT(J24^2+K24^2)</f>
        <v>3.43333352273176</v>
      </c>
      <c r="M24" s="53" t="n">
        <f aca="false">IF(G24="","",MAX(0,G24-1.96*L24/100))</f>
        <v>0.439256881295069</v>
      </c>
      <c r="N24" s="53" t="n">
        <f aca="false">IF(G24="","",MIN(1,G24+1.96*L24/100))</f>
        <v>0.573843555386154</v>
      </c>
      <c r="O24" s="52" t="n">
        <f aca="false">ROUND(S24*W24,0)</f>
        <v>34</v>
      </c>
      <c r="P24" s="52" t="n">
        <f aca="false">IF(F24="","",ROUND(SQRT((F24*L24/100)^2+(G24*O24)^2),0))</f>
        <v>19</v>
      </c>
      <c r="R24" s="54" t="n">
        <v>-0.266637745576795</v>
      </c>
      <c r="S24" s="55" t="n">
        <f aca="false">U24*V24*$F$5</f>
        <v>229.496083550914</v>
      </c>
      <c r="T24" s="56" t="n">
        <f aca="false">MAX(0,MIN(1,R24/100+$D$5))</f>
        <v>0.505388671511537</v>
      </c>
      <c r="U24" s="56" t="n">
        <v>0.650130548302872</v>
      </c>
      <c r="V24" s="55" t="n">
        <v>353</v>
      </c>
      <c r="W24" s="56" t="n">
        <v>0.148097331980838</v>
      </c>
      <c r="X24" s="57" t="s">
        <v>129</v>
      </c>
      <c r="Y24" s="57" t="s">
        <v>130</v>
      </c>
    </row>
    <row r="25" customFormat="false" ht="15" hidden="false" customHeight="false" outlineLevel="0" collapsed="false">
      <c r="A25" s="25" t="s">
        <v>126</v>
      </c>
      <c r="B25" s="25" t="s">
        <v>142</v>
      </c>
      <c r="C25" s="25" t="s">
        <v>147</v>
      </c>
      <c r="D25" s="52" t="n">
        <f aca="false">ROUND(S25*T25,0)</f>
        <v>232</v>
      </c>
      <c r="E25" s="52" t="n">
        <f aca="false">ROUND(S25,0)-D25</f>
        <v>287</v>
      </c>
      <c r="F25" s="52" t="n">
        <f aca="false">IF(COUNTA(D25:E25)=0,"",SUM(D25:E25))</f>
        <v>519</v>
      </c>
      <c r="G25" s="53" t="n">
        <f aca="false">IF(OR(F25="",F25=0),"",D25/F25)</f>
        <v>0.447013487475915</v>
      </c>
      <c r="H25" s="53" t="n">
        <f aca="false">IF(OR(F25="",F25=0),"",E25/F25)</f>
        <v>0.552986512524085</v>
      </c>
      <c r="I25" s="25" t="s">
        <v>128</v>
      </c>
      <c r="J25" s="28" t="n">
        <v>3.42046080519466</v>
      </c>
      <c r="K25" s="28" t="n">
        <f aca="false">$K$8</f>
        <v>0.297030231526703</v>
      </c>
      <c r="L25" s="28" t="n">
        <f aca="false">SQRT(J25^2+K25^2)</f>
        <v>3.43333352273176</v>
      </c>
      <c r="M25" s="53" t="n">
        <f aca="false">IF(G25="","",MAX(0,G25-1.96*L25/100))</f>
        <v>0.379720150430373</v>
      </c>
      <c r="N25" s="53" t="n">
        <f aca="false">IF(G25="","",MIN(1,G25+1.96*L25/100))</f>
        <v>0.514306824521458</v>
      </c>
      <c r="O25" s="52" t="n">
        <f aca="false">ROUND(S25*W25,0)</f>
        <v>77</v>
      </c>
      <c r="P25" s="52" t="n">
        <f aca="false">IF(F25="","",ROUND(SQRT((F25*L25/100)^2+(G25*O25)^2),0))</f>
        <v>39</v>
      </c>
      <c r="R25" s="54" t="n">
        <v>-6.20822058671392</v>
      </c>
      <c r="S25" s="55" t="n">
        <f aca="false">U25*V25*$F$5</f>
        <v>519.166666666667</v>
      </c>
      <c r="T25" s="56" t="n">
        <f aca="false">MAX(0,MIN(1,R25/100+$D$5))</f>
        <v>0.445972843100166</v>
      </c>
      <c r="U25" s="56" t="n">
        <v>0.648148148148148</v>
      </c>
      <c r="V25" s="55" t="n">
        <v>801</v>
      </c>
      <c r="W25" s="56" t="n">
        <v>0.148097331980838</v>
      </c>
      <c r="X25" s="57" t="s">
        <v>129</v>
      </c>
      <c r="Y25" s="57" t="s">
        <v>130</v>
      </c>
    </row>
    <row r="26" customFormat="false" ht="15" hidden="false" customHeight="false" outlineLevel="0" collapsed="false">
      <c r="A26" s="25" t="s">
        <v>126</v>
      </c>
      <c r="B26" s="25" t="s">
        <v>148</v>
      </c>
      <c r="C26" s="25" t="s">
        <v>149</v>
      </c>
      <c r="D26" s="52" t="n">
        <f aca="false">ROUND(S26*T26,0)</f>
        <v>98</v>
      </c>
      <c r="E26" s="52" t="n">
        <f aca="false">ROUND(S26,0)-D26</f>
        <v>169</v>
      </c>
      <c r="F26" s="52" t="n">
        <f aca="false">IF(COUNTA(D26:E26)=0,"",SUM(D26:E26))</f>
        <v>267</v>
      </c>
      <c r="G26" s="53" t="n">
        <f aca="false">IF(OR(F26="",F26=0),"",D26/F26)</f>
        <v>0.367041198501873</v>
      </c>
      <c r="H26" s="53" t="n">
        <f aca="false">IF(OR(F26="",F26=0),"",E26/F26)</f>
        <v>0.632958801498127</v>
      </c>
      <c r="I26" s="25" t="s">
        <v>128</v>
      </c>
      <c r="J26" s="28" t="n">
        <v>3.42046080519466</v>
      </c>
      <c r="K26" s="28" t="n">
        <f aca="false">$K$8</f>
        <v>0.297030231526703</v>
      </c>
      <c r="L26" s="28" t="n">
        <f aca="false">SQRT(J26^2+K26^2)</f>
        <v>3.43333352273176</v>
      </c>
      <c r="M26" s="53" t="n">
        <f aca="false">IF(G26="","",MAX(0,G26-1.96*L26/100))</f>
        <v>0.29974786145633</v>
      </c>
      <c r="N26" s="53" t="n">
        <f aca="false">IF(G26="","",MIN(1,G26+1.96*L26/100))</f>
        <v>0.434334535547415</v>
      </c>
      <c r="O26" s="52" t="n">
        <f aca="false">ROUND(S26*W26,0)</f>
        <v>40</v>
      </c>
      <c r="P26" s="52" t="n">
        <f aca="false">IF(F26="","",ROUND(SQRT((F26*L26/100)^2+(G26*O26)^2),0))</f>
        <v>17</v>
      </c>
      <c r="R26" s="54" t="n">
        <v>-14.1218999015168</v>
      </c>
      <c r="S26" s="55" t="n">
        <f aca="false">U26*V26*$F$5</f>
        <v>267.002518891688</v>
      </c>
      <c r="T26" s="56" t="n">
        <f aca="false">MAX(0,MIN(1,R26/100+$D$5))</f>
        <v>0.366836049952137</v>
      </c>
      <c r="U26" s="56" t="n">
        <v>0.629722921914358</v>
      </c>
      <c r="V26" s="55" t="n">
        <v>424</v>
      </c>
      <c r="W26" s="56" t="n">
        <v>0.148097331980838</v>
      </c>
      <c r="X26" s="57" t="s">
        <v>129</v>
      </c>
      <c r="Y26" s="57" t="s">
        <v>130</v>
      </c>
    </row>
    <row r="27" customFormat="false" ht="15" hidden="false" customHeight="false" outlineLevel="0" collapsed="false">
      <c r="A27" s="25" t="s">
        <v>126</v>
      </c>
      <c r="B27" s="25" t="s">
        <v>148</v>
      </c>
      <c r="C27" s="25" t="s">
        <v>150</v>
      </c>
      <c r="D27" s="52" t="n">
        <f aca="false">ROUND(S27*T27,0)</f>
        <v>176</v>
      </c>
      <c r="E27" s="52" t="n">
        <f aca="false">ROUND(S27,0)-D27</f>
        <v>366</v>
      </c>
      <c r="F27" s="52" t="n">
        <f aca="false">IF(COUNTA(D27:E27)=0,"",SUM(D27:E27))</f>
        <v>542</v>
      </c>
      <c r="G27" s="53" t="n">
        <f aca="false">IF(OR(F27="",F27=0),"",D27/F27)</f>
        <v>0.324723247232472</v>
      </c>
      <c r="H27" s="53" t="n">
        <f aca="false">IF(OR(F27="",F27=0),"",E27/F27)</f>
        <v>0.675276752767528</v>
      </c>
      <c r="I27" s="25" t="s">
        <v>128</v>
      </c>
      <c r="J27" s="28" t="n">
        <v>3.42046080519466</v>
      </c>
      <c r="K27" s="28" t="n">
        <f aca="false">$K$8</f>
        <v>0.297030231526703</v>
      </c>
      <c r="L27" s="28" t="n">
        <f aca="false">SQRT(J27^2+K27^2)</f>
        <v>3.43333352273176</v>
      </c>
      <c r="M27" s="53" t="n">
        <f aca="false">IF(G27="","",MAX(0,G27-1.96*L27/100))</f>
        <v>0.25742991018693</v>
      </c>
      <c r="N27" s="53" t="n">
        <f aca="false">IF(G27="","",MIN(1,G27+1.96*L27/100))</f>
        <v>0.392016584278015</v>
      </c>
      <c r="O27" s="52" t="n">
        <f aca="false">ROUND(S27*W27,0)</f>
        <v>80</v>
      </c>
      <c r="P27" s="52" t="n">
        <f aca="false">IF(F27="","",ROUND(SQRT((F27*L27/100)^2+(G27*O27)^2),0))</f>
        <v>32</v>
      </c>
      <c r="R27" s="54" t="n">
        <v>-18.2964707781041</v>
      </c>
      <c r="S27" s="55" t="n">
        <f aca="false">U27*V27*$F$5</f>
        <v>542.170709793351</v>
      </c>
      <c r="T27" s="56" t="n">
        <f aca="false">MAX(0,MIN(1,R27/100+$D$5))</f>
        <v>0.325090341186264</v>
      </c>
      <c r="U27" s="56" t="n">
        <v>0.527403414195867</v>
      </c>
      <c r="V27" s="55" t="n">
        <v>1028</v>
      </c>
      <c r="W27" s="56" t="n">
        <v>0.148097331980838</v>
      </c>
      <c r="X27" s="57" t="s">
        <v>129</v>
      </c>
      <c r="Y27" s="57" t="s">
        <v>130</v>
      </c>
    </row>
    <row r="28" customFormat="false" ht="15" hidden="false" customHeight="false" outlineLevel="0" collapsed="false">
      <c r="A28" s="25" t="s">
        <v>126</v>
      </c>
      <c r="B28" s="25" t="s">
        <v>151</v>
      </c>
      <c r="C28" s="25" t="s">
        <v>152</v>
      </c>
      <c r="D28" s="52" t="n">
        <f aca="false">ROUND(S28*T28,0)</f>
        <v>218</v>
      </c>
      <c r="E28" s="52" t="n">
        <f aca="false">ROUND(S28,0)-D28</f>
        <v>306</v>
      </c>
      <c r="F28" s="52" t="n">
        <f aca="false">IF(COUNTA(D28:E28)=0,"",SUM(D28:E28))</f>
        <v>524</v>
      </c>
      <c r="G28" s="53" t="n">
        <f aca="false">IF(OR(F28="",F28=0),"",D28/F28)</f>
        <v>0.416030534351145</v>
      </c>
      <c r="H28" s="53" t="n">
        <f aca="false">IF(OR(F28="",F28=0),"",E28/F28)</f>
        <v>0.583969465648855</v>
      </c>
      <c r="I28" s="25" t="s">
        <v>128</v>
      </c>
      <c r="J28" s="28" t="n">
        <v>3.42046080519466</v>
      </c>
      <c r="K28" s="28" t="n">
        <f aca="false">$K$8</f>
        <v>0.297030231526703</v>
      </c>
      <c r="L28" s="28" t="n">
        <f aca="false">SQRT(J28^2+K28^2)</f>
        <v>3.43333352273176</v>
      </c>
      <c r="M28" s="53" t="n">
        <f aca="false">IF(G28="","",MAX(0,G28-1.96*L28/100))</f>
        <v>0.348737197305603</v>
      </c>
      <c r="N28" s="53" t="n">
        <f aca="false">IF(G28="","",MIN(1,G28+1.96*L28/100))</f>
        <v>0.483323871396688</v>
      </c>
      <c r="O28" s="52" t="n">
        <f aca="false">ROUND(S28*W28,0)</f>
        <v>78</v>
      </c>
      <c r="P28" s="52" t="n">
        <f aca="false">IF(F28="","",ROUND(SQRT((F28*L28/100)^2+(G28*O28)^2),0))</f>
        <v>37</v>
      </c>
      <c r="R28" s="54" t="n">
        <v>-9.20697213452941</v>
      </c>
      <c r="S28" s="55" t="n">
        <f aca="false">U28*V28*$F$5</f>
        <v>523.643835616438</v>
      </c>
      <c r="T28" s="56" t="n">
        <f aca="false">MAX(0,MIN(1,R28/100+$D$5))</f>
        <v>0.415985327622011</v>
      </c>
      <c r="U28" s="56" t="n">
        <v>0.472602739726027</v>
      </c>
      <c r="V28" s="55" t="n">
        <v>1108</v>
      </c>
      <c r="W28" s="56" t="n">
        <v>0.148097331980838</v>
      </c>
      <c r="X28" s="57" t="s">
        <v>129</v>
      </c>
      <c r="Y28" s="57" t="s">
        <v>130</v>
      </c>
    </row>
    <row r="29" customFormat="false" ht="15" hidden="false" customHeight="false" outlineLevel="0" collapsed="false">
      <c r="A29" s="25" t="s">
        <v>126</v>
      </c>
      <c r="B29" s="25" t="s">
        <v>151</v>
      </c>
      <c r="C29" s="25" t="s">
        <v>153</v>
      </c>
      <c r="D29" s="52" t="n">
        <f aca="false">ROUND(S29*T29,0)</f>
        <v>122</v>
      </c>
      <c r="E29" s="52" t="n">
        <f aca="false">ROUND(S29,0)-D29</f>
        <v>176</v>
      </c>
      <c r="F29" s="52" t="n">
        <f aca="false">IF(COUNTA(D29:E29)=0,"",SUM(D29:E29))</f>
        <v>298</v>
      </c>
      <c r="G29" s="53" t="n">
        <f aca="false">IF(OR(F29="",F29=0),"",D29/F29)</f>
        <v>0.409395973154362</v>
      </c>
      <c r="H29" s="53" t="n">
        <f aca="false">IF(OR(F29="",F29=0),"",E29/F29)</f>
        <v>0.590604026845638</v>
      </c>
      <c r="I29" s="25" t="s">
        <v>128</v>
      </c>
      <c r="J29" s="28" t="n">
        <v>3.42046080519466</v>
      </c>
      <c r="K29" s="28" t="n">
        <f aca="false">$K$8</f>
        <v>0.297030231526703</v>
      </c>
      <c r="L29" s="28" t="n">
        <f aca="false">SQRT(J29^2+K29^2)</f>
        <v>3.43333352273176</v>
      </c>
      <c r="M29" s="53" t="n">
        <f aca="false">IF(G29="","",MAX(0,G29-1.96*L29/100))</f>
        <v>0.34210263610882</v>
      </c>
      <c r="N29" s="53" t="n">
        <f aca="false">IF(G29="","",MIN(1,G29+1.96*L29/100))</f>
        <v>0.476689310199905</v>
      </c>
      <c r="O29" s="52" t="n">
        <f aca="false">ROUND(S29*W29,0)</f>
        <v>44</v>
      </c>
      <c r="P29" s="52" t="n">
        <f aca="false">IF(F29="","",ROUND(SQRT((F29*L29/100)^2+(G29*O29)^2),0))</f>
        <v>21</v>
      </c>
      <c r="R29" s="54" t="n">
        <v>-9.81997731407351</v>
      </c>
      <c r="S29" s="55" t="n">
        <f aca="false">U29*V29*$F$5</f>
        <v>297.7625</v>
      </c>
      <c r="T29" s="56" t="n">
        <f aca="false">MAX(0,MIN(1,R29/100+$D$5))</f>
        <v>0.40985527582657</v>
      </c>
      <c r="U29" s="56" t="n">
        <v>0.4484375</v>
      </c>
      <c r="V29" s="55" t="n">
        <v>664</v>
      </c>
      <c r="W29" s="56" t="n">
        <v>0.148097331980838</v>
      </c>
      <c r="X29" s="57" t="s">
        <v>129</v>
      </c>
      <c r="Y29" s="57" t="s">
        <v>130</v>
      </c>
    </row>
    <row r="30" customFormat="false" ht="15" hidden="false" customHeight="false" outlineLevel="0" collapsed="false">
      <c r="A30" s="25" t="s">
        <v>126</v>
      </c>
      <c r="B30" s="25" t="s">
        <v>151</v>
      </c>
      <c r="C30" s="25" t="s">
        <v>154</v>
      </c>
      <c r="D30" s="52" t="n">
        <f aca="false">ROUND(S30*T30,0)</f>
        <v>108</v>
      </c>
      <c r="E30" s="52" t="n">
        <f aca="false">ROUND(S30,0)-D30</f>
        <v>153</v>
      </c>
      <c r="F30" s="52" t="n">
        <f aca="false">IF(COUNTA(D30:E30)=0,"",SUM(D30:E30))</f>
        <v>261</v>
      </c>
      <c r="G30" s="53" t="n">
        <f aca="false">IF(OR(F30="",F30=0),"",D30/F30)</f>
        <v>0.413793103448276</v>
      </c>
      <c r="H30" s="53" t="n">
        <f aca="false">IF(OR(F30="",F30=0),"",E30/F30)</f>
        <v>0.586206896551724</v>
      </c>
      <c r="I30" s="25" t="s">
        <v>128</v>
      </c>
      <c r="J30" s="28" t="n">
        <v>3.42046080519466</v>
      </c>
      <c r="K30" s="28" t="n">
        <f aca="false">$K$8</f>
        <v>0.297030231526703</v>
      </c>
      <c r="L30" s="28" t="n">
        <f aca="false">SQRT(J30^2+K30^2)</f>
        <v>3.43333352273176</v>
      </c>
      <c r="M30" s="53" t="n">
        <f aca="false">IF(G30="","",MAX(0,G30-1.96*L30/100))</f>
        <v>0.346499766402733</v>
      </c>
      <c r="N30" s="53" t="n">
        <f aca="false">IF(G30="","",MIN(1,G30+1.96*L30/100))</f>
        <v>0.481086440493818</v>
      </c>
      <c r="O30" s="52" t="n">
        <f aca="false">ROUND(S30*W30,0)</f>
        <v>39</v>
      </c>
      <c r="P30" s="52" t="n">
        <f aca="false">IF(F30="","",ROUND(SQRT((F30*L30/100)^2+(G30*O30)^2),0))</f>
        <v>18</v>
      </c>
      <c r="R30" s="54" t="n">
        <v>-9.4559273127752</v>
      </c>
      <c r="S30" s="55" t="n">
        <f aca="false">U30*V30*$F$5</f>
        <v>260.883392226148</v>
      </c>
      <c r="T30" s="56" t="n">
        <f aca="false">MAX(0,MIN(1,R30/100+$D$5))</f>
        <v>0.413495775839553</v>
      </c>
      <c r="U30" s="56" t="n">
        <v>0.406360424028269</v>
      </c>
      <c r="V30" s="55" t="n">
        <v>642</v>
      </c>
      <c r="W30" s="56" t="n">
        <v>0.148097331980838</v>
      </c>
      <c r="X30" s="57" t="s">
        <v>129</v>
      </c>
      <c r="Y30" s="57" t="s">
        <v>130</v>
      </c>
    </row>
    <row r="31" customFormat="false" ht="15" hidden="false" customHeight="false" outlineLevel="0" collapsed="false">
      <c r="A31" s="25" t="s">
        <v>126</v>
      </c>
      <c r="B31" s="25" t="s">
        <v>155</v>
      </c>
      <c r="C31" s="25" t="s">
        <v>155</v>
      </c>
      <c r="D31" s="52" t="n">
        <f aca="false">ROUND(S31*T31,0)</f>
        <v>32</v>
      </c>
      <c r="E31" s="52" t="n">
        <f aca="false">ROUND(S31,0)-D31</f>
        <v>86</v>
      </c>
      <c r="F31" s="52" t="n">
        <f aca="false">IF(COUNTA(D31:E31)=0,"",SUM(D31:E31))</f>
        <v>118</v>
      </c>
      <c r="G31" s="53" t="n">
        <f aca="false">IF(OR(F31="",F31=0),"",D31/F31)</f>
        <v>0.271186440677966</v>
      </c>
      <c r="H31" s="53" t="n">
        <f aca="false">IF(OR(F31="",F31=0),"",E31/F31)</f>
        <v>0.728813559322034</v>
      </c>
      <c r="I31" s="25" t="s">
        <v>128</v>
      </c>
      <c r="J31" s="28" t="n">
        <v>3.42046080519466</v>
      </c>
      <c r="K31" s="28" t="n">
        <f aca="false">$K$8</f>
        <v>0.297030231526703</v>
      </c>
      <c r="L31" s="28" t="n">
        <f aca="false">SQRT(J31^2+K31^2)</f>
        <v>3.43333352273176</v>
      </c>
      <c r="M31" s="53" t="n">
        <f aca="false">IF(G31="","",MAX(0,G31-1.96*L31/100))</f>
        <v>0.203893103632424</v>
      </c>
      <c r="N31" s="53" t="n">
        <f aca="false">IF(G31="","",MIN(1,G31+1.96*L31/100))</f>
        <v>0.338479777723509</v>
      </c>
      <c r="O31" s="52" t="n">
        <f aca="false">ROUND(S31*W31,0)</f>
        <v>18</v>
      </c>
      <c r="P31" s="52" t="n">
        <f aca="false">IF(F31="","",ROUND(SQRT((F31*L31/100)^2+(G31*O31)^2),0))</f>
        <v>6</v>
      </c>
      <c r="R31" s="54" t="n">
        <v>-23.3583873133917</v>
      </c>
      <c r="S31" s="55" t="n">
        <f aca="false">U31*V31*$F$5</f>
        <v>118.285714285714</v>
      </c>
      <c r="T31" s="56" t="n">
        <f aca="false">MAX(0,MIN(1,R31/100+$D$5))</f>
        <v>0.274471175833388</v>
      </c>
      <c r="U31" s="56" t="n">
        <v>0.657142857142857</v>
      </c>
      <c r="V31" s="55" t="n">
        <v>180</v>
      </c>
      <c r="W31" s="56" t="n">
        <v>0.148097331980838</v>
      </c>
      <c r="X31" s="57" t="s">
        <v>129</v>
      </c>
      <c r="Y31" s="57" t="s">
        <v>130</v>
      </c>
    </row>
    <row r="32" customFormat="false" ht="15" hidden="false" customHeight="false" outlineLevel="0" collapsed="false">
      <c r="A32" s="25" t="s">
        <v>126</v>
      </c>
      <c r="B32" s="25" t="s">
        <v>156</v>
      </c>
      <c r="C32" s="25" t="s">
        <v>156</v>
      </c>
      <c r="D32" s="52" t="n">
        <f aca="false">ROUND(S32*T32,0)</f>
        <v>51</v>
      </c>
      <c r="E32" s="52" t="n">
        <f aca="false">ROUND(S32,0)-D32</f>
        <v>186</v>
      </c>
      <c r="F32" s="52" t="n">
        <f aca="false">IF(COUNTA(D32:E32)=0,"",SUM(D32:E32))</f>
        <v>237</v>
      </c>
      <c r="G32" s="53" t="n">
        <f aca="false">IF(OR(F32="",F32=0),"",D32/F32)</f>
        <v>0.215189873417722</v>
      </c>
      <c r="H32" s="53" t="n">
        <f aca="false">IF(OR(F32="",F32=0),"",E32/F32)</f>
        <v>0.784810126582278</v>
      </c>
      <c r="I32" s="25" t="s">
        <v>128</v>
      </c>
      <c r="J32" s="28" t="n">
        <v>3.42046080519466</v>
      </c>
      <c r="K32" s="28" t="n">
        <f aca="false">$K$8</f>
        <v>0.297030231526703</v>
      </c>
      <c r="L32" s="28" t="n">
        <f aca="false">SQRT(J32^2+K32^2)</f>
        <v>3.43333352273176</v>
      </c>
      <c r="M32" s="53" t="n">
        <f aca="false">IF(G32="","",MAX(0,G32-1.96*L32/100))</f>
        <v>0.147896536372179</v>
      </c>
      <c r="N32" s="53" t="n">
        <f aca="false">IF(G32="","",MIN(1,G32+1.96*L32/100))</f>
        <v>0.282483210463264</v>
      </c>
      <c r="O32" s="52" t="n">
        <f aca="false">ROUND(S32*W32,0)</f>
        <v>35</v>
      </c>
      <c r="P32" s="52" t="n">
        <f aca="false">IF(F32="","",ROUND(SQRT((F32*L32/100)^2+(G32*O32)^2),0))</f>
        <v>11</v>
      </c>
      <c r="R32" s="54" t="n">
        <v>-29.2792132734251</v>
      </c>
      <c r="S32" s="55" t="n">
        <f aca="false">U32*V32*$F$5</f>
        <v>236.844827586207</v>
      </c>
      <c r="T32" s="56" t="n">
        <f aca="false">MAX(0,MIN(1,R32/100+$D$5))</f>
        <v>0.215262916233054</v>
      </c>
      <c r="U32" s="56" t="n">
        <v>0.692528735632184</v>
      </c>
      <c r="V32" s="55" t="n">
        <v>342</v>
      </c>
      <c r="W32" s="56" t="n">
        <v>0.148097331980838</v>
      </c>
      <c r="X32" s="57" t="s">
        <v>129</v>
      </c>
      <c r="Y32" s="57" t="s">
        <v>130</v>
      </c>
    </row>
    <row r="33" customFormat="false" ht="15" hidden="false" customHeight="false" outlineLevel="0" collapsed="false">
      <c r="A33" s="25" t="s">
        <v>126</v>
      </c>
      <c r="B33" s="25" t="s">
        <v>157</v>
      </c>
      <c r="C33" s="25" t="s">
        <v>158</v>
      </c>
      <c r="D33" s="52" t="n">
        <f aca="false">ROUND(S33*T33,0)</f>
        <v>241</v>
      </c>
      <c r="E33" s="52" t="n">
        <f aca="false">ROUND(S33,0)-D33</f>
        <v>355</v>
      </c>
      <c r="F33" s="52" t="n">
        <f aca="false">IF(COUNTA(D33:E33)=0,"",SUM(D33:E33))</f>
        <v>596</v>
      </c>
      <c r="G33" s="53" t="n">
        <f aca="false">IF(OR(F33="",F33=0),"",D33/F33)</f>
        <v>0.404362416107383</v>
      </c>
      <c r="H33" s="53" t="n">
        <f aca="false">IF(OR(F33="",F33=0),"",E33/F33)</f>
        <v>0.595637583892618</v>
      </c>
      <c r="I33" s="25" t="s">
        <v>128</v>
      </c>
      <c r="J33" s="28" t="n">
        <v>2.11716121919269</v>
      </c>
      <c r="K33" s="28" t="n">
        <f aca="false">$K$8</f>
        <v>0.297030231526703</v>
      </c>
      <c r="L33" s="28" t="n">
        <f aca="false">SQRT(J33^2+K33^2)</f>
        <v>2.13789583153489</v>
      </c>
      <c r="M33" s="53" t="n">
        <f aca="false">IF(G33="","",MAX(0,G33-1.96*L33/100))</f>
        <v>0.362459657809299</v>
      </c>
      <c r="N33" s="53" t="n">
        <f aca="false">IF(G33="","",MIN(1,G33+1.96*L33/100))</f>
        <v>0.446265174405466</v>
      </c>
      <c r="O33" s="52" t="n">
        <f aca="false">ROUND(S33*W33,0)</f>
        <v>53</v>
      </c>
      <c r="P33" s="52" t="n">
        <f aca="false">IF(F33="","",ROUND(SQRT((F33*L33/100)^2+(G33*O33)^2),0))</f>
        <v>25</v>
      </c>
      <c r="R33" s="54" t="n">
        <v>-10.3513464117484</v>
      </c>
      <c r="S33" s="55" t="n">
        <f aca="false">U33*V33*$F$5</f>
        <v>596.457399103139</v>
      </c>
      <c r="T33" s="56" t="n">
        <f aca="false">MAX(0,MIN(1,R33/100+$D$5))</f>
        <v>0.404541584849821</v>
      </c>
      <c r="U33" s="56" t="n">
        <v>0.50762331838565</v>
      </c>
      <c r="V33" s="55" t="n">
        <v>1175</v>
      </c>
      <c r="W33" s="56" t="n">
        <v>0.0887445098984521</v>
      </c>
      <c r="X33" s="57" t="s">
        <v>135</v>
      </c>
      <c r="Y33" s="57" t="s">
        <v>130</v>
      </c>
    </row>
    <row r="34" customFormat="false" ht="15" hidden="false" customHeight="false" outlineLevel="0" collapsed="false">
      <c r="A34" s="25" t="s">
        <v>126</v>
      </c>
      <c r="B34" s="25" t="s">
        <v>157</v>
      </c>
      <c r="C34" s="25" t="s">
        <v>159</v>
      </c>
      <c r="D34" s="52" t="n">
        <f aca="false">ROUND(S34*T34,0)</f>
        <v>221</v>
      </c>
      <c r="E34" s="52" t="n">
        <f aca="false">ROUND(S34,0)-D34</f>
        <v>342</v>
      </c>
      <c r="F34" s="52" t="n">
        <f aca="false">IF(COUNTA(D34:E34)=0,"",SUM(D34:E34))</f>
        <v>563</v>
      </c>
      <c r="G34" s="53" t="n">
        <f aca="false">IF(OR(F34="",F34=0),"",D34/F34)</f>
        <v>0.392539964476021</v>
      </c>
      <c r="H34" s="53" t="n">
        <f aca="false">IF(OR(F34="",F34=0),"",E34/F34)</f>
        <v>0.607460035523979</v>
      </c>
      <c r="I34" s="25" t="s">
        <v>128</v>
      </c>
      <c r="J34" s="28" t="n">
        <v>3.42046080519466</v>
      </c>
      <c r="K34" s="28" t="n">
        <f aca="false">$K$8</f>
        <v>0.297030231526703</v>
      </c>
      <c r="L34" s="28" t="n">
        <f aca="false">SQRT(J34^2+K34^2)</f>
        <v>3.43333352273176</v>
      </c>
      <c r="M34" s="53" t="n">
        <f aca="false">IF(G34="","",MAX(0,G34-1.96*L34/100))</f>
        <v>0.325246627430479</v>
      </c>
      <c r="N34" s="53" t="n">
        <f aca="false">IF(G34="","",MIN(1,G34+1.96*L34/100))</f>
        <v>0.459833301521564</v>
      </c>
      <c r="O34" s="52" t="n">
        <f aca="false">ROUND(S34*W34,0)</f>
        <v>83</v>
      </c>
      <c r="P34" s="52" t="n">
        <f aca="false">IF(F34="","",ROUND(SQRT((F34*L34/100)^2+(G34*O34)^2),0))</f>
        <v>38</v>
      </c>
      <c r="R34" s="54" t="n">
        <v>-11.6074170764151</v>
      </c>
      <c r="S34" s="55" t="n">
        <f aca="false">U34*V34*$F$5</f>
        <v>563.161453077699</v>
      </c>
      <c r="T34" s="56" t="n">
        <f aca="false">MAX(0,MIN(1,R34/100+$D$5))</f>
        <v>0.391980878203153</v>
      </c>
      <c r="U34" s="56" t="n">
        <v>0.531786074672048</v>
      </c>
      <c r="V34" s="55" t="n">
        <v>1059</v>
      </c>
      <c r="W34" s="56" t="n">
        <v>0.148097331980838</v>
      </c>
      <c r="X34" s="57" t="s">
        <v>129</v>
      </c>
      <c r="Y34" s="57" t="s">
        <v>130</v>
      </c>
    </row>
    <row r="35" customFormat="false" ht="15" hidden="false" customHeight="false" outlineLevel="0" collapsed="false">
      <c r="A35" s="25" t="s">
        <v>126</v>
      </c>
      <c r="B35" s="25" t="s">
        <v>157</v>
      </c>
      <c r="C35" s="25" t="s">
        <v>160</v>
      </c>
      <c r="D35" s="52" t="n">
        <f aca="false">ROUND(S35*T35,0)</f>
        <v>233</v>
      </c>
      <c r="E35" s="52" t="n">
        <f aca="false">ROUND(S35,0)-D35</f>
        <v>361</v>
      </c>
      <c r="F35" s="52" t="n">
        <f aca="false">IF(COUNTA(D35:E35)=0,"",SUM(D35:E35))</f>
        <v>594</v>
      </c>
      <c r="G35" s="53" t="n">
        <f aca="false">IF(OR(F35="",F35=0),"",D35/F35)</f>
        <v>0.392255892255892</v>
      </c>
      <c r="H35" s="53" t="n">
        <f aca="false">IF(OR(F35="",F35=0),"",E35/F35)</f>
        <v>0.607744107744108</v>
      </c>
      <c r="I35" s="25" t="s">
        <v>128</v>
      </c>
      <c r="J35" s="28" t="n">
        <v>2.11716121919269</v>
      </c>
      <c r="K35" s="28" t="n">
        <f aca="false">$K$8</f>
        <v>0.297030231526703</v>
      </c>
      <c r="L35" s="28" t="n">
        <f aca="false">SQRT(J35^2+K35^2)</f>
        <v>2.13789583153489</v>
      </c>
      <c r="M35" s="53" t="n">
        <f aca="false">IF(G35="","",MAX(0,G35-1.96*L35/100))</f>
        <v>0.350353133957808</v>
      </c>
      <c r="N35" s="53" t="n">
        <f aca="false">IF(G35="","",MIN(1,G35+1.96*L35/100))</f>
        <v>0.434158650553976</v>
      </c>
      <c r="O35" s="52" t="n">
        <f aca="false">ROUND(S35*W35,0)</f>
        <v>53</v>
      </c>
      <c r="P35" s="52" t="n">
        <f aca="false">IF(F35="","",ROUND(SQRT((F35*L35/100)^2+(G35*O35)^2),0))</f>
        <v>24</v>
      </c>
      <c r="R35" s="54" t="n">
        <v>-11.627537883981</v>
      </c>
      <c r="S35" s="55" t="n">
        <f aca="false">U35*V35*$F$5</f>
        <v>593.941784037559</v>
      </c>
      <c r="T35" s="56" t="n">
        <f aca="false">MAX(0,MIN(1,R35/100+$D$5))</f>
        <v>0.391779670127495</v>
      </c>
      <c r="U35" s="56" t="n">
        <v>0.538967136150235</v>
      </c>
      <c r="V35" s="55" t="n">
        <v>1102</v>
      </c>
      <c r="W35" s="56" t="n">
        <v>0.0887445098984521</v>
      </c>
      <c r="X35" s="57" t="s">
        <v>135</v>
      </c>
      <c r="Y35" s="57" t="s">
        <v>130</v>
      </c>
    </row>
    <row r="36" customFormat="false" ht="15" hidden="false" customHeight="false" outlineLevel="0" collapsed="false">
      <c r="A36" s="25" t="s">
        <v>126</v>
      </c>
      <c r="B36" s="25" t="s">
        <v>161</v>
      </c>
      <c r="C36" s="25" t="s">
        <v>162</v>
      </c>
      <c r="D36" s="52" t="n">
        <f aca="false">ROUND(S36*T36,0)</f>
        <v>237</v>
      </c>
      <c r="E36" s="52" t="n">
        <f aca="false">ROUND(S36,0)-D36</f>
        <v>593</v>
      </c>
      <c r="F36" s="52" t="n">
        <f aca="false">IF(COUNTA(D36:E36)=0,"",SUM(D36:E36))</f>
        <v>830</v>
      </c>
      <c r="G36" s="53" t="n">
        <f aca="false">IF(OR(F36="",F36=0),"",D36/F36)</f>
        <v>0.285542168674699</v>
      </c>
      <c r="H36" s="53" t="n">
        <f aca="false">IF(OR(F36="",F36=0),"",E36/F36)</f>
        <v>0.714457831325301</v>
      </c>
      <c r="I36" s="25" t="s">
        <v>128</v>
      </c>
      <c r="J36" s="28" t="n">
        <v>2.11716121919269</v>
      </c>
      <c r="K36" s="28" t="n">
        <f aca="false">$K$8</f>
        <v>0.297030231526703</v>
      </c>
      <c r="L36" s="28" t="n">
        <f aca="false">SQRT(J36^2+K36^2)</f>
        <v>2.13789583153489</v>
      </c>
      <c r="M36" s="53" t="n">
        <f aca="false">IF(G36="","",MAX(0,G36-1.96*L36/100))</f>
        <v>0.243639410376615</v>
      </c>
      <c r="N36" s="53" t="n">
        <f aca="false">IF(G36="","",MIN(1,G36+1.96*L36/100))</f>
        <v>0.327444926972783</v>
      </c>
      <c r="O36" s="52" t="n">
        <f aca="false">ROUND(S36*W36,0)</f>
        <v>74</v>
      </c>
      <c r="P36" s="52" t="n">
        <f aca="false">IF(F36="","",ROUND(SQRT((F36*L36/100)^2+(G36*O36)^2),0))</f>
        <v>28</v>
      </c>
      <c r="R36" s="54" t="n">
        <v>-22.2107494511314</v>
      </c>
      <c r="S36" s="55" t="n">
        <f aca="false">U36*V36*$F$5</f>
        <v>830.121621621622</v>
      </c>
      <c r="T36" s="56" t="n">
        <f aca="false">MAX(0,MIN(1,R36/100+$D$5))</f>
        <v>0.285947554455991</v>
      </c>
      <c r="U36" s="56" t="n">
        <v>0.635135135135135</v>
      </c>
      <c r="V36" s="55" t="n">
        <v>1307</v>
      </c>
      <c r="W36" s="56" t="n">
        <v>0.0887445098984521</v>
      </c>
      <c r="X36" s="57" t="s">
        <v>135</v>
      </c>
      <c r="Y36" s="57" t="s">
        <v>130</v>
      </c>
    </row>
    <row r="37" customFormat="false" ht="15" hidden="false" customHeight="false" outlineLevel="0" collapsed="false">
      <c r="A37" s="25" t="s">
        <v>126</v>
      </c>
      <c r="B37" s="25" t="s">
        <v>161</v>
      </c>
      <c r="C37" s="25" t="s">
        <v>163</v>
      </c>
      <c r="D37" s="52" t="n">
        <f aca="false">ROUND(S37*T37,0)</f>
        <v>173</v>
      </c>
      <c r="E37" s="52" t="n">
        <f aca="false">ROUND(S37,0)-D37</f>
        <v>398</v>
      </c>
      <c r="F37" s="52" t="n">
        <f aca="false">IF(COUNTA(D37:E37)=0,"",SUM(D37:E37))</f>
        <v>571</v>
      </c>
      <c r="G37" s="53" t="n">
        <f aca="false">IF(OR(F37="",F37=0),"",D37/F37)</f>
        <v>0.302977232924694</v>
      </c>
      <c r="H37" s="53" t="n">
        <f aca="false">IF(OR(F37="",F37=0),"",E37/F37)</f>
        <v>0.697022767075307</v>
      </c>
      <c r="I37" s="25" t="s">
        <v>128</v>
      </c>
      <c r="J37" s="28" t="n">
        <v>3.42046080519466</v>
      </c>
      <c r="K37" s="28" t="n">
        <f aca="false">$K$8</f>
        <v>0.297030231526703</v>
      </c>
      <c r="L37" s="28" t="n">
        <f aca="false">SQRT(J37^2+K37^2)</f>
        <v>3.43333352273176</v>
      </c>
      <c r="M37" s="53" t="n">
        <f aca="false">IF(G37="","",MAX(0,G37-1.96*L37/100))</f>
        <v>0.235683895879151</v>
      </c>
      <c r="N37" s="53" t="n">
        <f aca="false">IF(G37="","",MIN(1,G37+1.96*L37/100))</f>
        <v>0.370270569970236</v>
      </c>
      <c r="O37" s="52" t="n">
        <f aca="false">ROUND(S37*W37,0)</f>
        <v>85</v>
      </c>
      <c r="P37" s="52" t="n">
        <f aca="false">IF(F37="","",ROUND(SQRT((F37*L37/100)^2+(G37*O37)^2),0))</f>
        <v>32</v>
      </c>
      <c r="R37" s="54" t="n">
        <v>-20.5788513423424</v>
      </c>
      <c r="S37" s="55" t="n">
        <f aca="false">U37*V37*$F$5</f>
        <v>570.942760942761</v>
      </c>
      <c r="T37" s="56" t="n">
        <f aca="false">MAX(0,MIN(1,R37/100+$D$5))</f>
        <v>0.302266535543881</v>
      </c>
      <c r="U37" s="56" t="n">
        <v>0.613916947250281</v>
      </c>
      <c r="V37" s="55" t="n">
        <v>930</v>
      </c>
      <c r="W37" s="56" t="n">
        <v>0.148097331980838</v>
      </c>
      <c r="X37" s="57" t="s">
        <v>129</v>
      </c>
      <c r="Y37" s="57" t="s">
        <v>130</v>
      </c>
    </row>
    <row r="38" customFormat="false" ht="15" hidden="false" customHeight="false" outlineLevel="0" collapsed="false">
      <c r="A38" s="25" t="s">
        <v>126</v>
      </c>
      <c r="B38" s="25" t="s">
        <v>164</v>
      </c>
      <c r="C38" s="25" t="s">
        <v>165</v>
      </c>
      <c r="D38" s="52" t="n">
        <f aca="false">ROUND(S38*T38,0)</f>
        <v>118</v>
      </c>
      <c r="E38" s="52" t="n">
        <f aca="false">ROUND(S38,0)-D38</f>
        <v>328</v>
      </c>
      <c r="F38" s="52" t="n">
        <f aca="false">IF(COUNTA(D38:E38)=0,"",SUM(D38:E38))</f>
        <v>446</v>
      </c>
      <c r="G38" s="53" t="n">
        <f aca="false">IF(OR(F38="",F38=0),"",D38/F38)</f>
        <v>0.26457399103139</v>
      </c>
      <c r="H38" s="53" t="n">
        <f aca="false">IF(OR(F38="",F38=0),"",E38/F38)</f>
        <v>0.73542600896861</v>
      </c>
      <c r="I38" s="25" t="s">
        <v>128</v>
      </c>
      <c r="J38" s="28" t="n">
        <v>3.42046080519466</v>
      </c>
      <c r="K38" s="28" t="n">
        <f aca="false">$K$8</f>
        <v>0.297030231526703</v>
      </c>
      <c r="L38" s="28" t="n">
        <f aca="false">SQRT(J38^2+K38^2)</f>
        <v>3.43333352273176</v>
      </c>
      <c r="M38" s="53" t="n">
        <f aca="false">IF(G38="","",MAX(0,G38-1.96*L38/100))</f>
        <v>0.197280653985848</v>
      </c>
      <c r="N38" s="53" t="n">
        <f aca="false">IF(G38="","",MIN(1,G38+1.96*L38/100))</f>
        <v>0.331867328076933</v>
      </c>
      <c r="O38" s="52" t="n">
        <f aca="false">ROUND(S38*W38,0)</f>
        <v>66</v>
      </c>
      <c r="P38" s="52" t="n">
        <f aca="false">IF(F38="","",ROUND(SQRT((F38*L38/100)^2+(G38*O38)^2),0))</f>
        <v>23</v>
      </c>
      <c r="R38" s="54" t="n">
        <v>-24.3897152486819</v>
      </c>
      <c r="S38" s="55" t="n">
        <f aca="false">U38*V38*$F$5</f>
        <v>446.130363036304</v>
      </c>
      <c r="T38" s="56" t="n">
        <f aca="false">MAX(0,MIN(1,R38/100+$D$5))</f>
        <v>0.264157896480486</v>
      </c>
      <c r="U38" s="56" t="n">
        <v>0.641914191419142</v>
      </c>
      <c r="V38" s="55" t="n">
        <v>695</v>
      </c>
      <c r="W38" s="56" t="n">
        <v>0.148097331980838</v>
      </c>
      <c r="X38" s="57" t="s">
        <v>129</v>
      </c>
      <c r="Y38" s="57" t="s">
        <v>130</v>
      </c>
    </row>
    <row r="39" customFormat="false" ht="15" hidden="false" customHeight="false" outlineLevel="0" collapsed="false">
      <c r="A39" s="25" t="s">
        <v>126</v>
      </c>
      <c r="B39" s="25" t="s">
        <v>164</v>
      </c>
      <c r="C39" s="25" t="s">
        <v>166</v>
      </c>
      <c r="D39" s="52" t="n">
        <f aca="false">ROUND(S39*T39,0)</f>
        <v>89</v>
      </c>
      <c r="E39" s="52" t="n">
        <f aca="false">ROUND(S39,0)-D39</f>
        <v>212</v>
      </c>
      <c r="F39" s="52" t="n">
        <f aca="false">IF(COUNTA(D39:E39)=0,"",SUM(D39:E39))</f>
        <v>301</v>
      </c>
      <c r="G39" s="53" t="n">
        <f aca="false">IF(OR(F39="",F39=0),"",D39/F39)</f>
        <v>0.295681063122924</v>
      </c>
      <c r="H39" s="53" t="n">
        <f aca="false">IF(OR(F39="",F39=0),"",E39/F39)</f>
        <v>0.704318936877076</v>
      </c>
      <c r="I39" s="25" t="s">
        <v>128</v>
      </c>
      <c r="J39" s="28" t="n">
        <v>3.42046080519466</v>
      </c>
      <c r="K39" s="28" t="n">
        <f aca="false">$K$8</f>
        <v>0.297030231526703</v>
      </c>
      <c r="L39" s="28" t="n">
        <f aca="false">SQRT(J39^2+K39^2)</f>
        <v>3.43333352273176</v>
      </c>
      <c r="M39" s="53" t="n">
        <f aca="false">IF(G39="","",MAX(0,G39-1.96*L39/100))</f>
        <v>0.228387726077381</v>
      </c>
      <c r="N39" s="53" t="n">
        <f aca="false">IF(G39="","",MIN(1,G39+1.96*L39/100))</f>
        <v>0.362974400168466</v>
      </c>
      <c r="O39" s="52" t="n">
        <f aca="false">ROUND(S39*W39,0)</f>
        <v>45</v>
      </c>
      <c r="P39" s="52" t="n">
        <f aca="false">IF(F39="","",ROUND(SQRT((F39*L39/100)^2+(G39*O39)^2),0))</f>
        <v>17</v>
      </c>
      <c r="R39" s="54" t="n">
        <v>-21.0968959804117</v>
      </c>
      <c r="S39" s="55" t="n">
        <f aca="false">U39*V39*$F$5</f>
        <v>301.151408450704</v>
      </c>
      <c r="T39" s="56" t="n">
        <f aca="false">MAX(0,MIN(1,R39/100+$D$5))</f>
        <v>0.297086089163188</v>
      </c>
      <c r="U39" s="56" t="n">
        <v>0.538732394366197</v>
      </c>
      <c r="V39" s="55" t="n">
        <v>559</v>
      </c>
      <c r="W39" s="56" t="n">
        <v>0.148097331980838</v>
      </c>
      <c r="X39" s="57" t="s">
        <v>129</v>
      </c>
      <c r="Y39" s="57" t="s">
        <v>130</v>
      </c>
    </row>
    <row r="40" customFormat="false" ht="15" hidden="false" customHeight="false" outlineLevel="0" collapsed="false">
      <c r="A40" s="25" t="s">
        <v>126</v>
      </c>
      <c r="B40" s="25" t="s">
        <v>164</v>
      </c>
      <c r="C40" s="25" t="s">
        <v>167</v>
      </c>
      <c r="D40" s="52" t="n">
        <f aca="false">ROUND(S40*T40,0)</f>
        <v>337</v>
      </c>
      <c r="E40" s="52" t="n">
        <f aca="false">ROUND(S40,0)-D40</f>
        <v>799</v>
      </c>
      <c r="F40" s="52" t="n">
        <f aca="false">IF(COUNTA(D40:E40)=0,"",SUM(D40:E40))</f>
        <v>1136</v>
      </c>
      <c r="G40" s="53" t="n">
        <f aca="false">IF(OR(F40="",F40=0),"",D40/F40)</f>
        <v>0.296654929577465</v>
      </c>
      <c r="H40" s="53" t="n">
        <f aca="false">IF(OR(F40="",F40=0),"",E40/F40)</f>
        <v>0.703345070422535</v>
      </c>
      <c r="I40" s="25" t="s">
        <v>128</v>
      </c>
      <c r="J40" s="28" t="n">
        <v>1.72835549007323</v>
      </c>
      <c r="K40" s="28" t="n">
        <f aca="false">$K$8</f>
        <v>0.297030231526703</v>
      </c>
      <c r="L40" s="28" t="n">
        <f aca="false">SQRT(J40^2+K40^2)</f>
        <v>1.75369314833214</v>
      </c>
      <c r="M40" s="53" t="n">
        <f aca="false">IF(G40="","",MAX(0,G40-1.96*L40/100))</f>
        <v>0.262282543870155</v>
      </c>
      <c r="N40" s="53" t="n">
        <f aca="false">IF(G40="","",MIN(1,G40+1.96*L40/100))</f>
        <v>0.331027315284775</v>
      </c>
      <c r="O40" s="52" t="n">
        <f aca="false">ROUND(S40*W40,0)</f>
        <v>78</v>
      </c>
      <c r="P40" s="52" t="n">
        <f aca="false">IF(F40="","",ROUND(SQRT((F40*L40/100)^2+(G40*O40)^2),0))</f>
        <v>31</v>
      </c>
      <c r="R40" s="54" t="n">
        <v>-21.1409020869897</v>
      </c>
      <c r="S40" s="55" t="n">
        <f aca="false">U40*V40*$F$5</f>
        <v>1135.63689776733</v>
      </c>
      <c r="T40" s="56" t="n">
        <f aca="false">MAX(0,MIN(1,R40/100+$D$5))</f>
        <v>0.296646028097408</v>
      </c>
      <c r="U40" s="56" t="n">
        <v>0.63337250293772</v>
      </c>
      <c r="V40" s="55" t="n">
        <v>1793</v>
      </c>
      <c r="W40" s="56" t="n">
        <v>0.0684752145190268</v>
      </c>
      <c r="X40" s="57" t="s">
        <v>168</v>
      </c>
      <c r="Y40" s="57" t="s">
        <v>130</v>
      </c>
    </row>
    <row r="41" customFormat="false" ht="15" hidden="false" customHeight="false" outlineLevel="0" collapsed="false">
      <c r="A41" s="25" t="s">
        <v>126</v>
      </c>
      <c r="B41" s="25" t="s">
        <v>169</v>
      </c>
      <c r="C41" s="25" t="s">
        <v>170</v>
      </c>
      <c r="D41" s="52" t="n">
        <f aca="false">ROUND(S41*T41,0)</f>
        <v>244</v>
      </c>
      <c r="E41" s="52" t="n">
        <f aca="false">ROUND(S41,0)-D41</f>
        <v>342</v>
      </c>
      <c r="F41" s="52" t="n">
        <f aca="false">IF(COUNTA(D41:E41)=0,"",SUM(D41:E41))</f>
        <v>586</v>
      </c>
      <c r="G41" s="53" t="n">
        <f aca="false">IF(OR(F41="",F41=0),"",D41/F41)</f>
        <v>0.416382252559727</v>
      </c>
      <c r="H41" s="53" t="n">
        <f aca="false">IF(OR(F41="",F41=0),"",E41/F41)</f>
        <v>0.583617747440273</v>
      </c>
      <c r="I41" s="25" t="s">
        <v>128</v>
      </c>
      <c r="J41" s="28" t="n">
        <v>2.11716121919269</v>
      </c>
      <c r="K41" s="28" t="n">
        <f aca="false">$K$8</f>
        <v>0.297030231526703</v>
      </c>
      <c r="L41" s="28" t="n">
        <f aca="false">SQRT(J41^2+K41^2)</f>
        <v>2.13789583153489</v>
      </c>
      <c r="M41" s="53" t="n">
        <f aca="false">IF(G41="","",MAX(0,G41-1.96*L41/100))</f>
        <v>0.374479494261643</v>
      </c>
      <c r="N41" s="53" t="n">
        <f aca="false">IF(G41="","",MIN(1,G41+1.96*L41/100))</f>
        <v>0.458285010857811</v>
      </c>
      <c r="O41" s="52" t="n">
        <f aca="false">ROUND(S41*W41,0)</f>
        <v>52</v>
      </c>
      <c r="P41" s="52" t="n">
        <f aca="false">IF(F41="","",ROUND(SQRT((F41*L41/100)^2+(G41*O41)^2),0))</f>
        <v>25</v>
      </c>
      <c r="R41" s="54" t="n">
        <v>-9.24815094613903</v>
      </c>
      <c r="S41" s="55" t="n">
        <f aca="false">U41*V41*$F$5</f>
        <v>585.940362087327</v>
      </c>
      <c r="T41" s="56" t="n">
        <f aca="false">MAX(0,MIN(1,R41/100+$D$5))</f>
        <v>0.415573539505915</v>
      </c>
      <c r="U41" s="56" t="n">
        <v>0.598509052183174</v>
      </c>
      <c r="V41" s="55" t="n">
        <v>979</v>
      </c>
      <c r="W41" s="56" t="n">
        <v>0.0887445098984521</v>
      </c>
      <c r="X41" s="57" t="s">
        <v>135</v>
      </c>
      <c r="Y41" s="57" t="s">
        <v>130</v>
      </c>
    </row>
    <row r="42" customFormat="false" ht="15" hidden="false" customHeight="false" outlineLevel="0" collapsed="false">
      <c r="A42" s="25" t="s">
        <v>126</v>
      </c>
      <c r="B42" s="25" t="s">
        <v>169</v>
      </c>
      <c r="C42" s="25" t="s">
        <v>171</v>
      </c>
      <c r="D42" s="52" t="n">
        <f aca="false">ROUND(S42*T42,0)</f>
        <v>251</v>
      </c>
      <c r="E42" s="52" t="n">
        <f aca="false">ROUND(S42,0)-D42</f>
        <v>378</v>
      </c>
      <c r="F42" s="52" t="n">
        <f aca="false">IF(COUNTA(D42:E42)=0,"",SUM(D42:E42))</f>
        <v>629</v>
      </c>
      <c r="G42" s="53" t="n">
        <f aca="false">IF(OR(F42="",F42=0),"",D42/F42)</f>
        <v>0.399046104928458</v>
      </c>
      <c r="H42" s="53" t="n">
        <f aca="false">IF(OR(F42="",F42=0),"",E42/F42)</f>
        <v>0.600953895071542</v>
      </c>
      <c r="I42" s="25" t="s">
        <v>128</v>
      </c>
      <c r="J42" s="28" t="n">
        <v>2.11716121919269</v>
      </c>
      <c r="K42" s="28" t="n">
        <f aca="false">$K$8</f>
        <v>0.297030231526703</v>
      </c>
      <c r="L42" s="28" t="n">
        <f aca="false">SQRT(J42^2+K42^2)</f>
        <v>2.13789583153489</v>
      </c>
      <c r="M42" s="53" t="n">
        <f aca="false">IF(G42="","",MAX(0,G42-1.96*L42/100))</f>
        <v>0.357143346630374</v>
      </c>
      <c r="N42" s="53" t="n">
        <f aca="false">IF(G42="","",MIN(1,G42+1.96*L42/100))</f>
        <v>0.440948863226542</v>
      </c>
      <c r="O42" s="52" t="n">
        <f aca="false">ROUND(S42*W42,0)</f>
        <v>56</v>
      </c>
      <c r="P42" s="52" t="n">
        <f aca="false">IF(F42="","",ROUND(SQRT((F42*L42/100)^2+(G42*O42)^2),0))</f>
        <v>26</v>
      </c>
      <c r="R42" s="54" t="n">
        <v>-10.8726277194698</v>
      </c>
      <c r="S42" s="55" t="n">
        <f aca="false">U42*V42*$F$5</f>
        <v>629.208480565371</v>
      </c>
      <c r="T42" s="56" t="n">
        <f aca="false">MAX(0,MIN(1,R42/100+$D$5))</f>
        <v>0.399328771772607</v>
      </c>
      <c r="U42" s="56" t="n">
        <v>0.558303886925795</v>
      </c>
      <c r="V42" s="55" t="n">
        <v>1127</v>
      </c>
      <c r="W42" s="56" t="n">
        <v>0.0887445098984521</v>
      </c>
      <c r="X42" s="57" t="s">
        <v>135</v>
      </c>
      <c r="Y42" s="57" t="s">
        <v>130</v>
      </c>
    </row>
    <row r="43" customFormat="false" ht="15" hidden="false" customHeight="false" outlineLevel="0" collapsed="false">
      <c r="A43" s="25" t="s">
        <v>126</v>
      </c>
      <c r="B43" s="25" t="s">
        <v>172</v>
      </c>
      <c r="C43" s="25" t="s">
        <v>172</v>
      </c>
      <c r="D43" s="52" t="n">
        <f aca="false">ROUND(S43*T43,0)</f>
        <v>111</v>
      </c>
      <c r="E43" s="52" t="n">
        <f aca="false">ROUND(S43,0)-D43</f>
        <v>419</v>
      </c>
      <c r="F43" s="52" t="n">
        <f aca="false">IF(COUNTA(D43:E43)=0,"",SUM(D43:E43))</f>
        <v>530</v>
      </c>
      <c r="G43" s="53" t="n">
        <f aca="false">IF(OR(F43="",F43=0),"",D43/F43)</f>
        <v>0.209433962264151</v>
      </c>
      <c r="H43" s="53" t="n">
        <f aca="false">IF(OR(F43="",F43=0),"",E43/F43)</f>
        <v>0.790566037735849</v>
      </c>
      <c r="I43" s="25" t="s">
        <v>128</v>
      </c>
      <c r="J43" s="28" t="n">
        <v>3.42046080519466</v>
      </c>
      <c r="K43" s="28" t="n">
        <f aca="false">$K$8</f>
        <v>0.297030231526703</v>
      </c>
      <c r="L43" s="28" t="n">
        <f aca="false">SQRT(J43^2+K43^2)</f>
        <v>3.43333352273176</v>
      </c>
      <c r="M43" s="53" t="n">
        <f aca="false">IF(G43="","",MAX(0,G43-1.96*L43/100))</f>
        <v>0.142140625218608</v>
      </c>
      <c r="N43" s="53" t="n">
        <f aca="false">IF(G43="","",MIN(1,G43+1.96*L43/100))</f>
        <v>0.276727299309694</v>
      </c>
      <c r="O43" s="52" t="n">
        <f aca="false">ROUND(S43*W43,0)</f>
        <v>79</v>
      </c>
      <c r="P43" s="52" t="n">
        <f aca="false">IF(F43="","",ROUND(SQRT((F43*L43/100)^2+(G43*O43)^2),0))</f>
        <v>25</v>
      </c>
      <c r="R43" s="54" t="n">
        <v>-29.9079260377136</v>
      </c>
      <c r="S43" s="55" t="n">
        <f aca="false">U43*V43*$F$5</f>
        <v>530.117647058823</v>
      </c>
      <c r="T43" s="56" t="n">
        <f aca="false">MAX(0,MIN(1,R43/100+$D$5))</f>
        <v>0.208975788590169</v>
      </c>
      <c r="U43" s="56" t="n">
        <v>0.705882352941177</v>
      </c>
      <c r="V43" s="55" t="n">
        <v>751</v>
      </c>
      <c r="W43" s="56" t="n">
        <v>0.148097331980838</v>
      </c>
      <c r="X43" s="57" t="s">
        <v>129</v>
      </c>
      <c r="Y43" s="57" t="s">
        <v>130</v>
      </c>
    </row>
    <row r="44" customFormat="false" ht="15" hidden="false" customHeight="false" outlineLevel="0" collapsed="false">
      <c r="A44" s="25" t="s">
        <v>126</v>
      </c>
      <c r="B44" s="25" t="s">
        <v>173</v>
      </c>
      <c r="C44" s="25" t="s">
        <v>174</v>
      </c>
      <c r="D44" s="52" t="n">
        <f aca="false">ROUND(S44*T44,0)</f>
        <v>235</v>
      </c>
      <c r="E44" s="52" t="n">
        <f aca="false">ROUND(S44,0)-D44</f>
        <v>460</v>
      </c>
      <c r="F44" s="52" t="n">
        <f aca="false">IF(COUNTA(D44:E44)=0,"",SUM(D44:E44))</f>
        <v>695</v>
      </c>
      <c r="G44" s="53" t="n">
        <f aca="false">IF(OR(F44="",F44=0),"",D44/F44)</f>
        <v>0.338129496402878</v>
      </c>
      <c r="H44" s="53" t="n">
        <f aca="false">IF(OR(F44="",F44=0),"",E44/F44)</f>
        <v>0.661870503597122</v>
      </c>
      <c r="I44" s="25" t="s">
        <v>128</v>
      </c>
      <c r="J44" s="28" t="n">
        <v>2.11716121919269</v>
      </c>
      <c r="K44" s="28" t="n">
        <f aca="false">$K$8</f>
        <v>0.297030231526703</v>
      </c>
      <c r="L44" s="28" t="n">
        <f aca="false">SQRT(J44^2+K44^2)</f>
        <v>2.13789583153489</v>
      </c>
      <c r="M44" s="53" t="n">
        <f aca="false">IF(G44="","",MAX(0,G44-1.96*L44/100))</f>
        <v>0.296226738104794</v>
      </c>
      <c r="N44" s="53" t="n">
        <f aca="false">IF(G44="","",MIN(1,G44+1.96*L44/100))</f>
        <v>0.380032254700962</v>
      </c>
      <c r="O44" s="52" t="n">
        <f aca="false">ROUND(S44*W44,0)</f>
        <v>62</v>
      </c>
      <c r="P44" s="52" t="n">
        <f aca="false">IF(F44="","",ROUND(SQRT((F44*L44/100)^2+(G44*O44)^2),0))</f>
        <v>26</v>
      </c>
      <c r="R44" s="54" t="n">
        <v>-16.9624953959133</v>
      </c>
      <c r="S44" s="55" t="n">
        <f aca="false">U44*V44*$F$5</f>
        <v>695.209549071618</v>
      </c>
      <c r="T44" s="56" t="n">
        <f aca="false">MAX(0,MIN(1,R44/100+$D$5))</f>
        <v>0.338430095008172</v>
      </c>
      <c r="U44" s="56" t="n">
        <v>0.600353669319186</v>
      </c>
      <c r="V44" s="55" t="n">
        <v>1158</v>
      </c>
      <c r="W44" s="56" t="n">
        <v>0.0887445098984521</v>
      </c>
      <c r="X44" s="57" t="s">
        <v>135</v>
      </c>
      <c r="Y44" s="57" t="s">
        <v>130</v>
      </c>
    </row>
    <row r="45" customFormat="false" ht="15" hidden="false" customHeight="false" outlineLevel="0" collapsed="false">
      <c r="A45" s="25" t="s">
        <v>126</v>
      </c>
      <c r="B45" s="25" t="s">
        <v>173</v>
      </c>
      <c r="C45" s="25" t="s">
        <v>175</v>
      </c>
      <c r="D45" s="52" t="n">
        <f aca="false">ROUND(S45*T45,0)</f>
        <v>376</v>
      </c>
      <c r="E45" s="52" t="n">
        <f aca="false">ROUND(S45,0)-D45</f>
        <v>608</v>
      </c>
      <c r="F45" s="52" t="n">
        <f aca="false">IF(COUNTA(D45:E45)=0,"",SUM(D45:E45))</f>
        <v>984</v>
      </c>
      <c r="G45" s="53" t="n">
        <f aca="false">IF(OR(F45="",F45=0),"",D45/F45)</f>
        <v>0.382113821138211</v>
      </c>
      <c r="H45" s="53" t="n">
        <f aca="false">IF(OR(F45="",F45=0),"",E45/F45)</f>
        <v>0.617886178861789</v>
      </c>
      <c r="I45" s="25" t="s">
        <v>128</v>
      </c>
      <c r="J45" s="28" t="n">
        <v>1.72835549007323</v>
      </c>
      <c r="K45" s="28" t="n">
        <f aca="false">$K$8</f>
        <v>0.297030231526703</v>
      </c>
      <c r="L45" s="28" t="n">
        <f aca="false">SQRT(J45^2+K45^2)</f>
        <v>1.75369314833214</v>
      </c>
      <c r="M45" s="53" t="n">
        <f aca="false">IF(G45="","",MAX(0,G45-1.96*L45/100))</f>
        <v>0.347741435430902</v>
      </c>
      <c r="N45" s="53" t="n">
        <f aca="false">IF(G45="","",MIN(1,G45+1.96*L45/100))</f>
        <v>0.416486206845521</v>
      </c>
      <c r="O45" s="52" t="n">
        <f aca="false">ROUND(S45*W45,0)</f>
        <v>67</v>
      </c>
      <c r="P45" s="52" t="n">
        <f aca="false">IF(F45="","",ROUND(SQRT((F45*L45/100)^2+(G45*O45)^2),0))</f>
        <v>31</v>
      </c>
      <c r="R45" s="54" t="n">
        <v>-12.5379192606419</v>
      </c>
      <c r="S45" s="55" t="n">
        <f aca="false">U45*V45*$F$5</f>
        <v>983.694267515924</v>
      </c>
      <c r="T45" s="56" t="n">
        <f aca="false">MAX(0,MIN(1,R45/100+$D$5))</f>
        <v>0.382675856360885</v>
      </c>
      <c r="U45" s="56" t="n">
        <v>0.54198031268095</v>
      </c>
      <c r="V45" s="55" t="n">
        <v>1815</v>
      </c>
      <c r="W45" s="56" t="n">
        <v>0.0684752145190268</v>
      </c>
      <c r="X45" s="57" t="s">
        <v>168</v>
      </c>
      <c r="Y45" s="57" t="s">
        <v>130</v>
      </c>
    </row>
    <row r="46" customFormat="false" ht="15" hidden="false" customHeight="false" outlineLevel="0" collapsed="false">
      <c r="A46" s="25" t="s">
        <v>126</v>
      </c>
      <c r="B46" s="25" t="s">
        <v>173</v>
      </c>
      <c r="C46" s="25" t="s">
        <v>176</v>
      </c>
      <c r="D46" s="52" t="n">
        <f aca="false">ROUND(S46*T46,0)</f>
        <v>109</v>
      </c>
      <c r="E46" s="52" t="n">
        <f aca="false">ROUND(S46,0)-D46</f>
        <v>202</v>
      </c>
      <c r="F46" s="52" t="n">
        <f aca="false">IF(COUNTA(D46:E46)=0,"",SUM(D46:E46))</f>
        <v>311</v>
      </c>
      <c r="G46" s="53" t="n">
        <f aca="false">IF(OR(F46="",F46=0),"",D46/F46)</f>
        <v>0.35048231511254</v>
      </c>
      <c r="H46" s="53" t="n">
        <f aca="false">IF(OR(F46="",F46=0),"",E46/F46)</f>
        <v>0.64951768488746</v>
      </c>
      <c r="I46" s="25" t="s">
        <v>128</v>
      </c>
      <c r="J46" s="28" t="n">
        <v>3.42046080519466</v>
      </c>
      <c r="K46" s="28" t="n">
        <f aca="false">$K$8</f>
        <v>0.297030231526703</v>
      </c>
      <c r="L46" s="28" t="n">
        <f aca="false">SQRT(J46^2+K46^2)</f>
        <v>3.43333352273176</v>
      </c>
      <c r="M46" s="53" t="n">
        <f aca="false">IF(G46="","",MAX(0,G46-1.96*L46/100))</f>
        <v>0.283188978066998</v>
      </c>
      <c r="N46" s="53" t="n">
        <f aca="false">IF(G46="","",MIN(1,G46+1.96*L46/100))</f>
        <v>0.417775652158083</v>
      </c>
      <c r="O46" s="52" t="n">
        <f aca="false">ROUND(S46*W46,0)</f>
        <v>46</v>
      </c>
      <c r="P46" s="52" t="n">
        <f aca="false">IF(F46="","",ROUND(SQRT((F46*L46/100)^2+(G46*O46)^2),0))</f>
        <v>19</v>
      </c>
      <c r="R46" s="54" t="n">
        <v>-15.8156709093043</v>
      </c>
      <c r="S46" s="55" t="n">
        <f aca="false">U46*V46*$F$5</f>
        <v>310.913705583756</v>
      </c>
      <c r="T46" s="56" t="n">
        <f aca="false">MAX(0,MIN(1,R46/100+$D$5))</f>
        <v>0.349898339874262</v>
      </c>
      <c r="U46" s="56" t="n">
        <v>0.49746192893401</v>
      </c>
      <c r="V46" s="55" t="n">
        <v>625</v>
      </c>
      <c r="W46" s="56" t="n">
        <v>0.148097331980838</v>
      </c>
      <c r="X46" s="57" t="s">
        <v>129</v>
      </c>
      <c r="Y46" s="57" t="s">
        <v>130</v>
      </c>
    </row>
    <row r="47" customFormat="false" ht="15" hidden="false" customHeight="false" outlineLevel="0" collapsed="false">
      <c r="A47" s="25" t="s">
        <v>126</v>
      </c>
      <c r="B47" s="25" t="s">
        <v>177</v>
      </c>
      <c r="C47" s="25" t="s">
        <v>177</v>
      </c>
      <c r="D47" s="52" t="n">
        <f aca="false">ROUND(S47*T47,0)</f>
        <v>59</v>
      </c>
      <c r="E47" s="52" t="n">
        <f aca="false">ROUND(S47,0)-D47</f>
        <v>126</v>
      </c>
      <c r="F47" s="52" t="n">
        <f aca="false">IF(COUNTA(D47:E47)=0,"",SUM(D47:E47))</f>
        <v>185</v>
      </c>
      <c r="G47" s="53" t="n">
        <f aca="false">IF(OR(F47="",F47=0),"",D47/F47)</f>
        <v>0.318918918918919</v>
      </c>
      <c r="H47" s="53" t="n">
        <f aca="false">IF(OR(F47="",F47=0),"",E47/F47)</f>
        <v>0.681081081081081</v>
      </c>
      <c r="I47" s="25" t="s">
        <v>128</v>
      </c>
      <c r="J47" s="28" t="n">
        <v>3.42046080519466</v>
      </c>
      <c r="K47" s="28" t="n">
        <f aca="false">$K$8</f>
        <v>0.297030231526703</v>
      </c>
      <c r="L47" s="28" t="n">
        <f aca="false">SQRT(J47^2+K47^2)</f>
        <v>3.43333352273176</v>
      </c>
      <c r="M47" s="53" t="n">
        <f aca="false">IF(G47="","",MAX(0,G47-1.96*L47/100))</f>
        <v>0.251625581873376</v>
      </c>
      <c r="N47" s="53" t="n">
        <f aca="false">IF(G47="","",MIN(1,G47+1.96*L47/100))</f>
        <v>0.386212255964461</v>
      </c>
      <c r="O47" s="52" t="n">
        <f aca="false">ROUND(S47*W47,0)</f>
        <v>27</v>
      </c>
      <c r="P47" s="52" t="n">
        <f aca="false">IF(F47="","",ROUND(SQRT((F47*L47/100)^2+(G47*O47)^2),0))</f>
        <v>11</v>
      </c>
      <c r="R47" s="54" t="n">
        <v>-18.7525071385031</v>
      </c>
      <c r="S47" s="55" t="n">
        <f aca="false">U47*V47*$F$5</f>
        <v>184.547540983606</v>
      </c>
      <c r="T47" s="56" t="n">
        <f aca="false">MAX(0,MIN(1,R47/100+$D$5))</f>
        <v>0.320529977582274</v>
      </c>
      <c r="U47" s="56" t="n">
        <v>0.613114754098361</v>
      </c>
      <c r="V47" s="55" t="n">
        <v>301</v>
      </c>
      <c r="W47" s="56" t="n">
        <v>0.148097331980838</v>
      </c>
      <c r="X47" s="57" t="s">
        <v>129</v>
      </c>
      <c r="Y47" s="57" t="s">
        <v>130</v>
      </c>
    </row>
    <row r="48" customFormat="false" ht="15" hidden="false" customHeight="false" outlineLevel="0" collapsed="false">
      <c r="A48" s="25" t="s">
        <v>126</v>
      </c>
      <c r="B48" s="25" t="s">
        <v>178</v>
      </c>
      <c r="C48" s="25" t="s">
        <v>179</v>
      </c>
      <c r="D48" s="52" t="n">
        <f aca="false">ROUND(S48*T48,0)</f>
        <v>318</v>
      </c>
      <c r="E48" s="52" t="n">
        <f aca="false">ROUND(S48,0)-D48</f>
        <v>521</v>
      </c>
      <c r="F48" s="52" t="n">
        <f aca="false">IF(COUNTA(D48:E48)=0,"",SUM(D48:E48))</f>
        <v>839</v>
      </c>
      <c r="G48" s="53" t="n">
        <f aca="false">IF(OR(F48="",F48=0),"",D48/F48)</f>
        <v>0.379022646007151</v>
      </c>
      <c r="H48" s="53" t="n">
        <f aca="false">IF(OR(F48="",F48=0),"",E48/F48)</f>
        <v>0.620977353992849</v>
      </c>
      <c r="I48" s="25" t="s">
        <v>128</v>
      </c>
      <c r="J48" s="28" t="n">
        <v>2.11716121919269</v>
      </c>
      <c r="K48" s="28" t="n">
        <f aca="false">$K$8</f>
        <v>0.297030231526703</v>
      </c>
      <c r="L48" s="28" t="n">
        <f aca="false">SQRT(J48^2+K48^2)</f>
        <v>2.13789583153489</v>
      </c>
      <c r="M48" s="53" t="n">
        <f aca="false">IF(G48="","",MAX(0,G48-1.96*L48/100))</f>
        <v>0.337119887709068</v>
      </c>
      <c r="N48" s="53" t="n">
        <f aca="false">IF(G48="","",MIN(1,G48+1.96*L48/100))</f>
        <v>0.420925404305235</v>
      </c>
      <c r="O48" s="52" t="n">
        <f aca="false">ROUND(S48*W48,0)</f>
        <v>74</v>
      </c>
      <c r="P48" s="52" t="n">
        <f aca="false">IF(F48="","",ROUND(SQRT((F48*L48/100)^2+(G48*O48)^2),0))</f>
        <v>33</v>
      </c>
      <c r="R48" s="54" t="n">
        <v>-12.8670571799218</v>
      </c>
      <c r="S48" s="55" t="n">
        <f aca="false">U48*V48*$F$5</f>
        <v>839.29959746981</v>
      </c>
      <c r="T48" s="56" t="n">
        <f aca="false">MAX(0,MIN(1,R48/100+$D$5))</f>
        <v>0.379384477168087</v>
      </c>
      <c r="U48" s="56" t="n">
        <v>0.474985623921794</v>
      </c>
      <c r="V48" s="55" t="n">
        <v>1767</v>
      </c>
      <c r="W48" s="56" t="n">
        <v>0.0887445098984521</v>
      </c>
      <c r="X48" s="57" t="s">
        <v>135</v>
      </c>
      <c r="Y48" s="57" t="s">
        <v>130</v>
      </c>
    </row>
    <row r="49" customFormat="false" ht="15" hidden="false" customHeight="false" outlineLevel="0" collapsed="false">
      <c r="A49" s="25" t="s">
        <v>126</v>
      </c>
      <c r="B49" s="25" t="s">
        <v>178</v>
      </c>
      <c r="C49" s="25" t="s">
        <v>180</v>
      </c>
      <c r="D49" s="52" t="n">
        <f aca="false">ROUND(S49*T49,0)</f>
        <v>241</v>
      </c>
      <c r="E49" s="52" t="n">
        <f aca="false">ROUND(S49,0)-D49</f>
        <v>410</v>
      </c>
      <c r="F49" s="52" t="n">
        <f aca="false">IF(COUNTA(D49:E49)=0,"",SUM(D49:E49))</f>
        <v>651</v>
      </c>
      <c r="G49" s="53" t="n">
        <f aca="false">IF(OR(F49="",F49=0),"",D49/F49)</f>
        <v>0.370199692780338</v>
      </c>
      <c r="H49" s="53" t="n">
        <f aca="false">IF(OR(F49="",F49=0),"",E49/F49)</f>
        <v>0.629800307219662</v>
      </c>
      <c r="I49" s="25" t="s">
        <v>128</v>
      </c>
      <c r="J49" s="28" t="n">
        <v>2.11716121919269</v>
      </c>
      <c r="K49" s="28" t="n">
        <f aca="false">$K$8</f>
        <v>0.297030231526703</v>
      </c>
      <c r="L49" s="28" t="n">
        <f aca="false">SQRT(J49^2+K49^2)</f>
        <v>2.13789583153489</v>
      </c>
      <c r="M49" s="53" t="n">
        <f aca="false">IF(G49="","",MAX(0,G49-1.96*L49/100))</f>
        <v>0.328296934482254</v>
      </c>
      <c r="N49" s="53" t="n">
        <f aca="false">IF(G49="","",MIN(1,G49+1.96*L49/100))</f>
        <v>0.412102451078422</v>
      </c>
      <c r="O49" s="52" t="n">
        <f aca="false">ROUND(S49*W49,0)</f>
        <v>58</v>
      </c>
      <c r="P49" s="52" t="n">
        <f aca="false">IF(F49="","",ROUND(SQRT((F49*L49/100)^2+(G49*O49)^2),0))</f>
        <v>26</v>
      </c>
      <c r="R49" s="54" t="n">
        <v>-13.8285373645115</v>
      </c>
      <c r="S49" s="55" t="n">
        <f aca="false">U49*V49*$F$5</f>
        <v>650.966977138019</v>
      </c>
      <c r="T49" s="56" t="n">
        <f aca="false">MAX(0,MIN(1,R49/100+$D$5))</f>
        <v>0.36976967532219</v>
      </c>
      <c r="U49" s="56" t="n">
        <v>0.523285351397121</v>
      </c>
      <c r="V49" s="55" t="n">
        <v>1244</v>
      </c>
      <c r="W49" s="56" t="n">
        <v>0.0887445098984521</v>
      </c>
      <c r="X49" s="57" t="s">
        <v>135</v>
      </c>
      <c r="Y49" s="57" t="s">
        <v>130</v>
      </c>
    </row>
    <row r="50" customFormat="false" ht="15" hidden="false" customHeight="false" outlineLevel="0" collapsed="false">
      <c r="A50" s="25" t="s">
        <v>126</v>
      </c>
      <c r="B50" s="25" t="s">
        <v>178</v>
      </c>
      <c r="C50" s="25" t="s">
        <v>181</v>
      </c>
      <c r="D50" s="52" t="n">
        <f aca="false">ROUND(S50*T50,0)</f>
        <v>353</v>
      </c>
      <c r="E50" s="52" t="n">
        <f aca="false">ROUND(S50,0)-D50</f>
        <v>592</v>
      </c>
      <c r="F50" s="52" t="n">
        <f aca="false">IF(COUNTA(D50:E50)=0,"",SUM(D50:E50))</f>
        <v>945</v>
      </c>
      <c r="G50" s="53" t="n">
        <f aca="false">IF(OR(F50="",F50=0),"",D50/F50)</f>
        <v>0.373544973544974</v>
      </c>
      <c r="H50" s="53" t="n">
        <f aca="false">IF(OR(F50="",F50=0),"",E50/F50)</f>
        <v>0.626455026455027</v>
      </c>
      <c r="I50" s="25" t="s">
        <v>128</v>
      </c>
      <c r="J50" s="28" t="n">
        <v>1.72835549007323</v>
      </c>
      <c r="K50" s="28" t="n">
        <f aca="false">$K$8</f>
        <v>0.297030231526703</v>
      </c>
      <c r="L50" s="28" t="n">
        <f aca="false">SQRT(J50^2+K50^2)</f>
        <v>1.75369314833214</v>
      </c>
      <c r="M50" s="53" t="n">
        <f aca="false">IF(G50="","",MAX(0,G50-1.96*L50/100))</f>
        <v>0.339172587837664</v>
      </c>
      <c r="N50" s="53" t="n">
        <f aca="false">IF(G50="","",MIN(1,G50+1.96*L50/100))</f>
        <v>0.407917359252283</v>
      </c>
      <c r="O50" s="52" t="n">
        <f aca="false">ROUND(S50*W50,0)</f>
        <v>65</v>
      </c>
      <c r="P50" s="52" t="n">
        <f aca="false">IF(F50="","",ROUND(SQRT((F50*L50/100)^2+(G50*O50)^2),0))</f>
        <v>29</v>
      </c>
      <c r="R50" s="54" t="n">
        <v>-13.4973943997114</v>
      </c>
      <c r="S50" s="55" t="n">
        <f aca="false">U50*V50*$F$5</f>
        <v>945.214912280702</v>
      </c>
      <c r="T50" s="56" t="n">
        <f aca="false">MAX(0,MIN(1,R50/100+$D$5))</f>
        <v>0.373081104970191</v>
      </c>
      <c r="U50" s="56" t="n">
        <v>0.521929824561404</v>
      </c>
      <c r="V50" s="55" t="n">
        <v>1811</v>
      </c>
      <c r="W50" s="56" t="n">
        <v>0.0684752145190268</v>
      </c>
      <c r="X50" s="57" t="s">
        <v>168</v>
      </c>
      <c r="Y50" s="57" t="s">
        <v>130</v>
      </c>
    </row>
    <row r="51" customFormat="false" ht="15" hidden="false" customHeight="false" outlineLevel="0" collapsed="false">
      <c r="A51" s="25" t="s">
        <v>126</v>
      </c>
      <c r="B51" s="25" t="s">
        <v>178</v>
      </c>
      <c r="C51" s="25" t="s">
        <v>182</v>
      </c>
      <c r="D51" s="52" t="n">
        <f aca="false">ROUND(S51*T51,0)</f>
        <v>360</v>
      </c>
      <c r="E51" s="52" t="n">
        <f aca="false">ROUND(S51,0)-D51</f>
        <v>756</v>
      </c>
      <c r="F51" s="52" t="n">
        <f aca="false">IF(COUNTA(D51:E51)=0,"",SUM(D51:E51))</f>
        <v>1116</v>
      </c>
      <c r="G51" s="53" t="n">
        <f aca="false">IF(OR(F51="",F51=0),"",D51/F51)</f>
        <v>0.32258064516129</v>
      </c>
      <c r="H51" s="53" t="n">
        <f aca="false">IF(OR(F51="",F51=0),"",E51/F51)</f>
        <v>0.67741935483871</v>
      </c>
      <c r="I51" s="25" t="s">
        <v>128</v>
      </c>
      <c r="J51" s="28" t="n">
        <v>1.72835549007323</v>
      </c>
      <c r="K51" s="28" t="n">
        <f aca="false">$K$8</f>
        <v>0.297030231526703</v>
      </c>
      <c r="L51" s="28" t="n">
        <f aca="false">SQRT(J51^2+K51^2)</f>
        <v>1.75369314833214</v>
      </c>
      <c r="M51" s="53" t="n">
        <f aca="false">IF(G51="","",MAX(0,G51-1.96*L51/100))</f>
        <v>0.28820825945398</v>
      </c>
      <c r="N51" s="53" t="n">
        <f aca="false">IF(G51="","",MIN(1,G51+1.96*L51/100))</f>
        <v>0.3569530308686</v>
      </c>
      <c r="O51" s="52" t="n">
        <f aca="false">ROUND(S51*W51,0)</f>
        <v>76</v>
      </c>
      <c r="P51" s="52" t="n">
        <f aca="false">IF(F51="","",ROUND(SQRT((F51*L51/100)^2+(G51*O51)^2),0))</f>
        <v>31</v>
      </c>
      <c r="R51" s="54" t="n">
        <v>-18.5741986418844</v>
      </c>
      <c r="S51" s="55" t="n">
        <f aca="false">U51*V51*$F$5</f>
        <v>1115.89731051345</v>
      </c>
      <c r="T51" s="56" t="n">
        <f aca="false">MAX(0,MIN(1,R51/100+$D$5))</f>
        <v>0.322313062548461</v>
      </c>
      <c r="U51" s="56" t="n">
        <v>0.63080684596577</v>
      </c>
      <c r="V51" s="55" t="n">
        <v>1769</v>
      </c>
      <c r="W51" s="56" t="n">
        <v>0.0684752145190268</v>
      </c>
      <c r="X51" s="57" t="s">
        <v>168</v>
      </c>
      <c r="Y51" s="57" t="s">
        <v>130</v>
      </c>
    </row>
    <row r="52" customFormat="false" ht="15" hidden="false" customHeight="false" outlineLevel="0" collapsed="false">
      <c r="A52" s="25" t="s">
        <v>126</v>
      </c>
      <c r="B52" s="25" t="s">
        <v>178</v>
      </c>
      <c r="C52" s="25" t="s">
        <v>183</v>
      </c>
      <c r="D52" s="52" t="n">
        <f aca="false">ROUND(S52*T52,0)</f>
        <v>335</v>
      </c>
      <c r="E52" s="52" t="n">
        <f aca="false">ROUND(S52,0)-D52</f>
        <v>597</v>
      </c>
      <c r="F52" s="52" t="n">
        <f aca="false">IF(COUNTA(D52:E52)=0,"",SUM(D52:E52))</f>
        <v>932</v>
      </c>
      <c r="G52" s="53" t="n">
        <f aca="false">IF(OR(F52="",F52=0),"",D52/F52)</f>
        <v>0.359442060085837</v>
      </c>
      <c r="H52" s="53" t="n">
        <f aca="false">IF(OR(F52="",F52=0),"",E52/F52)</f>
        <v>0.640557939914163</v>
      </c>
      <c r="I52" s="25" t="s">
        <v>128</v>
      </c>
      <c r="J52" s="28" t="n">
        <v>2.11716121919269</v>
      </c>
      <c r="K52" s="28" t="n">
        <f aca="false">$K$8</f>
        <v>0.297030231526703</v>
      </c>
      <c r="L52" s="28" t="n">
        <f aca="false">SQRT(J52^2+K52^2)</f>
        <v>2.13789583153489</v>
      </c>
      <c r="M52" s="53" t="n">
        <f aca="false">IF(G52="","",MAX(0,G52-1.96*L52/100))</f>
        <v>0.317539301787753</v>
      </c>
      <c r="N52" s="53" t="n">
        <f aca="false">IF(G52="","",MIN(1,G52+1.96*L52/100))</f>
        <v>0.401344818383921</v>
      </c>
      <c r="O52" s="52" t="n">
        <f aca="false">ROUND(S52*W52,0)</f>
        <v>83</v>
      </c>
      <c r="P52" s="52" t="n">
        <f aca="false">IF(F52="","",ROUND(SQRT((F52*L52/100)^2+(G52*O52)^2),0))</f>
        <v>36</v>
      </c>
      <c r="R52" s="54" t="n">
        <v>-14.8510135299336</v>
      </c>
      <c r="S52" s="55" t="n">
        <f aca="false">U52*V52*$F$5</f>
        <v>932.161434977579</v>
      </c>
      <c r="T52" s="56" t="n">
        <f aca="false">MAX(0,MIN(1,R52/100+$D$5))</f>
        <v>0.359544913667969</v>
      </c>
      <c r="U52" s="56" t="n">
        <v>0.669656203288491</v>
      </c>
      <c r="V52" s="55" t="n">
        <v>1392</v>
      </c>
      <c r="W52" s="56" t="n">
        <v>0.0887445098984521</v>
      </c>
      <c r="X52" s="57" t="s">
        <v>135</v>
      </c>
      <c r="Y52" s="57" t="s">
        <v>130</v>
      </c>
    </row>
    <row r="53" customFormat="false" ht="15" hidden="false" customHeight="false" outlineLevel="0" collapsed="false">
      <c r="A53" s="25" t="s">
        <v>126</v>
      </c>
      <c r="B53" s="25" t="s">
        <v>184</v>
      </c>
      <c r="C53" s="25" t="s">
        <v>185</v>
      </c>
      <c r="D53" s="52" t="n">
        <f aca="false">ROUND(S53*T53,0)</f>
        <v>142</v>
      </c>
      <c r="E53" s="52" t="n">
        <f aca="false">ROUND(S53,0)-D53</f>
        <v>162</v>
      </c>
      <c r="F53" s="52" t="n">
        <f aca="false">IF(COUNTA(D53:E53)=0,"",SUM(D53:E53))</f>
        <v>304</v>
      </c>
      <c r="G53" s="53" t="n">
        <f aca="false">IF(OR(F53="",F53=0),"",D53/F53)</f>
        <v>0.467105263157895</v>
      </c>
      <c r="H53" s="53" t="n">
        <f aca="false">IF(OR(F53="",F53=0),"",E53/F53)</f>
        <v>0.532894736842105</v>
      </c>
      <c r="I53" s="25" t="s">
        <v>128</v>
      </c>
      <c r="J53" s="28" t="n">
        <v>3.42046080519466</v>
      </c>
      <c r="K53" s="28" t="n">
        <f aca="false">$K$8</f>
        <v>0.297030231526703</v>
      </c>
      <c r="L53" s="28" t="n">
        <f aca="false">SQRT(J53^2+K53^2)</f>
        <v>3.43333352273176</v>
      </c>
      <c r="M53" s="53" t="n">
        <f aca="false">IF(G53="","",MAX(0,G53-1.96*L53/100))</f>
        <v>0.399811926112352</v>
      </c>
      <c r="N53" s="53" t="n">
        <f aca="false">IF(G53="","",MIN(1,G53+1.96*L53/100))</f>
        <v>0.534398600203437</v>
      </c>
      <c r="O53" s="52" t="n">
        <f aca="false">ROUND(S53*W53,0)</f>
        <v>45</v>
      </c>
      <c r="P53" s="52" t="n">
        <f aca="false">IF(F53="","",ROUND(SQRT((F53*L53/100)^2+(G53*O53)^2),0))</f>
        <v>23</v>
      </c>
      <c r="R53" s="54" t="n">
        <v>-4.22910772735628</v>
      </c>
      <c r="S53" s="55" t="n">
        <f aca="false">U53*V53*$F$5</f>
        <v>304.095808383234</v>
      </c>
      <c r="T53" s="56" t="n">
        <f aca="false">MAX(0,MIN(1,R53/100+$D$5))</f>
        <v>0.465763971693742</v>
      </c>
      <c r="U53" s="56" t="n">
        <v>0.574850299401198</v>
      </c>
      <c r="V53" s="55" t="n">
        <v>529</v>
      </c>
      <c r="W53" s="56" t="n">
        <v>0.148097331980838</v>
      </c>
      <c r="X53" s="57" t="s">
        <v>129</v>
      </c>
      <c r="Y53" s="57" t="s">
        <v>130</v>
      </c>
    </row>
    <row r="54" customFormat="false" ht="15" hidden="false" customHeight="false" outlineLevel="0" collapsed="false">
      <c r="A54" s="25" t="s">
        <v>126</v>
      </c>
      <c r="B54" s="25" t="s">
        <v>184</v>
      </c>
      <c r="C54" s="25" t="s">
        <v>186</v>
      </c>
      <c r="D54" s="52" t="n">
        <f aca="false">ROUND(S54*T54,0)</f>
        <v>160</v>
      </c>
      <c r="E54" s="52" t="n">
        <f aca="false">ROUND(S54,0)-D54</f>
        <v>179</v>
      </c>
      <c r="F54" s="52" t="n">
        <f aca="false">IF(COUNTA(D54:E54)=0,"",SUM(D54:E54))</f>
        <v>339</v>
      </c>
      <c r="G54" s="53" t="n">
        <f aca="false">IF(OR(F54="",F54=0),"",D54/F54)</f>
        <v>0.471976401179941</v>
      </c>
      <c r="H54" s="53" t="n">
        <f aca="false">IF(OR(F54="",F54=0),"",E54/F54)</f>
        <v>0.528023598820059</v>
      </c>
      <c r="I54" s="25" t="s">
        <v>128</v>
      </c>
      <c r="J54" s="28" t="n">
        <v>3.42046080519466</v>
      </c>
      <c r="K54" s="28" t="n">
        <f aca="false">$K$8</f>
        <v>0.297030231526703</v>
      </c>
      <c r="L54" s="28" t="n">
        <f aca="false">SQRT(J54^2+K54^2)</f>
        <v>3.43333352273176</v>
      </c>
      <c r="M54" s="53" t="n">
        <f aca="false">IF(G54="","",MAX(0,G54-1.96*L54/100))</f>
        <v>0.404683064134399</v>
      </c>
      <c r="N54" s="53" t="n">
        <f aca="false">IF(G54="","",MIN(1,G54+1.96*L54/100))</f>
        <v>0.539269738225484</v>
      </c>
      <c r="O54" s="52" t="n">
        <f aca="false">ROUND(S54*W54,0)</f>
        <v>50</v>
      </c>
      <c r="P54" s="52" t="n">
        <f aca="false">IF(F54="","",ROUND(SQRT((F54*L54/100)^2+(G54*O54)^2),0))</f>
        <v>26</v>
      </c>
      <c r="R54" s="54" t="n">
        <v>-3.60950088816601</v>
      </c>
      <c r="S54" s="55" t="n">
        <f aca="false">U54*V54*$F$5</f>
        <v>338.993963782696</v>
      </c>
      <c r="T54" s="56" t="n">
        <f aca="false">MAX(0,MIN(1,R54/100+$D$5))</f>
        <v>0.471960040085645</v>
      </c>
      <c r="U54" s="56" t="n">
        <v>0.627766599597585</v>
      </c>
      <c r="V54" s="55" t="n">
        <v>540</v>
      </c>
      <c r="W54" s="56" t="n">
        <v>0.148097331980838</v>
      </c>
      <c r="X54" s="57" t="s">
        <v>129</v>
      </c>
      <c r="Y54" s="57" t="s">
        <v>130</v>
      </c>
    </row>
    <row r="55" customFormat="false" ht="15" hidden="false" customHeight="false" outlineLevel="0" collapsed="false">
      <c r="A55" s="25" t="s">
        <v>126</v>
      </c>
      <c r="B55" s="25" t="s">
        <v>184</v>
      </c>
      <c r="C55" s="25" t="s">
        <v>187</v>
      </c>
      <c r="D55" s="52" t="n">
        <f aca="false">ROUND(S55*T55,0)</f>
        <v>90</v>
      </c>
      <c r="E55" s="52" t="n">
        <f aca="false">ROUND(S55,0)-D55</f>
        <v>153</v>
      </c>
      <c r="F55" s="52" t="n">
        <f aca="false">IF(COUNTA(D55:E55)=0,"",SUM(D55:E55))</f>
        <v>243</v>
      </c>
      <c r="G55" s="53" t="n">
        <f aca="false">IF(OR(F55="",F55=0),"",D55/F55)</f>
        <v>0.37037037037037</v>
      </c>
      <c r="H55" s="53" t="n">
        <f aca="false">IF(OR(F55="",F55=0),"",E55/F55)</f>
        <v>0.62962962962963</v>
      </c>
      <c r="I55" s="25" t="s">
        <v>128</v>
      </c>
      <c r="J55" s="28" t="n">
        <v>3.42046080519466</v>
      </c>
      <c r="K55" s="28" t="n">
        <f aca="false">$K$8</f>
        <v>0.297030231526703</v>
      </c>
      <c r="L55" s="28" t="n">
        <f aca="false">SQRT(J55^2+K55^2)</f>
        <v>3.43333352273176</v>
      </c>
      <c r="M55" s="53" t="n">
        <f aca="false">IF(G55="","",MAX(0,G55-1.96*L55/100))</f>
        <v>0.303077033324828</v>
      </c>
      <c r="N55" s="53" t="n">
        <f aca="false">IF(G55="","",MIN(1,G55+1.96*L55/100))</f>
        <v>0.437663707415913</v>
      </c>
      <c r="O55" s="52" t="n">
        <f aca="false">ROUND(S55*W55,0)</f>
        <v>36</v>
      </c>
      <c r="P55" s="52" t="n">
        <f aca="false">IF(F55="","",ROUND(SQRT((F55*L55/100)^2+(G55*O55)^2),0))</f>
        <v>16</v>
      </c>
      <c r="R55" s="54" t="n">
        <v>-13.7129941989073</v>
      </c>
      <c r="S55" s="55" t="n">
        <f aca="false">U55*V55*$F$5</f>
        <v>242.881401617251</v>
      </c>
      <c r="T55" s="56" t="n">
        <f aca="false">MAX(0,MIN(1,R55/100+$D$5))</f>
        <v>0.370925106978232</v>
      </c>
      <c r="U55" s="56" t="n">
        <v>0.676549865229111</v>
      </c>
      <c r="V55" s="55" t="n">
        <v>359</v>
      </c>
      <c r="W55" s="56" t="n">
        <v>0.148097331980838</v>
      </c>
      <c r="X55" s="57" t="s">
        <v>129</v>
      </c>
      <c r="Y55" s="57" t="s">
        <v>130</v>
      </c>
    </row>
    <row r="56" customFormat="false" ht="15" hidden="false" customHeight="false" outlineLevel="0" collapsed="false">
      <c r="A56" s="25" t="s">
        <v>126</v>
      </c>
      <c r="B56" s="25" t="s">
        <v>184</v>
      </c>
      <c r="C56" s="25" t="s">
        <v>188</v>
      </c>
      <c r="D56" s="52" t="n">
        <f aca="false">ROUND(S56*T56,0)</f>
        <v>167</v>
      </c>
      <c r="E56" s="52" t="n">
        <f aca="false">ROUND(S56,0)-D56</f>
        <v>238</v>
      </c>
      <c r="F56" s="52" t="n">
        <f aca="false">IF(COUNTA(D56:E56)=0,"",SUM(D56:E56))</f>
        <v>405</v>
      </c>
      <c r="G56" s="53" t="n">
        <f aca="false">IF(OR(F56="",F56=0),"",D56/F56)</f>
        <v>0.412345679012346</v>
      </c>
      <c r="H56" s="53" t="n">
        <f aca="false">IF(OR(F56="",F56=0),"",E56/F56)</f>
        <v>0.587654320987654</v>
      </c>
      <c r="I56" s="25" t="s">
        <v>128</v>
      </c>
      <c r="J56" s="28" t="n">
        <v>3.42046080519466</v>
      </c>
      <c r="K56" s="28" t="n">
        <f aca="false">$K$8</f>
        <v>0.297030231526703</v>
      </c>
      <c r="L56" s="28" t="n">
        <f aca="false">SQRT(J56^2+K56^2)</f>
        <v>3.43333352273176</v>
      </c>
      <c r="M56" s="53" t="n">
        <f aca="false">IF(G56="","",MAX(0,G56-1.96*L56/100))</f>
        <v>0.345052341966803</v>
      </c>
      <c r="N56" s="53" t="n">
        <f aca="false">IF(G56="","",MIN(1,G56+1.96*L56/100))</f>
        <v>0.479639016057888</v>
      </c>
      <c r="O56" s="52" t="n">
        <f aca="false">ROUND(S56*W56,0)</f>
        <v>60</v>
      </c>
      <c r="P56" s="52" t="n">
        <f aca="false">IF(F56="","",ROUND(SQRT((F56*L56/100)^2+(G56*O56)^2),0))</f>
        <v>28</v>
      </c>
      <c r="R56" s="54" t="n">
        <v>-9.49812839322125</v>
      </c>
      <c r="S56" s="55" t="n">
        <f aca="false">U56*V56*$F$5</f>
        <v>405.365413533835</v>
      </c>
      <c r="T56" s="56" t="n">
        <f aca="false">MAX(0,MIN(1,R56/100+$D$5))</f>
        <v>0.413073765035092</v>
      </c>
      <c r="U56" s="56" t="n">
        <v>0.577443609022556</v>
      </c>
      <c r="V56" s="55" t="n">
        <v>702</v>
      </c>
      <c r="W56" s="56" t="n">
        <v>0.148097331980838</v>
      </c>
      <c r="X56" s="57" t="s">
        <v>129</v>
      </c>
      <c r="Y56" s="57" t="s">
        <v>130</v>
      </c>
    </row>
    <row r="57" customFormat="false" ht="15" hidden="false" customHeight="false" outlineLevel="0" collapsed="false">
      <c r="A57" s="25" t="s">
        <v>126</v>
      </c>
      <c r="B57" s="25" t="s">
        <v>189</v>
      </c>
      <c r="C57" s="25" t="s">
        <v>190</v>
      </c>
      <c r="D57" s="52" t="n">
        <f aca="false">ROUND(S57*T57,0)</f>
        <v>241</v>
      </c>
      <c r="E57" s="52" t="n">
        <f aca="false">ROUND(S57,0)-D57</f>
        <v>529</v>
      </c>
      <c r="F57" s="52" t="n">
        <f aca="false">IF(COUNTA(D57:E57)=0,"",SUM(D57:E57))</f>
        <v>770</v>
      </c>
      <c r="G57" s="53" t="n">
        <f aca="false">IF(OR(F57="",F57=0),"",D57/F57)</f>
        <v>0.312987012987013</v>
      </c>
      <c r="H57" s="53" t="n">
        <f aca="false">IF(OR(F57="",F57=0),"",E57/F57)</f>
        <v>0.687012987012987</v>
      </c>
      <c r="I57" s="25" t="s">
        <v>128</v>
      </c>
      <c r="J57" s="28" t="n">
        <v>2.11716121919269</v>
      </c>
      <c r="K57" s="28" t="n">
        <f aca="false">$K$8</f>
        <v>0.297030231526703</v>
      </c>
      <c r="L57" s="28" t="n">
        <f aca="false">SQRT(J57^2+K57^2)</f>
        <v>2.13789583153489</v>
      </c>
      <c r="M57" s="53" t="n">
        <f aca="false">IF(G57="","",MAX(0,G57-1.96*L57/100))</f>
        <v>0.271084254688929</v>
      </c>
      <c r="N57" s="53" t="n">
        <f aca="false">IF(G57="","",MIN(1,G57+1.96*L57/100))</f>
        <v>0.354889771285097</v>
      </c>
      <c r="O57" s="52" t="n">
        <f aca="false">ROUND(S57*W57,0)</f>
        <v>68</v>
      </c>
      <c r="P57" s="52" t="n">
        <f aca="false">IF(F57="","",ROUND(SQRT((F57*L57/100)^2+(G57*O57)^2),0))</f>
        <v>27</v>
      </c>
      <c r="R57" s="54" t="n">
        <v>-19.5350909612077</v>
      </c>
      <c r="S57" s="55" t="n">
        <f aca="false">U57*V57*$F$5</f>
        <v>769.717741935484</v>
      </c>
      <c r="T57" s="56" t="n">
        <f aca="false">MAX(0,MIN(1,R57/100+$D$5))</f>
        <v>0.312704139355228</v>
      </c>
      <c r="U57" s="56" t="n">
        <v>0.633512544802867</v>
      </c>
      <c r="V57" s="55" t="n">
        <v>1215</v>
      </c>
      <c r="W57" s="56" t="n">
        <v>0.0887445098984521</v>
      </c>
      <c r="X57" s="57" t="s">
        <v>135</v>
      </c>
      <c r="Y57" s="57" t="s">
        <v>130</v>
      </c>
    </row>
    <row r="58" customFormat="false" ht="15" hidden="false" customHeight="false" outlineLevel="0" collapsed="false">
      <c r="A58" s="25" t="s">
        <v>126</v>
      </c>
      <c r="B58" s="25" t="s">
        <v>189</v>
      </c>
      <c r="C58" s="25" t="s">
        <v>191</v>
      </c>
      <c r="D58" s="52" t="n">
        <f aca="false">ROUND(S58*T58,0)</f>
        <v>218</v>
      </c>
      <c r="E58" s="52" t="n">
        <f aca="false">ROUND(S58,0)-D58</f>
        <v>568</v>
      </c>
      <c r="F58" s="52" t="n">
        <f aca="false">IF(COUNTA(D58:E58)=0,"",SUM(D58:E58))</f>
        <v>786</v>
      </c>
      <c r="G58" s="53" t="n">
        <f aca="false">IF(OR(F58="",F58=0),"",D58/F58)</f>
        <v>0.27735368956743</v>
      </c>
      <c r="H58" s="53" t="n">
        <f aca="false">IF(OR(F58="",F58=0),"",E58/F58)</f>
        <v>0.72264631043257</v>
      </c>
      <c r="I58" s="25" t="s">
        <v>128</v>
      </c>
      <c r="J58" s="28" t="n">
        <v>2.11716121919269</v>
      </c>
      <c r="K58" s="28" t="n">
        <f aca="false">$K$8</f>
        <v>0.297030231526703</v>
      </c>
      <c r="L58" s="28" t="n">
        <f aca="false">SQRT(J58^2+K58^2)</f>
        <v>2.13789583153489</v>
      </c>
      <c r="M58" s="53" t="n">
        <f aca="false">IF(G58="","",MAX(0,G58-1.96*L58/100))</f>
        <v>0.235450931269346</v>
      </c>
      <c r="N58" s="53" t="n">
        <f aca="false">IF(G58="","",MIN(1,G58+1.96*L58/100))</f>
        <v>0.319256447865514</v>
      </c>
      <c r="O58" s="52" t="n">
        <f aca="false">ROUND(S58*W58,0)</f>
        <v>70</v>
      </c>
      <c r="P58" s="52" t="n">
        <f aca="false">IF(F58="","",ROUND(SQRT((F58*L58/100)^2+(G58*O58)^2),0))</f>
        <v>26</v>
      </c>
      <c r="R58" s="54" t="n">
        <v>-23.1037718985563</v>
      </c>
      <c r="S58" s="55" t="n">
        <f aca="false">U58*V58*$F$5</f>
        <v>786.289198606272</v>
      </c>
      <c r="T58" s="56" t="n">
        <f aca="false">MAX(0,MIN(1,R58/100+$D$5))</f>
        <v>0.277017329981742</v>
      </c>
      <c r="U58" s="56" t="n">
        <v>0.649825783972126</v>
      </c>
      <c r="V58" s="55" t="n">
        <v>1210</v>
      </c>
      <c r="W58" s="56" t="n">
        <v>0.0887445098984521</v>
      </c>
      <c r="X58" s="57" t="s">
        <v>135</v>
      </c>
      <c r="Y58" s="57" t="s">
        <v>130</v>
      </c>
    </row>
    <row r="59" customFormat="false" ht="15" hidden="false" customHeight="false" outlineLevel="0" collapsed="false">
      <c r="A59" s="25" t="s">
        <v>126</v>
      </c>
      <c r="B59" s="25" t="s">
        <v>189</v>
      </c>
      <c r="C59" s="25" t="s">
        <v>192</v>
      </c>
      <c r="D59" s="52" t="n">
        <f aca="false">ROUND(S59*T59,0)</f>
        <v>201</v>
      </c>
      <c r="E59" s="52" t="n">
        <f aca="false">ROUND(S59,0)-D59</f>
        <v>500</v>
      </c>
      <c r="F59" s="52" t="n">
        <f aca="false">IF(COUNTA(D59:E59)=0,"",SUM(D59:E59))</f>
        <v>701</v>
      </c>
      <c r="G59" s="53" t="n">
        <f aca="false">IF(OR(F59="",F59=0),"",D59/F59)</f>
        <v>0.286733238231098</v>
      </c>
      <c r="H59" s="53" t="n">
        <f aca="false">IF(OR(F59="",F59=0),"",E59/F59)</f>
        <v>0.713266761768902</v>
      </c>
      <c r="I59" s="25" t="s">
        <v>128</v>
      </c>
      <c r="J59" s="28" t="n">
        <v>2.11716121919269</v>
      </c>
      <c r="K59" s="28" t="n">
        <f aca="false">$K$8</f>
        <v>0.297030231526703</v>
      </c>
      <c r="L59" s="28" t="n">
        <f aca="false">SQRT(J59^2+K59^2)</f>
        <v>2.13789583153489</v>
      </c>
      <c r="M59" s="53" t="n">
        <f aca="false">IF(G59="","",MAX(0,G59-1.96*L59/100))</f>
        <v>0.244830479933015</v>
      </c>
      <c r="N59" s="53" t="n">
        <f aca="false">IF(G59="","",MIN(1,G59+1.96*L59/100))</f>
        <v>0.328635996529182</v>
      </c>
      <c r="O59" s="52" t="n">
        <f aca="false">ROUND(S59*W59,0)</f>
        <v>62</v>
      </c>
      <c r="P59" s="52" t="n">
        <f aca="false">IF(F59="","",ROUND(SQRT((F59*L59/100)^2+(G59*O59)^2),0))</f>
        <v>23</v>
      </c>
      <c r="R59" s="54" t="n">
        <v>-22.1318047152864</v>
      </c>
      <c r="S59" s="55" t="n">
        <f aca="false">U59*V59*$F$5</f>
        <v>700.937313432836</v>
      </c>
      <c r="T59" s="56" t="n">
        <f aca="false">MAX(0,MIN(1,R59/100+$D$5))</f>
        <v>0.286737001814441</v>
      </c>
      <c r="U59" s="56" t="n">
        <v>0.674626865671642</v>
      </c>
      <c r="V59" s="55" t="n">
        <v>1039</v>
      </c>
      <c r="W59" s="56" t="n">
        <v>0.0887445098984521</v>
      </c>
      <c r="X59" s="57" t="s">
        <v>135</v>
      </c>
      <c r="Y59" s="57" t="s">
        <v>130</v>
      </c>
    </row>
    <row r="60" customFormat="false" ht="15" hidden="false" customHeight="false" outlineLevel="0" collapsed="false">
      <c r="A60" s="25" t="s">
        <v>126</v>
      </c>
      <c r="B60" s="25" t="s">
        <v>193</v>
      </c>
      <c r="C60" s="25" t="s">
        <v>194</v>
      </c>
      <c r="D60" s="52" t="n">
        <f aca="false">ROUND(S60*T60,0)</f>
        <v>180</v>
      </c>
      <c r="E60" s="52" t="n">
        <f aca="false">ROUND(S60,0)-D60</f>
        <v>421</v>
      </c>
      <c r="F60" s="52" t="n">
        <f aca="false">IF(COUNTA(D60:E60)=0,"",SUM(D60:E60))</f>
        <v>601</v>
      </c>
      <c r="G60" s="53" t="n">
        <f aca="false">IF(OR(F60="",F60=0),"",D60/F60)</f>
        <v>0.299500831946755</v>
      </c>
      <c r="H60" s="53" t="n">
        <f aca="false">IF(OR(F60="",F60=0),"",E60/F60)</f>
        <v>0.700499168053245</v>
      </c>
      <c r="I60" s="25" t="s">
        <v>128</v>
      </c>
      <c r="J60" s="28" t="n">
        <v>2.11716121919269</v>
      </c>
      <c r="K60" s="28" t="n">
        <f aca="false">$K$8</f>
        <v>0.297030231526703</v>
      </c>
      <c r="L60" s="28" t="n">
        <f aca="false">SQRT(J60^2+K60^2)</f>
        <v>2.13789583153489</v>
      </c>
      <c r="M60" s="53" t="n">
        <f aca="false">IF(G60="","",MAX(0,G60-1.96*L60/100))</f>
        <v>0.257598073648672</v>
      </c>
      <c r="N60" s="53" t="n">
        <f aca="false">IF(G60="","",MIN(1,G60+1.96*L60/100))</f>
        <v>0.341403590244839</v>
      </c>
      <c r="O60" s="52" t="n">
        <f aca="false">ROUND(S60*W60,0)</f>
        <v>53</v>
      </c>
      <c r="P60" s="52" t="n">
        <f aca="false">IF(F60="","",ROUND(SQRT((F60*L60/100)^2+(G60*O60)^2),0))</f>
        <v>20</v>
      </c>
      <c r="R60" s="54" t="n">
        <v>-20.8368152599597</v>
      </c>
      <c r="S60" s="55" t="n">
        <f aca="false">U60*V60*$F$5</f>
        <v>601.421153846154</v>
      </c>
      <c r="T60" s="56" t="n">
        <f aca="false">MAX(0,MIN(1,R60/100+$D$5))</f>
        <v>0.299686896367708</v>
      </c>
      <c r="U60" s="56" t="n">
        <v>0.578846153846154</v>
      </c>
      <c r="V60" s="55" t="n">
        <v>1039</v>
      </c>
      <c r="W60" s="56" t="n">
        <v>0.0887445098984521</v>
      </c>
      <c r="X60" s="57" t="s">
        <v>135</v>
      </c>
      <c r="Y60" s="57" t="s">
        <v>130</v>
      </c>
    </row>
    <row r="61" customFormat="false" ht="15" hidden="false" customHeight="false" outlineLevel="0" collapsed="false">
      <c r="A61" s="25" t="s">
        <v>126</v>
      </c>
      <c r="B61" s="25" t="s">
        <v>193</v>
      </c>
      <c r="C61" s="25" t="s">
        <v>195</v>
      </c>
      <c r="D61" s="52" t="n">
        <f aca="false">ROUND(S61*T61,0)</f>
        <v>88</v>
      </c>
      <c r="E61" s="52" t="n">
        <f aca="false">ROUND(S61,0)-D61</f>
        <v>224</v>
      </c>
      <c r="F61" s="52" t="n">
        <f aca="false">IF(COUNTA(D61:E61)=0,"",SUM(D61:E61))</f>
        <v>312</v>
      </c>
      <c r="G61" s="53" t="n">
        <f aca="false">IF(OR(F61="",F61=0),"",D61/F61)</f>
        <v>0.282051282051282</v>
      </c>
      <c r="H61" s="53" t="n">
        <f aca="false">IF(OR(F61="",F61=0),"",E61/F61)</f>
        <v>0.717948717948718</v>
      </c>
      <c r="I61" s="25" t="s">
        <v>128</v>
      </c>
      <c r="J61" s="28" t="n">
        <v>3.42046080519466</v>
      </c>
      <c r="K61" s="28" t="n">
        <f aca="false">$K$8</f>
        <v>0.297030231526703</v>
      </c>
      <c r="L61" s="28" t="n">
        <f aca="false">SQRT(J61^2+K61^2)</f>
        <v>3.43333352273176</v>
      </c>
      <c r="M61" s="53" t="n">
        <f aca="false">IF(G61="","",MAX(0,G61-1.96*L61/100))</f>
        <v>0.21475794500574</v>
      </c>
      <c r="N61" s="53" t="n">
        <f aca="false">IF(G61="","",MIN(1,G61+1.96*L61/100))</f>
        <v>0.349344619096825</v>
      </c>
      <c r="O61" s="52" t="n">
        <f aca="false">ROUND(S61*W61,0)</f>
        <v>46</v>
      </c>
      <c r="P61" s="52" t="n">
        <f aca="false">IF(F61="","",ROUND(SQRT((F61*L61/100)^2+(G61*O61)^2),0))</f>
        <v>17</v>
      </c>
      <c r="R61" s="54" t="n">
        <v>-22.5688521933401</v>
      </c>
      <c r="S61" s="55" t="n">
        <f aca="false">U61*V61*$F$5</f>
        <v>312.431640625</v>
      </c>
      <c r="T61" s="56" t="n">
        <f aca="false">MAX(0,MIN(1,R61/100+$D$5))</f>
        <v>0.282366527033904</v>
      </c>
      <c r="U61" s="56" t="n">
        <v>0.583984375</v>
      </c>
      <c r="V61" s="55" t="n">
        <v>535</v>
      </c>
      <c r="W61" s="56" t="n">
        <v>0.148097331980838</v>
      </c>
      <c r="X61" s="57" t="s">
        <v>129</v>
      </c>
      <c r="Y61" s="57" t="s">
        <v>130</v>
      </c>
    </row>
    <row r="62" customFormat="false" ht="15" hidden="false" customHeight="false" outlineLevel="0" collapsed="false">
      <c r="A62" s="25" t="s">
        <v>126</v>
      </c>
      <c r="B62" s="25" t="s">
        <v>196</v>
      </c>
      <c r="C62" s="25" t="s">
        <v>196</v>
      </c>
      <c r="D62" s="52" t="n">
        <f aca="false">ROUND(S62*T62,0)</f>
        <v>39</v>
      </c>
      <c r="E62" s="52" t="n">
        <f aca="false">ROUND(S62,0)-D62</f>
        <v>68</v>
      </c>
      <c r="F62" s="52" t="n">
        <f aca="false">IF(COUNTA(D62:E62)=0,"",SUM(D62:E62))</f>
        <v>107</v>
      </c>
      <c r="G62" s="53" t="n">
        <f aca="false">IF(OR(F62="",F62=0),"",D62/F62)</f>
        <v>0.364485981308411</v>
      </c>
      <c r="H62" s="53" t="n">
        <f aca="false">IF(OR(F62="",F62=0),"",E62/F62)</f>
        <v>0.635514018691589</v>
      </c>
      <c r="I62" s="25" t="s">
        <v>128</v>
      </c>
      <c r="J62" s="28" t="n">
        <v>3.42046080519466</v>
      </c>
      <c r="K62" s="28" t="n">
        <f aca="false">$K$8</f>
        <v>0.297030231526703</v>
      </c>
      <c r="L62" s="28" t="n">
        <f aca="false">SQRT(J62^2+K62^2)</f>
        <v>3.43333352273176</v>
      </c>
      <c r="M62" s="53" t="n">
        <f aca="false">IF(G62="","",MAX(0,G62-1.96*L62/100))</f>
        <v>0.297192644262869</v>
      </c>
      <c r="N62" s="53" t="n">
        <f aca="false">IF(G62="","",MIN(1,G62+1.96*L62/100))</f>
        <v>0.431779318353954</v>
      </c>
      <c r="O62" s="52" t="n">
        <f aca="false">ROUND(S62*W62,0)</f>
        <v>16</v>
      </c>
      <c r="P62" s="52" t="n">
        <f aca="false">IF(F62="","",ROUND(SQRT((F62*L62/100)^2+(G62*O62)^2),0))</f>
        <v>7</v>
      </c>
      <c r="R62" s="54" t="n">
        <v>-14.3676944980634</v>
      </c>
      <c r="S62" s="55" t="n">
        <f aca="false">U62*V62*$F$5</f>
        <v>106.666666666667</v>
      </c>
      <c r="T62" s="56" t="n">
        <f aca="false">MAX(0,MIN(1,R62/100+$D$5))</f>
        <v>0.36437810398667</v>
      </c>
      <c r="U62" s="56" t="n">
        <v>0.444444444444444</v>
      </c>
      <c r="V62" s="55" t="n">
        <v>240</v>
      </c>
      <c r="W62" s="56" t="n">
        <v>0.148097331980838</v>
      </c>
      <c r="X62" s="57" t="s">
        <v>129</v>
      </c>
      <c r="Y62" s="57" t="s">
        <v>130</v>
      </c>
    </row>
    <row r="63" customFormat="false" ht="15" hidden="false" customHeight="false" outlineLevel="0" collapsed="false">
      <c r="A63" s="25" t="s">
        <v>197</v>
      </c>
      <c r="B63" s="25" t="s">
        <v>198</v>
      </c>
      <c r="C63" s="25" t="s">
        <v>198</v>
      </c>
      <c r="D63" s="52" t="n">
        <f aca="false">ROUND(S63*T63,0)</f>
        <v>491</v>
      </c>
      <c r="E63" s="52" t="n">
        <f aca="false">ROUND(S63,0)-D63</f>
        <v>570</v>
      </c>
      <c r="F63" s="52" t="n">
        <f aca="false">IF(COUNTA(D63:E63)=0,"",SUM(D63:E63))</f>
        <v>1061</v>
      </c>
      <c r="G63" s="53" t="n">
        <f aca="false">IF(OR(F63="",F63=0),"",D63/F63)</f>
        <v>0.462770970782281</v>
      </c>
      <c r="H63" s="53" t="n">
        <f aca="false">IF(OR(F63="",F63=0),"",E63/F63)</f>
        <v>0.537229029217719</v>
      </c>
      <c r="I63" s="25" t="s">
        <v>128</v>
      </c>
      <c r="J63" s="28" t="n">
        <v>1.72835549007323</v>
      </c>
      <c r="K63" s="28" t="n">
        <f aca="false">$K$8</f>
        <v>0.297030231526703</v>
      </c>
      <c r="L63" s="28" t="n">
        <f aca="false">SQRT(J63^2+K63^2)</f>
        <v>1.75369314833214</v>
      </c>
      <c r="M63" s="53" t="n">
        <f aca="false">IF(G63="","",MAX(0,G63-1.96*L63/100))</f>
        <v>0.428398585074971</v>
      </c>
      <c r="N63" s="53" t="n">
        <f aca="false">IF(G63="","",MIN(1,G63+1.96*L63/100))</f>
        <v>0.497143356489591</v>
      </c>
      <c r="O63" s="52" t="n">
        <f aca="false">ROUND(S63*W63,0)</f>
        <v>73</v>
      </c>
      <c r="P63" s="52" t="n">
        <f aca="false">IF(F63="","",ROUND(SQRT((F63*L63/100)^2+(G63*O63)^2),0))</f>
        <v>39</v>
      </c>
      <c r="R63" s="54" t="n">
        <v>-4.53138986970825</v>
      </c>
      <c r="S63" s="55" t="n">
        <f aca="false">U63*V63*$F$5</f>
        <v>1060.80585424134</v>
      </c>
      <c r="T63" s="56" t="n">
        <f aca="false">MAX(0,MIN(1,R63/100+$D$5))</f>
        <v>0.462741150270222</v>
      </c>
      <c r="U63" s="56" t="n">
        <v>0.605137395459976</v>
      </c>
      <c r="V63" s="55" t="n">
        <v>1753</v>
      </c>
      <c r="W63" s="56" t="n">
        <v>0.0684752145190268</v>
      </c>
      <c r="X63" s="57" t="s">
        <v>168</v>
      </c>
      <c r="Y63" s="57" t="s">
        <v>130</v>
      </c>
    </row>
    <row r="64" customFormat="false" ht="15" hidden="false" customHeight="false" outlineLevel="0" collapsed="false">
      <c r="A64" s="25" t="s">
        <v>197</v>
      </c>
      <c r="B64" s="25" t="s">
        <v>199</v>
      </c>
      <c r="C64" s="25" t="s">
        <v>200</v>
      </c>
      <c r="D64" s="52" t="n">
        <f aca="false">ROUND(S64*T64,0)</f>
        <v>241</v>
      </c>
      <c r="E64" s="52" t="n">
        <f aca="false">ROUND(S64,0)-D64</f>
        <v>98</v>
      </c>
      <c r="F64" s="52" t="n">
        <f aca="false">IF(COUNTA(D64:E64)=0,"",SUM(D64:E64))</f>
        <v>339</v>
      </c>
      <c r="G64" s="53" t="n">
        <f aca="false">IF(OR(F64="",F64=0),"",D64/F64)</f>
        <v>0.710914454277286</v>
      </c>
      <c r="H64" s="53" t="n">
        <f aca="false">IF(OR(F64="",F64=0),"",E64/F64)</f>
        <v>0.289085545722714</v>
      </c>
      <c r="I64" s="25" t="s">
        <v>128</v>
      </c>
      <c r="J64" s="28" t="n">
        <v>3.42046080519466</v>
      </c>
      <c r="K64" s="28" t="n">
        <f aca="false">$K$8</f>
        <v>0.297030231526703</v>
      </c>
      <c r="L64" s="28" t="n">
        <f aca="false">SQRT(J64^2+K64^2)</f>
        <v>3.43333352273176</v>
      </c>
      <c r="M64" s="53" t="n">
        <f aca="false">IF(G64="","",MAX(0,G64-1.96*L64/100))</f>
        <v>0.643621117231744</v>
      </c>
      <c r="N64" s="53" t="n">
        <f aca="false">IF(G64="","",MIN(1,G64+1.96*L64/100))</f>
        <v>0.778207791322829</v>
      </c>
      <c r="O64" s="52" t="n">
        <f aca="false">ROUND(S64*W64,0)</f>
        <v>50</v>
      </c>
      <c r="P64" s="52" t="n">
        <f aca="false">IF(F64="","",ROUND(SQRT((F64*L64/100)^2+(G64*O64)^2),0))</f>
        <v>37</v>
      </c>
      <c r="R64" s="54" t="n">
        <v>20.3560646510067</v>
      </c>
      <c r="S64" s="55" t="n">
        <f aca="false">U64*V64*$F$5</f>
        <v>338.759820426487</v>
      </c>
      <c r="T64" s="56" t="n">
        <f aca="false">MAX(0,MIN(1,R64/100+$D$5))</f>
        <v>0.711615695477372</v>
      </c>
      <c r="U64" s="56" t="n">
        <v>0.187991021324355</v>
      </c>
      <c r="V64" s="55" t="n">
        <v>1802</v>
      </c>
      <c r="W64" s="56" t="n">
        <v>0.148097331980838</v>
      </c>
      <c r="X64" s="57" t="s">
        <v>129</v>
      </c>
      <c r="Y64" s="57" t="s">
        <v>130</v>
      </c>
    </row>
    <row r="65" customFormat="false" ht="15" hidden="false" customHeight="false" outlineLevel="0" collapsed="false">
      <c r="A65" s="25" t="s">
        <v>197</v>
      </c>
      <c r="B65" s="25" t="s">
        <v>199</v>
      </c>
      <c r="C65" s="25" t="s">
        <v>201</v>
      </c>
      <c r="D65" s="52" t="n">
        <f aca="false">ROUND(S65*T65,0)</f>
        <v>133</v>
      </c>
      <c r="E65" s="52" t="n">
        <f aca="false">ROUND(S65,0)-D65</f>
        <v>68</v>
      </c>
      <c r="F65" s="52" t="n">
        <f aca="false">IF(COUNTA(D65:E65)=0,"",SUM(D65:E65))</f>
        <v>201</v>
      </c>
      <c r="G65" s="53" t="n">
        <f aca="false">IF(OR(F65="",F65=0),"",D65/F65)</f>
        <v>0.661691542288557</v>
      </c>
      <c r="H65" s="53" t="n">
        <f aca="false">IF(OR(F65="",F65=0),"",E65/F65)</f>
        <v>0.338308457711443</v>
      </c>
      <c r="I65" s="25" t="s">
        <v>128</v>
      </c>
      <c r="J65" s="28" t="n">
        <v>3.42046080519466</v>
      </c>
      <c r="K65" s="28" t="n">
        <f aca="false">$K$8</f>
        <v>0.297030231526703</v>
      </c>
      <c r="L65" s="28" t="n">
        <f aca="false">SQRT(J65^2+K65^2)</f>
        <v>3.43333352273176</v>
      </c>
      <c r="M65" s="53" t="n">
        <f aca="false">IF(G65="","",MAX(0,G65-1.96*L65/100))</f>
        <v>0.594398205243015</v>
      </c>
      <c r="N65" s="53" t="n">
        <f aca="false">IF(G65="","",MIN(1,G65+1.96*L65/100))</f>
        <v>0.7289848793341</v>
      </c>
      <c r="O65" s="52" t="n">
        <f aca="false">ROUND(S65*W65,0)</f>
        <v>30</v>
      </c>
      <c r="P65" s="52" t="n">
        <f aca="false">IF(F65="","",ROUND(SQRT((F65*L65/100)^2+(G65*O65)^2),0))</f>
        <v>21</v>
      </c>
      <c r="R65" s="54" t="n">
        <v>15.7098479608993</v>
      </c>
      <c r="S65" s="55" t="n">
        <f aca="false">U65*V65*$F$5</f>
        <v>200.692863595303</v>
      </c>
      <c r="T65" s="56" t="n">
        <f aca="false">MAX(0,MIN(1,R65/100+$D$5))</f>
        <v>0.665153528576298</v>
      </c>
      <c r="U65" s="56" t="n">
        <v>0.188798554652213</v>
      </c>
      <c r="V65" s="55" t="n">
        <v>1063</v>
      </c>
      <c r="W65" s="56" t="n">
        <v>0.148097331980838</v>
      </c>
      <c r="X65" s="57" t="s">
        <v>129</v>
      </c>
      <c r="Y65" s="57" t="s">
        <v>130</v>
      </c>
    </row>
    <row r="66" customFormat="false" ht="15" hidden="false" customHeight="false" outlineLevel="0" collapsed="false">
      <c r="A66" s="25" t="s">
        <v>197</v>
      </c>
      <c r="B66" s="25" t="s">
        <v>199</v>
      </c>
      <c r="C66" s="25" t="s">
        <v>202</v>
      </c>
      <c r="D66" s="52" t="n">
        <f aca="false">ROUND(S66*T66,0)</f>
        <v>162</v>
      </c>
      <c r="E66" s="52" t="n">
        <f aca="false">ROUND(S66,0)-D66</f>
        <v>71</v>
      </c>
      <c r="F66" s="52" t="n">
        <f aca="false">IF(COUNTA(D66:E66)=0,"",SUM(D66:E66))</f>
        <v>233</v>
      </c>
      <c r="G66" s="53" t="n">
        <f aca="false">IF(OR(F66="",F66=0),"",D66/F66)</f>
        <v>0.695278969957082</v>
      </c>
      <c r="H66" s="53" t="n">
        <f aca="false">IF(OR(F66="",F66=0),"",E66/F66)</f>
        <v>0.304721030042918</v>
      </c>
      <c r="I66" s="25" t="s">
        <v>128</v>
      </c>
      <c r="J66" s="28" t="n">
        <v>3.42046080519466</v>
      </c>
      <c r="K66" s="28" t="n">
        <f aca="false">$K$8</f>
        <v>0.297030231526703</v>
      </c>
      <c r="L66" s="28" t="n">
        <f aca="false">SQRT(J66^2+K66^2)</f>
        <v>3.43333352273176</v>
      </c>
      <c r="M66" s="53" t="n">
        <f aca="false">IF(G66="","",MAX(0,G66-1.96*L66/100))</f>
        <v>0.627985632911539</v>
      </c>
      <c r="N66" s="53" t="n">
        <f aca="false">IF(G66="","",MIN(1,G66+1.96*L66/100))</f>
        <v>0.762572307002624</v>
      </c>
      <c r="O66" s="52" t="n">
        <f aca="false">ROUND(S66*W66,0)</f>
        <v>34</v>
      </c>
      <c r="P66" s="52" t="n">
        <f aca="false">IF(F66="","",ROUND(SQRT((F66*L66/100)^2+(G66*O66)^2),0))</f>
        <v>25</v>
      </c>
      <c r="R66" s="54" t="n">
        <v>19.0152484078803</v>
      </c>
      <c r="S66" s="55" t="n">
        <f aca="false">U66*V66*$F$5</f>
        <v>232.72650296359</v>
      </c>
      <c r="T66" s="56" t="n">
        <f aca="false">MAX(0,MIN(1,R66/100+$D$5))</f>
        <v>0.698207533046108</v>
      </c>
      <c r="U66" s="56" t="n">
        <v>0.202370872142252</v>
      </c>
      <c r="V66" s="55" t="n">
        <v>1150</v>
      </c>
      <c r="W66" s="56" t="n">
        <v>0.148097331980838</v>
      </c>
      <c r="X66" s="57" t="s">
        <v>129</v>
      </c>
      <c r="Y66" s="57" t="s">
        <v>130</v>
      </c>
    </row>
    <row r="67" customFormat="false" ht="15" hidden="false" customHeight="false" outlineLevel="0" collapsed="false">
      <c r="A67" s="25" t="s">
        <v>197</v>
      </c>
      <c r="B67" s="25" t="s">
        <v>199</v>
      </c>
      <c r="C67" s="25" t="s">
        <v>203</v>
      </c>
      <c r="D67" s="52" t="n">
        <f aca="false">ROUND(S67*T67,0)</f>
        <v>157</v>
      </c>
      <c r="E67" s="52" t="n">
        <f aca="false">ROUND(S67,0)-D67</f>
        <v>78</v>
      </c>
      <c r="F67" s="52" t="n">
        <f aca="false">IF(COUNTA(D67:E67)=0,"",SUM(D67:E67))</f>
        <v>235</v>
      </c>
      <c r="G67" s="53" t="n">
        <f aca="false">IF(OR(F67="",F67=0),"",D67/F67)</f>
        <v>0.668085106382979</v>
      </c>
      <c r="H67" s="53" t="n">
        <f aca="false">IF(OR(F67="",F67=0),"",E67/F67)</f>
        <v>0.331914893617021</v>
      </c>
      <c r="I67" s="25" t="s">
        <v>128</v>
      </c>
      <c r="J67" s="28" t="n">
        <v>3.42046080519466</v>
      </c>
      <c r="K67" s="28" t="n">
        <f aca="false">$K$8</f>
        <v>0.297030231526703</v>
      </c>
      <c r="L67" s="28" t="n">
        <f aca="false">SQRT(J67^2+K67^2)</f>
        <v>3.43333352273176</v>
      </c>
      <c r="M67" s="53" t="n">
        <f aca="false">IF(G67="","",MAX(0,G67-1.96*L67/100))</f>
        <v>0.600791769337436</v>
      </c>
      <c r="N67" s="53" t="n">
        <f aca="false">IF(G67="","",MIN(1,G67+1.96*L67/100))</f>
        <v>0.735378443428521</v>
      </c>
      <c r="O67" s="52" t="n">
        <f aca="false">ROUND(S67*W67,0)</f>
        <v>35</v>
      </c>
      <c r="P67" s="52" t="n">
        <f aca="false">IF(F67="","",ROUND(SQRT((F67*L67/100)^2+(G67*O67)^2),0))</f>
        <v>25</v>
      </c>
      <c r="R67" s="54" t="n">
        <v>16.1860561127561</v>
      </c>
      <c r="S67" s="55" t="n">
        <f aca="false">U67*V67*$F$5</f>
        <v>234.521920668058</v>
      </c>
      <c r="T67" s="56" t="n">
        <f aca="false">MAX(0,MIN(1,R67/100+$D$5))</f>
        <v>0.669915610094866</v>
      </c>
      <c r="U67" s="56" t="n">
        <v>0.248434237995825</v>
      </c>
      <c r="V67" s="55" t="n">
        <v>944</v>
      </c>
      <c r="W67" s="56" t="n">
        <v>0.148097331980838</v>
      </c>
      <c r="X67" s="57" t="s">
        <v>129</v>
      </c>
      <c r="Y67" s="57" t="s">
        <v>130</v>
      </c>
    </row>
    <row r="68" customFormat="false" ht="15" hidden="false" customHeight="false" outlineLevel="0" collapsed="false">
      <c r="A68" s="25" t="s">
        <v>197</v>
      </c>
      <c r="B68" s="25" t="s">
        <v>199</v>
      </c>
      <c r="C68" s="25" t="s">
        <v>204</v>
      </c>
      <c r="D68" s="52" t="n">
        <f aca="false">ROUND(S68*T68,0)</f>
        <v>166</v>
      </c>
      <c r="E68" s="52" t="n">
        <f aca="false">ROUND(S68,0)-D68</f>
        <v>61</v>
      </c>
      <c r="F68" s="52" t="n">
        <f aca="false">IF(COUNTA(D68:E68)=0,"",SUM(D68:E68))</f>
        <v>227</v>
      </c>
      <c r="G68" s="53" t="n">
        <f aca="false">IF(OR(F68="",F68=0),"",D68/F68)</f>
        <v>0.731277533039648</v>
      </c>
      <c r="H68" s="53" t="n">
        <f aca="false">IF(OR(F68="",F68=0),"",E68/F68)</f>
        <v>0.268722466960352</v>
      </c>
      <c r="I68" s="25" t="s">
        <v>128</v>
      </c>
      <c r="J68" s="28" t="n">
        <v>3.42046080519466</v>
      </c>
      <c r="K68" s="28" t="n">
        <f aca="false">$K$8</f>
        <v>0.297030231526703</v>
      </c>
      <c r="L68" s="28" t="n">
        <f aca="false">SQRT(J68^2+K68^2)</f>
        <v>3.43333352273176</v>
      </c>
      <c r="M68" s="53" t="n">
        <f aca="false">IF(G68="","",MAX(0,G68-1.96*L68/100))</f>
        <v>0.663984195994105</v>
      </c>
      <c r="N68" s="53" t="n">
        <f aca="false">IF(G68="","",MIN(1,G68+1.96*L68/100))</f>
        <v>0.79857087008519</v>
      </c>
      <c r="O68" s="52" t="n">
        <f aca="false">ROUND(S68*W68,0)</f>
        <v>34</v>
      </c>
      <c r="P68" s="52" t="n">
        <f aca="false">IF(F68="","",ROUND(SQRT((F68*L68/100)^2+(G68*O68)^2),0))</f>
        <v>26</v>
      </c>
      <c r="R68" s="54" t="n">
        <v>22.3494289499572</v>
      </c>
      <c r="S68" s="55" t="n">
        <f aca="false">U68*V68*$F$5</f>
        <v>227.321723189734</v>
      </c>
      <c r="T68" s="56" t="n">
        <f aca="false">MAX(0,MIN(1,R68/100+$D$5))</f>
        <v>0.731549338466877</v>
      </c>
      <c r="U68" s="56" t="n">
        <v>0.212648945921173</v>
      </c>
      <c r="V68" s="55" t="n">
        <v>1069</v>
      </c>
      <c r="W68" s="56" t="n">
        <v>0.148097331980838</v>
      </c>
      <c r="X68" s="57" t="s">
        <v>129</v>
      </c>
      <c r="Y68" s="57" t="s">
        <v>130</v>
      </c>
    </row>
    <row r="69" customFormat="false" ht="15" hidden="false" customHeight="false" outlineLevel="0" collapsed="false">
      <c r="A69" s="25" t="s">
        <v>197</v>
      </c>
      <c r="B69" s="25" t="s">
        <v>199</v>
      </c>
      <c r="C69" s="25" t="s">
        <v>205</v>
      </c>
      <c r="D69" s="52" t="n">
        <f aca="false">ROUND(S69*T69,0)</f>
        <v>248</v>
      </c>
      <c r="E69" s="52" t="n">
        <f aca="false">ROUND(S69,0)-D69</f>
        <v>113</v>
      </c>
      <c r="F69" s="52" t="n">
        <f aca="false">IF(COUNTA(D69:E69)=0,"",SUM(D69:E69))</f>
        <v>361</v>
      </c>
      <c r="G69" s="53" t="n">
        <f aca="false">IF(OR(F69="",F69=0),"",D69/F69)</f>
        <v>0.686980609418283</v>
      </c>
      <c r="H69" s="53" t="n">
        <f aca="false">IF(OR(F69="",F69=0),"",E69/F69)</f>
        <v>0.313019390581717</v>
      </c>
      <c r="I69" s="25" t="s">
        <v>128</v>
      </c>
      <c r="J69" s="28" t="n">
        <v>3.42046080519466</v>
      </c>
      <c r="K69" s="28" t="n">
        <f aca="false">$K$8</f>
        <v>0.297030231526703</v>
      </c>
      <c r="L69" s="28" t="n">
        <f aca="false">SQRT(J69^2+K69^2)</f>
        <v>3.43333352273176</v>
      </c>
      <c r="M69" s="53" t="n">
        <f aca="false">IF(G69="","",MAX(0,G69-1.96*L69/100))</f>
        <v>0.61968727237274</v>
      </c>
      <c r="N69" s="53" t="n">
        <f aca="false">IF(G69="","",MIN(1,G69+1.96*L69/100))</f>
        <v>0.754273946463825</v>
      </c>
      <c r="O69" s="52" t="n">
        <f aca="false">ROUND(S69*W69,0)</f>
        <v>53</v>
      </c>
      <c r="P69" s="52" t="n">
        <f aca="false">IF(F69="","",ROUND(SQRT((F69*L69/100)^2+(G69*O69)^2),0))</f>
        <v>38</v>
      </c>
      <c r="R69" s="54" t="n">
        <v>18.0267769676174</v>
      </c>
      <c r="S69" s="55" t="n">
        <f aca="false">U69*V69*$F$5</f>
        <v>360.922448979592</v>
      </c>
      <c r="T69" s="56" t="n">
        <f aca="false">MAX(0,MIN(1,R69/100+$D$5))</f>
        <v>0.688322818643479</v>
      </c>
      <c r="U69" s="56" t="n">
        <v>0.36530612244898</v>
      </c>
      <c r="V69" s="55" t="n">
        <v>988.000000000001</v>
      </c>
      <c r="W69" s="56" t="n">
        <v>0.148097331980838</v>
      </c>
      <c r="X69" s="57" t="s">
        <v>129</v>
      </c>
      <c r="Y69" s="57" t="s">
        <v>130</v>
      </c>
    </row>
    <row r="70" customFormat="false" ht="15" hidden="false" customHeight="false" outlineLevel="0" collapsed="false">
      <c r="A70" s="25" t="s">
        <v>197</v>
      </c>
      <c r="B70" s="25" t="s">
        <v>199</v>
      </c>
      <c r="C70" s="25" t="s">
        <v>206</v>
      </c>
      <c r="D70" s="52" t="n">
        <f aca="false">ROUND(S70*T70,0)</f>
        <v>584</v>
      </c>
      <c r="E70" s="52" t="n">
        <f aca="false">ROUND(S70,0)-D70</f>
        <v>174</v>
      </c>
      <c r="F70" s="52" t="n">
        <f aca="false">IF(COUNTA(D70:E70)=0,"",SUM(D70:E70))</f>
        <v>758</v>
      </c>
      <c r="G70" s="53" t="n">
        <f aca="false">IF(OR(F70="",F70=0),"",D70/F70)</f>
        <v>0.770448548812665</v>
      </c>
      <c r="H70" s="53" t="n">
        <f aca="false">IF(OR(F70="",F70=0),"",E70/F70)</f>
        <v>0.229551451187335</v>
      </c>
      <c r="I70" s="25" t="s">
        <v>128</v>
      </c>
      <c r="J70" s="28" t="n">
        <v>2.11716121919269</v>
      </c>
      <c r="K70" s="28" t="n">
        <f aca="false">$K$8</f>
        <v>0.297030231526703</v>
      </c>
      <c r="L70" s="28" t="n">
        <f aca="false">SQRT(J70^2+K70^2)</f>
        <v>2.13789583153489</v>
      </c>
      <c r="M70" s="53" t="n">
        <f aca="false">IF(G70="","",MAX(0,G70-1.96*L70/100))</f>
        <v>0.728545790514581</v>
      </c>
      <c r="N70" s="53" t="n">
        <f aca="false">IF(G70="","",MIN(1,G70+1.96*L70/100))</f>
        <v>0.812351307110749</v>
      </c>
      <c r="O70" s="52" t="n">
        <f aca="false">ROUND(S70*W70,0)</f>
        <v>67</v>
      </c>
      <c r="P70" s="52" t="n">
        <f aca="false">IF(F70="","",ROUND(SQRT((F70*L70/100)^2+(G70*O70)^2),0))</f>
        <v>54</v>
      </c>
      <c r="R70" s="54" t="n">
        <v>26.2432732797119</v>
      </c>
      <c r="S70" s="55" t="n">
        <f aca="false">U70*V70*$F$5</f>
        <v>757.916666666666</v>
      </c>
      <c r="T70" s="56" t="n">
        <f aca="false">MAX(0,MIN(1,R70/100+$D$5))</f>
        <v>0.770487781764424</v>
      </c>
      <c r="U70" s="56" t="n">
        <v>0.307971014492754</v>
      </c>
      <c r="V70" s="55" t="n">
        <v>2461</v>
      </c>
      <c r="W70" s="56" t="n">
        <v>0.0887445098984521</v>
      </c>
      <c r="X70" s="57" t="s">
        <v>135</v>
      </c>
      <c r="Y70" s="57" t="s">
        <v>130</v>
      </c>
    </row>
    <row r="71" customFormat="false" ht="15" hidden="false" customHeight="false" outlineLevel="0" collapsed="false">
      <c r="A71" s="25" t="s">
        <v>197</v>
      </c>
      <c r="B71" s="25" t="s">
        <v>199</v>
      </c>
      <c r="C71" s="25" t="s">
        <v>207</v>
      </c>
      <c r="D71" s="52" t="n">
        <f aca="false">ROUND(S71*T71,0)</f>
        <v>268</v>
      </c>
      <c r="E71" s="52" t="n">
        <f aca="false">ROUND(S71,0)-D71</f>
        <v>143</v>
      </c>
      <c r="F71" s="52" t="n">
        <f aca="false">IF(COUNTA(D71:E71)=0,"",SUM(D71:E71))</f>
        <v>411</v>
      </c>
      <c r="G71" s="53" t="n">
        <f aca="false">IF(OR(F71="",F71=0),"",D71/F71)</f>
        <v>0.652068126520681</v>
      </c>
      <c r="H71" s="53" t="n">
        <f aca="false">IF(OR(F71="",F71=0),"",E71/F71)</f>
        <v>0.347931873479319</v>
      </c>
      <c r="I71" s="25" t="s">
        <v>128</v>
      </c>
      <c r="J71" s="28" t="n">
        <v>3.42046080519466</v>
      </c>
      <c r="K71" s="28" t="n">
        <f aca="false">$K$8</f>
        <v>0.297030231526703</v>
      </c>
      <c r="L71" s="28" t="n">
        <f aca="false">SQRT(J71^2+K71^2)</f>
        <v>3.43333352273176</v>
      </c>
      <c r="M71" s="53" t="n">
        <f aca="false">IF(G71="","",MAX(0,G71-1.96*L71/100))</f>
        <v>0.584774789475139</v>
      </c>
      <c r="N71" s="53" t="n">
        <f aca="false">IF(G71="","",MIN(1,G71+1.96*L71/100))</f>
        <v>0.719361463566224</v>
      </c>
      <c r="O71" s="52" t="n">
        <f aca="false">ROUND(S71*W71,0)</f>
        <v>61</v>
      </c>
      <c r="P71" s="52" t="n">
        <f aca="false">IF(F71="","",ROUND(SQRT((F71*L71/100)^2+(G71*O71)^2),0))</f>
        <v>42</v>
      </c>
      <c r="R71" s="54" t="n">
        <v>14.3605329067062</v>
      </c>
      <c r="S71" s="55" t="n">
        <f aca="false">U71*V71*$F$5</f>
        <v>411.119158878505</v>
      </c>
      <c r="T71" s="56" t="n">
        <f aca="false">MAX(0,MIN(1,R71/100+$D$5))</f>
        <v>0.651660378034367</v>
      </c>
      <c r="U71" s="56" t="n">
        <v>0.466121495327103</v>
      </c>
      <c r="V71" s="55" t="n">
        <v>882</v>
      </c>
      <c r="W71" s="56" t="n">
        <v>0.148097331980838</v>
      </c>
      <c r="X71" s="57" t="s">
        <v>129</v>
      </c>
      <c r="Y71" s="57" t="s">
        <v>130</v>
      </c>
    </row>
    <row r="72" customFormat="false" ht="15" hidden="false" customHeight="false" outlineLevel="0" collapsed="false">
      <c r="A72" s="25" t="s">
        <v>197</v>
      </c>
      <c r="B72" s="25" t="s">
        <v>199</v>
      </c>
      <c r="C72" s="25" t="s">
        <v>208</v>
      </c>
      <c r="D72" s="52" t="n">
        <f aca="false">ROUND(S72*T72,0)</f>
        <v>412</v>
      </c>
      <c r="E72" s="52" t="n">
        <f aca="false">ROUND(S72,0)-D72</f>
        <v>258</v>
      </c>
      <c r="F72" s="52" t="n">
        <f aca="false">IF(COUNTA(D72:E72)=0,"",SUM(D72:E72))</f>
        <v>670</v>
      </c>
      <c r="G72" s="53" t="n">
        <f aca="false">IF(OR(F72="",F72=0),"",D72/F72)</f>
        <v>0.614925373134328</v>
      </c>
      <c r="H72" s="53" t="n">
        <f aca="false">IF(OR(F72="",F72=0),"",E72/F72)</f>
        <v>0.385074626865672</v>
      </c>
      <c r="I72" s="25" t="s">
        <v>128</v>
      </c>
      <c r="J72" s="28" t="n">
        <v>2.11716121919269</v>
      </c>
      <c r="K72" s="28" t="n">
        <f aca="false">$K$8</f>
        <v>0.297030231526703</v>
      </c>
      <c r="L72" s="28" t="n">
        <f aca="false">SQRT(J72^2+K72^2)</f>
        <v>2.13789583153489</v>
      </c>
      <c r="M72" s="53" t="n">
        <f aca="false">IF(G72="","",MAX(0,G72-1.96*L72/100))</f>
        <v>0.573022614836245</v>
      </c>
      <c r="N72" s="53" t="n">
        <f aca="false">IF(G72="","",MIN(1,G72+1.96*L72/100))</f>
        <v>0.656828131432412</v>
      </c>
      <c r="O72" s="52" t="n">
        <f aca="false">ROUND(S72*W72,0)</f>
        <v>59</v>
      </c>
      <c r="P72" s="52" t="n">
        <f aca="false">IF(F72="","",ROUND(SQRT((F72*L72/100)^2+(G72*O72)^2),0))</f>
        <v>39</v>
      </c>
      <c r="R72" s="54" t="n">
        <v>10.6855110905417</v>
      </c>
      <c r="S72" s="55" t="n">
        <f aca="false">U72*V72*$F$5</f>
        <v>669.509193776521</v>
      </c>
      <c r="T72" s="56" t="n">
        <f aca="false">MAX(0,MIN(1,R72/100+$D$5))</f>
        <v>0.614910159872722</v>
      </c>
      <c r="U72" s="56" t="n">
        <v>0.487270155586988</v>
      </c>
      <c r="V72" s="55" t="n">
        <v>1374</v>
      </c>
      <c r="W72" s="56" t="n">
        <v>0.0887445098984521</v>
      </c>
      <c r="X72" s="57" t="s">
        <v>135</v>
      </c>
      <c r="Y72" s="57" t="s">
        <v>130</v>
      </c>
    </row>
    <row r="73" customFormat="false" ht="15" hidden="false" customHeight="false" outlineLevel="0" collapsed="false">
      <c r="A73" s="25" t="s">
        <v>197</v>
      </c>
      <c r="B73" s="25" t="s">
        <v>199</v>
      </c>
      <c r="C73" s="25" t="s">
        <v>209</v>
      </c>
      <c r="D73" s="52" t="n">
        <f aca="false">ROUND(S73*T73,0)</f>
        <v>348</v>
      </c>
      <c r="E73" s="52" t="n">
        <f aca="false">ROUND(S73,0)-D73</f>
        <v>201</v>
      </c>
      <c r="F73" s="52" t="n">
        <f aca="false">IF(COUNTA(D73:E73)=0,"",SUM(D73:E73))</f>
        <v>549</v>
      </c>
      <c r="G73" s="53" t="n">
        <f aca="false">IF(OR(F73="",F73=0),"",D73/F73)</f>
        <v>0.633879781420765</v>
      </c>
      <c r="H73" s="53" t="n">
        <f aca="false">IF(OR(F73="",F73=0),"",E73/F73)</f>
        <v>0.366120218579235</v>
      </c>
      <c r="I73" s="25" t="s">
        <v>128</v>
      </c>
      <c r="J73" s="28" t="n">
        <v>3.42046080519466</v>
      </c>
      <c r="K73" s="28" t="n">
        <f aca="false">$K$8</f>
        <v>0.297030231526703</v>
      </c>
      <c r="L73" s="28" t="n">
        <f aca="false">SQRT(J73^2+K73^2)</f>
        <v>3.43333352273176</v>
      </c>
      <c r="M73" s="53" t="n">
        <f aca="false">IF(G73="","",MAX(0,G73-1.96*L73/100))</f>
        <v>0.566586444375223</v>
      </c>
      <c r="N73" s="53" t="n">
        <f aca="false">IF(G73="","",MIN(1,G73+1.96*L73/100))</f>
        <v>0.701173118466308</v>
      </c>
      <c r="O73" s="52" t="n">
        <f aca="false">ROUND(S73*W73,0)</f>
        <v>81</v>
      </c>
      <c r="P73" s="52" t="n">
        <f aca="false">IF(F73="","",ROUND(SQRT((F73*L73/100)^2+(G73*O73)^2),0))</f>
        <v>55</v>
      </c>
      <c r="R73" s="54" t="n">
        <v>12.6167519762172</v>
      </c>
      <c r="S73" s="55" t="n">
        <f aca="false">U73*V73*$F$5</f>
        <v>549.287257019439</v>
      </c>
      <c r="T73" s="56" t="n">
        <f aca="false">MAX(0,MIN(1,R73/100+$D$5))</f>
        <v>0.634222568729477</v>
      </c>
      <c r="U73" s="56" t="n">
        <v>0.587473002159827</v>
      </c>
      <c r="V73" s="55" t="n">
        <v>935</v>
      </c>
      <c r="W73" s="56" t="n">
        <v>0.148097331980838</v>
      </c>
      <c r="X73" s="57" t="s">
        <v>129</v>
      </c>
      <c r="Y73" s="57" t="s">
        <v>130</v>
      </c>
    </row>
    <row r="74" customFormat="false" ht="15" hidden="false" customHeight="false" outlineLevel="0" collapsed="false">
      <c r="A74" s="25" t="s">
        <v>197</v>
      </c>
      <c r="B74" s="25" t="s">
        <v>199</v>
      </c>
      <c r="C74" s="25" t="s">
        <v>210</v>
      </c>
      <c r="D74" s="52" t="n">
        <f aca="false">ROUND(S74*T74,0)</f>
        <v>254</v>
      </c>
      <c r="E74" s="52" t="n">
        <f aca="false">ROUND(S74,0)-D74</f>
        <v>124</v>
      </c>
      <c r="F74" s="52" t="n">
        <f aca="false">IF(COUNTA(D74:E74)=0,"",SUM(D74:E74))</f>
        <v>378</v>
      </c>
      <c r="G74" s="53" t="n">
        <f aca="false">IF(OR(F74="",F74=0),"",D74/F74)</f>
        <v>0.671957671957672</v>
      </c>
      <c r="H74" s="53" t="n">
        <f aca="false">IF(OR(F74="",F74=0),"",E74/F74)</f>
        <v>0.328042328042328</v>
      </c>
      <c r="I74" s="25" t="s">
        <v>128</v>
      </c>
      <c r="J74" s="28" t="n">
        <v>3.42046080519466</v>
      </c>
      <c r="K74" s="28" t="n">
        <f aca="false">$K$8</f>
        <v>0.297030231526703</v>
      </c>
      <c r="L74" s="28" t="n">
        <f aca="false">SQRT(J74^2+K74^2)</f>
        <v>3.43333352273176</v>
      </c>
      <c r="M74" s="53" t="n">
        <f aca="false">IF(G74="","",MAX(0,G74-1.96*L74/100))</f>
        <v>0.60466433491213</v>
      </c>
      <c r="N74" s="53" t="n">
        <f aca="false">IF(G74="","",MIN(1,G74+1.96*L74/100))</f>
        <v>0.739251009003215</v>
      </c>
      <c r="O74" s="52" t="n">
        <f aca="false">ROUND(S74*W74,0)</f>
        <v>56</v>
      </c>
      <c r="P74" s="52" t="n">
        <f aca="false">IF(F74="","",ROUND(SQRT((F74*L74/100)^2+(G74*O74)^2),0))</f>
        <v>40</v>
      </c>
      <c r="R74" s="54" t="n">
        <v>16.2075091485005</v>
      </c>
      <c r="S74" s="55" t="n">
        <f aca="false">U74*V74*$F$5</f>
        <v>378.339066339066</v>
      </c>
      <c r="T74" s="56" t="n">
        <f aca="false">MAX(0,MIN(1,R74/100+$D$5))</f>
        <v>0.67013014045231</v>
      </c>
      <c r="U74" s="56" t="n">
        <v>0.314496314496315</v>
      </c>
      <c r="V74" s="55" t="n">
        <v>1203</v>
      </c>
      <c r="W74" s="56" t="n">
        <v>0.148097331980838</v>
      </c>
      <c r="X74" s="57" t="s">
        <v>129</v>
      </c>
      <c r="Y74" s="57" t="s">
        <v>130</v>
      </c>
    </row>
    <row r="75" customFormat="false" ht="15" hidden="false" customHeight="false" outlineLevel="0" collapsed="false">
      <c r="A75" s="25" t="s">
        <v>197</v>
      </c>
      <c r="B75" s="25" t="s">
        <v>199</v>
      </c>
      <c r="C75" s="25" t="s">
        <v>211</v>
      </c>
      <c r="D75" s="52" t="n">
        <f aca="false">ROUND(S75*T75,0)</f>
        <v>308</v>
      </c>
      <c r="E75" s="52" t="n">
        <f aca="false">ROUND(S75,0)-D75</f>
        <v>177</v>
      </c>
      <c r="F75" s="52" t="n">
        <f aca="false">IF(COUNTA(D75:E75)=0,"",SUM(D75:E75))</f>
        <v>485</v>
      </c>
      <c r="G75" s="53" t="n">
        <f aca="false">IF(OR(F75="",F75=0),"",D75/F75)</f>
        <v>0.635051546391753</v>
      </c>
      <c r="H75" s="53" t="n">
        <f aca="false">IF(OR(F75="",F75=0),"",E75/F75)</f>
        <v>0.364948453608247</v>
      </c>
      <c r="I75" s="25" t="s">
        <v>128</v>
      </c>
      <c r="J75" s="28" t="n">
        <v>3.42046080519466</v>
      </c>
      <c r="K75" s="28" t="n">
        <f aca="false">$K$8</f>
        <v>0.297030231526703</v>
      </c>
      <c r="L75" s="28" t="n">
        <f aca="false">SQRT(J75^2+K75^2)</f>
        <v>3.43333352273176</v>
      </c>
      <c r="M75" s="53" t="n">
        <f aca="false">IF(G75="","",MAX(0,G75-1.96*L75/100))</f>
        <v>0.56775820934621</v>
      </c>
      <c r="N75" s="53" t="n">
        <f aca="false">IF(G75="","",MIN(1,G75+1.96*L75/100))</f>
        <v>0.702344883437295</v>
      </c>
      <c r="O75" s="52" t="n">
        <f aca="false">ROUND(S75*W75,0)</f>
        <v>72</v>
      </c>
      <c r="P75" s="52" t="n">
        <f aca="false">IF(F75="","",ROUND(SQRT((F75*L75/100)^2+(G75*O75)^2),0))</f>
        <v>49</v>
      </c>
      <c r="R75" s="54" t="n">
        <v>12.7914568604411</v>
      </c>
      <c r="S75" s="55" t="n">
        <f aca="false">U75*V75*$F$5</f>
        <v>484.695302013423</v>
      </c>
      <c r="T75" s="56" t="n">
        <f aca="false">MAX(0,MIN(1,R75/100+$D$5))</f>
        <v>0.635969617571716</v>
      </c>
      <c r="U75" s="56" t="n">
        <v>0.326174496644295</v>
      </c>
      <c r="V75" s="55" t="n">
        <v>1486</v>
      </c>
      <c r="W75" s="56" t="n">
        <v>0.148097331980838</v>
      </c>
      <c r="X75" s="57" t="s">
        <v>129</v>
      </c>
      <c r="Y75" s="57" t="s">
        <v>130</v>
      </c>
    </row>
    <row r="76" customFormat="false" ht="15" hidden="false" customHeight="false" outlineLevel="0" collapsed="false">
      <c r="A76" s="25" t="s">
        <v>197</v>
      </c>
      <c r="B76" s="25" t="s">
        <v>199</v>
      </c>
      <c r="C76" s="25" t="s">
        <v>212</v>
      </c>
      <c r="D76" s="52" t="n">
        <f aca="false">ROUND(S76*T76,0)</f>
        <v>363</v>
      </c>
      <c r="E76" s="52" t="n">
        <f aca="false">ROUND(S76,0)-D76</f>
        <v>211</v>
      </c>
      <c r="F76" s="52" t="n">
        <f aca="false">IF(COUNTA(D76:E76)=0,"",SUM(D76:E76))</f>
        <v>574</v>
      </c>
      <c r="G76" s="53" t="n">
        <f aca="false">IF(OR(F76="",F76=0),"",D76/F76)</f>
        <v>0.632404181184669</v>
      </c>
      <c r="H76" s="53" t="n">
        <f aca="false">IF(OR(F76="",F76=0),"",E76/F76)</f>
        <v>0.367595818815331</v>
      </c>
      <c r="I76" s="25" t="s">
        <v>128</v>
      </c>
      <c r="J76" s="28" t="n">
        <v>2.11716121919269</v>
      </c>
      <c r="K76" s="28" t="n">
        <f aca="false">$K$8</f>
        <v>0.297030231526703</v>
      </c>
      <c r="L76" s="28" t="n">
        <f aca="false">SQRT(J76^2+K76^2)</f>
        <v>2.13789583153489</v>
      </c>
      <c r="M76" s="53" t="n">
        <f aca="false">IF(G76="","",MAX(0,G76-1.96*L76/100))</f>
        <v>0.590501422886585</v>
      </c>
      <c r="N76" s="53" t="n">
        <f aca="false">IF(G76="","",MIN(1,G76+1.96*L76/100))</f>
        <v>0.674306939482753</v>
      </c>
      <c r="O76" s="52" t="n">
        <f aca="false">ROUND(S76*W76,0)</f>
        <v>51</v>
      </c>
      <c r="P76" s="52" t="n">
        <f aca="false">IF(F76="","",ROUND(SQRT((F76*L76/100)^2+(G76*O76)^2),0))</f>
        <v>35</v>
      </c>
      <c r="R76" s="54" t="n">
        <v>12.4217517506128</v>
      </c>
      <c r="S76" s="55" t="n">
        <f aca="false">U76*V76*$F$5</f>
        <v>574.422997946612</v>
      </c>
      <c r="T76" s="56" t="n">
        <f aca="false">MAX(0,MIN(1,R76/100+$D$5))</f>
        <v>0.632272566473433</v>
      </c>
      <c r="U76" s="56" t="n">
        <v>0.509240246406571</v>
      </c>
      <c r="V76" s="55" t="n">
        <v>1128</v>
      </c>
      <c r="W76" s="56" t="n">
        <v>0.0887445098984521</v>
      </c>
      <c r="X76" s="57" t="s">
        <v>135</v>
      </c>
      <c r="Y76" s="57" t="s">
        <v>130</v>
      </c>
    </row>
    <row r="77" customFormat="false" ht="15" hidden="false" customHeight="false" outlineLevel="0" collapsed="false">
      <c r="A77" s="25" t="s">
        <v>197</v>
      </c>
      <c r="B77" s="25" t="s">
        <v>199</v>
      </c>
      <c r="C77" s="25" t="s">
        <v>213</v>
      </c>
      <c r="D77" s="52" t="n">
        <f aca="false">ROUND(S77*T77,0)</f>
        <v>330</v>
      </c>
      <c r="E77" s="52" t="n">
        <f aca="false">ROUND(S77,0)-D77</f>
        <v>249</v>
      </c>
      <c r="F77" s="52" t="n">
        <f aca="false">IF(COUNTA(D77:E77)=0,"",SUM(D77:E77))</f>
        <v>579</v>
      </c>
      <c r="G77" s="53" t="n">
        <f aca="false">IF(OR(F77="",F77=0),"",D77/F77)</f>
        <v>0.569948186528497</v>
      </c>
      <c r="H77" s="53" t="n">
        <f aca="false">IF(OR(F77="",F77=0),"",E77/F77)</f>
        <v>0.430051813471503</v>
      </c>
      <c r="I77" s="25" t="s">
        <v>128</v>
      </c>
      <c r="J77" s="28" t="n">
        <v>2.11716121919269</v>
      </c>
      <c r="K77" s="28" t="n">
        <f aca="false">$K$8</f>
        <v>0.297030231526703</v>
      </c>
      <c r="L77" s="28" t="n">
        <f aca="false">SQRT(J77^2+K77^2)</f>
        <v>2.13789583153489</v>
      </c>
      <c r="M77" s="53" t="n">
        <f aca="false">IF(G77="","",MAX(0,G77-1.96*L77/100))</f>
        <v>0.528045428230414</v>
      </c>
      <c r="N77" s="53" t="n">
        <f aca="false">IF(G77="","",MIN(1,G77+1.96*L77/100))</f>
        <v>0.611850944826581</v>
      </c>
      <c r="O77" s="52" t="n">
        <f aca="false">ROUND(S77*W77,0)</f>
        <v>51</v>
      </c>
      <c r="P77" s="52" t="n">
        <f aca="false">IF(F77="","",ROUND(SQRT((F77*L77/100)^2+(G77*O77)^2),0))</f>
        <v>32</v>
      </c>
      <c r="R77" s="54" t="n">
        <v>6.14837604734983</v>
      </c>
      <c r="S77" s="55" t="n">
        <f aca="false">U77*V77*$F$5</f>
        <v>579.434468524251</v>
      </c>
      <c r="T77" s="56" t="n">
        <f aca="false">MAX(0,MIN(1,R77/100+$D$5))</f>
        <v>0.569538809440803</v>
      </c>
      <c r="U77" s="56" t="n">
        <v>0.584107327141383</v>
      </c>
      <c r="V77" s="55" t="n">
        <v>992</v>
      </c>
      <c r="W77" s="56" t="n">
        <v>0.0887445098984521</v>
      </c>
      <c r="X77" s="57" t="s">
        <v>135</v>
      </c>
      <c r="Y77" s="57" t="s">
        <v>130</v>
      </c>
    </row>
    <row r="78" customFormat="false" ht="15" hidden="false" customHeight="false" outlineLevel="0" collapsed="false">
      <c r="A78" s="25" t="s">
        <v>197</v>
      </c>
      <c r="B78" s="25" t="s">
        <v>199</v>
      </c>
      <c r="C78" s="25" t="s">
        <v>214</v>
      </c>
      <c r="D78" s="52" t="n">
        <f aca="false">ROUND(S78*T78,0)</f>
        <v>265</v>
      </c>
      <c r="E78" s="52" t="n">
        <f aca="false">ROUND(S78,0)-D78</f>
        <v>167</v>
      </c>
      <c r="F78" s="52" t="n">
        <f aca="false">IF(COUNTA(D78:E78)=0,"",SUM(D78:E78))</f>
        <v>432</v>
      </c>
      <c r="G78" s="53" t="n">
        <f aca="false">IF(OR(F78="",F78=0),"",D78/F78)</f>
        <v>0.613425925925926</v>
      </c>
      <c r="H78" s="53" t="n">
        <f aca="false">IF(OR(F78="",F78=0),"",E78/F78)</f>
        <v>0.386574074074074</v>
      </c>
      <c r="I78" s="25" t="s">
        <v>128</v>
      </c>
      <c r="J78" s="28" t="n">
        <v>3.42046080519466</v>
      </c>
      <c r="K78" s="28" t="n">
        <f aca="false">$K$8</f>
        <v>0.297030231526703</v>
      </c>
      <c r="L78" s="28" t="n">
        <f aca="false">SQRT(J78^2+K78^2)</f>
        <v>3.43333352273176</v>
      </c>
      <c r="M78" s="53" t="n">
        <f aca="false">IF(G78="","",MAX(0,G78-1.96*L78/100))</f>
        <v>0.546132588880383</v>
      </c>
      <c r="N78" s="53" t="n">
        <f aca="false">IF(G78="","",MIN(1,G78+1.96*L78/100))</f>
        <v>0.680719262971469</v>
      </c>
      <c r="O78" s="52" t="n">
        <f aca="false">ROUND(S78*W78,0)</f>
        <v>64</v>
      </c>
      <c r="P78" s="52" t="n">
        <f aca="false">IF(F78="","",ROUND(SQRT((F78*L78/100)^2+(G78*O78)^2),0))</f>
        <v>42</v>
      </c>
      <c r="R78" s="54" t="n">
        <v>10.6635796531171</v>
      </c>
      <c r="S78" s="55" t="n">
        <f aca="false">U78*V78*$F$5</f>
        <v>431.913793103448</v>
      </c>
      <c r="T78" s="56" t="n">
        <f aca="false">MAX(0,MIN(1,R78/100+$D$5))</f>
        <v>0.614690845498475</v>
      </c>
      <c r="U78" s="56" t="n">
        <v>0.353448275862069</v>
      </c>
      <c r="V78" s="55" t="n">
        <v>1222</v>
      </c>
      <c r="W78" s="56" t="n">
        <v>0.148097331980838</v>
      </c>
      <c r="X78" s="57" t="s">
        <v>129</v>
      </c>
      <c r="Y78" s="57" t="s">
        <v>130</v>
      </c>
    </row>
    <row r="79" customFormat="false" ht="15" hidden="false" customHeight="false" outlineLevel="0" collapsed="false">
      <c r="A79" s="25" t="s">
        <v>197</v>
      </c>
      <c r="B79" s="25" t="s">
        <v>199</v>
      </c>
      <c r="C79" s="25" t="s">
        <v>215</v>
      </c>
      <c r="D79" s="52" t="n">
        <f aca="false">ROUND(S79*T79,0)</f>
        <v>253</v>
      </c>
      <c r="E79" s="52" t="n">
        <f aca="false">ROUND(S79,0)-D79</f>
        <v>111</v>
      </c>
      <c r="F79" s="52" t="n">
        <f aca="false">IF(COUNTA(D79:E79)=0,"",SUM(D79:E79))</f>
        <v>364</v>
      </c>
      <c r="G79" s="53" t="n">
        <f aca="false">IF(OR(F79="",F79=0),"",D79/F79)</f>
        <v>0.695054945054945</v>
      </c>
      <c r="H79" s="53" t="n">
        <f aca="false">IF(OR(F79="",F79=0),"",E79/F79)</f>
        <v>0.304945054945055</v>
      </c>
      <c r="I79" s="25" t="s">
        <v>128</v>
      </c>
      <c r="J79" s="28" t="n">
        <v>3.42046080519466</v>
      </c>
      <c r="K79" s="28" t="n">
        <f aca="false">$K$8</f>
        <v>0.297030231526703</v>
      </c>
      <c r="L79" s="28" t="n">
        <f aca="false">SQRT(J79^2+K79^2)</f>
        <v>3.43333352273176</v>
      </c>
      <c r="M79" s="53" t="n">
        <f aca="false">IF(G79="","",MAX(0,G79-1.96*L79/100))</f>
        <v>0.627761608009403</v>
      </c>
      <c r="N79" s="53" t="n">
        <f aca="false">IF(G79="","",MIN(1,G79+1.96*L79/100))</f>
        <v>0.762348282100488</v>
      </c>
      <c r="O79" s="52" t="n">
        <f aca="false">ROUND(S79*W79,0)</f>
        <v>54</v>
      </c>
      <c r="P79" s="52" t="n">
        <f aca="false">IF(F79="","",ROUND(SQRT((F79*L79/100)^2+(G79*O79)^2),0))</f>
        <v>40</v>
      </c>
      <c r="R79" s="54" t="n">
        <v>18.6154143851908</v>
      </c>
      <c r="S79" s="55" t="n">
        <f aca="false">U79*V79*$F$5</f>
        <v>363.966015293118</v>
      </c>
      <c r="T79" s="56" t="n">
        <f aca="false">MAX(0,MIN(1,R79/100+$D$5))</f>
        <v>0.694209192819213</v>
      </c>
      <c r="U79" s="56" t="n">
        <v>0.295666949872557</v>
      </c>
      <c r="V79" s="55" t="n">
        <v>1231</v>
      </c>
      <c r="W79" s="56" t="n">
        <v>0.148097331980838</v>
      </c>
      <c r="X79" s="57" t="s">
        <v>129</v>
      </c>
      <c r="Y79" s="57" t="s">
        <v>130</v>
      </c>
    </row>
    <row r="80" customFormat="false" ht="15" hidden="false" customHeight="false" outlineLevel="0" collapsed="false">
      <c r="A80" s="25" t="s">
        <v>197</v>
      </c>
      <c r="B80" s="25" t="s">
        <v>199</v>
      </c>
      <c r="C80" s="25" t="s">
        <v>216</v>
      </c>
      <c r="D80" s="52" t="n">
        <f aca="false">ROUND(S80*T80,0)</f>
        <v>197</v>
      </c>
      <c r="E80" s="52" t="n">
        <f aca="false">ROUND(S80,0)-D80</f>
        <v>107</v>
      </c>
      <c r="F80" s="52" t="n">
        <f aca="false">IF(COUNTA(D80:E80)=0,"",SUM(D80:E80))</f>
        <v>304</v>
      </c>
      <c r="G80" s="53" t="n">
        <f aca="false">IF(OR(F80="",F80=0),"",D80/F80)</f>
        <v>0.648026315789474</v>
      </c>
      <c r="H80" s="53" t="n">
        <f aca="false">IF(OR(F80="",F80=0),"",E80/F80)</f>
        <v>0.351973684210526</v>
      </c>
      <c r="I80" s="25" t="s">
        <v>128</v>
      </c>
      <c r="J80" s="28" t="n">
        <v>3.42046080519466</v>
      </c>
      <c r="K80" s="28" t="n">
        <f aca="false">$K$8</f>
        <v>0.297030231526703</v>
      </c>
      <c r="L80" s="28" t="n">
        <f aca="false">SQRT(J80^2+K80^2)</f>
        <v>3.43333352273176</v>
      </c>
      <c r="M80" s="53" t="n">
        <f aca="false">IF(G80="","",MAX(0,G80-1.96*L80/100))</f>
        <v>0.580732978743931</v>
      </c>
      <c r="N80" s="53" t="n">
        <f aca="false">IF(G80="","",MIN(1,G80+1.96*L80/100))</f>
        <v>0.715319652835016</v>
      </c>
      <c r="O80" s="52" t="n">
        <f aca="false">ROUND(S80*W80,0)</f>
        <v>45</v>
      </c>
      <c r="P80" s="52" t="n">
        <f aca="false">IF(F80="","",ROUND(SQRT((F80*L80/100)^2+(G80*O80)^2),0))</f>
        <v>31</v>
      </c>
      <c r="R80" s="54" t="n">
        <v>13.9264834874269</v>
      </c>
      <c r="S80" s="55" t="n">
        <f aca="false">U80*V80*$F$5</f>
        <v>303.644444444444</v>
      </c>
      <c r="T80" s="56" t="n">
        <f aca="false">MAX(0,MIN(1,R80/100+$D$5))</f>
        <v>0.647319883841574</v>
      </c>
      <c r="U80" s="56" t="n">
        <v>0.311111111111111</v>
      </c>
      <c r="V80" s="55" t="n">
        <v>976</v>
      </c>
      <c r="W80" s="56" t="n">
        <v>0.148097331980838</v>
      </c>
      <c r="X80" s="57" t="s">
        <v>129</v>
      </c>
      <c r="Y80" s="57" t="s">
        <v>130</v>
      </c>
    </row>
    <row r="81" customFormat="false" ht="15" hidden="false" customHeight="false" outlineLevel="0" collapsed="false">
      <c r="A81" s="25" t="s">
        <v>197</v>
      </c>
      <c r="B81" s="25" t="s">
        <v>199</v>
      </c>
      <c r="C81" s="25" t="s">
        <v>217</v>
      </c>
      <c r="D81" s="52" t="n">
        <f aca="false">ROUND(S81*T81,0)</f>
        <v>257</v>
      </c>
      <c r="E81" s="52" t="n">
        <f aca="false">ROUND(S81,0)-D81</f>
        <v>138</v>
      </c>
      <c r="F81" s="52" t="n">
        <f aca="false">IF(COUNTA(D81:E81)=0,"",SUM(D81:E81))</f>
        <v>395</v>
      </c>
      <c r="G81" s="53" t="n">
        <f aca="false">IF(OR(F81="",F81=0),"",D81/F81)</f>
        <v>0.650632911392405</v>
      </c>
      <c r="H81" s="53" t="n">
        <f aca="false">IF(OR(F81="",F81=0),"",E81/F81)</f>
        <v>0.349367088607595</v>
      </c>
      <c r="I81" s="25" t="s">
        <v>128</v>
      </c>
      <c r="J81" s="28" t="n">
        <v>3.42046080519466</v>
      </c>
      <c r="K81" s="28" t="n">
        <f aca="false">$K$8</f>
        <v>0.297030231526703</v>
      </c>
      <c r="L81" s="28" t="n">
        <f aca="false">SQRT(J81^2+K81^2)</f>
        <v>3.43333352273176</v>
      </c>
      <c r="M81" s="53" t="n">
        <f aca="false">IF(G81="","",MAX(0,G81-1.96*L81/100))</f>
        <v>0.583339574346863</v>
      </c>
      <c r="N81" s="53" t="n">
        <f aca="false">IF(G81="","",MIN(1,G81+1.96*L81/100))</f>
        <v>0.717926248437948</v>
      </c>
      <c r="O81" s="52" t="n">
        <f aca="false">ROUND(S81*W81,0)</f>
        <v>59</v>
      </c>
      <c r="P81" s="52" t="n">
        <f aca="false">IF(F81="","",ROUND(SQRT((F81*L81/100)^2+(G81*O81)^2),0))</f>
        <v>41</v>
      </c>
      <c r="R81" s="54" t="n">
        <v>14.0798555429454</v>
      </c>
      <c r="S81" s="55" t="n">
        <f aca="false">U81*V81*$F$5</f>
        <v>395.313313313313</v>
      </c>
      <c r="T81" s="56" t="n">
        <f aca="false">MAX(0,MIN(1,R81/100+$D$5))</f>
        <v>0.648853604396758</v>
      </c>
      <c r="U81" s="56" t="n">
        <v>0.379379379379379</v>
      </c>
      <c r="V81" s="55" t="n">
        <v>1042</v>
      </c>
      <c r="W81" s="56" t="n">
        <v>0.148097331980838</v>
      </c>
      <c r="X81" s="57" t="s">
        <v>129</v>
      </c>
      <c r="Y81" s="57" t="s">
        <v>130</v>
      </c>
    </row>
    <row r="82" customFormat="false" ht="15" hidden="false" customHeight="false" outlineLevel="0" collapsed="false">
      <c r="A82" s="25" t="s">
        <v>197</v>
      </c>
      <c r="B82" s="25" t="s">
        <v>199</v>
      </c>
      <c r="C82" s="25" t="s">
        <v>218</v>
      </c>
      <c r="D82" s="52" t="n">
        <f aca="false">ROUND(S82*T82,0)</f>
        <v>202</v>
      </c>
      <c r="E82" s="52" t="n">
        <f aca="false">ROUND(S82,0)-D82</f>
        <v>99</v>
      </c>
      <c r="F82" s="52" t="n">
        <f aca="false">IF(COUNTA(D82:E82)=0,"",SUM(D82:E82))</f>
        <v>301</v>
      </c>
      <c r="G82" s="53" t="n">
        <f aca="false">IF(OR(F82="",F82=0),"",D82/F82)</f>
        <v>0.67109634551495</v>
      </c>
      <c r="H82" s="53" t="n">
        <f aca="false">IF(OR(F82="",F82=0),"",E82/F82)</f>
        <v>0.32890365448505</v>
      </c>
      <c r="I82" s="25" t="s">
        <v>128</v>
      </c>
      <c r="J82" s="28" t="n">
        <v>3.42046080519466</v>
      </c>
      <c r="K82" s="28" t="n">
        <f aca="false">$K$8</f>
        <v>0.297030231526703</v>
      </c>
      <c r="L82" s="28" t="n">
        <f aca="false">SQRT(J82^2+K82^2)</f>
        <v>3.43333352273176</v>
      </c>
      <c r="M82" s="53" t="n">
        <f aca="false">IF(G82="","",MAX(0,G82-1.96*L82/100))</f>
        <v>0.603803008469408</v>
      </c>
      <c r="N82" s="53" t="n">
        <f aca="false">IF(G82="","",MIN(1,G82+1.96*L82/100))</f>
        <v>0.738389682560493</v>
      </c>
      <c r="O82" s="52" t="n">
        <f aca="false">ROUND(S82*W82,0)</f>
        <v>45</v>
      </c>
      <c r="P82" s="52" t="n">
        <f aca="false">IF(F82="","",ROUND(SQRT((F82*L82/100)^2+(G82*O82)^2),0))</f>
        <v>32</v>
      </c>
      <c r="R82" s="54" t="n">
        <v>16.4079565426281</v>
      </c>
      <c r="S82" s="55" t="n">
        <f aca="false">U82*V82*$F$5</f>
        <v>300.567123287671</v>
      </c>
      <c r="T82" s="56" t="n">
        <f aca="false">MAX(0,MIN(1,R82/100+$D$5))</f>
        <v>0.672134614393586</v>
      </c>
      <c r="U82" s="56" t="n">
        <v>0.398630136986301</v>
      </c>
      <c r="V82" s="55" t="n">
        <v>754</v>
      </c>
      <c r="W82" s="56" t="n">
        <v>0.148097331980838</v>
      </c>
      <c r="X82" s="57" t="s">
        <v>129</v>
      </c>
      <c r="Y82" s="57" t="s">
        <v>130</v>
      </c>
    </row>
    <row r="83" customFormat="false" ht="15" hidden="false" customHeight="false" outlineLevel="0" collapsed="false">
      <c r="A83" s="25" t="s">
        <v>197</v>
      </c>
      <c r="B83" s="25" t="s">
        <v>199</v>
      </c>
      <c r="C83" s="25" t="s">
        <v>219</v>
      </c>
      <c r="D83" s="52" t="n">
        <f aca="false">ROUND(S83*T83,0)</f>
        <v>374</v>
      </c>
      <c r="E83" s="52" t="n">
        <f aca="false">ROUND(S83,0)-D83</f>
        <v>212</v>
      </c>
      <c r="F83" s="52" t="n">
        <f aca="false">IF(COUNTA(D83:E83)=0,"",SUM(D83:E83))</f>
        <v>586</v>
      </c>
      <c r="G83" s="53" t="n">
        <f aca="false">IF(OR(F83="",F83=0),"",D83/F83)</f>
        <v>0.638225255972696</v>
      </c>
      <c r="H83" s="53" t="n">
        <f aca="false">IF(OR(F83="",F83=0),"",E83/F83)</f>
        <v>0.361774744027304</v>
      </c>
      <c r="I83" s="25" t="s">
        <v>128</v>
      </c>
      <c r="J83" s="28" t="n">
        <v>2.11716121919269</v>
      </c>
      <c r="K83" s="28" t="n">
        <f aca="false">$K$8</f>
        <v>0.297030231526703</v>
      </c>
      <c r="L83" s="28" t="n">
        <f aca="false">SQRT(J83^2+K83^2)</f>
        <v>2.13789583153489</v>
      </c>
      <c r="M83" s="53" t="n">
        <f aca="false">IF(G83="","",MAX(0,G83-1.96*L83/100))</f>
        <v>0.596322497674612</v>
      </c>
      <c r="N83" s="53" t="n">
        <f aca="false">IF(G83="","",MIN(1,G83+1.96*L83/100))</f>
        <v>0.68012801427078</v>
      </c>
      <c r="O83" s="52" t="n">
        <f aca="false">ROUND(S83*W83,0)</f>
        <v>52</v>
      </c>
      <c r="P83" s="52" t="n">
        <f aca="false">IF(F83="","",ROUND(SQRT((F83*L83/100)^2+(G83*O83)^2),0))</f>
        <v>35</v>
      </c>
      <c r="R83" s="54" t="n">
        <v>12.9251500156727</v>
      </c>
      <c r="S83" s="55" t="n">
        <f aca="false">U83*V83*$F$5</f>
        <v>586.485403548941</v>
      </c>
      <c r="T83" s="56" t="n">
        <f aca="false">MAX(0,MIN(1,R83/100+$D$5))</f>
        <v>0.637306549124031</v>
      </c>
      <c r="U83" s="56" t="n">
        <v>0.328563251287922</v>
      </c>
      <c r="V83" s="55" t="n">
        <v>1785</v>
      </c>
      <c r="W83" s="56" t="n">
        <v>0.0887445098984521</v>
      </c>
      <c r="X83" s="57" t="s">
        <v>135</v>
      </c>
      <c r="Y83" s="57" t="s">
        <v>130</v>
      </c>
    </row>
    <row r="84" customFormat="false" ht="15" hidden="false" customHeight="false" outlineLevel="0" collapsed="false">
      <c r="A84" s="25" t="s">
        <v>197</v>
      </c>
      <c r="B84" s="25" t="s">
        <v>199</v>
      </c>
      <c r="C84" s="25" t="s">
        <v>220</v>
      </c>
      <c r="D84" s="52" t="n">
        <f aca="false">ROUND(S84*T84,0)</f>
        <v>367</v>
      </c>
      <c r="E84" s="52" t="n">
        <f aca="false">ROUND(S84,0)-D84</f>
        <v>204</v>
      </c>
      <c r="F84" s="52" t="n">
        <f aca="false">IF(COUNTA(D84:E84)=0,"",SUM(D84:E84))</f>
        <v>571</v>
      </c>
      <c r="G84" s="53" t="n">
        <f aca="false">IF(OR(F84="",F84=0),"",D84/F84)</f>
        <v>0.642732049036778</v>
      </c>
      <c r="H84" s="53" t="n">
        <f aca="false">IF(OR(F84="",F84=0),"",E84/F84)</f>
        <v>0.357267950963222</v>
      </c>
      <c r="I84" s="25" t="s">
        <v>128</v>
      </c>
      <c r="J84" s="28" t="n">
        <v>3.42046080519466</v>
      </c>
      <c r="K84" s="28" t="n">
        <f aca="false">$K$8</f>
        <v>0.297030231526703</v>
      </c>
      <c r="L84" s="28" t="n">
        <f aca="false">SQRT(J84^2+K84^2)</f>
        <v>3.43333352273176</v>
      </c>
      <c r="M84" s="53" t="n">
        <f aca="false">IF(G84="","",MAX(0,G84-1.96*L84/100))</f>
        <v>0.575438711991235</v>
      </c>
      <c r="N84" s="53" t="n">
        <f aca="false">IF(G84="","",MIN(1,G84+1.96*L84/100))</f>
        <v>0.71002538608232</v>
      </c>
      <c r="O84" s="52" t="n">
        <f aca="false">ROUND(S84*W84,0)</f>
        <v>85</v>
      </c>
      <c r="P84" s="52" t="n">
        <f aca="false">IF(F84="","",ROUND(SQRT((F84*L84/100)^2+(G84*O84)^2),0))</f>
        <v>58</v>
      </c>
      <c r="R84" s="54" t="n">
        <v>13.4210554770742</v>
      </c>
      <c r="S84" s="55" t="n">
        <f aca="false">U84*V84*$F$5</f>
        <v>571.299896587383</v>
      </c>
      <c r="T84" s="56" t="n">
        <f aca="false">MAX(0,MIN(1,R84/100+$D$5))</f>
        <v>0.642265603738047</v>
      </c>
      <c r="U84" s="56" t="n">
        <v>0.28593588417787</v>
      </c>
      <c r="V84" s="55" t="n">
        <v>1998</v>
      </c>
      <c r="W84" s="56" t="n">
        <v>0.148097331980838</v>
      </c>
      <c r="X84" s="57" t="s">
        <v>129</v>
      </c>
      <c r="Y84" s="57" t="s">
        <v>130</v>
      </c>
    </row>
    <row r="85" customFormat="false" ht="15" hidden="false" customHeight="false" outlineLevel="0" collapsed="false">
      <c r="A85" s="25" t="s">
        <v>197</v>
      </c>
      <c r="B85" s="25" t="s">
        <v>199</v>
      </c>
      <c r="C85" s="25" t="s">
        <v>221</v>
      </c>
      <c r="D85" s="52" t="n">
        <f aca="false">ROUND(S85*T85,0)</f>
        <v>300</v>
      </c>
      <c r="E85" s="52" t="n">
        <f aca="false">ROUND(S85,0)-D85</f>
        <v>223</v>
      </c>
      <c r="F85" s="52" t="n">
        <f aca="false">IF(COUNTA(D85:E85)=0,"",SUM(D85:E85))</f>
        <v>523</v>
      </c>
      <c r="G85" s="53" t="n">
        <f aca="false">IF(OR(F85="",F85=0),"",D85/F85)</f>
        <v>0.573613766730402</v>
      </c>
      <c r="H85" s="53" t="n">
        <f aca="false">IF(OR(F85="",F85=0),"",E85/F85)</f>
        <v>0.426386233269598</v>
      </c>
      <c r="I85" s="25" t="s">
        <v>128</v>
      </c>
      <c r="J85" s="28" t="n">
        <v>3.42046080519466</v>
      </c>
      <c r="K85" s="28" t="n">
        <f aca="false">$K$8</f>
        <v>0.297030231526703</v>
      </c>
      <c r="L85" s="28" t="n">
        <f aca="false">SQRT(J85^2+K85^2)</f>
        <v>3.43333352273176</v>
      </c>
      <c r="M85" s="53" t="n">
        <f aca="false">IF(G85="","",MAX(0,G85-1.96*L85/100))</f>
        <v>0.506320429684859</v>
      </c>
      <c r="N85" s="53" t="n">
        <f aca="false">IF(G85="","",MIN(1,G85+1.96*L85/100))</f>
        <v>0.640907103775944</v>
      </c>
      <c r="O85" s="52" t="n">
        <f aca="false">ROUND(S85*W85,0)</f>
        <v>77</v>
      </c>
      <c r="P85" s="52" t="n">
        <f aca="false">IF(F85="","",ROUND(SQRT((F85*L85/100)^2+(G85*O85)^2),0))</f>
        <v>48</v>
      </c>
      <c r="R85" s="54" t="n">
        <v>6.51499438530496</v>
      </c>
      <c r="S85" s="55" t="n">
        <f aca="false">U85*V85*$F$5</f>
        <v>522.567052980132</v>
      </c>
      <c r="T85" s="56" t="n">
        <f aca="false">MAX(0,MIN(1,R85/100+$D$5))</f>
        <v>0.573204992820354</v>
      </c>
      <c r="U85" s="56" t="n">
        <v>0.43294701986755</v>
      </c>
      <c r="V85" s="55" t="n">
        <v>1207</v>
      </c>
      <c r="W85" s="56" t="n">
        <v>0.148097331980838</v>
      </c>
      <c r="X85" s="57" t="s">
        <v>129</v>
      </c>
      <c r="Y85" s="57" t="s">
        <v>130</v>
      </c>
    </row>
    <row r="86" customFormat="false" ht="15" hidden="false" customHeight="false" outlineLevel="0" collapsed="false">
      <c r="A86" s="25" t="s">
        <v>197</v>
      </c>
      <c r="B86" s="25" t="s">
        <v>199</v>
      </c>
      <c r="C86" s="25" t="s">
        <v>222</v>
      </c>
      <c r="D86" s="52" t="n">
        <f aca="false">ROUND(S86*T86,0)</f>
        <v>379</v>
      </c>
      <c r="E86" s="52" t="n">
        <f aca="false">ROUND(S86,0)-D86</f>
        <v>231</v>
      </c>
      <c r="F86" s="52" t="n">
        <f aca="false">IF(COUNTA(D86:E86)=0,"",SUM(D86:E86))</f>
        <v>610</v>
      </c>
      <c r="G86" s="53" t="n">
        <f aca="false">IF(OR(F86="",F86=0),"",D86/F86)</f>
        <v>0.621311475409836</v>
      </c>
      <c r="H86" s="53" t="n">
        <f aca="false">IF(OR(F86="",F86=0),"",E86/F86)</f>
        <v>0.378688524590164</v>
      </c>
      <c r="I86" s="25" t="s">
        <v>128</v>
      </c>
      <c r="J86" s="28" t="n">
        <v>2.11716121919269</v>
      </c>
      <c r="K86" s="28" t="n">
        <f aca="false">$K$8</f>
        <v>0.297030231526703</v>
      </c>
      <c r="L86" s="28" t="n">
        <f aca="false">SQRT(J86^2+K86^2)</f>
        <v>2.13789583153489</v>
      </c>
      <c r="M86" s="53" t="n">
        <f aca="false">IF(G86="","",MAX(0,G86-1.96*L86/100))</f>
        <v>0.579408717111752</v>
      </c>
      <c r="N86" s="53" t="n">
        <f aca="false">IF(G86="","",MIN(1,G86+1.96*L86/100))</f>
        <v>0.66321423370792</v>
      </c>
      <c r="O86" s="52" t="n">
        <f aca="false">ROUND(S86*W86,0)</f>
        <v>54</v>
      </c>
      <c r="P86" s="52" t="n">
        <f aca="false">IF(F86="","",ROUND(SQRT((F86*L86/100)^2+(G86*O86)^2),0))</f>
        <v>36</v>
      </c>
      <c r="R86" s="54" t="n">
        <v>11.3100391507756</v>
      </c>
      <c r="S86" s="55" t="n">
        <f aca="false">U86*V86*$F$5</f>
        <v>610.325752919484</v>
      </c>
      <c r="T86" s="56" t="n">
        <f aca="false">MAX(0,MIN(1,R86/100+$D$5))</f>
        <v>0.621155440475061</v>
      </c>
      <c r="U86" s="56" t="n">
        <v>0.368776889981561</v>
      </c>
      <c r="V86" s="55" t="n">
        <v>1655</v>
      </c>
      <c r="W86" s="56" t="n">
        <v>0.0887445098984521</v>
      </c>
      <c r="X86" s="57" t="s">
        <v>135</v>
      </c>
      <c r="Y86" s="57" t="s">
        <v>130</v>
      </c>
    </row>
    <row r="87" customFormat="false" ht="15" hidden="false" customHeight="false" outlineLevel="0" collapsed="false">
      <c r="A87" s="25" t="s">
        <v>197</v>
      </c>
      <c r="B87" s="25" t="s">
        <v>199</v>
      </c>
      <c r="C87" s="25" t="s">
        <v>223</v>
      </c>
      <c r="D87" s="52" t="n">
        <f aca="false">ROUND(S87*T87,0)</f>
        <v>422</v>
      </c>
      <c r="E87" s="52" t="n">
        <f aca="false">ROUND(S87,0)-D87</f>
        <v>259</v>
      </c>
      <c r="F87" s="52" t="n">
        <f aca="false">IF(COUNTA(D87:E87)=0,"",SUM(D87:E87))</f>
        <v>681</v>
      </c>
      <c r="G87" s="53" t="n">
        <f aca="false">IF(OR(F87="",F87=0),"",D87/F87)</f>
        <v>0.619676945668135</v>
      </c>
      <c r="H87" s="53" t="n">
        <f aca="false">IF(OR(F87="",F87=0),"",E87/F87)</f>
        <v>0.380323054331865</v>
      </c>
      <c r="I87" s="25" t="s">
        <v>128</v>
      </c>
      <c r="J87" s="28" t="n">
        <v>2.11716121919269</v>
      </c>
      <c r="K87" s="28" t="n">
        <f aca="false">$K$8</f>
        <v>0.297030231526703</v>
      </c>
      <c r="L87" s="28" t="n">
        <f aca="false">SQRT(J87^2+K87^2)</f>
        <v>2.13789583153489</v>
      </c>
      <c r="M87" s="53" t="n">
        <f aca="false">IF(G87="","",MAX(0,G87-1.96*L87/100))</f>
        <v>0.577774187370051</v>
      </c>
      <c r="N87" s="53" t="n">
        <f aca="false">IF(G87="","",MIN(1,G87+1.96*L87/100))</f>
        <v>0.661579703966219</v>
      </c>
      <c r="O87" s="52" t="n">
        <f aca="false">ROUND(S87*W87,0)</f>
        <v>60</v>
      </c>
      <c r="P87" s="52" t="n">
        <f aca="false">IF(F87="","",ROUND(SQRT((F87*L87/100)^2+(G87*O87)^2),0))</f>
        <v>40</v>
      </c>
      <c r="R87" s="54" t="n">
        <v>11.1197496781895</v>
      </c>
      <c r="S87" s="55" t="n">
        <f aca="false">U87*V87*$F$5</f>
        <v>680.907053394859</v>
      </c>
      <c r="T87" s="56" t="n">
        <f aca="false">MAX(0,MIN(1,R87/100+$D$5))</f>
        <v>0.6192525457492</v>
      </c>
      <c r="U87" s="56" t="n">
        <v>0.441001977587344</v>
      </c>
      <c r="V87" s="55" t="n">
        <v>1544</v>
      </c>
      <c r="W87" s="56" t="n">
        <v>0.0887445098984521</v>
      </c>
      <c r="X87" s="57" t="s">
        <v>135</v>
      </c>
      <c r="Y87" s="57" t="s">
        <v>130</v>
      </c>
    </row>
    <row r="88" customFormat="false" ht="15" hidden="false" customHeight="false" outlineLevel="0" collapsed="false">
      <c r="A88" s="25" t="s">
        <v>197</v>
      </c>
      <c r="B88" s="25" t="s">
        <v>199</v>
      </c>
      <c r="C88" s="25" t="s">
        <v>224</v>
      </c>
      <c r="D88" s="52" t="n">
        <f aca="false">ROUND(S88*T88,0)</f>
        <v>288</v>
      </c>
      <c r="E88" s="52" t="n">
        <f aca="false">ROUND(S88,0)-D88</f>
        <v>204</v>
      </c>
      <c r="F88" s="52" t="n">
        <f aca="false">IF(COUNTA(D88:E88)=0,"",SUM(D88:E88))</f>
        <v>492</v>
      </c>
      <c r="G88" s="53" t="n">
        <f aca="false">IF(OR(F88="",F88=0),"",D88/F88)</f>
        <v>0.585365853658537</v>
      </c>
      <c r="H88" s="53" t="n">
        <f aca="false">IF(OR(F88="",F88=0),"",E88/F88)</f>
        <v>0.414634146341463</v>
      </c>
      <c r="I88" s="25" t="s">
        <v>128</v>
      </c>
      <c r="J88" s="28" t="n">
        <v>3.42046080519466</v>
      </c>
      <c r="K88" s="28" t="n">
        <f aca="false">$K$8</f>
        <v>0.297030231526703</v>
      </c>
      <c r="L88" s="28" t="n">
        <f aca="false">SQRT(J88^2+K88^2)</f>
        <v>3.43333352273176</v>
      </c>
      <c r="M88" s="53" t="n">
        <f aca="false">IF(G88="","",MAX(0,G88-1.96*L88/100))</f>
        <v>0.518072516612994</v>
      </c>
      <c r="N88" s="53" t="n">
        <f aca="false">IF(G88="","",MIN(1,G88+1.96*L88/100))</f>
        <v>0.652659190704079</v>
      </c>
      <c r="O88" s="52" t="n">
        <f aca="false">ROUND(S88*W88,0)</f>
        <v>73</v>
      </c>
      <c r="P88" s="52" t="n">
        <f aca="false">IF(F88="","",ROUND(SQRT((F88*L88/100)^2+(G88*O88)^2),0))</f>
        <v>46</v>
      </c>
      <c r="R88" s="54" t="n">
        <v>7.71278445284812</v>
      </c>
      <c r="S88" s="55" t="n">
        <f aca="false">U88*V88*$F$5</f>
        <v>491.515840779854</v>
      </c>
      <c r="T88" s="56" t="n">
        <f aca="false">MAX(0,MIN(1,R88/100+$D$5))</f>
        <v>0.585182893495786</v>
      </c>
      <c r="U88" s="56" t="n">
        <v>0.376929325751422</v>
      </c>
      <c r="V88" s="55" t="n">
        <v>1304</v>
      </c>
      <c r="W88" s="56" t="n">
        <v>0.148097331980838</v>
      </c>
      <c r="X88" s="57" t="s">
        <v>129</v>
      </c>
      <c r="Y88" s="57" t="s">
        <v>130</v>
      </c>
    </row>
    <row r="89" customFormat="false" ht="15" hidden="false" customHeight="false" outlineLevel="0" collapsed="false">
      <c r="A89" s="25" t="s">
        <v>197</v>
      </c>
      <c r="B89" s="25" t="s">
        <v>199</v>
      </c>
      <c r="C89" s="25" t="s">
        <v>225</v>
      </c>
      <c r="D89" s="52" t="n">
        <f aca="false">ROUND(S89*T89,0)</f>
        <v>287</v>
      </c>
      <c r="E89" s="52" t="n">
        <f aca="false">ROUND(S89,0)-D89</f>
        <v>173</v>
      </c>
      <c r="F89" s="52" t="n">
        <f aca="false">IF(COUNTA(D89:E89)=0,"",SUM(D89:E89))</f>
        <v>460</v>
      </c>
      <c r="G89" s="53" t="n">
        <f aca="false">IF(OR(F89="",F89=0),"",D89/F89)</f>
        <v>0.623913043478261</v>
      </c>
      <c r="H89" s="53" t="n">
        <f aca="false">IF(OR(F89="",F89=0),"",E89/F89)</f>
        <v>0.376086956521739</v>
      </c>
      <c r="I89" s="25" t="s">
        <v>128</v>
      </c>
      <c r="J89" s="28" t="n">
        <v>3.42046080519466</v>
      </c>
      <c r="K89" s="28" t="n">
        <f aca="false">$K$8</f>
        <v>0.297030231526703</v>
      </c>
      <c r="L89" s="28" t="n">
        <f aca="false">SQRT(J89^2+K89^2)</f>
        <v>3.43333352273176</v>
      </c>
      <c r="M89" s="53" t="n">
        <f aca="false">IF(G89="","",MAX(0,G89-1.96*L89/100))</f>
        <v>0.556619706432718</v>
      </c>
      <c r="N89" s="53" t="n">
        <f aca="false">IF(G89="","",MIN(1,G89+1.96*L89/100))</f>
        <v>0.691206380523803</v>
      </c>
      <c r="O89" s="52" t="n">
        <f aca="false">ROUND(S89*W89,0)</f>
        <v>68</v>
      </c>
      <c r="P89" s="52" t="n">
        <f aca="false">IF(F89="","",ROUND(SQRT((F89*L89/100)^2+(G89*O89)^2),0))</f>
        <v>45</v>
      </c>
      <c r="R89" s="54" t="n">
        <v>11.6413088260019</v>
      </c>
      <c r="S89" s="55" t="n">
        <f aca="false">U89*V89*$F$5</f>
        <v>460.299781181619</v>
      </c>
      <c r="T89" s="56" t="n">
        <f aca="false">MAX(0,MIN(1,R89/100+$D$5))</f>
        <v>0.624468137227324</v>
      </c>
      <c r="U89" s="56" t="n">
        <v>0.321663019693654</v>
      </c>
      <c r="V89" s="55" t="n">
        <v>1431</v>
      </c>
      <c r="W89" s="56" t="n">
        <v>0.148097331980838</v>
      </c>
      <c r="X89" s="57" t="s">
        <v>129</v>
      </c>
      <c r="Y89" s="57" t="s">
        <v>130</v>
      </c>
    </row>
    <row r="90" customFormat="false" ht="15" hidden="false" customHeight="false" outlineLevel="0" collapsed="false">
      <c r="A90" s="25" t="s">
        <v>197</v>
      </c>
      <c r="B90" s="25" t="s">
        <v>199</v>
      </c>
      <c r="C90" s="25" t="s">
        <v>226</v>
      </c>
      <c r="D90" s="52" t="n">
        <f aca="false">ROUND(S90*T90,0)</f>
        <v>495</v>
      </c>
      <c r="E90" s="52" t="n">
        <f aca="false">ROUND(S90,0)-D90</f>
        <v>326</v>
      </c>
      <c r="F90" s="52" t="n">
        <f aca="false">IF(COUNTA(D90:E90)=0,"",SUM(D90:E90))</f>
        <v>821</v>
      </c>
      <c r="G90" s="53" t="n">
        <f aca="false">IF(OR(F90="",F90=0),"",D90/F90)</f>
        <v>0.602923264311815</v>
      </c>
      <c r="H90" s="53" t="n">
        <f aca="false">IF(OR(F90="",F90=0),"",E90/F90)</f>
        <v>0.397076735688185</v>
      </c>
      <c r="I90" s="25" t="s">
        <v>128</v>
      </c>
      <c r="J90" s="28" t="n">
        <v>2.11716121919269</v>
      </c>
      <c r="K90" s="28" t="n">
        <f aca="false">$K$8</f>
        <v>0.297030231526703</v>
      </c>
      <c r="L90" s="28" t="n">
        <f aca="false">SQRT(J90^2+K90^2)</f>
        <v>2.13789583153489</v>
      </c>
      <c r="M90" s="53" t="n">
        <f aca="false">IF(G90="","",MAX(0,G90-1.96*L90/100))</f>
        <v>0.561020506013731</v>
      </c>
      <c r="N90" s="53" t="n">
        <f aca="false">IF(G90="","",MIN(1,G90+1.96*L90/100))</f>
        <v>0.644826022609899</v>
      </c>
      <c r="O90" s="52" t="n">
        <f aca="false">ROUND(S90*W90,0)</f>
        <v>73</v>
      </c>
      <c r="P90" s="52" t="n">
        <f aca="false">IF(F90="","",ROUND(SQRT((F90*L90/100)^2+(G90*O90)^2),0))</f>
        <v>47</v>
      </c>
      <c r="R90" s="54" t="n">
        <v>9.4049566627176</v>
      </c>
      <c r="S90" s="55" t="n">
        <f aca="false">U90*V90*$F$5</f>
        <v>821.477888730385</v>
      </c>
      <c r="T90" s="56" t="n">
        <f aca="false">MAX(0,MIN(1,R90/100+$D$5))</f>
        <v>0.602104615594481</v>
      </c>
      <c r="U90" s="56" t="n">
        <v>0.368045649072753</v>
      </c>
      <c r="V90" s="55" t="n">
        <v>2232</v>
      </c>
      <c r="W90" s="56" t="n">
        <v>0.0887445098984521</v>
      </c>
      <c r="X90" s="57" t="s">
        <v>135</v>
      </c>
      <c r="Y90" s="57" t="s">
        <v>130</v>
      </c>
    </row>
    <row r="91" customFormat="false" ht="15" hidden="false" customHeight="false" outlineLevel="0" collapsed="false">
      <c r="A91" s="25" t="s">
        <v>197</v>
      </c>
      <c r="B91" s="25" t="s">
        <v>199</v>
      </c>
      <c r="C91" s="25" t="s">
        <v>227</v>
      </c>
      <c r="D91" s="52" t="n">
        <f aca="false">ROUND(S91*T91,0)</f>
        <v>351</v>
      </c>
      <c r="E91" s="52" t="n">
        <f aca="false">ROUND(S91,0)-D91</f>
        <v>169</v>
      </c>
      <c r="F91" s="52" t="n">
        <f aca="false">IF(COUNTA(D91:E91)=0,"",SUM(D91:E91))</f>
        <v>520</v>
      </c>
      <c r="G91" s="53" t="n">
        <f aca="false">IF(OR(F91="",F91=0),"",D91/F91)</f>
        <v>0.675</v>
      </c>
      <c r="H91" s="53" t="n">
        <f aca="false">IF(OR(F91="",F91=0),"",E91/F91)</f>
        <v>0.325</v>
      </c>
      <c r="I91" s="25" t="s">
        <v>128</v>
      </c>
      <c r="J91" s="28" t="n">
        <v>3.42046080519466</v>
      </c>
      <c r="K91" s="28" t="n">
        <f aca="false">$K$8</f>
        <v>0.297030231526703</v>
      </c>
      <c r="L91" s="28" t="n">
        <f aca="false">SQRT(J91^2+K91^2)</f>
        <v>3.43333352273176</v>
      </c>
      <c r="M91" s="53" t="n">
        <f aca="false">IF(G91="","",MAX(0,G91-1.96*L91/100))</f>
        <v>0.607706662954458</v>
      </c>
      <c r="N91" s="53" t="n">
        <f aca="false">IF(G91="","",MIN(1,G91+1.96*L91/100))</f>
        <v>0.742293337045543</v>
      </c>
      <c r="O91" s="52" t="n">
        <f aca="false">ROUND(S91*W91,0)</f>
        <v>77</v>
      </c>
      <c r="P91" s="52" t="n">
        <f aca="false">IF(F91="","",ROUND(SQRT((F91*L91/100)^2+(G91*O91)^2),0))</f>
        <v>55</v>
      </c>
      <c r="R91" s="54" t="n">
        <v>16.6549169802608</v>
      </c>
      <c r="S91" s="55" t="n">
        <f aca="false">U91*V91*$F$5</f>
        <v>519.765237020316</v>
      </c>
      <c r="T91" s="56" t="n">
        <f aca="false">MAX(0,MIN(1,R91/100+$D$5))</f>
        <v>0.674604218769913</v>
      </c>
      <c r="U91" s="56" t="n">
        <v>0.555304740406321</v>
      </c>
      <c r="V91" s="55" t="n">
        <v>936</v>
      </c>
      <c r="W91" s="56" t="n">
        <v>0.148097331980838</v>
      </c>
      <c r="X91" s="57" t="s">
        <v>129</v>
      </c>
      <c r="Y91" s="57" t="s">
        <v>130</v>
      </c>
    </row>
    <row r="92" customFormat="false" ht="15" hidden="false" customHeight="false" outlineLevel="0" collapsed="false">
      <c r="A92" s="25" t="s">
        <v>197</v>
      </c>
      <c r="B92" s="25" t="s">
        <v>199</v>
      </c>
      <c r="C92" s="25" t="s">
        <v>228</v>
      </c>
      <c r="D92" s="52" t="n">
        <f aca="false">ROUND(S92*T92,0)</f>
        <v>395</v>
      </c>
      <c r="E92" s="52" t="n">
        <f aca="false">ROUND(S92,0)-D92</f>
        <v>222</v>
      </c>
      <c r="F92" s="52" t="n">
        <f aca="false">IF(COUNTA(D92:E92)=0,"",SUM(D92:E92))</f>
        <v>617</v>
      </c>
      <c r="G92" s="53" t="n">
        <f aca="false">IF(OR(F92="",F92=0),"",D92/F92)</f>
        <v>0.640194489465154</v>
      </c>
      <c r="H92" s="53" t="n">
        <f aca="false">IF(OR(F92="",F92=0),"",E92/F92)</f>
        <v>0.359805510534846</v>
      </c>
      <c r="I92" s="25" t="s">
        <v>128</v>
      </c>
      <c r="J92" s="28" t="n">
        <v>2.11716121919269</v>
      </c>
      <c r="K92" s="28" t="n">
        <f aca="false">$K$8</f>
        <v>0.297030231526703</v>
      </c>
      <c r="L92" s="28" t="n">
        <f aca="false">SQRT(J92^2+K92^2)</f>
        <v>2.13789583153489</v>
      </c>
      <c r="M92" s="53" t="n">
        <f aca="false">IF(G92="","",MAX(0,G92-1.96*L92/100))</f>
        <v>0.59829173116707</v>
      </c>
      <c r="N92" s="53" t="n">
        <f aca="false">IF(G92="","",MIN(1,G92+1.96*L92/100))</f>
        <v>0.682097247763238</v>
      </c>
      <c r="O92" s="52" t="n">
        <f aca="false">ROUND(S92*W92,0)</f>
        <v>55</v>
      </c>
      <c r="P92" s="52" t="n">
        <f aca="false">IF(F92="","",ROUND(SQRT((F92*L92/100)^2+(G92*O92)^2),0))</f>
        <v>38</v>
      </c>
      <c r="R92" s="54" t="n">
        <v>13.131053302338</v>
      </c>
      <c r="S92" s="55" t="n">
        <f aca="false">U92*V92*$F$5</f>
        <v>617.474012474013</v>
      </c>
      <c r="T92" s="56" t="n">
        <f aca="false">MAX(0,MIN(1,R92/100+$D$5))</f>
        <v>0.639365581990685</v>
      </c>
      <c r="U92" s="56" t="n">
        <v>0.646569646569647</v>
      </c>
      <c r="V92" s="55" t="n">
        <v>955</v>
      </c>
      <c r="W92" s="56" t="n">
        <v>0.0887445098984521</v>
      </c>
      <c r="X92" s="57" t="s">
        <v>135</v>
      </c>
      <c r="Y92" s="57" t="s">
        <v>130</v>
      </c>
    </row>
    <row r="93" customFormat="false" ht="15" hidden="false" customHeight="false" outlineLevel="0" collapsed="false">
      <c r="A93" s="25" t="s">
        <v>197</v>
      </c>
      <c r="B93" s="25" t="s">
        <v>199</v>
      </c>
      <c r="C93" s="25" t="s">
        <v>229</v>
      </c>
      <c r="D93" s="52" t="n">
        <f aca="false">ROUND(S93*T93,0)</f>
        <v>424</v>
      </c>
      <c r="E93" s="52" t="n">
        <f aca="false">ROUND(S93,0)-D93</f>
        <v>252</v>
      </c>
      <c r="F93" s="52" t="n">
        <f aca="false">IF(COUNTA(D93:E93)=0,"",SUM(D93:E93))</f>
        <v>676</v>
      </c>
      <c r="G93" s="53" t="n">
        <f aca="false">IF(OR(F93="",F93=0),"",D93/F93)</f>
        <v>0.627218934911243</v>
      </c>
      <c r="H93" s="53" t="n">
        <f aca="false">IF(OR(F93="",F93=0),"",E93/F93)</f>
        <v>0.372781065088757</v>
      </c>
      <c r="I93" s="25" t="s">
        <v>128</v>
      </c>
      <c r="J93" s="28" t="n">
        <v>2.11716121919269</v>
      </c>
      <c r="K93" s="28" t="n">
        <f aca="false">$K$8</f>
        <v>0.297030231526703</v>
      </c>
      <c r="L93" s="28" t="n">
        <f aca="false">SQRT(J93^2+K93^2)</f>
        <v>2.13789583153489</v>
      </c>
      <c r="M93" s="53" t="n">
        <f aca="false">IF(G93="","",MAX(0,G93-1.96*L93/100))</f>
        <v>0.585316176613159</v>
      </c>
      <c r="N93" s="53" t="n">
        <f aca="false">IF(G93="","",MIN(1,G93+1.96*L93/100))</f>
        <v>0.669121693209327</v>
      </c>
      <c r="O93" s="52" t="n">
        <f aca="false">ROUND(S93*W93,0)</f>
        <v>60</v>
      </c>
      <c r="P93" s="52" t="n">
        <f aca="false">IF(F93="","",ROUND(SQRT((F93*L93/100)^2+(G93*O93)^2),0))</f>
        <v>40</v>
      </c>
      <c r="R93" s="54" t="n">
        <v>11.945463950102</v>
      </c>
      <c r="S93" s="55" t="n">
        <f aca="false">U93*V93*$F$5</f>
        <v>675.646008403362</v>
      </c>
      <c r="T93" s="56" t="n">
        <f aca="false">MAX(0,MIN(1,R93/100+$D$5))</f>
        <v>0.627509688468325</v>
      </c>
      <c r="U93" s="56" t="n">
        <v>0.719537815126051</v>
      </c>
      <c r="V93" s="55" t="n">
        <v>939</v>
      </c>
      <c r="W93" s="56" t="n">
        <v>0.0887445098984521</v>
      </c>
      <c r="X93" s="57" t="s">
        <v>135</v>
      </c>
      <c r="Y93" s="57" t="s">
        <v>130</v>
      </c>
    </row>
    <row r="94" customFormat="false" ht="15" hidden="false" customHeight="false" outlineLevel="0" collapsed="false">
      <c r="A94" s="25" t="s">
        <v>197</v>
      </c>
      <c r="B94" s="25" t="s">
        <v>199</v>
      </c>
      <c r="C94" s="25" t="s">
        <v>230</v>
      </c>
      <c r="D94" s="52" t="n">
        <f aca="false">ROUND(S94*T94,0)</f>
        <v>348</v>
      </c>
      <c r="E94" s="52" t="n">
        <f aca="false">ROUND(S94,0)-D94</f>
        <v>207</v>
      </c>
      <c r="F94" s="52" t="n">
        <f aca="false">IF(COUNTA(D94:E94)=0,"",SUM(D94:E94))</f>
        <v>555</v>
      </c>
      <c r="G94" s="53" t="n">
        <f aca="false">IF(OR(F94="",F94=0),"",D94/F94)</f>
        <v>0.627027027027027</v>
      </c>
      <c r="H94" s="53" t="n">
        <f aca="false">IF(OR(F94="",F94=0),"",E94/F94)</f>
        <v>0.372972972972973</v>
      </c>
      <c r="I94" s="25" t="s">
        <v>231</v>
      </c>
      <c r="J94" s="28" t="n">
        <v>3.42046080519466</v>
      </c>
      <c r="K94" s="28" t="n">
        <f aca="false">$K$8</f>
        <v>0.297030231526703</v>
      </c>
      <c r="L94" s="28" t="n">
        <f aca="false">SQRT(J94^2+K94^2)</f>
        <v>3.43333352273176</v>
      </c>
      <c r="M94" s="53" t="n">
        <f aca="false">IF(G94="","",MAX(0,G94-1.96*L94/100))</f>
        <v>0.559733689981485</v>
      </c>
      <c r="N94" s="53" t="n">
        <f aca="false">IF(G94="","",MIN(1,G94+1.96*L94/100))</f>
        <v>0.69432036407257</v>
      </c>
      <c r="O94" s="52" t="n">
        <f aca="false">ROUND(S94*W94,0)</f>
        <v>82</v>
      </c>
      <c r="P94" s="52" t="n">
        <f aca="false">IF(F94="","",ROUND(SQRT((F94*L94/100)^2+(G94*O94)^2),0))</f>
        <v>55</v>
      </c>
      <c r="R94" s="54" t="n">
        <v>11.842153747877</v>
      </c>
      <c r="S94" s="55" t="n">
        <f aca="false">U94*V94*$F$5</f>
        <v>554.842964315995</v>
      </c>
      <c r="T94" s="56" t="n">
        <f aca="false">MAX(0,MIN(1,R94/100+$D$5))</f>
        <v>0.626476586446075</v>
      </c>
      <c r="U94" s="56" t="n">
        <v>0.77927382628651</v>
      </c>
      <c r="V94" s="55" t="n">
        <v>712</v>
      </c>
      <c r="W94" s="56" t="n">
        <v>0.148097331980838</v>
      </c>
      <c r="X94" s="57" t="s">
        <v>129</v>
      </c>
      <c r="Y94" s="57" t="s">
        <v>130</v>
      </c>
    </row>
    <row r="95" customFormat="false" ht="15" hidden="false" customHeight="false" outlineLevel="0" collapsed="false">
      <c r="A95" s="25" t="s">
        <v>197</v>
      </c>
      <c r="B95" s="25" t="s">
        <v>199</v>
      </c>
      <c r="C95" s="25" t="s">
        <v>232</v>
      </c>
      <c r="D95" s="52" t="n">
        <f aca="false">ROUND(S95*T95,0)</f>
        <v>745</v>
      </c>
      <c r="E95" s="52" t="n">
        <f aca="false">ROUND(S95,0)-D95</f>
        <v>461</v>
      </c>
      <c r="F95" s="52" t="n">
        <f aca="false">IF(COUNTA(D95:E95)=0,"",SUM(D95:E95))</f>
        <v>1206</v>
      </c>
      <c r="G95" s="53" t="n">
        <f aca="false">IF(OR(F95="",F95=0),"",D95/F95)</f>
        <v>0.617744610281924</v>
      </c>
      <c r="H95" s="53" t="n">
        <f aca="false">IF(OR(F95="",F95=0),"",E95/F95)</f>
        <v>0.382255389718076</v>
      </c>
      <c r="I95" s="25" t="s">
        <v>231</v>
      </c>
      <c r="J95" s="28" t="n">
        <v>1.72835549007323</v>
      </c>
      <c r="K95" s="28" t="n">
        <f aca="false">$K$8</f>
        <v>0.297030231526703</v>
      </c>
      <c r="L95" s="28" t="n">
        <f aca="false">SQRT(J95^2+K95^2)</f>
        <v>1.75369314833214</v>
      </c>
      <c r="M95" s="53" t="n">
        <f aca="false">IF(G95="","",MAX(0,G95-1.96*L95/100))</f>
        <v>0.583372224574614</v>
      </c>
      <c r="N95" s="53" t="n">
        <f aca="false">IF(G95="","",MIN(1,G95+1.96*L95/100))</f>
        <v>0.652116995989234</v>
      </c>
      <c r="O95" s="52" t="n">
        <f aca="false">ROUND(S95*W95,0)</f>
        <v>83</v>
      </c>
      <c r="P95" s="52" t="n">
        <f aca="false">IF(F95="","",ROUND(SQRT((F95*L95/100)^2+(G95*O95)^2),0))</f>
        <v>55</v>
      </c>
      <c r="R95" s="54" t="n">
        <v>10.9766067567815</v>
      </c>
      <c r="S95" s="55" t="n">
        <f aca="false">U95*V95*$F$5</f>
        <v>1206.29316677804</v>
      </c>
      <c r="T95" s="56" t="n">
        <f aca="false">MAX(0,MIN(1,R95/100+$D$5))</f>
        <v>0.61782111653512</v>
      </c>
      <c r="U95" s="56" t="n">
        <v>0.569903617810831</v>
      </c>
      <c r="V95" s="55" t="n">
        <v>2116.66171099557</v>
      </c>
      <c r="W95" s="56" t="n">
        <v>0.0684752145190268</v>
      </c>
      <c r="X95" s="57" t="s">
        <v>168</v>
      </c>
      <c r="Y95" s="57" t="s">
        <v>233</v>
      </c>
    </row>
    <row r="96" customFormat="false" ht="15" hidden="false" customHeight="false" outlineLevel="0" collapsed="false">
      <c r="A96" s="25" t="s">
        <v>197</v>
      </c>
      <c r="B96" s="25" t="s">
        <v>199</v>
      </c>
      <c r="C96" s="25" t="s">
        <v>234</v>
      </c>
      <c r="D96" s="52" t="n">
        <f aca="false">ROUND(S96*T96,0)</f>
        <v>393</v>
      </c>
      <c r="E96" s="52" t="n">
        <f aca="false">ROUND(S96,0)-D96</f>
        <v>192</v>
      </c>
      <c r="F96" s="52" t="n">
        <f aca="false">IF(COUNTA(D96:E96)=0,"",SUM(D96:E96))</f>
        <v>585</v>
      </c>
      <c r="G96" s="53" t="n">
        <f aca="false">IF(OR(F96="",F96=0),"",D96/F96)</f>
        <v>0.671794871794872</v>
      </c>
      <c r="H96" s="53" t="n">
        <f aca="false">IF(OR(F96="",F96=0),"",E96/F96)</f>
        <v>0.328205128205128</v>
      </c>
      <c r="I96" s="25" t="s">
        <v>128</v>
      </c>
      <c r="J96" s="28" t="n">
        <v>2.11716121919269</v>
      </c>
      <c r="K96" s="28" t="n">
        <f aca="false">$K$8</f>
        <v>0.297030231526703</v>
      </c>
      <c r="L96" s="28" t="n">
        <f aca="false">SQRT(J96^2+K96^2)</f>
        <v>2.13789583153489</v>
      </c>
      <c r="M96" s="53" t="n">
        <f aca="false">IF(G96="","",MAX(0,G96-1.96*L96/100))</f>
        <v>0.629892113496788</v>
      </c>
      <c r="N96" s="53" t="n">
        <f aca="false">IF(G96="","",MIN(1,G96+1.96*L96/100))</f>
        <v>0.713697630092956</v>
      </c>
      <c r="O96" s="52" t="n">
        <f aca="false">ROUND(S96*W96,0)</f>
        <v>52</v>
      </c>
      <c r="P96" s="52" t="n">
        <f aca="false">IF(F96="","",ROUND(SQRT((F96*L96/100)^2+(G96*O96)^2),0))</f>
        <v>37</v>
      </c>
      <c r="R96" s="54" t="n">
        <v>16.3052364714577</v>
      </c>
      <c r="S96" s="55" t="n">
        <f aca="false">U96*V96*$F$5</f>
        <v>585.1929092805</v>
      </c>
      <c r="T96" s="56" t="n">
        <f aca="false">MAX(0,MIN(1,R96/100+$D$5))</f>
        <v>0.671107413681882</v>
      </c>
      <c r="U96" s="56" t="n">
        <v>0.599582898852972</v>
      </c>
      <c r="V96" s="55" t="n">
        <v>976</v>
      </c>
      <c r="W96" s="56" t="n">
        <v>0.0887445098984521</v>
      </c>
      <c r="X96" s="57" t="s">
        <v>135</v>
      </c>
      <c r="Y96" s="57" t="s">
        <v>130</v>
      </c>
    </row>
    <row r="97" customFormat="false" ht="15" hidden="false" customHeight="false" outlineLevel="0" collapsed="false">
      <c r="A97" s="25" t="s">
        <v>197</v>
      </c>
      <c r="B97" s="25" t="s">
        <v>199</v>
      </c>
      <c r="C97" s="25" t="s">
        <v>235</v>
      </c>
      <c r="D97" s="52" t="n">
        <f aca="false">ROUND(S97*T97,0)</f>
        <v>487</v>
      </c>
      <c r="E97" s="52" t="n">
        <f aca="false">ROUND(S97,0)-D97</f>
        <v>298</v>
      </c>
      <c r="F97" s="52" t="n">
        <f aca="false">IF(COUNTA(D97:E97)=0,"",SUM(D97:E97))</f>
        <v>785</v>
      </c>
      <c r="G97" s="53" t="n">
        <f aca="false">IF(OR(F97="",F97=0),"",D97/F97)</f>
        <v>0.620382165605096</v>
      </c>
      <c r="H97" s="53" t="n">
        <f aca="false">IF(OR(F97="",F97=0),"",E97/F97)</f>
        <v>0.379617834394905</v>
      </c>
      <c r="I97" s="25" t="s">
        <v>128</v>
      </c>
      <c r="J97" s="28" t="n">
        <v>2.11716121919269</v>
      </c>
      <c r="K97" s="28" t="n">
        <f aca="false">$K$8</f>
        <v>0.297030231526703</v>
      </c>
      <c r="L97" s="28" t="n">
        <f aca="false">SQRT(J97^2+K97^2)</f>
        <v>2.13789583153489</v>
      </c>
      <c r="M97" s="53" t="n">
        <f aca="false">IF(G97="","",MAX(0,G97-1.96*L97/100))</f>
        <v>0.578479407307012</v>
      </c>
      <c r="N97" s="53" t="n">
        <f aca="false">IF(G97="","",MIN(1,G97+1.96*L97/100))</f>
        <v>0.662284923903179</v>
      </c>
      <c r="O97" s="52" t="n">
        <f aca="false">ROUND(S97*W97,0)</f>
        <v>70</v>
      </c>
      <c r="P97" s="52" t="n">
        <f aca="false">IF(F97="","",ROUND(SQRT((F97*L97/100)^2+(G97*O97)^2),0))</f>
        <v>47</v>
      </c>
      <c r="R97" s="54" t="n">
        <v>11.2590324028183</v>
      </c>
      <c r="S97" s="55" t="n">
        <f aca="false">U97*V97*$F$5</f>
        <v>785.366995073891</v>
      </c>
      <c r="T97" s="56" t="n">
        <f aca="false">MAX(0,MIN(1,R97/100+$D$5))</f>
        <v>0.620645372995487</v>
      </c>
      <c r="U97" s="56" t="n">
        <v>0.624794745484401</v>
      </c>
      <c r="V97" s="55" t="n">
        <v>1257</v>
      </c>
      <c r="W97" s="56" t="n">
        <v>0.0887445098984521</v>
      </c>
      <c r="X97" s="57" t="s">
        <v>135</v>
      </c>
      <c r="Y97" s="57" t="s">
        <v>130</v>
      </c>
    </row>
    <row r="98" customFormat="false" ht="15" hidden="false" customHeight="false" outlineLevel="0" collapsed="false">
      <c r="A98" s="25" t="s">
        <v>197</v>
      </c>
      <c r="B98" s="25" t="s">
        <v>199</v>
      </c>
      <c r="C98" s="25" t="s">
        <v>236</v>
      </c>
      <c r="D98" s="52" t="n">
        <f aca="false">ROUND(S98*T98,0)</f>
        <v>12</v>
      </c>
      <c r="E98" s="52" t="n">
        <f aca="false">ROUND(S98,0)-D98</f>
        <v>8</v>
      </c>
      <c r="F98" s="52" t="n">
        <f aca="false">IF(COUNTA(D98:E98)=0,"",SUM(D98:E98))</f>
        <v>20</v>
      </c>
      <c r="G98" s="53" t="n">
        <f aca="false">IF(OR(F98="",F98=0),"",D98/F98)</f>
        <v>0.6</v>
      </c>
      <c r="H98" s="53" t="n">
        <f aca="false">IF(OR(F98="",F98=0),"",E98/F98)</f>
        <v>0.4</v>
      </c>
      <c r="I98" s="25" t="s">
        <v>231</v>
      </c>
      <c r="J98" s="28" t="n">
        <v>3.42046080519466</v>
      </c>
      <c r="K98" s="28" t="n">
        <f aca="false">$K$8</f>
        <v>0.297030231526703</v>
      </c>
      <c r="L98" s="28" t="n">
        <f aca="false">SQRT(J98^2+K98^2)</f>
        <v>3.43333352273176</v>
      </c>
      <c r="M98" s="53" t="n">
        <f aca="false">IF(G98="","",MAX(0,G98-1.96*L98/100))</f>
        <v>0.532706662954458</v>
      </c>
      <c r="N98" s="53" t="n">
        <f aca="false">IF(G98="","",MIN(1,G98+1.96*L98/100))</f>
        <v>0.667293337045543</v>
      </c>
      <c r="O98" s="52" t="n">
        <f aca="false">ROUND(S98*W98,0)</f>
        <v>3</v>
      </c>
      <c r="P98" s="52" t="n">
        <f aca="false">IF(F98="","",ROUND(SQRT((F98*L98/100)^2+(G98*O98)^2),0))</f>
        <v>2</v>
      </c>
      <c r="R98" s="54" t="n">
        <v>8.41840628950673</v>
      </c>
      <c r="S98" s="55" t="n">
        <f aca="false">U98*V98*$F$5</f>
        <v>20.1728274473207</v>
      </c>
      <c r="T98" s="56" t="n">
        <f aca="false">MAX(0,MIN(1,R98/100+$D$5))</f>
        <v>0.592239111862372</v>
      </c>
      <c r="U98" s="56" t="n">
        <v>0.58248124473513</v>
      </c>
      <c r="V98" s="55" t="n">
        <v>34.6325785244704</v>
      </c>
      <c r="W98" s="56" t="n">
        <v>0.148097331980838</v>
      </c>
      <c r="X98" s="57" t="s">
        <v>129</v>
      </c>
      <c r="Y98" s="57" t="s">
        <v>233</v>
      </c>
    </row>
    <row r="99" customFormat="false" ht="15" hidden="false" customHeight="false" outlineLevel="0" collapsed="false">
      <c r="A99" s="25" t="s">
        <v>197</v>
      </c>
      <c r="B99" s="25" t="s">
        <v>199</v>
      </c>
      <c r="C99" s="25" t="s">
        <v>237</v>
      </c>
      <c r="D99" s="52" t="n">
        <f aca="false">ROUND(S99*T99,0)</f>
        <v>218</v>
      </c>
      <c r="E99" s="52" t="n">
        <f aca="false">ROUND(S99,0)-D99</f>
        <v>163</v>
      </c>
      <c r="F99" s="52" t="n">
        <f aca="false">IF(COUNTA(D99:E99)=0,"",SUM(D99:E99))</f>
        <v>381</v>
      </c>
      <c r="G99" s="53" t="n">
        <f aca="false">IF(OR(F99="",F99=0),"",D99/F99)</f>
        <v>0.572178477690289</v>
      </c>
      <c r="H99" s="53" t="n">
        <f aca="false">IF(OR(F99="",F99=0),"",E99/F99)</f>
        <v>0.427821522309711</v>
      </c>
      <c r="I99" s="25" t="s">
        <v>128</v>
      </c>
      <c r="J99" s="28" t="n">
        <v>3.42046080519466</v>
      </c>
      <c r="K99" s="28" t="n">
        <f aca="false">$K$8</f>
        <v>0.297030231526703</v>
      </c>
      <c r="L99" s="28" t="n">
        <f aca="false">SQRT(J99^2+K99^2)</f>
        <v>3.43333352273176</v>
      </c>
      <c r="M99" s="53" t="n">
        <f aca="false">IF(G99="","",MAX(0,G99-1.96*L99/100))</f>
        <v>0.504885140644746</v>
      </c>
      <c r="N99" s="53" t="n">
        <f aca="false">IF(G99="","",MIN(1,G99+1.96*L99/100))</f>
        <v>0.639471814735831</v>
      </c>
      <c r="O99" s="52" t="n">
        <f aca="false">ROUND(S99*W99,0)</f>
        <v>56</v>
      </c>
      <c r="P99" s="52" t="n">
        <f aca="false">IF(F99="","",ROUND(SQRT((F99*L99/100)^2+(G99*O99)^2),0))</f>
        <v>35</v>
      </c>
      <c r="R99" s="54" t="n">
        <v>6.36044785215601</v>
      </c>
      <c r="S99" s="55" t="n">
        <f aca="false">U99*V99*$F$5</f>
        <v>381.16646562123</v>
      </c>
      <c r="T99" s="56" t="n">
        <f aca="false">MAX(0,MIN(1,R99/100+$D$5))</f>
        <v>0.571659527488865</v>
      </c>
      <c r="U99" s="56" t="n">
        <v>0.44270205066345</v>
      </c>
      <c r="V99" s="55" t="n">
        <v>861</v>
      </c>
      <c r="W99" s="56" t="n">
        <v>0.148097331980838</v>
      </c>
      <c r="X99" s="57" t="s">
        <v>129</v>
      </c>
      <c r="Y99" s="57" t="s">
        <v>130</v>
      </c>
    </row>
    <row r="100" customFormat="false" ht="15" hidden="false" customHeight="false" outlineLevel="0" collapsed="false">
      <c r="A100" s="25" t="s">
        <v>197</v>
      </c>
      <c r="B100" s="25" t="s">
        <v>199</v>
      </c>
      <c r="C100" s="25" t="s">
        <v>238</v>
      </c>
      <c r="D100" s="52" t="n">
        <f aca="false">ROUND(S100*T100,0)</f>
        <v>358</v>
      </c>
      <c r="E100" s="52" t="n">
        <f aca="false">ROUND(S100,0)-D100</f>
        <v>202</v>
      </c>
      <c r="F100" s="52" t="n">
        <f aca="false">IF(COUNTA(D100:E100)=0,"",SUM(D100:E100))</f>
        <v>560</v>
      </c>
      <c r="G100" s="53" t="n">
        <f aca="false">IF(OR(F100="",F100=0),"",D100/F100)</f>
        <v>0.639285714285714</v>
      </c>
      <c r="H100" s="53" t="n">
        <f aca="false">IF(OR(F100="",F100=0),"",E100/F100)</f>
        <v>0.360714285714286</v>
      </c>
      <c r="I100" s="25" t="s">
        <v>128</v>
      </c>
      <c r="J100" s="28" t="n">
        <v>3.42046080519466</v>
      </c>
      <c r="K100" s="28" t="n">
        <f aca="false">$K$8</f>
        <v>0.297030231526703</v>
      </c>
      <c r="L100" s="28" t="n">
        <f aca="false">SQRT(J100^2+K100^2)</f>
        <v>3.43333352273176</v>
      </c>
      <c r="M100" s="53" t="n">
        <f aca="false">IF(G100="","",MAX(0,G100-1.96*L100/100))</f>
        <v>0.571992377240172</v>
      </c>
      <c r="N100" s="53" t="n">
        <f aca="false">IF(G100="","",MIN(1,G100+1.96*L100/100))</f>
        <v>0.706579051331257</v>
      </c>
      <c r="O100" s="52" t="n">
        <f aca="false">ROUND(S100*W100,0)</f>
        <v>83</v>
      </c>
      <c r="P100" s="52" t="n">
        <f aca="false">IF(F100="","",ROUND(SQRT((F100*L100/100)^2+(G100*O100)^2),0))</f>
        <v>56</v>
      </c>
      <c r="R100" s="54" t="n">
        <v>13.2158819455274</v>
      </c>
      <c r="S100" s="55" t="n">
        <f aca="false">U100*V100*$F$5</f>
        <v>559.617875647668</v>
      </c>
      <c r="T100" s="56" t="n">
        <f aca="false">MAX(0,MIN(1,R100/100+$D$5))</f>
        <v>0.640213868422579</v>
      </c>
      <c r="U100" s="56" t="n">
        <v>0.356217616580311</v>
      </c>
      <c r="V100" s="55" t="n">
        <v>1571</v>
      </c>
      <c r="W100" s="56" t="n">
        <v>0.148097331980838</v>
      </c>
      <c r="X100" s="57" t="s">
        <v>129</v>
      </c>
      <c r="Y100" s="57" t="s">
        <v>130</v>
      </c>
    </row>
    <row r="101" customFormat="false" ht="15" hidden="false" customHeight="false" outlineLevel="0" collapsed="false">
      <c r="A101" s="25" t="s">
        <v>197</v>
      </c>
      <c r="B101" s="25" t="s">
        <v>199</v>
      </c>
      <c r="C101" s="25" t="s">
        <v>239</v>
      </c>
      <c r="D101" s="52" t="n">
        <f aca="false">ROUND(S101*T101,0)</f>
        <v>263</v>
      </c>
      <c r="E101" s="52" t="n">
        <f aca="false">ROUND(S101,0)-D101</f>
        <v>176</v>
      </c>
      <c r="F101" s="52" t="n">
        <f aca="false">IF(COUNTA(D101:E101)=0,"",SUM(D101:E101))</f>
        <v>439</v>
      </c>
      <c r="G101" s="53" t="n">
        <f aca="false">IF(OR(F101="",F101=0),"",D101/F101)</f>
        <v>0.599088838268793</v>
      </c>
      <c r="H101" s="53" t="n">
        <f aca="false">IF(OR(F101="",F101=0),"",E101/F101)</f>
        <v>0.400911161731207</v>
      </c>
      <c r="I101" s="25" t="s">
        <v>128</v>
      </c>
      <c r="J101" s="28" t="n">
        <v>3.42046080519466</v>
      </c>
      <c r="K101" s="28" t="n">
        <f aca="false">$K$8</f>
        <v>0.297030231526703</v>
      </c>
      <c r="L101" s="28" t="n">
        <f aca="false">SQRT(J101^2+K101^2)</f>
        <v>3.43333352273176</v>
      </c>
      <c r="M101" s="53" t="n">
        <f aca="false">IF(G101="","",MAX(0,G101-1.96*L101/100))</f>
        <v>0.53179550122325</v>
      </c>
      <c r="N101" s="53" t="n">
        <f aca="false">IF(G101="","",MIN(1,G101+1.96*L101/100))</f>
        <v>0.666382175314335</v>
      </c>
      <c r="O101" s="52" t="n">
        <f aca="false">ROUND(S101*W101,0)</f>
        <v>65</v>
      </c>
      <c r="P101" s="52" t="n">
        <f aca="false">IF(F101="","",ROUND(SQRT((F101*L101/100)^2+(G101*O101)^2),0))</f>
        <v>42</v>
      </c>
      <c r="R101" s="54" t="n">
        <v>9.19402075906456</v>
      </c>
      <c r="S101" s="55" t="n">
        <f aca="false">U101*V101*$F$5</f>
        <v>439.019455252919</v>
      </c>
      <c r="T101" s="56" t="n">
        <f aca="false">MAX(0,MIN(1,R101/100+$D$5))</f>
        <v>0.59999525655795</v>
      </c>
      <c r="U101" s="56" t="n">
        <v>0.546044098573282</v>
      </c>
      <c r="V101" s="55" t="n">
        <v>804</v>
      </c>
      <c r="W101" s="56" t="n">
        <v>0.148097331980838</v>
      </c>
      <c r="X101" s="57" t="s">
        <v>129</v>
      </c>
      <c r="Y101" s="57" t="s">
        <v>130</v>
      </c>
    </row>
    <row r="102" customFormat="false" ht="15" hidden="false" customHeight="false" outlineLevel="0" collapsed="false">
      <c r="A102" s="25" t="s">
        <v>197</v>
      </c>
      <c r="B102" s="25" t="s">
        <v>199</v>
      </c>
      <c r="C102" s="25" t="s">
        <v>240</v>
      </c>
      <c r="D102" s="52" t="n">
        <f aca="false">ROUND(S102*T102,0)</f>
        <v>240</v>
      </c>
      <c r="E102" s="52" t="n">
        <f aca="false">ROUND(S102,0)-D102</f>
        <v>135</v>
      </c>
      <c r="F102" s="52" t="n">
        <f aca="false">IF(COUNTA(D102:E102)=0,"",SUM(D102:E102))</f>
        <v>375</v>
      </c>
      <c r="G102" s="53" t="n">
        <f aca="false">IF(OR(F102="",F102=0),"",D102/F102)</f>
        <v>0.64</v>
      </c>
      <c r="H102" s="53" t="n">
        <f aca="false">IF(OR(F102="",F102=0),"",E102/F102)</f>
        <v>0.36</v>
      </c>
      <c r="I102" s="25" t="s">
        <v>128</v>
      </c>
      <c r="J102" s="28" t="n">
        <v>3.42046080519466</v>
      </c>
      <c r="K102" s="28" t="n">
        <f aca="false">$K$8</f>
        <v>0.297030231526703</v>
      </c>
      <c r="L102" s="28" t="n">
        <f aca="false">SQRT(J102^2+K102^2)</f>
        <v>3.43333352273176</v>
      </c>
      <c r="M102" s="53" t="n">
        <f aca="false">IF(G102="","",MAX(0,G102-1.96*L102/100))</f>
        <v>0.572706662954458</v>
      </c>
      <c r="N102" s="53" t="n">
        <f aca="false">IF(G102="","",MIN(1,G102+1.96*L102/100))</f>
        <v>0.707293337045543</v>
      </c>
      <c r="O102" s="52" t="n">
        <f aca="false">ROUND(S102*W102,0)</f>
        <v>56</v>
      </c>
      <c r="P102" s="52" t="n">
        <f aca="false">IF(F102="","",ROUND(SQRT((F102*L102/100)^2+(G102*O102)^2),0))</f>
        <v>38</v>
      </c>
      <c r="R102" s="54" t="n">
        <v>13.1413484955472</v>
      </c>
      <c r="S102" s="55" t="n">
        <f aca="false">U102*V102*$F$5</f>
        <v>374.938159879336</v>
      </c>
      <c r="T102" s="56" t="n">
        <f aca="false">MAX(0,MIN(1,R102/100+$D$5))</f>
        <v>0.639468533922777</v>
      </c>
      <c r="U102" s="56" t="n">
        <v>0.291101055806938</v>
      </c>
      <c r="V102" s="55" t="n">
        <v>1288</v>
      </c>
      <c r="W102" s="56" t="n">
        <v>0.148097331980838</v>
      </c>
      <c r="X102" s="57" t="s">
        <v>129</v>
      </c>
      <c r="Y102" s="57" t="s">
        <v>130</v>
      </c>
    </row>
    <row r="103" customFormat="false" ht="15" hidden="false" customHeight="false" outlineLevel="0" collapsed="false">
      <c r="A103" s="25" t="s">
        <v>197</v>
      </c>
      <c r="B103" s="25" t="s">
        <v>199</v>
      </c>
      <c r="C103" s="25" t="s">
        <v>241</v>
      </c>
      <c r="D103" s="52" t="n">
        <f aca="false">ROUND(S103*T103,0)</f>
        <v>367</v>
      </c>
      <c r="E103" s="52" t="n">
        <f aca="false">ROUND(S103,0)-D103</f>
        <v>234</v>
      </c>
      <c r="F103" s="52" t="n">
        <f aca="false">IF(COUNTA(D103:E103)=0,"",SUM(D103:E103))</f>
        <v>601</v>
      </c>
      <c r="G103" s="53" t="n">
        <f aca="false">IF(OR(F103="",F103=0),"",D103/F103)</f>
        <v>0.610648918469218</v>
      </c>
      <c r="H103" s="53" t="n">
        <f aca="false">IF(OR(F103="",F103=0),"",E103/F103)</f>
        <v>0.389351081530782</v>
      </c>
      <c r="I103" s="25" t="s">
        <v>128</v>
      </c>
      <c r="J103" s="28" t="n">
        <v>2.11716121919269</v>
      </c>
      <c r="K103" s="28" t="n">
        <f aca="false">$K$8</f>
        <v>0.297030231526703</v>
      </c>
      <c r="L103" s="28" t="n">
        <f aca="false">SQRT(J103^2+K103^2)</f>
        <v>2.13789583153489</v>
      </c>
      <c r="M103" s="53" t="n">
        <f aca="false">IF(G103="","",MAX(0,G103-1.96*L103/100))</f>
        <v>0.568746160171134</v>
      </c>
      <c r="N103" s="53" t="n">
        <f aca="false">IF(G103="","",MIN(1,G103+1.96*L103/100))</f>
        <v>0.652551676767302</v>
      </c>
      <c r="O103" s="52" t="n">
        <f aca="false">ROUND(S103*W103,0)</f>
        <v>53</v>
      </c>
      <c r="P103" s="52" t="n">
        <f aca="false">IF(F103="","",ROUND(SQRT((F103*L103/100)^2+(G103*O103)^2),0))</f>
        <v>35</v>
      </c>
      <c r="R103" s="54" t="n">
        <v>10.3153941994338</v>
      </c>
      <c r="S103" s="55" t="n">
        <f aca="false">U103*V103*$F$5</f>
        <v>600.916119620715</v>
      </c>
      <c r="T103" s="56" t="n">
        <f aca="false">MAX(0,MIN(1,R103/100+$D$5))</f>
        <v>0.611208990961642</v>
      </c>
      <c r="U103" s="56" t="n">
        <v>0.440554339897885</v>
      </c>
      <c r="V103" s="55" t="n">
        <v>1364</v>
      </c>
      <c r="W103" s="56" t="n">
        <v>0.0887445098984521</v>
      </c>
      <c r="X103" s="57" t="s">
        <v>135</v>
      </c>
      <c r="Y103" s="57" t="s">
        <v>130</v>
      </c>
    </row>
    <row r="104" customFormat="false" ht="15" hidden="false" customHeight="false" outlineLevel="0" collapsed="false">
      <c r="A104" s="25" t="s">
        <v>197</v>
      </c>
      <c r="B104" s="25" t="s">
        <v>199</v>
      </c>
      <c r="C104" s="25" t="s">
        <v>242</v>
      </c>
      <c r="D104" s="52" t="n">
        <f aca="false">ROUND(S104*T104,0)</f>
        <v>1</v>
      </c>
      <c r="E104" s="52" t="n">
        <f aca="false">ROUND(S104,0)-D104</f>
        <v>1</v>
      </c>
      <c r="F104" s="52" t="n">
        <f aca="false">IF(COUNTA(D104:E104)=0,"",SUM(D104:E104))</f>
        <v>2</v>
      </c>
      <c r="G104" s="53" t="n">
        <f aca="false">IF(OR(F104="",F104=0),"",D104/F104)</f>
        <v>0.5</v>
      </c>
      <c r="H104" s="53" t="n">
        <f aca="false">IF(OR(F104="",F104=0),"",E104/F104)</f>
        <v>0.5</v>
      </c>
      <c r="I104" s="25" t="s">
        <v>231</v>
      </c>
      <c r="J104" s="28" t="n">
        <v>3.42046080519466</v>
      </c>
      <c r="K104" s="28" t="n">
        <f aca="false">$K$8</f>
        <v>0.297030231526703</v>
      </c>
      <c r="L104" s="28" t="n">
        <f aca="false">SQRT(J104^2+K104^2)</f>
        <v>3.43333352273176</v>
      </c>
      <c r="M104" s="53" t="n">
        <f aca="false">IF(G104="","",MAX(0,G104-1.96*L104/100))</f>
        <v>0.432706662954458</v>
      </c>
      <c r="N104" s="53" t="n">
        <f aca="false">IF(G104="","",MIN(1,G104+1.96*L104/100))</f>
        <v>0.567293337045543</v>
      </c>
      <c r="O104" s="52" t="n">
        <f aca="false">ROUND(S104*W104,0)</f>
        <v>0</v>
      </c>
      <c r="P104" s="52" t="n">
        <f aca="false">IF(F104="","",ROUND(SQRT((F104*L104/100)^2+(G104*O104)^2),0))</f>
        <v>0</v>
      </c>
      <c r="R104" s="54" t="n">
        <v>7.13017468409299</v>
      </c>
      <c r="S104" s="55" t="n">
        <f aca="false">U104*V104*$F$5</f>
        <v>1.93609179834966</v>
      </c>
      <c r="T104" s="56" t="n">
        <f aca="false">MAX(0,MIN(1,R104/100+$D$5))</f>
        <v>0.579356795808235</v>
      </c>
      <c r="U104" s="56" t="n">
        <v>0.633576090764528</v>
      </c>
      <c r="V104" s="55" t="n">
        <v>3.05581575215915</v>
      </c>
      <c r="W104" s="56" t="n">
        <v>0.148097331980838</v>
      </c>
      <c r="X104" s="57" t="s">
        <v>129</v>
      </c>
      <c r="Y104" s="57" t="s">
        <v>233</v>
      </c>
    </row>
    <row r="105" customFormat="false" ht="15" hidden="false" customHeight="false" outlineLevel="0" collapsed="false">
      <c r="A105" s="25" t="s">
        <v>197</v>
      </c>
      <c r="B105" s="25" t="s">
        <v>199</v>
      </c>
      <c r="C105" s="25" t="s">
        <v>243</v>
      </c>
      <c r="D105" s="52" t="n">
        <f aca="false">ROUND(S105*T105,0)</f>
        <v>490</v>
      </c>
      <c r="E105" s="52" t="n">
        <f aca="false">ROUND(S105,0)-D105</f>
        <v>294</v>
      </c>
      <c r="F105" s="52" t="n">
        <f aca="false">IF(COUNTA(D105:E105)=0,"",SUM(D105:E105))</f>
        <v>784</v>
      </c>
      <c r="G105" s="53" t="n">
        <f aca="false">IF(OR(F105="",F105=0),"",D105/F105)</f>
        <v>0.625</v>
      </c>
      <c r="H105" s="53" t="n">
        <f aca="false">IF(OR(F105="",F105=0),"",E105/F105)</f>
        <v>0.375</v>
      </c>
      <c r="I105" s="25" t="s">
        <v>128</v>
      </c>
      <c r="J105" s="28" t="n">
        <v>2.11716121919269</v>
      </c>
      <c r="K105" s="28" t="n">
        <f aca="false">$K$8</f>
        <v>0.297030231526703</v>
      </c>
      <c r="L105" s="28" t="n">
        <f aca="false">SQRT(J105^2+K105^2)</f>
        <v>2.13789583153489</v>
      </c>
      <c r="M105" s="53" t="n">
        <f aca="false">IF(G105="","",MAX(0,G105-1.96*L105/100))</f>
        <v>0.583097241701916</v>
      </c>
      <c r="N105" s="53" t="n">
        <f aca="false">IF(G105="","",MIN(1,G105+1.96*L105/100))</f>
        <v>0.666902758298084</v>
      </c>
      <c r="O105" s="52" t="n">
        <f aca="false">ROUND(S105*W105,0)</f>
        <v>70</v>
      </c>
      <c r="P105" s="52" t="n">
        <f aca="false">IF(F105="","",ROUND(SQRT((F105*L105/100)^2+(G105*O105)^2),0))</f>
        <v>47</v>
      </c>
      <c r="R105" s="54" t="n">
        <v>11.6485978707492</v>
      </c>
      <c r="S105" s="55" t="n">
        <f aca="false">U105*V105*$F$5</f>
        <v>784.118962432916</v>
      </c>
      <c r="T105" s="56" t="n">
        <f aca="false">MAX(0,MIN(1,R105/100+$D$5))</f>
        <v>0.624541027674797</v>
      </c>
      <c r="U105" s="56" t="n">
        <v>0.344364937388193</v>
      </c>
      <c r="V105" s="55" t="n">
        <v>2277</v>
      </c>
      <c r="W105" s="56" t="n">
        <v>0.0887445098984521</v>
      </c>
      <c r="X105" s="57" t="s">
        <v>135</v>
      </c>
      <c r="Y105" s="57" t="s">
        <v>130</v>
      </c>
    </row>
    <row r="106" customFormat="false" ht="15" hidden="false" customHeight="false" outlineLevel="0" collapsed="false">
      <c r="A106" s="25" t="s">
        <v>197</v>
      </c>
      <c r="B106" s="25" t="s">
        <v>199</v>
      </c>
      <c r="C106" s="25" t="s">
        <v>244</v>
      </c>
      <c r="D106" s="52" t="n">
        <f aca="false">ROUND(S106*T106,0)</f>
        <v>223</v>
      </c>
      <c r="E106" s="52" t="n">
        <f aca="false">ROUND(S106,0)-D106</f>
        <v>85</v>
      </c>
      <c r="F106" s="52" t="n">
        <f aca="false">IF(COUNTA(D106:E106)=0,"",SUM(D106:E106))</f>
        <v>308</v>
      </c>
      <c r="G106" s="53" t="n">
        <f aca="false">IF(OR(F106="",F106=0),"",D106/F106)</f>
        <v>0.724025974025974</v>
      </c>
      <c r="H106" s="53" t="n">
        <f aca="false">IF(OR(F106="",F106=0),"",E106/F106)</f>
        <v>0.275974025974026</v>
      </c>
      <c r="I106" s="25" t="s">
        <v>128</v>
      </c>
      <c r="J106" s="28" t="n">
        <v>3.42046080519466</v>
      </c>
      <c r="K106" s="28" t="n">
        <f aca="false">$K$8</f>
        <v>0.297030231526703</v>
      </c>
      <c r="L106" s="28" t="n">
        <f aca="false">SQRT(J106^2+K106^2)</f>
        <v>3.43333352273176</v>
      </c>
      <c r="M106" s="53" t="n">
        <f aca="false">IF(G106="","",MAX(0,G106-1.96*L106/100))</f>
        <v>0.656732636980432</v>
      </c>
      <c r="N106" s="53" t="n">
        <f aca="false">IF(G106="","",MIN(1,G106+1.96*L106/100))</f>
        <v>0.791319311071517</v>
      </c>
      <c r="O106" s="52" t="n">
        <f aca="false">ROUND(S106*W106,0)</f>
        <v>46</v>
      </c>
      <c r="P106" s="52" t="n">
        <f aca="false">IF(F106="","",ROUND(SQRT((F106*L106/100)^2+(G106*O106)^2),0))</f>
        <v>35</v>
      </c>
      <c r="R106" s="54" t="n">
        <v>21.6735918509624</v>
      </c>
      <c r="S106" s="55" t="n">
        <f aca="false">U106*V106*$F$5</f>
        <v>307.670520231214</v>
      </c>
      <c r="T106" s="56" t="n">
        <f aca="false">MAX(0,MIN(1,R106/100+$D$5))</f>
        <v>0.724790967476929</v>
      </c>
      <c r="U106" s="56" t="n">
        <v>0.194605009633911</v>
      </c>
      <c r="V106" s="55" t="n">
        <v>1581</v>
      </c>
      <c r="W106" s="56" t="n">
        <v>0.148097331980838</v>
      </c>
      <c r="X106" s="57" t="s">
        <v>129</v>
      </c>
      <c r="Y106" s="57" t="s">
        <v>130</v>
      </c>
    </row>
    <row r="107" customFormat="false" ht="15" hidden="false" customHeight="false" outlineLevel="0" collapsed="false">
      <c r="A107" s="25" t="s">
        <v>197</v>
      </c>
      <c r="B107" s="25" t="s">
        <v>199</v>
      </c>
      <c r="C107" s="25" t="s">
        <v>245</v>
      </c>
      <c r="D107" s="52" t="n">
        <f aca="false">ROUND(S107*T107,0)</f>
        <v>190</v>
      </c>
      <c r="E107" s="52" t="n">
        <f aca="false">ROUND(S107,0)-D107</f>
        <v>82</v>
      </c>
      <c r="F107" s="52" t="n">
        <f aca="false">IF(COUNTA(D107:E107)=0,"",SUM(D107:E107))</f>
        <v>272</v>
      </c>
      <c r="G107" s="53" t="n">
        <f aca="false">IF(OR(F107="",F107=0),"",D107/F107)</f>
        <v>0.698529411764706</v>
      </c>
      <c r="H107" s="53" t="n">
        <f aca="false">IF(OR(F107="",F107=0),"",E107/F107)</f>
        <v>0.301470588235294</v>
      </c>
      <c r="I107" s="25" t="s">
        <v>128</v>
      </c>
      <c r="J107" s="28" t="n">
        <v>3.42046080519466</v>
      </c>
      <c r="K107" s="28" t="n">
        <f aca="false">$K$8</f>
        <v>0.297030231526703</v>
      </c>
      <c r="L107" s="28" t="n">
        <f aca="false">SQRT(J107^2+K107^2)</f>
        <v>3.43333352273176</v>
      </c>
      <c r="M107" s="53" t="n">
        <f aca="false">IF(G107="","",MAX(0,G107-1.96*L107/100))</f>
        <v>0.631236074719163</v>
      </c>
      <c r="N107" s="53" t="n">
        <f aca="false">IF(G107="","",MIN(1,G107+1.96*L107/100))</f>
        <v>0.765822748810248</v>
      </c>
      <c r="O107" s="52" t="n">
        <f aca="false">ROUND(S107*W107,0)</f>
        <v>40</v>
      </c>
      <c r="P107" s="52" t="n">
        <f aca="false">IF(F107="","",ROUND(SQRT((F107*L107/100)^2+(G107*O107)^2),0))</f>
        <v>29</v>
      </c>
      <c r="R107" s="54" t="n">
        <v>19.1350212772086</v>
      </c>
      <c r="S107" s="55" t="n">
        <f aca="false">U107*V107*$F$5</f>
        <v>271.509527754764</v>
      </c>
      <c r="T107" s="56" t="n">
        <f aca="false">MAX(0,MIN(1,R107/100+$D$5))</f>
        <v>0.699405261739391</v>
      </c>
      <c r="U107" s="56" t="n">
        <v>0.251864125932063</v>
      </c>
      <c r="V107" s="55" t="n">
        <v>1078</v>
      </c>
      <c r="W107" s="56" t="n">
        <v>0.148097331980838</v>
      </c>
      <c r="X107" s="57" t="s">
        <v>129</v>
      </c>
      <c r="Y107" s="57" t="s">
        <v>130</v>
      </c>
    </row>
    <row r="108" customFormat="false" ht="15" hidden="false" customHeight="false" outlineLevel="0" collapsed="false">
      <c r="A108" s="25" t="s">
        <v>197</v>
      </c>
      <c r="B108" s="25" t="s">
        <v>199</v>
      </c>
      <c r="C108" s="25" t="s">
        <v>246</v>
      </c>
      <c r="D108" s="52" t="n">
        <f aca="false">ROUND(S108*T108,0)</f>
        <v>398</v>
      </c>
      <c r="E108" s="52" t="n">
        <f aca="false">ROUND(S108,0)-D108</f>
        <v>152</v>
      </c>
      <c r="F108" s="52" t="n">
        <f aca="false">IF(COUNTA(D108:E108)=0,"",SUM(D108:E108))</f>
        <v>550</v>
      </c>
      <c r="G108" s="53" t="n">
        <f aca="false">IF(OR(F108="",F108=0),"",D108/F108)</f>
        <v>0.723636363636364</v>
      </c>
      <c r="H108" s="53" t="n">
        <f aca="false">IF(OR(F108="",F108=0),"",E108/F108)</f>
        <v>0.276363636363636</v>
      </c>
      <c r="I108" s="25" t="s">
        <v>128</v>
      </c>
      <c r="J108" s="28" t="n">
        <v>3.42046080519466</v>
      </c>
      <c r="K108" s="28" t="n">
        <f aca="false">$K$8</f>
        <v>0.297030231526703</v>
      </c>
      <c r="L108" s="28" t="n">
        <f aca="false">SQRT(J108^2+K108^2)</f>
        <v>3.43333352273176</v>
      </c>
      <c r="M108" s="53" t="n">
        <f aca="false">IF(G108="","",MAX(0,G108-1.96*L108/100))</f>
        <v>0.656343026590821</v>
      </c>
      <c r="N108" s="53" t="n">
        <f aca="false">IF(G108="","",MIN(1,G108+1.96*L108/100))</f>
        <v>0.790929700681906</v>
      </c>
      <c r="O108" s="52" t="n">
        <f aca="false">ROUND(S108*W108,0)</f>
        <v>82</v>
      </c>
      <c r="P108" s="52" t="n">
        <f aca="false">IF(F108="","",ROUND(SQRT((F108*L108/100)^2+(G108*O108)^2),0))</f>
        <v>62</v>
      </c>
      <c r="R108" s="54" t="n">
        <v>21.4295216399187</v>
      </c>
      <c r="S108" s="55" t="n">
        <f aca="false">U108*V108*$F$5</f>
        <v>550.335990190067</v>
      </c>
      <c r="T108" s="56" t="n">
        <f aca="false">MAX(0,MIN(1,R108/100+$D$5))</f>
        <v>0.722350265366492</v>
      </c>
      <c r="U108" s="56" t="n">
        <v>0.267933782955242</v>
      </c>
      <c r="V108" s="55" t="n">
        <v>2054</v>
      </c>
      <c r="W108" s="56" t="n">
        <v>0.148097331980838</v>
      </c>
      <c r="X108" s="57" t="s">
        <v>129</v>
      </c>
      <c r="Y108" s="57" t="s">
        <v>130</v>
      </c>
    </row>
    <row r="109" customFormat="false" ht="15" hidden="false" customHeight="false" outlineLevel="0" collapsed="false">
      <c r="A109" s="25" t="s">
        <v>197</v>
      </c>
      <c r="B109" s="25" t="s">
        <v>199</v>
      </c>
      <c r="C109" s="25" t="s">
        <v>247</v>
      </c>
      <c r="D109" s="52" t="n">
        <f aca="false">ROUND(S109*T109,0)</f>
        <v>158</v>
      </c>
      <c r="E109" s="52" t="n">
        <f aca="false">ROUND(S109,0)-D109</f>
        <v>75</v>
      </c>
      <c r="F109" s="52" t="n">
        <f aca="false">IF(COUNTA(D109:E109)=0,"",SUM(D109:E109))</f>
        <v>233</v>
      </c>
      <c r="G109" s="53" t="n">
        <f aca="false">IF(OR(F109="",F109=0),"",D109/F109)</f>
        <v>0.678111587982833</v>
      </c>
      <c r="H109" s="53" t="n">
        <f aca="false">IF(OR(F109="",F109=0),"",E109/F109)</f>
        <v>0.321888412017167</v>
      </c>
      <c r="I109" s="25" t="s">
        <v>128</v>
      </c>
      <c r="J109" s="28" t="n">
        <v>3.42046080519466</v>
      </c>
      <c r="K109" s="28" t="n">
        <f aca="false">$K$8</f>
        <v>0.297030231526703</v>
      </c>
      <c r="L109" s="28" t="n">
        <f aca="false">SQRT(J109^2+K109^2)</f>
        <v>3.43333352273176</v>
      </c>
      <c r="M109" s="53" t="n">
        <f aca="false">IF(G109="","",MAX(0,G109-1.96*L109/100))</f>
        <v>0.61081825093729</v>
      </c>
      <c r="N109" s="53" t="n">
        <f aca="false">IF(G109="","",MIN(1,G109+1.96*L109/100))</f>
        <v>0.745404925028375</v>
      </c>
      <c r="O109" s="52" t="n">
        <f aca="false">ROUND(S109*W109,0)</f>
        <v>34</v>
      </c>
      <c r="P109" s="52" t="n">
        <f aca="false">IF(F109="","",ROUND(SQRT((F109*L109/100)^2+(G109*O109)^2),0))</f>
        <v>24</v>
      </c>
      <c r="R109" s="54" t="n">
        <v>16.9737708133064</v>
      </c>
      <c r="S109" s="55" t="n">
        <f aca="false">U109*V109*$F$5</f>
        <v>232.689791873142</v>
      </c>
      <c r="T109" s="56" t="n">
        <f aca="false">MAX(0,MIN(1,R109/100+$D$5))</f>
        <v>0.677792757100369</v>
      </c>
      <c r="U109" s="56" t="n">
        <v>0.229930624380575</v>
      </c>
      <c r="V109" s="55" t="n">
        <v>1012</v>
      </c>
      <c r="W109" s="56" t="n">
        <v>0.148097331980838</v>
      </c>
      <c r="X109" s="57" t="s">
        <v>129</v>
      </c>
      <c r="Y109" s="57" t="s">
        <v>130</v>
      </c>
    </row>
    <row r="110" customFormat="false" ht="15" hidden="false" customHeight="false" outlineLevel="0" collapsed="false">
      <c r="A110" s="25" t="s">
        <v>197</v>
      </c>
      <c r="B110" s="25" t="s">
        <v>199</v>
      </c>
      <c r="C110" s="25" t="s">
        <v>248</v>
      </c>
      <c r="D110" s="52" t="n">
        <f aca="false">ROUND(S110*T110,0)</f>
        <v>230</v>
      </c>
      <c r="E110" s="52" t="n">
        <f aca="false">ROUND(S110,0)-D110</f>
        <v>77</v>
      </c>
      <c r="F110" s="52" t="n">
        <f aca="false">IF(COUNTA(D110:E110)=0,"",SUM(D110:E110))</f>
        <v>307</v>
      </c>
      <c r="G110" s="53" t="n">
        <f aca="false">IF(OR(F110="",F110=0),"",D110/F110)</f>
        <v>0.749185667752443</v>
      </c>
      <c r="H110" s="53" t="n">
        <f aca="false">IF(OR(F110="",F110=0),"",E110/F110)</f>
        <v>0.250814332247557</v>
      </c>
      <c r="I110" s="25" t="s">
        <v>128</v>
      </c>
      <c r="J110" s="28" t="n">
        <v>3.42046080519466</v>
      </c>
      <c r="K110" s="28" t="n">
        <f aca="false">$K$8</f>
        <v>0.297030231526703</v>
      </c>
      <c r="L110" s="28" t="n">
        <f aca="false">SQRT(J110^2+K110^2)</f>
        <v>3.43333352273176</v>
      </c>
      <c r="M110" s="53" t="n">
        <f aca="false">IF(G110="","",MAX(0,G110-1.96*L110/100))</f>
        <v>0.681892330706901</v>
      </c>
      <c r="N110" s="53" t="n">
        <f aca="false">IF(G110="","",MIN(1,G110+1.96*L110/100))</f>
        <v>0.816479004797986</v>
      </c>
      <c r="O110" s="52" t="n">
        <f aca="false">ROUND(S110*W110,0)</f>
        <v>45</v>
      </c>
      <c r="P110" s="52" t="n">
        <f aca="false">IF(F110="","",ROUND(SQRT((F110*L110/100)^2+(G110*O110)^2),0))</f>
        <v>35</v>
      </c>
      <c r="R110" s="54" t="n">
        <v>24.1008644641166</v>
      </c>
      <c r="S110" s="55" t="n">
        <f aca="false">U110*V110*$F$5</f>
        <v>306.767588932806</v>
      </c>
      <c r="T110" s="56" t="n">
        <f aca="false">MAX(0,MIN(1,R110/100+$D$5))</f>
        <v>0.749063693608471</v>
      </c>
      <c r="U110" s="56" t="n">
        <v>0.222134387351779</v>
      </c>
      <c r="V110" s="55" t="n">
        <v>1381</v>
      </c>
      <c r="W110" s="56" t="n">
        <v>0.148097331980838</v>
      </c>
      <c r="X110" s="57" t="s">
        <v>129</v>
      </c>
      <c r="Y110" s="57" t="s">
        <v>130</v>
      </c>
    </row>
    <row r="111" customFormat="false" ht="15" hidden="false" customHeight="false" outlineLevel="0" collapsed="false">
      <c r="A111" s="25" t="s">
        <v>197</v>
      </c>
      <c r="B111" s="25" t="s">
        <v>199</v>
      </c>
      <c r="C111" s="25" t="s">
        <v>249</v>
      </c>
      <c r="D111" s="52" t="n">
        <f aca="false">ROUND(S111*T111,0)</f>
        <v>77</v>
      </c>
      <c r="E111" s="52" t="n">
        <f aca="false">ROUND(S111,0)-D111</f>
        <v>42</v>
      </c>
      <c r="F111" s="52" t="n">
        <f aca="false">IF(COUNTA(D111:E111)=0,"",SUM(D111:E111))</f>
        <v>119</v>
      </c>
      <c r="G111" s="53" t="n">
        <f aca="false">IF(OR(F111="",F111=0),"",D111/F111)</f>
        <v>0.647058823529412</v>
      </c>
      <c r="H111" s="53" t="n">
        <f aca="false">IF(OR(F111="",F111=0),"",E111/F111)</f>
        <v>0.352941176470588</v>
      </c>
      <c r="I111" s="25" t="s">
        <v>128</v>
      </c>
      <c r="J111" s="28" t="n">
        <v>3.42046080519466</v>
      </c>
      <c r="K111" s="28" t="n">
        <f aca="false">$K$8</f>
        <v>0.297030231526703</v>
      </c>
      <c r="L111" s="28" t="n">
        <f aca="false">SQRT(J111^2+K111^2)</f>
        <v>3.43333352273176</v>
      </c>
      <c r="M111" s="53" t="n">
        <f aca="false">IF(G111="","",MAX(0,G111-1.96*L111/100))</f>
        <v>0.579765486483869</v>
      </c>
      <c r="N111" s="53" t="n">
        <f aca="false">IF(G111="","",MIN(1,G111+1.96*L111/100))</f>
        <v>0.714352160574954</v>
      </c>
      <c r="O111" s="52" t="n">
        <f aca="false">ROUND(S111*W111,0)</f>
        <v>18</v>
      </c>
      <c r="P111" s="52" t="n">
        <f aca="false">IF(F111="","",ROUND(SQRT((F111*L111/100)^2+(G111*O111)^2),0))</f>
        <v>12</v>
      </c>
      <c r="R111" s="54" t="n">
        <v>13.9520072852161</v>
      </c>
      <c r="S111" s="55" t="n">
        <f aca="false">U111*V111*$F$5</f>
        <v>119.188732394366</v>
      </c>
      <c r="T111" s="56" t="n">
        <f aca="false">MAX(0,MIN(1,R111/100+$D$5))</f>
        <v>0.647575121819466</v>
      </c>
      <c r="U111" s="56" t="n">
        <v>0.173239436619718</v>
      </c>
      <c r="V111" s="55" t="n">
        <v>688</v>
      </c>
      <c r="W111" s="56" t="n">
        <v>0.148097331980838</v>
      </c>
      <c r="X111" s="57" t="s">
        <v>129</v>
      </c>
      <c r="Y111" s="57" t="s">
        <v>130</v>
      </c>
    </row>
    <row r="112" customFormat="false" ht="15" hidden="false" customHeight="false" outlineLevel="0" collapsed="false">
      <c r="A112" s="25" t="s">
        <v>197</v>
      </c>
      <c r="B112" s="25" t="s">
        <v>199</v>
      </c>
      <c r="C112" s="25" t="s">
        <v>250</v>
      </c>
      <c r="D112" s="52" t="n">
        <f aca="false">ROUND(S112*T112,0)</f>
        <v>184</v>
      </c>
      <c r="E112" s="52" t="n">
        <f aca="false">ROUND(S112,0)-D112</f>
        <v>107</v>
      </c>
      <c r="F112" s="52" t="n">
        <f aca="false">IF(COUNTA(D112:E112)=0,"",SUM(D112:E112))</f>
        <v>291</v>
      </c>
      <c r="G112" s="53" t="n">
        <f aca="false">IF(OR(F112="",F112=0),"",D112/F112)</f>
        <v>0.632302405498282</v>
      </c>
      <c r="H112" s="53" t="n">
        <f aca="false">IF(OR(F112="",F112=0),"",E112/F112)</f>
        <v>0.367697594501718</v>
      </c>
      <c r="I112" s="25" t="s">
        <v>128</v>
      </c>
      <c r="J112" s="28" t="n">
        <v>3.42046080519466</v>
      </c>
      <c r="K112" s="28" t="n">
        <f aca="false">$K$8</f>
        <v>0.297030231526703</v>
      </c>
      <c r="L112" s="28" t="n">
        <f aca="false">SQRT(J112^2+K112^2)</f>
        <v>3.43333352273176</v>
      </c>
      <c r="M112" s="53" t="n">
        <f aca="false">IF(G112="","",MAX(0,G112-1.96*L112/100))</f>
        <v>0.565009068452739</v>
      </c>
      <c r="N112" s="53" t="n">
        <f aca="false">IF(G112="","",MIN(1,G112+1.96*L112/100))</f>
        <v>0.699595742543824</v>
      </c>
      <c r="O112" s="52" t="n">
        <f aca="false">ROUND(S112*W112,0)</f>
        <v>43</v>
      </c>
      <c r="P112" s="52" t="n">
        <f aca="false">IF(F112="","",ROUND(SQRT((F112*L112/100)^2+(G112*O112)^2),0))</f>
        <v>29</v>
      </c>
      <c r="R112" s="54" t="n">
        <v>12.5340092973255</v>
      </c>
      <c r="S112" s="55" t="n">
        <f aca="false">U112*V112*$F$5</f>
        <v>291.248923341947</v>
      </c>
      <c r="T112" s="56" t="n">
        <f aca="false">MAX(0,MIN(1,R112/100+$D$5))</f>
        <v>0.63339514194056</v>
      </c>
      <c r="U112" s="56" t="n">
        <v>0.24978466838932</v>
      </c>
      <c r="V112" s="55" t="n">
        <v>1166</v>
      </c>
      <c r="W112" s="56" t="n">
        <v>0.148097331980838</v>
      </c>
      <c r="X112" s="57" t="s">
        <v>129</v>
      </c>
      <c r="Y112" s="57" t="s">
        <v>130</v>
      </c>
    </row>
    <row r="113" customFormat="false" ht="15" hidden="false" customHeight="false" outlineLevel="0" collapsed="false">
      <c r="A113" s="25" t="s">
        <v>197</v>
      </c>
      <c r="B113" s="25" t="s">
        <v>199</v>
      </c>
      <c r="C113" s="25" t="s">
        <v>251</v>
      </c>
      <c r="D113" s="52" t="n">
        <f aca="false">ROUND(S113*T113,0)</f>
        <v>273</v>
      </c>
      <c r="E113" s="52" t="n">
        <f aca="false">ROUND(S113,0)-D113</f>
        <v>102</v>
      </c>
      <c r="F113" s="52" t="n">
        <f aca="false">IF(COUNTA(D113:E113)=0,"",SUM(D113:E113))</f>
        <v>375</v>
      </c>
      <c r="G113" s="53" t="n">
        <f aca="false">IF(OR(F113="",F113=0),"",D113/F113)</f>
        <v>0.728</v>
      </c>
      <c r="H113" s="53" t="n">
        <f aca="false">IF(OR(F113="",F113=0),"",E113/F113)</f>
        <v>0.272</v>
      </c>
      <c r="I113" s="25" t="s">
        <v>128</v>
      </c>
      <c r="J113" s="28" t="n">
        <v>3.42046080519466</v>
      </c>
      <c r="K113" s="28" t="n">
        <f aca="false">$K$8</f>
        <v>0.297030231526703</v>
      </c>
      <c r="L113" s="28" t="n">
        <f aca="false">SQRT(J113^2+K113^2)</f>
        <v>3.43333352273176</v>
      </c>
      <c r="M113" s="53" t="n">
        <f aca="false">IF(G113="","",MAX(0,G113-1.96*L113/100))</f>
        <v>0.660706662954458</v>
      </c>
      <c r="N113" s="53" t="n">
        <f aca="false">IF(G113="","",MIN(1,G113+1.96*L113/100))</f>
        <v>0.795293337045543</v>
      </c>
      <c r="O113" s="52" t="n">
        <f aca="false">ROUND(S113*W113,0)</f>
        <v>56</v>
      </c>
      <c r="P113" s="52" t="n">
        <f aca="false">IF(F113="","",ROUND(SQRT((F113*L113/100)^2+(G113*O113)^2),0))</f>
        <v>43</v>
      </c>
      <c r="R113" s="54" t="n">
        <v>22.0017610744613</v>
      </c>
      <c r="S113" s="55" t="n">
        <f aca="false">U113*V113*$F$5</f>
        <v>375.212598425197</v>
      </c>
      <c r="T113" s="56" t="n">
        <f aca="false">MAX(0,MIN(1,R113/100+$D$5))</f>
        <v>0.728072659711918</v>
      </c>
      <c r="U113" s="56" t="n">
        <v>0.224409448818898</v>
      </c>
      <c r="V113" s="55" t="n">
        <v>1672</v>
      </c>
      <c r="W113" s="56" t="n">
        <v>0.148097331980838</v>
      </c>
      <c r="X113" s="57" t="s">
        <v>129</v>
      </c>
      <c r="Y113" s="57" t="s">
        <v>130</v>
      </c>
    </row>
    <row r="114" customFormat="false" ht="15" hidden="false" customHeight="false" outlineLevel="0" collapsed="false">
      <c r="A114" s="25" t="s">
        <v>197</v>
      </c>
      <c r="B114" s="25" t="s">
        <v>199</v>
      </c>
      <c r="C114" s="25" t="s">
        <v>252</v>
      </c>
      <c r="D114" s="52" t="n">
        <f aca="false">ROUND(S114*T114,0)</f>
        <v>105</v>
      </c>
      <c r="E114" s="52" t="n">
        <f aca="false">ROUND(S114,0)-D114</f>
        <v>39</v>
      </c>
      <c r="F114" s="52" t="n">
        <f aca="false">IF(COUNTA(D114:E114)=0,"",SUM(D114:E114))</f>
        <v>144</v>
      </c>
      <c r="G114" s="53" t="n">
        <f aca="false">IF(OR(F114="",F114=0),"",D114/F114)</f>
        <v>0.729166666666667</v>
      </c>
      <c r="H114" s="53" t="n">
        <f aca="false">IF(OR(F114="",F114=0),"",E114/F114)</f>
        <v>0.270833333333333</v>
      </c>
      <c r="I114" s="25" t="s">
        <v>128</v>
      </c>
      <c r="J114" s="28" t="n">
        <v>3.42046080519466</v>
      </c>
      <c r="K114" s="28" t="n">
        <f aca="false">$K$8</f>
        <v>0.297030231526703</v>
      </c>
      <c r="L114" s="28" t="n">
        <f aca="false">SQRT(J114^2+K114^2)</f>
        <v>3.43333352273176</v>
      </c>
      <c r="M114" s="53" t="n">
        <f aca="false">IF(G114="","",MAX(0,G114-1.96*L114/100))</f>
        <v>0.661873329621124</v>
      </c>
      <c r="N114" s="53" t="n">
        <f aca="false">IF(G114="","",MIN(1,G114+1.96*L114/100))</f>
        <v>0.796460003712209</v>
      </c>
      <c r="O114" s="52" t="n">
        <f aca="false">ROUND(S114*W114,0)</f>
        <v>21</v>
      </c>
      <c r="P114" s="52" t="n">
        <f aca="false">IF(F114="","",ROUND(SQRT((F114*L114/100)^2+(G114*O114)^2),0))</f>
        <v>16</v>
      </c>
      <c r="R114" s="54" t="n">
        <v>22.3344791666822</v>
      </c>
      <c r="S114" s="55" t="n">
        <f aca="false">U114*V114*$F$5</f>
        <v>143.58320610687</v>
      </c>
      <c r="T114" s="56" t="n">
        <f aca="false">MAX(0,MIN(1,R114/100+$D$5))</f>
        <v>0.731399840634127</v>
      </c>
      <c r="U114" s="56" t="n">
        <v>0.215267175572519</v>
      </c>
      <c r="V114" s="55" t="n">
        <v>667</v>
      </c>
      <c r="W114" s="56" t="n">
        <v>0.148097331980838</v>
      </c>
      <c r="X114" s="57" t="s">
        <v>129</v>
      </c>
      <c r="Y114" s="57" t="s">
        <v>130</v>
      </c>
    </row>
    <row r="115" customFormat="false" ht="15" hidden="false" customHeight="false" outlineLevel="0" collapsed="false">
      <c r="A115" s="25" t="s">
        <v>197</v>
      </c>
      <c r="B115" s="25" t="s">
        <v>199</v>
      </c>
      <c r="C115" s="25" t="s">
        <v>253</v>
      </c>
      <c r="D115" s="52" t="n">
        <f aca="false">ROUND(S115*T115,0)</f>
        <v>128</v>
      </c>
      <c r="E115" s="52" t="n">
        <f aca="false">ROUND(S115,0)-D115</f>
        <v>47</v>
      </c>
      <c r="F115" s="52" t="n">
        <f aca="false">IF(COUNTA(D115:E115)=0,"",SUM(D115:E115))</f>
        <v>175</v>
      </c>
      <c r="G115" s="53" t="n">
        <f aca="false">IF(OR(F115="",F115=0),"",D115/F115)</f>
        <v>0.731428571428571</v>
      </c>
      <c r="H115" s="53" t="n">
        <f aca="false">IF(OR(F115="",F115=0),"",E115/F115)</f>
        <v>0.268571428571429</v>
      </c>
      <c r="I115" s="25" t="s">
        <v>128</v>
      </c>
      <c r="J115" s="28" t="n">
        <v>3.42046080519466</v>
      </c>
      <c r="K115" s="28" t="n">
        <f aca="false">$K$8</f>
        <v>0.297030231526703</v>
      </c>
      <c r="L115" s="28" t="n">
        <f aca="false">SQRT(J115^2+K115^2)</f>
        <v>3.43333352273176</v>
      </c>
      <c r="M115" s="53" t="n">
        <f aca="false">IF(G115="","",MAX(0,G115-1.96*L115/100))</f>
        <v>0.664135234383029</v>
      </c>
      <c r="N115" s="53" t="n">
        <f aca="false">IF(G115="","",MIN(1,G115+1.96*L115/100))</f>
        <v>0.798721908474114</v>
      </c>
      <c r="O115" s="52" t="n">
        <f aca="false">ROUND(S115*W115,0)</f>
        <v>26</v>
      </c>
      <c r="P115" s="52" t="n">
        <f aca="false">IF(F115="","",ROUND(SQRT((F115*L115/100)^2+(G115*O115)^2),0))</f>
        <v>20</v>
      </c>
      <c r="R115" s="54" t="n">
        <v>22.2844204499815</v>
      </c>
      <c r="S115" s="55" t="n">
        <f aca="false">U115*V115*$F$5</f>
        <v>174.69400244798</v>
      </c>
      <c r="T115" s="56" t="n">
        <f aca="false">MAX(0,MIN(1,R115/100+$D$5))</f>
        <v>0.73089925346712</v>
      </c>
      <c r="U115" s="56" t="n">
        <v>0.211750305997552</v>
      </c>
      <c r="V115" s="55" t="n">
        <v>825</v>
      </c>
      <c r="W115" s="56" t="n">
        <v>0.148097331980838</v>
      </c>
      <c r="X115" s="57" t="s">
        <v>129</v>
      </c>
      <c r="Y115" s="57" t="s">
        <v>130</v>
      </c>
    </row>
    <row r="116" customFormat="false" ht="15" hidden="false" customHeight="false" outlineLevel="0" collapsed="false">
      <c r="A116" s="25" t="s">
        <v>197</v>
      </c>
      <c r="B116" s="25" t="s">
        <v>199</v>
      </c>
      <c r="C116" s="25" t="s">
        <v>254</v>
      </c>
      <c r="D116" s="52" t="n">
        <f aca="false">ROUND(S116*T116,0)</f>
        <v>192</v>
      </c>
      <c r="E116" s="52" t="n">
        <f aca="false">ROUND(S116,0)-D116</f>
        <v>71</v>
      </c>
      <c r="F116" s="52" t="n">
        <f aca="false">IF(COUNTA(D116:E116)=0,"",SUM(D116:E116))</f>
        <v>263</v>
      </c>
      <c r="G116" s="53" t="n">
        <f aca="false">IF(OR(F116="",F116=0),"",D116/F116)</f>
        <v>0.730038022813688</v>
      </c>
      <c r="H116" s="53" t="n">
        <f aca="false">IF(OR(F116="",F116=0),"",E116/F116)</f>
        <v>0.269961977186312</v>
      </c>
      <c r="I116" s="25" t="s">
        <v>128</v>
      </c>
      <c r="J116" s="28" t="n">
        <v>3.42046080519466</v>
      </c>
      <c r="K116" s="28" t="n">
        <f aca="false">$K$8</f>
        <v>0.297030231526703</v>
      </c>
      <c r="L116" s="28" t="n">
        <f aca="false">SQRT(J116^2+K116^2)</f>
        <v>3.43333352273176</v>
      </c>
      <c r="M116" s="53" t="n">
        <f aca="false">IF(G116="","",MAX(0,G116-1.96*L116/100))</f>
        <v>0.662744685768146</v>
      </c>
      <c r="N116" s="53" t="n">
        <f aca="false">IF(G116="","",MIN(1,G116+1.96*L116/100))</f>
        <v>0.797331359859231</v>
      </c>
      <c r="O116" s="52" t="n">
        <f aca="false">ROUND(S116*W116,0)</f>
        <v>39</v>
      </c>
      <c r="P116" s="52" t="n">
        <f aca="false">IF(F116="","",ROUND(SQRT((F116*L116/100)^2+(G116*O116)^2),0))</f>
        <v>30</v>
      </c>
      <c r="R116" s="54" t="n">
        <v>22.2436192673281</v>
      </c>
      <c r="S116" s="55" t="n">
        <f aca="false">U116*V116*$F$5</f>
        <v>263.436544342508</v>
      </c>
      <c r="T116" s="56" t="n">
        <f aca="false">MAX(0,MIN(1,R116/100+$D$5))</f>
        <v>0.730491241640585</v>
      </c>
      <c r="U116" s="56" t="n">
        <v>0.210244648318043</v>
      </c>
      <c r="V116" s="55" t="n">
        <v>1253</v>
      </c>
      <c r="W116" s="56" t="n">
        <v>0.148097331980838</v>
      </c>
      <c r="X116" s="57" t="s">
        <v>129</v>
      </c>
      <c r="Y116" s="57" t="s">
        <v>130</v>
      </c>
    </row>
    <row r="117" customFormat="false" ht="15" hidden="false" customHeight="false" outlineLevel="0" collapsed="false">
      <c r="A117" s="25" t="s">
        <v>197</v>
      </c>
      <c r="B117" s="25" t="s">
        <v>199</v>
      </c>
      <c r="C117" s="25" t="s">
        <v>255</v>
      </c>
      <c r="D117" s="52" t="n">
        <f aca="false">ROUND(S117*T117,0)</f>
        <v>326</v>
      </c>
      <c r="E117" s="52" t="n">
        <f aca="false">ROUND(S117,0)-D117</f>
        <v>167</v>
      </c>
      <c r="F117" s="52" t="n">
        <f aca="false">IF(COUNTA(D117:E117)=0,"",SUM(D117:E117))</f>
        <v>493</v>
      </c>
      <c r="G117" s="53" t="n">
        <f aca="false">IF(OR(F117="",F117=0),"",D117/F117)</f>
        <v>0.661257606490872</v>
      </c>
      <c r="H117" s="53" t="n">
        <f aca="false">IF(OR(F117="",F117=0),"",E117/F117)</f>
        <v>0.338742393509128</v>
      </c>
      <c r="I117" s="25" t="s">
        <v>128</v>
      </c>
      <c r="J117" s="28" t="n">
        <v>3.42046080519466</v>
      </c>
      <c r="K117" s="28" t="n">
        <f aca="false">$K$8</f>
        <v>0.297030231526703</v>
      </c>
      <c r="L117" s="28" t="n">
        <f aca="false">SQRT(J117^2+K117^2)</f>
        <v>3.43333352273176</v>
      </c>
      <c r="M117" s="53" t="n">
        <f aca="false">IF(G117="","",MAX(0,G117-1.96*L117/100))</f>
        <v>0.59396426944533</v>
      </c>
      <c r="N117" s="53" t="n">
        <f aca="false">IF(G117="","",MIN(1,G117+1.96*L117/100))</f>
        <v>0.728550943536415</v>
      </c>
      <c r="O117" s="52" t="n">
        <f aca="false">ROUND(S117*W117,0)</f>
        <v>73</v>
      </c>
      <c r="P117" s="52" t="n">
        <f aca="false">IF(F117="","",ROUND(SQRT((F117*L117/100)^2+(G117*O117)^2),0))</f>
        <v>51</v>
      </c>
      <c r="R117" s="54" t="n">
        <v>15.2262394272856</v>
      </c>
      <c r="S117" s="55" t="n">
        <f aca="false">U117*V117*$F$5</f>
        <v>493.360186418109</v>
      </c>
      <c r="T117" s="56" t="n">
        <f aca="false">MAX(0,MIN(1,R117/100+$D$5))</f>
        <v>0.660317443240161</v>
      </c>
      <c r="U117" s="56" t="n">
        <v>0.330892143808256</v>
      </c>
      <c r="V117" s="55" t="n">
        <v>1491</v>
      </c>
      <c r="W117" s="56" t="n">
        <v>0.148097331980838</v>
      </c>
      <c r="X117" s="57" t="s">
        <v>129</v>
      </c>
      <c r="Y117" s="57" t="s">
        <v>130</v>
      </c>
    </row>
    <row r="118" customFormat="false" ht="15" hidden="false" customHeight="false" outlineLevel="0" collapsed="false">
      <c r="A118" s="25" t="s">
        <v>197</v>
      </c>
      <c r="B118" s="25" t="s">
        <v>199</v>
      </c>
      <c r="C118" s="25" t="s">
        <v>256</v>
      </c>
      <c r="D118" s="52" t="n">
        <f aca="false">ROUND(S118*T118,0)</f>
        <v>149</v>
      </c>
      <c r="E118" s="52" t="n">
        <f aca="false">ROUND(S118,0)-D118</f>
        <v>75</v>
      </c>
      <c r="F118" s="52" t="n">
        <f aca="false">IF(COUNTA(D118:E118)=0,"",SUM(D118:E118))</f>
        <v>224</v>
      </c>
      <c r="G118" s="53" t="n">
        <f aca="false">IF(OR(F118="",F118=0),"",D118/F118)</f>
        <v>0.665178571428571</v>
      </c>
      <c r="H118" s="53" t="n">
        <f aca="false">IF(OR(F118="",F118=0),"",E118/F118)</f>
        <v>0.334821428571429</v>
      </c>
      <c r="I118" s="25" t="s">
        <v>128</v>
      </c>
      <c r="J118" s="28" t="n">
        <v>3.42046080519466</v>
      </c>
      <c r="K118" s="28" t="n">
        <f aca="false">$K$8</f>
        <v>0.297030231526703</v>
      </c>
      <c r="L118" s="28" t="n">
        <f aca="false">SQRT(J118^2+K118^2)</f>
        <v>3.43333352273176</v>
      </c>
      <c r="M118" s="53" t="n">
        <f aca="false">IF(G118="","",MAX(0,G118-1.96*L118/100))</f>
        <v>0.597885234383029</v>
      </c>
      <c r="N118" s="53" t="n">
        <f aca="false">IF(G118="","",MIN(1,G118+1.96*L118/100))</f>
        <v>0.732471908474114</v>
      </c>
      <c r="O118" s="52" t="n">
        <f aca="false">ROUND(S118*W118,0)</f>
        <v>33</v>
      </c>
      <c r="P118" s="52" t="n">
        <f aca="false">IF(F118="","",ROUND(SQRT((F118*L118/100)^2+(G118*O118)^2),0))</f>
        <v>23</v>
      </c>
      <c r="R118" s="54" t="n">
        <v>15.8893670225758</v>
      </c>
      <c r="S118" s="55" t="n">
        <f aca="false">U118*V118*$F$5</f>
        <v>223.817896389325</v>
      </c>
      <c r="T118" s="56" t="n">
        <f aca="false">MAX(0,MIN(1,R118/100+$D$5))</f>
        <v>0.666948719193062</v>
      </c>
      <c r="U118" s="56" t="n">
        <v>0.342229199372057</v>
      </c>
      <c r="V118" s="55" t="n">
        <v>654</v>
      </c>
      <c r="W118" s="56" t="n">
        <v>0.148097331980838</v>
      </c>
      <c r="X118" s="57" t="s">
        <v>129</v>
      </c>
      <c r="Y118" s="57" t="s">
        <v>130</v>
      </c>
    </row>
    <row r="119" customFormat="false" ht="15" hidden="false" customHeight="false" outlineLevel="0" collapsed="false">
      <c r="A119" s="25" t="s">
        <v>197</v>
      </c>
      <c r="B119" s="25" t="s">
        <v>199</v>
      </c>
      <c r="C119" s="25" t="s">
        <v>257</v>
      </c>
      <c r="D119" s="52" t="n">
        <f aca="false">ROUND(S119*T119,0)</f>
        <v>165</v>
      </c>
      <c r="E119" s="52" t="n">
        <f aca="false">ROUND(S119,0)-D119</f>
        <v>77</v>
      </c>
      <c r="F119" s="52" t="n">
        <f aca="false">IF(COUNTA(D119:E119)=0,"",SUM(D119:E119))</f>
        <v>242</v>
      </c>
      <c r="G119" s="53" t="n">
        <f aca="false">IF(OR(F119="",F119=0),"",D119/F119)</f>
        <v>0.681818181818182</v>
      </c>
      <c r="H119" s="53" t="n">
        <f aca="false">IF(OR(F119="",F119=0),"",E119/F119)</f>
        <v>0.318181818181818</v>
      </c>
      <c r="I119" s="25" t="s">
        <v>128</v>
      </c>
      <c r="J119" s="28" t="n">
        <v>3.42046080519466</v>
      </c>
      <c r="K119" s="28" t="n">
        <f aca="false">$K$8</f>
        <v>0.297030231526703</v>
      </c>
      <c r="L119" s="28" t="n">
        <f aca="false">SQRT(J119^2+K119^2)</f>
        <v>3.43333352273176</v>
      </c>
      <c r="M119" s="53" t="n">
        <f aca="false">IF(G119="","",MAX(0,G119-1.96*L119/100))</f>
        <v>0.614524844772639</v>
      </c>
      <c r="N119" s="53" t="n">
        <f aca="false">IF(G119="","",MIN(1,G119+1.96*L119/100))</f>
        <v>0.749111518863724</v>
      </c>
      <c r="O119" s="52" t="n">
        <f aca="false">ROUND(S119*W119,0)</f>
        <v>36</v>
      </c>
      <c r="P119" s="52" t="n">
        <f aca="false">IF(F119="","",ROUND(SQRT((F119*L119/100)^2+(G119*O119)^2),0))</f>
        <v>26</v>
      </c>
      <c r="R119" s="54" t="n">
        <v>17.1547872879579</v>
      </c>
      <c r="S119" s="55" t="n">
        <f aca="false">U119*V119*$F$5</f>
        <v>242.481171548117</v>
      </c>
      <c r="T119" s="56" t="n">
        <f aca="false">MAX(0,MIN(1,R119/100+$D$5))</f>
        <v>0.679602921846884</v>
      </c>
      <c r="U119" s="56" t="n">
        <v>0.248953974895398</v>
      </c>
      <c r="V119" s="55" t="n">
        <v>974</v>
      </c>
      <c r="W119" s="56" t="n">
        <v>0.148097331980838</v>
      </c>
      <c r="X119" s="57" t="s">
        <v>129</v>
      </c>
      <c r="Y119" s="57" t="s">
        <v>130</v>
      </c>
    </row>
    <row r="120" customFormat="false" ht="15" hidden="false" customHeight="false" outlineLevel="0" collapsed="false">
      <c r="A120" s="25" t="s">
        <v>197</v>
      </c>
      <c r="B120" s="25" t="s">
        <v>199</v>
      </c>
      <c r="C120" s="25" t="s">
        <v>258</v>
      </c>
      <c r="D120" s="52" t="n">
        <f aca="false">ROUND(S120*T120,0)</f>
        <v>279</v>
      </c>
      <c r="E120" s="52" t="n">
        <f aca="false">ROUND(S120,0)-D120</f>
        <v>170</v>
      </c>
      <c r="F120" s="52" t="n">
        <f aca="false">IF(COUNTA(D120:E120)=0,"",SUM(D120:E120))</f>
        <v>449</v>
      </c>
      <c r="G120" s="53" t="n">
        <f aca="false">IF(OR(F120="",F120=0),"",D120/F120)</f>
        <v>0.621380846325167</v>
      </c>
      <c r="H120" s="53" t="n">
        <f aca="false">IF(OR(F120="",F120=0),"",E120/F120)</f>
        <v>0.378619153674833</v>
      </c>
      <c r="I120" s="25" t="s">
        <v>128</v>
      </c>
      <c r="J120" s="28" t="n">
        <v>3.42046080519466</v>
      </c>
      <c r="K120" s="28" t="n">
        <f aca="false">$K$8</f>
        <v>0.297030231526703</v>
      </c>
      <c r="L120" s="28" t="n">
        <f aca="false">SQRT(J120^2+K120^2)</f>
        <v>3.43333352273176</v>
      </c>
      <c r="M120" s="53" t="n">
        <f aca="false">IF(G120="","",MAX(0,G120-1.96*L120/100))</f>
        <v>0.554087509279625</v>
      </c>
      <c r="N120" s="53" t="n">
        <f aca="false">IF(G120="","",MIN(1,G120+1.96*L120/100))</f>
        <v>0.68867418337071</v>
      </c>
      <c r="O120" s="52" t="n">
        <f aca="false">ROUND(S120*W120,0)</f>
        <v>66</v>
      </c>
      <c r="P120" s="52" t="n">
        <f aca="false">IF(F120="","",ROUND(SQRT((F120*L120/100)^2+(G120*O120)^2),0))</f>
        <v>44</v>
      </c>
      <c r="R120" s="54" t="n">
        <v>11.4361030018503</v>
      </c>
      <c r="S120" s="55" t="n">
        <f aca="false">U120*V120*$F$5</f>
        <v>448.675647668394</v>
      </c>
      <c r="T120" s="56" t="n">
        <f aca="false">MAX(0,MIN(1,R120/100+$D$5))</f>
        <v>0.622416078985808</v>
      </c>
      <c r="U120" s="56" t="n">
        <v>0.437305699481865</v>
      </c>
      <c r="V120" s="55" t="n">
        <v>1026</v>
      </c>
      <c r="W120" s="56" t="n">
        <v>0.148097331980838</v>
      </c>
      <c r="X120" s="57" t="s">
        <v>129</v>
      </c>
      <c r="Y120" s="57" t="s">
        <v>130</v>
      </c>
    </row>
    <row r="121" customFormat="false" ht="15" hidden="false" customHeight="false" outlineLevel="0" collapsed="false">
      <c r="A121" s="25" t="s">
        <v>197</v>
      </c>
      <c r="B121" s="25" t="s">
        <v>199</v>
      </c>
      <c r="C121" s="25" t="s">
        <v>259</v>
      </c>
      <c r="D121" s="52" t="n">
        <f aca="false">ROUND(S121*T121,0)</f>
        <v>213</v>
      </c>
      <c r="E121" s="52" t="n">
        <f aca="false">ROUND(S121,0)-D121</f>
        <v>97</v>
      </c>
      <c r="F121" s="52" t="n">
        <f aca="false">IF(COUNTA(D121:E121)=0,"",SUM(D121:E121))</f>
        <v>310</v>
      </c>
      <c r="G121" s="53" t="n">
        <f aca="false">IF(OR(F121="",F121=0),"",D121/F121)</f>
        <v>0.687096774193548</v>
      </c>
      <c r="H121" s="53" t="n">
        <f aca="false">IF(OR(F121="",F121=0),"",E121/F121)</f>
        <v>0.312903225806452</v>
      </c>
      <c r="I121" s="25" t="s">
        <v>128</v>
      </c>
      <c r="J121" s="28" t="n">
        <v>3.42046080519466</v>
      </c>
      <c r="K121" s="28" t="n">
        <f aca="false">$K$8</f>
        <v>0.297030231526703</v>
      </c>
      <c r="L121" s="28" t="n">
        <f aca="false">SQRT(J121^2+K121^2)</f>
        <v>3.43333352273176</v>
      </c>
      <c r="M121" s="53" t="n">
        <f aca="false">IF(G121="","",MAX(0,G121-1.96*L121/100))</f>
        <v>0.619803437148006</v>
      </c>
      <c r="N121" s="53" t="n">
        <f aca="false">IF(G121="","",MIN(1,G121+1.96*L121/100))</f>
        <v>0.754390111239091</v>
      </c>
      <c r="O121" s="52" t="n">
        <f aca="false">ROUND(S121*W121,0)</f>
        <v>46</v>
      </c>
      <c r="P121" s="52" t="n">
        <f aca="false">IF(F121="","",ROUND(SQRT((F121*L121/100)^2+(G121*O121)^2),0))</f>
        <v>33</v>
      </c>
      <c r="R121" s="54" t="n">
        <v>17.7217845461799</v>
      </c>
      <c r="S121" s="55" t="n">
        <f aca="false">U121*V121*$F$5</f>
        <v>310.16656308266</v>
      </c>
      <c r="T121" s="56" t="n">
        <f aca="false">MAX(0,MIN(1,R121/100+$D$5))</f>
        <v>0.685272894429104</v>
      </c>
      <c r="U121" s="56" t="n">
        <v>0.187072715972654</v>
      </c>
      <c r="V121" s="55" t="n">
        <v>1658</v>
      </c>
      <c r="W121" s="56" t="n">
        <v>0.148097331980838</v>
      </c>
      <c r="X121" s="57" t="s">
        <v>129</v>
      </c>
      <c r="Y121" s="57" t="s">
        <v>130</v>
      </c>
    </row>
    <row r="122" customFormat="false" ht="15" hidden="false" customHeight="false" outlineLevel="0" collapsed="false">
      <c r="A122" s="25" t="s">
        <v>197</v>
      </c>
      <c r="B122" s="25" t="s">
        <v>260</v>
      </c>
      <c r="C122" s="25" t="s">
        <v>261</v>
      </c>
      <c r="D122" s="52" t="n">
        <f aca="false">ROUND(S122*T122,0)</f>
        <v>467</v>
      </c>
      <c r="E122" s="52" t="n">
        <f aca="false">ROUND(S122,0)-D122</f>
        <v>190</v>
      </c>
      <c r="F122" s="52" t="n">
        <f aca="false">IF(COUNTA(D122:E122)=0,"",SUM(D122:E122))</f>
        <v>657</v>
      </c>
      <c r="G122" s="53" t="n">
        <f aca="false">IF(OR(F122="",F122=0),"",D122/F122)</f>
        <v>0.710806697108067</v>
      </c>
      <c r="H122" s="53" t="n">
        <f aca="false">IF(OR(F122="",F122=0),"",E122/F122)</f>
        <v>0.289193302891933</v>
      </c>
      <c r="I122" s="25" t="s">
        <v>128</v>
      </c>
      <c r="J122" s="28" t="n">
        <v>2.11716121919269</v>
      </c>
      <c r="K122" s="28" t="n">
        <f aca="false">$K$8</f>
        <v>0.297030231526703</v>
      </c>
      <c r="L122" s="28" t="n">
        <f aca="false">SQRT(J122^2+K122^2)</f>
        <v>2.13789583153489</v>
      </c>
      <c r="M122" s="53" t="n">
        <f aca="false">IF(G122="","",MAX(0,G122-1.96*L122/100))</f>
        <v>0.668903938809983</v>
      </c>
      <c r="N122" s="53" t="n">
        <f aca="false">IF(G122="","",MIN(1,G122+1.96*L122/100))</f>
        <v>0.752709455406151</v>
      </c>
      <c r="O122" s="52" t="n">
        <f aca="false">ROUND(S122*W122,0)</f>
        <v>58</v>
      </c>
      <c r="P122" s="52" t="n">
        <f aca="false">IF(F122="","",ROUND(SQRT((F122*L122/100)^2+(G122*O122)^2),0))</f>
        <v>44</v>
      </c>
      <c r="R122" s="54" t="n">
        <v>20.2181470733621</v>
      </c>
      <c r="S122" s="55" t="n">
        <f aca="false">U122*V122*$F$5</f>
        <v>657.496995708155</v>
      </c>
      <c r="T122" s="56" t="n">
        <f aca="false">MAX(0,MIN(1,R122/100+$D$5))</f>
        <v>0.710236519700926</v>
      </c>
      <c r="U122" s="56" t="n">
        <v>0.542489270386266</v>
      </c>
      <c r="V122" s="55" t="n">
        <v>1212</v>
      </c>
      <c r="W122" s="56" t="n">
        <v>0.0887445098984521</v>
      </c>
      <c r="X122" s="57" t="s">
        <v>135</v>
      </c>
      <c r="Y122" s="57" t="s">
        <v>130</v>
      </c>
    </row>
    <row r="123" customFormat="false" ht="15" hidden="false" customHeight="false" outlineLevel="0" collapsed="false">
      <c r="A123" s="25" t="s">
        <v>197</v>
      </c>
      <c r="B123" s="25" t="s">
        <v>260</v>
      </c>
      <c r="C123" s="25" t="s">
        <v>262</v>
      </c>
      <c r="D123" s="52" t="n">
        <f aca="false">ROUND(S123*T123,0)</f>
        <v>311</v>
      </c>
      <c r="E123" s="52" t="n">
        <f aca="false">ROUND(S123,0)-D123</f>
        <v>155</v>
      </c>
      <c r="F123" s="52" t="n">
        <f aca="false">IF(COUNTA(D123:E123)=0,"",SUM(D123:E123))</f>
        <v>466</v>
      </c>
      <c r="G123" s="53" t="n">
        <f aca="false">IF(OR(F123="",F123=0),"",D123/F123)</f>
        <v>0.667381974248927</v>
      </c>
      <c r="H123" s="53" t="n">
        <f aca="false">IF(OR(F123="",F123=0),"",E123/F123)</f>
        <v>0.332618025751073</v>
      </c>
      <c r="I123" s="25" t="s">
        <v>128</v>
      </c>
      <c r="J123" s="28" t="n">
        <v>3.42046080519466</v>
      </c>
      <c r="K123" s="28" t="n">
        <f aca="false">$K$8</f>
        <v>0.297030231526703</v>
      </c>
      <c r="L123" s="28" t="n">
        <f aca="false">SQRT(J123^2+K123^2)</f>
        <v>3.43333352273176</v>
      </c>
      <c r="M123" s="53" t="n">
        <f aca="false">IF(G123="","",MAX(0,G123-1.96*L123/100))</f>
        <v>0.600088637203385</v>
      </c>
      <c r="N123" s="53" t="n">
        <f aca="false">IF(G123="","",MIN(1,G123+1.96*L123/100))</f>
        <v>0.73467531129447</v>
      </c>
      <c r="O123" s="52" t="n">
        <f aca="false">ROUND(S123*W123,0)</f>
        <v>69</v>
      </c>
      <c r="P123" s="52" t="n">
        <f aca="false">IF(F123="","",ROUND(SQRT((F123*L123/100)^2+(G123*O123)^2),0))</f>
        <v>49</v>
      </c>
      <c r="R123" s="54" t="n">
        <v>15.9432545950213</v>
      </c>
      <c r="S123" s="55" t="n">
        <f aca="false">U123*V123*$F$5</f>
        <v>465.633707865169</v>
      </c>
      <c r="T123" s="56" t="n">
        <f aca="false">MAX(0,MIN(1,R123/100+$D$5))</f>
        <v>0.667487594917518</v>
      </c>
      <c r="U123" s="56" t="n">
        <v>0.519101123595506</v>
      </c>
      <c r="V123" s="55" t="n">
        <v>897</v>
      </c>
      <c r="W123" s="56" t="n">
        <v>0.148097331980838</v>
      </c>
      <c r="X123" s="57" t="s">
        <v>129</v>
      </c>
      <c r="Y123" s="57" t="s">
        <v>130</v>
      </c>
    </row>
    <row r="124" customFormat="false" ht="15" hidden="false" customHeight="false" outlineLevel="0" collapsed="false">
      <c r="A124" s="25" t="s">
        <v>197</v>
      </c>
      <c r="B124" s="25" t="s">
        <v>260</v>
      </c>
      <c r="C124" s="25" t="s">
        <v>263</v>
      </c>
      <c r="D124" s="52" t="n">
        <f aca="false">ROUND(S124*T124,0)</f>
        <v>349</v>
      </c>
      <c r="E124" s="52" t="n">
        <f aca="false">ROUND(S124,0)-D124</f>
        <v>138</v>
      </c>
      <c r="F124" s="52" t="n">
        <f aca="false">IF(COUNTA(D124:E124)=0,"",SUM(D124:E124))</f>
        <v>487</v>
      </c>
      <c r="G124" s="53" t="n">
        <f aca="false">IF(OR(F124="",F124=0),"",D124/F124)</f>
        <v>0.716632443531828</v>
      </c>
      <c r="H124" s="53" t="n">
        <f aca="false">IF(OR(F124="",F124=0),"",E124/F124)</f>
        <v>0.283367556468172</v>
      </c>
      <c r="I124" s="25" t="s">
        <v>128</v>
      </c>
      <c r="J124" s="28" t="n">
        <v>3.42046080519466</v>
      </c>
      <c r="K124" s="28" t="n">
        <f aca="false">$K$8</f>
        <v>0.297030231526703</v>
      </c>
      <c r="L124" s="28" t="n">
        <f aca="false">SQRT(J124^2+K124^2)</f>
        <v>3.43333352273176</v>
      </c>
      <c r="M124" s="53" t="n">
        <f aca="false">IF(G124="","",MAX(0,G124-1.96*L124/100))</f>
        <v>0.649339106486285</v>
      </c>
      <c r="N124" s="53" t="n">
        <f aca="false">IF(G124="","",MIN(1,G124+1.96*L124/100))</f>
        <v>0.78392578057737</v>
      </c>
      <c r="O124" s="52" t="n">
        <f aca="false">ROUND(S124*W124,0)</f>
        <v>72</v>
      </c>
      <c r="P124" s="52" t="n">
        <f aca="false">IF(F124="","",ROUND(SQRT((F124*L124/100)^2+(G124*O124)^2),0))</f>
        <v>54</v>
      </c>
      <c r="R124" s="54" t="n">
        <v>20.8128203342603</v>
      </c>
      <c r="S124" s="55" t="n">
        <f aca="false">U124*V124*$F$5</f>
        <v>486.64</v>
      </c>
      <c r="T124" s="56" t="n">
        <f aca="false">MAX(0,MIN(1,R124/100+$D$5))</f>
        <v>0.716183252309907</v>
      </c>
      <c r="U124" s="56" t="n">
        <v>0.56</v>
      </c>
      <c r="V124" s="55" t="n">
        <v>869</v>
      </c>
      <c r="W124" s="56" t="n">
        <v>0.148097331980838</v>
      </c>
      <c r="X124" s="57" t="s">
        <v>129</v>
      </c>
      <c r="Y124" s="57" t="s">
        <v>130</v>
      </c>
    </row>
    <row r="125" customFormat="false" ht="15" hidden="false" customHeight="false" outlineLevel="0" collapsed="false">
      <c r="A125" s="25" t="s">
        <v>197</v>
      </c>
      <c r="B125" s="25" t="s">
        <v>260</v>
      </c>
      <c r="C125" s="25" t="s">
        <v>264</v>
      </c>
      <c r="D125" s="52" t="n">
        <f aca="false">ROUND(S125*T125,0)</f>
        <v>375</v>
      </c>
      <c r="E125" s="52" t="n">
        <f aca="false">ROUND(S125,0)-D125</f>
        <v>172</v>
      </c>
      <c r="F125" s="52" t="n">
        <f aca="false">IF(COUNTA(D125:E125)=0,"",SUM(D125:E125))</f>
        <v>547</v>
      </c>
      <c r="G125" s="53" t="n">
        <f aca="false">IF(OR(F125="",F125=0),"",D125/F125)</f>
        <v>0.685557586837294</v>
      </c>
      <c r="H125" s="53" t="n">
        <f aca="false">IF(OR(F125="",F125=0),"",E125/F125)</f>
        <v>0.314442413162706</v>
      </c>
      <c r="I125" s="25" t="s">
        <v>128</v>
      </c>
      <c r="J125" s="28" t="n">
        <v>3.42046080519466</v>
      </c>
      <c r="K125" s="28" t="n">
        <f aca="false">$K$8</f>
        <v>0.297030231526703</v>
      </c>
      <c r="L125" s="28" t="n">
        <f aca="false">SQRT(J125^2+K125^2)</f>
        <v>3.43333352273176</v>
      </c>
      <c r="M125" s="53" t="n">
        <f aca="false">IF(G125="","",MAX(0,G125-1.96*L125/100))</f>
        <v>0.618264249791752</v>
      </c>
      <c r="N125" s="53" t="n">
        <f aca="false">IF(G125="","",MIN(1,G125+1.96*L125/100))</f>
        <v>0.752850923882837</v>
      </c>
      <c r="O125" s="52" t="n">
        <f aca="false">ROUND(S125*W125,0)</f>
        <v>81</v>
      </c>
      <c r="P125" s="52" t="n">
        <f aca="false">IF(F125="","",ROUND(SQRT((F125*L125/100)^2+(G125*O125)^2),0))</f>
        <v>59</v>
      </c>
      <c r="R125" s="54" t="n">
        <v>17.7938553695085</v>
      </c>
      <c r="S125" s="55" t="n">
        <f aca="false">U125*V125*$F$5</f>
        <v>547.019495412844</v>
      </c>
      <c r="T125" s="56" t="n">
        <f aca="false">MAX(0,MIN(1,R125/100+$D$5))</f>
        <v>0.68599360266239</v>
      </c>
      <c r="U125" s="56" t="n">
        <v>0.666284403669725</v>
      </c>
      <c r="V125" s="55" t="n">
        <v>821</v>
      </c>
      <c r="W125" s="56" t="n">
        <v>0.148097331980838</v>
      </c>
      <c r="X125" s="57" t="s">
        <v>129</v>
      </c>
      <c r="Y125" s="57" t="s">
        <v>130</v>
      </c>
    </row>
    <row r="126" customFormat="false" ht="15" hidden="false" customHeight="false" outlineLevel="0" collapsed="false">
      <c r="A126" s="25" t="s">
        <v>197</v>
      </c>
      <c r="B126" s="25" t="s">
        <v>260</v>
      </c>
      <c r="C126" s="25" t="s">
        <v>265</v>
      </c>
      <c r="D126" s="52" t="n">
        <f aca="false">ROUND(S126*T126,0)</f>
        <v>577</v>
      </c>
      <c r="E126" s="52" t="n">
        <f aca="false">ROUND(S126,0)-D126</f>
        <v>321</v>
      </c>
      <c r="F126" s="52" t="n">
        <f aca="false">IF(COUNTA(D126:E126)=0,"",SUM(D126:E126))</f>
        <v>898</v>
      </c>
      <c r="G126" s="53" t="n">
        <f aca="false">IF(OR(F126="",F126=0),"",D126/F126)</f>
        <v>0.642538975501114</v>
      </c>
      <c r="H126" s="53" t="n">
        <f aca="false">IF(OR(F126="",F126=0),"",E126/F126)</f>
        <v>0.357461024498886</v>
      </c>
      <c r="I126" s="25" t="s">
        <v>128</v>
      </c>
      <c r="J126" s="28" t="n">
        <v>2.11716121919269</v>
      </c>
      <c r="K126" s="28" t="n">
        <f aca="false">$K$8</f>
        <v>0.297030231526703</v>
      </c>
      <c r="L126" s="28" t="n">
        <f aca="false">SQRT(J126^2+K126^2)</f>
        <v>2.13789583153489</v>
      </c>
      <c r="M126" s="53" t="n">
        <f aca="false">IF(G126="","",MAX(0,G126-1.96*L126/100))</f>
        <v>0.60063621720303</v>
      </c>
      <c r="N126" s="53" t="n">
        <f aca="false">IF(G126="","",MIN(1,G126+1.96*L126/100))</f>
        <v>0.684441733799198</v>
      </c>
      <c r="O126" s="52" t="n">
        <f aca="false">ROUND(S126*W126,0)</f>
        <v>80</v>
      </c>
      <c r="P126" s="52" t="n">
        <f aca="false">IF(F126="","",ROUND(SQRT((F126*L126/100)^2+(G126*O126)^2),0))</f>
        <v>55</v>
      </c>
      <c r="R126" s="54" t="n">
        <v>13.4616493298908</v>
      </c>
      <c r="S126" s="55" t="n">
        <f aca="false">U126*V126*$F$5</f>
        <v>898.212765957447</v>
      </c>
      <c r="T126" s="56" t="n">
        <f aca="false">MAX(0,MIN(1,R126/100+$D$5))</f>
        <v>0.642671542266213</v>
      </c>
      <c r="U126" s="56" t="n">
        <v>0.510638297872341</v>
      </c>
      <c r="V126" s="55" t="n">
        <v>1759</v>
      </c>
      <c r="W126" s="56" t="n">
        <v>0.0887445098984521</v>
      </c>
      <c r="X126" s="57" t="s">
        <v>135</v>
      </c>
      <c r="Y126" s="57" t="s">
        <v>130</v>
      </c>
    </row>
    <row r="127" customFormat="false" ht="15" hidden="false" customHeight="false" outlineLevel="0" collapsed="false">
      <c r="A127" s="25" t="s">
        <v>197</v>
      </c>
      <c r="B127" s="25" t="s">
        <v>260</v>
      </c>
      <c r="C127" s="25" t="s">
        <v>266</v>
      </c>
      <c r="D127" s="52" t="n">
        <f aca="false">ROUND(S127*T127,0)</f>
        <v>394</v>
      </c>
      <c r="E127" s="52" t="n">
        <f aca="false">ROUND(S127,0)-D127</f>
        <v>240</v>
      </c>
      <c r="F127" s="52" t="n">
        <f aca="false">IF(COUNTA(D127:E127)=0,"",SUM(D127:E127))</f>
        <v>634</v>
      </c>
      <c r="G127" s="53" t="n">
        <f aca="false">IF(OR(F127="",F127=0),"",D127/F127)</f>
        <v>0.621451104100946</v>
      </c>
      <c r="H127" s="53" t="n">
        <f aca="false">IF(OR(F127="",F127=0),"",E127/F127)</f>
        <v>0.378548895899054</v>
      </c>
      <c r="I127" s="25" t="s">
        <v>128</v>
      </c>
      <c r="J127" s="28" t="n">
        <v>2.11716121919269</v>
      </c>
      <c r="K127" s="28" t="n">
        <f aca="false">$K$8</f>
        <v>0.297030231526703</v>
      </c>
      <c r="L127" s="28" t="n">
        <f aca="false">SQRT(J127^2+K127^2)</f>
        <v>2.13789583153489</v>
      </c>
      <c r="M127" s="53" t="n">
        <f aca="false">IF(G127="","",MAX(0,G127-1.96*L127/100))</f>
        <v>0.579548345802863</v>
      </c>
      <c r="N127" s="53" t="n">
        <f aca="false">IF(G127="","",MIN(1,G127+1.96*L127/100))</f>
        <v>0.66335386239903</v>
      </c>
      <c r="O127" s="52" t="n">
        <f aca="false">ROUND(S127*W127,0)</f>
        <v>56</v>
      </c>
      <c r="P127" s="52" t="n">
        <f aca="false">IF(F127="","",ROUND(SQRT((F127*L127/100)^2+(G127*O127)^2),0))</f>
        <v>37</v>
      </c>
      <c r="R127" s="54" t="n">
        <v>11.290398717967</v>
      </c>
      <c r="S127" s="55" t="n">
        <f aca="false">U127*V127*$F$5</f>
        <v>634.007858546169</v>
      </c>
      <c r="T127" s="56" t="n">
        <f aca="false">MAX(0,MIN(1,R127/100+$D$5))</f>
        <v>0.620959036146975</v>
      </c>
      <c r="U127" s="56" t="n">
        <v>0.609037328094303</v>
      </c>
      <c r="V127" s="55" t="n">
        <v>1041</v>
      </c>
      <c r="W127" s="56" t="n">
        <v>0.0887445098984521</v>
      </c>
      <c r="X127" s="57" t="s">
        <v>135</v>
      </c>
      <c r="Y127" s="57" t="s">
        <v>130</v>
      </c>
    </row>
    <row r="128" customFormat="false" ht="15" hidden="false" customHeight="false" outlineLevel="0" collapsed="false">
      <c r="A128" s="25" t="s">
        <v>197</v>
      </c>
      <c r="B128" s="25" t="s">
        <v>260</v>
      </c>
      <c r="C128" s="25" t="s">
        <v>267</v>
      </c>
      <c r="D128" s="52" t="n">
        <f aca="false">ROUND(S128*T128,0)</f>
        <v>441</v>
      </c>
      <c r="E128" s="52" t="n">
        <f aca="false">ROUND(S128,0)-D128</f>
        <v>286</v>
      </c>
      <c r="F128" s="52" t="n">
        <f aca="false">IF(COUNTA(D128:E128)=0,"",SUM(D128:E128))</f>
        <v>727</v>
      </c>
      <c r="G128" s="53" t="n">
        <f aca="false">IF(OR(F128="",F128=0),"",D128/F128)</f>
        <v>0.606602475928473</v>
      </c>
      <c r="H128" s="53" t="n">
        <f aca="false">IF(OR(F128="",F128=0),"",E128/F128)</f>
        <v>0.393397524071527</v>
      </c>
      <c r="I128" s="25" t="s">
        <v>128</v>
      </c>
      <c r="J128" s="28" t="n">
        <v>2.11716121919269</v>
      </c>
      <c r="K128" s="28" t="n">
        <f aca="false">$K$8</f>
        <v>0.297030231526703</v>
      </c>
      <c r="L128" s="28" t="n">
        <f aca="false">SQRT(J128^2+K128^2)</f>
        <v>2.13789583153489</v>
      </c>
      <c r="M128" s="53" t="n">
        <f aca="false">IF(G128="","",MAX(0,G128-1.96*L128/100))</f>
        <v>0.564699717630389</v>
      </c>
      <c r="N128" s="53" t="n">
        <f aca="false">IF(G128="","",MIN(1,G128+1.96*L128/100))</f>
        <v>0.648505234226557</v>
      </c>
      <c r="O128" s="52" t="n">
        <f aca="false">ROUND(S128*W128,0)</f>
        <v>65</v>
      </c>
      <c r="P128" s="52" t="n">
        <f aca="false">IF(F128="","",ROUND(SQRT((F128*L128/100)^2+(G128*O128)^2),0))</f>
        <v>42</v>
      </c>
      <c r="R128" s="54" t="n">
        <v>9.84216357750609</v>
      </c>
      <c r="S128" s="55" t="n">
        <f aca="false">U128*V128*$F$5</f>
        <v>727.46884272997</v>
      </c>
      <c r="T128" s="56" t="n">
        <f aca="false">MAX(0,MIN(1,R128/100+$D$5))</f>
        <v>0.606476684742366</v>
      </c>
      <c r="U128" s="56" t="n">
        <v>0.554896142433234</v>
      </c>
      <c r="V128" s="55" t="n">
        <v>1311</v>
      </c>
      <c r="W128" s="56" t="n">
        <v>0.0887445098984521</v>
      </c>
      <c r="X128" s="57" t="s">
        <v>135</v>
      </c>
      <c r="Y128" s="57" t="s">
        <v>130</v>
      </c>
    </row>
    <row r="129" customFormat="false" ht="15" hidden="false" customHeight="false" outlineLevel="0" collapsed="false">
      <c r="A129" s="25" t="s">
        <v>197</v>
      </c>
      <c r="B129" s="25" t="s">
        <v>260</v>
      </c>
      <c r="C129" s="25" t="s">
        <v>268</v>
      </c>
      <c r="D129" s="52" t="n">
        <f aca="false">ROUND(S129*T129,0)</f>
        <v>554</v>
      </c>
      <c r="E129" s="52" t="n">
        <f aca="false">ROUND(S129,0)-D129</f>
        <v>344</v>
      </c>
      <c r="F129" s="52" t="n">
        <f aca="false">IF(COUNTA(D129:E129)=0,"",SUM(D129:E129))</f>
        <v>898</v>
      </c>
      <c r="G129" s="53" t="n">
        <f aca="false">IF(OR(F129="",F129=0),"",D129/F129)</f>
        <v>0.616926503340757</v>
      </c>
      <c r="H129" s="53" t="n">
        <f aca="false">IF(OR(F129="",F129=0),"",E129/F129)</f>
        <v>0.383073496659243</v>
      </c>
      <c r="I129" s="25" t="s">
        <v>128</v>
      </c>
      <c r="J129" s="28" t="n">
        <v>2.11716121919269</v>
      </c>
      <c r="K129" s="28" t="n">
        <f aca="false">$K$8</f>
        <v>0.297030231526703</v>
      </c>
      <c r="L129" s="28" t="n">
        <f aca="false">SQRT(J129^2+K129^2)</f>
        <v>2.13789583153489</v>
      </c>
      <c r="M129" s="53" t="n">
        <f aca="false">IF(G129="","",MAX(0,G129-1.96*L129/100))</f>
        <v>0.575023745042673</v>
      </c>
      <c r="N129" s="53" t="n">
        <f aca="false">IF(G129="","",MIN(1,G129+1.96*L129/100))</f>
        <v>0.658829261638841</v>
      </c>
      <c r="O129" s="52" t="n">
        <f aca="false">ROUND(S129*W129,0)</f>
        <v>80</v>
      </c>
      <c r="P129" s="52" t="n">
        <f aca="false">IF(F129="","",ROUND(SQRT((F129*L129/100)^2+(G129*O129)^2),0))</f>
        <v>53</v>
      </c>
      <c r="R129" s="54" t="n">
        <v>10.8805818469404</v>
      </c>
      <c r="S129" s="55" t="n">
        <f aca="false">U129*V129*$F$5</f>
        <v>898.28</v>
      </c>
      <c r="T129" s="56" t="n">
        <f aca="false">MAX(0,MIN(1,R129/100+$D$5))</f>
        <v>0.616860867436709</v>
      </c>
      <c r="U129" s="56" t="n">
        <v>0.68</v>
      </c>
      <c r="V129" s="55" t="n">
        <v>1321</v>
      </c>
      <c r="W129" s="56" t="n">
        <v>0.0887445098984521</v>
      </c>
      <c r="X129" s="57" t="s">
        <v>135</v>
      </c>
      <c r="Y129" s="57" t="s">
        <v>130</v>
      </c>
    </row>
    <row r="130" customFormat="false" ht="15" hidden="false" customHeight="false" outlineLevel="0" collapsed="false">
      <c r="A130" s="25" t="s">
        <v>197</v>
      </c>
      <c r="B130" s="25" t="s">
        <v>260</v>
      </c>
      <c r="C130" s="25" t="s">
        <v>269</v>
      </c>
      <c r="D130" s="52" t="n">
        <f aca="false">ROUND(S130*T130,0)</f>
        <v>412</v>
      </c>
      <c r="E130" s="52" t="n">
        <f aca="false">ROUND(S130,0)-D130</f>
        <v>253</v>
      </c>
      <c r="F130" s="52" t="n">
        <f aca="false">IF(COUNTA(D130:E130)=0,"",SUM(D130:E130))</f>
        <v>665</v>
      </c>
      <c r="G130" s="53" t="n">
        <f aca="false">IF(OR(F130="",F130=0),"",D130/F130)</f>
        <v>0.619548872180451</v>
      </c>
      <c r="H130" s="53" t="n">
        <f aca="false">IF(OR(F130="",F130=0),"",E130/F130)</f>
        <v>0.380451127819549</v>
      </c>
      <c r="I130" s="25" t="s">
        <v>128</v>
      </c>
      <c r="J130" s="28" t="n">
        <v>2.11716121919269</v>
      </c>
      <c r="K130" s="28" t="n">
        <f aca="false">$K$8</f>
        <v>0.297030231526703</v>
      </c>
      <c r="L130" s="28" t="n">
        <f aca="false">SQRT(J130^2+K130^2)</f>
        <v>2.13789583153489</v>
      </c>
      <c r="M130" s="53" t="n">
        <f aca="false">IF(G130="","",MAX(0,G130-1.96*L130/100))</f>
        <v>0.577646113882367</v>
      </c>
      <c r="N130" s="53" t="n">
        <f aca="false">IF(G130="","",MIN(1,G130+1.96*L130/100))</f>
        <v>0.661451630478535</v>
      </c>
      <c r="O130" s="52" t="n">
        <f aca="false">ROUND(S130*W130,0)</f>
        <v>59</v>
      </c>
      <c r="P130" s="52" t="n">
        <f aca="false">IF(F130="","",ROUND(SQRT((F130*L130/100)^2+(G130*O130)^2),0))</f>
        <v>39</v>
      </c>
      <c r="R130" s="54" t="n">
        <v>11.0468130180083</v>
      </c>
      <c r="S130" s="55" t="n">
        <f aca="false">U130*V130*$F$5</f>
        <v>665.309142318568</v>
      </c>
      <c r="T130" s="56" t="n">
        <f aca="false">MAX(0,MIN(1,R130/100+$D$5))</f>
        <v>0.618523179147388</v>
      </c>
      <c r="U130" s="56" t="n">
        <v>0.61545711592837</v>
      </c>
      <c r="V130" s="55" t="n">
        <v>1081</v>
      </c>
      <c r="W130" s="56" t="n">
        <v>0.0887445098984521</v>
      </c>
      <c r="X130" s="57" t="s">
        <v>135</v>
      </c>
      <c r="Y130" s="57" t="s">
        <v>130</v>
      </c>
    </row>
    <row r="131" customFormat="false" ht="15" hidden="false" customHeight="false" outlineLevel="0" collapsed="false">
      <c r="A131" s="25" t="s">
        <v>197</v>
      </c>
      <c r="B131" s="25" t="s">
        <v>260</v>
      </c>
      <c r="C131" s="25" t="s">
        <v>270</v>
      </c>
      <c r="D131" s="52" t="n">
        <f aca="false">ROUND(S131*T131,0)</f>
        <v>330</v>
      </c>
      <c r="E131" s="52" t="n">
        <f aca="false">ROUND(S131,0)-D131</f>
        <v>250</v>
      </c>
      <c r="F131" s="52" t="n">
        <f aca="false">IF(COUNTA(D131:E131)=0,"",SUM(D131:E131))</f>
        <v>580</v>
      </c>
      <c r="G131" s="53" t="n">
        <f aca="false">IF(OR(F131="",F131=0),"",D131/F131)</f>
        <v>0.568965517241379</v>
      </c>
      <c r="H131" s="53" t="n">
        <f aca="false">IF(OR(F131="",F131=0),"",E131/F131)</f>
        <v>0.431034482758621</v>
      </c>
      <c r="I131" s="25" t="s">
        <v>128</v>
      </c>
      <c r="J131" s="28" t="n">
        <v>2.11716121919269</v>
      </c>
      <c r="K131" s="28" t="n">
        <f aca="false">$K$8</f>
        <v>0.297030231526703</v>
      </c>
      <c r="L131" s="28" t="n">
        <f aca="false">SQRT(J131^2+K131^2)</f>
        <v>2.13789583153489</v>
      </c>
      <c r="M131" s="53" t="n">
        <f aca="false">IF(G131="","",MAX(0,G131-1.96*L131/100))</f>
        <v>0.527062758943296</v>
      </c>
      <c r="N131" s="53" t="n">
        <f aca="false">IF(G131="","",MIN(1,G131+1.96*L131/100))</f>
        <v>0.610868275539463</v>
      </c>
      <c r="O131" s="52" t="n">
        <f aca="false">ROUND(S131*W131,0)</f>
        <v>51</v>
      </c>
      <c r="P131" s="52" t="n">
        <f aca="false">IF(F131="","",ROUND(SQRT((F131*L131/100)^2+(G131*O131)^2),0))</f>
        <v>32</v>
      </c>
      <c r="R131" s="54" t="n">
        <v>6.09517254106609</v>
      </c>
      <c r="S131" s="55" t="n">
        <f aca="false">U131*V131*$F$5</f>
        <v>580.019459459459</v>
      </c>
      <c r="T131" s="56" t="n">
        <f aca="false">MAX(0,MIN(1,R131/100+$D$5))</f>
        <v>0.569006774377966</v>
      </c>
      <c r="U131" s="56" t="n">
        <v>0.634594594594595</v>
      </c>
      <c r="V131" s="55" t="n">
        <v>914</v>
      </c>
      <c r="W131" s="56" t="n">
        <v>0.0887445098984521</v>
      </c>
      <c r="X131" s="57" t="s">
        <v>135</v>
      </c>
      <c r="Y131" s="57" t="s">
        <v>130</v>
      </c>
    </row>
    <row r="132" customFormat="false" ht="15" hidden="false" customHeight="false" outlineLevel="0" collapsed="false">
      <c r="A132" s="25" t="s">
        <v>197</v>
      </c>
      <c r="B132" s="25" t="s">
        <v>260</v>
      </c>
      <c r="C132" s="25" t="s">
        <v>271</v>
      </c>
      <c r="D132" s="52" t="n">
        <f aca="false">ROUND(S132*T132,0)</f>
        <v>418</v>
      </c>
      <c r="E132" s="52" t="n">
        <f aca="false">ROUND(S132,0)-D132</f>
        <v>244</v>
      </c>
      <c r="F132" s="52" t="n">
        <f aca="false">IF(COUNTA(D132:E132)=0,"",SUM(D132:E132))</f>
        <v>662</v>
      </c>
      <c r="G132" s="53" t="n">
        <f aca="false">IF(OR(F132="",F132=0),"",D132/F132)</f>
        <v>0.631419939577039</v>
      </c>
      <c r="H132" s="53" t="n">
        <f aca="false">IF(OR(F132="",F132=0),"",E132/F132)</f>
        <v>0.368580060422961</v>
      </c>
      <c r="I132" s="25" t="s">
        <v>128</v>
      </c>
      <c r="J132" s="28" t="n">
        <v>2.11716121919269</v>
      </c>
      <c r="K132" s="28" t="n">
        <f aca="false">$K$8</f>
        <v>0.297030231526703</v>
      </c>
      <c r="L132" s="28" t="n">
        <f aca="false">SQRT(J132^2+K132^2)</f>
        <v>2.13789583153489</v>
      </c>
      <c r="M132" s="53" t="n">
        <f aca="false">IF(G132="","",MAX(0,G132-1.96*L132/100))</f>
        <v>0.589517181278955</v>
      </c>
      <c r="N132" s="53" t="n">
        <f aca="false">IF(G132="","",MIN(1,G132+1.96*L132/100))</f>
        <v>0.673322697875123</v>
      </c>
      <c r="O132" s="52" t="n">
        <f aca="false">ROUND(S132*W132,0)</f>
        <v>59</v>
      </c>
      <c r="P132" s="52" t="n">
        <f aca="false">IF(F132="","",ROUND(SQRT((F132*L132/100)^2+(G132*O132)^2),0))</f>
        <v>40</v>
      </c>
      <c r="R132" s="54" t="n">
        <v>12.2948444667542</v>
      </c>
      <c r="S132" s="55" t="n">
        <f aca="false">U132*V132*$F$5</f>
        <v>662.03519510329</v>
      </c>
      <c r="T132" s="56" t="n">
        <f aca="false">MAX(0,MIN(1,R132/100+$D$5))</f>
        <v>0.631003493634846</v>
      </c>
      <c r="U132" s="56" t="n">
        <v>0.489671002295333</v>
      </c>
      <c r="V132" s="55" t="n">
        <v>1352</v>
      </c>
      <c r="W132" s="56" t="n">
        <v>0.0887445098984521</v>
      </c>
      <c r="X132" s="57" t="s">
        <v>135</v>
      </c>
      <c r="Y132" s="57" t="s">
        <v>130</v>
      </c>
    </row>
    <row r="133" customFormat="false" ht="15" hidden="false" customHeight="false" outlineLevel="0" collapsed="false">
      <c r="A133" s="25" t="s">
        <v>197</v>
      </c>
      <c r="B133" s="25" t="s">
        <v>260</v>
      </c>
      <c r="C133" s="25" t="s">
        <v>272</v>
      </c>
      <c r="D133" s="52" t="n">
        <f aca="false">ROUND(S133*T133,0)</f>
        <v>450</v>
      </c>
      <c r="E133" s="52" t="n">
        <f aca="false">ROUND(S133,0)-D133</f>
        <v>288</v>
      </c>
      <c r="F133" s="52" t="n">
        <f aca="false">IF(COUNTA(D133:E133)=0,"",SUM(D133:E133))</f>
        <v>738</v>
      </c>
      <c r="G133" s="53" t="n">
        <f aca="false">IF(OR(F133="",F133=0),"",D133/F133)</f>
        <v>0.609756097560976</v>
      </c>
      <c r="H133" s="53" t="n">
        <f aca="false">IF(OR(F133="",F133=0),"",E133/F133)</f>
        <v>0.390243902439024</v>
      </c>
      <c r="I133" s="25" t="s">
        <v>128</v>
      </c>
      <c r="J133" s="28" t="n">
        <v>2.11716121919269</v>
      </c>
      <c r="K133" s="28" t="n">
        <f aca="false">$K$8</f>
        <v>0.297030231526703</v>
      </c>
      <c r="L133" s="28" t="n">
        <f aca="false">SQRT(J133^2+K133^2)</f>
        <v>2.13789583153489</v>
      </c>
      <c r="M133" s="53" t="n">
        <f aca="false">IF(G133="","",MAX(0,G133-1.96*L133/100))</f>
        <v>0.567853339262892</v>
      </c>
      <c r="N133" s="53" t="n">
        <f aca="false">IF(G133="","",MIN(1,G133+1.96*L133/100))</f>
        <v>0.65165885585906</v>
      </c>
      <c r="O133" s="52" t="n">
        <f aca="false">ROUND(S133*W133,0)</f>
        <v>65</v>
      </c>
      <c r="P133" s="52" t="n">
        <f aca="false">IF(F133="","",ROUND(SQRT((F133*L133/100)^2+(G133*O133)^2),0))</f>
        <v>43</v>
      </c>
      <c r="R133" s="54" t="n">
        <v>10.1841939321762</v>
      </c>
      <c r="S133" s="55" t="n">
        <f aca="false">U133*V133*$F$5</f>
        <v>737.535483870968</v>
      </c>
      <c r="T133" s="56" t="n">
        <f aca="false">MAX(0,MIN(1,R133/100+$D$5))</f>
        <v>0.609896988289067</v>
      </c>
      <c r="U133" s="56" t="n">
        <v>0.561290322580645</v>
      </c>
      <c r="V133" s="55" t="n">
        <v>1314</v>
      </c>
      <c r="W133" s="56" t="n">
        <v>0.0887445098984521</v>
      </c>
      <c r="X133" s="57" t="s">
        <v>135</v>
      </c>
      <c r="Y133" s="57" t="s">
        <v>130</v>
      </c>
    </row>
    <row r="134" customFormat="false" ht="15" hidden="false" customHeight="false" outlineLevel="0" collapsed="false">
      <c r="A134" s="25" t="s">
        <v>197</v>
      </c>
      <c r="B134" s="25" t="s">
        <v>273</v>
      </c>
      <c r="C134" s="25" t="s">
        <v>274</v>
      </c>
      <c r="D134" s="52" t="n">
        <f aca="false">ROUND(S134*T134,0)</f>
        <v>384</v>
      </c>
      <c r="E134" s="52" t="n">
        <f aca="false">ROUND(S134,0)-D134</f>
        <v>301</v>
      </c>
      <c r="F134" s="52" t="n">
        <f aca="false">IF(COUNTA(D134:E134)=0,"",SUM(D134:E134))</f>
        <v>685</v>
      </c>
      <c r="G134" s="53" t="n">
        <f aca="false">IF(OR(F134="",F134=0),"",D134/F134)</f>
        <v>0.56058394160584</v>
      </c>
      <c r="H134" s="53" t="n">
        <f aca="false">IF(OR(F134="",F134=0),"",E134/F134)</f>
        <v>0.439416058394161</v>
      </c>
      <c r="I134" s="25" t="s">
        <v>128</v>
      </c>
      <c r="J134" s="28" t="n">
        <v>2.11716121919269</v>
      </c>
      <c r="K134" s="28" t="n">
        <f aca="false">$K$8</f>
        <v>0.297030231526703</v>
      </c>
      <c r="L134" s="28" t="n">
        <f aca="false">SQRT(J134^2+K134^2)</f>
        <v>2.13789583153489</v>
      </c>
      <c r="M134" s="53" t="n">
        <f aca="false">IF(G134="","",MAX(0,G134-1.96*L134/100))</f>
        <v>0.518681183307756</v>
      </c>
      <c r="N134" s="53" t="n">
        <f aca="false">IF(G134="","",MIN(1,G134+1.96*L134/100))</f>
        <v>0.602486699903923</v>
      </c>
      <c r="O134" s="52" t="n">
        <f aca="false">ROUND(S134*W134,0)</f>
        <v>61</v>
      </c>
      <c r="P134" s="52" t="n">
        <f aca="false">IF(F134="","",ROUND(SQRT((F134*L134/100)^2+(G134*O134)^2),0))</f>
        <v>37</v>
      </c>
      <c r="R134" s="54" t="n">
        <v>5.30365121457884</v>
      </c>
      <c r="S134" s="55" t="n">
        <f aca="false">U134*V134*$F$5</f>
        <v>685.017857142857</v>
      </c>
      <c r="T134" s="56" t="n">
        <f aca="false">MAX(0,MIN(1,R134/100+$D$5))</f>
        <v>0.561091561113093</v>
      </c>
      <c r="U134" s="56" t="n">
        <v>0.462225274725275</v>
      </c>
      <c r="V134" s="55" t="n">
        <v>1482</v>
      </c>
      <c r="W134" s="56" t="n">
        <v>0.0887445098984521</v>
      </c>
      <c r="X134" s="57" t="s">
        <v>135</v>
      </c>
      <c r="Y134" s="57" t="s">
        <v>130</v>
      </c>
    </row>
    <row r="135" customFormat="false" ht="15" hidden="false" customHeight="false" outlineLevel="0" collapsed="false">
      <c r="A135" s="25" t="s">
        <v>197</v>
      </c>
      <c r="B135" s="25" t="s">
        <v>273</v>
      </c>
      <c r="C135" s="25" t="s">
        <v>275</v>
      </c>
      <c r="D135" s="52" t="n">
        <f aca="false">ROUND(S135*T135,0)</f>
        <v>348</v>
      </c>
      <c r="E135" s="52" t="n">
        <f aca="false">ROUND(S135,0)-D135</f>
        <v>365</v>
      </c>
      <c r="F135" s="52" t="n">
        <f aca="false">IF(COUNTA(D135:E135)=0,"",SUM(D135:E135))</f>
        <v>713</v>
      </c>
      <c r="G135" s="53" t="n">
        <f aca="false">IF(OR(F135="",F135=0),"",D135/F135)</f>
        <v>0.488078541374474</v>
      </c>
      <c r="H135" s="53" t="n">
        <f aca="false">IF(OR(F135="",F135=0),"",E135/F135)</f>
        <v>0.511921458625526</v>
      </c>
      <c r="I135" s="25" t="s">
        <v>128</v>
      </c>
      <c r="J135" s="28" t="n">
        <v>2.11716121919269</v>
      </c>
      <c r="K135" s="28" t="n">
        <f aca="false">$K$8</f>
        <v>0.297030231526703</v>
      </c>
      <c r="L135" s="28" t="n">
        <f aca="false">SQRT(J135^2+K135^2)</f>
        <v>2.13789583153489</v>
      </c>
      <c r="M135" s="53" t="n">
        <f aca="false">IF(G135="","",MAX(0,G135-1.96*L135/100))</f>
        <v>0.44617578307639</v>
      </c>
      <c r="N135" s="53" t="n">
        <f aca="false">IF(G135="","",MIN(1,G135+1.96*L135/100))</f>
        <v>0.529981299672558</v>
      </c>
      <c r="O135" s="52" t="n">
        <f aca="false">ROUND(S135*W135,0)</f>
        <v>63</v>
      </c>
      <c r="P135" s="52" t="n">
        <f aca="false">IF(F135="","",ROUND(SQRT((F135*L135/100)^2+(G135*O135)^2),0))</f>
        <v>34</v>
      </c>
      <c r="R135" s="54" t="n">
        <v>-2.02943503598358</v>
      </c>
      <c r="S135" s="55" t="n">
        <f aca="false">U135*V135*$F$5</f>
        <v>712.774509803922</v>
      </c>
      <c r="T135" s="56" t="n">
        <f aca="false">MAX(0,MIN(1,R135/100+$D$5))</f>
        <v>0.487760698607469</v>
      </c>
      <c r="U135" s="56" t="n">
        <v>0.544934640522876</v>
      </c>
      <c r="V135" s="55" t="n">
        <v>1308</v>
      </c>
      <c r="W135" s="56" t="n">
        <v>0.0887445098984521</v>
      </c>
      <c r="X135" s="57" t="s">
        <v>135</v>
      </c>
      <c r="Y135" s="57" t="s">
        <v>130</v>
      </c>
    </row>
    <row r="136" customFormat="false" ht="15" hidden="false" customHeight="false" outlineLevel="0" collapsed="false">
      <c r="A136" s="25" t="s">
        <v>197</v>
      </c>
      <c r="B136" s="25" t="s">
        <v>273</v>
      </c>
      <c r="C136" s="25" t="s">
        <v>276</v>
      </c>
      <c r="D136" s="52" t="n">
        <f aca="false">ROUND(S136*T136,0)</f>
        <v>401</v>
      </c>
      <c r="E136" s="52" t="n">
        <f aca="false">ROUND(S136,0)-D136</f>
        <v>380</v>
      </c>
      <c r="F136" s="52" t="n">
        <f aca="false">IF(COUNTA(D136:E136)=0,"",SUM(D136:E136))</f>
        <v>781</v>
      </c>
      <c r="G136" s="53" t="n">
        <f aca="false">IF(OR(F136="",F136=0),"",D136/F136)</f>
        <v>0.513444302176697</v>
      </c>
      <c r="H136" s="53" t="n">
        <f aca="false">IF(OR(F136="",F136=0),"",E136/F136)</f>
        <v>0.486555697823303</v>
      </c>
      <c r="I136" s="25" t="s">
        <v>128</v>
      </c>
      <c r="J136" s="28" t="n">
        <v>2.11716121919269</v>
      </c>
      <c r="K136" s="28" t="n">
        <f aca="false">$K$8</f>
        <v>0.297030231526703</v>
      </c>
      <c r="L136" s="28" t="n">
        <f aca="false">SQRT(J136^2+K136^2)</f>
        <v>2.13789583153489</v>
      </c>
      <c r="M136" s="53" t="n">
        <f aca="false">IF(G136="","",MAX(0,G136-1.96*L136/100))</f>
        <v>0.471541543878613</v>
      </c>
      <c r="N136" s="53" t="n">
        <f aca="false">IF(G136="","",MIN(1,G136+1.96*L136/100))</f>
        <v>0.55534706047478</v>
      </c>
      <c r="O136" s="52" t="n">
        <f aca="false">ROUND(S136*W136,0)</f>
        <v>69</v>
      </c>
      <c r="P136" s="52" t="n">
        <f aca="false">IF(F136="","",ROUND(SQRT((F136*L136/100)^2+(G136*O136)^2),0))</f>
        <v>39</v>
      </c>
      <c r="R136" s="54" t="n">
        <v>0.560202934655117</v>
      </c>
      <c r="S136" s="55" t="n">
        <f aca="false">U136*V136*$F$5</f>
        <v>780.975243810953</v>
      </c>
      <c r="T136" s="56" t="n">
        <f aca="false">MAX(0,MIN(1,R136/100+$D$5))</f>
        <v>0.513657078313856</v>
      </c>
      <c r="U136" s="56" t="n">
        <v>0.577644411102776</v>
      </c>
      <c r="V136" s="55" t="n">
        <v>1352</v>
      </c>
      <c r="W136" s="56" t="n">
        <v>0.0887445098984521</v>
      </c>
      <c r="X136" s="57" t="s">
        <v>135</v>
      </c>
      <c r="Y136" s="57" t="s">
        <v>130</v>
      </c>
    </row>
    <row r="137" customFormat="false" ht="15" hidden="false" customHeight="false" outlineLevel="0" collapsed="false">
      <c r="A137" s="25" t="s">
        <v>197</v>
      </c>
      <c r="B137" s="25" t="s">
        <v>277</v>
      </c>
      <c r="C137" s="25" t="s">
        <v>277</v>
      </c>
      <c r="D137" s="52" t="n">
        <f aca="false">ROUND(S137*T137,0)</f>
        <v>632</v>
      </c>
      <c r="E137" s="52" t="n">
        <f aca="false">ROUND(S137,0)-D137</f>
        <v>638</v>
      </c>
      <c r="F137" s="52" t="n">
        <f aca="false">IF(COUNTA(D137:E137)=0,"",SUM(D137:E137))</f>
        <v>1270</v>
      </c>
      <c r="G137" s="53" t="n">
        <f aca="false">IF(OR(F137="",F137=0),"",D137/F137)</f>
        <v>0.497637795275591</v>
      </c>
      <c r="H137" s="53" t="n">
        <f aca="false">IF(OR(F137="",F137=0),"",E137/F137)</f>
        <v>0.502362204724409</v>
      </c>
      <c r="I137" s="25" t="s">
        <v>128</v>
      </c>
      <c r="J137" s="28" t="n">
        <v>1.72835549007323</v>
      </c>
      <c r="K137" s="28" t="n">
        <f aca="false">$K$8</f>
        <v>0.297030231526703</v>
      </c>
      <c r="L137" s="28" t="n">
        <f aca="false">SQRT(J137^2+K137^2)</f>
        <v>1.75369314833214</v>
      </c>
      <c r="M137" s="53" t="n">
        <f aca="false">IF(G137="","",MAX(0,G137-1.96*L137/100))</f>
        <v>0.463265409568281</v>
      </c>
      <c r="N137" s="53" t="n">
        <f aca="false">IF(G137="","",MIN(1,G137+1.96*L137/100))</f>
        <v>0.5320101809829</v>
      </c>
      <c r="O137" s="52" t="n">
        <f aca="false">ROUND(S137*W137,0)</f>
        <v>87</v>
      </c>
      <c r="P137" s="52" t="n">
        <f aca="false">IF(F137="","",ROUND(SQRT((F137*L137/100)^2+(G137*O137)^2),0))</f>
        <v>49</v>
      </c>
      <c r="R137" s="54" t="n">
        <v>-1.09027013233117</v>
      </c>
      <c r="S137" s="55" t="n">
        <f aca="false">U137*V137*$F$5</f>
        <v>1270.44031093837</v>
      </c>
      <c r="T137" s="56" t="n">
        <f aca="false">MAX(0,MIN(1,R137/100+$D$5))</f>
        <v>0.497152347643993</v>
      </c>
      <c r="U137" s="56" t="n">
        <v>0.676846196557468</v>
      </c>
      <c r="V137" s="55" t="n">
        <v>1877</v>
      </c>
      <c r="W137" s="56" t="n">
        <v>0.0684752145190268</v>
      </c>
      <c r="X137" s="57" t="s">
        <v>168</v>
      </c>
      <c r="Y137" s="57" t="s">
        <v>130</v>
      </c>
    </row>
    <row r="138" customFormat="false" ht="15" hidden="false" customHeight="false" outlineLevel="0" collapsed="false">
      <c r="A138" s="25" t="s">
        <v>197</v>
      </c>
      <c r="B138" s="25" t="s">
        <v>278</v>
      </c>
      <c r="C138" s="25" t="s">
        <v>279</v>
      </c>
      <c r="D138" s="52" t="n">
        <f aca="false">ROUND(S138*T138,0)</f>
        <v>293</v>
      </c>
      <c r="E138" s="52" t="n">
        <f aca="false">ROUND(S138,0)-D138</f>
        <v>282</v>
      </c>
      <c r="F138" s="52" t="n">
        <f aca="false">IF(COUNTA(D138:E138)=0,"",SUM(D138:E138))</f>
        <v>575</v>
      </c>
      <c r="G138" s="53" t="n">
        <f aca="false">IF(OR(F138="",F138=0),"",D138/F138)</f>
        <v>0.509565217391304</v>
      </c>
      <c r="H138" s="53" t="n">
        <f aca="false">IF(OR(F138="",F138=0),"",E138/F138)</f>
        <v>0.490434782608696</v>
      </c>
      <c r="I138" s="25" t="s">
        <v>128</v>
      </c>
      <c r="J138" s="28" t="n">
        <v>2.11716121919269</v>
      </c>
      <c r="K138" s="28" t="n">
        <f aca="false">$K$8</f>
        <v>0.297030231526703</v>
      </c>
      <c r="L138" s="28" t="n">
        <f aca="false">SQRT(J138^2+K138^2)</f>
        <v>2.13789583153489</v>
      </c>
      <c r="M138" s="53" t="n">
        <f aca="false">IF(G138="","",MAX(0,G138-1.96*L138/100))</f>
        <v>0.46766245909322</v>
      </c>
      <c r="N138" s="53" t="n">
        <f aca="false">IF(G138="","",MIN(1,G138+1.96*L138/100))</f>
        <v>0.551467975689388</v>
      </c>
      <c r="O138" s="52" t="n">
        <f aca="false">ROUND(S138*W138,0)</f>
        <v>51</v>
      </c>
      <c r="P138" s="52" t="n">
        <f aca="false">IF(F138="","",ROUND(SQRT((F138*L138/100)^2+(G138*O138)^2),0))</f>
        <v>29</v>
      </c>
      <c r="R138" s="54" t="n">
        <v>0.216744996715895</v>
      </c>
      <c r="S138" s="55" t="n">
        <f aca="false">U138*V138*$F$5</f>
        <v>574.764397905759</v>
      </c>
      <c r="T138" s="56" t="n">
        <f aca="false">MAX(0,MIN(1,R138/100+$D$5))</f>
        <v>0.510222498934464</v>
      </c>
      <c r="U138" s="56" t="n">
        <v>0.575916230366492</v>
      </c>
      <c r="V138" s="55" t="n">
        <v>998</v>
      </c>
      <c r="W138" s="56" t="n">
        <v>0.0887445098984521</v>
      </c>
      <c r="X138" s="57" t="s">
        <v>135</v>
      </c>
      <c r="Y138" s="57" t="s">
        <v>130</v>
      </c>
    </row>
    <row r="139" customFormat="false" ht="15" hidden="false" customHeight="false" outlineLevel="0" collapsed="false">
      <c r="A139" s="25" t="s">
        <v>197</v>
      </c>
      <c r="B139" s="25" t="s">
        <v>278</v>
      </c>
      <c r="C139" s="25" t="s">
        <v>280</v>
      </c>
      <c r="D139" s="52" t="n">
        <f aca="false">ROUND(S139*T139,0)</f>
        <v>410</v>
      </c>
      <c r="E139" s="52" t="n">
        <f aca="false">ROUND(S139,0)-D139</f>
        <v>379</v>
      </c>
      <c r="F139" s="52" t="n">
        <f aca="false">IF(COUNTA(D139:E139)=0,"",SUM(D139:E139))</f>
        <v>789</v>
      </c>
      <c r="G139" s="53" t="n">
        <f aca="false">IF(OR(F139="",F139=0),"",D139/F139)</f>
        <v>0.519645120405577</v>
      </c>
      <c r="H139" s="53" t="n">
        <f aca="false">IF(OR(F139="",F139=0),"",E139/F139)</f>
        <v>0.480354879594423</v>
      </c>
      <c r="I139" s="25" t="s">
        <v>128</v>
      </c>
      <c r="J139" s="28" t="n">
        <v>2.11716121919269</v>
      </c>
      <c r="K139" s="28" t="n">
        <f aca="false">$K$8</f>
        <v>0.297030231526703</v>
      </c>
      <c r="L139" s="28" t="n">
        <f aca="false">SQRT(J139^2+K139^2)</f>
        <v>2.13789583153489</v>
      </c>
      <c r="M139" s="53" t="n">
        <f aca="false">IF(G139="","",MAX(0,G139-1.96*L139/100))</f>
        <v>0.477742362107493</v>
      </c>
      <c r="N139" s="53" t="n">
        <f aca="false">IF(G139="","",MIN(1,G139+1.96*L139/100))</f>
        <v>0.561547878703661</v>
      </c>
      <c r="O139" s="52" t="n">
        <f aca="false">ROUND(S139*W139,0)</f>
        <v>70</v>
      </c>
      <c r="P139" s="52" t="n">
        <f aca="false">IF(F139="","",ROUND(SQRT((F139*L139/100)^2+(G139*O139)^2),0))</f>
        <v>40</v>
      </c>
      <c r="R139" s="54" t="n">
        <v>1.1814943666813</v>
      </c>
      <c r="S139" s="55" t="n">
        <f aca="false">U139*V139*$F$5</f>
        <v>789.294258373206</v>
      </c>
      <c r="T139" s="56" t="n">
        <f aca="false">MAX(0,MIN(1,R139/100+$D$5))</f>
        <v>0.519869992634118</v>
      </c>
      <c r="U139" s="56" t="n">
        <v>0.595693779904306</v>
      </c>
      <c r="V139" s="55" t="n">
        <v>1325</v>
      </c>
      <c r="W139" s="56" t="n">
        <v>0.0887445098984521</v>
      </c>
      <c r="X139" s="57" t="s">
        <v>135</v>
      </c>
      <c r="Y139" s="57" t="s">
        <v>130</v>
      </c>
    </row>
    <row r="140" customFormat="false" ht="15" hidden="false" customHeight="false" outlineLevel="0" collapsed="false">
      <c r="A140" s="25" t="s">
        <v>197</v>
      </c>
      <c r="B140" s="25" t="s">
        <v>281</v>
      </c>
      <c r="C140" s="25" t="s">
        <v>282</v>
      </c>
      <c r="D140" s="52" t="n">
        <f aca="false">ROUND(S140*T140,0)</f>
        <v>447</v>
      </c>
      <c r="E140" s="52" t="n">
        <f aca="false">ROUND(S140,0)-D140</f>
        <v>369</v>
      </c>
      <c r="F140" s="52" t="n">
        <f aca="false">IF(COUNTA(D140:E140)=0,"",SUM(D140:E140))</f>
        <v>816</v>
      </c>
      <c r="G140" s="53" t="n">
        <f aca="false">IF(OR(F140="",F140=0),"",D140/F140)</f>
        <v>0.547794117647059</v>
      </c>
      <c r="H140" s="53" t="n">
        <f aca="false">IF(OR(F140="",F140=0),"",E140/F140)</f>
        <v>0.452205882352941</v>
      </c>
      <c r="I140" s="25" t="s">
        <v>128</v>
      </c>
      <c r="J140" s="28" t="n">
        <v>2.11716121919269</v>
      </c>
      <c r="K140" s="28" t="n">
        <f aca="false">$K$8</f>
        <v>0.297030231526703</v>
      </c>
      <c r="L140" s="28" t="n">
        <f aca="false">SQRT(J140^2+K140^2)</f>
        <v>2.13789583153489</v>
      </c>
      <c r="M140" s="53" t="n">
        <f aca="false">IF(G140="","",MAX(0,G140-1.96*L140/100))</f>
        <v>0.505891359348975</v>
      </c>
      <c r="N140" s="53" t="n">
        <f aca="false">IF(G140="","",MIN(1,G140+1.96*L140/100))</f>
        <v>0.589696875945143</v>
      </c>
      <c r="O140" s="52" t="n">
        <f aca="false">ROUND(S140*W140,0)</f>
        <v>72</v>
      </c>
      <c r="P140" s="52" t="n">
        <f aca="false">IF(F140="","",ROUND(SQRT((F140*L140/100)^2+(G140*O140)^2),0))</f>
        <v>43</v>
      </c>
      <c r="R140" s="54" t="n">
        <v>3.99382940246002</v>
      </c>
      <c r="S140" s="55" t="n">
        <f aca="false">U140*V140*$F$5</f>
        <v>816.283916083916</v>
      </c>
      <c r="T140" s="56" t="n">
        <f aca="false">MAX(0,MIN(1,R140/100+$D$5))</f>
        <v>0.547993342991905</v>
      </c>
      <c r="U140" s="56" t="n">
        <v>0.572027972027972</v>
      </c>
      <c r="V140" s="55" t="n">
        <v>1427</v>
      </c>
      <c r="W140" s="56" t="n">
        <v>0.0887445098984521</v>
      </c>
      <c r="X140" s="57" t="s">
        <v>135</v>
      </c>
      <c r="Y140" s="57" t="s">
        <v>130</v>
      </c>
    </row>
    <row r="141" customFormat="false" ht="15" hidden="false" customHeight="false" outlineLevel="0" collapsed="false">
      <c r="A141" s="25" t="s">
        <v>197</v>
      </c>
      <c r="B141" s="25" t="s">
        <v>281</v>
      </c>
      <c r="C141" s="25" t="s">
        <v>283</v>
      </c>
      <c r="D141" s="52" t="n">
        <f aca="false">ROUND(S141*T141,0)</f>
        <v>438</v>
      </c>
      <c r="E141" s="52" t="n">
        <f aca="false">ROUND(S141,0)-D141</f>
        <v>385</v>
      </c>
      <c r="F141" s="52" t="n">
        <f aca="false">IF(COUNTA(D141:E141)=0,"",SUM(D141:E141))</f>
        <v>823</v>
      </c>
      <c r="G141" s="53" t="n">
        <f aca="false">IF(OR(F141="",F141=0),"",D141/F141)</f>
        <v>0.532199270959903</v>
      </c>
      <c r="H141" s="53" t="n">
        <f aca="false">IF(OR(F141="",F141=0),"",E141/F141)</f>
        <v>0.467800729040097</v>
      </c>
      <c r="I141" s="25" t="s">
        <v>128</v>
      </c>
      <c r="J141" s="28" t="n">
        <v>2.11716121919269</v>
      </c>
      <c r="K141" s="28" t="n">
        <f aca="false">$K$8</f>
        <v>0.297030231526703</v>
      </c>
      <c r="L141" s="28" t="n">
        <f aca="false">SQRT(J141^2+K141^2)</f>
        <v>2.13789583153489</v>
      </c>
      <c r="M141" s="53" t="n">
        <f aca="false">IF(G141="","",MAX(0,G141-1.96*L141/100))</f>
        <v>0.490296512661819</v>
      </c>
      <c r="N141" s="53" t="n">
        <f aca="false">IF(G141="","",MIN(1,G141+1.96*L141/100))</f>
        <v>0.574102029257987</v>
      </c>
      <c r="O141" s="52" t="n">
        <f aca="false">ROUND(S141*W141,0)</f>
        <v>73</v>
      </c>
      <c r="P141" s="52" t="n">
        <f aca="false">IF(F141="","",ROUND(SQRT((F141*L141/100)^2+(G141*O141)^2),0))</f>
        <v>43</v>
      </c>
      <c r="R141" s="54" t="n">
        <v>2.40098409802085</v>
      </c>
      <c r="S141" s="55" t="n">
        <f aca="false">U141*V141*$F$5</f>
        <v>823.491577335375</v>
      </c>
      <c r="T141" s="56" t="n">
        <f aca="false">MAX(0,MIN(1,R141/100+$D$5))</f>
        <v>0.532064889947513</v>
      </c>
      <c r="U141" s="56" t="n">
        <v>0.616385911179173</v>
      </c>
      <c r="V141" s="55" t="n">
        <v>1336</v>
      </c>
      <c r="W141" s="56" t="n">
        <v>0.0887445098984521</v>
      </c>
      <c r="X141" s="57" t="s">
        <v>135</v>
      </c>
      <c r="Y141" s="57" t="s">
        <v>130</v>
      </c>
    </row>
    <row r="142" customFormat="false" ht="15" hidden="false" customHeight="false" outlineLevel="0" collapsed="false">
      <c r="A142" s="25" t="s">
        <v>197</v>
      </c>
      <c r="B142" s="25" t="s">
        <v>281</v>
      </c>
      <c r="C142" s="25" t="s">
        <v>284</v>
      </c>
      <c r="D142" s="52" t="n">
        <f aca="false">ROUND(S142*T142,0)</f>
        <v>632</v>
      </c>
      <c r="E142" s="52" t="n">
        <f aca="false">ROUND(S142,0)-D142</f>
        <v>599</v>
      </c>
      <c r="F142" s="52" t="n">
        <f aca="false">IF(COUNTA(D142:E142)=0,"",SUM(D142:E142))</f>
        <v>1231</v>
      </c>
      <c r="G142" s="53" t="n">
        <f aca="false">IF(OR(F142="",F142=0),"",D142/F142)</f>
        <v>0.51340373679935</v>
      </c>
      <c r="H142" s="53" t="n">
        <f aca="false">IF(OR(F142="",F142=0),"",E142/F142)</f>
        <v>0.48659626320065</v>
      </c>
      <c r="I142" s="25" t="s">
        <v>128</v>
      </c>
      <c r="J142" s="28" t="n">
        <v>1.72835549007323</v>
      </c>
      <c r="K142" s="28" t="n">
        <f aca="false">$K$8</f>
        <v>0.297030231526703</v>
      </c>
      <c r="L142" s="28" t="n">
        <f aca="false">SQRT(J142^2+K142^2)</f>
        <v>1.75369314833214</v>
      </c>
      <c r="M142" s="53" t="n">
        <f aca="false">IF(G142="","",MAX(0,G142-1.96*L142/100))</f>
        <v>0.47903135109204</v>
      </c>
      <c r="N142" s="53" t="n">
        <f aca="false">IF(G142="","",MIN(1,G142+1.96*L142/100))</f>
        <v>0.54777612250666</v>
      </c>
      <c r="O142" s="52" t="n">
        <f aca="false">ROUND(S142*W142,0)</f>
        <v>84</v>
      </c>
      <c r="P142" s="52" t="n">
        <f aca="false">IF(F142="","",ROUND(SQRT((F142*L142/100)^2+(G142*O142)^2),0))</f>
        <v>48</v>
      </c>
      <c r="R142" s="54" t="n">
        <v>0.541105815941178</v>
      </c>
      <c r="S142" s="55" t="n">
        <f aca="false">U142*V142*$F$5</f>
        <v>1230.51149425287</v>
      </c>
      <c r="T142" s="56" t="n">
        <f aca="false">MAX(0,MIN(1,R142/100+$D$5))</f>
        <v>0.513466107126717</v>
      </c>
      <c r="U142" s="56" t="n">
        <v>0.58735632183908</v>
      </c>
      <c r="V142" s="55" t="n">
        <v>2095</v>
      </c>
      <c r="W142" s="56" t="n">
        <v>0.0684752145190268</v>
      </c>
      <c r="X142" s="57" t="s">
        <v>168</v>
      </c>
      <c r="Y142" s="57" t="s">
        <v>130</v>
      </c>
    </row>
    <row r="143" customFormat="false" ht="15" hidden="false" customHeight="false" outlineLevel="0" collapsed="false">
      <c r="A143" s="25" t="s">
        <v>197</v>
      </c>
      <c r="B143" s="25" t="s">
        <v>281</v>
      </c>
      <c r="C143" s="25" t="s">
        <v>285</v>
      </c>
      <c r="D143" s="52" t="n">
        <f aca="false">ROUND(S143*T143,0)</f>
        <v>516</v>
      </c>
      <c r="E143" s="52" t="n">
        <f aca="false">ROUND(S143,0)-D143</f>
        <v>411</v>
      </c>
      <c r="F143" s="52" t="n">
        <f aca="false">IF(COUNTA(D143:E143)=0,"",SUM(D143:E143))</f>
        <v>927</v>
      </c>
      <c r="G143" s="53" t="n">
        <f aca="false">IF(OR(F143="",F143=0),"",D143/F143)</f>
        <v>0.55663430420712</v>
      </c>
      <c r="H143" s="53" t="n">
        <f aca="false">IF(OR(F143="",F143=0),"",E143/F143)</f>
        <v>0.44336569579288</v>
      </c>
      <c r="I143" s="25" t="s">
        <v>128</v>
      </c>
      <c r="J143" s="28" t="n">
        <v>2.11716121919269</v>
      </c>
      <c r="K143" s="28" t="n">
        <f aca="false">$K$8</f>
        <v>0.297030231526703</v>
      </c>
      <c r="L143" s="28" t="n">
        <f aca="false">SQRT(J143^2+K143^2)</f>
        <v>2.13789583153489</v>
      </c>
      <c r="M143" s="53" t="n">
        <f aca="false">IF(G143="","",MAX(0,G143-1.96*L143/100))</f>
        <v>0.514731545909036</v>
      </c>
      <c r="N143" s="53" t="n">
        <f aca="false">IF(G143="","",MIN(1,G143+1.96*L143/100))</f>
        <v>0.598537062505204</v>
      </c>
      <c r="O143" s="52" t="n">
        <f aca="false">ROUND(S143*W143,0)</f>
        <v>82</v>
      </c>
      <c r="P143" s="52" t="n">
        <f aca="false">IF(F143="","",ROUND(SQRT((F143*L143/100)^2+(G143*O143)^2),0))</f>
        <v>50</v>
      </c>
      <c r="R143" s="54" t="n">
        <v>4.83085016022288</v>
      </c>
      <c r="S143" s="55" t="n">
        <f aca="false">U143*V143*$F$5</f>
        <v>927.10447761194</v>
      </c>
      <c r="T143" s="56" t="n">
        <f aca="false">MAX(0,MIN(1,R143/100+$D$5))</f>
        <v>0.556363550569534</v>
      </c>
      <c r="U143" s="56" t="n">
        <v>0.546641791044776</v>
      </c>
      <c r="V143" s="55" t="n">
        <v>1696</v>
      </c>
      <c r="W143" s="56" t="n">
        <v>0.0887445098984521</v>
      </c>
      <c r="X143" s="57" t="s">
        <v>135</v>
      </c>
      <c r="Y143" s="57" t="s">
        <v>130</v>
      </c>
    </row>
    <row r="144" customFormat="false" ht="15" hidden="false" customHeight="false" outlineLevel="0" collapsed="false">
      <c r="A144" s="25" t="s">
        <v>197</v>
      </c>
      <c r="B144" s="25" t="s">
        <v>281</v>
      </c>
      <c r="C144" s="25" t="s">
        <v>286</v>
      </c>
      <c r="D144" s="52" t="n">
        <f aca="false">ROUND(S144*T144,0)</f>
        <v>292</v>
      </c>
      <c r="E144" s="52" t="n">
        <f aca="false">ROUND(S144,0)-D144</f>
        <v>279</v>
      </c>
      <c r="F144" s="52" t="n">
        <f aca="false">IF(COUNTA(D144:E144)=0,"",SUM(D144:E144))</f>
        <v>571</v>
      </c>
      <c r="G144" s="53" t="n">
        <f aca="false">IF(OR(F144="",F144=0),"",D144/F144)</f>
        <v>0.51138353765324</v>
      </c>
      <c r="H144" s="53" t="n">
        <f aca="false">IF(OR(F144="",F144=0),"",E144/F144)</f>
        <v>0.48861646234676</v>
      </c>
      <c r="I144" s="25" t="s">
        <v>128</v>
      </c>
      <c r="J144" s="28" t="n">
        <v>2.11716121919269</v>
      </c>
      <c r="K144" s="28" t="n">
        <f aca="false">$K$8</f>
        <v>0.297030231526703</v>
      </c>
      <c r="L144" s="28" t="n">
        <f aca="false">SQRT(J144^2+K144^2)</f>
        <v>2.13789583153489</v>
      </c>
      <c r="M144" s="53" t="n">
        <f aca="false">IF(G144="","",MAX(0,G144-1.96*L144/100))</f>
        <v>0.469480779355156</v>
      </c>
      <c r="N144" s="53" t="n">
        <f aca="false">IF(G144="","",MIN(1,G144+1.96*L144/100))</f>
        <v>0.553286295951324</v>
      </c>
      <c r="O144" s="52" t="n">
        <f aca="false">ROUND(S144*W144,0)</f>
        <v>51</v>
      </c>
      <c r="P144" s="52" t="n">
        <f aca="false">IF(F144="","",ROUND(SQRT((F144*L144/100)^2+(G144*O144)^2),0))</f>
        <v>29</v>
      </c>
      <c r="R144" s="54" t="n">
        <v>0.215648421092797</v>
      </c>
      <c r="S144" s="55" t="n">
        <f aca="false">U144*V144*$F$5</f>
        <v>571.471747700394</v>
      </c>
      <c r="T144" s="56" t="n">
        <f aca="false">MAX(0,MIN(1,R144/100+$D$5))</f>
        <v>0.510211533178233</v>
      </c>
      <c r="U144" s="56" t="n">
        <v>0.727989487516426</v>
      </c>
      <c r="V144" s="55" t="n">
        <v>785</v>
      </c>
      <c r="W144" s="56" t="n">
        <v>0.0887445098984521</v>
      </c>
      <c r="X144" s="57" t="s">
        <v>135</v>
      </c>
      <c r="Y144" s="57" t="s">
        <v>130</v>
      </c>
    </row>
    <row r="145" customFormat="false" ht="15" hidden="false" customHeight="false" outlineLevel="0" collapsed="false">
      <c r="A145" s="25" t="s">
        <v>197</v>
      </c>
      <c r="B145" s="25" t="s">
        <v>281</v>
      </c>
      <c r="C145" s="25" t="s">
        <v>287</v>
      </c>
      <c r="D145" s="52" t="n">
        <f aca="false">ROUND(S145*T145,0)</f>
        <v>575</v>
      </c>
      <c r="E145" s="52" t="n">
        <f aca="false">ROUND(S145,0)-D145</f>
        <v>430</v>
      </c>
      <c r="F145" s="52" t="n">
        <f aca="false">IF(COUNTA(D145:E145)=0,"",SUM(D145:E145))</f>
        <v>1005</v>
      </c>
      <c r="G145" s="53" t="n">
        <f aca="false">IF(OR(F145="",F145=0),"",D145/F145)</f>
        <v>0.572139303482587</v>
      </c>
      <c r="H145" s="53" t="n">
        <f aca="false">IF(OR(F145="",F145=0),"",E145/F145)</f>
        <v>0.427860696517413</v>
      </c>
      <c r="I145" s="25" t="s">
        <v>128</v>
      </c>
      <c r="J145" s="28" t="n">
        <v>1.72835549007323</v>
      </c>
      <c r="K145" s="28" t="n">
        <f aca="false">$K$8</f>
        <v>0.297030231526703</v>
      </c>
      <c r="L145" s="28" t="n">
        <f aca="false">SQRT(J145^2+K145^2)</f>
        <v>1.75369314833214</v>
      </c>
      <c r="M145" s="53" t="n">
        <f aca="false">IF(G145="","",MAX(0,G145-1.96*L145/100))</f>
        <v>0.537766917775277</v>
      </c>
      <c r="N145" s="53" t="n">
        <f aca="false">IF(G145="","",MIN(1,G145+1.96*L145/100))</f>
        <v>0.606511689189897</v>
      </c>
      <c r="O145" s="52" t="n">
        <f aca="false">ROUND(S145*W145,0)</f>
        <v>69</v>
      </c>
      <c r="P145" s="52" t="n">
        <f aca="false">IF(F145="","",ROUND(SQRT((F145*L145/100)^2+(G145*O145)^2),0))</f>
        <v>43</v>
      </c>
      <c r="R145" s="54" t="n">
        <v>6.48118761908937</v>
      </c>
      <c r="S145" s="55" t="n">
        <f aca="false">U145*V145*$F$5</f>
        <v>1004.53991291727</v>
      </c>
      <c r="T145" s="56" t="n">
        <f aca="false">MAX(0,MIN(1,R145/100+$D$5))</f>
        <v>0.572866925158199</v>
      </c>
      <c r="U145" s="56" t="n">
        <v>0.730043541364296</v>
      </c>
      <c r="V145" s="55" t="n">
        <v>1376</v>
      </c>
      <c r="W145" s="56" t="n">
        <v>0.0684752145190268</v>
      </c>
      <c r="X145" s="57" t="s">
        <v>168</v>
      </c>
      <c r="Y145" s="57" t="s">
        <v>130</v>
      </c>
    </row>
    <row r="146" customFormat="false" ht="15" hidden="false" customHeight="false" outlineLevel="0" collapsed="false">
      <c r="A146" s="25" t="s">
        <v>197</v>
      </c>
      <c r="B146" s="25" t="s">
        <v>288</v>
      </c>
      <c r="C146" s="25" t="s">
        <v>289</v>
      </c>
      <c r="D146" s="52" t="n">
        <f aca="false">ROUND(S146*T146,0)</f>
        <v>398</v>
      </c>
      <c r="E146" s="52" t="n">
        <f aca="false">ROUND(S146,0)-D146</f>
        <v>205</v>
      </c>
      <c r="F146" s="52" t="n">
        <f aca="false">IF(COUNTA(D146:E146)=0,"",SUM(D146:E146))</f>
        <v>603</v>
      </c>
      <c r="G146" s="53" t="n">
        <f aca="false">IF(OR(F146="",F146=0),"",D146/F146)</f>
        <v>0.660033167495854</v>
      </c>
      <c r="H146" s="53" t="n">
        <f aca="false">IF(OR(F146="",F146=0),"",E146/F146)</f>
        <v>0.339966832504146</v>
      </c>
      <c r="I146" s="25" t="s">
        <v>128</v>
      </c>
      <c r="J146" s="28" t="n">
        <v>2.11716121919269</v>
      </c>
      <c r="K146" s="28" t="n">
        <f aca="false">$K$8</f>
        <v>0.297030231526703</v>
      </c>
      <c r="L146" s="28" t="n">
        <f aca="false">SQRT(J146^2+K146^2)</f>
        <v>2.13789583153489</v>
      </c>
      <c r="M146" s="53" t="n">
        <f aca="false">IF(G146="","",MAX(0,G146-1.96*L146/100))</f>
        <v>0.61813040919777</v>
      </c>
      <c r="N146" s="53" t="n">
        <f aca="false">IF(G146="","",MIN(1,G146+1.96*L146/100))</f>
        <v>0.701935925793938</v>
      </c>
      <c r="O146" s="52" t="n">
        <f aca="false">ROUND(S146*W146,0)</f>
        <v>54</v>
      </c>
      <c r="P146" s="52" t="n">
        <f aca="false">IF(F146="","",ROUND(SQRT((F146*L146/100)^2+(G146*O146)^2),0))</f>
        <v>38</v>
      </c>
      <c r="R146" s="54" t="n">
        <v>15.1633867273816</v>
      </c>
      <c r="S146" s="55" t="n">
        <f aca="false">U146*V146*$F$5</f>
        <v>603.200953137411</v>
      </c>
      <c r="T146" s="56" t="n">
        <f aca="false">MAX(0,MIN(1,R146/100+$D$5))</f>
        <v>0.659688916241121</v>
      </c>
      <c r="U146" s="56" t="n">
        <v>0.453534551231136</v>
      </c>
      <c r="V146" s="55" t="n">
        <v>1330</v>
      </c>
      <c r="W146" s="56" t="n">
        <v>0.0887445098984521</v>
      </c>
      <c r="X146" s="57" t="s">
        <v>135</v>
      </c>
      <c r="Y146" s="57" t="s">
        <v>130</v>
      </c>
    </row>
    <row r="147" customFormat="false" ht="15" hidden="false" customHeight="false" outlineLevel="0" collapsed="false">
      <c r="A147" s="25" t="s">
        <v>197</v>
      </c>
      <c r="B147" s="25" t="s">
        <v>288</v>
      </c>
      <c r="C147" s="25" t="s">
        <v>290</v>
      </c>
      <c r="D147" s="52" t="n">
        <f aca="false">ROUND(S147*T147,0)</f>
        <v>302</v>
      </c>
      <c r="E147" s="52" t="n">
        <f aca="false">ROUND(S147,0)-D147</f>
        <v>182</v>
      </c>
      <c r="F147" s="52" t="n">
        <f aca="false">IF(COUNTA(D147:E147)=0,"",SUM(D147:E147))</f>
        <v>484</v>
      </c>
      <c r="G147" s="53" t="n">
        <f aca="false">IF(OR(F147="",F147=0),"",D147/F147)</f>
        <v>0.62396694214876</v>
      </c>
      <c r="H147" s="53" t="n">
        <f aca="false">IF(OR(F147="",F147=0),"",E147/F147)</f>
        <v>0.37603305785124</v>
      </c>
      <c r="I147" s="25" t="s">
        <v>128</v>
      </c>
      <c r="J147" s="28" t="n">
        <v>3.42046080519466</v>
      </c>
      <c r="K147" s="28" t="n">
        <f aca="false">$K$8</f>
        <v>0.297030231526703</v>
      </c>
      <c r="L147" s="28" t="n">
        <f aca="false">SQRT(J147^2+K147^2)</f>
        <v>3.43333352273176</v>
      </c>
      <c r="M147" s="53" t="n">
        <f aca="false">IF(G147="","",MAX(0,G147-1.96*L147/100))</f>
        <v>0.556673605103218</v>
      </c>
      <c r="N147" s="53" t="n">
        <f aca="false">IF(G147="","",MIN(1,G147+1.96*L147/100))</f>
        <v>0.691260279194303</v>
      </c>
      <c r="O147" s="52" t="n">
        <f aca="false">ROUND(S147*W147,0)</f>
        <v>72</v>
      </c>
      <c r="P147" s="52" t="n">
        <f aca="false">IF(F147="","",ROUND(SQRT((F147*L147/100)^2+(G147*O147)^2),0))</f>
        <v>48</v>
      </c>
      <c r="R147" s="54" t="n">
        <v>11.695068269783</v>
      </c>
      <c r="S147" s="55" t="n">
        <f aca="false">U147*V147*$F$5</f>
        <v>483.987301587302</v>
      </c>
      <c r="T147" s="56" t="n">
        <f aca="false">MAX(0,MIN(1,R147/100+$D$5))</f>
        <v>0.625005731665135</v>
      </c>
      <c r="U147" s="56" t="n">
        <v>0.499470899470899</v>
      </c>
      <c r="V147" s="55" t="n">
        <v>969</v>
      </c>
      <c r="W147" s="56" t="n">
        <v>0.148097331980838</v>
      </c>
      <c r="X147" s="57" t="s">
        <v>129</v>
      </c>
      <c r="Y147" s="57" t="s">
        <v>130</v>
      </c>
    </row>
    <row r="148" customFormat="false" ht="15" hidden="false" customHeight="false" outlineLevel="0" collapsed="false">
      <c r="A148" s="25" t="s">
        <v>197</v>
      </c>
      <c r="B148" s="25" t="s">
        <v>288</v>
      </c>
      <c r="C148" s="25" t="s">
        <v>291</v>
      </c>
      <c r="D148" s="52" t="n">
        <f aca="false">ROUND(S148*T148,0)</f>
        <v>333</v>
      </c>
      <c r="E148" s="52" t="n">
        <f aca="false">ROUND(S148,0)-D148</f>
        <v>182</v>
      </c>
      <c r="F148" s="52" t="n">
        <f aca="false">IF(COUNTA(D148:E148)=0,"",SUM(D148:E148))</f>
        <v>515</v>
      </c>
      <c r="G148" s="53" t="n">
        <f aca="false">IF(OR(F148="",F148=0),"",D148/F148)</f>
        <v>0.646601941747573</v>
      </c>
      <c r="H148" s="53" t="n">
        <f aca="false">IF(OR(F148="",F148=0),"",E148/F148)</f>
        <v>0.353398058252427</v>
      </c>
      <c r="I148" s="25" t="s">
        <v>128</v>
      </c>
      <c r="J148" s="28" t="n">
        <v>3.42046080519466</v>
      </c>
      <c r="K148" s="28" t="n">
        <f aca="false">$K$8</f>
        <v>0.297030231526703</v>
      </c>
      <c r="L148" s="28" t="n">
        <f aca="false">SQRT(J148^2+K148^2)</f>
        <v>3.43333352273176</v>
      </c>
      <c r="M148" s="53" t="n">
        <f aca="false">IF(G148="","",MAX(0,G148-1.96*L148/100))</f>
        <v>0.57930860470203</v>
      </c>
      <c r="N148" s="53" t="n">
        <f aca="false">IF(G148="","",MIN(1,G148+1.96*L148/100))</f>
        <v>0.713895278793115</v>
      </c>
      <c r="O148" s="52" t="n">
        <f aca="false">ROUND(S148*W148,0)</f>
        <v>76</v>
      </c>
      <c r="P148" s="52" t="n">
        <f aca="false">IF(F148="","",ROUND(SQRT((F148*L148/100)^2+(G148*O148)^2),0))</f>
        <v>52</v>
      </c>
      <c r="R148" s="54" t="n">
        <v>13.8447498534905</v>
      </c>
      <c r="S148" s="55" t="n">
        <f aca="false">U148*V148*$F$5</f>
        <v>515.312883435583</v>
      </c>
      <c r="T148" s="56" t="n">
        <f aca="false">MAX(0,MIN(1,R148/100+$D$5))</f>
        <v>0.64650254750221</v>
      </c>
      <c r="U148" s="56" t="n">
        <v>0.620858895705521</v>
      </c>
      <c r="V148" s="55" t="n">
        <v>830</v>
      </c>
      <c r="W148" s="56" t="n">
        <v>0.148097331980838</v>
      </c>
      <c r="X148" s="57" t="s">
        <v>129</v>
      </c>
      <c r="Y148" s="57" t="s">
        <v>130</v>
      </c>
    </row>
    <row r="149" customFormat="false" ht="15" hidden="false" customHeight="false" outlineLevel="0" collapsed="false">
      <c r="A149" s="25" t="s">
        <v>197</v>
      </c>
      <c r="B149" s="25" t="s">
        <v>292</v>
      </c>
      <c r="C149" s="25" t="s">
        <v>292</v>
      </c>
      <c r="D149" s="52" t="n">
        <f aca="false">ROUND(S149*T149,0)</f>
        <v>268</v>
      </c>
      <c r="E149" s="52" t="n">
        <f aca="false">ROUND(S149,0)-D149</f>
        <v>216</v>
      </c>
      <c r="F149" s="52" t="n">
        <f aca="false">IF(COUNTA(D149:E149)=0,"",SUM(D149:E149))</f>
        <v>484</v>
      </c>
      <c r="G149" s="53" t="n">
        <f aca="false">IF(OR(F149="",F149=0),"",D149/F149)</f>
        <v>0.553719008264463</v>
      </c>
      <c r="H149" s="53" t="n">
        <f aca="false">IF(OR(F149="",F149=0),"",E149/F149)</f>
        <v>0.446280991735537</v>
      </c>
      <c r="I149" s="25" t="s">
        <v>128</v>
      </c>
      <c r="J149" s="28" t="n">
        <v>3.42046080519466</v>
      </c>
      <c r="K149" s="28" t="n">
        <f aca="false">$K$8</f>
        <v>0.297030231526703</v>
      </c>
      <c r="L149" s="28" t="n">
        <f aca="false">SQRT(J149^2+K149^2)</f>
        <v>3.43333352273176</v>
      </c>
      <c r="M149" s="53" t="n">
        <f aca="false">IF(G149="","",MAX(0,G149-1.96*L149/100))</f>
        <v>0.48642567121892</v>
      </c>
      <c r="N149" s="53" t="n">
        <f aca="false">IF(G149="","",MIN(1,G149+1.96*L149/100))</f>
        <v>0.621012345310005</v>
      </c>
      <c r="O149" s="52" t="n">
        <f aca="false">ROUND(S149*W149,0)</f>
        <v>72</v>
      </c>
      <c r="P149" s="52" t="n">
        <f aca="false">IF(F149="","",ROUND(SQRT((F149*L149/100)^2+(G149*O149)^2),0))</f>
        <v>43</v>
      </c>
      <c r="R149" s="54" t="n">
        <v>4.62128274698638</v>
      </c>
      <c r="S149" s="55" t="n">
        <f aca="false">U149*V149*$F$5</f>
        <v>483.913480885312</v>
      </c>
      <c r="T149" s="56" t="n">
        <f aca="false">MAX(0,MIN(1,R149/100+$D$5))</f>
        <v>0.554267876437169</v>
      </c>
      <c r="U149" s="56" t="n">
        <v>0.469818913480885</v>
      </c>
      <c r="V149" s="55" t="n">
        <v>1030</v>
      </c>
      <c r="W149" s="56" t="n">
        <v>0.148097331980838</v>
      </c>
      <c r="X149" s="57" t="s">
        <v>129</v>
      </c>
      <c r="Y149" s="57" t="s">
        <v>130</v>
      </c>
    </row>
    <row r="150" customFormat="false" ht="15" hidden="false" customHeight="false" outlineLevel="0" collapsed="false">
      <c r="A150" s="25" t="s">
        <v>197</v>
      </c>
      <c r="B150" s="25" t="s">
        <v>293</v>
      </c>
      <c r="C150" s="25" t="s">
        <v>293</v>
      </c>
      <c r="D150" s="52" t="n">
        <f aca="false">ROUND(S150*T150,0)</f>
        <v>536</v>
      </c>
      <c r="E150" s="52" t="n">
        <f aca="false">ROUND(S150,0)-D150</f>
        <v>1121</v>
      </c>
      <c r="F150" s="52" t="n">
        <f aca="false">IF(COUNTA(D150:E150)=0,"",SUM(D150:E150))</f>
        <v>1657</v>
      </c>
      <c r="G150" s="53" t="n">
        <f aca="false">IF(OR(F150="",F150=0),"",D150/F150)</f>
        <v>0.323476161738081</v>
      </c>
      <c r="H150" s="53" t="n">
        <f aca="false">IF(OR(F150="",F150=0),"",E150/F150)</f>
        <v>0.676523838261919</v>
      </c>
      <c r="I150" s="25" t="s">
        <v>128</v>
      </c>
      <c r="J150" s="28" t="n">
        <v>1.72835549007323</v>
      </c>
      <c r="K150" s="28" t="n">
        <f aca="false">$K$8</f>
        <v>0.297030231526703</v>
      </c>
      <c r="L150" s="28" t="n">
        <f aca="false">SQRT(J150^2+K150^2)</f>
        <v>1.75369314833214</v>
      </c>
      <c r="M150" s="53" t="n">
        <f aca="false">IF(G150="","",MAX(0,G150-1.96*L150/100))</f>
        <v>0.289103776030771</v>
      </c>
      <c r="N150" s="53" t="n">
        <f aca="false">IF(G150="","",MIN(1,G150+1.96*L150/100))</f>
        <v>0.357848547445391</v>
      </c>
      <c r="O150" s="52" t="n">
        <f aca="false">ROUND(S150*W150,0)</f>
        <v>113</v>
      </c>
      <c r="P150" s="52" t="n">
        <f aca="false">IF(F150="","",ROUND(SQRT((F150*L150/100)^2+(G150*O150)^2),0))</f>
        <v>47</v>
      </c>
      <c r="R150" s="54" t="n">
        <v>-18.4783521848572</v>
      </c>
      <c r="S150" s="55" t="n">
        <f aca="false">U150*V150*$F$5</f>
        <v>1656.73758865248</v>
      </c>
      <c r="T150" s="56" t="n">
        <f aca="false">MAX(0,MIN(1,R150/100+$D$5))</f>
        <v>0.323271527118733</v>
      </c>
      <c r="U150" s="56" t="n">
        <v>0.66750104297038</v>
      </c>
      <c r="V150" s="55" t="n">
        <v>2482</v>
      </c>
      <c r="W150" s="56" t="n">
        <v>0.0684752145190268</v>
      </c>
      <c r="X150" s="57" t="s">
        <v>168</v>
      </c>
      <c r="Y150" s="57" t="s">
        <v>130</v>
      </c>
    </row>
    <row r="151" customFormat="false" ht="15" hidden="false" customHeight="false" outlineLevel="0" collapsed="false">
      <c r="A151" s="25" t="s">
        <v>197</v>
      </c>
      <c r="B151" s="25" t="s">
        <v>294</v>
      </c>
      <c r="C151" s="25" t="s">
        <v>295</v>
      </c>
      <c r="D151" s="52" t="n">
        <f aca="false">ROUND(S151*T151,0)</f>
        <v>770</v>
      </c>
      <c r="E151" s="52" t="n">
        <f aca="false">ROUND(S151,0)-D151</f>
        <v>770</v>
      </c>
      <c r="F151" s="52" t="n">
        <f aca="false">IF(COUNTA(D151:E151)=0,"",SUM(D151:E151))</f>
        <v>1540</v>
      </c>
      <c r="G151" s="53" t="n">
        <f aca="false">IF(OR(F151="",F151=0),"",D151/F151)</f>
        <v>0.5</v>
      </c>
      <c r="H151" s="53" t="n">
        <f aca="false">IF(OR(F151="",F151=0),"",E151/F151)</f>
        <v>0.5</v>
      </c>
      <c r="I151" s="25" t="s">
        <v>128</v>
      </c>
      <c r="J151" s="28" t="n">
        <v>1.72835549007323</v>
      </c>
      <c r="K151" s="28" t="n">
        <f aca="false">$K$8</f>
        <v>0.297030231526703</v>
      </c>
      <c r="L151" s="28" t="n">
        <f aca="false">SQRT(J151^2+K151^2)</f>
        <v>1.75369314833214</v>
      </c>
      <c r="M151" s="53" t="n">
        <f aca="false">IF(G151="","",MAX(0,G151-1.96*L151/100))</f>
        <v>0.46562761429269</v>
      </c>
      <c r="N151" s="53" t="n">
        <f aca="false">IF(G151="","",MIN(1,G151+1.96*L151/100))</f>
        <v>0.53437238570731</v>
      </c>
      <c r="O151" s="52" t="n">
        <f aca="false">ROUND(S151*W151,0)</f>
        <v>105</v>
      </c>
      <c r="P151" s="52" t="n">
        <f aca="false">IF(F151="","",ROUND(SQRT((F151*L151/100)^2+(G151*O151)^2),0))</f>
        <v>59</v>
      </c>
      <c r="R151" s="54" t="n">
        <v>-0.83387330980408</v>
      </c>
      <c r="S151" s="55" t="n">
        <f aca="false">U151*V151*$F$5</f>
        <v>1540.493339254</v>
      </c>
      <c r="T151" s="56" t="n">
        <f aca="false">MAX(0,MIN(1,R151/100+$D$5))</f>
        <v>0.499716315869264</v>
      </c>
      <c r="U151" s="56" t="n">
        <v>0.670071047957371</v>
      </c>
      <c r="V151" s="55" t="n">
        <v>2299</v>
      </c>
      <c r="W151" s="56" t="n">
        <v>0.0684752145190268</v>
      </c>
      <c r="X151" s="57" t="s">
        <v>168</v>
      </c>
      <c r="Y151" s="57" t="s">
        <v>130</v>
      </c>
    </row>
    <row r="152" customFormat="false" ht="15" hidden="false" customHeight="false" outlineLevel="0" collapsed="false">
      <c r="A152" s="25" t="s">
        <v>197</v>
      </c>
      <c r="B152" s="25" t="s">
        <v>294</v>
      </c>
      <c r="C152" s="25" t="s">
        <v>296</v>
      </c>
      <c r="D152" s="52" t="n">
        <f aca="false">ROUND(S152*T152,0)</f>
        <v>859</v>
      </c>
      <c r="E152" s="52" t="n">
        <f aca="false">ROUND(S152,0)-D152</f>
        <v>836</v>
      </c>
      <c r="F152" s="52" t="n">
        <f aca="false">IF(COUNTA(D152:E152)=0,"",SUM(D152:E152))</f>
        <v>1695</v>
      </c>
      <c r="G152" s="53" t="n">
        <f aca="false">IF(OR(F152="",F152=0),"",D152/F152)</f>
        <v>0.506784660766962</v>
      </c>
      <c r="H152" s="53" t="n">
        <f aca="false">IF(OR(F152="",F152=0),"",E152/F152)</f>
        <v>0.493215339233038</v>
      </c>
      <c r="I152" s="25" t="s">
        <v>128</v>
      </c>
      <c r="J152" s="28" t="n">
        <v>1.72835549007323</v>
      </c>
      <c r="K152" s="28" t="n">
        <f aca="false">$K$8</f>
        <v>0.297030231526703</v>
      </c>
      <c r="L152" s="28" t="n">
        <f aca="false">SQRT(J152^2+K152^2)</f>
        <v>1.75369314833214</v>
      </c>
      <c r="M152" s="53" t="n">
        <f aca="false">IF(G152="","",MAX(0,G152-1.96*L152/100))</f>
        <v>0.472412275059652</v>
      </c>
      <c r="N152" s="53" t="n">
        <f aca="false">IF(G152="","",MIN(1,G152+1.96*L152/100))</f>
        <v>0.541157046474271</v>
      </c>
      <c r="O152" s="52" t="n">
        <f aca="false">ROUND(S152*W152,0)</f>
        <v>116</v>
      </c>
      <c r="P152" s="52" t="n">
        <f aca="false">IF(F152="","",ROUND(SQRT((F152*L152/100)^2+(G152*O152)^2),0))</f>
        <v>66</v>
      </c>
      <c r="R152" s="54" t="n">
        <v>-0.162332196035529</v>
      </c>
      <c r="S152" s="55" t="n">
        <f aca="false">U152*V152*$F$5</f>
        <v>1695.44705882353</v>
      </c>
      <c r="T152" s="56" t="n">
        <f aca="false">MAX(0,MIN(1,R152/100+$D$5))</f>
        <v>0.50643172700695</v>
      </c>
      <c r="U152" s="56" t="n">
        <v>0.620588235294118</v>
      </c>
      <c r="V152" s="55" t="n">
        <v>2732</v>
      </c>
      <c r="W152" s="56" t="n">
        <v>0.0684752145190268</v>
      </c>
      <c r="X152" s="57" t="s">
        <v>168</v>
      </c>
      <c r="Y152" s="57" t="s">
        <v>130</v>
      </c>
    </row>
    <row r="153" customFormat="false" ht="15" hidden="false" customHeight="false" outlineLevel="0" collapsed="false">
      <c r="A153" s="25" t="s">
        <v>197</v>
      </c>
      <c r="B153" s="25" t="s">
        <v>294</v>
      </c>
      <c r="C153" s="25" t="s">
        <v>297</v>
      </c>
      <c r="D153" s="52" t="n">
        <f aca="false">ROUND(S153*T153,0)</f>
        <v>1500</v>
      </c>
      <c r="E153" s="52" t="n">
        <f aca="false">ROUND(S153,0)-D153</f>
        <v>1465</v>
      </c>
      <c r="F153" s="52" t="n">
        <f aca="false">IF(COUNTA(D153:E153)=0,"",SUM(D153:E153))</f>
        <v>2965</v>
      </c>
      <c r="G153" s="53" t="n">
        <f aca="false">IF(OR(F153="",F153=0),"",D153/F153)</f>
        <v>0.505902192242833</v>
      </c>
      <c r="H153" s="53" t="n">
        <f aca="false">IF(OR(F153="",F153=0),"",E153/F153)</f>
        <v>0.494097807757167</v>
      </c>
      <c r="I153" s="25" t="s">
        <v>128</v>
      </c>
      <c r="J153" s="28" t="n">
        <v>1.72835549007323</v>
      </c>
      <c r="K153" s="28" t="n">
        <f aca="false">$K$8</f>
        <v>0.297030231526703</v>
      </c>
      <c r="L153" s="28" t="n">
        <f aca="false">SQRT(J153^2+K153^2)</f>
        <v>1.75369314833214</v>
      </c>
      <c r="M153" s="53" t="n">
        <f aca="false">IF(G153="","",MAX(0,G153-1.96*L153/100))</f>
        <v>0.471529806535523</v>
      </c>
      <c r="N153" s="53" t="n">
        <f aca="false">IF(G153="","",MIN(1,G153+1.96*L153/100))</f>
        <v>0.540274577950143</v>
      </c>
      <c r="O153" s="52" t="n">
        <f aca="false">ROUND(S153*W153,0)</f>
        <v>203</v>
      </c>
      <c r="P153" s="52" t="n">
        <f aca="false">IF(F153="","",ROUND(SQRT((F153*L153/100)^2+(G153*O153)^2),0))</f>
        <v>115</v>
      </c>
      <c r="R153" s="54" t="n">
        <v>-0.232900197952666</v>
      </c>
      <c r="S153" s="55" t="n">
        <f aca="false">U153*V153*$F$5</f>
        <v>2965.37262012693</v>
      </c>
      <c r="T153" s="56" t="n">
        <f aca="false">MAX(0,MIN(1,R153/100+$D$5))</f>
        <v>0.505726046987778</v>
      </c>
      <c r="U153" s="56" t="n">
        <v>0.668177697189484</v>
      </c>
      <c r="V153" s="55" t="n">
        <v>4438</v>
      </c>
      <c r="W153" s="56" t="n">
        <v>0.0684752145190268</v>
      </c>
      <c r="X153" s="57" t="s">
        <v>168</v>
      </c>
      <c r="Y153" s="57" t="s">
        <v>130</v>
      </c>
    </row>
    <row r="154" customFormat="false" ht="15" hidden="false" customHeight="false" outlineLevel="0" collapsed="false">
      <c r="A154" s="25" t="s">
        <v>197</v>
      </c>
      <c r="B154" s="25" t="s">
        <v>294</v>
      </c>
      <c r="C154" s="25" t="s">
        <v>298</v>
      </c>
      <c r="D154" s="52" t="n">
        <f aca="false">ROUND(S154*T154,0)</f>
        <v>751</v>
      </c>
      <c r="E154" s="52" t="n">
        <f aca="false">ROUND(S154,0)-D154</f>
        <v>757</v>
      </c>
      <c r="F154" s="52" t="n">
        <f aca="false">IF(COUNTA(D154:E154)=0,"",SUM(D154:E154))</f>
        <v>1508</v>
      </c>
      <c r="G154" s="53" t="n">
        <f aca="false">IF(OR(F154="",F154=0),"",D154/F154)</f>
        <v>0.498010610079576</v>
      </c>
      <c r="H154" s="53" t="n">
        <f aca="false">IF(OR(F154="",F154=0),"",E154/F154)</f>
        <v>0.501989389920424</v>
      </c>
      <c r="I154" s="25" t="s">
        <v>128</v>
      </c>
      <c r="J154" s="28" t="n">
        <v>1.72835549007323</v>
      </c>
      <c r="K154" s="28" t="n">
        <f aca="false">$K$8</f>
        <v>0.297030231526703</v>
      </c>
      <c r="L154" s="28" t="n">
        <f aca="false">SQRT(J154^2+K154^2)</f>
        <v>1.75369314833214</v>
      </c>
      <c r="M154" s="53" t="n">
        <f aca="false">IF(G154="","",MAX(0,G154-1.96*L154/100))</f>
        <v>0.463638224372266</v>
      </c>
      <c r="N154" s="53" t="n">
        <f aca="false">IF(G154="","",MIN(1,G154+1.96*L154/100))</f>
        <v>0.532382995786885</v>
      </c>
      <c r="O154" s="52" t="n">
        <f aca="false">ROUND(S154*W154,0)</f>
        <v>103</v>
      </c>
      <c r="P154" s="52" t="n">
        <f aca="false">IF(F154="","",ROUND(SQRT((F154*L154/100)^2+(G154*O154)^2),0))</f>
        <v>58</v>
      </c>
      <c r="R154" s="54" t="n">
        <v>-0.986703959583012</v>
      </c>
      <c r="S154" s="55" t="n">
        <f aca="false">U154*V154*$F$5</f>
        <v>1507.62659380692</v>
      </c>
      <c r="T154" s="56" t="n">
        <f aca="false">MAX(0,MIN(1,R154/100+$D$5))</f>
        <v>0.498188009371475</v>
      </c>
      <c r="U154" s="56" t="n">
        <v>0.679417122040073</v>
      </c>
      <c r="V154" s="55" t="n">
        <v>2219</v>
      </c>
      <c r="W154" s="56" t="n">
        <v>0.0684752145190268</v>
      </c>
      <c r="X154" s="57" t="s">
        <v>168</v>
      </c>
      <c r="Y154" s="57" t="s">
        <v>130</v>
      </c>
    </row>
    <row r="155" customFormat="false" ht="15" hidden="false" customHeight="false" outlineLevel="0" collapsed="false">
      <c r="A155" s="25" t="s">
        <v>197</v>
      </c>
      <c r="B155" s="25" t="s">
        <v>294</v>
      </c>
      <c r="C155" s="25" t="s">
        <v>299</v>
      </c>
      <c r="D155" s="52" t="n">
        <f aca="false">ROUND(S155*T155,0)</f>
        <v>688</v>
      </c>
      <c r="E155" s="52" t="n">
        <f aca="false">ROUND(S155,0)-D155</f>
        <v>696</v>
      </c>
      <c r="F155" s="52" t="n">
        <f aca="false">IF(COUNTA(D155:E155)=0,"",SUM(D155:E155))</f>
        <v>1384</v>
      </c>
      <c r="G155" s="53" t="n">
        <f aca="false">IF(OR(F155="",F155=0),"",D155/F155)</f>
        <v>0.497109826589595</v>
      </c>
      <c r="H155" s="53" t="n">
        <f aca="false">IF(OR(F155="",F155=0),"",E155/F155)</f>
        <v>0.502890173410405</v>
      </c>
      <c r="I155" s="25" t="s">
        <v>128</v>
      </c>
      <c r="J155" s="28" t="n">
        <v>1.72835549007323</v>
      </c>
      <c r="K155" s="28" t="n">
        <f aca="false">$K$8</f>
        <v>0.297030231526703</v>
      </c>
      <c r="L155" s="28" t="n">
        <f aca="false">SQRT(J155^2+K155^2)</f>
        <v>1.75369314833214</v>
      </c>
      <c r="M155" s="53" t="n">
        <f aca="false">IF(G155="","",MAX(0,G155-1.96*L155/100))</f>
        <v>0.462737440882285</v>
      </c>
      <c r="N155" s="53" t="n">
        <f aca="false">IF(G155="","",MIN(1,G155+1.96*L155/100))</f>
        <v>0.531482212296905</v>
      </c>
      <c r="O155" s="52" t="n">
        <f aca="false">ROUND(S155*W155,0)</f>
        <v>95</v>
      </c>
      <c r="P155" s="52" t="n">
        <f aca="false">IF(F155="","",ROUND(SQRT((F155*L155/100)^2+(G155*O155)^2),0))</f>
        <v>53</v>
      </c>
      <c r="R155" s="54" t="n">
        <v>-1.058729892972</v>
      </c>
      <c r="S155" s="55" t="n">
        <f aca="false">U155*V155*$F$5</f>
        <v>1383.95299145299</v>
      </c>
      <c r="T155" s="56" t="n">
        <f aca="false">MAX(0,MIN(1,R155/100+$D$5))</f>
        <v>0.497467750037585</v>
      </c>
      <c r="U155" s="56" t="n">
        <v>0.643399810066477</v>
      </c>
      <c r="V155" s="55" t="n">
        <v>2151</v>
      </c>
      <c r="W155" s="56" t="n">
        <v>0.0684752145190268</v>
      </c>
      <c r="X155" s="57" t="s">
        <v>168</v>
      </c>
      <c r="Y155" s="57" t="s">
        <v>130</v>
      </c>
    </row>
    <row r="156" customFormat="false" ht="15" hidden="false" customHeight="false" outlineLevel="0" collapsed="false">
      <c r="A156" s="25" t="s">
        <v>197</v>
      </c>
      <c r="B156" s="25" t="s">
        <v>294</v>
      </c>
      <c r="C156" s="25" t="s">
        <v>300</v>
      </c>
      <c r="D156" s="52" t="n">
        <f aca="false">ROUND(S156*T156,0)</f>
        <v>617</v>
      </c>
      <c r="E156" s="52" t="n">
        <f aca="false">ROUND(S156,0)-D156</f>
        <v>565</v>
      </c>
      <c r="F156" s="52" t="n">
        <f aca="false">IF(COUNTA(D156:E156)=0,"",SUM(D156:E156))</f>
        <v>1182</v>
      </c>
      <c r="G156" s="53" t="n">
        <f aca="false">IF(OR(F156="",F156=0),"",D156/F156)</f>
        <v>0.521996615905245</v>
      </c>
      <c r="H156" s="53" t="n">
        <f aca="false">IF(OR(F156="",F156=0),"",E156/F156)</f>
        <v>0.478003384094755</v>
      </c>
      <c r="I156" s="25" t="s">
        <v>128</v>
      </c>
      <c r="J156" s="28" t="n">
        <v>1.72835549007323</v>
      </c>
      <c r="K156" s="28" t="n">
        <f aca="false">$K$8</f>
        <v>0.297030231526703</v>
      </c>
      <c r="L156" s="28" t="n">
        <f aca="false">SQRT(J156^2+K156^2)</f>
        <v>1.75369314833214</v>
      </c>
      <c r="M156" s="53" t="n">
        <f aca="false">IF(G156="","",MAX(0,G156-1.96*L156/100))</f>
        <v>0.487624230197936</v>
      </c>
      <c r="N156" s="53" t="n">
        <f aca="false">IF(G156="","",MIN(1,G156+1.96*L156/100))</f>
        <v>0.556369001612555</v>
      </c>
      <c r="O156" s="52" t="n">
        <f aca="false">ROUND(S156*W156,0)</f>
        <v>81</v>
      </c>
      <c r="P156" s="52" t="n">
        <f aca="false">IF(F156="","",ROUND(SQRT((F156*L156/100)^2+(G156*O156)^2),0))</f>
        <v>47</v>
      </c>
      <c r="R156" s="54" t="n">
        <v>1.40967819244163</v>
      </c>
      <c r="S156" s="55" t="n">
        <f aca="false">U156*V156*$F$5</f>
        <v>1181.67359413203</v>
      </c>
      <c r="T156" s="56" t="n">
        <f aca="false">MAX(0,MIN(1,R156/100+$D$5))</f>
        <v>0.522151830891721</v>
      </c>
      <c r="U156" s="56" t="n">
        <v>0.737163814180929</v>
      </c>
      <c r="V156" s="55" t="n">
        <v>1603</v>
      </c>
      <c r="W156" s="56" t="n">
        <v>0.0684752145190268</v>
      </c>
      <c r="X156" s="57" t="s">
        <v>168</v>
      </c>
      <c r="Y156" s="57" t="s">
        <v>130</v>
      </c>
    </row>
    <row r="157" customFormat="false" ht="15" hidden="false" customHeight="false" outlineLevel="0" collapsed="false">
      <c r="A157" s="25" t="s">
        <v>197</v>
      </c>
      <c r="B157" s="25" t="s">
        <v>294</v>
      </c>
      <c r="C157" s="25" t="s">
        <v>301</v>
      </c>
      <c r="D157" s="52" t="n">
        <f aca="false">ROUND(S157*T157,0)</f>
        <v>1245</v>
      </c>
      <c r="E157" s="52" t="n">
        <f aca="false">ROUND(S157,0)-D157</f>
        <v>1257</v>
      </c>
      <c r="F157" s="52" t="n">
        <f aca="false">IF(COUNTA(D157:E157)=0,"",SUM(D157:E157))</f>
        <v>2502</v>
      </c>
      <c r="G157" s="53" t="n">
        <f aca="false">IF(OR(F157="",F157=0),"",D157/F157)</f>
        <v>0.497601918465228</v>
      </c>
      <c r="H157" s="53" t="n">
        <f aca="false">IF(OR(F157="",F157=0),"",E157/F157)</f>
        <v>0.502398081534772</v>
      </c>
      <c r="I157" s="25" t="s">
        <v>128</v>
      </c>
      <c r="J157" s="28" t="n">
        <v>1.72835549007323</v>
      </c>
      <c r="K157" s="28" t="n">
        <f aca="false">$K$8</f>
        <v>0.297030231526703</v>
      </c>
      <c r="L157" s="28" t="n">
        <f aca="false">SQRT(J157^2+K157^2)</f>
        <v>1.75369314833214</v>
      </c>
      <c r="M157" s="53" t="n">
        <f aca="false">IF(G157="","",MAX(0,G157-1.96*L157/100))</f>
        <v>0.463229532757918</v>
      </c>
      <c r="N157" s="53" t="n">
        <f aca="false">IF(G157="","",MIN(1,G157+1.96*L157/100))</f>
        <v>0.531974304172538</v>
      </c>
      <c r="O157" s="52" t="n">
        <f aca="false">ROUND(S157*W157,0)</f>
        <v>171</v>
      </c>
      <c r="P157" s="52" t="n">
        <f aca="false">IF(F157="","",ROUND(SQRT((F157*L157/100)^2+(G157*O157)^2),0))</f>
        <v>96</v>
      </c>
      <c r="R157" s="54" t="n">
        <v>-1.02600586280231</v>
      </c>
      <c r="S157" s="55" t="n">
        <f aca="false">U157*V157*$F$5</f>
        <v>2501.86532550992</v>
      </c>
      <c r="T157" s="56" t="n">
        <f aca="false">MAX(0,MIN(1,R157/100+$D$5))</f>
        <v>0.497794990339282</v>
      </c>
      <c r="U157" s="56" t="n">
        <v>0.618049734562727</v>
      </c>
      <c r="V157" s="55" t="n">
        <v>4048</v>
      </c>
      <c r="W157" s="56" t="n">
        <v>0.0684752145190268</v>
      </c>
      <c r="X157" s="57" t="s">
        <v>168</v>
      </c>
      <c r="Y157" s="57" t="s">
        <v>130</v>
      </c>
    </row>
    <row r="158" customFormat="false" ht="15" hidden="false" customHeight="false" outlineLevel="0" collapsed="false">
      <c r="A158" s="25" t="s">
        <v>197</v>
      </c>
      <c r="B158" s="25" t="s">
        <v>294</v>
      </c>
      <c r="C158" s="25" t="s">
        <v>302</v>
      </c>
      <c r="D158" s="52" t="n">
        <f aca="false">ROUND(S158*T158,0)</f>
        <v>703</v>
      </c>
      <c r="E158" s="52" t="n">
        <f aca="false">ROUND(S158,0)-D158</f>
        <v>610</v>
      </c>
      <c r="F158" s="52" t="n">
        <f aca="false">IF(COUNTA(D158:E158)=0,"",SUM(D158:E158))</f>
        <v>1313</v>
      </c>
      <c r="G158" s="53" t="n">
        <f aca="false">IF(OR(F158="",F158=0),"",D158/F158)</f>
        <v>0.535415079969535</v>
      </c>
      <c r="H158" s="53" t="n">
        <f aca="false">IF(OR(F158="",F158=0),"",E158/F158)</f>
        <v>0.464584920030465</v>
      </c>
      <c r="I158" s="25" t="s">
        <v>128</v>
      </c>
      <c r="J158" s="28" t="n">
        <v>1.72835549007323</v>
      </c>
      <c r="K158" s="28" t="n">
        <f aca="false">$K$8</f>
        <v>0.297030231526703</v>
      </c>
      <c r="L158" s="28" t="n">
        <f aca="false">SQRT(J158^2+K158^2)</f>
        <v>1.75369314833214</v>
      </c>
      <c r="M158" s="53" t="n">
        <f aca="false">IF(G158="","",MAX(0,G158-1.96*L158/100))</f>
        <v>0.501042694262226</v>
      </c>
      <c r="N158" s="53" t="n">
        <f aca="false">IF(G158="","",MIN(1,G158+1.96*L158/100))</f>
        <v>0.569787465676845</v>
      </c>
      <c r="O158" s="52" t="n">
        <f aca="false">ROUND(S158*W158,0)</f>
        <v>90</v>
      </c>
      <c r="P158" s="52" t="n">
        <f aca="false">IF(F158="","",ROUND(SQRT((F158*L158/100)^2+(G158*O158)^2),0))</f>
        <v>53</v>
      </c>
      <c r="R158" s="54" t="n">
        <v>2.72399598193403</v>
      </c>
      <c r="S158" s="55" t="n">
        <f aca="false">U158*V158*$F$5</f>
        <v>1312.71</v>
      </c>
      <c r="T158" s="56" t="n">
        <f aca="false">MAX(0,MIN(1,R158/100+$D$5))</f>
        <v>0.535295008786645</v>
      </c>
      <c r="U158" s="56" t="n">
        <v>0.658</v>
      </c>
      <c r="V158" s="55" t="n">
        <v>1995</v>
      </c>
      <c r="W158" s="56" t="n">
        <v>0.0684752145190268</v>
      </c>
      <c r="X158" s="57" t="s">
        <v>168</v>
      </c>
      <c r="Y158" s="57" t="s">
        <v>130</v>
      </c>
    </row>
    <row r="159" customFormat="false" ht="15" hidden="false" customHeight="false" outlineLevel="0" collapsed="false">
      <c r="A159" s="25" t="s">
        <v>197</v>
      </c>
      <c r="B159" s="25" t="s">
        <v>294</v>
      </c>
      <c r="C159" s="25" t="s">
        <v>303</v>
      </c>
      <c r="D159" s="52" t="n">
        <f aca="false">ROUND(S159*T159,0)</f>
        <v>693</v>
      </c>
      <c r="E159" s="52" t="n">
        <f aca="false">ROUND(S159,0)-D159</f>
        <v>649</v>
      </c>
      <c r="F159" s="52" t="n">
        <f aca="false">IF(COUNTA(D159:E159)=0,"",SUM(D159:E159))</f>
        <v>1342</v>
      </c>
      <c r="G159" s="53" t="n">
        <f aca="false">IF(OR(F159="",F159=0),"",D159/F159)</f>
        <v>0.516393442622951</v>
      </c>
      <c r="H159" s="53" t="n">
        <f aca="false">IF(OR(F159="",F159=0),"",E159/F159)</f>
        <v>0.483606557377049</v>
      </c>
      <c r="I159" s="25" t="s">
        <v>128</v>
      </c>
      <c r="J159" s="28" t="n">
        <v>1.72835549007323</v>
      </c>
      <c r="K159" s="28" t="n">
        <f aca="false">$K$8</f>
        <v>0.297030231526703</v>
      </c>
      <c r="L159" s="28" t="n">
        <f aca="false">SQRT(J159^2+K159^2)</f>
        <v>1.75369314833214</v>
      </c>
      <c r="M159" s="53" t="n">
        <f aca="false">IF(G159="","",MAX(0,G159-1.96*L159/100))</f>
        <v>0.482021056915641</v>
      </c>
      <c r="N159" s="53" t="n">
        <f aca="false">IF(G159="","",MIN(1,G159+1.96*L159/100))</f>
        <v>0.550765828330261</v>
      </c>
      <c r="O159" s="52" t="n">
        <f aca="false">ROUND(S159*W159,0)</f>
        <v>92</v>
      </c>
      <c r="P159" s="52" t="n">
        <f aca="false">IF(F159="","",ROUND(SQRT((F159*L159/100)^2+(G159*O159)^2),0))</f>
        <v>53</v>
      </c>
      <c r="R159" s="54" t="n">
        <v>0.789031939354421</v>
      </c>
      <c r="S159" s="55" t="n">
        <f aca="false">U159*V159*$F$5</f>
        <v>1342.44359673025</v>
      </c>
      <c r="T159" s="56" t="n">
        <f aca="false">MAX(0,MIN(1,R159/100+$D$5))</f>
        <v>0.515945368360849</v>
      </c>
      <c r="U159" s="56" t="n">
        <v>0.726430517711172</v>
      </c>
      <c r="V159" s="55" t="n">
        <v>1848</v>
      </c>
      <c r="W159" s="56" t="n">
        <v>0.0684752145190268</v>
      </c>
      <c r="X159" s="57" t="s">
        <v>168</v>
      </c>
      <c r="Y159" s="57" t="s">
        <v>130</v>
      </c>
    </row>
    <row r="160" customFormat="false" ht="15" hidden="false" customHeight="false" outlineLevel="0" collapsed="false">
      <c r="A160" s="25" t="s">
        <v>197</v>
      </c>
      <c r="B160" s="25" t="s">
        <v>294</v>
      </c>
      <c r="C160" s="25" t="s">
        <v>304</v>
      </c>
      <c r="D160" s="52" t="n">
        <f aca="false">ROUND(S160*T160,0)</f>
        <v>451</v>
      </c>
      <c r="E160" s="52" t="n">
        <f aca="false">ROUND(S160,0)-D160</f>
        <v>429</v>
      </c>
      <c r="F160" s="52" t="n">
        <f aca="false">IF(COUNTA(D160:E160)=0,"",SUM(D160:E160))</f>
        <v>880</v>
      </c>
      <c r="G160" s="53" t="n">
        <f aca="false">IF(OR(F160="",F160=0),"",D160/F160)</f>
        <v>0.5125</v>
      </c>
      <c r="H160" s="53" t="n">
        <f aca="false">IF(OR(F160="",F160=0),"",E160/F160)</f>
        <v>0.4875</v>
      </c>
      <c r="I160" s="25" t="s">
        <v>128</v>
      </c>
      <c r="J160" s="28" t="n">
        <v>2.11716121919269</v>
      </c>
      <c r="K160" s="28" t="n">
        <f aca="false">$K$8</f>
        <v>0.297030231526703</v>
      </c>
      <c r="L160" s="28" t="n">
        <f aca="false">SQRT(J160^2+K160^2)</f>
        <v>2.13789583153489</v>
      </c>
      <c r="M160" s="53" t="n">
        <f aca="false">IF(G160="","",MAX(0,G160-1.96*L160/100))</f>
        <v>0.470597241701916</v>
      </c>
      <c r="N160" s="53" t="n">
        <f aca="false">IF(G160="","",MIN(1,G160+1.96*L160/100))</f>
        <v>0.554402758298084</v>
      </c>
      <c r="O160" s="52" t="n">
        <f aca="false">ROUND(S160*W160,0)</f>
        <v>78</v>
      </c>
      <c r="P160" s="52" t="n">
        <f aca="false">IF(F160="","",ROUND(SQRT((F160*L160/100)^2+(G160*O160)^2),0))</f>
        <v>44</v>
      </c>
      <c r="R160" s="54" t="n">
        <v>0.474934952299124</v>
      </c>
      <c r="S160" s="55" t="n">
        <f aca="false">U160*V160*$F$5</f>
        <v>879.958115183246</v>
      </c>
      <c r="T160" s="56" t="n">
        <f aca="false">MAX(0,MIN(1,R160/100+$D$5))</f>
        <v>0.512804398490296</v>
      </c>
      <c r="U160" s="56" t="n">
        <v>0.668661181750187</v>
      </c>
      <c r="V160" s="55" t="n">
        <v>1316</v>
      </c>
      <c r="W160" s="56" t="n">
        <v>0.0887445098984521</v>
      </c>
      <c r="X160" s="57" t="s">
        <v>135</v>
      </c>
      <c r="Y160" s="57" t="s">
        <v>130</v>
      </c>
    </row>
    <row r="161" customFormat="false" ht="15" hidden="false" customHeight="false" outlineLevel="0" collapsed="false">
      <c r="A161" s="25" t="s">
        <v>197</v>
      </c>
      <c r="B161" s="25" t="s">
        <v>305</v>
      </c>
      <c r="C161" s="25" t="s">
        <v>305</v>
      </c>
      <c r="D161" s="52" t="n">
        <f aca="false">ROUND(S161*T161,0)</f>
        <v>843</v>
      </c>
      <c r="E161" s="52" t="n">
        <f aca="false">ROUND(S161,0)-D161</f>
        <v>1361</v>
      </c>
      <c r="F161" s="52" t="n">
        <f aca="false">IF(COUNTA(D161:E161)=0,"",SUM(D161:E161))</f>
        <v>2204</v>
      </c>
      <c r="G161" s="53" t="n">
        <f aca="false">IF(OR(F161="",F161=0),"",D161/F161)</f>
        <v>0.382486388384755</v>
      </c>
      <c r="H161" s="53" t="n">
        <f aca="false">IF(OR(F161="",F161=0),"",E161/F161)</f>
        <v>0.617513611615245</v>
      </c>
      <c r="I161" s="25" t="s">
        <v>128</v>
      </c>
      <c r="J161" s="28" t="n">
        <v>1.72835549007323</v>
      </c>
      <c r="K161" s="28" t="n">
        <f aca="false">$K$8</f>
        <v>0.297030231526703</v>
      </c>
      <c r="L161" s="28" t="n">
        <f aca="false">SQRT(J161^2+K161^2)</f>
        <v>1.75369314833214</v>
      </c>
      <c r="M161" s="53" t="n">
        <f aca="false">IF(G161="","",MAX(0,G161-1.96*L161/100))</f>
        <v>0.348114002677445</v>
      </c>
      <c r="N161" s="53" t="n">
        <f aca="false">IF(G161="","",MIN(1,G161+1.96*L161/100))</f>
        <v>0.416858774092065</v>
      </c>
      <c r="O161" s="52" t="n">
        <f aca="false">ROUND(S161*W161,0)</f>
        <v>151</v>
      </c>
      <c r="P161" s="52" t="n">
        <f aca="false">IF(F161="","",ROUND(SQRT((F161*L161/100)^2+(G161*O161)^2),0))</f>
        <v>69</v>
      </c>
      <c r="R161" s="54" t="n">
        <v>-12.5719570390986</v>
      </c>
      <c r="S161" s="55" t="n">
        <f aca="false">U161*V161*$F$5</f>
        <v>2204.10505319149</v>
      </c>
      <c r="T161" s="56" t="n">
        <f aca="false">MAX(0,MIN(1,R161/100+$D$5))</f>
        <v>0.382335478576319</v>
      </c>
      <c r="U161" s="56" t="n">
        <v>0.71841755319149</v>
      </c>
      <c r="V161" s="55" t="n">
        <v>3068</v>
      </c>
      <c r="W161" s="56" t="n">
        <v>0.0684752145190268</v>
      </c>
      <c r="X161" s="57" t="s">
        <v>168</v>
      </c>
      <c r="Y161" s="57" t="s">
        <v>130</v>
      </c>
    </row>
    <row r="162" customFormat="false" ht="15" hidden="false" customHeight="false" outlineLevel="0" collapsed="false">
      <c r="A162" s="25" t="s">
        <v>197</v>
      </c>
      <c r="B162" s="25" t="s">
        <v>306</v>
      </c>
      <c r="C162" s="25" t="s">
        <v>306</v>
      </c>
      <c r="D162" s="52" t="n">
        <f aca="false">ROUND(S162*T162,0)</f>
        <v>442</v>
      </c>
      <c r="E162" s="52" t="n">
        <f aca="false">ROUND(S162,0)-D162</f>
        <v>795</v>
      </c>
      <c r="F162" s="52" t="n">
        <f aca="false">IF(COUNTA(D162:E162)=0,"",SUM(D162:E162))</f>
        <v>1237</v>
      </c>
      <c r="G162" s="53" t="n">
        <f aca="false">IF(OR(F162="",F162=0),"",D162/F162)</f>
        <v>0.357316087308003</v>
      </c>
      <c r="H162" s="53" t="n">
        <f aca="false">IF(OR(F162="",F162=0),"",E162/F162)</f>
        <v>0.642683912691997</v>
      </c>
      <c r="I162" s="25" t="s">
        <v>128</v>
      </c>
      <c r="J162" s="28" t="n">
        <v>1.72835549007323</v>
      </c>
      <c r="K162" s="28" t="n">
        <f aca="false">$K$8</f>
        <v>0.297030231526703</v>
      </c>
      <c r="L162" s="28" t="n">
        <f aca="false">SQRT(J162^2+K162^2)</f>
        <v>1.75369314833214</v>
      </c>
      <c r="M162" s="53" t="n">
        <f aca="false">IF(G162="","",MAX(0,G162-1.96*L162/100))</f>
        <v>0.322943701600693</v>
      </c>
      <c r="N162" s="53" t="n">
        <f aca="false">IF(G162="","",MIN(1,G162+1.96*L162/100))</f>
        <v>0.391688473015313</v>
      </c>
      <c r="O162" s="52" t="n">
        <f aca="false">ROUND(S162*W162,0)</f>
        <v>85</v>
      </c>
      <c r="P162" s="52" t="n">
        <f aca="false">IF(F162="","",ROUND(SQRT((F162*L162/100)^2+(G162*O162)^2),0))</f>
        <v>37</v>
      </c>
      <c r="R162" s="54" t="n">
        <v>-15.0528994916795</v>
      </c>
      <c r="S162" s="55" t="n">
        <f aca="false">U162*V162*$F$5</f>
        <v>1236.97340124505</v>
      </c>
      <c r="T162" s="56" t="n">
        <f aca="false">MAX(0,MIN(1,R162/100+$D$5))</f>
        <v>0.357526054050509</v>
      </c>
      <c r="U162" s="56" t="n">
        <v>0.688737973967176</v>
      </c>
      <c r="V162" s="55" t="n">
        <v>1796</v>
      </c>
      <c r="W162" s="56" t="n">
        <v>0.0684752145190268</v>
      </c>
      <c r="X162" s="57" t="s">
        <v>168</v>
      </c>
      <c r="Y162" s="57" t="s">
        <v>130</v>
      </c>
    </row>
    <row r="163" customFormat="false" ht="15" hidden="false" customHeight="false" outlineLevel="0" collapsed="false">
      <c r="A163" s="25" t="s">
        <v>197</v>
      </c>
      <c r="B163" s="25" t="s">
        <v>307</v>
      </c>
      <c r="C163" s="25" t="s">
        <v>308</v>
      </c>
      <c r="D163" s="52" t="n">
        <f aca="false">ROUND(S163*T163,0)</f>
        <v>161</v>
      </c>
      <c r="E163" s="52" t="n">
        <f aca="false">ROUND(S163,0)-D163</f>
        <v>402</v>
      </c>
      <c r="F163" s="52" t="n">
        <f aca="false">IF(COUNTA(D163:E163)=0,"",SUM(D163:E163))</f>
        <v>563</v>
      </c>
      <c r="G163" s="53" t="n">
        <f aca="false">IF(OR(F163="",F163=0),"",D163/F163)</f>
        <v>0.285968028419183</v>
      </c>
      <c r="H163" s="53" t="n">
        <f aca="false">IF(OR(F163="",F163=0),"",E163/F163)</f>
        <v>0.714031971580817</v>
      </c>
      <c r="I163" s="25" t="s">
        <v>128</v>
      </c>
      <c r="J163" s="28" t="n">
        <v>3.42046080519466</v>
      </c>
      <c r="K163" s="28" t="n">
        <f aca="false">$K$8</f>
        <v>0.297030231526703</v>
      </c>
      <c r="L163" s="28" t="n">
        <f aca="false">SQRT(J163^2+K163^2)</f>
        <v>3.43333352273176</v>
      </c>
      <c r="M163" s="53" t="n">
        <f aca="false">IF(G163="","",MAX(0,G163-1.96*L163/100))</f>
        <v>0.21867469137364</v>
      </c>
      <c r="N163" s="53" t="n">
        <f aca="false">IF(G163="","",MIN(1,G163+1.96*L163/100))</f>
        <v>0.353261365464726</v>
      </c>
      <c r="O163" s="52" t="n">
        <f aca="false">ROUND(S163*W163,0)</f>
        <v>83</v>
      </c>
      <c r="P163" s="52" t="n">
        <f aca="false">IF(F163="","",ROUND(SQRT((F163*L163/100)^2+(G163*O163)^2),0))</f>
        <v>31</v>
      </c>
      <c r="R163" s="54" t="n">
        <v>-22.254094739028</v>
      </c>
      <c r="S163" s="55" t="n">
        <f aca="false">U163*V163*$F$5</f>
        <v>562.682926829269</v>
      </c>
      <c r="T163" s="56" t="n">
        <f aca="false">MAX(0,MIN(1,R163/100+$D$5))</f>
        <v>0.285514101577025</v>
      </c>
      <c r="U163" s="56" t="n">
        <v>0.731707317073171</v>
      </c>
      <c r="V163" s="55" t="n">
        <v>769</v>
      </c>
      <c r="W163" s="56" t="n">
        <v>0.148097331980838</v>
      </c>
      <c r="X163" s="57" t="s">
        <v>129</v>
      </c>
      <c r="Y163" s="57" t="s">
        <v>130</v>
      </c>
    </row>
    <row r="164" customFormat="false" ht="15" hidden="false" customHeight="false" outlineLevel="0" collapsed="false">
      <c r="A164" s="25" t="s">
        <v>197</v>
      </c>
      <c r="B164" s="25" t="s">
        <v>307</v>
      </c>
      <c r="C164" s="25" t="s">
        <v>309</v>
      </c>
      <c r="D164" s="52" t="n">
        <f aca="false">ROUND(S164*T164,0)</f>
        <v>124</v>
      </c>
      <c r="E164" s="52" t="n">
        <f aca="false">ROUND(S164,0)-D164</f>
        <v>259</v>
      </c>
      <c r="F164" s="52" t="n">
        <f aca="false">IF(COUNTA(D164:E164)=0,"",SUM(D164:E164))</f>
        <v>383</v>
      </c>
      <c r="G164" s="53" t="n">
        <f aca="false">IF(OR(F164="",F164=0),"",D164/F164)</f>
        <v>0.323759791122715</v>
      </c>
      <c r="H164" s="53" t="n">
        <f aca="false">IF(OR(F164="",F164=0),"",E164/F164)</f>
        <v>0.676240208877285</v>
      </c>
      <c r="I164" s="25" t="s">
        <v>128</v>
      </c>
      <c r="J164" s="28" t="n">
        <v>3.42046080519466</v>
      </c>
      <c r="K164" s="28" t="n">
        <f aca="false">$K$8</f>
        <v>0.297030231526703</v>
      </c>
      <c r="L164" s="28" t="n">
        <f aca="false">SQRT(J164^2+K164^2)</f>
        <v>3.43333352273176</v>
      </c>
      <c r="M164" s="53" t="n">
        <f aca="false">IF(G164="","",MAX(0,G164-1.96*L164/100))</f>
        <v>0.256466454077173</v>
      </c>
      <c r="N164" s="53" t="n">
        <f aca="false">IF(G164="","",MIN(1,G164+1.96*L164/100))</f>
        <v>0.391053128168258</v>
      </c>
      <c r="O164" s="52" t="n">
        <f aca="false">ROUND(S164*W164,0)</f>
        <v>57</v>
      </c>
      <c r="P164" s="52" t="n">
        <f aca="false">IF(F164="","",ROUND(SQRT((F164*L164/100)^2+(G164*O164)^2),0))</f>
        <v>23</v>
      </c>
      <c r="R164" s="54" t="n">
        <v>-18.5049018285937</v>
      </c>
      <c r="S164" s="55" t="n">
        <f aca="false">U164*V164*$F$5</f>
        <v>382.588235294118</v>
      </c>
      <c r="T164" s="56" t="n">
        <f aca="false">MAX(0,MIN(1,R164/100+$D$5))</f>
        <v>0.323006030681368</v>
      </c>
      <c r="U164" s="56" t="n">
        <v>0.705882352941177</v>
      </c>
      <c r="V164" s="55" t="n">
        <v>542</v>
      </c>
      <c r="W164" s="56" t="n">
        <v>0.148097331980838</v>
      </c>
      <c r="X164" s="57" t="s">
        <v>129</v>
      </c>
      <c r="Y164" s="57" t="s">
        <v>130</v>
      </c>
    </row>
    <row r="165" customFormat="false" ht="15" hidden="false" customHeight="false" outlineLevel="0" collapsed="false">
      <c r="A165" s="25" t="s">
        <v>197</v>
      </c>
      <c r="B165" s="25" t="s">
        <v>307</v>
      </c>
      <c r="C165" s="25" t="s">
        <v>310</v>
      </c>
      <c r="D165" s="52" t="n">
        <f aca="false">ROUND(S165*T165,0)</f>
        <v>422</v>
      </c>
      <c r="E165" s="52" t="n">
        <f aca="false">ROUND(S165,0)-D165</f>
        <v>826</v>
      </c>
      <c r="F165" s="52" t="n">
        <f aca="false">IF(COUNTA(D165:E165)=0,"",SUM(D165:E165))</f>
        <v>1248</v>
      </c>
      <c r="G165" s="53" t="n">
        <f aca="false">IF(OR(F165="",F165=0),"",D165/F165)</f>
        <v>0.338141025641026</v>
      </c>
      <c r="H165" s="53" t="n">
        <f aca="false">IF(OR(F165="",F165=0),"",E165/F165)</f>
        <v>0.661858974358974</v>
      </c>
      <c r="I165" s="25" t="s">
        <v>128</v>
      </c>
      <c r="J165" s="28" t="n">
        <v>1.72835549007323</v>
      </c>
      <c r="K165" s="28" t="n">
        <f aca="false">$K$8</f>
        <v>0.297030231526703</v>
      </c>
      <c r="L165" s="28" t="n">
        <f aca="false">SQRT(J165^2+K165^2)</f>
        <v>1.75369314833214</v>
      </c>
      <c r="M165" s="53" t="n">
        <f aca="false">IF(G165="","",MAX(0,G165-1.96*L165/100))</f>
        <v>0.303768639933716</v>
      </c>
      <c r="N165" s="53" t="n">
        <f aca="false">IF(G165="","",MIN(1,G165+1.96*L165/100))</f>
        <v>0.372513411348336</v>
      </c>
      <c r="O165" s="52" t="n">
        <f aca="false">ROUND(S165*W165,0)</f>
        <v>85</v>
      </c>
      <c r="P165" s="52" t="n">
        <f aca="false">IF(F165="","",ROUND(SQRT((F165*L165/100)^2+(G165*O165)^2),0))</f>
        <v>36</v>
      </c>
      <c r="R165" s="54" t="n">
        <v>-17.0098308392153</v>
      </c>
      <c r="S165" s="55" t="n">
        <f aca="false">U165*V165*$F$5</f>
        <v>1248.26659471128</v>
      </c>
      <c r="T165" s="56" t="n">
        <f aca="false">MAX(0,MIN(1,R165/100+$D$5))</f>
        <v>0.337956740575152</v>
      </c>
      <c r="U165" s="56" t="n">
        <v>0.676200755531571</v>
      </c>
      <c r="V165" s="55" t="n">
        <v>1846</v>
      </c>
      <c r="W165" s="56" t="n">
        <v>0.0684752145190268</v>
      </c>
      <c r="X165" s="57" t="s">
        <v>168</v>
      </c>
      <c r="Y165" s="57" t="s">
        <v>130</v>
      </c>
    </row>
    <row r="166" customFormat="false" ht="15" hidden="false" customHeight="false" outlineLevel="0" collapsed="false">
      <c r="A166" s="25" t="s">
        <v>197</v>
      </c>
      <c r="B166" s="25" t="s">
        <v>311</v>
      </c>
      <c r="C166" s="25" t="s">
        <v>311</v>
      </c>
      <c r="D166" s="52" t="n">
        <f aca="false">ROUND(S166*T166,0)</f>
        <v>809</v>
      </c>
      <c r="E166" s="52" t="n">
        <f aca="false">ROUND(S166,0)-D166</f>
        <v>704</v>
      </c>
      <c r="F166" s="52" t="n">
        <f aca="false">IF(COUNTA(D166:E166)=0,"",SUM(D166:E166))</f>
        <v>1513</v>
      </c>
      <c r="G166" s="53" t="n">
        <f aca="false">IF(OR(F166="",F166=0),"",D166/F166)</f>
        <v>0.534699272967614</v>
      </c>
      <c r="H166" s="53" t="n">
        <f aca="false">IF(OR(F166="",F166=0),"",E166/F166)</f>
        <v>0.465300727032386</v>
      </c>
      <c r="I166" s="25" t="s">
        <v>128</v>
      </c>
      <c r="J166" s="28" t="n">
        <v>1.72835549007323</v>
      </c>
      <c r="K166" s="28" t="n">
        <f aca="false">$K$8</f>
        <v>0.297030231526703</v>
      </c>
      <c r="L166" s="28" t="n">
        <f aca="false">SQRT(J166^2+K166^2)</f>
        <v>1.75369314833214</v>
      </c>
      <c r="M166" s="53" t="n">
        <f aca="false">IF(G166="","",MAX(0,G166-1.96*L166/100))</f>
        <v>0.500326887260304</v>
      </c>
      <c r="N166" s="53" t="n">
        <f aca="false">IF(G166="","",MIN(1,G166+1.96*L166/100))</f>
        <v>0.569071658674924</v>
      </c>
      <c r="O166" s="52" t="n">
        <f aca="false">ROUND(S166*W166,0)</f>
        <v>104</v>
      </c>
      <c r="P166" s="52" t="n">
        <f aca="false">IF(F166="","",ROUND(SQRT((F166*L166/100)^2+(G166*O166)^2),0))</f>
        <v>62</v>
      </c>
      <c r="R166" s="54" t="n">
        <v>2.69358853769382</v>
      </c>
      <c r="S166" s="55" t="n">
        <f aca="false">U166*V166*$F$5</f>
        <v>1512.74151436031</v>
      </c>
      <c r="T166" s="56" t="n">
        <f aca="false">MAX(0,MIN(1,R166/100+$D$5))</f>
        <v>0.534990934344243</v>
      </c>
      <c r="U166" s="56" t="n">
        <v>0.616187989556136</v>
      </c>
      <c r="V166" s="55" t="n">
        <v>2455</v>
      </c>
      <c r="W166" s="56" t="n">
        <v>0.0684752145190268</v>
      </c>
      <c r="X166" s="57" t="s">
        <v>168</v>
      </c>
      <c r="Y166" s="57" t="s">
        <v>130</v>
      </c>
    </row>
    <row r="167" customFormat="false" ht="15" hidden="false" customHeight="false" outlineLevel="0" collapsed="false">
      <c r="A167" s="25" t="s">
        <v>197</v>
      </c>
      <c r="B167" s="25" t="s">
        <v>312</v>
      </c>
      <c r="C167" s="25" t="s">
        <v>313</v>
      </c>
      <c r="D167" s="52" t="n">
        <f aca="false">ROUND(S167*T167,0)</f>
        <v>816</v>
      </c>
      <c r="E167" s="52" t="n">
        <f aca="false">ROUND(S167,0)-D167</f>
        <v>1085</v>
      </c>
      <c r="F167" s="52" t="n">
        <f aca="false">IF(COUNTA(D167:E167)=0,"",SUM(D167:E167))</f>
        <v>1901</v>
      </c>
      <c r="G167" s="53" t="n">
        <f aca="false">IF(OR(F167="",F167=0),"",D167/F167)</f>
        <v>0.429247764334561</v>
      </c>
      <c r="H167" s="53" t="n">
        <f aca="false">IF(OR(F167="",F167=0),"",E167/F167)</f>
        <v>0.570752235665439</v>
      </c>
      <c r="I167" s="25" t="s">
        <v>128</v>
      </c>
      <c r="J167" s="28" t="n">
        <v>1.72835549007323</v>
      </c>
      <c r="K167" s="28" t="n">
        <f aca="false">$K$8</f>
        <v>0.297030231526703</v>
      </c>
      <c r="L167" s="28" t="n">
        <f aca="false">SQRT(J167^2+K167^2)</f>
        <v>1.75369314833214</v>
      </c>
      <c r="M167" s="53" t="n">
        <f aca="false">IF(G167="","",MAX(0,G167-1.96*L167/100))</f>
        <v>0.394875378627251</v>
      </c>
      <c r="N167" s="53" t="n">
        <f aca="false">IF(G167="","",MIN(1,G167+1.96*L167/100))</f>
        <v>0.463620150041871</v>
      </c>
      <c r="O167" s="52" t="n">
        <f aca="false">ROUND(S167*W167,0)</f>
        <v>130</v>
      </c>
      <c r="P167" s="52" t="n">
        <f aca="false">IF(F167="","",ROUND(SQRT((F167*L167/100)^2+(G167*O167)^2),0))</f>
        <v>65</v>
      </c>
      <c r="R167" s="54" t="n">
        <v>-7.90607739685907</v>
      </c>
      <c r="S167" s="55" t="n">
        <f aca="false">U167*V167*$F$5</f>
        <v>1901.09148856393</v>
      </c>
      <c r="T167" s="56" t="n">
        <f aca="false">MAX(0,MIN(1,R167/100+$D$5))</f>
        <v>0.428994274998714</v>
      </c>
      <c r="U167" s="56" t="n">
        <v>0.702287214098238</v>
      </c>
      <c r="V167" s="55" t="n">
        <v>2707</v>
      </c>
      <c r="W167" s="56" t="n">
        <v>0.0684752145190268</v>
      </c>
      <c r="X167" s="57" t="s">
        <v>168</v>
      </c>
      <c r="Y167" s="57" t="s">
        <v>130</v>
      </c>
    </row>
    <row r="168" customFormat="false" ht="15" hidden="false" customHeight="false" outlineLevel="0" collapsed="false">
      <c r="A168" s="25" t="s">
        <v>197</v>
      </c>
      <c r="B168" s="25" t="s">
        <v>312</v>
      </c>
      <c r="C168" s="25" t="s">
        <v>314</v>
      </c>
      <c r="D168" s="52" t="n">
        <f aca="false">ROUND(S168*T168,0)</f>
        <v>676</v>
      </c>
      <c r="E168" s="52" t="n">
        <f aca="false">ROUND(S168,0)-D168</f>
        <v>1004</v>
      </c>
      <c r="F168" s="52" t="n">
        <f aca="false">IF(COUNTA(D168:E168)=0,"",SUM(D168:E168))</f>
        <v>1680</v>
      </c>
      <c r="G168" s="53" t="n">
        <f aca="false">IF(OR(F168="",F168=0),"",D168/F168)</f>
        <v>0.402380952380952</v>
      </c>
      <c r="H168" s="53" t="n">
        <f aca="false">IF(OR(F168="",F168=0),"",E168/F168)</f>
        <v>0.597619047619048</v>
      </c>
      <c r="I168" s="25" t="s">
        <v>128</v>
      </c>
      <c r="J168" s="28" t="n">
        <v>1.72835549007323</v>
      </c>
      <c r="K168" s="28" t="n">
        <f aca="false">$K$8</f>
        <v>0.297030231526703</v>
      </c>
      <c r="L168" s="28" t="n">
        <f aca="false">SQRT(J168^2+K168^2)</f>
        <v>1.75369314833214</v>
      </c>
      <c r="M168" s="53" t="n">
        <f aca="false">IF(G168="","",MAX(0,G168-1.96*L168/100))</f>
        <v>0.368008566673643</v>
      </c>
      <c r="N168" s="53" t="n">
        <f aca="false">IF(G168="","",MIN(1,G168+1.96*L168/100))</f>
        <v>0.436753338088262</v>
      </c>
      <c r="O168" s="52" t="n">
        <f aca="false">ROUND(S168*W168,0)</f>
        <v>115</v>
      </c>
      <c r="P168" s="52" t="n">
        <f aca="false">IF(F168="","",ROUND(SQRT((F168*L168/100)^2+(G168*O168)^2),0))</f>
        <v>55</v>
      </c>
      <c r="R168" s="54" t="n">
        <v>-10.5561112835993</v>
      </c>
      <c r="S168" s="55" t="n">
        <f aca="false">U168*V168*$F$5</f>
        <v>1679.87969094923</v>
      </c>
      <c r="T168" s="56" t="n">
        <f aca="false">MAX(0,MIN(1,R168/100+$D$5))</f>
        <v>0.402493936131312</v>
      </c>
      <c r="U168" s="56" t="n">
        <v>0.613318616629875</v>
      </c>
      <c r="V168" s="55" t="n">
        <v>2739</v>
      </c>
      <c r="W168" s="56" t="n">
        <v>0.0684752145190268</v>
      </c>
      <c r="X168" s="57" t="s">
        <v>168</v>
      </c>
      <c r="Y168" s="57" t="s">
        <v>130</v>
      </c>
    </row>
    <row r="169" customFormat="false" ht="15" hidden="false" customHeight="false" outlineLevel="0" collapsed="false">
      <c r="A169" s="25" t="s">
        <v>197</v>
      </c>
      <c r="B169" s="25" t="s">
        <v>312</v>
      </c>
      <c r="C169" s="25" t="s">
        <v>315</v>
      </c>
      <c r="D169" s="52" t="n">
        <f aca="false">ROUND(S169*T169,0)</f>
        <v>359</v>
      </c>
      <c r="E169" s="52" t="n">
        <f aca="false">ROUND(S169,0)-D169</f>
        <v>540</v>
      </c>
      <c r="F169" s="52" t="n">
        <f aca="false">IF(COUNTA(D169:E169)=0,"",SUM(D169:E169))</f>
        <v>899</v>
      </c>
      <c r="G169" s="53" t="n">
        <f aca="false">IF(OR(F169="",F169=0),"",D169/F169)</f>
        <v>0.399332591768632</v>
      </c>
      <c r="H169" s="53" t="n">
        <f aca="false">IF(OR(F169="",F169=0),"",E169/F169)</f>
        <v>0.600667408231368</v>
      </c>
      <c r="I169" s="25" t="s">
        <v>128</v>
      </c>
      <c r="J169" s="28" t="n">
        <v>2.11716121919269</v>
      </c>
      <c r="K169" s="28" t="n">
        <f aca="false">$K$8</f>
        <v>0.297030231526703</v>
      </c>
      <c r="L169" s="28" t="n">
        <f aca="false">SQRT(J169^2+K169^2)</f>
        <v>2.13789583153489</v>
      </c>
      <c r="M169" s="53" t="n">
        <f aca="false">IF(G169="","",MAX(0,G169-1.96*L169/100))</f>
        <v>0.357429833470548</v>
      </c>
      <c r="N169" s="53" t="n">
        <f aca="false">IF(G169="","",MIN(1,G169+1.96*L169/100))</f>
        <v>0.441235350066716</v>
      </c>
      <c r="O169" s="52" t="n">
        <f aca="false">ROUND(S169*W169,0)</f>
        <v>80</v>
      </c>
      <c r="P169" s="52" t="n">
        <f aca="false">IF(F169="","",ROUND(SQRT((F169*L169/100)^2+(G169*O169)^2),0))</f>
        <v>37</v>
      </c>
      <c r="R169" s="54" t="n">
        <v>-10.8729702748663</v>
      </c>
      <c r="S169" s="55" t="n">
        <f aca="false">U169*V169*$F$5</f>
        <v>898.819587628866</v>
      </c>
      <c r="T169" s="56" t="n">
        <f aca="false">MAX(0,MIN(1,R169/100+$D$5))</f>
        <v>0.399325346218642</v>
      </c>
      <c r="U169" s="56" t="n">
        <v>0.654639175257732</v>
      </c>
      <c r="V169" s="55" t="n">
        <v>1373</v>
      </c>
      <c r="W169" s="56" t="n">
        <v>0.0887445098984521</v>
      </c>
      <c r="X169" s="57" t="s">
        <v>135</v>
      </c>
      <c r="Y169" s="57" t="s">
        <v>130</v>
      </c>
    </row>
    <row r="170" customFormat="false" ht="15" hidden="false" customHeight="false" outlineLevel="0" collapsed="false">
      <c r="A170" s="25" t="s">
        <v>197</v>
      </c>
      <c r="B170" s="25" t="s">
        <v>312</v>
      </c>
      <c r="C170" s="25" t="s">
        <v>316</v>
      </c>
      <c r="D170" s="52" t="n">
        <f aca="false">ROUND(S170*T170,0)</f>
        <v>539</v>
      </c>
      <c r="E170" s="52" t="n">
        <f aca="false">ROUND(S170,0)-D170</f>
        <v>788</v>
      </c>
      <c r="F170" s="52" t="n">
        <f aca="false">IF(COUNTA(D170:E170)=0,"",SUM(D170:E170))</f>
        <v>1327</v>
      </c>
      <c r="G170" s="53" t="n">
        <f aca="false">IF(OR(F170="",F170=0),"",D170/F170)</f>
        <v>0.406179351921628</v>
      </c>
      <c r="H170" s="53" t="n">
        <f aca="false">IF(OR(F170="",F170=0),"",E170/F170)</f>
        <v>0.593820648078372</v>
      </c>
      <c r="I170" s="25" t="s">
        <v>128</v>
      </c>
      <c r="J170" s="28" t="n">
        <v>1.72835549007323</v>
      </c>
      <c r="K170" s="28" t="n">
        <f aca="false">$K$8</f>
        <v>0.297030231526703</v>
      </c>
      <c r="L170" s="28" t="n">
        <f aca="false">SQRT(J170^2+K170^2)</f>
        <v>1.75369314833214</v>
      </c>
      <c r="M170" s="53" t="n">
        <f aca="false">IF(G170="","",MAX(0,G170-1.96*L170/100))</f>
        <v>0.371806966214318</v>
      </c>
      <c r="N170" s="53" t="n">
        <f aca="false">IF(G170="","",MIN(1,G170+1.96*L170/100))</f>
        <v>0.440551737628938</v>
      </c>
      <c r="O170" s="52" t="n">
        <f aca="false">ROUND(S170*W170,0)</f>
        <v>91</v>
      </c>
      <c r="P170" s="52" t="n">
        <f aca="false">IF(F170="","",ROUND(SQRT((F170*L170/100)^2+(G170*O170)^2),0))</f>
        <v>44</v>
      </c>
      <c r="R170" s="54" t="n">
        <v>-10.172387613029</v>
      </c>
      <c r="S170" s="55" t="n">
        <f aca="false">U170*V170*$F$5</f>
        <v>1327.11285266458</v>
      </c>
      <c r="T170" s="56" t="n">
        <f aca="false">MAX(0,MIN(1,R170/100+$D$5))</f>
        <v>0.406331172837015</v>
      </c>
      <c r="U170" s="56" t="n">
        <v>0.668234064785789</v>
      </c>
      <c r="V170" s="55" t="n">
        <v>1986</v>
      </c>
      <c r="W170" s="56" t="n">
        <v>0.0684752145190268</v>
      </c>
      <c r="X170" s="57" t="s">
        <v>168</v>
      </c>
      <c r="Y170" s="57" t="s">
        <v>130</v>
      </c>
    </row>
    <row r="171" customFormat="false" ht="15" hidden="false" customHeight="false" outlineLevel="0" collapsed="false">
      <c r="A171" s="25" t="s">
        <v>197</v>
      </c>
      <c r="B171" s="25" t="s">
        <v>312</v>
      </c>
      <c r="C171" s="25" t="s">
        <v>317</v>
      </c>
      <c r="D171" s="52" t="n">
        <f aca="false">ROUND(S171*T171,0)</f>
        <v>456</v>
      </c>
      <c r="E171" s="52" t="n">
        <f aca="false">ROUND(S171,0)-D171</f>
        <v>715</v>
      </c>
      <c r="F171" s="52" t="n">
        <f aca="false">IF(COUNTA(D171:E171)=0,"",SUM(D171:E171))</f>
        <v>1171</v>
      </c>
      <c r="G171" s="53" t="n">
        <f aca="false">IF(OR(F171="",F171=0),"",D171/F171)</f>
        <v>0.389410760034159</v>
      </c>
      <c r="H171" s="53" t="n">
        <f aca="false">IF(OR(F171="",F171=0),"",E171/F171)</f>
        <v>0.610589239965841</v>
      </c>
      <c r="I171" s="25" t="s">
        <v>128</v>
      </c>
      <c r="J171" s="28" t="n">
        <v>1.72835549007323</v>
      </c>
      <c r="K171" s="28" t="n">
        <f aca="false">$K$8</f>
        <v>0.297030231526703</v>
      </c>
      <c r="L171" s="28" t="n">
        <f aca="false">SQRT(J171^2+K171^2)</f>
        <v>1.75369314833214</v>
      </c>
      <c r="M171" s="53" t="n">
        <f aca="false">IF(G171="","",MAX(0,G171-1.96*L171/100))</f>
        <v>0.355038374326849</v>
      </c>
      <c r="N171" s="53" t="n">
        <f aca="false">IF(G171="","",MIN(1,G171+1.96*L171/100))</f>
        <v>0.423783145741469</v>
      </c>
      <c r="O171" s="52" t="n">
        <f aca="false">ROUND(S171*W171,0)</f>
        <v>80</v>
      </c>
      <c r="P171" s="52" t="n">
        <f aca="false">IF(F171="","",ROUND(SQRT((F171*L171/100)^2+(G171*O171)^2),0))</f>
        <v>37</v>
      </c>
      <c r="R171" s="54" t="n">
        <v>-11.8823204023893</v>
      </c>
      <c r="S171" s="55" t="n">
        <f aca="false">U171*V171*$F$5</f>
        <v>1170.83890577508</v>
      </c>
      <c r="T171" s="56" t="n">
        <f aca="false">MAX(0,MIN(1,R171/100+$D$5))</f>
        <v>0.389231844943411</v>
      </c>
      <c r="U171" s="56" t="n">
        <v>0.716109422492401</v>
      </c>
      <c r="V171" s="55" t="n">
        <v>1635</v>
      </c>
      <c r="W171" s="56" t="n">
        <v>0.0684752145190268</v>
      </c>
      <c r="X171" s="57" t="s">
        <v>168</v>
      </c>
      <c r="Y171" s="57" t="s">
        <v>130</v>
      </c>
    </row>
    <row r="172" customFormat="false" ht="15" hidden="false" customHeight="false" outlineLevel="0" collapsed="false">
      <c r="A172" s="25" t="s">
        <v>197</v>
      </c>
      <c r="B172" s="25" t="s">
        <v>312</v>
      </c>
      <c r="C172" s="25" t="s">
        <v>318</v>
      </c>
      <c r="D172" s="52" t="n">
        <f aca="false">ROUND(S172*T172,0)</f>
        <v>388</v>
      </c>
      <c r="E172" s="52" t="n">
        <f aca="false">ROUND(S172,0)-D172</f>
        <v>525</v>
      </c>
      <c r="F172" s="52" t="n">
        <f aca="false">IF(COUNTA(D172:E172)=0,"",SUM(D172:E172))</f>
        <v>913</v>
      </c>
      <c r="G172" s="53" t="n">
        <f aca="false">IF(OR(F172="",F172=0),"",D172/F172)</f>
        <v>0.424972617743702</v>
      </c>
      <c r="H172" s="53" t="n">
        <f aca="false">IF(OR(F172="",F172=0),"",E172/F172)</f>
        <v>0.575027382256298</v>
      </c>
      <c r="I172" s="25" t="s">
        <v>128</v>
      </c>
      <c r="J172" s="28" t="n">
        <v>2.11716121919269</v>
      </c>
      <c r="K172" s="28" t="n">
        <f aca="false">$K$8</f>
        <v>0.297030231526703</v>
      </c>
      <c r="L172" s="28" t="n">
        <f aca="false">SQRT(J172^2+K172^2)</f>
        <v>2.13789583153489</v>
      </c>
      <c r="M172" s="53" t="n">
        <f aca="false">IF(G172="","",MAX(0,G172-1.96*L172/100))</f>
        <v>0.383069859445618</v>
      </c>
      <c r="N172" s="53" t="n">
        <f aca="false">IF(G172="","",MIN(1,G172+1.96*L172/100))</f>
        <v>0.466875376041786</v>
      </c>
      <c r="O172" s="52" t="n">
        <f aca="false">ROUND(S172*W172,0)</f>
        <v>81</v>
      </c>
      <c r="P172" s="52" t="n">
        <f aca="false">IF(F172="","",ROUND(SQRT((F172*L172/100)^2+(G172*O172)^2),0))</f>
        <v>40</v>
      </c>
      <c r="R172" s="54" t="n">
        <v>-8.30699895012237</v>
      </c>
      <c r="S172" s="55" t="n">
        <f aca="false">U172*V172*$F$5</f>
        <v>912.990356083086</v>
      </c>
      <c r="T172" s="56" t="n">
        <f aca="false">MAX(0,MIN(1,R172/100+$D$5))</f>
        <v>0.424985059466081</v>
      </c>
      <c r="U172" s="56" t="n">
        <v>0.61646884272997</v>
      </c>
      <c r="V172" s="55" t="n">
        <v>1481</v>
      </c>
      <c r="W172" s="56" t="n">
        <v>0.0887445098984521</v>
      </c>
      <c r="X172" s="57" t="s">
        <v>135</v>
      </c>
      <c r="Y172" s="57" t="s">
        <v>130</v>
      </c>
    </row>
    <row r="173" customFormat="false" ht="15" hidden="false" customHeight="false" outlineLevel="0" collapsed="false">
      <c r="A173" s="25" t="s">
        <v>197</v>
      </c>
      <c r="B173" s="25" t="s">
        <v>319</v>
      </c>
      <c r="C173" s="25" t="s">
        <v>320</v>
      </c>
      <c r="D173" s="52" t="n">
        <f aca="false">ROUND(S173*T173,0)</f>
        <v>514</v>
      </c>
      <c r="E173" s="52" t="n">
        <f aca="false">ROUND(S173,0)-D173</f>
        <v>505</v>
      </c>
      <c r="F173" s="52" t="n">
        <f aca="false">IF(COUNTA(D173:E173)=0,"",SUM(D173:E173))</f>
        <v>1019</v>
      </c>
      <c r="G173" s="53" t="n">
        <f aca="false">IF(OR(F173="",F173=0),"",D173/F173)</f>
        <v>0.50441609421001</v>
      </c>
      <c r="H173" s="53" t="n">
        <f aca="false">IF(OR(F173="",F173=0),"",E173/F173)</f>
        <v>0.49558390578999</v>
      </c>
      <c r="I173" s="25" t="s">
        <v>128</v>
      </c>
      <c r="J173" s="28" t="n">
        <v>1.72835549007323</v>
      </c>
      <c r="K173" s="28" t="n">
        <f aca="false">$K$8</f>
        <v>0.297030231526703</v>
      </c>
      <c r="L173" s="28" t="n">
        <f aca="false">SQRT(J173^2+K173^2)</f>
        <v>1.75369314833214</v>
      </c>
      <c r="M173" s="53" t="n">
        <f aca="false">IF(G173="","",MAX(0,G173-1.96*L173/100))</f>
        <v>0.4700437085027</v>
      </c>
      <c r="N173" s="53" t="n">
        <f aca="false">IF(G173="","",MIN(1,G173+1.96*L173/100))</f>
        <v>0.53878847991732</v>
      </c>
      <c r="O173" s="52" t="n">
        <f aca="false">ROUND(S173*W173,0)</f>
        <v>70</v>
      </c>
      <c r="P173" s="52" t="n">
        <f aca="false">IF(F173="","",ROUND(SQRT((F173*L173/100)^2+(G173*O173)^2),0))</f>
        <v>40</v>
      </c>
      <c r="R173" s="54" t="n">
        <v>-0.377455007663301</v>
      </c>
      <c r="S173" s="55" t="n">
        <f aca="false">U173*V173*$F$5</f>
        <v>1018.96641574986</v>
      </c>
      <c r="T173" s="56" t="n">
        <f aca="false">MAX(0,MIN(1,R173/100+$D$5))</f>
        <v>0.504280498890672</v>
      </c>
      <c r="U173" s="56" t="n">
        <v>0.581933989577302</v>
      </c>
      <c r="V173" s="55" t="n">
        <v>1751</v>
      </c>
      <c r="W173" s="56" t="n">
        <v>0.0684752145190268</v>
      </c>
      <c r="X173" s="57" t="s">
        <v>168</v>
      </c>
      <c r="Y173" s="57" t="s">
        <v>130</v>
      </c>
    </row>
    <row r="174" customFormat="false" ht="15" hidden="false" customHeight="false" outlineLevel="0" collapsed="false">
      <c r="A174" s="25" t="s">
        <v>197</v>
      </c>
      <c r="B174" s="25" t="s">
        <v>319</v>
      </c>
      <c r="C174" s="25" t="s">
        <v>321</v>
      </c>
      <c r="D174" s="52" t="n">
        <f aca="false">ROUND(S174*T174,0)</f>
        <v>620</v>
      </c>
      <c r="E174" s="52" t="n">
        <f aca="false">ROUND(S174,0)-D174</f>
        <v>611</v>
      </c>
      <c r="F174" s="52" t="n">
        <f aca="false">IF(COUNTA(D174:E174)=0,"",SUM(D174:E174))</f>
        <v>1231</v>
      </c>
      <c r="G174" s="53" t="n">
        <f aca="false">IF(OR(F174="",F174=0),"",D174/F174)</f>
        <v>0.503655564581641</v>
      </c>
      <c r="H174" s="53" t="n">
        <f aca="false">IF(OR(F174="",F174=0),"",E174/F174)</f>
        <v>0.496344435418359</v>
      </c>
      <c r="I174" s="25" t="s">
        <v>128</v>
      </c>
      <c r="J174" s="28" t="n">
        <v>1.72835549007323</v>
      </c>
      <c r="K174" s="28" t="n">
        <f aca="false">$K$8</f>
        <v>0.297030231526703</v>
      </c>
      <c r="L174" s="28" t="n">
        <f aca="false">SQRT(J174^2+K174^2)</f>
        <v>1.75369314833214</v>
      </c>
      <c r="M174" s="53" t="n">
        <f aca="false">IF(G174="","",MAX(0,G174-1.96*L174/100))</f>
        <v>0.469283178874331</v>
      </c>
      <c r="N174" s="53" t="n">
        <f aca="false">IF(G174="","",MIN(1,G174+1.96*L174/100))</f>
        <v>0.538027950288951</v>
      </c>
      <c r="O174" s="52" t="n">
        <f aca="false">ROUND(S174*W174,0)</f>
        <v>84</v>
      </c>
      <c r="P174" s="52" t="n">
        <f aca="false">IF(F174="","",ROUND(SQRT((F174*L174/100)^2+(G174*O174)^2),0))</f>
        <v>47</v>
      </c>
      <c r="R174" s="54" t="n">
        <v>-0.465368180219568</v>
      </c>
      <c r="S174" s="55" t="n">
        <f aca="false">U174*V174*$F$5</f>
        <v>1230.79069767442</v>
      </c>
      <c r="T174" s="56" t="n">
        <f aca="false">MAX(0,MIN(1,R174/100+$D$5))</f>
        <v>0.503401367165109</v>
      </c>
      <c r="U174" s="56" t="n">
        <v>0.609302325581395</v>
      </c>
      <c r="V174" s="55" t="n">
        <v>2020</v>
      </c>
      <c r="W174" s="56" t="n">
        <v>0.0684752145190268</v>
      </c>
      <c r="X174" s="57" t="s">
        <v>168</v>
      </c>
      <c r="Y174" s="57" t="s">
        <v>130</v>
      </c>
    </row>
    <row r="175" customFormat="false" ht="15" hidden="false" customHeight="false" outlineLevel="0" collapsed="false">
      <c r="A175" s="25" t="s">
        <v>197</v>
      </c>
      <c r="B175" s="25" t="s">
        <v>319</v>
      </c>
      <c r="C175" s="25" t="s">
        <v>322</v>
      </c>
      <c r="D175" s="52" t="n">
        <f aca="false">ROUND(S175*T175,0)</f>
        <v>279</v>
      </c>
      <c r="E175" s="52" t="n">
        <f aca="false">ROUND(S175,0)-D175</f>
        <v>275</v>
      </c>
      <c r="F175" s="52" t="n">
        <f aca="false">IF(COUNTA(D175:E175)=0,"",SUM(D175:E175))</f>
        <v>554</v>
      </c>
      <c r="G175" s="53" t="n">
        <f aca="false">IF(OR(F175="",F175=0),"",D175/F175)</f>
        <v>0.503610108303249</v>
      </c>
      <c r="H175" s="53" t="n">
        <f aca="false">IF(OR(F175="",F175=0),"",E175/F175)</f>
        <v>0.496389891696751</v>
      </c>
      <c r="I175" s="25" t="s">
        <v>128</v>
      </c>
      <c r="J175" s="28" t="n">
        <v>3.42046080519466</v>
      </c>
      <c r="K175" s="28" t="n">
        <f aca="false">$K$8</f>
        <v>0.297030231526703</v>
      </c>
      <c r="L175" s="28" t="n">
        <f aca="false">SQRT(J175^2+K175^2)</f>
        <v>3.43333352273176</v>
      </c>
      <c r="M175" s="53" t="n">
        <f aca="false">IF(G175="","",MAX(0,G175-1.96*L175/100))</f>
        <v>0.436316771257707</v>
      </c>
      <c r="N175" s="53" t="n">
        <f aca="false">IF(G175="","",MIN(1,G175+1.96*L175/100))</f>
        <v>0.570903445348792</v>
      </c>
      <c r="O175" s="52" t="n">
        <f aca="false">ROUND(S175*W175,0)</f>
        <v>82</v>
      </c>
      <c r="P175" s="52" t="n">
        <f aca="false">IF(F175="","",ROUND(SQRT((F175*L175/100)^2+(G175*O175)^2),0))</f>
        <v>45</v>
      </c>
      <c r="R175" s="54" t="n">
        <v>-0.416178084786867</v>
      </c>
      <c r="S175" s="55" t="n">
        <f aca="false">U175*V175*$F$5</f>
        <v>553.927710843374</v>
      </c>
      <c r="T175" s="56" t="n">
        <f aca="false">MAX(0,MIN(1,R175/100+$D$5))</f>
        <v>0.503893268119436</v>
      </c>
      <c r="U175" s="56" t="n">
        <v>0.674698795180723</v>
      </c>
      <c r="V175" s="55" t="n">
        <v>821</v>
      </c>
      <c r="W175" s="56" t="n">
        <v>0.148097331980838</v>
      </c>
      <c r="X175" s="57" t="s">
        <v>129</v>
      </c>
      <c r="Y175" s="57" t="s">
        <v>130</v>
      </c>
    </row>
    <row r="176" customFormat="false" ht="15" hidden="false" customHeight="false" outlineLevel="0" collapsed="false">
      <c r="A176" s="25" t="s">
        <v>197</v>
      </c>
      <c r="B176" s="25" t="s">
        <v>319</v>
      </c>
      <c r="C176" s="25" t="s">
        <v>323</v>
      </c>
      <c r="D176" s="52" t="n">
        <f aca="false">ROUND(S176*T176,0)</f>
        <v>326</v>
      </c>
      <c r="E176" s="52" t="n">
        <f aca="false">ROUND(S176,0)-D176</f>
        <v>312</v>
      </c>
      <c r="F176" s="52" t="n">
        <f aca="false">IF(COUNTA(D176:E176)=0,"",SUM(D176:E176))</f>
        <v>638</v>
      </c>
      <c r="G176" s="53" t="n">
        <f aca="false">IF(OR(F176="",F176=0),"",D176/F176)</f>
        <v>0.510971786833856</v>
      </c>
      <c r="H176" s="53" t="n">
        <f aca="false">IF(OR(F176="",F176=0),"",E176/F176)</f>
        <v>0.489028213166144</v>
      </c>
      <c r="I176" s="25" t="s">
        <v>128</v>
      </c>
      <c r="J176" s="28" t="n">
        <v>2.11716121919269</v>
      </c>
      <c r="K176" s="28" t="n">
        <f aca="false">$K$8</f>
        <v>0.297030231526703</v>
      </c>
      <c r="L176" s="28" t="n">
        <f aca="false">SQRT(J176^2+K176^2)</f>
        <v>2.13789583153489</v>
      </c>
      <c r="M176" s="53" t="n">
        <f aca="false">IF(G176="","",MAX(0,G176-1.96*L176/100))</f>
        <v>0.469069028535772</v>
      </c>
      <c r="N176" s="53" t="n">
        <f aca="false">IF(G176="","",MIN(1,G176+1.96*L176/100))</f>
        <v>0.55287454513194</v>
      </c>
      <c r="O176" s="52" t="n">
        <f aca="false">ROUND(S176*W176,0)</f>
        <v>57</v>
      </c>
      <c r="P176" s="52" t="n">
        <f aca="false">IF(F176="","",ROUND(SQRT((F176*L176/100)^2+(G176*O176)^2),0))</f>
        <v>32</v>
      </c>
      <c r="R176" s="54" t="n">
        <v>0.348795952817084</v>
      </c>
      <c r="S176" s="55" t="n">
        <f aca="false">U176*V176*$F$5</f>
        <v>638.017946161515</v>
      </c>
      <c r="T176" s="56" t="n">
        <f aca="false">MAX(0,MIN(1,R176/100+$D$5))</f>
        <v>0.511543008495476</v>
      </c>
      <c r="U176" s="56" t="n">
        <v>0.626121635094716</v>
      </c>
      <c r="V176" s="55" t="n">
        <v>1019</v>
      </c>
      <c r="W176" s="56" t="n">
        <v>0.0887445098984521</v>
      </c>
      <c r="X176" s="57" t="s">
        <v>135</v>
      </c>
      <c r="Y176" s="57" t="s">
        <v>130</v>
      </c>
    </row>
    <row r="177" customFormat="false" ht="15" hidden="false" customHeight="false" outlineLevel="0" collapsed="false">
      <c r="A177" s="25" t="s">
        <v>197</v>
      </c>
      <c r="B177" s="25" t="s">
        <v>319</v>
      </c>
      <c r="C177" s="25" t="s">
        <v>324</v>
      </c>
      <c r="D177" s="52" t="n">
        <f aca="false">ROUND(S177*T177,0)</f>
        <v>425</v>
      </c>
      <c r="E177" s="52" t="n">
        <f aca="false">ROUND(S177,0)-D177</f>
        <v>431</v>
      </c>
      <c r="F177" s="52" t="n">
        <f aca="false">IF(COUNTA(D177:E177)=0,"",SUM(D177:E177))</f>
        <v>856</v>
      </c>
      <c r="G177" s="53" t="n">
        <f aca="false">IF(OR(F177="",F177=0),"",D177/F177)</f>
        <v>0.496495327102804</v>
      </c>
      <c r="H177" s="53" t="n">
        <f aca="false">IF(OR(F177="",F177=0),"",E177/F177)</f>
        <v>0.503504672897196</v>
      </c>
      <c r="I177" s="25" t="s">
        <v>128</v>
      </c>
      <c r="J177" s="28" t="n">
        <v>2.11716121919269</v>
      </c>
      <c r="K177" s="28" t="n">
        <f aca="false">$K$8</f>
        <v>0.297030231526703</v>
      </c>
      <c r="L177" s="28" t="n">
        <f aca="false">SQRT(J177^2+K177^2)</f>
        <v>2.13789583153489</v>
      </c>
      <c r="M177" s="53" t="n">
        <f aca="false">IF(G177="","",MAX(0,G177-1.96*L177/100))</f>
        <v>0.45459256880472</v>
      </c>
      <c r="N177" s="53" t="n">
        <f aca="false">IF(G177="","",MIN(1,G177+1.96*L177/100))</f>
        <v>0.538398085400888</v>
      </c>
      <c r="O177" s="52" t="n">
        <f aca="false">ROUND(S177*W177,0)</f>
        <v>76</v>
      </c>
      <c r="P177" s="52" t="n">
        <f aca="false">IF(F177="","",ROUND(SQRT((F177*L177/100)^2+(G177*O177)^2),0))</f>
        <v>42</v>
      </c>
      <c r="R177" s="54" t="n">
        <v>-1.12178902765117</v>
      </c>
      <c r="S177" s="55" t="n">
        <f aca="false">U177*V177*$F$5</f>
        <v>855.646785437645</v>
      </c>
      <c r="T177" s="56" t="n">
        <f aca="false">MAX(0,MIN(1,R177/100+$D$5))</f>
        <v>0.496837158690793</v>
      </c>
      <c r="U177" s="56" t="n">
        <v>0.66847405112316</v>
      </c>
      <c r="V177" s="55" t="n">
        <v>1280</v>
      </c>
      <c r="W177" s="56" t="n">
        <v>0.0887445098984521</v>
      </c>
      <c r="X177" s="57" t="s">
        <v>135</v>
      </c>
      <c r="Y177" s="57" t="s">
        <v>130</v>
      </c>
    </row>
    <row r="178" customFormat="false" ht="15" hidden="false" customHeight="false" outlineLevel="0" collapsed="false">
      <c r="A178" s="25" t="s">
        <v>197</v>
      </c>
      <c r="B178" s="25" t="s">
        <v>319</v>
      </c>
      <c r="C178" s="25" t="s">
        <v>325</v>
      </c>
      <c r="D178" s="52" t="n">
        <f aca="false">ROUND(S178*T178,0)</f>
        <v>275</v>
      </c>
      <c r="E178" s="52" t="n">
        <f aca="false">ROUND(S178,0)-D178</f>
        <v>292</v>
      </c>
      <c r="F178" s="52" t="n">
        <f aca="false">IF(COUNTA(D178:E178)=0,"",SUM(D178:E178))</f>
        <v>567</v>
      </c>
      <c r="G178" s="53" t="n">
        <f aca="false">IF(OR(F178="",F178=0),"",D178/F178)</f>
        <v>0.485008818342152</v>
      </c>
      <c r="H178" s="53" t="n">
        <f aca="false">IF(OR(F178="",F178=0),"",E178/F178)</f>
        <v>0.514991181657848</v>
      </c>
      <c r="I178" s="25" t="s">
        <v>128</v>
      </c>
      <c r="J178" s="28" t="n">
        <v>3.42046080519466</v>
      </c>
      <c r="K178" s="28" t="n">
        <f aca="false">$K$8</f>
        <v>0.297030231526703</v>
      </c>
      <c r="L178" s="28" t="n">
        <f aca="false">SQRT(J178^2+K178^2)</f>
        <v>3.43333352273176</v>
      </c>
      <c r="M178" s="53" t="n">
        <f aca="false">IF(G178="","",MAX(0,G178-1.96*L178/100))</f>
        <v>0.417715481296609</v>
      </c>
      <c r="N178" s="53" t="n">
        <f aca="false">IF(G178="","",MIN(1,G178+1.96*L178/100))</f>
        <v>0.552302155387694</v>
      </c>
      <c r="O178" s="52" t="n">
        <f aca="false">ROUND(S178*W178,0)</f>
        <v>84</v>
      </c>
      <c r="P178" s="52" t="n">
        <f aca="false">IF(F178="","",ROUND(SQRT((F178*L178/100)^2+(G178*O178)^2),0))</f>
        <v>45</v>
      </c>
      <c r="R178" s="54" t="n">
        <v>-2.2532845809682</v>
      </c>
      <c r="S178" s="55" t="n">
        <f aca="false">U178*V178*$F$5</f>
        <v>566.944444444444</v>
      </c>
      <c r="T178" s="56" t="n">
        <f aca="false">MAX(0,MIN(1,R178/100+$D$5))</f>
        <v>0.485522203157623</v>
      </c>
      <c r="U178" s="56" t="n">
        <v>0.722222222222222</v>
      </c>
      <c r="V178" s="55" t="n">
        <v>785</v>
      </c>
      <c r="W178" s="56" t="n">
        <v>0.148097331980838</v>
      </c>
      <c r="X178" s="57" t="s">
        <v>129</v>
      </c>
      <c r="Y178" s="57" t="s">
        <v>130</v>
      </c>
    </row>
    <row r="179" customFormat="false" ht="15" hidden="false" customHeight="false" outlineLevel="0" collapsed="false">
      <c r="A179" s="25" t="s">
        <v>197</v>
      </c>
      <c r="B179" s="25" t="s">
        <v>319</v>
      </c>
      <c r="C179" s="25" t="s">
        <v>326</v>
      </c>
      <c r="D179" s="52" t="n">
        <f aca="false">ROUND(S179*T179,0)</f>
        <v>349</v>
      </c>
      <c r="E179" s="52" t="n">
        <f aca="false">ROUND(S179,0)-D179</f>
        <v>310</v>
      </c>
      <c r="F179" s="52" t="n">
        <f aca="false">IF(COUNTA(D179:E179)=0,"",SUM(D179:E179))</f>
        <v>659</v>
      </c>
      <c r="G179" s="53" t="n">
        <f aca="false">IF(OR(F179="",F179=0),"",D179/F179)</f>
        <v>0.52959028831563</v>
      </c>
      <c r="H179" s="53" t="n">
        <f aca="false">IF(OR(F179="",F179=0),"",E179/F179)</f>
        <v>0.47040971168437</v>
      </c>
      <c r="I179" s="25" t="s">
        <v>128</v>
      </c>
      <c r="J179" s="28" t="n">
        <v>2.11716121919269</v>
      </c>
      <c r="K179" s="28" t="n">
        <f aca="false">$K$8</f>
        <v>0.297030231526703</v>
      </c>
      <c r="L179" s="28" t="n">
        <f aca="false">SQRT(J179^2+K179^2)</f>
        <v>2.13789583153489</v>
      </c>
      <c r="M179" s="53" t="n">
        <f aca="false">IF(G179="","",MAX(0,G179-1.96*L179/100))</f>
        <v>0.487687530017546</v>
      </c>
      <c r="N179" s="53" t="n">
        <f aca="false">IF(G179="","",MIN(1,G179+1.96*L179/100))</f>
        <v>0.571493046613714</v>
      </c>
      <c r="O179" s="52" t="n">
        <f aca="false">ROUND(S179*W179,0)</f>
        <v>59</v>
      </c>
      <c r="P179" s="52" t="n">
        <f aca="false">IF(F179="","",ROUND(SQRT((F179*L179/100)^2+(G179*O179)^2),0))</f>
        <v>34</v>
      </c>
      <c r="R179" s="54" t="n">
        <v>2.16943491742202</v>
      </c>
      <c r="S179" s="55" t="n">
        <f aca="false">U179*V179*$F$5</f>
        <v>659.344556677891</v>
      </c>
      <c r="T179" s="56" t="n">
        <f aca="false">MAX(0,MIN(1,R179/100+$D$5))</f>
        <v>0.529749398141525</v>
      </c>
      <c r="U179" s="56" t="n">
        <v>0.72615039281706</v>
      </c>
      <c r="V179" s="55" t="n">
        <v>908</v>
      </c>
      <c r="W179" s="56" t="n">
        <v>0.0887445098984521</v>
      </c>
      <c r="X179" s="57" t="s">
        <v>135</v>
      </c>
      <c r="Y179" s="57" t="s">
        <v>130</v>
      </c>
    </row>
    <row r="180" customFormat="false" ht="15" hidden="false" customHeight="false" outlineLevel="0" collapsed="false">
      <c r="A180" s="25" t="s">
        <v>197</v>
      </c>
      <c r="B180" s="25" t="s">
        <v>319</v>
      </c>
      <c r="C180" s="25" t="s">
        <v>327</v>
      </c>
      <c r="D180" s="52" t="n">
        <f aca="false">ROUND(S180*T180,0)</f>
        <v>457</v>
      </c>
      <c r="E180" s="52" t="n">
        <f aca="false">ROUND(S180,0)-D180</f>
        <v>443</v>
      </c>
      <c r="F180" s="52" t="n">
        <f aca="false">IF(COUNTA(D180:E180)=0,"",SUM(D180:E180))</f>
        <v>900</v>
      </c>
      <c r="G180" s="53" t="n">
        <f aca="false">IF(OR(F180="",F180=0),"",D180/F180)</f>
        <v>0.507777777777778</v>
      </c>
      <c r="H180" s="53" t="n">
        <f aca="false">IF(OR(F180="",F180=0),"",E180/F180)</f>
        <v>0.492222222222222</v>
      </c>
      <c r="I180" s="25" t="s">
        <v>128</v>
      </c>
      <c r="J180" s="28" t="n">
        <v>2.11716121919269</v>
      </c>
      <c r="K180" s="28" t="n">
        <f aca="false">$K$8</f>
        <v>0.297030231526703</v>
      </c>
      <c r="L180" s="28" t="n">
        <f aca="false">SQRT(J180^2+K180^2)</f>
        <v>2.13789583153489</v>
      </c>
      <c r="M180" s="53" t="n">
        <f aca="false">IF(G180="","",MAX(0,G180-1.96*L180/100))</f>
        <v>0.465875019479694</v>
      </c>
      <c r="N180" s="53" t="n">
        <f aca="false">IF(G180="","",MIN(1,G180+1.96*L180/100))</f>
        <v>0.549680536075862</v>
      </c>
      <c r="O180" s="52" t="n">
        <f aca="false">ROUND(S180*W180,0)</f>
        <v>80</v>
      </c>
      <c r="P180" s="52" t="n">
        <f aca="false">IF(F180="","",ROUND(SQRT((F180*L180/100)^2+(G180*O180)^2),0))</f>
        <v>45</v>
      </c>
      <c r="R180" s="54" t="n">
        <v>0.0124868458459602</v>
      </c>
      <c r="S180" s="55" t="n">
        <f aca="false">U180*V180*$F$5</f>
        <v>900.130434782609</v>
      </c>
      <c r="T180" s="56" t="n">
        <f aca="false">MAX(0,MIN(1,R180/100+$D$5))</f>
        <v>0.508179917425764</v>
      </c>
      <c r="U180" s="56" t="n">
        <v>0.707093821510297</v>
      </c>
      <c r="V180" s="55" t="n">
        <v>1273</v>
      </c>
      <c r="W180" s="56" t="n">
        <v>0.0887445098984521</v>
      </c>
      <c r="X180" s="57" t="s">
        <v>135</v>
      </c>
      <c r="Y180" s="57" t="s">
        <v>130</v>
      </c>
    </row>
    <row r="181" customFormat="false" ht="15" hidden="false" customHeight="false" outlineLevel="0" collapsed="false">
      <c r="A181" s="25" t="s">
        <v>197</v>
      </c>
      <c r="B181" s="25" t="s">
        <v>328</v>
      </c>
      <c r="C181" s="25" t="s">
        <v>329</v>
      </c>
      <c r="D181" s="52" t="n">
        <f aca="false">ROUND(S181*T181,0)</f>
        <v>174</v>
      </c>
      <c r="E181" s="52" t="n">
        <f aca="false">ROUND(S181,0)-D181</f>
        <v>217</v>
      </c>
      <c r="F181" s="52" t="n">
        <f aca="false">IF(COUNTA(D181:E181)=0,"",SUM(D181:E181))</f>
        <v>391</v>
      </c>
      <c r="G181" s="53" t="n">
        <f aca="false">IF(OR(F181="",F181=0),"",D181/F181)</f>
        <v>0.445012787723785</v>
      </c>
      <c r="H181" s="53" t="n">
        <f aca="false">IF(OR(F181="",F181=0),"",E181/F181)</f>
        <v>0.554987212276215</v>
      </c>
      <c r="I181" s="25" t="s">
        <v>128</v>
      </c>
      <c r="J181" s="28" t="n">
        <v>3.42046080519466</v>
      </c>
      <c r="K181" s="28" t="n">
        <f aca="false">$K$8</f>
        <v>0.297030231526703</v>
      </c>
      <c r="L181" s="28" t="n">
        <f aca="false">SQRT(J181^2+K181^2)</f>
        <v>3.43333352273176</v>
      </c>
      <c r="M181" s="53" t="n">
        <f aca="false">IF(G181="","",MAX(0,G181-1.96*L181/100))</f>
        <v>0.377719450678243</v>
      </c>
      <c r="N181" s="53" t="n">
        <f aca="false">IF(G181="","",MIN(1,G181+1.96*L181/100))</f>
        <v>0.512306124769328</v>
      </c>
      <c r="O181" s="52" t="n">
        <f aca="false">ROUND(S181*W181,0)</f>
        <v>58</v>
      </c>
      <c r="P181" s="52" t="n">
        <f aca="false">IF(F181="","",ROUND(SQRT((F181*L181/100)^2+(G181*O181)^2),0))</f>
        <v>29</v>
      </c>
      <c r="R181" s="54" t="n">
        <v>-6.37530072765254</v>
      </c>
      <c r="S181" s="55" t="n">
        <f aca="false">U181*V181*$F$5</f>
        <v>390.71668667467</v>
      </c>
      <c r="T181" s="56" t="n">
        <f aca="false">MAX(0,MIN(1,R181/100+$D$5))</f>
        <v>0.444302041690779</v>
      </c>
      <c r="U181" s="56" t="n">
        <v>0.464585834333733</v>
      </c>
      <c r="V181" s="55" t="n">
        <v>841</v>
      </c>
      <c r="W181" s="56" t="n">
        <v>0.148097331980838</v>
      </c>
      <c r="X181" s="57" t="s">
        <v>129</v>
      </c>
      <c r="Y181" s="57" t="s">
        <v>130</v>
      </c>
    </row>
    <row r="182" customFormat="false" ht="15" hidden="false" customHeight="false" outlineLevel="0" collapsed="false">
      <c r="A182" s="25" t="s">
        <v>197</v>
      </c>
      <c r="B182" s="25" t="s">
        <v>328</v>
      </c>
      <c r="C182" s="25" t="s">
        <v>330</v>
      </c>
      <c r="D182" s="52" t="n">
        <f aca="false">ROUND(S182*T182,0)</f>
        <v>131</v>
      </c>
      <c r="E182" s="52" t="n">
        <f aca="false">ROUND(S182,0)-D182</f>
        <v>185</v>
      </c>
      <c r="F182" s="52" t="n">
        <f aca="false">IF(COUNTA(D182:E182)=0,"",SUM(D182:E182))</f>
        <v>316</v>
      </c>
      <c r="G182" s="53" t="n">
        <f aca="false">IF(OR(F182="",F182=0),"",D182/F182)</f>
        <v>0.414556962025316</v>
      </c>
      <c r="H182" s="53" t="n">
        <f aca="false">IF(OR(F182="",F182=0),"",E182/F182)</f>
        <v>0.585443037974684</v>
      </c>
      <c r="I182" s="25" t="s">
        <v>128</v>
      </c>
      <c r="J182" s="28" t="n">
        <v>3.42046080519466</v>
      </c>
      <c r="K182" s="28" t="n">
        <f aca="false">$K$8</f>
        <v>0.297030231526703</v>
      </c>
      <c r="L182" s="28" t="n">
        <f aca="false">SQRT(J182^2+K182^2)</f>
        <v>3.43333352273176</v>
      </c>
      <c r="M182" s="53" t="n">
        <f aca="false">IF(G182="","",MAX(0,G182-1.96*L182/100))</f>
        <v>0.347263624979774</v>
      </c>
      <c r="N182" s="53" t="n">
        <f aca="false">IF(G182="","",MIN(1,G182+1.96*L182/100))</f>
        <v>0.481850299070859</v>
      </c>
      <c r="O182" s="52" t="n">
        <f aca="false">ROUND(S182*W182,0)</f>
        <v>47</v>
      </c>
      <c r="P182" s="52" t="n">
        <f aca="false">IF(F182="","",ROUND(SQRT((F182*L182/100)^2+(G182*O182)^2),0))</f>
        <v>22</v>
      </c>
      <c r="R182" s="54" t="n">
        <v>-9.53755786220826</v>
      </c>
      <c r="S182" s="55" t="n">
        <f aca="false">U182*V182*$F$5</f>
        <v>316.23569023569</v>
      </c>
      <c r="T182" s="56" t="n">
        <f aca="false">MAX(0,MIN(1,R182/100+$D$5))</f>
        <v>0.412679470345222</v>
      </c>
      <c r="U182" s="56" t="n">
        <v>0.508417508417508</v>
      </c>
      <c r="V182" s="55" t="n">
        <v>622</v>
      </c>
      <c r="W182" s="56" t="n">
        <v>0.148097331980838</v>
      </c>
      <c r="X182" s="57" t="s">
        <v>129</v>
      </c>
      <c r="Y182" s="57" t="s">
        <v>130</v>
      </c>
    </row>
    <row r="183" customFormat="false" ht="15" hidden="false" customHeight="false" outlineLevel="0" collapsed="false">
      <c r="A183" s="25" t="s">
        <v>197</v>
      </c>
      <c r="B183" s="25" t="s">
        <v>328</v>
      </c>
      <c r="C183" s="25" t="s">
        <v>331</v>
      </c>
      <c r="D183" s="52" t="n">
        <f aca="false">ROUND(S183*T183,0)</f>
        <v>288</v>
      </c>
      <c r="E183" s="52" t="n">
        <f aca="false">ROUND(S183,0)-D183</f>
        <v>396</v>
      </c>
      <c r="F183" s="52" t="n">
        <f aca="false">IF(COUNTA(D183:E183)=0,"",SUM(D183:E183))</f>
        <v>684</v>
      </c>
      <c r="G183" s="53" t="n">
        <f aca="false">IF(OR(F183="",F183=0),"",D183/F183)</f>
        <v>0.421052631578947</v>
      </c>
      <c r="H183" s="53" t="n">
        <f aca="false">IF(OR(F183="",F183=0),"",E183/F183)</f>
        <v>0.578947368421053</v>
      </c>
      <c r="I183" s="25" t="s">
        <v>128</v>
      </c>
      <c r="J183" s="28" t="n">
        <v>2.11716121919269</v>
      </c>
      <c r="K183" s="28" t="n">
        <f aca="false">$K$8</f>
        <v>0.297030231526703</v>
      </c>
      <c r="L183" s="28" t="n">
        <f aca="false">SQRT(J183^2+K183^2)</f>
        <v>2.13789583153489</v>
      </c>
      <c r="M183" s="53" t="n">
        <f aca="false">IF(G183="","",MAX(0,G183-1.96*L183/100))</f>
        <v>0.379149873280863</v>
      </c>
      <c r="N183" s="53" t="n">
        <f aca="false">IF(G183="","",MIN(1,G183+1.96*L183/100))</f>
        <v>0.462955389877031</v>
      </c>
      <c r="O183" s="52" t="n">
        <f aca="false">ROUND(S183*W183,0)</f>
        <v>61</v>
      </c>
      <c r="P183" s="52" t="n">
        <f aca="false">IF(F183="","",ROUND(SQRT((F183*L183/100)^2+(G183*O183)^2),0))</f>
        <v>30</v>
      </c>
      <c r="R183" s="54" t="n">
        <v>-8.76042480881982</v>
      </c>
      <c r="S183" s="55" t="n">
        <f aca="false">U183*V183*$F$5</f>
        <v>684.341030195382</v>
      </c>
      <c r="T183" s="56" t="n">
        <f aca="false">MAX(0,MIN(1,R183/100+$D$5))</f>
        <v>0.420450800879107</v>
      </c>
      <c r="U183" s="56" t="n">
        <v>0.587921847246892</v>
      </c>
      <c r="V183" s="55" t="n">
        <v>1164</v>
      </c>
      <c r="W183" s="56" t="n">
        <v>0.0887445098984521</v>
      </c>
      <c r="X183" s="57" t="s">
        <v>135</v>
      </c>
      <c r="Y183" s="57" t="s">
        <v>130</v>
      </c>
    </row>
    <row r="184" customFormat="false" ht="15" hidden="false" customHeight="false" outlineLevel="0" collapsed="false">
      <c r="A184" s="25" t="s">
        <v>197</v>
      </c>
      <c r="B184" s="25" t="s">
        <v>332</v>
      </c>
      <c r="C184" s="25" t="s">
        <v>333</v>
      </c>
      <c r="D184" s="52" t="n">
        <f aca="false">ROUND(S184*T184,0)</f>
        <v>715</v>
      </c>
      <c r="E184" s="52" t="n">
        <f aca="false">ROUND(S184,0)-D184</f>
        <v>704</v>
      </c>
      <c r="F184" s="52" t="n">
        <f aca="false">IF(COUNTA(D184:E184)=0,"",SUM(D184:E184))</f>
        <v>1419</v>
      </c>
      <c r="G184" s="53" t="n">
        <f aca="false">IF(OR(F184="",F184=0),"",D184/F184)</f>
        <v>0.503875968992248</v>
      </c>
      <c r="H184" s="53" t="n">
        <f aca="false">IF(OR(F184="",F184=0),"",E184/F184)</f>
        <v>0.496124031007752</v>
      </c>
      <c r="I184" s="25" t="s">
        <v>128</v>
      </c>
      <c r="J184" s="28" t="n">
        <v>1.72835549007323</v>
      </c>
      <c r="K184" s="28" t="n">
        <f aca="false">$K$8</f>
        <v>0.297030231526703</v>
      </c>
      <c r="L184" s="28" t="n">
        <f aca="false">SQRT(J184^2+K184^2)</f>
        <v>1.75369314833214</v>
      </c>
      <c r="M184" s="53" t="n">
        <f aca="false">IF(G184="","",MAX(0,G184-1.96*L184/100))</f>
        <v>0.469503583284938</v>
      </c>
      <c r="N184" s="53" t="n">
        <f aca="false">IF(G184="","",MIN(1,G184+1.96*L184/100))</f>
        <v>0.538248354699558</v>
      </c>
      <c r="O184" s="52" t="n">
        <f aca="false">ROUND(S184*W184,0)</f>
        <v>97</v>
      </c>
      <c r="P184" s="52" t="n">
        <f aca="false">IF(F184="","",ROUND(SQRT((F184*L184/100)^2+(G184*O184)^2),0))</f>
        <v>55</v>
      </c>
      <c r="R184" s="54" t="n">
        <v>-0.411146839724172</v>
      </c>
      <c r="S184" s="55" t="n">
        <f aca="false">U184*V184*$F$5</f>
        <v>1418.72759856631</v>
      </c>
      <c r="T184" s="56" t="n">
        <f aca="false">MAX(0,MIN(1,R184/100+$D$5))</f>
        <v>0.503943580570063</v>
      </c>
      <c r="U184" s="56" t="n">
        <v>0.636200716845878</v>
      </c>
      <c r="V184" s="55" t="n">
        <v>2230</v>
      </c>
      <c r="W184" s="56" t="n">
        <v>0.0684752145190268</v>
      </c>
      <c r="X184" s="57" t="s">
        <v>168</v>
      </c>
      <c r="Y184" s="57" t="s">
        <v>130</v>
      </c>
    </row>
    <row r="185" customFormat="false" ht="15" hidden="false" customHeight="false" outlineLevel="0" collapsed="false">
      <c r="A185" s="25" t="s">
        <v>197</v>
      </c>
      <c r="B185" s="25" t="s">
        <v>332</v>
      </c>
      <c r="C185" s="25" t="s">
        <v>334</v>
      </c>
      <c r="D185" s="52" t="n">
        <f aca="false">ROUND(S185*T185,0)</f>
        <v>339</v>
      </c>
      <c r="E185" s="52" t="n">
        <f aca="false">ROUND(S185,0)-D185</f>
        <v>322</v>
      </c>
      <c r="F185" s="52" t="n">
        <f aca="false">IF(COUNTA(D185:E185)=0,"",SUM(D185:E185))</f>
        <v>661</v>
      </c>
      <c r="G185" s="53" t="n">
        <f aca="false">IF(OR(F185="",F185=0),"",D185/F185)</f>
        <v>0.51285930408472</v>
      </c>
      <c r="H185" s="53" t="n">
        <f aca="false">IF(OR(F185="",F185=0),"",E185/F185)</f>
        <v>0.48714069591528</v>
      </c>
      <c r="I185" s="25" t="s">
        <v>128</v>
      </c>
      <c r="J185" s="28" t="n">
        <v>2.11716121919269</v>
      </c>
      <c r="K185" s="28" t="n">
        <f aca="false">$K$8</f>
        <v>0.297030231526703</v>
      </c>
      <c r="L185" s="28" t="n">
        <f aca="false">SQRT(J185^2+K185^2)</f>
        <v>2.13789583153489</v>
      </c>
      <c r="M185" s="53" t="n">
        <f aca="false">IF(G185="","",MAX(0,G185-1.96*L185/100))</f>
        <v>0.470956545786636</v>
      </c>
      <c r="N185" s="53" t="n">
        <f aca="false">IF(G185="","",MIN(1,G185+1.96*L185/100))</f>
        <v>0.554762062382804</v>
      </c>
      <c r="O185" s="52" t="n">
        <f aca="false">ROUND(S185*W185,0)</f>
        <v>59</v>
      </c>
      <c r="P185" s="52" t="n">
        <f aca="false">IF(F185="","",ROUND(SQRT((F185*L185/100)^2+(G185*O185)^2),0))</f>
        <v>33</v>
      </c>
      <c r="R185" s="54" t="n">
        <v>0.494382327742532</v>
      </c>
      <c r="S185" s="55" t="n">
        <f aca="false">U185*V185*$F$5</f>
        <v>660.903056768559</v>
      </c>
      <c r="T185" s="56" t="n">
        <f aca="false">MAX(0,MIN(1,R185/100+$D$5))</f>
        <v>0.51299887224473</v>
      </c>
      <c r="U185" s="56" t="n">
        <v>0.566812227074236</v>
      </c>
      <c r="V185" s="55" t="n">
        <v>1166</v>
      </c>
      <c r="W185" s="56" t="n">
        <v>0.0887445098984521</v>
      </c>
      <c r="X185" s="57" t="s">
        <v>135</v>
      </c>
      <c r="Y185" s="57" t="s">
        <v>130</v>
      </c>
    </row>
    <row r="186" customFormat="false" ht="15" hidden="false" customHeight="false" outlineLevel="0" collapsed="false">
      <c r="A186" s="25" t="s">
        <v>197</v>
      </c>
      <c r="B186" s="25" t="s">
        <v>332</v>
      </c>
      <c r="C186" s="25" t="s">
        <v>335</v>
      </c>
      <c r="D186" s="52" t="n">
        <f aca="false">ROUND(S186*T186,0)</f>
        <v>944</v>
      </c>
      <c r="E186" s="52" t="n">
        <f aca="false">ROUND(S186,0)-D186</f>
        <v>735</v>
      </c>
      <c r="F186" s="52" t="n">
        <f aca="false">IF(COUNTA(D186:E186)=0,"",SUM(D186:E186))</f>
        <v>1679</v>
      </c>
      <c r="G186" s="53" t="n">
        <f aca="false">IF(OR(F186="",F186=0),"",D186/F186)</f>
        <v>0.56223942823109</v>
      </c>
      <c r="H186" s="53" t="n">
        <f aca="false">IF(OR(F186="",F186=0),"",E186/F186)</f>
        <v>0.43776057176891</v>
      </c>
      <c r="I186" s="25" t="s">
        <v>128</v>
      </c>
      <c r="J186" s="28" t="n">
        <v>1.72835549007323</v>
      </c>
      <c r="K186" s="28" t="n">
        <f aca="false">$K$8</f>
        <v>0.297030231526703</v>
      </c>
      <c r="L186" s="28" t="n">
        <f aca="false">SQRT(J186^2+K186^2)</f>
        <v>1.75369314833214</v>
      </c>
      <c r="M186" s="53" t="n">
        <f aca="false">IF(G186="","",MAX(0,G186-1.96*L186/100))</f>
        <v>0.52786704252378</v>
      </c>
      <c r="N186" s="53" t="n">
        <f aca="false">IF(G186="","",MIN(1,G186+1.96*L186/100))</f>
        <v>0.5966118139384</v>
      </c>
      <c r="O186" s="52" t="n">
        <f aca="false">ROUND(S186*W186,0)</f>
        <v>115</v>
      </c>
      <c r="P186" s="52" t="n">
        <f aca="false">IF(F186="","",ROUND(SQRT((F186*L186/100)^2+(G186*O186)^2),0))</f>
        <v>71</v>
      </c>
      <c r="R186" s="54" t="n">
        <v>5.40638808963179</v>
      </c>
      <c r="S186" s="55" t="n">
        <f aca="false">U186*V186*$F$5</f>
        <v>1678.57188498403</v>
      </c>
      <c r="T186" s="56" t="n">
        <f aca="false">MAX(0,MIN(1,R186/100+$D$5))</f>
        <v>0.562118929863623</v>
      </c>
      <c r="U186" s="56" t="n">
        <v>0.625399361022364</v>
      </c>
      <c r="V186" s="55" t="n">
        <v>2684</v>
      </c>
      <c r="W186" s="56" t="n">
        <v>0.0684752145190268</v>
      </c>
      <c r="X186" s="57" t="s">
        <v>168</v>
      </c>
      <c r="Y186" s="57" t="s">
        <v>130</v>
      </c>
    </row>
    <row r="187" customFormat="false" ht="15" hidden="false" customHeight="false" outlineLevel="0" collapsed="false">
      <c r="A187" s="25" t="s">
        <v>197</v>
      </c>
      <c r="B187" s="25" t="s">
        <v>332</v>
      </c>
      <c r="C187" s="25" t="s">
        <v>336</v>
      </c>
      <c r="D187" s="52" t="n">
        <f aca="false">ROUND(S187*T187,0)</f>
        <v>428</v>
      </c>
      <c r="E187" s="52" t="n">
        <f aca="false">ROUND(S187,0)-D187</f>
        <v>440</v>
      </c>
      <c r="F187" s="52" t="n">
        <f aca="false">IF(COUNTA(D187:E187)=0,"",SUM(D187:E187))</f>
        <v>868</v>
      </c>
      <c r="G187" s="53" t="n">
        <f aca="false">IF(OR(F187="",F187=0),"",D187/F187)</f>
        <v>0.493087557603687</v>
      </c>
      <c r="H187" s="53" t="n">
        <f aca="false">IF(OR(F187="",F187=0),"",E187/F187)</f>
        <v>0.506912442396313</v>
      </c>
      <c r="I187" s="25" t="s">
        <v>128</v>
      </c>
      <c r="J187" s="28" t="n">
        <v>2.11716121919269</v>
      </c>
      <c r="K187" s="28" t="n">
        <f aca="false">$K$8</f>
        <v>0.297030231526703</v>
      </c>
      <c r="L187" s="28" t="n">
        <f aca="false">SQRT(J187^2+K187^2)</f>
        <v>2.13789583153489</v>
      </c>
      <c r="M187" s="53" t="n">
        <f aca="false">IF(G187="","",MAX(0,G187-1.96*L187/100))</f>
        <v>0.451184799305603</v>
      </c>
      <c r="N187" s="53" t="n">
        <f aca="false">IF(G187="","",MIN(1,G187+1.96*L187/100))</f>
        <v>0.534990315901771</v>
      </c>
      <c r="O187" s="52" t="n">
        <f aca="false">ROUND(S187*W187,0)</f>
        <v>77</v>
      </c>
      <c r="P187" s="52" t="n">
        <f aca="false">IF(F187="","",ROUND(SQRT((F187*L187/100)^2+(G187*O187)^2),0))</f>
        <v>42</v>
      </c>
      <c r="R187" s="54" t="n">
        <v>-1.47007228403583</v>
      </c>
      <c r="S187" s="55" t="n">
        <f aca="false">U187*V187*$F$5</f>
        <v>868.364696734059</v>
      </c>
      <c r="T187" s="56" t="n">
        <f aca="false">MAX(0,MIN(1,R187/100+$D$5))</f>
        <v>0.493354326126947</v>
      </c>
      <c r="U187" s="56" t="n">
        <v>0.669517884914464</v>
      </c>
      <c r="V187" s="55" t="n">
        <v>1297</v>
      </c>
      <c r="W187" s="56" t="n">
        <v>0.0887445098984521</v>
      </c>
      <c r="X187" s="57" t="s">
        <v>135</v>
      </c>
      <c r="Y187" s="57" t="s">
        <v>130</v>
      </c>
    </row>
    <row r="188" customFormat="false" ht="15" hidden="false" customHeight="false" outlineLevel="0" collapsed="false">
      <c r="A188" s="25" t="s">
        <v>197</v>
      </c>
      <c r="B188" s="25" t="s">
        <v>332</v>
      </c>
      <c r="C188" s="25" t="s">
        <v>337</v>
      </c>
      <c r="D188" s="52" t="n">
        <f aca="false">ROUND(S188*T188,0)</f>
        <v>895</v>
      </c>
      <c r="E188" s="52" t="n">
        <f aca="false">ROUND(S188,0)-D188</f>
        <v>594</v>
      </c>
      <c r="F188" s="52" t="n">
        <f aca="false">IF(COUNTA(D188:E188)=0,"",SUM(D188:E188))</f>
        <v>1489</v>
      </c>
      <c r="G188" s="53" t="n">
        <f aca="false">IF(OR(F188="",F188=0),"",D188/F188)</f>
        <v>0.601074546675621</v>
      </c>
      <c r="H188" s="53" t="n">
        <f aca="false">IF(OR(F188="",F188=0),"",E188/F188)</f>
        <v>0.398925453324379</v>
      </c>
      <c r="I188" s="25" t="s">
        <v>128</v>
      </c>
      <c r="J188" s="28" t="n">
        <v>1.72835549007323</v>
      </c>
      <c r="K188" s="28" t="n">
        <f aca="false">$K$8</f>
        <v>0.297030231526703</v>
      </c>
      <c r="L188" s="28" t="n">
        <f aca="false">SQRT(J188^2+K188^2)</f>
        <v>1.75369314833214</v>
      </c>
      <c r="M188" s="53" t="n">
        <f aca="false">IF(G188="","",MAX(0,G188-1.96*L188/100))</f>
        <v>0.566702160968311</v>
      </c>
      <c r="N188" s="53" t="n">
        <f aca="false">IF(G188="","",MIN(1,G188+1.96*L188/100))</f>
        <v>0.635446932382931</v>
      </c>
      <c r="O188" s="52" t="n">
        <f aca="false">ROUND(S188*W188,0)</f>
        <v>102</v>
      </c>
      <c r="P188" s="52" t="n">
        <f aca="false">IF(F188="","",ROUND(SQRT((F188*L188/100)^2+(G188*O188)^2),0))</f>
        <v>67</v>
      </c>
      <c r="R188" s="54" t="n">
        <v>9.30835092735448</v>
      </c>
      <c r="S188" s="55" t="n">
        <f aca="false">U188*V188*$F$5</f>
        <v>1488.84887459807</v>
      </c>
      <c r="T188" s="56" t="n">
        <f aca="false">MAX(0,MIN(1,R188/100+$D$5))</f>
        <v>0.60113855824085</v>
      </c>
      <c r="U188" s="56" t="n">
        <v>0.650436380339917</v>
      </c>
      <c r="V188" s="55" t="n">
        <v>2289</v>
      </c>
      <c r="W188" s="56" t="n">
        <v>0.0684752145190268</v>
      </c>
      <c r="X188" s="57" t="s">
        <v>168</v>
      </c>
      <c r="Y188" s="57" t="s">
        <v>130</v>
      </c>
    </row>
    <row r="189" customFormat="false" ht="15" hidden="false" customHeight="false" outlineLevel="0" collapsed="false">
      <c r="A189" s="25" t="s">
        <v>197</v>
      </c>
      <c r="B189" s="25" t="s">
        <v>332</v>
      </c>
      <c r="C189" s="25" t="s">
        <v>338</v>
      </c>
      <c r="D189" s="52" t="n">
        <f aca="false">ROUND(S189*T189,0)</f>
        <v>880</v>
      </c>
      <c r="E189" s="52" t="n">
        <f aca="false">ROUND(S189,0)-D189</f>
        <v>600</v>
      </c>
      <c r="F189" s="52" t="n">
        <f aca="false">IF(COUNTA(D189:E189)=0,"",SUM(D189:E189))</f>
        <v>1480</v>
      </c>
      <c r="G189" s="53" t="n">
        <f aca="false">IF(OR(F189="",F189=0),"",D189/F189)</f>
        <v>0.594594594594595</v>
      </c>
      <c r="H189" s="53" t="n">
        <f aca="false">IF(OR(F189="",F189=0),"",E189/F189)</f>
        <v>0.405405405405405</v>
      </c>
      <c r="I189" s="25" t="s">
        <v>128</v>
      </c>
      <c r="J189" s="28" t="n">
        <v>1.72835549007323</v>
      </c>
      <c r="K189" s="28" t="n">
        <f aca="false">$K$8</f>
        <v>0.297030231526703</v>
      </c>
      <c r="L189" s="28" t="n">
        <f aca="false">SQRT(J189^2+K189^2)</f>
        <v>1.75369314833214</v>
      </c>
      <c r="M189" s="53" t="n">
        <f aca="false">IF(G189="","",MAX(0,G189-1.96*L189/100))</f>
        <v>0.560222208887285</v>
      </c>
      <c r="N189" s="53" t="n">
        <f aca="false">IF(G189="","",MIN(1,G189+1.96*L189/100))</f>
        <v>0.628966980301905</v>
      </c>
      <c r="O189" s="52" t="n">
        <f aca="false">ROUND(S189*W189,0)</f>
        <v>101</v>
      </c>
      <c r="P189" s="52" t="n">
        <f aca="false">IF(F189="","",ROUND(SQRT((F189*L189/100)^2+(G189*O189)^2),0))</f>
        <v>65</v>
      </c>
      <c r="R189" s="54" t="n">
        <v>8.62108463856875</v>
      </c>
      <c r="S189" s="55" t="n">
        <f aca="false">U189*V189*$F$5</f>
        <v>1480.29868819374</v>
      </c>
      <c r="T189" s="56" t="n">
        <f aca="false">MAX(0,MIN(1,R189/100+$D$5))</f>
        <v>0.594265895352992</v>
      </c>
      <c r="U189" s="56" t="n">
        <v>0.714429868819374</v>
      </c>
      <c r="V189" s="55" t="n">
        <v>2072</v>
      </c>
      <c r="W189" s="56" t="n">
        <v>0.0684752145190268</v>
      </c>
      <c r="X189" s="57" t="s">
        <v>168</v>
      </c>
      <c r="Y189" s="57" t="s">
        <v>130</v>
      </c>
    </row>
    <row r="190" customFormat="false" ht="15" hidden="false" customHeight="false" outlineLevel="0" collapsed="false">
      <c r="A190" s="25" t="s">
        <v>197</v>
      </c>
      <c r="B190" s="25" t="s">
        <v>332</v>
      </c>
      <c r="C190" s="25" t="s">
        <v>339</v>
      </c>
      <c r="D190" s="52" t="n">
        <f aca="false">ROUND(S190*T190,0)</f>
        <v>401</v>
      </c>
      <c r="E190" s="52" t="n">
        <f aca="false">ROUND(S190,0)-D190</f>
        <v>375</v>
      </c>
      <c r="F190" s="52" t="n">
        <f aca="false">IF(COUNTA(D190:E190)=0,"",SUM(D190:E190))</f>
        <v>776</v>
      </c>
      <c r="G190" s="53" t="n">
        <f aca="false">IF(OR(F190="",F190=0),"",D190/F190)</f>
        <v>0.516752577319588</v>
      </c>
      <c r="H190" s="53" t="n">
        <f aca="false">IF(OR(F190="",F190=0),"",E190/F190)</f>
        <v>0.483247422680412</v>
      </c>
      <c r="I190" s="25" t="s">
        <v>128</v>
      </c>
      <c r="J190" s="28" t="n">
        <v>2.11716121919269</v>
      </c>
      <c r="K190" s="28" t="n">
        <f aca="false">$K$8</f>
        <v>0.297030231526703</v>
      </c>
      <c r="L190" s="28" t="n">
        <f aca="false">SQRT(J190^2+K190^2)</f>
        <v>2.13789583153489</v>
      </c>
      <c r="M190" s="53" t="n">
        <f aca="false">IF(G190="","",MAX(0,G190-1.96*L190/100))</f>
        <v>0.474849819021504</v>
      </c>
      <c r="N190" s="53" t="n">
        <f aca="false">IF(G190="","",MIN(1,G190+1.96*L190/100))</f>
        <v>0.558655335617672</v>
      </c>
      <c r="O190" s="52" t="n">
        <f aca="false">ROUND(S190*W190,0)</f>
        <v>69</v>
      </c>
      <c r="P190" s="52" t="n">
        <f aca="false">IF(F190="","",ROUND(SQRT((F190*L190/100)^2+(G190*O190)^2),0))</f>
        <v>39</v>
      </c>
      <c r="R190" s="54" t="n">
        <v>0.844700222055049</v>
      </c>
      <c r="S190" s="55" t="n">
        <f aca="false">U190*V190*$F$5</f>
        <v>775.595171773445</v>
      </c>
      <c r="T190" s="56" t="n">
        <f aca="false">MAX(0,MIN(1,R190/100+$D$5))</f>
        <v>0.516502051187855</v>
      </c>
      <c r="U190" s="56" t="n">
        <v>0.70380687093779</v>
      </c>
      <c r="V190" s="55" t="n">
        <v>1102</v>
      </c>
      <c r="W190" s="56" t="n">
        <v>0.0887445098984521</v>
      </c>
      <c r="X190" s="57" t="s">
        <v>135</v>
      </c>
      <c r="Y190" s="57" t="s">
        <v>130</v>
      </c>
    </row>
    <row r="191" customFormat="false" ht="15" hidden="false" customHeight="false" outlineLevel="0" collapsed="false">
      <c r="A191" s="25" t="s">
        <v>197</v>
      </c>
      <c r="B191" s="25" t="s">
        <v>332</v>
      </c>
      <c r="C191" s="25" t="s">
        <v>340</v>
      </c>
      <c r="D191" s="52" t="n">
        <f aca="false">ROUND(S191*T191,0)</f>
        <v>1079</v>
      </c>
      <c r="E191" s="52" t="n">
        <f aca="false">ROUND(S191,0)-D191</f>
        <v>1036</v>
      </c>
      <c r="F191" s="52" t="n">
        <f aca="false">IF(COUNTA(D191:E191)=0,"",SUM(D191:E191))</f>
        <v>2115</v>
      </c>
      <c r="G191" s="53" t="n">
        <f aca="false">IF(OR(F191="",F191=0),"",D191/F191)</f>
        <v>0.51016548463357</v>
      </c>
      <c r="H191" s="53" t="n">
        <f aca="false">IF(OR(F191="",F191=0),"",E191/F191)</f>
        <v>0.48983451536643</v>
      </c>
      <c r="I191" s="25" t="s">
        <v>128</v>
      </c>
      <c r="J191" s="28" t="n">
        <v>1.72835549007323</v>
      </c>
      <c r="K191" s="28" t="n">
        <f aca="false">$K$8</f>
        <v>0.297030231526703</v>
      </c>
      <c r="L191" s="28" t="n">
        <f aca="false">SQRT(J191^2+K191^2)</f>
        <v>1.75369314833214</v>
      </c>
      <c r="M191" s="53" t="n">
        <f aca="false">IF(G191="","",MAX(0,G191-1.96*L191/100))</f>
        <v>0.47579309892626</v>
      </c>
      <c r="N191" s="53" t="n">
        <f aca="false">IF(G191="","",MIN(1,G191+1.96*L191/100))</f>
        <v>0.54453787034088</v>
      </c>
      <c r="O191" s="52" t="n">
        <f aca="false">ROUND(S191*W191,0)</f>
        <v>145</v>
      </c>
      <c r="P191" s="52" t="n">
        <f aca="false">IF(F191="","",ROUND(SQRT((F191*L191/100)^2+(G191*O191)^2),0))</f>
        <v>83</v>
      </c>
      <c r="R191" s="54" t="n">
        <v>0.18510401599833</v>
      </c>
      <c r="S191" s="55" t="n">
        <f aca="false">U191*V191*$F$5</f>
        <v>2115.3476992871</v>
      </c>
      <c r="T191" s="56" t="n">
        <f aca="false">MAX(0,MIN(1,R191/100+$D$5))</f>
        <v>0.509906089127288</v>
      </c>
      <c r="U191" s="56" t="n">
        <v>0.658781594296824</v>
      </c>
      <c r="V191" s="55" t="n">
        <v>3211</v>
      </c>
      <c r="W191" s="56" t="n">
        <v>0.0684752145190268</v>
      </c>
      <c r="X191" s="57" t="s">
        <v>168</v>
      </c>
      <c r="Y191" s="57" t="s">
        <v>130</v>
      </c>
    </row>
    <row r="192" customFormat="false" ht="15" hidden="false" customHeight="false" outlineLevel="0" collapsed="false">
      <c r="A192" s="25" t="s">
        <v>197</v>
      </c>
      <c r="B192" s="25" t="s">
        <v>341</v>
      </c>
      <c r="C192" s="25" t="s">
        <v>342</v>
      </c>
      <c r="D192" s="52" t="n">
        <f aca="false">ROUND(S192*T192,0)</f>
        <v>769</v>
      </c>
      <c r="E192" s="52" t="n">
        <f aca="false">ROUND(S192,0)-D192</f>
        <v>729</v>
      </c>
      <c r="F192" s="52" t="n">
        <f aca="false">IF(COUNTA(D192:E192)=0,"",SUM(D192:E192))</f>
        <v>1498</v>
      </c>
      <c r="G192" s="53" t="n">
        <f aca="false">IF(OR(F192="",F192=0),"",D192/F192)</f>
        <v>0.513351134846462</v>
      </c>
      <c r="H192" s="53" t="n">
        <f aca="false">IF(OR(F192="",F192=0),"",E192/F192)</f>
        <v>0.486648865153538</v>
      </c>
      <c r="I192" s="25" t="s">
        <v>128</v>
      </c>
      <c r="J192" s="28" t="n">
        <v>1.72835549007323</v>
      </c>
      <c r="K192" s="28" t="n">
        <f aca="false">$K$8</f>
        <v>0.297030231526703</v>
      </c>
      <c r="L192" s="28" t="n">
        <f aca="false">SQRT(J192^2+K192^2)</f>
        <v>1.75369314833214</v>
      </c>
      <c r="M192" s="53" t="n">
        <f aca="false">IF(G192="","",MAX(0,G192-1.96*L192/100))</f>
        <v>0.478978749139152</v>
      </c>
      <c r="N192" s="53" t="n">
        <f aca="false">IF(G192="","",MIN(1,G192+1.96*L192/100))</f>
        <v>0.547723520553772</v>
      </c>
      <c r="O192" s="52" t="n">
        <f aca="false">ROUND(S192*W192,0)</f>
        <v>103</v>
      </c>
      <c r="P192" s="52" t="n">
        <f aca="false">IF(F192="","",ROUND(SQRT((F192*L192/100)^2+(G192*O192)^2),0))</f>
        <v>59</v>
      </c>
      <c r="R192" s="54" t="n">
        <v>0.548078505455156</v>
      </c>
      <c r="S192" s="55" t="n">
        <f aca="false">U192*V192*$F$5</f>
        <v>1497.74778574441</v>
      </c>
      <c r="T192" s="56" t="n">
        <f aca="false">MAX(0,MIN(1,R192/100+$D$5))</f>
        <v>0.513535834021856</v>
      </c>
      <c r="U192" s="56" t="n">
        <v>0.638970898355124</v>
      </c>
      <c r="V192" s="55" t="n">
        <v>2344</v>
      </c>
      <c r="W192" s="56" t="n">
        <v>0.0684752145190268</v>
      </c>
      <c r="X192" s="57" t="s">
        <v>168</v>
      </c>
      <c r="Y192" s="57" t="s">
        <v>130</v>
      </c>
    </row>
    <row r="193" customFormat="false" ht="15" hidden="false" customHeight="false" outlineLevel="0" collapsed="false">
      <c r="A193" s="25" t="s">
        <v>197</v>
      </c>
      <c r="B193" s="25" t="s">
        <v>341</v>
      </c>
      <c r="C193" s="25" t="s">
        <v>343</v>
      </c>
      <c r="D193" s="52" t="n">
        <f aca="false">ROUND(S193*T193,0)</f>
        <v>1051</v>
      </c>
      <c r="E193" s="52" t="n">
        <f aca="false">ROUND(S193,0)-D193</f>
        <v>991</v>
      </c>
      <c r="F193" s="52" t="n">
        <f aca="false">IF(COUNTA(D193:E193)=0,"",SUM(D193:E193))</f>
        <v>2042</v>
      </c>
      <c r="G193" s="53" t="n">
        <f aca="false">IF(OR(F193="",F193=0),"",D193/F193)</f>
        <v>0.514691478942214</v>
      </c>
      <c r="H193" s="53" t="n">
        <f aca="false">IF(OR(F193="",F193=0),"",E193/F193)</f>
        <v>0.485308521057787</v>
      </c>
      <c r="I193" s="25" t="s">
        <v>128</v>
      </c>
      <c r="J193" s="28" t="n">
        <v>1.72835549007323</v>
      </c>
      <c r="K193" s="28" t="n">
        <f aca="false">$K$8</f>
        <v>0.297030231526703</v>
      </c>
      <c r="L193" s="28" t="n">
        <f aca="false">SQRT(J193^2+K193^2)</f>
        <v>1.75369314833214</v>
      </c>
      <c r="M193" s="53" t="n">
        <f aca="false">IF(G193="","",MAX(0,G193-1.96*L193/100))</f>
        <v>0.480319093234904</v>
      </c>
      <c r="N193" s="53" t="n">
        <f aca="false">IF(G193="","",MIN(1,G193+1.96*L193/100))</f>
        <v>0.549063864649523</v>
      </c>
      <c r="O193" s="52" t="n">
        <f aca="false">ROUND(S193*W193,0)</f>
        <v>140</v>
      </c>
      <c r="P193" s="52" t="n">
        <f aca="false">IF(F193="","",ROUND(SQRT((F193*L193/100)^2+(G193*O193)^2),0))</f>
        <v>80</v>
      </c>
      <c r="R193" s="54" t="n">
        <v>0.636229240352493</v>
      </c>
      <c r="S193" s="55" t="n">
        <f aca="false">U193*V193*$F$5</f>
        <v>2042.15796344647</v>
      </c>
      <c r="T193" s="56" t="n">
        <f aca="false">MAX(0,MIN(1,R193/100+$D$5))</f>
        <v>0.51441734137083</v>
      </c>
      <c r="U193" s="56" t="n">
        <v>0.682767624020887</v>
      </c>
      <c r="V193" s="55" t="n">
        <v>2991</v>
      </c>
      <c r="W193" s="56" t="n">
        <v>0.0684752145190268</v>
      </c>
      <c r="X193" s="57" t="s">
        <v>168</v>
      </c>
      <c r="Y193" s="57" t="s">
        <v>130</v>
      </c>
    </row>
    <row r="194" customFormat="false" ht="15" hidden="false" customHeight="false" outlineLevel="0" collapsed="false">
      <c r="A194" s="25" t="s">
        <v>197</v>
      </c>
      <c r="B194" s="25" t="s">
        <v>341</v>
      </c>
      <c r="C194" s="25" t="s">
        <v>344</v>
      </c>
      <c r="D194" s="52" t="n">
        <f aca="false">ROUND(S194*T194,0)</f>
        <v>800</v>
      </c>
      <c r="E194" s="52" t="n">
        <f aca="false">ROUND(S194,0)-D194</f>
        <v>890</v>
      </c>
      <c r="F194" s="52" t="n">
        <f aca="false">IF(COUNTA(D194:E194)=0,"",SUM(D194:E194))</f>
        <v>1690</v>
      </c>
      <c r="G194" s="53" t="n">
        <f aca="false">IF(OR(F194="",F194=0),"",D194/F194)</f>
        <v>0.473372781065089</v>
      </c>
      <c r="H194" s="53" t="n">
        <f aca="false">IF(OR(F194="",F194=0),"",E194/F194)</f>
        <v>0.526627218934911</v>
      </c>
      <c r="I194" s="25" t="s">
        <v>128</v>
      </c>
      <c r="J194" s="28" t="n">
        <v>1.72835549007323</v>
      </c>
      <c r="K194" s="28" t="n">
        <f aca="false">$K$8</f>
        <v>0.297030231526703</v>
      </c>
      <c r="L194" s="28" t="n">
        <f aca="false">SQRT(J194^2+K194^2)</f>
        <v>1.75369314833214</v>
      </c>
      <c r="M194" s="53" t="n">
        <f aca="false">IF(G194="","",MAX(0,G194-1.96*L194/100))</f>
        <v>0.439000395357779</v>
      </c>
      <c r="N194" s="53" t="n">
        <f aca="false">IF(G194="","",MIN(1,G194+1.96*L194/100))</f>
        <v>0.507745166772399</v>
      </c>
      <c r="O194" s="52" t="n">
        <f aca="false">ROUND(S194*W194,0)</f>
        <v>116</v>
      </c>
      <c r="P194" s="52" t="n">
        <f aca="false">IF(F194="","",ROUND(SQRT((F194*L194/100)^2+(G194*O194)^2),0))</f>
        <v>62</v>
      </c>
      <c r="R194" s="54" t="n">
        <v>-3.48742419568614</v>
      </c>
      <c r="S194" s="55" t="n">
        <f aca="false">U194*V194*$F$5</f>
        <v>1690.06787762906</v>
      </c>
      <c r="T194" s="56" t="n">
        <f aca="false">MAX(0,MIN(1,R194/100+$D$5))</f>
        <v>0.473180807010443</v>
      </c>
      <c r="U194" s="56" t="n">
        <v>0.651529636711281</v>
      </c>
      <c r="V194" s="55" t="n">
        <v>2594</v>
      </c>
      <c r="W194" s="56" t="n">
        <v>0.0684752145190268</v>
      </c>
      <c r="X194" s="57" t="s">
        <v>168</v>
      </c>
      <c r="Y194" s="57" t="s">
        <v>130</v>
      </c>
    </row>
    <row r="195" customFormat="false" ht="15" hidden="false" customHeight="false" outlineLevel="0" collapsed="false">
      <c r="A195" s="25" t="s">
        <v>197</v>
      </c>
      <c r="B195" s="25" t="s">
        <v>341</v>
      </c>
      <c r="C195" s="25" t="s">
        <v>345</v>
      </c>
      <c r="D195" s="52" t="n">
        <f aca="false">ROUND(S195*T195,0)</f>
        <v>624</v>
      </c>
      <c r="E195" s="52" t="n">
        <f aca="false">ROUND(S195,0)-D195</f>
        <v>522</v>
      </c>
      <c r="F195" s="52" t="n">
        <f aca="false">IF(COUNTA(D195:E195)=0,"",SUM(D195:E195))</f>
        <v>1146</v>
      </c>
      <c r="G195" s="53" t="n">
        <f aca="false">IF(OR(F195="",F195=0),"",D195/F195)</f>
        <v>0.544502617801047</v>
      </c>
      <c r="H195" s="53" t="n">
        <f aca="false">IF(OR(F195="",F195=0),"",E195/F195)</f>
        <v>0.455497382198953</v>
      </c>
      <c r="I195" s="25" t="s">
        <v>128</v>
      </c>
      <c r="J195" s="28" t="n">
        <v>1.72835549007323</v>
      </c>
      <c r="K195" s="28" t="n">
        <f aca="false">$K$8</f>
        <v>0.297030231526703</v>
      </c>
      <c r="L195" s="28" t="n">
        <f aca="false">SQRT(J195^2+K195^2)</f>
        <v>1.75369314833214</v>
      </c>
      <c r="M195" s="53" t="n">
        <f aca="false">IF(G195="","",MAX(0,G195-1.96*L195/100))</f>
        <v>0.510130232093737</v>
      </c>
      <c r="N195" s="53" t="n">
        <f aca="false">IF(G195="","",MIN(1,G195+1.96*L195/100))</f>
        <v>0.578875003508357</v>
      </c>
      <c r="O195" s="52" t="n">
        <f aca="false">ROUND(S195*W195,0)</f>
        <v>78</v>
      </c>
      <c r="P195" s="52" t="n">
        <f aca="false">IF(F195="","",ROUND(SQRT((F195*L195/100)^2+(G195*O195)^2),0))</f>
        <v>47</v>
      </c>
      <c r="R195" s="54" t="n">
        <v>3.68066017351196</v>
      </c>
      <c r="S195" s="55" t="n">
        <f aca="false">U195*V195*$F$5</f>
        <v>1145.8001397624</v>
      </c>
      <c r="T195" s="56" t="n">
        <f aca="false">MAX(0,MIN(1,R195/100+$D$5))</f>
        <v>0.544861650702424</v>
      </c>
      <c r="U195" s="56" t="n">
        <v>0.640111809923131</v>
      </c>
      <c r="V195" s="55" t="n">
        <v>1790</v>
      </c>
      <c r="W195" s="56" t="n">
        <v>0.0684752145190268</v>
      </c>
      <c r="X195" s="57" t="s">
        <v>168</v>
      </c>
      <c r="Y195" s="57" t="s">
        <v>130</v>
      </c>
    </row>
    <row r="196" customFormat="false" ht="15" hidden="false" customHeight="false" outlineLevel="0" collapsed="false">
      <c r="A196" s="25" t="s">
        <v>197</v>
      </c>
      <c r="B196" s="25" t="s">
        <v>341</v>
      </c>
      <c r="C196" s="25" t="s">
        <v>346</v>
      </c>
      <c r="D196" s="52" t="n">
        <f aca="false">ROUND(S196*T196,0)</f>
        <v>1467</v>
      </c>
      <c r="E196" s="52" t="n">
        <f aca="false">ROUND(S196,0)-D196</f>
        <v>1253</v>
      </c>
      <c r="F196" s="52" t="n">
        <f aca="false">IF(COUNTA(D196:E196)=0,"",SUM(D196:E196))</f>
        <v>2720</v>
      </c>
      <c r="G196" s="53" t="n">
        <f aca="false">IF(OR(F196="",F196=0),"",D196/F196)</f>
        <v>0.539338235294118</v>
      </c>
      <c r="H196" s="53" t="n">
        <f aca="false">IF(OR(F196="",F196=0),"",E196/F196)</f>
        <v>0.460661764705882</v>
      </c>
      <c r="I196" s="25" t="s">
        <v>128</v>
      </c>
      <c r="J196" s="28" t="n">
        <v>1.72835549007323</v>
      </c>
      <c r="K196" s="28" t="n">
        <f aca="false">$K$8</f>
        <v>0.297030231526703</v>
      </c>
      <c r="L196" s="28" t="n">
        <f aca="false">SQRT(J196^2+K196^2)</f>
        <v>1.75369314833214</v>
      </c>
      <c r="M196" s="53" t="n">
        <f aca="false">IF(G196="","",MAX(0,G196-1.96*L196/100))</f>
        <v>0.504965849586808</v>
      </c>
      <c r="N196" s="53" t="n">
        <f aca="false">IF(G196="","",MIN(1,G196+1.96*L196/100))</f>
        <v>0.573710621001427</v>
      </c>
      <c r="O196" s="52" t="n">
        <f aca="false">ROUND(S196*W196,0)</f>
        <v>186</v>
      </c>
      <c r="P196" s="52" t="n">
        <f aca="false">IF(F196="","",ROUND(SQRT((F196*L196/100)^2+(G196*O196)^2),0))</f>
        <v>111</v>
      </c>
      <c r="R196" s="54" t="n">
        <v>3.12339399008557</v>
      </c>
      <c r="S196" s="55" t="n">
        <f aca="false">U196*V196*$F$5</f>
        <v>2719.88153310105</v>
      </c>
      <c r="T196" s="56" t="n">
        <f aca="false">MAX(0,MIN(1,R196/100+$D$5))</f>
        <v>0.539288988868161</v>
      </c>
      <c r="U196" s="56" t="n">
        <v>0.592566782810685</v>
      </c>
      <c r="V196" s="55" t="n">
        <v>4590</v>
      </c>
      <c r="W196" s="56" t="n">
        <v>0.0684752145190268</v>
      </c>
      <c r="X196" s="57" t="s">
        <v>168</v>
      </c>
      <c r="Y196" s="57" t="s">
        <v>130</v>
      </c>
    </row>
    <row r="197" customFormat="false" ht="15" hidden="false" customHeight="false" outlineLevel="0" collapsed="false">
      <c r="A197" s="25" t="s">
        <v>197</v>
      </c>
      <c r="B197" s="25" t="s">
        <v>341</v>
      </c>
      <c r="C197" s="25" t="s">
        <v>347</v>
      </c>
      <c r="D197" s="52" t="n">
        <f aca="false">ROUND(S197*T197,0)</f>
        <v>514</v>
      </c>
      <c r="E197" s="52" t="n">
        <f aca="false">ROUND(S197,0)-D197</f>
        <v>455</v>
      </c>
      <c r="F197" s="52" t="n">
        <f aca="false">IF(COUNTA(D197:E197)=0,"",SUM(D197:E197))</f>
        <v>969</v>
      </c>
      <c r="G197" s="53" t="n">
        <f aca="false">IF(OR(F197="",F197=0),"",D197/F197)</f>
        <v>0.530443756449949</v>
      </c>
      <c r="H197" s="53" t="n">
        <f aca="false">IF(OR(F197="",F197=0),"",E197/F197)</f>
        <v>0.469556243550052</v>
      </c>
      <c r="I197" s="25" t="s">
        <v>128</v>
      </c>
      <c r="J197" s="28" t="n">
        <v>1.72835549007323</v>
      </c>
      <c r="K197" s="28" t="n">
        <f aca="false">$K$8</f>
        <v>0.297030231526703</v>
      </c>
      <c r="L197" s="28" t="n">
        <f aca="false">SQRT(J197^2+K197^2)</f>
        <v>1.75369314833214</v>
      </c>
      <c r="M197" s="53" t="n">
        <f aca="false">IF(G197="","",MAX(0,G197-1.96*L197/100))</f>
        <v>0.496071370742639</v>
      </c>
      <c r="N197" s="53" t="n">
        <f aca="false">IF(G197="","",MIN(1,G197+1.96*L197/100))</f>
        <v>0.564816142157258</v>
      </c>
      <c r="O197" s="52" t="n">
        <f aca="false">ROUND(S197*W197,0)</f>
        <v>66</v>
      </c>
      <c r="P197" s="52" t="n">
        <f aca="false">IF(F197="","",ROUND(SQRT((F197*L197/100)^2+(G197*O197)^2),0))</f>
        <v>39</v>
      </c>
      <c r="R197" s="54" t="n">
        <v>2.23868699217158</v>
      </c>
      <c r="S197" s="55" t="n">
        <f aca="false">U197*V197*$F$5</f>
        <v>969.162629757786</v>
      </c>
      <c r="T197" s="56" t="n">
        <f aca="false">MAX(0,MIN(1,R197/100+$D$5))</f>
        <v>0.530441918889021</v>
      </c>
      <c r="U197" s="56" t="n">
        <v>0.54325259515571</v>
      </c>
      <c r="V197" s="55" t="n">
        <v>1784</v>
      </c>
      <c r="W197" s="56" t="n">
        <v>0.0684752145190268</v>
      </c>
      <c r="X197" s="57" t="s">
        <v>168</v>
      </c>
      <c r="Y197" s="57" t="s">
        <v>130</v>
      </c>
    </row>
    <row r="198" customFormat="false" ht="15" hidden="false" customHeight="false" outlineLevel="0" collapsed="false">
      <c r="A198" s="25" t="s">
        <v>197</v>
      </c>
      <c r="B198" s="25" t="s">
        <v>341</v>
      </c>
      <c r="C198" s="25" t="s">
        <v>348</v>
      </c>
      <c r="D198" s="52" t="n">
        <f aca="false">ROUND(S198*T198,0)</f>
        <v>513</v>
      </c>
      <c r="E198" s="52" t="n">
        <f aca="false">ROUND(S198,0)-D198</f>
        <v>417</v>
      </c>
      <c r="F198" s="52" t="n">
        <f aca="false">IF(COUNTA(D198:E198)=0,"",SUM(D198:E198))</f>
        <v>930</v>
      </c>
      <c r="G198" s="53" t="n">
        <f aca="false">IF(OR(F198="",F198=0),"",D198/F198)</f>
        <v>0.551612903225807</v>
      </c>
      <c r="H198" s="53" t="n">
        <f aca="false">IF(OR(F198="",F198=0),"",E198/F198)</f>
        <v>0.448387096774194</v>
      </c>
      <c r="I198" s="25" t="s">
        <v>128</v>
      </c>
      <c r="J198" s="28" t="n">
        <v>2.11716121919269</v>
      </c>
      <c r="K198" s="28" t="n">
        <f aca="false">$K$8</f>
        <v>0.297030231526703</v>
      </c>
      <c r="L198" s="28" t="n">
        <f aca="false">SQRT(J198^2+K198^2)</f>
        <v>2.13789583153489</v>
      </c>
      <c r="M198" s="53" t="n">
        <f aca="false">IF(G198="","",MAX(0,G198-1.96*L198/100))</f>
        <v>0.509710144927723</v>
      </c>
      <c r="N198" s="53" t="n">
        <f aca="false">IF(G198="","",MIN(1,G198+1.96*L198/100))</f>
        <v>0.59351566152389</v>
      </c>
      <c r="O198" s="52" t="n">
        <f aca="false">ROUND(S198*W198,0)</f>
        <v>83</v>
      </c>
      <c r="P198" s="52" t="n">
        <f aca="false">IF(F198="","",ROUND(SQRT((F198*L198/100)^2+(G198*O198)^2),0))</f>
        <v>50</v>
      </c>
      <c r="R198" s="54" t="n">
        <v>4.41355895399277</v>
      </c>
      <c r="S198" s="55" t="n">
        <f aca="false">U198*V198*$F$5</f>
        <v>929.805201992252</v>
      </c>
      <c r="T198" s="56" t="n">
        <f aca="false">MAX(0,MIN(1,R198/100+$D$5))</f>
        <v>0.552190638507233</v>
      </c>
      <c r="U198" s="56" t="n">
        <v>0.496956281128943</v>
      </c>
      <c r="V198" s="55" t="n">
        <v>1871</v>
      </c>
      <c r="W198" s="56" t="n">
        <v>0.0887445098984521</v>
      </c>
      <c r="X198" s="57" t="s">
        <v>135</v>
      </c>
      <c r="Y198" s="57" t="s">
        <v>130</v>
      </c>
    </row>
    <row r="199" customFormat="false" ht="15" hidden="false" customHeight="false" outlineLevel="0" collapsed="false">
      <c r="A199" s="25" t="s">
        <v>197</v>
      </c>
      <c r="B199" s="25" t="s">
        <v>341</v>
      </c>
      <c r="C199" s="25" t="s">
        <v>349</v>
      </c>
      <c r="D199" s="52" t="n">
        <f aca="false">ROUND(S199*T199,0)</f>
        <v>544</v>
      </c>
      <c r="E199" s="52" t="n">
        <f aca="false">ROUND(S199,0)-D199</f>
        <v>500</v>
      </c>
      <c r="F199" s="52" t="n">
        <f aca="false">IF(COUNTA(D199:E199)=0,"",SUM(D199:E199))</f>
        <v>1044</v>
      </c>
      <c r="G199" s="53" t="n">
        <f aca="false">IF(OR(F199="",F199=0),"",D199/F199)</f>
        <v>0.521072796934866</v>
      </c>
      <c r="H199" s="53" t="n">
        <f aca="false">IF(OR(F199="",F199=0),"",E199/F199)</f>
        <v>0.478927203065134</v>
      </c>
      <c r="I199" s="25" t="s">
        <v>128</v>
      </c>
      <c r="J199" s="28" t="n">
        <v>1.72835549007323</v>
      </c>
      <c r="K199" s="28" t="n">
        <f aca="false">$K$8</f>
        <v>0.297030231526703</v>
      </c>
      <c r="L199" s="28" t="n">
        <f aca="false">SQRT(J199^2+K199^2)</f>
        <v>1.75369314833214</v>
      </c>
      <c r="M199" s="53" t="n">
        <f aca="false">IF(G199="","",MAX(0,G199-1.96*L199/100))</f>
        <v>0.486700411227556</v>
      </c>
      <c r="N199" s="53" t="n">
        <f aca="false">IF(G199="","",MIN(1,G199+1.96*L199/100))</f>
        <v>0.555445182642176</v>
      </c>
      <c r="O199" s="52" t="n">
        <f aca="false">ROUND(S199*W199,0)</f>
        <v>71</v>
      </c>
      <c r="P199" s="52" t="n">
        <f aca="false">IF(F199="","",ROUND(SQRT((F199*L199/100)^2+(G199*O199)^2),0))</f>
        <v>41</v>
      </c>
      <c r="R199" s="54" t="n">
        <v>1.32413963972081</v>
      </c>
      <c r="S199" s="55" t="n">
        <f aca="false">U199*V199*$F$5</f>
        <v>1044.14424242424</v>
      </c>
      <c r="T199" s="56" t="n">
        <f aca="false">MAX(0,MIN(1,R199/100+$D$5))</f>
        <v>0.521296445364513</v>
      </c>
      <c r="U199" s="56" t="n">
        <v>0.59939393939394</v>
      </c>
      <c r="V199" s="55" t="n">
        <v>1742</v>
      </c>
      <c r="W199" s="56" t="n">
        <v>0.0684752145190268</v>
      </c>
      <c r="X199" s="57" t="s">
        <v>168</v>
      </c>
      <c r="Y199" s="57" t="s">
        <v>130</v>
      </c>
    </row>
    <row r="200" customFormat="false" ht="15" hidden="false" customHeight="false" outlineLevel="0" collapsed="false">
      <c r="A200" s="25" t="s">
        <v>197</v>
      </c>
      <c r="B200" s="25" t="s">
        <v>350</v>
      </c>
      <c r="C200" s="25" t="s">
        <v>351</v>
      </c>
      <c r="D200" s="52" t="n">
        <f aca="false">ROUND(S200*T200,0)</f>
        <v>1237</v>
      </c>
      <c r="E200" s="52" t="n">
        <f aca="false">ROUND(S200,0)-D200</f>
        <v>1396</v>
      </c>
      <c r="F200" s="52" t="n">
        <f aca="false">IF(COUNTA(D200:E200)=0,"",SUM(D200:E200))</f>
        <v>2633</v>
      </c>
      <c r="G200" s="53" t="n">
        <f aca="false">IF(OR(F200="",F200=0),"",D200/F200)</f>
        <v>0.469806304595518</v>
      </c>
      <c r="H200" s="53" t="n">
        <f aca="false">IF(OR(F200="",F200=0),"",E200/F200)</f>
        <v>0.530193695404482</v>
      </c>
      <c r="I200" s="25" t="s">
        <v>128</v>
      </c>
      <c r="J200" s="28" t="n">
        <v>1.72835549007323</v>
      </c>
      <c r="K200" s="28" t="n">
        <f aca="false">$K$8</f>
        <v>0.297030231526703</v>
      </c>
      <c r="L200" s="28" t="n">
        <f aca="false">SQRT(J200^2+K200^2)</f>
        <v>1.75369314833214</v>
      </c>
      <c r="M200" s="53" t="n">
        <f aca="false">IF(G200="","",MAX(0,G200-1.96*L200/100))</f>
        <v>0.435433918888209</v>
      </c>
      <c r="N200" s="53" t="n">
        <f aca="false">IF(G200="","",MIN(1,G200+1.96*L200/100))</f>
        <v>0.504178690302828</v>
      </c>
      <c r="O200" s="52" t="n">
        <f aca="false">ROUND(S200*W200,0)</f>
        <v>180</v>
      </c>
      <c r="P200" s="52" t="n">
        <f aca="false">IF(F200="","",ROUND(SQRT((F200*L200/100)^2+(G200*O200)^2),0))</f>
        <v>96</v>
      </c>
      <c r="R200" s="54" t="n">
        <v>-3.823247018139</v>
      </c>
      <c r="S200" s="55" t="n">
        <f aca="false">U200*V200*$F$5</f>
        <v>2632.829612885</v>
      </c>
      <c r="T200" s="56" t="n">
        <f aca="false">MAX(0,MIN(1,R200/100+$D$5))</f>
        <v>0.469822578785915</v>
      </c>
      <c r="U200" s="56" t="n">
        <v>0.704718847131958</v>
      </c>
      <c r="V200" s="55" t="n">
        <v>3736</v>
      </c>
      <c r="W200" s="56" t="n">
        <v>0.0684752145190268</v>
      </c>
      <c r="X200" s="57" t="s">
        <v>168</v>
      </c>
      <c r="Y200" s="57" t="s">
        <v>130</v>
      </c>
    </row>
    <row r="201" customFormat="false" ht="15" hidden="false" customHeight="false" outlineLevel="0" collapsed="false">
      <c r="A201" s="25" t="s">
        <v>197</v>
      </c>
      <c r="B201" s="25" t="s">
        <v>350</v>
      </c>
      <c r="C201" s="25" t="s">
        <v>352</v>
      </c>
      <c r="D201" s="52" t="n">
        <f aca="false">ROUND(S201*T201,0)</f>
        <v>778</v>
      </c>
      <c r="E201" s="52" t="n">
        <f aca="false">ROUND(S201,0)-D201</f>
        <v>1201</v>
      </c>
      <c r="F201" s="52" t="n">
        <f aca="false">IF(COUNTA(D201:E201)=0,"",SUM(D201:E201))</f>
        <v>1979</v>
      </c>
      <c r="G201" s="53" t="n">
        <f aca="false">IF(OR(F201="",F201=0),"",D201/F201)</f>
        <v>0.393127842344619</v>
      </c>
      <c r="H201" s="53" t="n">
        <f aca="false">IF(OR(F201="",F201=0),"",E201/F201)</f>
        <v>0.606872157655382</v>
      </c>
      <c r="I201" s="25" t="s">
        <v>128</v>
      </c>
      <c r="J201" s="28" t="n">
        <v>1.72835549007323</v>
      </c>
      <c r="K201" s="28" t="n">
        <f aca="false">$K$8</f>
        <v>0.297030231526703</v>
      </c>
      <c r="L201" s="28" t="n">
        <f aca="false">SQRT(J201^2+K201^2)</f>
        <v>1.75369314833214</v>
      </c>
      <c r="M201" s="53" t="n">
        <f aca="false">IF(G201="","",MAX(0,G201-1.96*L201/100))</f>
        <v>0.358755456637309</v>
      </c>
      <c r="N201" s="53" t="n">
        <f aca="false">IF(G201="","",MIN(1,G201+1.96*L201/100))</f>
        <v>0.427500228051928</v>
      </c>
      <c r="O201" s="52" t="n">
        <f aca="false">ROUND(S201*W201,0)</f>
        <v>136</v>
      </c>
      <c r="P201" s="52" t="n">
        <f aca="false">IF(F201="","",ROUND(SQRT((F201*L201/100)^2+(G201*O201)^2),0))</f>
        <v>64</v>
      </c>
      <c r="R201" s="54" t="n">
        <v>-11.4962306872671</v>
      </c>
      <c r="S201" s="55" t="n">
        <f aca="false">U201*V201*$F$5</f>
        <v>1979.37527114968</v>
      </c>
      <c r="T201" s="56" t="n">
        <f aca="false">MAX(0,MIN(1,R201/100+$D$5))</f>
        <v>0.393092742094634</v>
      </c>
      <c r="U201" s="56" t="n">
        <v>0.718727404193782</v>
      </c>
      <c r="V201" s="55" t="n">
        <v>2754</v>
      </c>
      <c r="W201" s="56" t="n">
        <v>0.0684752145190268</v>
      </c>
      <c r="X201" s="57" t="s">
        <v>168</v>
      </c>
      <c r="Y201" s="57" t="s">
        <v>130</v>
      </c>
    </row>
    <row r="202" customFormat="false" ht="15" hidden="false" customHeight="false" outlineLevel="0" collapsed="false">
      <c r="A202" s="25" t="s">
        <v>197</v>
      </c>
      <c r="B202" s="25" t="s">
        <v>353</v>
      </c>
      <c r="C202" s="25" t="s">
        <v>354</v>
      </c>
      <c r="D202" s="52" t="n">
        <f aca="false">ROUND(S202*T202,0)</f>
        <v>885</v>
      </c>
      <c r="E202" s="52" t="n">
        <f aca="false">ROUND(S202,0)-D202</f>
        <v>884</v>
      </c>
      <c r="F202" s="52" t="n">
        <f aca="false">IF(COUNTA(D202:E202)=0,"",SUM(D202:E202))</f>
        <v>1769</v>
      </c>
      <c r="G202" s="53" t="n">
        <f aca="false">IF(OR(F202="",F202=0),"",D202/F202)</f>
        <v>0.500282645562465</v>
      </c>
      <c r="H202" s="53" t="n">
        <f aca="false">IF(OR(F202="",F202=0),"",E202/F202)</f>
        <v>0.499717354437535</v>
      </c>
      <c r="I202" s="25" t="s">
        <v>128</v>
      </c>
      <c r="J202" s="28" t="n">
        <v>1.72835549007323</v>
      </c>
      <c r="K202" s="28" t="n">
        <f aca="false">$K$8</f>
        <v>0.297030231526703</v>
      </c>
      <c r="L202" s="28" t="n">
        <f aca="false">SQRT(J202^2+K202^2)</f>
        <v>1.75369314833214</v>
      </c>
      <c r="M202" s="53" t="n">
        <f aca="false">IF(G202="","",MAX(0,G202-1.96*L202/100))</f>
        <v>0.465910259855155</v>
      </c>
      <c r="N202" s="53" t="n">
        <f aca="false">IF(G202="","",MIN(1,G202+1.96*L202/100))</f>
        <v>0.534655031269775</v>
      </c>
      <c r="O202" s="52" t="n">
        <f aca="false">ROUND(S202*W202,0)</f>
        <v>121</v>
      </c>
      <c r="P202" s="52" t="n">
        <f aca="false">IF(F202="","",ROUND(SQRT((F202*L202/100)^2+(G202*O202)^2),0))</f>
        <v>68</v>
      </c>
      <c r="R202" s="54" t="n">
        <v>-0.775528708768295</v>
      </c>
      <c r="S202" s="55" t="n">
        <f aca="false">U202*V202*$F$5</f>
        <v>1769.05616020897</v>
      </c>
      <c r="T202" s="56" t="n">
        <f aca="false">MAX(0,MIN(1,R202/100+$D$5))</f>
        <v>0.500299761879622</v>
      </c>
      <c r="U202" s="56" t="n">
        <v>0.760557248585111</v>
      </c>
      <c r="V202" s="55" t="n">
        <v>2326</v>
      </c>
      <c r="W202" s="56" t="n">
        <v>0.0684752145190268</v>
      </c>
      <c r="X202" s="57" t="s">
        <v>168</v>
      </c>
      <c r="Y202" s="57" t="s">
        <v>130</v>
      </c>
    </row>
    <row r="203" customFormat="false" ht="15" hidden="false" customHeight="false" outlineLevel="0" collapsed="false">
      <c r="A203" s="25" t="s">
        <v>197</v>
      </c>
      <c r="B203" s="25" t="s">
        <v>353</v>
      </c>
      <c r="C203" s="25" t="s">
        <v>355</v>
      </c>
      <c r="D203" s="52" t="n">
        <f aca="false">ROUND(S203*T203,0)</f>
        <v>629</v>
      </c>
      <c r="E203" s="52" t="n">
        <f aca="false">ROUND(S203,0)-D203</f>
        <v>676</v>
      </c>
      <c r="F203" s="52" t="n">
        <f aca="false">IF(COUNTA(D203:E203)=0,"",SUM(D203:E203))</f>
        <v>1305</v>
      </c>
      <c r="G203" s="53" t="n">
        <f aca="false">IF(OR(F203="",F203=0),"",D203/F203)</f>
        <v>0.481992337164751</v>
      </c>
      <c r="H203" s="53" t="n">
        <f aca="false">IF(OR(F203="",F203=0),"",E203/F203)</f>
        <v>0.518007662835249</v>
      </c>
      <c r="I203" s="25" t="s">
        <v>128</v>
      </c>
      <c r="J203" s="28" t="n">
        <v>1.72835549007323</v>
      </c>
      <c r="K203" s="28" t="n">
        <f aca="false">$K$8</f>
        <v>0.297030231526703</v>
      </c>
      <c r="L203" s="28" t="n">
        <f aca="false">SQRT(J203^2+K203^2)</f>
        <v>1.75369314833214</v>
      </c>
      <c r="M203" s="53" t="n">
        <f aca="false">IF(G203="","",MAX(0,G203-1.96*L203/100))</f>
        <v>0.447619951457441</v>
      </c>
      <c r="N203" s="53" t="n">
        <f aca="false">IF(G203="","",MIN(1,G203+1.96*L203/100))</f>
        <v>0.516364722872061</v>
      </c>
      <c r="O203" s="52" t="n">
        <f aca="false">ROUND(S203*W203,0)</f>
        <v>89</v>
      </c>
      <c r="P203" s="52" t="n">
        <f aca="false">IF(F203="","",ROUND(SQRT((F203*L203/100)^2+(G203*O203)^2),0))</f>
        <v>49</v>
      </c>
      <c r="R203" s="54" t="n">
        <v>-2.60057033020531</v>
      </c>
      <c r="S203" s="55" t="n">
        <f aca="false">U203*V203*$F$5</f>
        <v>1304.62964959569</v>
      </c>
      <c r="T203" s="56" t="n">
        <f aca="false">MAX(0,MIN(1,R203/100+$D$5))</f>
        <v>0.482049345665252</v>
      </c>
      <c r="U203" s="56" t="n">
        <v>0.666307277628032</v>
      </c>
      <c r="V203" s="55" t="n">
        <v>1958</v>
      </c>
      <c r="W203" s="56" t="n">
        <v>0.0684752145190268</v>
      </c>
      <c r="X203" s="57" t="s">
        <v>168</v>
      </c>
      <c r="Y203" s="57" t="s">
        <v>130</v>
      </c>
    </row>
    <row r="204" customFormat="false" ht="15" hidden="false" customHeight="false" outlineLevel="0" collapsed="false">
      <c r="A204" s="25" t="s">
        <v>197</v>
      </c>
      <c r="B204" s="25" t="s">
        <v>353</v>
      </c>
      <c r="C204" s="25" t="s">
        <v>356</v>
      </c>
      <c r="D204" s="52" t="n">
        <f aca="false">ROUND(S204*T204,0)</f>
        <v>639</v>
      </c>
      <c r="E204" s="52" t="n">
        <f aca="false">ROUND(S204,0)-D204</f>
        <v>675</v>
      </c>
      <c r="F204" s="52" t="n">
        <f aca="false">IF(COUNTA(D204:E204)=0,"",SUM(D204:E204))</f>
        <v>1314</v>
      </c>
      <c r="G204" s="53" t="n">
        <f aca="false">IF(OR(F204="",F204=0),"",D204/F204)</f>
        <v>0.486301369863014</v>
      </c>
      <c r="H204" s="53" t="n">
        <f aca="false">IF(OR(F204="",F204=0),"",E204/F204)</f>
        <v>0.513698630136986</v>
      </c>
      <c r="I204" s="25" t="s">
        <v>128</v>
      </c>
      <c r="J204" s="28" t="n">
        <v>1.72835549007323</v>
      </c>
      <c r="K204" s="28" t="n">
        <f aca="false">$K$8</f>
        <v>0.297030231526703</v>
      </c>
      <c r="L204" s="28" t="n">
        <f aca="false">SQRT(J204^2+K204^2)</f>
        <v>1.75369314833214</v>
      </c>
      <c r="M204" s="53" t="n">
        <f aca="false">IF(G204="","",MAX(0,G204-1.96*L204/100))</f>
        <v>0.451928984155704</v>
      </c>
      <c r="N204" s="53" t="n">
        <f aca="false">IF(G204="","",MIN(1,G204+1.96*L204/100))</f>
        <v>0.520673755570324</v>
      </c>
      <c r="O204" s="52" t="n">
        <f aca="false">ROUND(S204*W204,0)</f>
        <v>90</v>
      </c>
      <c r="P204" s="52" t="n">
        <f aca="false">IF(F204="","",ROUND(SQRT((F204*L204/100)^2+(G204*O204)^2),0))</f>
        <v>49</v>
      </c>
      <c r="R204" s="54" t="n">
        <v>-2.18175861653763</v>
      </c>
      <c r="S204" s="55" t="n">
        <f aca="false">U204*V204*$F$5</f>
        <v>1313.96987951807</v>
      </c>
      <c r="T204" s="56" t="n">
        <f aca="false">MAX(0,MIN(1,R204/100+$D$5))</f>
        <v>0.486237462801929</v>
      </c>
      <c r="U204" s="56" t="n">
        <v>0.756024096385542</v>
      </c>
      <c r="V204" s="55" t="n">
        <v>1738</v>
      </c>
      <c r="W204" s="56" t="n">
        <v>0.0684752145190268</v>
      </c>
      <c r="X204" s="57" t="s">
        <v>168</v>
      </c>
      <c r="Y204" s="57" t="s">
        <v>130</v>
      </c>
    </row>
    <row r="205" customFormat="false" ht="15" hidden="false" customHeight="false" outlineLevel="0" collapsed="false">
      <c r="A205" s="25" t="s">
        <v>197</v>
      </c>
      <c r="B205" s="25" t="s">
        <v>353</v>
      </c>
      <c r="C205" s="25" t="s">
        <v>357</v>
      </c>
      <c r="D205" s="52" t="n">
        <f aca="false">ROUND(S205*T205,0)</f>
        <v>1381</v>
      </c>
      <c r="E205" s="52" t="n">
        <f aca="false">ROUND(S205,0)-D205</f>
        <v>1463</v>
      </c>
      <c r="F205" s="52" t="n">
        <f aca="false">IF(COUNTA(D205:E205)=0,"",SUM(D205:E205))</f>
        <v>2844</v>
      </c>
      <c r="G205" s="53" t="n">
        <f aca="false">IF(OR(F205="",F205=0),"",D205/F205)</f>
        <v>0.485583684950774</v>
      </c>
      <c r="H205" s="53" t="n">
        <f aca="false">IF(OR(F205="",F205=0),"",E205/F205)</f>
        <v>0.514416315049227</v>
      </c>
      <c r="I205" s="25" t="s">
        <v>128</v>
      </c>
      <c r="J205" s="28" t="n">
        <v>1.72835549007323</v>
      </c>
      <c r="K205" s="28" t="n">
        <f aca="false">$K$8</f>
        <v>0.297030231526703</v>
      </c>
      <c r="L205" s="28" t="n">
        <f aca="false">SQRT(J205^2+K205^2)</f>
        <v>1.75369314833214</v>
      </c>
      <c r="M205" s="53" t="n">
        <f aca="false">IF(G205="","",MAX(0,G205-1.96*L205/100))</f>
        <v>0.451211299243464</v>
      </c>
      <c r="N205" s="53" t="n">
        <f aca="false">IF(G205="","",MIN(1,G205+1.96*L205/100))</f>
        <v>0.519956070658083</v>
      </c>
      <c r="O205" s="52" t="n">
        <f aca="false">ROUND(S205*W205,0)</f>
        <v>195</v>
      </c>
      <c r="P205" s="52" t="n">
        <f aca="false">IF(F205="","",ROUND(SQRT((F205*L205/100)^2+(G205*O205)^2),0))</f>
        <v>107</v>
      </c>
      <c r="R205" s="54" t="n">
        <v>-2.2478273852301</v>
      </c>
      <c r="S205" s="55" t="n">
        <f aca="false">U205*V205*$F$5</f>
        <v>2844.46927374302</v>
      </c>
      <c r="T205" s="56" t="n">
        <f aca="false">MAX(0,MIN(1,R205/100+$D$5))</f>
        <v>0.485576775115004</v>
      </c>
      <c r="U205" s="56" t="n">
        <v>0.670391061452514</v>
      </c>
      <c r="V205" s="55" t="n">
        <v>4243</v>
      </c>
      <c r="W205" s="56" t="n">
        <v>0.0684752145190268</v>
      </c>
      <c r="X205" s="57" t="s">
        <v>168</v>
      </c>
      <c r="Y205" s="57" t="s">
        <v>130</v>
      </c>
    </row>
    <row r="206" customFormat="false" ht="15" hidden="false" customHeight="false" outlineLevel="0" collapsed="false">
      <c r="A206" s="25" t="s">
        <v>197</v>
      </c>
      <c r="B206" s="25" t="s">
        <v>353</v>
      </c>
      <c r="C206" s="25" t="s">
        <v>358</v>
      </c>
      <c r="D206" s="52" t="n">
        <f aca="false">ROUND(S206*T206,0)</f>
        <v>560</v>
      </c>
      <c r="E206" s="52" t="n">
        <f aca="false">ROUND(S206,0)-D206</f>
        <v>536</v>
      </c>
      <c r="F206" s="52" t="n">
        <f aca="false">IF(COUNTA(D206:E206)=0,"",SUM(D206:E206))</f>
        <v>1096</v>
      </c>
      <c r="G206" s="53" t="n">
        <f aca="false">IF(OR(F206="",F206=0),"",D206/F206)</f>
        <v>0.510948905109489</v>
      </c>
      <c r="H206" s="53" t="n">
        <f aca="false">IF(OR(F206="",F206=0),"",E206/F206)</f>
        <v>0.489051094890511</v>
      </c>
      <c r="I206" s="25" t="s">
        <v>128</v>
      </c>
      <c r="J206" s="28" t="n">
        <v>1.72835549007323</v>
      </c>
      <c r="K206" s="28" t="n">
        <f aca="false">$K$8</f>
        <v>0.297030231526703</v>
      </c>
      <c r="L206" s="28" t="n">
        <f aca="false">SQRT(J206^2+K206^2)</f>
        <v>1.75369314833214</v>
      </c>
      <c r="M206" s="53" t="n">
        <f aca="false">IF(G206="","",MAX(0,G206-1.96*L206/100))</f>
        <v>0.476576519402179</v>
      </c>
      <c r="N206" s="53" t="n">
        <f aca="false">IF(G206="","",MIN(1,G206+1.96*L206/100))</f>
        <v>0.545321290816799</v>
      </c>
      <c r="O206" s="52" t="n">
        <f aca="false">ROUND(S206*W206,0)</f>
        <v>75</v>
      </c>
      <c r="P206" s="52" t="n">
        <f aca="false">IF(F206="","",ROUND(SQRT((F206*L206/100)^2+(G206*O206)^2),0))</f>
        <v>43</v>
      </c>
      <c r="R206" s="54" t="n">
        <v>0.333045473263799</v>
      </c>
      <c r="S206" s="55" t="n">
        <f aca="false">U206*V206*$F$5</f>
        <v>1095.71313506815</v>
      </c>
      <c r="T206" s="56" t="n">
        <f aca="false">MAX(0,MIN(1,R206/100+$D$5))</f>
        <v>0.511385503699943</v>
      </c>
      <c r="U206" s="56" t="n">
        <v>0.668525402726146</v>
      </c>
      <c r="V206" s="55" t="n">
        <v>1639</v>
      </c>
      <c r="W206" s="56" t="n">
        <v>0.0684752145190268</v>
      </c>
      <c r="X206" s="57" t="s">
        <v>168</v>
      </c>
      <c r="Y206" s="57" t="s">
        <v>130</v>
      </c>
    </row>
    <row r="207" customFormat="false" ht="15" hidden="false" customHeight="false" outlineLevel="0" collapsed="false">
      <c r="A207" s="25" t="s">
        <v>197</v>
      </c>
      <c r="B207" s="25" t="s">
        <v>353</v>
      </c>
      <c r="C207" s="25" t="s">
        <v>359</v>
      </c>
      <c r="D207" s="52" t="n">
        <f aca="false">ROUND(S207*T207,0)</f>
        <v>539</v>
      </c>
      <c r="E207" s="52" t="n">
        <f aca="false">ROUND(S207,0)-D207</f>
        <v>485</v>
      </c>
      <c r="F207" s="52" t="n">
        <f aca="false">IF(COUNTA(D207:E207)=0,"",SUM(D207:E207))</f>
        <v>1024</v>
      </c>
      <c r="G207" s="53" t="n">
        <f aca="false">IF(OR(F207="",F207=0),"",D207/F207)</f>
        <v>0.5263671875</v>
      </c>
      <c r="H207" s="53" t="n">
        <f aca="false">IF(OR(F207="",F207=0),"",E207/F207)</f>
        <v>0.4736328125</v>
      </c>
      <c r="I207" s="25" t="s">
        <v>128</v>
      </c>
      <c r="J207" s="28" t="n">
        <v>1.72835549007323</v>
      </c>
      <c r="K207" s="28" t="n">
        <f aca="false">$K$8</f>
        <v>0.297030231526703</v>
      </c>
      <c r="L207" s="28" t="n">
        <f aca="false">SQRT(J207^2+K207^2)</f>
        <v>1.75369314833214</v>
      </c>
      <c r="M207" s="53" t="n">
        <f aca="false">IF(G207="","",MAX(0,G207-1.96*L207/100))</f>
        <v>0.49199480179269</v>
      </c>
      <c r="N207" s="53" t="n">
        <f aca="false">IF(G207="","",MIN(1,G207+1.96*L207/100))</f>
        <v>0.56073957320731</v>
      </c>
      <c r="O207" s="52" t="n">
        <f aca="false">ROUND(S207*W207,0)</f>
        <v>70</v>
      </c>
      <c r="P207" s="52" t="n">
        <f aca="false">IF(F207="","",ROUND(SQRT((F207*L207/100)^2+(G207*O207)^2),0))</f>
        <v>41</v>
      </c>
      <c r="R207" s="54" t="n">
        <v>1.88091179582649</v>
      </c>
      <c r="S207" s="55" t="n">
        <f aca="false">U207*V207*$F$5</f>
        <v>1023.63518138262</v>
      </c>
      <c r="T207" s="56" t="n">
        <f aca="false">MAX(0,MIN(1,R207/100+$D$5))</f>
        <v>0.52686416692557</v>
      </c>
      <c r="U207" s="56" t="n">
        <v>0.731690622861054</v>
      </c>
      <c r="V207" s="55" t="n">
        <v>1399</v>
      </c>
      <c r="W207" s="56" t="n">
        <v>0.0684752145190268</v>
      </c>
      <c r="X207" s="57" t="s">
        <v>168</v>
      </c>
      <c r="Y207" s="57" t="s">
        <v>130</v>
      </c>
    </row>
    <row r="208" customFormat="false" ht="15" hidden="false" customHeight="false" outlineLevel="0" collapsed="false">
      <c r="A208" s="25" t="s">
        <v>197</v>
      </c>
      <c r="B208" s="25" t="s">
        <v>360</v>
      </c>
      <c r="C208" s="25" t="s">
        <v>361</v>
      </c>
      <c r="D208" s="52" t="n">
        <f aca="false">ROUND(S208*T208,0)</f>
        <v>196</v>
      </c>
      <c r="E208" s="52" t="n">
        <f aca="false">ROUND(S208,0)-D208</f>
        <v>408</v>
      </c>
      <c r="F208" s="52" t="n">
        <f aca="false">IF(COUNTA(D208:E208)=0,"",SUM(D208:E208))</f>
        <v>604</v>
      </c>
      <c r="G208" s="53" t="n">
        <f aca="false">IF(OR(F208="",F208=0),"",D208/F208)</f>
        <v>0.324503311258278</v>
      </c>
      <c r="H208" s="53" t="n">
        <f aca="false">IF(OR(F208="",F208=0),"",E208/F208)</f>
        <v>0.675496688741722</v>
      </c>
      <c r="I208" s="25" t="s">
        <v>128</v>
      </c>
      <c r="J208" s="28" t="n">
        <v>2.11716121919269</v>
      </c>
      <c r="K208" s="28" t="n">
        <f aca="false">$K$8</f>
        <v>0.297030231526703</v>
      </c>
      <c r="L208" s="28" t="n">
        <f aca="false">SQRT(J208^2+K208^2)</f>
        <v>2.13789583153489</v>
      </c>
      <c r="M208" s="53" t="n">
        <f aca="false">IF(G208="","",MAX(0,G208-1.96*L208/100))</f>
        <v>0.282600552960194</v>
      </c>
      <c r="N208" s="53" t="n">
        <f aca="false">IF(G208="","",MIN(1,G208+1.96*L208/100))</f>
        <v>0.366406069556362</v>
      </c>
      <c r="O208" s="52" t="n">
        <f aca="false">ROUND(S208*W208,0)</f>
        <v>54</v>
      </c>
      <c r="P208" s="52" t="n">
        <f aca="false">IF(F208="","",ROUND(SQRT((F208*L208/100)^2+(G208*O208)^2),0))</f>
        <v>22</v>
      </c>
      <c r="R208" s="54" t="n">
        <v>-18.3464756026919</v>
      </c>
      <c r="S208" s="55" t="n">
        <f aca="false">U208*V208*$F$5</f>
        <v>604.352941176471</v>
      </c>
      <c r="T208" s="56" t="n">
        <f aca="false">MAX(0,MIN(1,R208/100+$D$5))</f>
        <v>0.324590292940385</v>
      </c>
      <c r="U208" s="56" t="n">
        <v>0.647058823529412</v>
      </c>
      <c r="V208" s="55" t="n">
        <v>934</v>
      </c>
      <c r="W208" s="56" t="n">
        <v>0.0887445098984521</v>
      </c>
      <c r="X208" s="57" t="s">
        <v>135</v>
      </c>
      <c r="Y208" s="57" t="s">
        <v>130</v>
      </c>
    </row>
    <row r="209" customFormat="false" ht="15" hidden="false" customHeight="false" outlineLevel="0" collapsed="false">
      <c r="A209" s="25" t="s">
        <v>197</v>
      </c>
      <c r="B209" s="25" t="s">
        <v>360</v>
      </c>
      <c r="C209" s="25" t="s">
        <v>362</v>
      </c>
      <c r="D209" s="52" t="n">
        <f aca="false">ROUND(S209*T209,0)</f>
        <v>669</v>
      </c>
      <c r="E209" s="52" t="n">
        <f aca="false">ROUND(S209,0)-D209</f>
        <v>1288</v>
      </c>
      <c r="F209" s="52" t="n">
        <f aca="false">IF(COUNTA(D209:E209)=0,"",SUM(D209:E209))</f>
        <v>1957</v>
      </c>
      <c r="G209" s="53" t="n">
        <f aca="false">IF(OR(F209="",F209=0),"",D209/F209)</f>
        <v>0.341849770056209</v>
      </c>
      <c r="H209" s="53" t="n">
        <f aca="false">IF(OR(F209="",F209=0),"",E209/F209)</f>
        <v>0.658150229943792</v>
      </c>
      <c r="I209" s="25" t="s">
        <v>128</v>
      </c>
      <c r="J209" s="28" t="n">
        <v>1.72835549007323</v>
      </c>
      <c r="K209" s="28" t="n">
        <f aca="false">$K$8</f>
        <v>0.297030231526703</v>
      </c>
      <c r="L209" s="28" t="n">
        <f aca="false">SQRT(J209^2+K209^2)</f>
        <v>1.75369314833214</v>
      </c>
      <c r="M209" s="53" t="n">
        <f aca="false">IF(G209="","",MAX(0,G209-1.96*L209/100))</f>
        <v>0.307477384348899</v>
      </c>
      <c r="N209" s="53" t="n">
        <f aca="false">IF(G209="","",MIN(1,G209+1.96*L209/100))</f>
        <v>0.376222155763518</v>
      </c>
      <c r="O209" s="52" t="n">
        <f aca="false">ROUND(S209*W209,0)</f>
        <v>134</v>
      </c>
      <c r="P209" s="52" t="n">
        <f aca="false">IF(F209="","",ROUND(SQRT((F209*L209/100)^2+(G209*O209)^2),0))</f>
        <v>57</v>
      </c>
      <c r="R209" s="54" t="n">
        <v>-16.6175784379102</v>
      </c>
      <c r="S209" s="55" t="n">
        <f aca="false">U209*V209*$F$5</f>
        <v>1956.62307176392</v>
      </c>
      <c r="T209" s="56" t="n">
        <f aca="false">MAX(0,MIN(1,R209/100+$D$5))</f>
        <v>0.341879264588203</v>
      </c>
      <c r="U209" s="56" t="n">
        <v>0.641515761234071</v>
      </c>
      <c r="V209" s="55" t="n">
        <v>3050</v>
      </c>
      <c r="W209" s="56" t="n">
        <v>0.0684752145190268</v>
      </c>
      <c r="X209" s="57" t="s">
        <v>168</v>
      </c>
      <c r="Y209" s="57" t="s">
        <v>130</v>
      </c>
    </row>
    <row r="210" customFormat="false" ht="15" hidden="false" customHeight="false" outlineLevel="0" collapsed="false">
      <c r="A210" s="25" t="s">
        <v>197</v>
      </c>
      <c r="B210" s="25" t="s">
        <v>360</v>
      </c>
      <c r="C210" s="25" t="s">
        <v>363</v>
      </c>
      <c r="D210" s="52" t="n">
        <f aca="false">ROUND(S210*T210,0)</f>
        <v>158</v>
      </c>
      <c r="E210" s="52" t="n">
        <f aca="false">ROUND(S210,0)-D210</f>
        <v>384</v>
      </c>
      <c r="F210" s="52" t="n">
        <f aca="false">IF(COUNTA(D210:E210)=0,"",SUM(D210:E210))</f>
        <v>542</v>
      </c>
      <c r="G210" s="53" t="n">
        <f aca="false">IF(OR(F210="",F210=0),"",D210/F210)</f>
        <v>0.291512915129151</v>
      </c>
      <c r="H210" s="53" t="n">
        <f aca="false">IF(OR(F210="",F210=0),"",E210/F210)</f>
        <v>0.708487084870849</v>
      </c>
      <c r="I210" s="25" t="s">
        <v>128</v>
      </c>
      <c r="J210" s="28" t="n">
        <v>3.42046080519466</v>
      </c>
      <c r="K210" s="28" t="n">
        <f aca="false">$K$8</f>
        <v>0.297030231526703</v>
      </c>
      <c r="L210" s="28" t="n">
        <f aca="false">SQRT(J210^2+K210^2)</f>
        <v>3.43333352273176</v>
      </c>
      <c r="M210" s="53" t="n">
        <f aca="false">IF(G210="","",MAX(0,G210-1.96*L210/100))</f>
        <v>0.224219578083609</v>
      </c>
      <c r="N210" s="53" t="n">
        <f aca="false">IF(G210="","",MIN(1,G210+1.96*L210/100))</f>
        <v>0.358806252174694</v>
      </c>
      <c r="O210" s="52" t="n">
        <f aca="false">ROUND(S210*W210,0)</f>
        <v>80</v>
      </c>
      <c r="P210" s="52" t="n">
        <f aca="false">IF(F210="","",ROUND(SQRT((F210*L210/100)^2+(G210*O210)^2),0))</f>
        <v>30</v>
      </c>
      <c r="R210" s="54" t="n">
        <v>-21.644321238616</v>
      </c>
      <c r="S210" s="55" t="n">
        <f aca="false">U210*V210*$F$5</f>
        <v>542.370466321243</v>
      </c>
      <c r="T210" s="56" t="n">
        <f aca="false">MAX(0,MIN(1,R210/100+$D$5))</f>
        <v>0.291611836581144</v>
      </c>
      <c r="U210" s="56" t="n">
        <v>0.660621761658031</v>
      </c>
      <c r="V210" s="55" t="n">
        <v>821</v>
      </c>
      <c r="W210" s="56" t="n">
        <v>0.148097331980838</v>
      </c>
      <c r="X210" s="57" t="s">
        <v>129</v>
      </c>
      <c r="Y210" s="57" t="s">
        <v>130</v>
      </c>
    </row>
    <row r="211" customFormat="false" ht="15" hidden="false" customHeight="false" outlineLevel="0" collapsed="false">
      <c r="A211" s="25" t="s">
        <v>197</v>
      </c>
      <c r="B211" s="25" t="s">
        <v>364</v>
      </c>
      <c r="C211" s="25" t="s">
        <v>364</v>
      </c>
      <c r="D211" s="52" t="n">
        <f aca="false">ROUND(S211*T211,0)</f>
        <v>969</v>
      </c>
      <c r="E211" s="52" t="n">
        <f aca="false">ROUND(S211,0)-D211</f>
        <v>1771</v>
      </c>
      <c r="F211" s="52" t="n">
        <f aca="false">IF(COUNTA(D211:E211)=0,"",SUM(D211:E211))</f>
        <v>2740</v>
      </c>
      <c r="G211" s="53" t="n">
        <f aca="false">IF(OR(F211="",F211=0),"",D211/F211)</f>
        <v>0.353649635036496</v>
      </c>
      <c r="H211" s="53" t="n">
        <f aca="false">IF(OR(F211="",F211=0),"",E211/F211)</f>
        <v>0.646350364963504</v>
      </c>
      <c r="I211" s="25" t="s">
        <v>128</v>
      </c>
      <c r="J211" s="28" t="n">
        <v>1.72835549007323</v>
      </c>
      <c r="K211" s="28" t="n">
        <f aca="false">$K$8</f>
        <v>0.297030231526703</v>
      </c>
      <c r="L211" s="28" t="n">
        <f aca="false">SQRT(J211^2+K211^2)</f>
        <v>1.75369314833214</v>
      </c>
      <c r="M211" s="53" t="n">
        <f aca="false">IF(G211="","",MAX(0,G211-1.96*L211/100))</f>
        <v>0.319277249329186</v>
      </c>
      <c r="N211" s="53" t="n">
        <f aca="false">IF(G211="","",MIN(1,G211+1.96*L211/100))</f>
        <v>0.388022020743806</v>
      </c>
      <c r="O211" s="52" t="n">
        <f aca="false">ROUND(S211*W211,0)</f>
        <v>188</v>
      </c>
      <c r="P211" s="52" t="n">
        <f aca="false">IF(F211="","",ROUND(SQRT((F211*L211/100)^2+(G211*O211)^2),0))</f>
        <v>82</v>
      </c>
      <c r="R211" s="54" t="n">
        <v>-15.4217725110586</v>
      </c>
      <c r="S211" s="55" t="n">
        <f aca="false">U211*V211*$F$5</f>
        <v>2739.5017118778</v>
      </c>
      <c r="T211" s="56" t="n">
        <f aca="false">MAX(0,MIN(1,R211/100+$D$5))</f>
        <v>0.353837323856719</v>
      </c>
      <c r="U211" s="56" t="n">
        <v>0.708980774295497</v>
      </c>
      <c r="V211" s="55" t="n">
        <v>3864</v>
      </c>
      <c r="W211" s="56" t="n">
        <v>0.0684752145190268</v>
      </c>
      <c r="X211" s="57" t="s">
        <v>168</v>
      </c>
      <c r="Y211" s="57" t="s">
        <v>130</v>
      </c>
    </row>
    <row r="212" customFormat="false" ht="15" hidden="false" customHeight="false" outlineLevel="0" collapsed="false">
      <c r="A212" s="25" t="s">
        <v>197</v>
      </c>
      <c r="B212" s="25" t="s">
        <v>365</v>
      </c>
      <c r="C212" s="25" t="s">
        <v>366</v>
      </c>
      <c r="D212" s="52" t="n">
        <f aca="false">ROUND(S212*T212,0)</f>
        <v>657</v>
      </c>
      <c r="E212" s="52" t="n">
        <f aca="false">ROUND(S212,0)-D212</f>
        <v>713</v>
      </c>
      <c r="F212" s="52" t="n">
        <f aca="false">IF(COUNTA(D212:E212)=0,"",SUM(D212:E212))</f>
        <v>1370</v>
      </c>
      <c r="G212" s="53" t="n">
        <f aca="false">IF(OR(F212="",F212=0),"",D212/F212)</f>
        <v>0.47956204379562</v>
      </c>
      <c r="H212" s="53" t="n">
        <f aca="false">IF(OR(F212="",F212=0),"",E212/F212)</f>
        <v>0.52043795620438</v>
      </c>
      <c r="I212" s="25" t="s">
        <v>128</v>
      </c>
      <c r="J212" s="28" t="n">
        <v>1.72835549007323</v>
      </c>
      <c r="K212" s="28" t="n">
        <f aca="false">$K$8</f>
        <v>0.297030231526703</v>
      </c>
      <c r="L212" s="28" t="n">
        <f aca="false">SQRT(J212^2+K212^2)</f>
        <v>1.75369314833214</v>
      </c>
      <c r="M212" s="53" t="n">
        <f aca="false">IF(G212="","",MAX(0,G212-1.96*L212/100))</f>
        <v>0.445189658088311</v>
      </c>
      <c r="N212" s="53" t="n">
        <f aca="false">IF(G212="","",MIN(1,G212+1.96*L212/100))</f>
        <v>0.51393442950293</v>
      </c>
      <c r="O212" s="52" t="n">
        <f aca="false">ROUND(S212*W212,0)</f>
        <v>94</v>
      </c>
      <c r="P212" s="52" t="n">
        <f aca="false">IF(F212="","",ROUND(SQRT((F212*L212/100)^2+(G212*O212)^2),0))</f>
        <v>51</v>
      </c>
      <c r="R212" s="54" t="n">
        <v>-2.86878170122808</v>
      </c>
      <c r="S212" s="55" t="n">
        <f aca="false">U212*V212*$F$5</f>
        <v>1370.10933470861</v>
      </c>
      <c r="T212" s="56" t="n">
        <f aca="false">MAX(0,MIN(1,R212/100+$D$5))</f>
        <v>0.479367231955024</v>
      </c>
      <c r="U212" s="56" t="n">
        <v>0.670964414646725</v>
      </c>
      <c r="V212" s="55" t="n">
        <v>2042</v>
      </c>
      <c r="W212" s="56" t="n">
        <v>0.0684752145190268</v>
      </c>
      <c r="X212" s="57" t="s">
        <v>168</v>
      </c>
      <c r="Y212" s="57" t="s">
        <v>130</v>
      </c>
    </row>
    <row r="213" customFormat="false" ht="15" hidden="false" customHeight="false" outlineLevel="0" collapsed="false">
      <c r="A213" s="25" t="s">
        <v>197</v>
      </c>
      <c r="B213" s="25" t="s">
        <v>365</v>
      </c>
      <c r="C213" s="25" t="s">
        <v>367</v>
      </c>
      <c r="D213" s="52" t="n">
        <f aca="false">ROUND(S213*T213,0)</f>
        <v>471</v>
      </c>
      <c r="E213" s="52" t="n">
        <f aca="false">ROUND(S213,0)-D213</f>
        <v>505</v>
      </c>
      <c r="F213" s="52" t="n">
        <f aca="false">IF(COUNTA(D213:E213)=0,"",SUM(D213:E213))</f>
        <v>976</v>
      </c>
      <c r="G213" s="53" t="n">
        <f aca="false">IF(OR(F213="",F213=0),"",D213/F213)</f>
        <v>0.482581967213115</v>
      </c>
      <c r="H213" s="53" t="n">
        <f aca="false">IF(OR(F213="",F213=0),"",E213/F213)</f>
        <v>0.517418032786885</v>
      </c>
      <c r="I213" s="25" t="s">
        <v>128</v>
      </c>
      <c r="J213" s="28" t="n">
        <v>1.72835549007323</v>
      </c>
      <c r="K213" s="28" t="n">
        <f aca="false">$K$8</f>
        <v>0.297030231526703</v>
      </c>
      <c r="L213" s="28" t="n">
        <f aca="false">SQRT(J213^2+K213^2)</f>
        <v>1.75369314833214</v>
      </c>
      <c r="M213" s="53" t="n">
        <f aca="false">IF(G213="","",MAX(0,G213-1.96*L213/100))</f>
        <v>0.448209581505805</v>
      </c>
      <c r="N213" s="53" t="n">
        <f aca="false">IF(G213="","",MIN(1,G213+1.96*L213/100))</f>
        <v>0.516954352920425</v>
      </c>
      <c r="O213" s="52" t="n">
        <f aca="false">ROUND(S213*W213,0)</f>
        <v>67</v>
      </c>
      <c r="P213" s="52" t="n">
        <f aca="false">IF(F213="","",ROUND(SQRT((F213*L213/100)^2+(G213*O213)^2),0))</f>
        <v>37</v>
      </c>
      <c r="R213" s="54" t="n">
        <v>-2.51467971455298</v>
      </c>
      <c r="S213" s="55" t="n">
        <f aca="false">U213*V213*$F$5</f>
        <v>975.592154420922</v>
      </c>
      <c r="T213" s="56" t="n">
        <f aca="false">MAX(0,MIN(1,R213/100+$D$5))</f>
        <v>0.482908251821775</v>
      </c>
      <c r="U213" s="56" t="n">
        <v>0.599626400996264</v>
      </c>
      <c r="V213" s="55" t="n">
        <v>1627</v>
      </c>
      <c r="W213" s="56" t="n">
        <v>0.0684752145190268</v>
      </c>
      <c r="X213" s="57" t="s">
        <v>168</v>
      </c>
      <c r="Y213" s="57" t="s">
        <v>130</v>
      </c>
    </row>
    <row r="214" customFormat="false" ht="15" hidden="false" customHeight="false" outlineLevel="0" collapsed="false">
      <c r="A214" s="25" t="s">
        <v>197</v>
      </c>
      <c r="B214" s="25" t="s">
        <v>365</v>
      </c>
      <c r="C214" s="25" t="s">
        <v>368</v>
      </c>
      <c r="D214" s="52" t="n">
        <f aca="false">ROUND(S214*T214,0)</f>
        <v>523</v>
      </c>
      <c r="E214" s="52" t="n">
        <f aca="false">ROUND(S214,0)-D214</f>
        <v>414</v>
      </c>
      <c r="F214" s="52" t="n">
        <f aca="false">IF(COUNTA(D214:E214)=0,"",SUM(D214:E214))</f>
        <v>937</v>
      </c>
      <c r="G214" s="53" t="n">
        <f aca="false">IF(OR(F214="",F214=0),"",D214/F214)</f>
        <v>0.558164354322305</v>
      </c>
      <c r="H214" s="53" t="n">
        <f aca="false">IF(OR(F214="",F214=0),"",E214/F214)</f>
        <v>0.441835645677695</v>
      </c>
      <c r="I214" s="25" t="s">
        <v>128</v>
      </c>
      <c r="J214" s="28" t="n">
        <v>1.72835549007323</v>
      </c>
      <c r="K214" s="28" t="n">
        <f aca="false">$K$8</f>
        <v>0.297030231526703</v>
      </c>
      <c r="L214" s="28" t="n">
        <f aca="false">SQRT(J214^2+K214^2)</f>
        <v>1.75369314833214</v>
      </c>
      <c r="M214" s="53" t="n">
        <f aca="false">IF(G214="","",MAX(0,G214-1.96*L214/100))</f>
        <v>0.523791968614995</v>
      </c>
      <c r="N214" s="53" t="n">
        <f aca="false">IF(G214="","",MIN(1,G214+1.96*L214/100))</f>
        <v>0.592536740029615</v>
      </c>
      <c r="O214" s="52" t="n">
        <f aca="false">ROUND(S214*W214,0)</f>
        <v>64</v>
      </c>
      <c r="P214" s="52" t="n">
        <f aca="false">IF(F214="","",ROUND(SQRT((F214*L214/100)^2+(G214*O214)^2),0))</f>
        <v>39</v>
      </c>
      <c r="R214" s="54" t="n">
        <v>4.97549652944688</v>
      </c>
      <c r="S214" s="55" t="n">
        <f aca="false">U214*V214*$F$5</f>
        <v>936.993243243243</v>
      </c>
      <c r="T214" s="56" t="n">
        <f aca="false">MAX(0,MIN(1,R214/100+$D$5))</f>
        <v>0.557810014261774</v>
      </c>
      <c r="U214" s="56" t="n">
        <v>0.506756756756757</v>
      </c>
      <c r="V214" s="55" t="n">
        <v>1849</v>
      </c>
      <c r="W214" s="56" t="n">
        <v>0.0684752145190268</v>
      </c>
      <c r="X214" s="57" t="s">
        <v>168</v>
      </c>
      <c r="Y214" s="57" t="s">
        <v>130</v>
      </c>
    </row>
    <row r="215" customFormat="false" ht="15" hidden="false" customHeight="false" outlineLevel="0" collapsed="false">
      <c r="A215" s="25" t="s">
        <v>197</v>
      </c>
      <c r="B215" s="25" t="s">
        <v>365</v>
      </c>
      <c r="C215" s="25" t="s">
        <v>369</v>
      </c>
      <c r="D215" s="52" t="n">
        <f aca="false">ROUND(S215*T215,0)</f>
        <v>596</v>
      </c>
      <c r="E215" s="52" t="n">
        <f aca="false">ROUND(S215,0)-D215</f>
        <v>408</v>
      </c>
      <c r="F215" s="52" t="n">
        <f aca="false">IF(COUNTA(D215:E215)=0,"",SUM(D215:E215))</f>
        <v>1004</v>
      </c>
      <c r="G215" s="53" t="n">
        <f aca="false">IF(OR(F215="",F215=0),"",D215/F215)</f>
        <v>0.593625498007968</v>
      </c>
      <c r="H215" s="53" t="n">
        <f aca="false">IF(OR(F215="",F215=0),"",E215/F215)</f>
        <v>0.406374501992032</v>
      </c>
      <c r="I215" s="25" t="s">
        <v>128</v>
      </c>
      <c r="J215" s="28" t="n">
        <v>1.72835549007323</v>
      </c>
      <c r="K215" s="28" t="n">
        <f aca="false">$K$8</f>
        <v>0.297030231526703</v>
      </c>
      <c r="L215" s="28" t="n">
        <f aca="false">SQRT(J215^2+K215^2)</f>
        <v>1.75369314833214</v>
      </c>
      <c r="M215" s="53" t="n">
        <f aca="false">IF(G215="","",MAX(0,G215-1.96*L215/100))</f>
        <v>0.559253112300658</v>
      </c>
      <c r="N215" s="53" t="n">
        <f aca="false">IF(G215="","",MIN(1,G215+1.96*L215/100))</f>
        <v>0.627997883715278</v>
      </c>
      <c r="O215" s="52" t="n">
        <f aca="false">ROUND(S215*W215,0)</f>
        <v>69</v>
      </c>
      <c r="P215" s="52" t="n">
        <f aca="false">IF(F215="","",ROUND(SQRT((F215*L215/100)^2+(G215*O215)^2),0))</f>
        <v>45</v>
      </c>
      <c r="R215" s="54" t="n">
        <v>8.5141592376355</v>
      </c>
      <c r="S215" s="55" t="n">
        <f aca="false">U215*V215*$F$5</f>
        <v>1003.94947569113</v>
      </c>
      <c r="T215" s="56" t="n">
        <f aca="false">MAX(0,MIN(1,R215/100+$D$5))</f>
        <v>0.59319664134366</v>
      </c>
      <c r="U215" s="56" t="n">
        <v>0.473784556720686</v>
      </c>
      <c r="V215" s="55" t="n">
        <v>2119</v>
      </c>
      <c r="W215" s="56" t="n">
        <v>0.0684752145190268</v>
      </c>
      <c r="X215" s="57" t="s">
        <v>168</v>
      </c>
      <c r="Y215" s="57" t="s">
        <v>130</v>
      </c>
    </row>
    <row r="216" customFormat="false" ht="15" hidden="false" customHeight="false" outlineLevel="0" collapsed="false">
      <c r="A216" s="25" t="s">
        <v>197</v>
      </c>
      <c r="B216" s="25" t="s">
        <v>365</v>
      </c>
      <c r="C216" s="25" t="s">
        <v>370</v>
      </c>
      <c r="D216" s="52" t="n">
        <f aca="false">ROUND(S216*T216,0)</f>
        <v>219</v>
      </c>
      <c r="E216" s="52" t="n">
        <f aca="false">ROUND(S216,0)-D216</f>
        <v>180</v>
      </c>
      <c r="F216" s="52" t="n">
        <f aca="false">IF(COUNTA(D216:E216)=0,"",SUM(D216:E216))</f>
        <v>399</v>
      </c>
      <c r="G216" s="53" t="n">
        <f aca="false">IF(OR(F216="",F216=0),"",D216/F216)</f>
        <v>0.548872180451128</v>
      </c>
      <c r="H216" s="53" t="n">
        <f aca="false">IF(OR(F216="",F216=0),"",E216/F216)</f>
        <v>0.451127819548872</v>
      </c>
      <c r="I216" s="25" t="s">
        <v>128</v>
      </c>
      <c r="J216" s="28" t="n">
        <v>3.42046080519466</v>
      </c>
      <c r="K216" s="28" t="n">
        <f aca="false">$K$8</f>
        <v>0.297030231526703</v>
      </c>
      <c r="L216" s="28" t="n">
        <f aca="false">SQRT(J216^2+K216^2)</f>
        <v>3.43333352273176</v>
      </c>
      <c r="M216" s="53" t="n">
        <f aca="false">IF(G216="","",MAX(0,G216-1.96*L216/100))</f>
        <v>0.481578843405585</v>
      </c>
      <c r="N216" s="53" t="n">
        <f aca="false">IF(G216="","",MIN(1,G216+1.96*L216/100))</f>
        <v>0.61616551749667</v>
      </c>
      <c r="O216" s="52" t="n">
        <f aca="false">ROUND(S216*W216,0)</f>
        <v>59</v>
      </c>
      <c r="P216" s="52" t="n">
        <f aca="false">IF(F216="","",ROUND(SQRT((F216*L216/100)^2+(G216*O216)^2),0))</f>
        <v>35</v>
      </c>
      <c r="R216" s="54" t="n">
        <v>4.22074025901705</v>
      </c>
      <c r="S216" s="55" t="n">
        <f aca="false">U216*V216*$F$5</f>
        <v>398.675306957708</v>
      </c>
      <c r="T216" s="56" t="n">
        <f aca="false">MAX(0,MIN(1,R216/100+$D$5))</f>
        <v>0.550262451557475</v>
      </c>
      <c r="U216" s="56" t="n">
        <v>0.522510231923602</v>
      </c>
      <c r="V216" s="55" t="n">
        <v>763</v>
      </c>
      <c r="W216" s="56" t="n">
        <v>0.148097331980838</v>
      </c>
      <c r="X216" s="57" t="s">
        <v>129</v>
      </c>
      <c r="Y216" s="57" t="s">
        <v>130</v>
      </c>
    </row>
    <row r="217" customFormat="false" ht="15" hidden="false" customHeight="false" outlineLevel="0" collapsed="false">
      <c r="A217" s="25" t="s">
        <v>197</v>
      </c>
      <c r="B217" s="25" t="s">
        <v>365</v>
      </c>
      <c r="C217" s="25" t="s">
        <v>371</v>
      </c>
      <c r="D217" s="52" t="n">
        <f aca="false">ROUND(S217*T217,0)</f>
        <v>314</v>
      </c>
      <c r="E217" s="52" t="n">
        <f aca="false">ROUND(S217,0)-D217</f>
        <v>206</v>
      </c>
      <c r="F217" s="52" t="n">
        <f aca="false">IF(COUNTA(D217:E217)=0,"",SUM(D217:E217))</f>
        <v>520</v>
      </c>
      <c r="G217" s="53" t="n">
        <f aca="false">IF(OR(F217="",F217=0),"",D217/F217)</f>
        <v>0.603846153846154</v>
      </c>
      <c r="H217" s="53" t="n">
        <f aca="false">IF(OR(F217="",F217=0),"",E217/F217)</f>
        <v>0.396153846153846</v>
      </c>
      <c r="I217" s="25" t="s">
        <v>128</v>
      </c>
      <c r="J217" s="28" t="n">
        <v>3.42046080519466</v>
      </c>
      <c r="K217" s="28" t="n">
        <f aca="false">$K$8</f>
        <v>0.297030231526703</v>
      </c>
      <c r="L217" s="28" t="n">
        <f aca="false">SQRT(J217^2+K217^2)</f>
        <v>3.43333352273176</v>
      </c>
      <c r="M217" s="53" t="n">
        <f aca="false">IF(G217="","",MAX(0,G217-1.96*L217/100))</f>
        <v>0.536552816800611</v>
      </c>
      <c r="N217" s="53" t="n">
        <f aca="false">IF(G217="","",MIN(1,G217+1.96*L217/100))</f>
        <v>0.671139490891696</v>
      </c>
      <c r="O217" s="52" t="n">
        <f aca="false">ROUND(S217*W217,0)</f>
        <v>77</v>
      </c>
      <c r="P217" s="52" t="n">
        <f aca="false">IF(F217="","",ROUND(SQRT((F217*L217/100)^2+(G217*O217)^2),0))</f>
        <v>50</v>
      </c>
      <c r="R217" s="54" t="n">
        <v>9.53620684430376</v>
      </c>
      <c r="S217" s="55" t="n">
        <f aca="false">U217*V217*$F$5</f>
        <v>520.227272727273</v>
      </c>
      <c r="T217" s="56" t="n">
        <f aca="false">MAX(0,MIN(1,R217/100+$D$5))</f>
        <v>0.603417117410342</v>
      </c>
      <c r="U217" s="56" t="n">
        <v>0.367132867132867</v>
      </c>
      <c r="V217" s="55" t="n">
        <v>1417</v>
      </c>
      <c r="W217" s="56" t="n">
        <v>0.148097331980838</v>
      </c>
      <c r="X217" s="57" t="s">
        <v>129</v>
      </c>
      <c r="Y217" s="57" t="s">
        <v>130</v>
      </c>
    </row>
    <row r="218" customFormat="false" ht="15" hidden="false" customHeight="false" outlineLevel="0" collapsed="false">
      <c r="A218" s="25" t="s">
        <v>197</v>
      </c>
      <c r="B218" s="25" t="s">
        <v>365</v>
      </c>
      <c r="C218" s="25" t="s">
        <v>372</v>
      </c>
      <c r="D218" s="52" t="n">
        <f aca="false">ROUND(S218*T218,0)</f>
        <v>381</v>
      </c>
      <c r="E218" s="52" t="n">
        <f aca="false">ROUND(S218,0)-D218</f>
        <v>306</v>
      </c>
      <c r="F218" s="52" t="n">
        <f aca="false">IF(COUNTA(D218:E218)=0,"",SUM(D218:E218))</f>
        <v>687</v>
      </c>
      <c r="G218" s="53" t="n">
        <f aca="false">IF(OR(F218="",F218=0),"",D218/F218)</f>
        <v>0.554585152838428</v>
      </c>
      <c r="H218" s="53" t="n">
        <f aca="false">IF(OR(F218="",F218=0),"",E218/F218)</f>
        <v>0.445414847161572</v>
      </c>
      <c r="I218" s="25" t="s">
        <v>128</v>
      </c>
      <c r="J218" s="28" t="n">
        <v>2.11716121919269</v>
      </c>
      <c r="K218" s="28" t="n">
        <f aca="false">$K$8</f>
        <v>0.297030231526703</v>
      </c>
      <c r="L218" s="28" t="n">
        <f aca="false">SQRT(J218^2+K218^2)</f>
        <v>2.13789583153489</v>
      </c>
      <c r="M218" s="53" t="n">
        <f aca="false">IF(G218="","",MAX(0,G218-1.96*L218/100))</f>
        <v>0.512682394540344</v>
      </c>
      <c r="N218" s="53" t="n">
        <f aca="false">IF(G218="","",MIN(1,G218+1.96*L218/100))</f>
        <v>0.596487911136512</v>
      </c>
      <c r="O218" s="52" t="n">
        <f aca="false">ROUND(S218*W218,0)</f>
        <v>61</v>
      </c>
      <c r="P218" s="52" t="n">
        <f aca="false">IF(F218="","",ROUND(SQRT((F218*L218/100)^2+(G218*O218)^2),0))</f>
        <v>37</v>
      </c>
      <c r="R218" s="54" t="n">
        <v>4.58082973342967</v>
      </c>
      <c r="S218" s="55" t="n">
        <f aca="false">U218*V218*$F$5</f>
        <v>687.489614243323</v>
      </c>
      <c r="T218" s="56" t="n">
        <f aca="false">MAX(0,MIN(1,R218/100+$D$5))</f>
        <v>0.553863346301602</v>
      </c>
      <c r="U218" s="56" t="n">
        <v>0.510385756676558</v>
      </c>
      <c r="V218" s="55" t="n">
        <v>1347</v>
      </c>
      <c r="W218" s="56" t="n">
        <v>0.0887445098984521</v>
      </c>
      <c r="X218" s="57" t="s">
        <v>135</v>
      </c>
      <c r="Y218" s="57" t="s">
        <v>130</v>
      </c>
    </row>
    <row r="219" customFormat="false" ht="15" hidden="false" customHeight="false" outlineLevel="0" collapsed="false">
      <c r="A219" s="25" t="s">
        <v>197</v>
      </c>
      <c r="B219" s="25" t="s">
        <v>365</v>
      </c>
      <c r="C219" s="25" t="s">
        <v>373</v>
      </c>
      <c r="D219" s="52" t="n">
        <f aca="false">ROUND(S219*T219,0)</f>
        <v>217</v>
      </c>
      <c r="E219" s="52" t="n">
        <f aca="false">ROUND(S219,0)-D219</f>
        <v>233</v>
      </c>
      <c r="F219" s="52" t="n">
        <f aca="false">IF(COUNTA(D219:E219)=0,"",SUM(D219:E219))</f>
        <v>450</v>
      </c>
      <c r="G219" s="53" t="n">
        <f aca="false">IF(OR(F219="",F219=0),"",D219/F219)</f>
        <v>0.482222222222222</v>
      </c>
      <c r="H219" s="53" t="n">
        <f aca="false">IF(OR(F219="",F219=0),"",E219/F219)</f>
        <v>0.517777777777778</v>
      </c>
      <c r="I219" s="25" t="s">
        <v>128</v>
      </c>
      <c r="J219" s="28" t="n">
        <v>3.42046080519466</v>
      </c>
      <c r="K219" s="28" t="n">
        <f aca="false">$K$8</f>
        <v>0.297030231526703</v>
      </c>
      <c r="L219" s="28" t="n">
        <f aca="false">SQRT(J219^2+K219^2)</f>
        <v>3.43333352273176</v>
      </c>
      <c r="M219" s="53" t="n">
        <f aca="false">IF(G219="","",MAX(0,G219-1.96*L219/100))</f>
        <v>0.41492888517668</v>
      </c>
      <c r="N219" s="53" t="n">
        <f aca="false">IF(G219="","",MIN(1,G219+1.96*L219/100))</f>
        <v>0.549515559267765</v>
      </c>
      <c r="O219" s="52" t="n">
        <f aca="false">ROUND(S219*W219,0)</f>
        <v>67</v>
      </c>
      <c r="P219" s="52" t="n">
        <f aca="false">IF(F219="","",ROUND(SQRT((F219*L219/100)^2+(G219*O219)^2),0))</f>
        <v>36</v>
      </c>
      <c r="R219" s="54" t="n">
        <v>-2.62112911607527</v>
      </c>
      <c r="S219" s="55" t="n">
        <f aca="false">U219*V219*$F$5</f>
        <v>449.830708661417</v>
      </c>
      <c r="T219" s="56" t="n">
        <f aca="false">MAX(0,MIN(1,R219/100+$D$5))</f>
        <v>0.481843757806552</v>
      </c>
      <c r="U219" s="56" t="n">
        <v>0.562992125984252</v>
      </c>
      <c r="V219" s="55" t="n">
        <v>799</v>
      </c>
      <c r="W219" s="56" t="n">
        <v>0.148097331980838</v>
      </c>
      <c r="X219" s="57" t="s">
        <v>129</v>
      </c>
      <c r="Y219" s="57" t="s">
        <v>130</v>
      </c>
    </row>
    <row r="220" customFormat="false" ht="15" hidden="false" customHeight="false" outlineLevel="0" collapsed="false">
      <c r="A220" s="25" t="s">
        <v>197</v>
      </c>
      <c r="B220" s="25" t="s">
        <v>365</v>
      </c>
      <c r="C220" s="25" t="s">
        <v>374</v>
      </c>
      <c r="D220" s="52" t="n">
        <f aca="false">ROUND(S220*T220,0)</f>
        <v>416</v>
      </c>
      <c r="E220" s="52" t="n">
        <f aca="false">ROUND(S220,0)-D220</f>
        <v>367</v>
      </c>
      <c r="F220" s="52" t="n">
        <f aca="false">IF(COUNTA(D220:E220)=0,"",SUM(D220:E220))</f>
        <v>783</v>
      </c>
      <c r="G220" s="53" t="n">
        <f aca="false">IF(OR(F220="",F220=0),"",D220/F220)</f>
        <v>0.531289910600255</v>
      </c>
      <c r="H220" s="53" t="n">
        <f aca="false">IF(OR(F220="",F220=0),"",E220/F220)</f>
        <v>0.468710089399745</v>
      </c>
      <c r="I220" s="25" t="s">
        <v>128</v>
      </c>
      <c r="J220" s="28" t="n">
        <v>2.11716121919269</v>
      </c>
      <c r="K220" s="28" t="n">
        <f aca="false">$K$8</f>
        <v>0.297030231526703</v>
      </c>
      <c r="L220" s="28" t="n">
        <f aca="false">SQRT(J220^2+K220^2)</f>
        <v>2.13789583153489</v>
      </c>
      <c r="M220" s="53" t="n">
        <f aca="false">IF(G220="","",MAX(0,G220-1.96*L220/100))</f>
        <v>0.489387152302172</v>
      </c>
      <c r="N220" s="53" t="n">
        <f aca="false">IF(G220="","",MIN(1,G220+1.96*L220/100))</f>
        <v>0.573192668898339</v>
      </c>
      <c r="O220" s="52" t="n">
        <f aca="false">ROUND(S220*W220,0)</f>
        <v>69</v>
      </c>
      <c r="P220" s="52" t="n">
        <f aca="false">IF(F220="","",ROUND(SQRT((F220*L220/100)^2+(G220*O220)^2),0))</f>
        <v>40</v>
      </c>
      <c r="R220" s="54" t="n">
        <v>2.35796653694722</v>
      </c>
      <c r="S220" s="55" t="n">
        <f aca="false">U220*V220*$F$5</f>
        <v>782.513274336283</v>
      </c>
      <c r="T220" s="56" t="n">
        <f aca="false">MAX(0,MIN(1,R220/100+$D$5))</f>
        <v>0.531634714336777</v>
      </c>
      <c r="U220" s="56" t="n">
        <v>0.495575221238938</v>
      </c>
      <c r="V220" s="55" t="n">
        <v>1579</v>
      </c>
      <c r="W220" s="56" t="n">
        <v>0.0887445098984521</v>
      </c>
      <c r="X220" s="57" t="s">
        <v>135</v>
      </c>
      <c r="Y220" s="57" t="s">
        <v>130</v>
      </c>
    </row>
    <row r="221" customFormat="false" ht="15" hidden="false" customHeight="false" outlineLevel="0" collapsed="false">
      <c r="A221" s="25" t="s">
        <v>197</v>
      </c>
      <c r="B221" s="25" t="s">
        <v>365</v>
      </c>
      <c r="C221" s="25" t="s">
        <v>375</v>
      </c>
      <c r="D221" s="52" t="n">
        <f aca="false">ROUND(S221*T221,0)</f>
        <v>665</v>
      </c>
      <c r="E221" s="52" t="n">
        <f aca="false">ROUND(S221,0)-D221</f>
        <v>730</v>
      </c>
      <c r="F221" s="52" t="n">
        <f aca="false">IF(COUNTA(D221:E221)=0,"",SUM(D221:E221))</f>
        <v>1395</v>
      </c>
      <c r="G221" s="53" t="n">
        <f aca="false">IF(OR(F221="",F221=0),"",D221/F221)</f>
        <v>0.476702508960574</v>
      </c>
      <c r="H221" s="53" t="n">
        <f aca="false">IF(OR(F221="",F221=0),"",E221/F221)</f>
        <v>0.523297491039427</v>
      </c>
      <c r="I221" s="25" t="s">
        <v>128</v>
      </c>
      <c r="J221" s="28" t="n">
        <v>1.72835549007323</v>
      </c>
      <c r="K221" s="28" t="n">
        <f aca="false">$K$8</f>
        <v>0.297030231526703</v>
      </c>
      <c r="L221" s="28" t="n">
        <f aca="false">SQRT(J221^2+K221^2)</f>
        <v>1.75369314833214</v>
      </c>
      <c r="M221" s="53" t="n">
        <f aca="false">IF(G221="","",MAX(0,G221-1.96*L221/100))</f>
        <v>0.442330123253264</v>
      </c>
      <c r="N221" s="53" t="n">
        <f aca="false">IF(G221="","",MIN(1,G221+1.96*L221/100))</f>
        <v>0.511074894667883</v>
      </c>
      <c r="O221" s="52" t="n">
        <f aca="false">ROUND(S221*W221,0)</f>
        <v>96</v>
      </c>
      <c r="P221" s="52" t="n">
        <f aca="false">IF(F221="","",ROUND(SQRT((F221*L221/100)^2+(G221*O221)^2),0))</f>
        <v>52</v>
      </c>
      <c r="R221" s="54" t="n">
        <v>-3.14344542651138</v>
      </c>
      <c r="S221" s="55" t="n">
        <f aca="false">U221*V221*$F$5</f>
        <v>1394.83442469598</v>
      </c>
      <c r="T221" s="56" t="n">
        <f aca="false">MAX(0,MIN(1,R221/100+$D$5))</f>
        <v>0.476620594702191</v>
      </c>
      <c r="U221" s="56" t="n">
        <v>0.642188961646399</v>
      </c>
      <c r="V221" s="55" t="n">
        <v>2172</v>
      </c>
      <c r="W221" s="56" t="n">
        <v>0.0684752145190268</v>
      </c>
      <c r="X221" s="57" t="s">
        <v>168</v>
      </c>
      <c r="Y221" s="57" t="s">
        <v>130</v>
      </c>
    </row>
    <row r="222" customFormat="false" ht="15" hidden="false" customHeight="false" outlineLevel="0" collapsed="false">
      <c r="A222" s="25" t="s">
        <v>197</v>
      </c>
      <c r="B222" s="25" t="s">
        <v>365</v>
      </c>
      <c r="C222" s="25" t="s">
        <v>376</v>
      </c>
      <c r="D222" s="52" t="n">
        <f aca="false">ROUND(S222*T222,0)</f>
        <v>564</v>
      </c>
      <c r="E222" s="52" t="n">
        <f aca="false">ROUND(S222,0)-D222</f>
        <v>568</v>
      </c>
      <c r="F222" s="52" t="n">
        <f aca="false">IF(COUNTA(D222:E222)=0,"",SUM(D222:E222))</f>
        <v>1132</v>
      </c>
      <c r="G222" s="53" t="n">
        <f aca="false">IF(OR(F222="",F222=0),"",D222/F222)</f>
        <v>0.498233215547703</v>
      </c>
      <c r="H222" s="53" t="n">
        <f aca="false">IF(OR(F222="",F222=0),"",E222/F222)</f>
        <v>0.501766784452297</v>
      </c>
      <c r="I222" s="25" t="s">
        <v>128</v>
      </c>
      <c r="J222" s="28" t="n">
        <v>1.72835549007323</v>
      </c>
      <c r="K222" s="28" t="n">
        <f aca="false">$K$8</f>
        <v>0.297030231526703</v>
      </c>
      <c r="L222" s="28" t="n">
        <f aca="false">SQRT(J222^2+K222^2)</f>
        <v>1.75369314833214</v>
      </c>
      <c r="M222" s="53" t="n">
        <f aca="false">IF(G222="","",MAX(0,G222-1.96*L222/100))</f>
        <v>0.463860829840393</v>
      </c>
      <c r="N222" s="53" t="n">
        <f aca="false">IF(G222="","",MIN(1,G222+1.96*L222/100))</f>
        <v>0.532605601255013</v>
      </c>
      <c r="O222" s="52" t="n">
        <f aca="false">ROUND(S222*W222,0)</f>
        <v>78</v>
      </c>
      <c r="P222" s="52" t="n">
        <f aca="false">IF(F222="","",ROUND(SQRT((F222*L222/100)^2+(G222*O222)^2),0))</f>
        <v>44</v>
      </c>
      <c r="R222" s="54" t="n">
        <v>-0.993332057743157</v>
      </c>
      <c r="S222" s="55" t="n">
        <f aca="false">U222*V222*$F$5</f>
        <v>1132.25997719498</v>
      </c>
      <c r="T222" s="56" t="n">
        <f aca="false">MAX(0,MIN(1,R222/100+$D$5))</f>
        <v>0.498121728389873</v>
      </c>
      <c r="U222" s="56" t="n">
        <v>0.652223489167617</v>
      </c>
      <c r="V222" s="55" t="n">
        <v>1736</v>
      </c>
      <c r="W222" s="56" t="n">
        <v>0.0684752145190268</v>
      </c>
      <c r="X222" s="57" t="s">
        <v>168</v>
      </c>
      <c r="Y222" s="57" t="s">
        <v>130</v>
      </c>
    </row>
    <row r="223" customFormat="false" ht="15" hidden="false" customHeight="false" outlineLevel="0" collapsed="false">
      <c r="A223" s="25" t="s">
        <v>197</v>
      </c>
      <c r="B223" s="25" t="s">
        <v>365</v>
      </c>
      <c r="C223" s="25" t="s">
        <v>377</v>
      </c>
      <c r="D223" s="52" t="n">
        <f aca="false">ROUND(S223*T223,0)</f>
        <v>444</v>
      </c>
      <c r="E223" s="52" t="n">
        <f aca="false">ROUND(S223,0)-D223</f>
        <v>411</v>
      </c>
      <c r="F223" s="52" t="n">
        <f aca="false">IF(COUNTA(D223:E223)=0,"",SUM(D223:E223))</f>
        <v>855</v>
      </c>
      <c r="G223" s="53" t="n">
        <f aca="false">IF(OR(F223="",F223=0),"",D223/F223)</f>
        <v>0.519298245614035</v>
      </c>
      <c r="H223" s="53" t="n">
        <f aca="false">IF(OR(F223="",F223=0),"",E223/F223)</f>
        <v>0.480701754385965</v>
      </c>
      <c r="I223" s="25" t="s">
        <v>128</v>
      </c>
      <c r="J223" s="28" t="n">
        <v>2.11716121919269</v>
      </c>
      <c r="K223" s="28" t="n">
        <f aca="false">$K$8</f>
        <v>0.297030231526703</v>
      </c>
      <c r="L223" s="28" t="n">
        <f aca="false">SQRT(J223^2+K223^2)</f>
        <v>2.13789583153489</v>
      </c>
      <c r="M223" s="53" t="n">
        <f aca="false">IF(G223="","",MAX(0,G223-1.96*L223/100))</f>
        <v>0.477395487315951</v>
      </c>
      <c r="N223" s="53" t="n">
        <f aca="false">IF(G223="","",MIN(1,G223+1.96*L223/100))</f>
        <v>0.561201003912119</v>
      </c>
      <c r="O223" s="52" t="n">
        <f aca="false">ROUND(S223*W223,0)</f>
        <v>76</v>
      </c>
      <c r="P223" s="52" t="n">
        <f aca="false">IF(F223="","",ROUND(SQRT((F223*L223/100)^2+(G223*O223)^2),0))</f>
        <v>43</v>
      </c>
      <c r="R223" s="54" t="n">
        <v>1.11313752219682</v>
      </c>
      <c r="S223" s="55" t="n">
        <f aca="false">U223*V223*$F$5</f>
        <v>855.159618008186</v>
      </c>
      <c r="T223" s="56" t="n">
        <f aca="false">MAX(0,MIN(1,R223/100+$D$5))</f>
        <v>0.519186424189273</v>
      </c>
      <c r="U223" s="56" t="n">
        <v>0.589358799454298</v>
      </c>
      <c r="V223" s="55" t="n">
        <v>1451</v>
      </c>
      <c r="W223" s="56" t="n">
        <v>0.0887445098984521</v>
      </c>
      <c r="X223" s="57" t="s">
        <v>135</v>
      </c>
      <c r="Y223" s="57" t="s">
        <v>130</v>
      </c>
    </row>
    <row r="224" customFormat="false" ht="15" hidden="false" customHeight="false" outlineLevel="0" collapsed="false">
      <c r="A224" s="25" t="s">
        <v>378</v>
      </c>
      <c r="B224" s="25" t="s">
        <v>379</v>
      </c>
      <c r="C224" s="25" t="s">
        <v>380</v>
      </c>
      <c r="D224" s="52" t="n">
        <f aca="false">ROUND(S224*T224,0)</f>
        <v>382</v>
      </c>
      <c r="E224" s="52" t="n">
        <f aca="false">ROUND(S224,0)-D224</f>
        <v>852</v>
      </c>
      <c r="F224" s="52" t="n">
        <f aca="false">IF(COUNTA(D224:E224)=0,"",SUM(D224:E224))</f>
        <v>1234</v>
      </c>
      <c r="G224" s="53" t="n">
        <f aca="false">IF(OR(F224="",F224=0),"",D224/F224)</f>
        <v>0.309562398703404</v>
      </c>
      <c r="H224" s="53" t="n">
        <f aca="false">IF(OR(F224="",F224=0),"",E224/F224)</f>
        <v>0.690437601296597</v>
      </c>
      <c r="I224" s="25" t="s">
        <v>128</v>
      </c>
      <c r="J224" s="28" t="n">
        <v>1.72835549007323</v>
      </c>
      <c r="K224" s="28" t="n">
        <f aca="false">$K$8</f>
        <v>0.297030231526703</v>
      </c>
      <c r="L224" s="28" t="n">
        <f aca="false">SQRT(J224^2+K224^2)</f>
        <v>1.75369314833214</v>
      </c>
      <c r="M224" s="53" t="n">
        <f aca="false">IF(G224="","",MAX(0,G224-1.96*L224/100))</f>
        <v>0.275190012996094</v>
      </c>
      <c r="N224" s="53" t="n">
        <f aca="false">IF(G224="","",MIN(1,G224+1.96*L224/100))</f>
        <v>0.343934784410713</v>
      </c>
      <c r="O224" s="52" t="n">
        <f aca="false">ROUND(S224*W224,0)</f>
        <v>85</v>
      </c>
      <c r="P224" s="52" t="n">
        <f aca="false">IF(F224="","",ROUND(SQRT((F224*L224/100)^2+(G224*O224)^2),0))</f>
        <v>34</v>
      </c>
      <c r="R224" s="54" t="n">
        <v>-19.8351737759108</v>
      </c>
      <c r="S224" s="55" t="n">
        <f aca="false">U224*V224*$F$5</f>
        <v>1234.45226917058</v>
      </c>
      <c r="T224" s="56" t="n">
        <f aca="false">MAX(0,MIN(1,R224/100+$D$5))</f>
        <v>0.309703311208196</v>
      </c>
      <c r="U224" s="56" t="n">
        <v>0.618153364632238</v>
      </c>
      <c r="V224" s="55" t="n">
        <v>1997</v>
      </c>
      <c r="W224" s="56" t="n">
        <v>0.0684752145190268</v>
      </c>
      <c r="X224" s="57" t="s">
        <v>168</v>
      </c>
      <c r="Y224" s="57" t="s">
        <v>130</v>
      </c>
    </row>
    <row r="225" customFormat="false" ht="15" hidden="false" customHeight="false" outlineLevel="0" collapsed="false">
      <c r="A225" s="25" t="s">
        <v>378</v>
      </c>
      <c r="B225" s="25" t="s">
        <v>381</v>
      </c>
      <c r="C225" s="25" t="s">
        <v>382</v>
      </c>
      <c r="D225" s="52" t="n">
        <f aca="false">ROUND(S225*T225,0)</f>
        <v>1068</v>
      </c>
      <c r="E225" s="52" t="n">
        <f aca="false">ROUND(S225,0)-D225</f>
        <v>2082</v>
      </c>
      <c r="F225" s="52" t="n">
        <f aca="false">IF(COUNTA(D225:E225)=0,"",SUM(D225:E225))</f>
        <v>3150</v>
      </c>
      <c r="G225" s="53" t="n">
        <f aca="false">IF(OR(F225="",F225=0),"",D225/F225)</f>
        <v>0.339047619047619</v>
      </c>
      <c r="H225" s="53" t="n">
        <f aca="false">IF(OR(F225="",F225=0),"",E225/F225)</f>
        <v>0.660952380952381</v>
      </c>
      <c r="I225" s="25" t="s">
        <v>128</v>
      </c>
      <c r="J225" s="28" t="n">
        <v>1.72835549007323</v>
      </c>
      <c r="K225" s="28" t="n">
        <f aca="false">$K$8</f>
        <v>0.297030231526703</v>
      </c>
      <c r="L225" s="28" t="n">
        <f aca="false">SQRT(J225^2+K225^2)</f>
        <v>1.75369314833214</v>
      </c>
      <c r="M225" s="53" t="n">
        <f aca="false">IF(G225="","",MAX(0,G225-1.96*L225/100))</f>
        <v>0.304675233340309</v>
      </c>
      <c r="N225" s="53" t="n">
        <f aca="false">IF(G225="","",MIN(1,G225+1.96*L225/100))</f>
        <v>0.373420004754929</v>
      </c>
      <c r="O225" s="52" t="n">
        <f aca="false">ROUND(S225*W225,0)</f>
        <v>216</v>
      </c>
      <c r="P225" s="52" t="n">
        <f aca="false">IF(F225="","",ROUND(SQRT((F225*L225/100)^2+(G225*O225)^2),0))</f>
        <v>92</v>
      </c>
      <c r="R225" s="54" t="n">
        <v>-16.8978800130188</v>
      </c>
      <c r="S225" s="55" t="n">
        <f aca="false">U225*V225*$F$5</f>
        <v>3150.44851429639</v>
      </c>
      <c r="T225" s="56" t="n">
        <f aca="false">MAX(0,MIN(1,R225/100+$D$5))</f>
        <v>0.339076248837117</v>
      </c>
      <c r="U225" s="56" t="n">
        <v>0.56157727527565</v>
      </c>
      <c r="V225" s="55" t="n">
        <v>5610</v>
      </c>
      <c r="W225" s="56" t="n">
        <v>0.0684752145190268</v>
      </c>
      <c r="X225" s="57" t="s">
        <v>168</v>
      </c>
      <c r="Y225" s="57" t="s">
        <v>130</v>
      </c>
    </row>
    <row r="226" customFormat="false" ht="15" hidden="false" customHeight="false" outlineLevel="0" collapsed="false">
      <c r="A226" s="25" t="s">
        <v>378</v>
      </c>
      <c r="B226" s="25" t="s">
        <v>383</v>
      </c>
      <c r="C226" s="25" t="s">
        <v>384</v>
      </c>
      <c r="D226" s="52" t="n">
        <f aca="false">ROUND(S226*T226,0)</f>
        <v>402</v>
      </c>
      <c r="E226" s="52" t="n">
        <f aca="false">ROUND(S226,0)-D226</f>
        <v>769</v>
      </c>
      <c r="F226" s="52" t="n">
        <f aca="false">IF(COUNTA(D226:E226)=0,"",SUM(D226:E226))</f>
        <v>1171</v>
      </c>
      <c r="G226" s="53" t="n">
        <f aca="false">IF(OR(F226="",F226=0),"",D226/F226)</f>
        <v>0.343296327924851</v>
      </c>
      <c r="H226" s="53" t="n">
        <f aca="false">IF(OR(F226="",F226=0),"",E226/F226)</f>
        <v>0.65670367207515</v>
      </c>
      <c r="I226" s="25" t="s">
        <v>128</v>
      </c>
      <c r="J226" s="28" t="n">
        <v>1.72835549007323</v>
      </c>
      <c r="K226" s="28" t="n">
        <f aca="false">$K$8</f>
        <v>0.297030231526703</v>
      </c>
      <c r="L226" s="28" t="n">
        <f aca="false">SQRT(J226^2+K226^2)</f>
        <v>1.75369314833214</v>
      </c>
      <c r="M226" s="53" t="n">
        <f aca="false">IF(G226="","",MAX(0,G226-1.96*L226/100))</f>
        <v>0.308923942217541</v>
      </c>
      <c r="N226" s="53" t="n">
        <f aca="false">IF(G226="","",MIN(1,G226+1.96*L226/100))</f>
        <v>0.37766871363216</v>
      </c>
      <c r="O226" s="52" t="n">
        <f aca="false">ROUND(S226*W226,0)</f>
        <v>80</v>
      </c>
      <c r="P226" s="52" t="n">
        <f aca="false">IF(F226="","",ROUND(SQRT((F226*L226/100)^2+(G226*O226)^2),0))</f>
        <v>34</v>
      </c>
      <c r="R226" s="54" t="n">
        <v>-16.5126231095352</v>
      </c>
      <c r="S226" s="55" t="n">
        <f aca="false">U226*V226*$F$5</f>
        <v>1170.82273494654</v>
      </c>
      <c r="T226" s="56" t="n">
        <f aca="false">MAX(0,MIN(1,R226/100+$D$5))</f>
        <v>0.342928817871953</v>
      </c>
      <c r="U226" s="56" t="n">
        <v>0.625773776027012</v>
      </c>
      <c r="V226" s="55" t="n">
        <v>1871</v>
      </c>
      <c r="W226" s="56" t="n">
        <v>0.0684752145190268</v>
      </c>
      <c r="X226" s="57" t="s">
        <v>168</v>
      </c>
      <c r="Y226" s="57" t="s">
        <v>130</v>
      </c>
    </row>
    <row r="227" customFormat="false" ht="15" hidden="false" customHeight="false" outlineLevel="0" collapsed="false">
      <c r="A227" s="25" t="s">
        <v>385</v>
      </c>
      <c r="B227" s="25" t="s">
        <v>386</v>
      </c>
      <c r="C227" s="25" t="s">
        <v>387</v>
      </c>
      <c r="D227" s="52" t="n">
        <f aca="false">ROUND(S227*T227,0)</f>
        <v>586</v>
      </c>
      <c r="E227" s="52" t="n">
        <f aca="false">ROUND(S227,0)-D227</f>
        <v>818</v>
      </c>
      <c r="F227" s="52" t="n">
        <f aca="false">IF(COUNTA(D227:E227)=0,"",SUM(D227:E227))</f>
        <v>1404</v>
      </c>
      <c r="G227" s="53" t="n">
        <f aca="false">IF(OR(F227="",F227=0),"",D227/F227)</f>
        <v>0.417378917378917</v>
      </c>
      <c r="H227" s="53" t="n">
        <f aca="false">IF(OR(F227="",F227=0),"",E227/F227)</f>
        <v>0.582621082621083</v>
      </c>
      <c r="I227" s="25" t="s">
        <v>128</v>
      </c>
      <c r="J227" s="28" t="n">
        <v>1.72835549007323</v>
      </c>
      <c r="K227" s="28" t="n">
        <f aca="false">$K$8</f>
        <v>0.297030231526703</v>
      </c>
      <c r="L227" s="28" t="n">
        <f aca="false">SQRT(J227^2+K227^2)</f>
        <v>1.75369314833214</v>
      </c>
      <c r="M227" s="53" t="n">
        <f aca="false">IF(G227="","",MAX(0,G227-1.96*L227/100))</f>
        <v>0.383006531671608</v>
      </c>
      <c r="N227" s="53" t="n">
        <f aca="false">IF(G227="","",MIN(1,G227+1.96*L227/100))</f>
        <v>0.451751303086227</v>
      </c>
      <c r="O227" s="52" t="n">
        <f aca="false">ROUND(S227*W227,0)</f>
        <v>96</v>
      </c>
      <c r="P227" s="52" t="n">
        <f aca="false">IF(F227="","",ROUND(SQRT((F227*L227/100)^2+(G227*O227)^2),0))</f>
        <v>47</v>
      </c>
      <c r="R227" s="54" t="n">
        <v>-9.06871392992943</v>
      </c>
      <c r="S227" s="55" t="n">
        <f aca="false">U227*V227*$F$5</f>
        <v>1403.51261829653</v>
      </c>
      <c r="T227" s="56" t="n">
        <f aca="false">MAX(0,MIN(1,R227/100+$D$5))</f>
        <v>0.41736790966801</v>
      </c>
      <c r="U227" s="56" t="n">
        <v>0.669295478443743</v>
      </c>
      <c r="V227" s="55" t="n">
        <v>2097</v>
      </c>
      <c r="W227" s="56" t="n">
        <v>0.0684752145190268</v>
      </c>
      <c r="X227" s="57" t="s">
        <v>168</v>
      </c>
      <c r="Y227" s="57" t="s">
        <v>130</v>
      </c>
    </row>
    <row r="228" customFormat="false" ht="15" hidden="false" customHeight="false" outlineLevel="0" collapsed="false">
      <c r="A228" s="25" t="s">
        <v>385</v>
      </c>
      <c r="B228" s="25" t="s">
        <v>386</v>
      </c>
      <c r="C228" s="25" t="s">
        <v>388</v>
      </c>
      <c r="D228" s="52" t="n">
        <f aca="false">ROUND(S228*T228,0)</f>
        <v>611</v>
      </c>
      <c r="E228" s="52" t="n">
        <f aca="false">ROUND(S228,0)-D228</f>
        <v>702</v>
      </c>
      <c r="F228" s="52" t="n">
        <f aca="false">IF(COUNTA(D228:E228)=0,"",SUM(D228:E228))</f>
        <v>1313</v>
      </c>
      <c r="G228" s="53" t="n">
        <f aca="false">IF(OR(F228="",F228=0),"",D228/F228)</f>
        <v>0.465346534653465</v>
      </c>
      <c r="H228" s="53" t="n">
        <f aca="false">IF(OR(F228="",F228=0),"",E228/F228)</f>
        <v>0.534653465346535</v>
      </c>
      <c r="I228" s="25" t="s">
        <v>128</v>
      </c>
      <c r="J228" s="28" t="n">
        <v>1.72835549007323</v>
      </c>
      <c r="K228" s="28" t="n">
        <f aca="false">$K$8</f>
        <v>0.297030231526703</v>
      </c>
      <c r="L228" s="28" t="n">
        <f aca="false">SQRT(J228^2+K228^2)</f>
        <v>1.75369314833214</v>
      </c>
      <c r="M228" s="53" t="n">
        <f aca="false">IF(G228="","",MAX(0,G228-1.96*L228/100))</f>
        <v>0.430974148946156</v>
      </c>
      <c r="N228" s="53" t="n">
        <f aca="false">IF(G228="","",MIN(1,G228+1.96*L228/100))</f>
        <v>0.499718920360775</v>
      </c>
      <c r="O228" s="52" t="n">
        <f aca="false">ROUND(S228*W228,0)</f>
        <v>90</v>
      </c>
      <c r="P228" s="52" t="n">
        <f aca="false">IF(F228="","",ROUND(SQRT((F228*L228/100)^2+(G228*O228)^2),0))</f>
        <v>48</v>
      </c>
      <c r="R228" s="54" t="n">
        <v>-4.26846211078334</v>
      </c>
      <c r="S228" s="55" t="n">
        <f aca="false">U228*V228*$F$5</f>
        <v>1312.76307554761</v>
      </c>
      <c r="T228" s="56" t="n">
        <f aca="false">MAX(0,MIN(1,R228/100+$D$5))</f>
        <v>0.465370427859471</v>
      </c>
      <c r="U228" s="56" t="n">
        <v>0.593205185516316</v>
      </c>
      <c r="V228" s="55" t="n">
        <v>2213</v>
      </c>
      <c r="W228" s="56" t="n">
        <v>0.0684752145190268</v>
      </c>
      <c r="X228" s="57" t="s">
        <v>168</v>
      </c>
      <c r="Y228" s="57" t="s">
        <v>130</v>
      </c>
    </row>
    <row r="229" customFormat="false" ht="15" hidden="false" customHeight="false" outlineLevel="0" collapsed="false">
      <c r="A229" s="25" t="s">
        <v>385</v>
      </c>
      <c r="B229" s="25" t="s">
        <v>389</v>
      </c>
      <c r="C229" s="25" t="s">
        <v>390</v>
      </c>
      <c r="D229" s="52" t="n">
        <f aca="false">ROUND(S229*T229,0)</f>
        <v>638</v>
      </c>
      <c r="E229" s="52" t="n">
        <f aca="false">ROUND(S229,0)-D229</f>
        <v>896</v>
      </c>
      <c r="F229" s="52" t="n">
        <f aca="false">IF(COUNTA(D229:E229)=0,"",SUM(D229:E229))</f>
        <v>1534</v>
      </c>
      <c r="G229" s="53" t="n">
        <f aca="false">IF(OR(F229="",F229=0),"",D229/F229)</f>
        <v>0.415906127770535</v>
      </c>
      <c r="H229" s="53" t="n">
        <f aca="false">IF(OR(F229="",F229=0),"",E229/F229)</f>
        <v>0.584093872229465</v>
      </c>
      <c r="I229" s="25" t="s">
        <v>231</v>
      </c>
      <c r="J229" s="28" t="n">
        <v>1.72835549007323</v>
      </c>
      <c r="K229" s="28" t="n">
        <f aca="false">$K$8</f>
        <v>0.297030231526703</v>
      </c>
      <c r="L229" s="28" t="n">
        <f aca="false">SQRT(J229^2+K229^2)</f>
        <v>1.75369314833214</v>
      </c>
      <c r="M229" s="53" t="n">
        <f aca="false">IF(G229="","",MAX(0,G229-1.96*L229/100))</f>
        <v>0.381533742063225</v>
      </c>
      <c r="N229" s="53" t="n">
        <f aca="false">IF(G229="","",MIN(1,G229+1.96*L229/100))</f>
        <v>0.450278513477844</v>
      </c>
      <c r="O229" s="52" t="n">
        <f aca="false">ROUND(S229*W229,0)</f>
        <v>105</v>
      </c>
      <c r="P229" s="52" t="n">
        <f aca="false">IF(F229="","",ROUND(SQRT((F229*L229/100)^2+(G229*O229)^2),0))</f>
        <v>51</v>
      </c>
      <c r="R229" s="54" t="n">
        <v>-9.18849865826008</v>
      </c>
      <c r="S229" s="55" t="n">
        <f aca="false">U229*V229*$F$5</f>
        <v>1533.89973598051</v>
      </c>
      <c r="T229" s="56" t="n">
        <f aca="false">MAX(0,MIN(1,R229/100+$D$5))</f>
        <v>0.416170062384704</v>
      </c>
      <c r="U229" s="56" t="n">
        <v>0.872029412154921</v>
      </c>
      <c r="V229" s="55" t="n">
        <v>1759</v>
      </c>
      <c r="W229" s="56" t="n">
        <v>0.0684752145190268</v>
      </c>
      <c r="X229" s="57" t="s">
        <v>168</v>
      </c>
      <c r="Y229" s="57" t="s">
        <v>130</v>
      </c>
    </row>
    <row r="230" customFormat="false" ht="15" hidden="false" customHeight="false" outlineLevel="0" collapsed="false">
      <c r="A230" s="25" t="s">
        <v>385</v>
      </c>
      <c r="B230" s="25" t="s">
        <v>389</v>
      </c>
      <c r="C230" s="25" t="s">
        <v>391</v>
      </c>
      <c r="D230" s="52" t="n">
        <f aca="false">ROUND(S230*T230,0)</f>
        <v>665</v>
      </c>
      <c r="E230" s="52" t="n">
        <f aca="false">ROUND(S230,0)-D230</f>
        <v>907</v>
      </c>
      <c r="F230" s="52" t="n">
        <f aca="false">IF(COUNTA(D230:E230)=0,"",SUM(D230:E230))</f>
        <v>1572</v>
      </c>
      <c r="G230" s="53" t="n">
        <f aca="false">IF(OR(F230="",F230=0),"",D230/F230)</f>
        <v>0.423027989821883</v>
      </c>
      <c r="H230" s="53" t="n">
        <f aca="false">IF(OR(F230="",F230=0),"",E230/F230)</f>
        <v>0.576972010178117</v>
      </c>
      <c r="I230" s="25" t="s">
        <v>231</v>
      </c>
      <c r="J230" s="28" t="n">
        <v>1.72835549007323</v>
      </c>
      <c r="K230" s="28" t="n">
        <f aca="false">$K$8</f>
        <v>0.297030231526703</v>
      </c>
      <c r="L230" s="28" t="n">
        <f aca="false">SQRT(J230^2+K230^2)</f>
        <v>1.75369314833214</v>
      </c>
      <c r="M230" s="53" t="n">
        <f aca="false">IF(G230="","",MAX(0,G230-1.96*L230/100))</f>
        <v>0.388655604114573</v>
      </c>
      <c r="N230" s="53" t="n">
        <f aca="false">IF(G230="","",MIN(1,G230+1.96*L230/100))</f>
        <v>0.457400375529193</v>
      </c>
      <c r="O230" s="52" t="n">
        <f aca="false">ROUND(S230*W230,0)</f>
        <v>108</v>
      </c>
      <c r="P230" s="52" t="n">
        <f aca="false">IF(F230="","",ROUND(SQRT((F230*L230/100)^2+(G230*O230)^2),0))</f>
        <v>53</v>
      </c>
      <c r="R230" s="54" t="n">
        <v>-8.53635750149185</v>
      </c>
      <c r="S230" s="55" t="n">
        <f aca="false">U230*V230*$F$5</f>
        <v>1572.45918367347</v>
      </c>
      <c r="T230" s="56" t="n">
        <f aca="false">MAX(0,MIN(1,R230/100+$D$5))</f>
        <v>0.422691473952386</v>
      </c>
      <c r="U230" s="56" t="n">
        <v>0.939342403628118</v>
      </c>
      <c r="V230" s="55" t="n">
        <v>1674</v>
      </c>
      <c r="W230" s="56" t="n">
        <v>0.0684752145190268</v>
      </c>
      <c r="X230" s="57" t="s">
        <v>168</v>
      </c>
      <c r="Y230" s="57" t="s">
        <v>130</v>
      </c>
    </row>
    <row r="231" customFormat="false" ht="15" hidden="false" customHeight="false" outlineLevel="0" collapsed="false">
      <c r="A231" s="25" t="s">
        <v>385</v>
      </c>
      <c r="B231" s="25" t="s">
        <v>392</v>
      </c>
      <c r="C231" s="25" t="s">
        <v>393</v>
      </c>
      <c r="D231" s="52" t="n">
        <f aca="false">ROUND(S231*T231,0)</f>
        <v>475</v>
      </c>
      <c r="E231" s="52" t="n">
        <f aca="false">ROUND(S231,0)-D231</f>
        <v>541</v>
      </c>
      <c r="F231" s="52" t="n">
        <f aca="false">IF(COUNTA(D231:E231)=0,"",SUM(D231:E231))</f>
        <v>1016</v>
      </c>
      <c r="G231" s="53" t="n">
        <f aca="false">IF(OR(F231="",F231=0),"",D231/F231)</f>
        <v>0.46751968503937</v>
      </c>
      <c r="H231" s="53" t="n">
        <f aca="false">IF(OR(F231="",F231=0),"",E231/F231)</f>
        <v>0.53248031496063</v>
      </c>
      <c r="I231" s="25" t="s">
        <v>128</v>
      </c>
      <c r="J231" s="28" t="n">
        <v>1.72835549007323</v>
      </c>
      <c r="K231" s="28" t="n">
        <f aca="false">$K$8</f>
        <v>0.297030231526703</v>
      </c>
      <c r="L231" s="28" t="n">
        <f aca="false">SQRT(J231^2+K231^2)</f>
        <v>1.75369314833214</v>
      </c>
      <c r="M231" s="53" t="n">
        <f aca="false">IF(G231="","",MAX(0,G231-1.96*L231/100))</f>
        <v>0.43314729933206</v>
      </c>
      <c r="N231" s="53" t="n">
        <f aca="false">IF(G231="","",MIN(1,G231+1.96*L231/100))</f>
        <v>0.50189207074668</v>
      </c>
      <c r="O231" s="52" t="n">
        <f aca="false">ROUND(S231*W231,0)</f>
        <v>70</v>
      </c>
      <c r="P231" s="52" t="n">
        <f aca="false">IF(F231="","",ROUND(SQRT((F231*L231/100)^2+(G231*O231)^2),0))</f>
        <v>37</v>
      </c>
      <c r="R231" s="54" t="n">
        <v>-4.02770753558936</v>
      </c>
      <c r="S231" s="55" t="n">
        <f aca="false">U231*V231*$F$5</f>
        <v>1015.97556912826</v>
      </c>
      <c r="T231" s="56" t="n">
        <f aca="false">MAX(0,MIN(1,R231/100+$D$5))</f>
        <v>0.467777973611411</v>
      </c>
      <c r="U231" s="56" t="n">
        <v>0.529705719044975</v>
      </c>
      <c r="V231" s="55" t="n">
        <v>1918</v>
      </c>
      <c r="W231" s="56" t="n">
        <v>0.0684752145190268</v>
      </c>
      <c r="X231" s="57" t="s">
        <v>168</v>
      </c>
      <c r="Y231" s="57" t="s">
        <v>130</v>
      </c>
    </row>
    <row r="232" customFormat="false" ht="15" hidden="false" customHeight="false" outlineLevel="0" collapsed="false">
      <c r="A232" s="25" t="s">
        <v>385</v>
      </c>
      <c r="B232" s="25" t="s">
        <v>260</v>
      </c>
      <c r="C232" s="25" t="s">
        <v>394</v>
      </c>
      <c r="D232" s="52" t="n">
        <f aca="false">ROUND(S232*T232,0)</f>
        <v>622</v>
      </c>
      <c r="E232" s="52" t="n">
        <f aca="false">ROUND(S232,0)-D232</f>
        <v>365</v>
      </c>
      <c r="F232" s="52" t="n">
        <f aca="false">IF(COUNTA(D232:E232)=0,"",SUM(D232:E232))</f>
        <v>987</v>
      </c>
      <c r="G232" s="53" t="n">
        <f aca="false">IF(OR(F232="",F232=0),"",D232/F232)</f>
        <v>0.630192502532928</v>
      </c>
      <c r="H232" s="53" t="n">
        <f aca="false">IF(OR(F232="",F232=0),"",E232/F232)</f>
        <v>0.369807497467072</v>
      </c>
      <c r="I232" s="25" t="s">
        <v>128</v>
      </c>
      <c r="J232" s="28" t="n">
        <v>1.72835549007323</v>
      </c>
      <c r="K232" s="28" t="n">
        <f aca="false">$K$8</f>
        <v>0.297030231526703</v>
      </c>
      <c r="L232" s="28" t="n">
        <f aca="false">SQRT(J232^2+K232^2)</f>
        <v>1.75369314833214</v>
      </c>
      <c r="M232" s="53" t="n">
        <f aca="false">IF(G232="","",MAX(0,G232-1.96*L232/100))</f>
        <v>0.595820116825618</v>
      </c>
      <c r="N232" s="53" t="n">
        <f aca="false">IF(G232="","",MIN(1,G232+1.96*L232/100))</f>
        <v>0.664564888240238</v>
      </c>
      <c r="O232" s="52" t="n">
        <f aca="false">ROUND(S232*W232,0)</f>
        <v>68</v>
      </c>
      <c r="P232" s="52" t="n">
        <f aca="false">IF(F232="","",ROUND(SQRT((F232*L232/100)^2+(G232*O232)^2),0))</f>
        <v>46</v>
      </c>
      <c r="R232" s="54" t="n">
        <v>12.2718259484106</v>
      </c>
      <c r="S232" s="55" t="n">
        <f aca="false">U232*V232*$F$5</f>
        <v>986.587092297016</v>
      </c>
      <c r="T232" s="56" t="n">
        <f aca="false">MAX(0,MIN(1,R232/100+$D$5))</f>
        <v>0.630773308451411</v>
      </c>
      <c r="U232" s="56" t="n">
        <v>0.664816099930604</v>
      </c>
      <c r="V232" s="55" t="n">
        <v>1484</v>
      </c>
      <c r="W232" s="56" t="n">
        <v>0.0684752145190268</v>
      </c>
      <c r="X232" s="57" t="s">
        <v>168</v>
      </c>
      <c r="Y232" s="57" t="s">
        <v>130</v>
      </c>
    </row>
    <row r="233" customFormat="false" ht="15" hidden="false" customHeight="false" outlineLevel="0" collapsed="false">
      <c r="A233" s="25" t="s">
        <v>385</v>
      </c>
      <c r="B233" s="25" t="s">
        <v>260</v>
      </c>
      <c r="C233" s="25" t="s">
        <v>395</v>
      </c>
      <c r="D233" s="52" t="n">
        <f aca="false">ROUND(S233*T233,0)</f>
        <v>856</v>
      </c>
      <c r="E233" s="52" t="n">
        <f aca="false">ROUND(S233,0)-D233</f>
        <v>569</v>
      </c>
      <c r="F233" s="52" t="n">
        <f aca="false">IF(COUNTA(D233:E233)=0,"",SUM(D233:E233))</f>
        <v>1425</v>
      </c>
      <c r="G233" s="53" t="n">
        <f aca="false">IF(OR(F233="",F233=0),"",D233/F233)</f>
        <v>0.600701754385965</v>
      </c>
      <c r="H233" s="53" t="n">
        <f aca="false">IF(OR(F233="",F233=0),"",E233/F233)</f>
        <v>0.399298245614035</v>
      </c>
      <c r="I233" s="25" t="s">
        <v>128</v>
      </c>
      <c r="J233" s="28" t="n">
        <v>1.72835549007323</v>
      </c>
      <c r="K233" s="28" t="n">
        <f aca="false">$K$8</f>
        <v>0.297030231526703</v>
      </c>
      <c r="L233" s="28" t="n">
        <f aca="false">SQRT(J233^2+K233^2)</f>
        <v>1.75369314833214</v>
      </c>
      <c r="M233" s="53" t="n">
        <f aca="false">IF(G233="","",MAX(0,G233-1.96*L233/100))</f>
        <v>0.566329368678655</v>
      </c>
      <c r="N233" s="53" t="n">
        <f aca="false">IF(G233="","",MIN(1,G233+1.96*L233/100))</f>
        <v>0.635074140093275</v>
      </c>
      <c r="O233" s="52" t="n">
        <f aca="false">ROUND(S233*W233,0)</f>
        <v>98</v>
      </c>
      <c r="P233" s="52" t="n">
        <f aca="false">IF(F233="","",ROUND(SQRT((F233*L233/100)^2+(G233*O233)^2),0))</f>
        <v>64</v>
      </c>
      <c r="R233" s="54" t="n">
        <v>9.27641152951118</v>
      </c>
      <c r="S233" s="55" t="n">
        <f aca="false">U233*V233*$F$5</f>
        <v>1424.50747808149</v>
      </c>
      <c r="T233" s="56" t="n">
        <f aca="false">MAX(0,MIN(1,R233/100+$D$5))</f>
        <v>0.600819164262417</v>
      </c>
      <c r="U233" s="56" t="n">
        <v>0.715832903558535</v>
      </c>
      <c r="V233" s="55" t="n">
        <v>1990</v>
      </c>
      <c r="W233" s="56" t="n">
        <v>0.0684752145190268</v>
      </c>
      <c r="X233" s="57" t="s">
        <v>168</v>
      </c>
      <c r="Y233" s="57" t="s">
        <v>130</v>
      </c>
    </row>
    <row r="234" customFormat="false" ht="15" hidden="false" customHeight="false" outlineLevel="0" collapsed="false">
      <c r="A234" s="25" t="s">
        <v>385</v>
      </c>
      <c r="B234" s="25" t="s">
        <v>260</v>
      </c>
      <c r="C234" s="25" t="s">
        <v>396</v>
      </c>
      <c r="D234" s="52" t="n">
        <f aca="false">ROUND(S234*T234,0)</f>
        <v>619</v>
      </c>
      <c r="E234" s="52" t="n">
        <f aca="false">ROUND(S234,0)-D234</f>
        <v>339</v>
      </c>
      <c r="F234" s="52" t="n">
        <f aca="false">IF(COUNTA(D234:E234)=0,"",SUM(D234:E234))</f>
        <v>958</v>
      </c>
      <c r="G234" s="53" t="n">
        <f aca="false">IF(OR(F234="",F234=0),"",D234/F234)</f>
        <v>0.646137787056368</v>
      </c>
      <c r="H234" s="53" t="n">
        <f aca="false">IF(OR(F234="",F234=0),"",E234/F234)</f>
        <v>0.353862212943633</v>
      </c>
      <c r="I234" s="25" t="s">
        <v>128</v>
      </c>
      <c r="J234" s="28" t="n">
        <v>1.72835549007323</v>
      </c>
      <c r="K234" s="28" t="n">
        <f aca="false">$K$8</f>
        <v>0.297030231526703</v>
      </c>
      <c r="L234" s="28" t="n">
        <f aca="false">SQRT(J234^2+K234^2)</f>
        <v>1.75369314833214</v>
      </c>
      <c r="M234" s="53" t="n">
        <f aca="false">IF(G234="","",MAX(0,G234-1.96*L234/100))</f>
        <v>0.611765401349058</v>
      </c>
      <c r="N234" s="53" t="n">
        <f aca="false">IF(G234="","",MIN(1,G234+1.96*L234/100))</f>
        <v>0.680510172763677</v>
      </c>
      <c r="O234" s="52" t="n">
        <f aca="false">ROUND(S234*W234,0)</f>
        <v>66</v>
      </c>
      <c r="P234" s="52" t="n">
        <f aca="false">IF(F234="","",ROUND(SQRT((F234*L234/100)^2+(G234*O234)^2),0))</f>
        <v>46</v>
      </c>
      <c r="R234" s="54" t="n">
        <v>13.823308278003</v>
      </c>
      <c r="S234" s="55" t="n">
        <f aca="false">U234*V234*$F$5</f>
        <v>957.929752066116</v>
      </c>
      <c r="T234" s="56" t="n">
        <f aca="false">MAX(0,MIN(1,R234/100+$D$5))</f>
        <v>0.646288131747335</v>
      </c>
      <c r="U234" s="56" t="n">
        <v>0.641184573002755</v>
      </c>
      <c r="V234" s="55" t="n">
        <v>1494</v>
      </c>
      <c r="W234" s="56" t="n">
        <v>0.0684752145190268</v>
      </c>
      <c r="X234" s="57" t="s">
        <v>168</v>
      </c>
      <c r="Y234" s="57" t="s">
        <v>130</v>
      </c>
    </row>
    <row r="235" customFormat="false" ht="15" hidden="false" customHeight="false" outlineLevel="0" collapsed="false">
      <c r="A235" s="25" t="s">
        <v>385</v>
      </c>
      <c r="B235" s="25" t="s">
        <v>260</v>
      </c>
      <c r="C235" s="25" t="s">
        <v>397</v>
      </c>
      <c r="D235" s="52" t="n">
        <f aca="false">ROUND(S235*T235,0)</f>
        <v>466</v>
      </c>
      <c r="E235" s="52" t="n">
        <f aca="false">ROUND(S235,0)-D235</f>
        <v>265</v>
      </c>
      <c r="F235" s="52" t="n">
        <f aca="false">IF(COUNTA(D235:E235)=0,"",SUM(D235:E235))</f>
        <v>731</v>
      </c>
      <c r="G235" s="53" t="n">
        <f aca="false">IF(OR(F235="",F235=0),"",D235/F235)</f>
        <v>0.637482900136799</v>
      </c>
      <c r="H235" s="53" t="n">
        <f aca="false">IF(OR(F235="",F235=0),"",E235/F235)</f>
        <v>0.362517099863201</v>
      </c>
      <c r="I235" s="25" t="s">
        <v>128</v>
      </c>
      <c r="J235" s="28" t="n">
        <v>2.11716121919269</v>
      </c>
      <c r="K235" s="28" t="n">
        <f aca="false">$K$8</f>
        <v>0.297030231526703</v>
      </c>
      <c r="L235" s="28" t="n">
        <f aca="false">SQRT(J235^2+K235^2)</f>
        <v>2.13789583153489</v>
      </c>
      <c r="M235" s="53" t="n">
        <f aca="false">IF(G235="","",MAX(0,G235-1.96*L235/100))</f>
        <v>0.595580141838715</v>
      </c>
      <c r="N235" s="53" t="n">
        <f aca="false">IF(G235="","",MIN(1,G235+1.96*L235/100))</f>
        <v>0.679385658434883</v>
      </c>
      <c r="O235" s="52" t="n">
        <f aca="false">ROUND(S235*W235,0)</f>
        <v>65</v>
      </c>
      <c r="P235" s="52" t="n">
        <f aca="false">IF(F235="","",ROUND(SQRT((F235*L235/100)^2+(G235*O235)^2),0))</f>
        <v>44</v>
      </c>
      <c r="R235" s="54" t="n">
        <v>12.9337264889413</v>
      </c>
      <c r="S235" s="55" t="n">
        <f aca="false">U235*V235*$F$5</f>
        <v>730.770032051282</v>
      </c>
      <c r="T235" s="56" t="n">
        <f aca="false">MAX(0,MIN(1,R235/100+$D$5))</f>
        <v>0.637392313856718</v>
      </c>
      <c r="U235" s="56" t="n">
        <v>0.561698717948718</v>
      </c>
      <c r="V235" s="55" t="n">
        <v>1301</v>
      </c>
      <c r="W235" s="56" t="n">
        <v>0.0887445098984521</v>
      </c>
      <c r="X235" s="57" t="s">
        <v>135</v>
      </c>
      <c r="Y235" s="57" t="s">
        <v>130</v>
      </c>
    </row>
    <row r="236" customFormat="false" ht="15" hidden="false" customHeight="false" outlineLevel="0" collapsed="false">
      <c r="A236" s="25" t="s">
        <v>385</v>
      </c>
      <c r="B236" s="25" t="s">
        <v>260</v>
      </c>
      <c r="C236" s="25" t="s">
        <v>398</v>
      </c>
      <c r="D236" s="52" t="n">
        <f aca="false">ROUND(S236*T236,0)</f>
        <v>598</v>
      </c>
      <c r="E236" s="52" t="n">
        <f aca="false">ROUND(S236,0)-D236</f>
        <v>385</v>
      </c>
      <c r="F236" s="52" t="n">
        <f aca="false">IF(COUNTA(D236:E236)=0,"",SUM(D236:E236))</f>
        <v>983</v>
      </c>
      <c r="G236" s="53" t="n">
        <f aca="false">IF(OR(F236="",F236=0),"",D236/F236)</f>
        <v>0.608341810783316</v>
      </c>
      <c r="H236" s="53" t="n">
        <f aca="false">IF(OR(F236="",F236=0),"",E236/F236)</f>
        <v>0.391658189216684</v>
      </c>
      <c r="I236" s="25" t="s">
        <v>128</v>
      </c>
      <c r="J236" s="28" t="n">
        <v>1.72835549007323</v>
      </c>
      <c r="K236" s="28" t="n">
        <f aca="false">$K$8</f>
        <v>0.297030231526703</v>
      </c>
      <c r="L236" s="28" t="n">
        <f aca="false">SQRT(J236^2+K236^2)</f>
        <v>1.75369314833214</v>
      </c>
      <c r="M236" s="53" t="n">
        <f aca="false">IF(G236="","",MAX(0,G236-1.96*L236/100))</f>
        <v>0.573969425076007</v>
      </c>
      <c r="N236" s="53" t="n">
        <f aca="false">IF(G236="","",MIN(1,G236+1.96*L236/100))</f>
        <v>0.642714196490626</v>
      </c>
      <c r="O236" s="52" t="n">
        <f aca="false">ROUND(S236*W236,0)</f>
        <v>67</v>
      </c>
      <c r="P236" s="52" t="n">
        <f aca="false">IF(F236="","",ROUND(SQRT((F236*L236/100)^2+(G236*O236)^2),0))</f>
        <v>44</v>
      </c>
      <c r="R236" s="54" t="n">
        <v>10.0786661157586</v>
      </c>
      <c r="S236" s="55" t="n">
        <f aca="false">U236*V236*$F$5</f>
        <v>983.008610086101</v>
      </c>
      <c r="T236" s="56" t="n">
        <f aca="false">MAX(0,MIN(1,R236/100+$D$5))</f>
        <v>0.60884171012489</v>
      </c>
      <c r="U236" s="56" t="n">
        <v>0.600861008610086</v>
      </c>
      <c r="V236" s="55" t="n">
        <v>1636</v>
      </c>
      <c r="W236" s="56" t="n">
        <v>0.0684752145190268</v>
      </c>
      <c r="X236" s="57" t="s">
        <v>168</v>
      </c>
      <c r="Y236" s="57" t="s">
        <v>130</v>
      </c>
    </row>
    <row r="237" customFormat="false" ht="15" hidden="false" customHeight="false" outlineLevel="0" collapsed="false">
      <c r="A237" s="25" t="s">
        <v>385</v>
      </c>
      <c r="B237" s="25" t="s">
        <v>260</v>
      </c>
      <c r="C237" s="25" t="s">
        <v>399</v>
      </c>
      <c r="D237" s="52" t="n">
        <f aca="false">ROUND(S237*T237,0)</f>
        <v>737</v>
      </c>
      <c r="E237" s="52" t="n">
        <f aca="false">ROUND(S237,0)-D237</f>
        <v>449</v>
      </c>
      <c r="F237" s="52" t="n">
        <f aca="false">IF(COUNTA(D237:E237)=0,"",SUM(D237:E237))</f>
        <v>1186</v>
      </c>
      <c r="G237" s="53" t="n">
        <f aca="false">IF(OR(F237="",F237=0),"",D237/F237)</f>
        <v>0.62141652613828</v>
      </c>
      <c r="H237" s="53" t="n">
        <f aca="false">IF(OR(F237="",F237=0),"",E237/F237)</f>
        <v>0.37858347386172</v>
      </c>
      <c r="I237" s="25" t="s">
        <v>128</v>
      </c>
      <c r="J237" s="28" t="n">
        <v>1.72835549007323</v>
      </c>
      <c r="K237" s="28" t="n">
        <f aca="false">$K$8</f>
        <v>0.297030231526703</v>
      </c>
      <c r="L237" s="28" t="n">
        <f aca="false">SQRT(J237^2+K237^2)</f>
        <v>1.75369314833214</v>
      </c>
      <c r="M237" s="53" t="n">
        <f aca="false">IF(G237="","",MAX(0,G237-1.96*L237/100))</f>
        <v>0.58704414043097</v>
      </c>
      <c r="N237" s="53" t="n">
        <f aca="false">IF(G237="","",MIN(1,G237+1.96*L237/100))</f>
        <v>0.65578891184559</v>
      </c>
      <c r="O237" s="52" t="n">
        <f aca="false">ROUND(S237*W237,0)</f>
        <v>81</v>
      </c>
      <c r="P237" s="52" t="n">
        <f aca="false">IF(F237="","",ROUND(SQRT((F237*L237/100)^2+(G237*O237)^2),0))</f>
        <v>54</v>
      </c>
      <c r="R237" s="54" t="n">
        <v>11.308445472382</v>
      </c>
      <c r="S237" s="55" t="n">
        <f aca="false">U237*V237*$F$5</f>
        <v>1185.78507842306</v>
      </c>
      <c r="T237" s="56" t="n">
        <f aca="false">MAX(0,MIN(1,R237/100+$D$5))</f>
        <v>0.621139503691125</v>
      </c>
      <c r="U237" s="56" t="n">
        <v>0.508266214497669</v>
      </c>
      <c r="V237" s="55" t="n">
        <v>2333</v>
      </c>
      <c r="W237" s="56" t="n">
        <v>0.0684752145190268</v>
      </c>
      <c r="X237" s="57" t="s">
        <v>168</v>
      </c>
      <c r="Y237" s="57" t="s">
        <v>130</v>
      </c>
    </row>
    <row r="238" customFormat="false" ht="15" hidden="false" customHeight="false" outlineLevel="0" collapsed="false">
      <c r="A238" s="25" t="s">
        <v>385</v>
      </c>
      <c r="B238" s="25" t="s">
        <v>260</v>
      </c>
      <c r="C238" s="25" t="s">
        <v>400</v>
      </c>
      <c r="D238" s="52" t="n">
        <f aca="false">ROUND(S238*T238,0)</f>
        <v>584</v>
      </c>
      <c r="E238" s="52" t="n">
        <f aca="false">ROUND(S238,0)-D238</f>
        <v>421</v>
      </c>
      <c r="F238" s="52" t="n">
        <f aca="false">IF(COUNTA(D238:E238)=0,"",SUM(D238:E238))</f>
        <v>1005</v>
      </c>
      <c r="G238" s="53" t="n">
        <f aca="false">IF(OR(F238="",F238=0),"",D238/F238)</f>
        <v>0.581094527363184</v>
      </c>
      <c r="H238" s="53" t="n">
        <f aca="false">IF(OR(F238="",F238=0),"",E238/F238)</f>
        <v>0.418905472636816</v>
      </c>
      <c r="I238" s="25" t="s">
        <v>128</v>
      </c>
      <c r="J238" s="28" t="n">
        <v>1.72835549007323</v>
      </c>
      <c r="K238" s="28" t="n">
        <f aca="false">$K$8</f>
        <v>0.297030231526703</v>
      </c>
      <c r="L238" s="28" t="n">
        <f aca="false">SQRT(J238^2+K238^2)</f>
        <v>1.75369314833214</v>
      </c>
      <c r="M238" s="53" t="n">
        <f aca="false">IF(G238="","",MAX(0,G238-1.96*L238/100))</f>
        <v>0.546722141655874</v>
      </c>
      <c r="N238" s="53" t="n">
        <f aca="false">IF(G238="","",MIN(1,G238+1.96*L238/100))</f>
        <v>0.615466913070494</v>
      </c>
      <c r="O238" s="52" t="n">
        <f aca="false">ROUND(S238*W238,0)</f>
        <v>69</v>
      </c>
      <c r="P238" s="52" t="n">
        <f aca="false">IF(F238="","",ROUND(SQRT((F238*L238/100)^2+(G238*O238)^2),0))</f>
        <v>44</v>
      </c>
      <c r="R238" s="54" t="n">
        <v>7.29297388169522</v>
      </c>
      <c r="S238" s="55" t="n">
        <f aca="false">U238*V238*$F$5</f>
        <v>1004.54761904762</v>
      </c>
      <c r="T238" s="56" t="n">
        <f aca="false">MAX(0,MIN(1,R238/100+$D$5))</f>
        <v>0.580984787784257</v>
      </c>
      <c r="U238" s="56" t="n">
        <v>0.738095238095238</v>
      </c>
      <c r="V238" s="55" t="n">
        <v>1361</v>
      </c>
      <c r="W238" s="56" t="n">
        <v>0.0684752145190268</v>
      </c>
      <c r="X238" s="57" t="s">
        <v>168</v>
      </c>
      <c r="Y238" s="57" t="s">
        <v>130</v>
      </c>
    </row>
    <row r="239" customFormat="false" ht="15" hidden="false" customHeight="false" outlineLevel="0" collapsed="false">
      <c r="A239" s="25" t="s">
        <v>385</v>
      </c>
      <c r="B239" s="25" t="s">
        <v>260</v>
      </c>
      <c r="C239" s="25" t="s">
        <v>401</v>
      </c>
      <c r="D239" s="52" t="n">
        <f aca="false">ROUND(S239*T239,0)</f>
        <v>444</v>
      </c>
      <c r="E239" s="52" t="n">
        <f aca="false">ROUND(S239,0)-D239</f>
        <v>254</v>
      </c>
      <c r="F239" s="52" t="n">
        <f aca="false">IF(COUNTA(D239:E239)=0,"",SUM(D239:E239))</f>
        <v>698</v>
      </c>
      <c r="G239" s="53" t="n">
        <f aca="false">IF(OR(F239="",F239=0),"",D239/F239)</f>
        <v>0.636103151862464</v>
      </c>
      <c r="H239" s="53" t="n">
        <f aca="false">IF(OR(F239="",F239=0),"",E239/F239)</f>
        <v>0.363896848137536</v>
      </c>
      <c r="I239" s="25" t="s">
        <v>128</v>
      </c>
      <c r="J239" s="28" t="n">
        <v>2.11716121919269</v>
      </c>
      <c r="K239" s="28" t="n">
        <f aca="false">$K$8</f>
        <v>0.297030231526703</v>
      </c>
      <c r="L239" s="28" t="n">
        <f aca="false">SQRT(J239^2+K239^2)</f>
        <v>2.13789583153489</v>
      </c>
      <c r="M239" s="53" t="n">
        <f aca="false">IF(G239="","",MAX(0,G239-1.96*L239/100))</f>
        <v>0.59420039356438</v>
      </c>
      <c r="N239" s="53" t="n">
        <f aca="false">IF(G239="","",MIN(1,G239+1.96*L239/100))</f>
        <v>0.678005910160548</v>
      </c>
      <c r="O239" s="52" t="n">
        <f aca="false">ROUND(S239*W239,0)</f>
        <v>62</v>
      </c>
      <c r="P239" s="52" t="n">
        <f aca="false">IF(F239="","",ROUND(SQRT((F239*L239/100)^2+(G239*O239)^2),0))</f>
        <v>42</v>
      </c>
      <c r="R239" s="54" t="n">
        <v>12.8982309394715</v>
      </c>
      <c r="S239" s="55" t="n">
        <f aca="false">U239*V239*$F$5</f>
        <v>697.629411764706</v>
      </c>
      <c r="T239" s="56" t="n">
        <f aca="false">MAX(0,MIN(1,R239/100+$D$5))</f>
        <v>0.63703735836202</v>
      </c>
      <c r="U239" s="56" t="n">
        <v>0.685294117647059</v>
      </c>
      <c r="V239" s="55" t="n">
        <v>1018</v>
      </c>
      <c r="W239" s="56" t="n">
        <v>0.0887445098984521</v>
      </c>
      <c r="X239" s="57" t="s">
        <v>135</v>
      </c>
      <c r="Y239" s="57" t="s">
        <v>130</v>
      </c>
    </row>
    <row r="240" customFormat="false" ht="15" hidden="false" customHeight="false" outlineLevel="0" collapsed="false">
      <c r="A240" s="25" t="s">
        <v>385</v>
      </c>
      <c r="B240" s="25" t="s">
        <v>260</v>
      </c>
      <c r="C240" s="25" t="s">
        <v>402</v>
      </c>
      <c r="D240" s="52" t="n">
        <f aca="false">ROUND(S240*T240,0)</f>
        <v>570</v>
      </c>
      <c r="E240" s="52" t="n">
        <f aca="false">ROUND(S240,0)-D240</f>
        <v>293</v>
      </c>
      <c r="F240" s="52" t="n">
        <f aca="false">IF(COUNTA(D240:E240)=0,"",SUM(D240:E240))</f>
        <v>863</v>
      </c>
      <c r="G240" s="53" t="n">
        <f aca="false">IF(OR(F240="",F240=0),"",D240/F240)</f>
        <v>0.660486674391657</v>
      </c>
      <c r="H240" s="53" t="n">
        <f aca="false">IF(OR(F240="",F240=0),"",E240/F240)</f>
        <v>0.339513325608343</v>
      </c>
      <c r="I240" s="25" t="s">
        <v>128</v>
      </c>
      <c r="J240" s="28" t="n">
        <v>2.11716121919269</v>
      </c>
      <c r="K240" s="28" t="n">
        <f aca="false">$K$8</f>
        <v>0.297030231526703</v>
      </c>
      <c r="L240" s="28" t="n">
        <f aca="false">SQRT(J240^2+K240^2)</f>
        <v>2.13789583153489</v>
      </c>
      <c r="M240" s="53" t="n">
        <f aca="false">IF(G240="","",MAX(0,G240-1.96*L240/100))</f>
        <v>0.618583916093573</v>
      </c>
      <c r="N240" s="53" t="n">
        <f aca="false">IF(G240="","",MIN(1,G240+1.96*L240/100))</f>
        <v>0.702389432689741</v>
      </c>
      <c r="O240" s="52" t="n">
        <f aca="false">ROUND(S240*W240,0)</f>
        <v>77</v>
      </c>
      <c r="P240" s="52" t="n">
        <f aca="false">IF(F240="","",ROUND(SQRT((F240*L240/100)^2+(G240*O240)^2),0))</f>
        <v>54</v>
      </c>
      <c r="R240" s="54" t="n">
        <v>15.2861644629697</v>
      </c>
      <c r="S240" s="55" t="n">
        <f aca="false">U240*V240*$F$5</f>
        <v>863.161290322581</v>
      </c>
      <c r="T240" s="56" t="n">
        <f aca="false">MAX(0,MIN(1,R240/100+$D$5))</f>
        <v>0.660916693597002</v>
      </c>
      <c r="U240" s="56" t="n">
        <v>0.551893408134642</v>
      </c>
      <c r="V240" s="55" t="n">
        <v>1564</v>
      </c>
      <c r="W240" s="56" t="n">
        <v>0.0887445098984521</v>
      </c>
      <c r="X240" s="57" t="s">
        <v>135</v>
      </c>
      <c r="Y240" s="57" t="s">
        <v>130</v>
      </c>
    </row>
    <row r="241" customFormat="false" ht="15" hidden="false" customHeight="false" outlineLevel="0" collapsed="false">
      <c r="A241" s="25" t="s">
        <v>385</v>
      </c>
      <c r="B241" s="25" t="s">
        <v>260</v>
      </c>
      <c r="C241" s="25" t="s">
        <v>403</v>
      </c>
      <c r="D241" s="52" t="n">
        <f aca="false">ROUND(S241*T241,0)</f>
        <v>696</v>
      </c>
      <c r="E241" s="52" t="n">
        <f aca="false">ROUND(S241,0)-D241</f>
        <v>435</v>
      </c>
      <c r="F241" s="52" t="n">
        <f aca="false">IF(COUNTA(D241:E241)=0,"",SUM(D241:E241))</f>
        <v>1131</v>
      </c>
      <c r="G241" s="53" t="n">
        <f aca="false">IF(OR(F241="",F241=0),"",D241/F241)</f>
        <v>0.615384615384615</v>
      </c>
      <c r="H241" s="53" t="n">
        <f aca="false">IF(OR(F241="",F241=0),"",E241/F241)</f>
        <v>0.384615384615385</v>
      </c>
      <c r="I241" s="25" t="s">
        <v>128</v>
      </c>
      <c r="J241" s="28" t="n">
        <v>1.72835549007323</v>
      </c>
      <c r="K241" s="28" t="n">
        <f aca="false">$K$8</f>
        <v>0.297030231526703</v>
      </c>
      <c r="L241" s="28" t="n">
        <f aca="false">SQRT(J241^2+K241^2)</f>
        <v>1.75369314833214</v>
      </c>
      <c r="M241" s="53" t="n">
        <f aca="false">IF(G241="","",MAX(0,G241-1.96*L241/100))</f>
        <v>0.581012229677306</v>
      </c>
      <c r="N241" s="53" t="n">
        <f aca="false">IF(G241="","",MIN(1,G241+1.96*L241/100))</f>
        <v>0.649757001091925</v>
      </c>
      <c r="O241" s="52" t="n">
        <f aca="false">ROUND(S241*W241,0)</f>
        <v>77</v>
      </c>
      <c r="P241" s="52" t="n">
        <f aca="false">IF(F241="","",ROUND(SQRT((F241*L241/100)^2+(G241*O241)^2),0))</f>
        <v>51</v>
      </c>
      <c r="R241" s="54" t="n">
        <v>10.715218569054</v>
      </c>
      <c r="S241" s="55" t="n">
        <f aca="false">U241*V241*$F$5</f>
        <v>1131.04550209205</v>
      </c>
      <c r="T241" s="56" t="n">
        <f aca="false">MAX(0,MIN(1,R241/100+$D$5))</f>
        <v>0.615207234657845</v>
      </c>
      <c r="U241" s="56" t="n">
        <v>0.582112970711297</v>
      </c>
      <c r="V241" s="55" t="n">
        <v>1943</v>
      </c>
      <c r="W241" s="56" t="n">
        <v>0.0684752145190268</v>
      </c>
      <c r="X241" s="57" t="s">
        <v>168</v>
      </c>
      <c r="Y241" s="57" t="s">
        <v>130</v>
      </c>
    </row>
    <row r="242" customFormat="false" ht="15" hidden="false" customHeight="false" outlineLevel="0" collapsed="false">
      <c r="A242" s="25" t="s">
        <v>385</v>
      </c>
      <c r="B242" s="25" t="s">
        <v>260</v>
      </c>
      <c r="C242" s="25" t="s">
        <v>404</v>
      </c>
      <c r="D242" s="52" t="n">
        <f aca="false">ROUND(S242*T242,0)</f>
        <v>508</v>
      </c>
      <c r="E242" s="52" t="n">
        <f aca="false">ROUND(S242,0)-D242</f>
        <v>232</v>
      </c>
      <c r="F242" s="52" t="n">
        <f aca="false">IF(COUNTA(D242:E242)=0,"",SUM(D242:E242))</f>
        <v>740</v>
      </c>
      <c r="G242" s="53" t="n">
        <f aca="false">IF(OR(F242="",F242=0),"",D242/F242)</f>
        <v>0.686486486486487</v>
      </c>
      <c r="H242" s="53" t="n">
        <f aca="false">IF(OR(F242="",F242=0),"",E242/F242)</f>
        <v>0.313513513513514</v>
      </c>
      <c r="I242" s="25" t="s">
        <v>128</v>
      </c>
      <c r="J242" s="28" t="n">
        <v>2.11716121919269</v>
      </c>
      <c r="K242" s="28" t="n">
        <f aca="false">$K$8</f>
        <v>0.297030231526703</v>
      </c>
      <c r="L242" s="28" t="n">
        <f aca="false">SQRT(J242^2+K242^2)</f>
        <v>2.13789583153489</v>
      </c>
      <c r="M242" s="53" t="n">
        <f aca="false">IF(G242="","",MAX(0,G242-1.96*L242/100))</f>
        <v>0.644583728188403</v>
      </c>
      <c r="N242" s="53" t="n">
        <f aca="false">IF(G242="","",MIN(1,G242+1.96*L242/100))</f>
        <v>0.72838924478457</v>
      </c>
      <c r="O242" s="52" t="n">
        <f aca="false">ROUND(S242*W242,0)</f>
        <v>66</v>
      </c>
      <c r="P242" s="52" t="n">
        <f aca="false">IF(F242="","",ROUND(SQRT((F242*L242/100)^2+(G242*O242)^2),0))</f>
        <v>48</v>
      </c>
      <c r="R242" s="54" t="n">
        <v>17.7933701711203</v>
      </c>
      <c r="S242" s="55" t="n">
        <f aca="false">U242*V242*$F$5</f>
        <v>740.0329218107</v>
      </c>
      <c r="T242" s="56" t="n">
        <f aca="false">MAX(0,MIN(1,R242/100+$D$5))</f>
        <v>0.685988750678508</v>
      </c>
      <c r="U242" s="56" t="n">
        <v>0.303292181069959</v>
      </c>
      <c r="V242" s="55" t="n">
        <v>2440</v>
      </c>
      <c r="W242" s="56" t="n">
        <v>0.0887445098984521</v>
      </c>
      <c r="X242" s="57" t="s">
        <v>135</v>
      </c>
      <c r="Y242" s="57" t="s">
        <v>130</v>
      </c>
    </row>
    <row r="243" customFormat="false" ht="15" hidden="false" customHeight="false" outlineLevel="0" collapsed="false">
      <c r="A243" s="25" t="s">
        <v>385</v>
      </c>
      <c r="B243" s="25" t="s">
        <v>260</v>
      </c>
      <c r="C243" s="25" t="s">
        <v>405</v>
      </c>
      <c r="D243" s="52" t="n">
        <f aca="false">ROUND(S243*T243,0)</f>
        <v>542</v>
      </c>
      <c r="E243" s="52" t="n">
        <f aca="false">ROUND(S243,0)-D243</f>
        <v>329</v>
      </c>
      <c r="F243" s="52" t="n">
        <f aca="false">IF(COUNTA(D243:E243)=0,"",SUM(D243:E243))</f>
        <v>871</v>
      </c>
      <c r="G243" s="53" t="n">
        <f aca="false">IF(OR(F243="",F243=0),"",D243/F243)</f>
        <v>0.622273249138921</v>
      </c>
      <c r="H243" s="53" t="n">
        <f aca="false">IF(OR(F243="",F243=0),"",E243/F243)</f>
        <v>0.377726750861079</v>
      </c>
      <c r="I243" s="25" t="s">
        <v>128</v>
      </c>
      <c r="J243" s="28" t="n">
        <v>2.11716121919269</v>
      </c>
      <c r="K243" s="28" t="n">
        <f aca="false">$K$8</f>
        <v>0.297030231526703</v>
      </c>
      <c r="L243" s="28" t="n">
        <f aca="false">SQRT(J243^2+K243^2)</f>
        <v>2.13789583153489</v>
      </c>
      <c r="M243" s="53" t="n">
        <f aca="false">IF(G243="","",MAX(0,G243-1.96*L243/100))</f>
        <v>0.580370490840837</v>
      </c>
      <c r="N243" s="53" t="n">
        <f aca="false">IF(G243="","",MIN(1,G243+1.96*L243/100))</f>
        <v>0.664176007437005</v>
      </c>
      <c r="O243" s="52" t="n">
        <f aca="false">ROUND(S243*W243,0)</f>
        <v>77</v>
      </c>
      <c r="P243" s="52" t="n">
        <f aca="false">IF(F243="","",ROUND(SQRT((F243*L243/100)^2+(G243*O243)^2),0))</f>
        <v>51</v>
      </c>
      <c r="R243" s="54" t="n">
        <v>11.4550932282073</v>
      </c>
      <c r="S243" s="55" t="n">
        <f aca="false">U243*V243*$F$5</f>
        <v>870.802226935313</v>
      </c>
      <c r="T243" s="56" t="n">
        <f aca="false">MAX(0,MIN(1,R243/100+$D$5))</f>
        <v>0.622605981249378</v>
      </c>
      <c r="U243" s="56" t="n">
        <v>0.449098621420997</v>
      </c>
      <c r="V243" s="55" t="n">
        <v>1939</v>
      </c>
      <c r="W243" s="56" t="n">
        <v>0.0887445098984521</v>
      </c>
      <c r="X243" s="57" t="s">
        <v>135</v>
      </c>
      <c r="Y243" s="57" t="s">
        <v>130</v>
      </c>
    </row>
    <row r="244" customFormat="false" ht="15" hidden="false" customHeight="false" outlineLevel="0" collapsed="false">
      <c r="A244" s="25" t="s">
        <v>385</v>
      </c>
      <c r="B244" s="25" t="s">
        <v>260</v>
      </c>
      <c r="C244" s="25" t="s">
        <v>406</v>
      </c>
      <c r="D244" s="52" t="n">
        <f aca="false">ROUND(S244*T244,0)</f>
        <v>153</v>
      </c>
      <c r="E244" s="52" t="n">
        <f aca="false">ROUND(S244,0)-D244</f>
        <v>62</v>
      </c>
      <c r="F244" s="52" t="n">
        <f aca="false">IF(COUNTA(D244:E244)=0,"",SUM(D244:E244))</f>
        <v>215</v>
      </c>
      <c r="G244" s="53" t="n">
        <f aca="false">IF(OR(F244="",F244=0),"",D244/F244)</f>
        <v>0.711627906976744</v>
      </c>
      <c r="H244" s="53" t="n">
        <f aca="false">IF(OR(F244="",F244=0),"",E244/F244)</f>
        <v>0.288372093023256</v>
      </c>
      <c r="I244" s="25" t="s">
        <v>128</v>
      </c>
      <c r="J244" s="28" t="n">
        <v>3.42046080519466</v>
      </c>
      <c r="K244" s="28" t="n">
        <f aca="false">$K$8</f>
        <v>0.297030231526703</v>
      </c>
      <c r="L244" s="28" t="n">
        <f aca="false">SQRT(J244^2+K244^2)</f>
        <v>3.43333352273176</v>
      </c>
      <c r="M244" s="53" t="n">
        <f aca="false">IF(G244="","",MAX(0,G244-1.96*L244/100))</f>
        <v>0.644334569931202</v>
      </c>
      <c r="N244" s="53" t="n">
        <f aca="false">IF(G244="","",MIN(1,G244+1.96*L244/100))</f>
        <v>0.778921244022287</v>
      </c>
      <c r="O244" s="52" t="n">
        <f aca="false">ROUND(S244*W244,0)</f>
        <v>32</v>
      </c>
      <c r="P244" s="52" t="n">
        <f aca="false">IF(F244="","",ROUND(SQRT((F244*L244/100)^2+(G244*O244)^2),0))</f>
        <v>24</v>
      </c>
      <c r="R244" s="54" t="n">
        <v>20.0874827324202</v>
      </c>
      <c r="S244" s="55" t="n">
        <f aca="false">U244*V244*$F$5</f>
        <v>215.348525469169</v>
      </c>
      <c r="T244" s="56" t="n">
        <f aca="false">MAX(0,MIN(1,R244/100+$D$5))</f>
        <v>0.708929876291506</v>
      </c>
      <c r="U244" s="56" t="n">
        <v>0.281501340482574</v>
      </c>
      <c r="V244" s="55" t="n">
        <v>765</v>
      </c>
      <c r="W244" s="56" t="n">
        <v>0.148097331980838</v>
      </c>
      <c r="X244" s="57" t="s">
        <v>129</v>
      </c>
      <c r="Y244" s="57" t="s">
        <v>130</v>
      </c>
    </row>
    <row r="245" customFormat="false" ht="15" hidden="false" customHeight="false" outlineLevel="0" collapsed="false">
      <c r="A245" s="25" t="s">
        <v>385</v>
      </c>
      <c r="B245" s="25" t="s">
        <v>260</v>
      </c>
      <c r="C245" s="25" t="s">
        <v>407</v>
      </c>
      <c r="D245" s="52" t="n">
        <f aca="false">ROUND(S245*T245,0)</f>
        <v>319</v>
      </c>
      <c r="E245" s="52" t="n">
        <f aca="false">ROUND(S245,0)-D245</f>
        <v>122</v>
      </c>
      <c r="F245" s="52" t="n">
        <f aca="false">IF(COUNTA(D245:E245)=0,"",SUM(D245:E245))</f>
        <v>441</v>
      </c>
      <c r="G245" s="53" t="n">
        <f aca="false">IF(OR(F245="",F245=0),"",D245/F245)</f>
        <v>0.723356009070295</v>
      </c>
      <c r="H245" s="53" t="n">
        <f aca="false">IF(OR(F245="",F245=0),"",E245/F245)</f>
        <v>0.276643990929705</v>
      </c>
      <c r="I245" s="25" t="s">
        <v>128</v>
      </c>
      <c r="J245" s="28" t="n">
        <v>3.42046080519466</v>
      </c>
      <c r="K245" s="28" t="n">
        <f aca="false">$K$8</f>
        <v>0.297030231526703</v>
      </c>
      <c r="L245" s="28" t="n">
        <f aca="false">SQRT(J245^2+K245^2)</f>
        <v>3.43333352273176</v>
      </c>
      <c r="M245" s="53" t="n">
        <f aca="false">IF(G245="","",MAX(0,G245-1.96*L245/100))</f>
        <v>0.656062672024752</v>
      </c>
      <c r="N245" s="53" t="n">
        <f aca="false">IF(G245="","",MIN(1,G245+1.96*L245/100))</f>
        <v>0.790649346115837</v>
      </c>
      <c r="O245" s="52" t="n">
        <f aca="false">ROUND(S245*W245,0)</f>
        <v>65</v>
      </c>
      <c r="P245" s="52" t="n">
        <f aca="false">IF(F245="","",ROUND(SQRT((F245*L245/100)^2+(G245*O245)^2),0))</f>
        <v>49</v>
      </c>
      <c r="R245" s="54" t="n">
        <v>21.5311275680116</v>
      </c>
      <c r="S245" s="55" t="n">
        <f aca="false">U245*V245*$F$5</f>
        <v>440.805484147387</v>
      </c>
      <c r="T245" s="56" t="n">
        <f aca="false">MAX(0,MIN(1,R245/100+$D$5))</f>
        <v>0.723366324647421</v>
      </c>
      <c r="U245" s="56" t="n">
        <v>0.381319622964867</v>
      </c>
      <c r="V245" s="55" t="n">
        <v>1156</v>
      </c>
      <c r="W245" s="56" t="n">
        <v>0.148097331980838</v>
      </c>
      <c r="X245" s="57" t="s">
        <v>129</v>
      </c>
      <c r="Y245" s="57" t="s">
        <v>130</v>
      </c>
    </row>
    <row r="246" customFormat="false" ht="15" hidden="false" customHeight="false" outlineLevel="0" collapsed="false">
      <c r="A246" s="25" t="s">
        <v>385</v>
      </c>
      <c r="B246" s="25" t="s">
        <v>260</v>
      </c>
      <c r="C246" s="25" t="s">
        <v>408</v>
      </c>
      <c r="D246" s="52" t="n">
        <f aca="false">ROUND(S246*T246,0)</f>
        <v>266</v>
      </c>
      <c r="E246" s="52" t="n">
        <f aca="false">ROUND(S246,0)-D246</f>
        <v>102</v>
      </c>
      <c r="F246" s="52" t="n">
        <f aca="false">IF(COUNTA(D246:E246)=0,"",SUM(D246:E246))</f>
        <v>368</v>
      </c>
      <c r="G246" s="53" t="n">
        <f aca="false">IF(OR(F246="",F246=0),"",D246/F246)</f>
        <v>0.722826086956522</v>
      </c>
      <c r="H246" s="53" t="n">
        <f aca="false">IF(OR(F246="",F246=0),"",E246/F246)</f>
        <v>0.277173913043478</v>
      </c>
      <c r="I246" s="25" t="s">
        <v>128</v>
      </c>
      <c r="J246" s="28" t="n">
        <v>3.42046080519466</v>
      </c>
      <c r="K246" s="28" t="n">
        <f aca="false">$K$8</f>
        <v>0.297030231526703</v>
      </c>
      <c r="L246" s="28" t="n">
        <f aca="false">SQRT(J246^2+K246^2)</f>
        <v>3.43333352273176</v>
      </c>
      <c r="M246" s="53" t="n">
        <f aca="false">IF(G246="","",MAX(0,G246-1.96*L246/100))</f>
        <v>0.655532749910979</v>
      </c>
      <c r="N246" s="53" t="n">
        <f aca="false">IF(G246="","",MIN(1,G246+1.96*L246/100))</f>
        <v>0.790119424002064</v>
      </c>
      <c r="O246" s="52" t="n">
        <f aca="false">ROUND(S246*W246,0)</f>
        <v>54</v>
      </c>
      <c r="P246" s="52" t="n">
        <f aca="false">IF(F246="","",ROUND(SQRT((F246*L246/100)^2+(G246*O246)^2),0))</f>
        <v>41</v>
      </c>
      <c r="R246" s="54" t="n">
        <v>21.4615524314465</v>
      </c>
      <c r="S246" s="55" t="n">
        <f aca="false">U246*V246*$F$5</f>
        <v>367.804159445407</v>
      </c>
      <c r="T246" s="56" t="n">
        <f aca="false">MAX(0,MIN(1,R246/100+$D$5))</f>
        <v>0.722670573281769</v>
      </c>
      <c r="U246" s="56" t="n">
        <v>0.306759098786828</v>
      </c>
      <c r="V246" s="55" t="n">
        <v>1199</v>
      </c>
      <c r="W246" s="56" t="n">
        <v>0.148097331980838</v>
      </c>
      <c r="X246" s="57" t="s">
        <v>129</v>
      </c>
      <c r="Y246" s="57" t="s">
        <v>130</v>
      </c>
    </row>
    <row r="247" customFormat="false" ht="15" hidden="false" customHeight="false" outlineLevel="0" collapsed="false">
      <c r="A247" s="25" t="s">
        <v>385</v>
      </c>
      <c r="B247" s="25" t="s">
        <v>260</v>
      </c>
      <c r="C247" s="25" t="s">
        <v>409</v>
      </c>
      <c r="D247" s="52" t="n">
        <f aca="false">ROUND(S247*T247,0)</f>
        <v>356</v>
      </c>
      <c r="E247" s="52" t="n">
        <f aca="false">ROUND(S247,0)-D247</f>
        <v>118</v>
      </c>
      <c r="F247" s="52" t="n">
        <f aca="false">IF(COUNTA(D247:E247)=0,"",SUM(D247:E247))</f>
        <v>474</v>
      </c>
      <c r="G247" s="53" t="n">
        <f aca="false">IF(OR(F247="",F247=0),"",D247/F247)</f>
        <v>0.751054852320675</v>
      </c>
      <c r="H247" s="53" t="n">
        <f aca="false">IF(OR(F247="",F247=0),"",E247/F247)</f>
        <v>0.248945147679325</v>
      </c>
      <c r="I247" s="25" t="s">
        <v>128</v>
      </c>
      <c r="J247" s="28" t="n">
        <v>3.42046080519466</v>
      </c>
      <c r="K247" s="28" t="n">
        <f aca="false">$K$8</f>
        <v>0.297030231526703</v>
      </c>
      <c r="L247" s="28" t="n">
        <f aca="false">SQRT(J247^2+K247^2)</f>
        <v>3.43333352273176</v>
      </c>
      <c r="M247" s="53" t="n">
        <f aca="false">IF(G247="","",MAX(0,G247-1.96*L247/100))</f>
        <v>0.683761515275133</v>
      </c>
      <c r="N247" s="53" t="n">
        <f aca="false">IF(G247="","",MIN(1,G247+1.96*L247/100))</f>
        <v>0.818348189366218</v>
      </c>
      <c r="O247" s="52" t="n">
        <f aca="false">ROUND(S247*W247,0)</f>
        <v>70</v>
      </c>
      <c r="P247" s="52" t="n">
        <f aca="false">IF(F247="","",ROUND(SQRT((F247*L247/100)^2+(G247*O247)^2),0))</f>
        <v>55</v>
      </c>
      <c r="R247" s="54" t="n">
        <v>24.4121451147776</v>
      </c>
      <c r="S247" s="55" t="n">
        <f aca="false">U247*V247*$F$5</f>
        <v>473.687539936102</v>
      </c>
      <c r="T247" s="56" t="n">
        <f aca="false">MAX(0,MIN(1,R247/100+$D$5))</f>
        <v>0.752176500115081</v>
      </c>
      <c r="U247" s="56" t="n">
        <v>0.281789137380192</v>
      </c>
      <c r="V247" s="55" t="n">
        <v>1681</v>
      </c>
      <c r="W247" s="56" t="n">
        <v>0.148097331980838</v>
      </c>
      <c r="X247" s="57" t="s">
        <v>129</v>
      </c>
      <c r="Y247" s="57" t="s">
        <v>130</v>
      </c>
    </row>
    <row r="248" customFormat="false" ht="15" hidden="false" customHeight="false" outlineLevel="0" collapsed="false">
      <c r="A248" s="25" t="s">
        <v>385</v>
      </c>
      <c r="B248" s="25" t="s">
        <v>260</v>
      </c>
      <c r="C248" s="25" t="s">
        <v>410</v>
      </c>
      <c r="D248" s="52" t="n">
        <f aca="false">ROUND(S248*T248,0)</f>
        <v>670</v>
      </c>
      <c r="E248" s="52" t="n">
        <f aca="false">ROUND(S248,0)-D248</f>
        <v>166</v>
      </c>
      <c r="F248" s="52" t="n">
        <f aca="false">IF(COUNTA(D248:E248)=0,"",SUM(D248:E248))</f>
        <v>836</v>
      </c>
      <c r="G248" s="53" t="n">
        <f aca="false">IF(OR(F248="",F248=0),"",D248/F248)</f>
        <v>0.801435406698565</v>
      </c>
      <c r="H248" s="53" t="n">
        <f aca="false">IF(OR(F248="",F248=0),"",E248/F248)</f>
        <v>0.198564593301435</v>
      </c>
      <c r="I248" s="25" t="s">
        <v>128</v>
      </c>
      <c r="J248" s="28" t="n">
        <v>2.11716121919269</v>
      </c>
      <c r="K248" s="28" t="n">
        <f aca="false">$K$8</f>
        <v>0.297030231526703</v>
      </c>
      <c r="L248" s="28" t="n">
        <f aca="false">SQRT(J248^2+K248^2)</f>
        <v>2.13789583153489</v>
      </c>
      <c r="M248" s="53" t="n">
        <f aca="false">IF(G248="","",MAX(0,G248-1.96*L248/100))</f>
        <v>0.759532648400481</v>
      </c>
      <c r="N248" s="53" t="n">
        <f aca="false">IF(G248="","",MIN(1,G248+1.96*L248/100))</f>
        <v>0.843338164996649</v>
      </c>
      <c r="O248" s="52" t="n">
        <f aca="false">ROUND(S248*W248,0)</f>
        <v>74</v>
      </c>
      <c r="P248" s="52" t="n">
        <f aca="false">IF(F248="","",ROUND(SQRT((F248*L248/100)^2+(G248*O248)^2),0))</f>
        <v>62</v>
      </c>
      <c r="R248" s="54" t="n">
        <v>29.3981881273028</v>
      </c>
      <c r="S248" s="55" t="n">
        <f aca="false">U248*V248*$F$5</f>
        <v>835.622727272728</v>
      </c>
      <c r="T248" s="56" t="n">
        <f aca="false">MAX(0,MIN(1,R248/100+$D$5))</f>
        <v>0.802036930240333</v>
      </c>
      <c r="U248" s="56" t="n">
        <v>0.224147727272727</v>
      </c>
      <c r="V248" s="55" t="n">
        <v>3728</v>
      </c>
      <c r="W248" s="56" t="n">
        <v>0.0887445098984521</v>
      </c>
      <c r="X248" s="57" t="s">
        <v>135</v>
      </c>
      <c r="Y248" s="57" t="s">
        <v>130</v>
      </c>
    </row>
    <row r="249" customFormat="false" ht="15" hidden="false" customHeight="false" outlineLevel="0" collapsed="false">
      <c r="A249" s="25" t="s">
        <v>385</v>
      </c>
      <c r="B249" s="25" t="s">
        <v>260</v>
      </c>
      <c r="C249" s="25" t="s">
        <v>411</v>
      </c>
      <c r="D249" s="52" t="n">
        <f aca="false">ROUND(S249*T249,0)</f>
        <v>374</v>
      </c>
      <c r="E249" s="52" t="n">
        <f aca="false">ROUND(S249,0)-D249</f>
        <v>134</v>
      </c>
      <c r="F249" s="52" t="n">
        <f aca="false">IF(COUNTA(D249:E249)=0,"",SUM(D249:E249))</f>
        <v>508</v>
      </c>
      <c r="G249" s="53" t="n">
        <f aca="false">IF(OR(F249="",F249=0),"",D249/F249)</f>
        <v>0.736220472440945</v>
      </c>
      <c r="H249" s="53" t="n">
        <f aca="false">IF(OR(F249="",F249=0),"",E249/F249)</f>
        <v>0.263779527559055</v>
      </c>
      <c r="I249" s="25" t="s">
        <v>128</v>
      </c>
      <c r="J249" s="28" t="n">
        <v>3.42046080519466</v>
      </c>
      <c r="K249" s="28" t="n">
        <f aca="false">$K$8</f>
        <v>0.297030231526703</v>
      </c>
      <c r="L249" s="28" t="n">
        <f aca="false">SQRT(J249^2+K249^2)</f>
        <v>3.43333352273176</v>
      </c>
      <c r="M249" s="53" t="n">
        <f aca="false">IF(G249="","",MAX(0,G249-1.96*L249/100))</f>
        <v>0.668927135395402</v>
      </c>
      <c r="N249" s="53" t="n">
        <f aca="false">IF(G249="","",MIN(1,G249+1.96*L249/100))</f>
        <v>0.803513809486487</v>
      </c>
      <c r="O249" s="52" t="n">
        <f aca="false">ROUND(S249*W249,0)</f>
        <v>75</v>
      </c>
      <c r="P249" s="52" t="n">
        <f aca="false">IF(F249="","",ROUND(SQRT((F249*L249/100)^2+(G249*O249)^2),0))</f>
        <v>58</v>
      </c>
      <c r="R249" s="54" t="n">
        <v>22.8175736221197</v>
      </c>
      <c r="S249" s="55" t="n">
        <f aca="false">U249*V249*$F$5</f>
        <v>507.768014059754</v>
      </c>
      <c r="T249" s="56" t="n">
        <f aca="false">MAX(0,MIN(1,R249/100+$D$5))</f>
        <v>0.736230785188501</v>
      </c>
      <c r="U249" s="56" t="n">
        <v>0.272993555946104</v>
      </c>
      <c r="V249" s="55" t="n">
        <v>1860</v>
      </c>
      <c r="W249" s="56" t="n">
        <v>0.148097331980838</v>
      </c>
      <c r="X249" s="57" t="s">
        <v>129</v>
      </c>
      <c r="Y249" s="57" t="s">
        <v>130</v>
      </c>
    </row>
    <row r="250" customFormat="false" ht="15" hidden="false" customHeight="false" outlineLevel="0" collapsed="false">
      <c r="A250" s="25" t="s">
        <v>385</v>
      </c>
      <c r="B250" s="25" t="s">
        <v>260</v>
      </c>
      <c r="C250" s="25" t="s">
        <v>412</v>
      </c>
      <c r="D250" s="52" t="n">
        <f aca="false">ROUND(S250*T250,0)</f>
        <v>356</v>
      </c>
      <c r="E250" s="52" t="n">
        <f aca="false">ROUND(S250,0)-D250</f>
        <v>143</v>
      </c>
      <c r="F250" s="52" t="n">
        <f aca="false">IF(COUNTA(D250:E250)=0,"",SUM(D250:E250))</f>
        <v>499</v>
      </c>
      <c r="G250" s="53" t="n">
        <f aca="false">IF(OR(F250="",F250=0),"",D250/F250)</f>
        <v>0.713426853707415</v>
      </c>
      <c r="H250" s="53" t="n">
        <f aca="false">IF(OR(F250="",F250=0),"",E250/F250)</f>
        <v>0.286573146292585</v>
      </c>
      <c r="I250" s="25" t="s">
        <v>128</v>
      </c>
      <c r="J250" s="28" t="n">
        <v>3.42046080519466</v>
      </c>
      <c r="K250" s="28" t="n">
        <f aca="false">$K$8</f>
        <v>0.297030231526703</v>
      </c>
      <c r="L250" s="28" t="n">
        <f aca="false">SQRT(J250^2+K250^2)</f>
        <v>3.43333352273176</v>
      </c>
      <c r="M250" s="53" t="n">
        <f aca="false">IF(G250="","",MAX(0,G250-1.96*L250/100))</f>
        <v>0.646133516661872</v>
      </c>
      <c r="N250" s="53" t="n">
        <f aca="false">IF(G250="","",MIN(1,G250+1.96*L250/100))</f>
        <v>0.780720190752957</v>
      </c>
      <c r="O250" s="52" t="n">
        <f aca="false">ROUND(S250*W250,0)</f>
        <v>74</v>
      </c>
      <c r="P250" s="52" t="n">
        <f aca="false">IF(F250="","",ROUND(SQRT((F250*L250/100)^2+(G250*O250)^2),0))</f>
        <v>56</v>
      </c>
      <c r="R250" s="54" t="n">
        <v>20.4971519312772</v>
      </c>
      <c r="S250" s="55" t="n">
        <f aca="false">U250*V250*$F$5</f>
        <v>498.871436256052</v>
      </c>
      <c r="T250" s="56" t="n">
        <f aca="false">MAX(0,MIN(1,R250/100+$D$5))</f>
        <v>0.713026568280076</v>
      </c>
      <c r="U250" s="56" t="n">
        <v>0.267348036578806</v>
      </c>
      <c r="V250" s="55" t="n">
        <v>1866</v>
      </c>
      <c r="W250" s="56" t="n">
        <v>0.148097331980838</v>
      </c>
      <c r="X250" s="57" t="s">
        <v>129</v>
      </c>
      <c r="Y250" s="57" t="s">
        <v>130</v>
      </c>
    </row>
    <row r="251" customFormat="false" ht="15" hidden="false" customHeight="false" outlineLevel="0" collapsed="false">
      <c r="A251" s="25" t="s">
        <v>385</v>
      </c>
      <c r="B251" s="25" t="s">
        <v>260</v>
      </c>
      <c r="C251" s="25" t="s">
        <v>413</v>
      </c>
      <c r="D251" s="52" t="n">
        <f aca="false">ROUND(S251*T251,0)</f>
        <v>393</v>
      </c>
      <c r="E251" s="52" t="n">
        <f aca="false">ROUND(S251,0)-D251</f>
        <v>141</v>
      </c>
      <c r="F251" s="52" t="n">
        <f aca="false">IF(COUNTA(D251:E251)=0,"",SUM(D251:E251))</f>
        <v>534</v>
      </c>
      <c r="G251" s="53" t="n">
        <f aca="false">IF(OR(F251="",F251=0),"",D251/F251)</f>
        <v>0.735955056179775</v>
      </c>
      <c r="H251" s="53" t="n">
        <f aca="false">IF(OR(F251="",F251=0),"",E251/F251)</f>
        <v>0.264044943820225</v>
      </c>
      <c r="I251" s="25" t="s">
        <v>128</v>
      </c>
      <c r="J251" s="28" t="n">
        <v>3.42046080519466</v>
      </c>
      <c r="K251" s="28" t="n">
        <f aca="false">$K$8</f>
        <v>0.297030231526703</v>
      </c>
      <c r="L251" s="28" t="n">
        <f aca="false">SQRT(J251^2+K251^2)</f>
        <v>3.43333352273176</v>
      </c>
      <c r="M251" s="53" t="n">
        <f aca="false">IF(G251="","",MAX(0,G251-1.96*L251/100))</f>
        <v>0.668661719134233</v>
      </c>
      <c r="N251" s="53" t="n">
        <f aca="false">IF(G251="","",MIN(1,G251+1.96*L251/100))</f>
        <v>0.803248393225318</v>
      </c>
      <c r="O251" s="52" t="n">
        <f aca="false">ROUND(S251*W251,0)</f>
        <v>79</v>
      </c>
      <c r="P251" s="52" t="n">
        <f aca="false">IF(F251="","",ROUND(SQRT((F251*L251/100)^2+(G251*O251)^2),0))</f>
        <v>61</v>
      </c>
      <c r="R251" s="54" t="n">
        <v>22.772104141558</v>
      </c>
      <c r="S251" s="55" t="n">
        <f aca="false">U251*V251*$F$5</f>
        <v>533.985148514852</v>
      </c>
      <c r="T251" s="56" t="n">
        <f aca="false">MAX(0,MIN(1,R251/100+$D$5))</f>
        <v>0.735776090382885</v>
      </c>
      <c r="U251" s="56" t="n">
        <v>0.698019801980198</v>
      </c>
      <c r="V251" s="55" t="n">
        <v>765</v>
      </c>
      <c r="W251" s="56" t="n">
        <v>0.148097331980838</v>
      </c>
      <c r="X251" s="57" t="s">
        <v>129</v>
      </c>
      <c r="Y251" s="57" t="s">
        <v>130</v>
      </c>
    </row>
    <row r="252" customFormat="false" ht="15" hidden="false" customHeight="false" outlineLevel="0" collapsed="false">
      <c r="A252" s="25" t="s">
        <v>385</v>
      </c>
      <c r="B252" s="25" t="s">
        <v>260</v>
      </c>
      <c r="C252" s="25" t="s">
        <v>414</v>
      </c>
      <c r="D252" s="52" t="n">
        <f aca="false">ROUND(S252*T252,0)</f>
        <v>568</v>
      </c>
      <c r="E252" s="52" t="n">
        <f aca="false">ROUND(S252,0)-D252</f>
        <v>230</v>
      </c>
      <c r="F252" s="52" t="n">
        <f aca="false">IF(COUNTA(D252:E252)=0,"",SUM(D252:E252))</f>
        <v>798</v>
      </c>
      <c r="G252" s="53" t="n">
        <f aca="false">IF(OR(F252="",F252=0),"",D252/F252)</f>
        <v>0.711779448621554</v>
      </c>
      <c r="H252" s="53" t="n">
        <f aca="false">IF(OR(F252="",F252=0),"",E252/F252)</f>
        <v>0.288220551378446</v>
      </c>
      <c r="I252" s="25" t="s">
        <v>128</v>
      </c>
      <c r="J252" s="28" t="n">
        <v>2.11716121919269</v>
      </c>
      <c r="K252" s="28" t="n">
        <f aca="false">$K$8</f>
        <v>0.297030231526703</v>
      </c>
      <c r="L252" s="28" t="n">
        <f aca="false">SQRT(J252^2+K252^2)</f>
        <v>2.13789583153489</v>
      </c>
      <c r="M252" s="53" t="n">
        <f aca="false">IF(G252="","",MAX(0,G252-1.96*L252/100))</f>
        <v>0.66987669032347</v>
      </c>
      <c r="N252" s="53" t="n">
        <f aca="false">IF(G252="","",MIN(1,G252+1.96*L252/100))</f>
        <v>0.753682206919638</v>
      </c>
      <c r="O252" s="52" t="n">
        <f aca="false">ROUND(S252*W252,0)</f>
        <v>71</v>
      </c>
      <c r="P252" s="52" t="n">
        <f aca="false">IF(F252="","",ROUND(SQRT((F252*L252/100)^2+(G252*O252)^2),0))</f>
        <v>53</v>
      </c>
      <c r="R252" s="54" t="n">
        <v>20.3218383524837</v>
      </c>
      <c r="S252" s="55" t="n">
        <f aca="false">U252*V252*$F$5</f>
        <v>798.341340075854</v>
      </c>
      <c r="T252" s="56" t="n">
        <f aca="false">MAX(0,MIN(1,R252/100+$D$5))</f>
        <v>0.711273432492141</v>
      </c>
      <c r="U252" s="56" t="n">
        <v>0.465233881163085</v>
      </c>
      <c r="V252" s="55" t="n">
        <v>1716</v>
      </c>
      <c r="W252" s="56" t="n">
        <v>0.0887445098984521</v>
      </c>
      <c r="X252" s="57" t="s">
        <v>135</v>
      </c>
      <c r="Y252" s="57" t="s">
        <v>130</v>
      </c>
    </row>
    <row r="253" customFormat="false" ht="15" hidden="false" customHeight="false" outlineLevel="0" collapsed="false">
      <c r="A253" s="25" t="s">
        <v>385</v>
      </c>
      <c r="B253" s="25" t="s">
        <v>260</v>
      </c>
      <c r="C253" s="25" t="s">
        <v>415</v>
      </c>
      <c r="D253" s="52" t="n">
        <f aca="false">ROUND(S253*T253,0)</f>
        <v>461</v>
      </c>
      <c r="E253" s="52" t="n">
        <f aca="false">ROUND(S253,0)-D253</f>
        <v>221</v>
      </c>
      <c r="F253" s="52" t="n">
        <f aca="false">IF(COUNTA(D253:E253)=0,"",SUM(D253:E253))</f>
        <v>682</v>
      </c>
      <c r="G253" s="53" t="n">
        <f aca="false">IF(OR(F253="",F253=0),"",D253/F253)</f>
        <v>0.675953079178886</v>
      </c>
      <c r="H253" s="53" t="n">
        <f aca="false">IF(OR(F253="",F253=0),"",E253/F253)</f>
        <v>0.324046920821114</v>
      </c>
      <c r="I253" s="25" t="s">
        <v>128</v>
      </c>
      <c r="J253" s="28" t="n">
        <v>2.11716121919269</v>
      </c>
      <c r="K253" s="28" t="n">
        <f aca="false">$K$8</f>
        <v>0.297030231526703</v>
      </c>
      <c r="L253" s="28" t="n">
        <f aca="false">SQRT(J253^2+K253^2)</f>
        <v>2.13789583153489</v>
      </c>
      <c r="M253" s="53" t="n">
        <f aca="false">IF(G253="","",MAX(0,G253-1.96*L253/100))</f>
        <v>0.634050320880802</v>
      </c>
      <c r="N253" s="53" t="n">
        <f aca="false">IF(G253="","",MIN(1,G253+1.96*L253/100))</f>
        <v>0.71785583747697</v>
      </c>
      <c r="O253" s="52" t="n">
        <f aca="false">ROUND(S253*W253,0)</f>
        <v>61</v>
      </c>
      <c r="P253" s="52" t="n">
        <f aca="false">IF(F253="","",ROUND(SQRT((F253*L253/100)^2+(G253*O253)^2),0))</f>
        <v>44</v>
      </c>
      <c r="R253" s="54" t="n">
        <v>16.7083177200933</v>
      </c>
      <c r="S253" s="55" t="n">
        <f aca="false">U253*V253*$F$5</f>
        <v>682.091267235719</v>
      </c>
      <c r="T253" s="56" t="n">
        <f aca="false">MAX(0,MIN(1,R253/100+$D$5))</f>
        <v>0.675138226168238</v>
      </c>
      <c r="U253" s="56" t="n">
        <v>0.443204202232436</v>
      </c>
      <c r="V253" s="55" t="n">
        <v>1539</v>
      </c>
      <c r="W253" s="56" t="n">
        <v>0.0887445098984521</v>
      </c>
      <c r="X253" s="57" t="s">
        <v>135</v>
      </c>
      <c r="Y253" s="57" t="s">
        <v>130</v>
      </c>
    </row>
    <row r="254" customFormat="false" ht="15" hidden="false" customHeight="false" outlineLevel="0" collapsed="false">
      <c r="A254" s="25" t="s">
        <v>385</v>
      </c>
      <c r="B254" s="25" t="s">
        <v>260</v>
      </c>
      <c r="C254" s="25" t="s">
        <v>416</v>
      </c>
      <c r="D254" s="52" t="n">
        <f aca="false">ROUND(S254*T254,0)</f>
        <v>533</v>
      </c>
      <c r="E254" s="52" t="n">
        <f aca="false">ROUND(S254,0)-D254</f>
        <v>252</v>
      </c>
      <c r="F254" s="52" t="n">
        <f aca="false">IF(COUNTA(D254:E254)=0,"",SUM(D254:E254))</f>
        <v>785</v>
      </c>
      <c r="G254" s="53" t="n">
        <f aca="false">IF(OR(F254="",F254=0),"",D254/F254)</f>
        <v>0.678980891719745</v>
      </c>
      <c r="H254" s="53" t="n">
        <f aca="false">IF(OR(F254="",F254=0),"",E254/F254)</f>
        <v>0.321019108280255</v>
      </c>
      <c r="I254" s="25" t="s">
        <v>128</v>
      </c>
      <c r="J254" s="28" t="n">
        <v>2.11716121919269</v>
      </c>
      <c r="K254" s="28" t="n">
        <f aca="false">$K$8</f>
        <v>0.297030231526703</v>
      </c>
      <c r="L254" s="28" t="n">
        <f aca="false">SQRT(J254^2+K254^2)</f>
        <v>2.13789583153489</v>
      </c>
      <c r="M254" s="53" t="n">
        <f aca="false">IF(G254="","",MAX(0,G254-1.96*L254/100))</f>
        <v>0.637078133421661</v>
      </c>
      <c r="N254" s="53" t="n">
        <f aca="false">IF(G254="","",MIN(1,G254+1.96*L254/100))</f>
        <v>0.720883650017829</v>
      </c>
      <c r="O254" s="52" t="n">
        <f aca="false">ROUND(S254*W254,0)</f>
        <v>70</v>
      </c>
      <c r="P254" s="52" t="n">
        <f aca="false">IF(F254="","",ROUND(SQRT((F254*L254/100)^2+(G254*O254)^2),0))</f>
        <v>50</v>
      </c>
      <c r="R254" s="54" t="n">
        <v>17.1149727577415</v>
      </c>
      <c r="S254" s="55" t="n">
        <f aca="false">U254*V254*$F$5</f>
        <v>785.450874831763</v>
      </c>
      <c r="T254" s="56" t="n">
        <f aca="false">MAX(0,MIN(1,R254/100+$D$5))</f>
        <v>0.67920477654472</v>
      </c>
      <c r="U254" s="56" t="n">
        <v>0.534320323014805</v>
      </c>
      <c r="V254" s="55" t="n">
        <v>1470</v>
      </c>
      <c r="W254" s="56" t="n">
        <v>0.0887445098984521</v>
      </c>
      <c r="X254" s="57" t="s">
        <v>135</v>
      </c>
      <c r="Y254" s="57" t="s">
        <v>130</v>
      </c>
    </row>
    <row r="255" customFormat="false" ht="15" hidden="false" customHeight="false" outlineLevel="0" collapsed="false">
      <c r="A255" s="25" t="s">
        <v>385</v>
      </c>
      <c r="B255" s="25" t="s">
        <v>260</v>
      </c>
      <c r="C255" s="25" t="s">
        <v>417</v>
      </c>
      <c r="D255" s="52" t="n">
        <f aca="false">ROUND(S255*T255,0)</f>
        <v>938</v>
      </c>
      <c r="E255" s="52" t="n">
        <f aca="false">ROUND(S255,0)-D255</f>
        <v>490</v>
      </c>
      <c r="F255" s="52" t="n">
        <f aca="false">IF(COUNTA(D255:E255)=0,"",SUM(D255:E255))</f>
        <v>1428</v>
      </c>
      <c r="G255" s="53" t="n">
        <f aca="false">IF(OR(F255="",F255=0),"",D255/F255)</f>
        <v>0.656862745098039</v>
      </c>
      <c r="H255" s="53" t="n">
        <f aca="false">IF(OR(F255="",F255=0),"",E255/F255)</f>
        <v>0.343137254901961</v>
      </c>
      <c r="I255" s="25" t="s">
        <v>231</v>
      </c>
      <c r="J255" s="28" t="n">
        <v>1.72835549007323</v>
      </c>
      <c r="K255" s="28" t="n">
        <f aca="false">$K$8</f>
        <v>0.297030231526703</v>
      </c>
      <c r="L255" s="28" t="n">
        <f aca="false">SQRT(J255^2+K255^2)</f>
        <v>1.75369314833214</v>
      </c>
      <c r="M255" s="53" t="n">
        <f aca="false">IF(G255="","",MAX(0,G255-1.96*L255/100))</f>
        <v>0.622490359390729</v>
      </c>
      <c r="N255" s="53" t="n">
        <f aca="false">IF(G255="","",MIN(1,G255+1.96*L255/100))</f>
        <v>0.691235130805349</v>
      </c>
      <c r="O255" s="52" t="n">
        <f aca="false">ROUND(S255*W255,0)</f>
        <v>98</v>
      </c>
      <c r="P255" s="52" t="n">
        <f aca="false">IF(F255="","",ROUND(SQRT((F255*L255/100)^2+(G255*O255)^2),0))</f>
        <v>69</v>
      </c>
      <c r="R255" s="54" t="n">
        <v>14.852549009562</v>
      </c>
      <c r="S255" s="55" t="n">
        <f aca="false">U255*V255*$F$5</f>
        <v>1428.36591156443</v>
      </c>
      <c r="T255" s="56" t="n">
        <f aca="false">MAX(0,MIN(1,R255/100+$D$5))</f>
        <v>0.656580539062925</v>
      </c>
      <c r="U255" s="56" t="n">
        <v>0.904029057952171</v>
      </c>
      <c r="V255" s="55" t="n">
        <v>1580</v>
      </c>
      <c r="W255" s="56" t="n">
        <v>0.0684752145190268</v>
      </c>
      <c r="X255" s="57" t="s">
        <v>168</v>
      </c>
      <c r="Y255" s="57" t="s">
        <v>130</v>
      </c>
    </row>
    <row r="256" customFormat="false" ht="15" hidden="false" customHeight="false" outlineLevel="0" collapsed="false">
      <c r="A256" s="25" t="s">
        <v>385</v>
      </c>
      <c r="B256" s="25" t="s">
        <v>418</v>
      </c>
      <c r="C256" s="25" t="s">
        <v>419</v>
      </c>
      <c r="D256" s="52" t="n">
        <f aca="false">ROUND(S256*T256,0)</f>
        <v>384</v>
      </c>
      <c r="E256" s="52" t="n">
        <f aca="false">ROUND(S256,0)-D256</f>
        <v>335</v>
      </c>
      <c r="F256" s="52" t="n">
        <f aca="false">IF(COUNTA(D256:E256)=0,"",SUM(D256:E256))</f>
        <v>719</v>
      </c>
      <c r="G256" s="53" t="n">
        <f aca="false">IF(OR(F256="",F256=0),"",D256/F256)</f>
        <v>0.534075104311544</v>
      </c>
      <c r="H256" s="53" t="n">
        <f aca="false">IF(OR(F256="",F256=0),"",E256/F256)</f>
        <v>0.465924895688456</v>
      </c>
      <c r="I256" s="25" t="s">
        <v>128</v>
      </c>
      <c r="J256" s="28" t="n">
        <v>2.11716121919269</v>
      </c>
      <c r="K256" s="28" t="n">
        <f aca="false">$K$8</f>
        <v>0.297030231526703</v>
      </c>
      <c r="L256" s="28" t="n">
        <f aca="false">SQRT(J256^2+K256^2)</f>
        <v>2.13789583153489</v>
      </c>
      <c r="M256" s="53" t="n">
        <f aca="false">IF(G256="","",MAX(0,G256-1.96*L256/100))</f>
        <v>0.49217234601346</v>
      </c>
      <c r="N256" s="53" t="n">
        <f aca="false">IF(G256="","",MIN(1,G256+1.96*L256/100))</f>
        <v>0.575977862609628</v>
      </c>
      <c r="O256" s="52" t="n">
        <f aca="false">ROUND(S256*W256,0)</f>
        <v>64</v>
      </c>
      <c r="P256" s="52" t="n">
        <f aca="false">IF(F256="","",ROUND(SQRT((F256*L256/100)^2+(G256*O256)^2),0))</f>
        <v>37</v>
      </c>
      <c r="R256" s="54" t="n">
        <v>2.6083164742821</v>
      </c>
      <c r="S256" s="55" t="n">
        <f aca="false">U256*V256*$F$5</f>
        <v>718.755218216319</v>
      </c>
      <c r="T256" s="56" t="n">
        <f aca="false">MAX(0,MIN(1,R256/100+$D$5))</f>
        <v>0.534138213710126</v>
      </c>
      <c r="U256" s="56" t="n">
        <v>0.675521821631879</v>
      </c>
      <c r="V256" s="55" t="n">
        <v>1064</v>
      </c>
      <c r="W256" s="56" t="n">
        <v>0.0887445098984521</v>
      </c>
      <c r="X256" s="57" t="s">
        <v>135</v>
      </c>
      <c r="Y256" s="57" t="s">
        <v>130</v>
      </c>
    </row>
    <row r="257" customFormat="false" ht="15" hidden="false" customHeight="false" outlineLevel="0" collapsed="false">
      <c r="A257" s="25" t="s">
        <v>385</v>
      </c>
      <c r="B257" s="25" t="s">
        <v>418</v>
      </c>
      <c r="C257" s="25" t="s">
        <v>420</v>
      </c>
      <c r="D257" s="52" t="n">
        <f aca="false">ROUND(S257*T257,0)</f>
        <v>492</v>
      </c>
      <c r="E257" s="52" t="n">
        <f aca="false">ROUND(S257,0)-D257</f>
        <v>437</v>
      </c>
      <c r="F257" s="52" t="n">
        <f aca="false">IF(COUNTA(D257:E257)=0,"",SUM(D257:E257))</f>
        <v>929</v>
      </c>
      <c r="G257" s="53" t="n">
        <f aca="false">IF(OR(F257="",F257=0),"",D257/F257)</f>
        <v>0.529601722282024</v>
      </c>
      <c r="H257" s="53" t="n">
        <f aca="false">IF(OR(F257="",F257=0),"",E257/F257)</f>
        <v>0.470398277717976</v>
      </c>
      <c r="I257" s="25" t="s">
        <v>128</v>
      </c>
      <c r="J257" s="28" t="n">
        <v>2.11716121919269</v>
      </c>
      <c r="K257" s="28" t="n">
        <f aca="false">$K$8</f>
        <v>0.297030231526703</v>
      </c>
      <c r="L257" s="28" t="n">
        <f aca="false">SQRT(J257^2+K257^2)</f>
        <v>2.13789583153489</v>
      </c>
      <c r="M257" s="53" t="n">
        <f aca="false">IF(G257="","",MAX(0,G257-1.96*L257/100))</f>
        <v>0.48769896398394</v>
      </c>
      <c r="N257" s="53" t="n">
        <f aca="false">IF(G257="","",MIN(1,G257+1.96*L257/100))</f>
        <v>0.571504480580108</v>
      </c>
      <c r="O257" s="52" t="n">
        <f aca="false">ROUND(S257*W257,0)</f>
        <v>82</v>
      </c>
      <c r="P257" s="52" t="n">
        <f aca="false">IF(F257="","",ROUND(SQRT((F257*L257/100)^2+(G257*O257)^2),0))</f>
        <v>48</v>
      </c>
      <c r="R257" s="54" t="n">
        <v>2.16010448655223</v>
      </c>
      <c r="S257" s="55" t="n">
        <f aca="false">U257*V257*$F$5</f>
        <v>929.064439140811</v>
      </c>
      <c r="T257" s="56" t="n">
        <f aca="false">MAX(0,MIN(1,R257/100+$D$5))</f>
        <v>0.529656093832827</v>
      </c>
      <c r="U257" s="56" t="n">
        <v>0.720763723150358</v>
      </c>
      <c r="V257" s="55" t="n">
        <v>1289</v>
      </c>
      <c r="W257" s="56" t="n">
        <v>0.0887445098984521</v>
      </c>
      <c r="X257" s="57" t="s">
        <v>135</v>
      </c>
      <c r="Y257" s="57" t="s">
        <v>130</v>
      </c>
    </row>
    <row r="258" customFormat="false" ht="15" hidden="false" customHeight="false" outlineLevel="0" collapsed="false">
      <c r="A258" s="25" t="s">
        <v>385</v>
      </c>
      <c r="B258" s="25" t="s">
        <v>418</v>
      </c>
      <c r="C258" s="25" t="s">
        <v>421</v>
      </c>
      <c r="D258" s="52" t="n">
        <f aca="false">ROUND(S258*T258,0)</f>
        <v>545</v>
      </c>
      <c r="E258" s="52" t="n">
        <f aca="false">ROUND(S258,0)-D258</f>
        <v>445</v>
      </c>
      <c r="F258" s="52" t="n">
        <f aca="false">IF(COUNTA(D258:E258)=0,"",SUM(D258:E258))</f>
        <v>990</v>
      </c>
      <c r="G258" s="53" t="n">
        <f aca="false">IF(OR(F258="",F258=0),"",D258/F258)</f>
        <v>0.550505050505051</v>
      </c>
      <c r="H258" s="53" t="n">
        <f aca="false">IF(OR(F258="",F258=0),"",E258/F258)</f>
        <v>0.44949494949495</v>
      </c>
      <c r="I258" s="25" t="s">
        <v>128</v>
      </c>
      <c r="J258" s="28" t="n">
        <v>1.72835549007323</v>
      </c>
      <c r="K258" s="28" t="n">
        <f aca="false">$K$8</f>
        <v>0.297030231526703</v>
      </c>
      <c r="L258" s="28" t="n">
        <f aca="false">SQRT(J258^2+K258^2)</f>
        <v>1.75369314833214</v>
      </c>
      <c r="M258" s="53" t="n">
        <f aca="false">IF(G258="","",MAX(0,G258-1.96*L258/100))</f>
        <v>0.516132664797741</v>
      </c>
      <c r="N258" s="53" t="n">
        <f aca="false">IF(G258="","",MIN(1,G258+1.96*L258/100))</f>
        <v>0.58487743621236</v>
      </c>
      <c r="O258" s="52" t="n">
        <f aca="false">ROUND(S258*W258,0)</f>
        <v>68</v>
      </c>
      <c r="P258" s="52" t="n">
        <f aca="false">IF(F258="","",ROUND(SQRT((F258*L258/100)^2+(G258*O258)^2),0))</f>
        <v>41</v>
      </c>
      <c r="R258" s="54" t="n">
        <v>4.18106012238728</v>
      </c>
      <c r="S258" s="55" t="n">
        <f aca="false">U258*V258*$F$5</f>
        <v>990.257425742575</v>
      </c>
      <c r="T258" s="56" t="n">
        <f aca="false">MAX(0,MIN(1,R258/100+$D$5))</f>
        <v>0.549865650191178</v>
      </c>
      <c r="U258" s="56" t="n">
        <v>0.601980198019802</v>
      </c>
      <c r="V258" s="55" t="n">
        <v>1645</v>
      </c>
      <c r="W258" s="56" t="n">
        <v>0.0684752145190268</v>
      </c>
      <c r="X258" s="57" t="s">
        <v>168</v>
      </c>
      <c r="Y258" s="57" t="s">
        <v>130</v>
      </c>
    </row>
    <row r="259" customFormat="false" ht="15" hidden="false" customHeight="false" outlineLevel="0" collapsed="false">
      <c r="A259" s="25" t="s">
        <v>385</v>
      </c>
      <c r="B259" s="25" t="s">
        <v>418</v>
      </c>
      <c r="C259" s="25" t="s">
        <v>422</v>
      </c>
      <c r="D259" s="52" t="n">
        <f aca="false">ROUND(S259*T259,0)</f>
        <v>261</v>
      </c>
      <c r="E259" s="52" t="n">
        <f aca="false">ROUND(S259,0)-D259</f>
        <v>253</v>
      </c>
      <c r="F259" s="52" t="n">
        <f aca="false">IF(COUNTA(D259:E259)=0,"",SUM(D259:E259))</f>
        <v>514</v>
      </c>
      <c r="G259" s="53" t="n">
        <f aca="false">IF(OR(F259="",F259=0),"",D259/F259)</f>
        <v>0.507782101167315</v>
      </c>
      <c r="H259" s="53" t="n">
        <f aca="false">IF(OR(F259="",F259=0),"",E259/F259)</f>
        <v>0.492217898832685</v>
      </c>
      <c r="I259" s="25" t="s">
        <v>128</v>
      </c>
      <c r="J259" s="28" t="n">
        <v>3.42046080519466</v>
      </c>
      <c r="K259" s="28" t="n">
        <f aca="false">$K$8</f>
        <v>0.297030231526703</v>
      </c>
      <c r="L259" s="28" t="n">
        <f aca="false">SQRT(J259^2+K259^2)</f>
        <v>3.43333352273176</v>
      </c>
      <c r="M259" s="53" t="n">
        <f aca="false">IF(G259="","",MAX(0,G259-1.96*L259/100))</f>
        <v>0.440488764121773</v>
      </c>
      <c r="N259" s="53" t="n">
        <f aca="false">IF(G259="","",MIN(1,G259+1.96*L259/100))</f>
        <v>0.575075438212858</v>
      </c>
      <c r="O259" s="52" t="n">
        <f aca="false">ROUND(S259*W259,0)</f>
        <v>76</v>
      </c>
      <c r="P259" s="52" t="n">
        <f aca="false">IF(F259="","",ROUND(SQRT((F259*L259/100)^2+(G259*O259)^2),0))</f>
        <v>42</v>
      </c>
      <c r="R259" s="54" t="n">
        <v>0.000772223947384557</v>
      </c>
      <c r="S259" s="55" t="n">
        <f aca="false">U259*V259*$F$5</f>
        <v>513.768181818182</v>
      </c>
      <c r="T259" s="56" t="n">
        <f aca="false">MAX(0,MIN(1,R259/100+$D$5))</f>
        <v>0.508062771206779</v>
      </c>
      <c r="U259" s="56" t="n">
        <v>0.547727272727273</v>
      </c>
      <c r="V259" s="55" t="n">
        <v>938</v>
      </c>
      <c r="W259" s="56" t="n">
        <v>0.148097331980838</v>
      </c>
      <c r="X259" s="57" t="s">
        <v>129</v>
      </c>
      <c r="Y259" s="57" t="s">
        <v>130</v>
      </c>
    </row>
    <row r="260" customFormat="false" ht="15" hidden="false" customHeight="false" outlineLevel="0" collapsed="false">
      <c r="A260" s="25" t="s">
        <v>385</v>
      </c>
      <c r="B260" s="25" t="s">
        <v>418</v>
      </c>
      <c r="C260" s="25" t="s">
        <v>423</v>
      </c>
      <c r="D260" s="52" t="n">
        <f aca="false">ROUND(S260*T260,0)</f>
        <v>439</v>
      </c>
      <c r="E260" s="52" t="n">
        <f aca="false">ROUND(S260,0)-D260</f>
        <v>353</v>
      </c>
      <c r="F260" s="52" t="n">
        <f aca="false">IF(COUNTA(D260:E260)=0,"",SUM(D260:E260))</f>
        <v>792</v>
      </c>
      <c r="G260" s="53" t="n">
        <f aca="false">IF(OR(F260="",F260=0),"",D260/F260)</f>
        <v>0.554292929292929</v>
      </c>
      <c r="H260" s="53" t="n">
        <f aca="false">IF(OR(F260="",F260=0),"",E260/F260)</f>
        <v>0.445707070707071</v>
      </c>
      <c r="I260" s="25" t="s">
        <v>128</v>
      </c>
      <c r="J260" s="28" t="n">
        <v>2.11716121919269</v>
      </c>
      <c r="K260" s="28" t="n">
        <f aca="false">$K$8</f>
        <v>0.297030231526703</v>
      </c>
      <c r="L260" s="28" t="n">
        <f aca="false">SQRT(J260^2+K260^2)</f>
        <v>2.13789583153489</v>
      </c>
      <c r="M260" s="53" t="n">
        <f aca="false">IF(G260="","",MAX(0,G260-1.96*L260/100))</f>
        <v>0.512390170994845</v>
      </c>
      <c r="N260" s="53" t="n">
        <f aca="false">IF(G260="","",MIN(1,G260+1.96*L260/100))</f>
        <v>0.596195687591013</v>
      </c>
      <c r="O260" s="52" t="n">
        <f aca="false">ROUND(S260*W260,0)</f>
        <v>70</v>
      </c>
      <c r="P260" s="52" t="n">
        <f aca="false">IF(F260="","",ROUND(SQRT((F260*L260/100)^2+(G260*O260)^2),0))</f>
        <v>42</v>
      </c>
      <c r="R260" s="54" t="n">
        <v>4.52865173041638</v>
      </c>
      <c r="S260" s="55" t="n">
        <f aca="false">U260*V260*$F$5</f>
        <v>792.466367713005</v>
      </c>
      <c r="T260" s="56" t="n">
        <f aca="false">MAX(0,MIN(1,R260/100+$D$5))</f>
        <v>0.553341566271469</v>
      </c>
      <c r="U260" s="56" t="n">
        <v>0.56203288490284</v>
      </c>
      <c r="V260" s="55" t="n">
        <v>1410</v>
      </c>
      <c r="W260" s="56" t="n">
        <v>0.0887445098984521</v>
      </c>
      <c r="X260" s="57" t="s">
        <v>135</v>
      </c>
      <c r="Y260" s="57" t="s">
        <v>130</v>
      </c>
    </row>
    <row r="261" customFormat="false" ht="15" hidden="false" customHeight="false" outlineLevel="0" collapsed="false">
      <c r="A261" s="25" t="s">
        <v>385</v>
      </c>
      <c r="B261" s="25" t="s">
        <v>418</v>
      </c>
      <c r="C261" s="25" t="s">
        <v>424</v>
      </c>
      <c r="D261" s="52" t="n">
        <f aca="false">ROUND(S261*T261,0)</f>
        <v>444</v>
      </c>
      <c r="E261" s="52" t="n">
        <f aca="false">ROUND(S261,0)-D261</f>
        <v>396</v>
      </c>
      <c r="F261" s="52" t="n">
        <f aca="false">IF(COUNTA(D261:E261)=0,"",SUM(D261:E261))</f>
        <v>840</v>
      </c>
      <c r="G261" s="53" t="n">
        <f aca="false">IF(OR(F261="",F261=0),"",D261/F261)</f>
        <v>0.528571428571429</v>
      </c>
      <c r="H261" s="53" t="n">
        <f aca="false">IF(OR(F261="",F261=0),"",E261/F261)</f>
        <v>0.471428571428571</v>
      </c>
      <c r="I261" s="25" t="s">
        <v>128</v>
      </c>
      <c r="J261" s="28" t="n">
        <v>2.11716121919269</v>
      </c>
      <c r="K261" s="28" t="n">
        <f aca="false">$K$8</f>
        <v>0.297030231526703</v>
      </c>
      <c r="L261" s="28" t="n">
        <f aca="false">SQRT(J261^2+K261^2)</f>
        <v>2.13789583153489</v>
      </c>
      <c r="M261" s="53" t="n">
        <f aca="false">IF(G261="","",MAX(0,G261-1.96*L261/100))</f>
        <v>0.486668670273345</v>
      </c>
      <c r="N261" s="53" t="n">
        <f aca="false">IF(G261="","",MIN(1,G261+1.96*L261/100))</f>
        <v>0.570474186869513</v>
      </c>
      <c r="O261" s="52" t="n">
        <f aca="false">ROUND(S261*W261,0)</f>
        <v>75</v>
      </c>
      <c r="P261" s="52" t="n">
        <f aca="false">IF(F261="","",ROUND(SQRT((F261*L261/100)^2+(G261*O261)^2),0))</f>
        <v>44</v>
      </c>
      <c r="R261" s="54" t="n">
        <v>2.10791111459232</v>
      </c>
      <c r="S261" s="55" t="n">
        <f aca="false">U261*V261*$F$5</f>
        <v>839.707716289945</v>
      </c>
      <c r="T261" s="56" t="n">
        <f aca="false">MAX(0,MIN(1,R261/100+$D$5))</f>
        <v>0.529134160113228</v>
      </c>
      <c r="U261" s="56" t="n">
        <v>0.624318004676539</v>
      </c>
      <c r="V261" s="55" t="n">
        <v>1345</v>
      </c>
      <c r="W261" s="56" t="n">
        <v>0.0887445098984521</v>
      </c>
      <c r="X261" s="57" t="s">
        <v>135</v>
      </c>
      <c r="Y261" s="57" t="s">
        <v>130</v>
      </c>
    </row>
    <row r="262" customFormat="false" ht="15" hidden="false" customHeight="false" outlineLevel="0" collapsed="false">
      <c r="A262" s="25" t="s">
        <v>385</v>
      </c>
      <c r="B262" s="25" t="s">
        <v>418</v>
      </c>
      <c r="C262" s="25" t="s">
        <v>425</v>
      </c>
      <c r="D262" s="52" t="n">
        <f aca="false">ROUND(S262*T262,0)</f>
        <v>280</v>
      </c>
      <c r="E262" s="52" t="n">
        <f aca="false">ROUND(S262,0)-D262</f>
        <v>234</v>
      </c>
      <c r="F262" s="52" t="n">
        <f aca="false">IF(COUNTA(D262:E262)=0,"",SUM(D262:E262))</f>
        <v>514</v>
      </c>
      <c r="G262" s="53" t="n">
        <f aca="false">IF(OR(F262="",F262=0),"",D262/F262)</f>
        <v>0.544747081712062</v>
      </c>
      <c r="H262" s="53" t="n">
        <f aca="false">IF(OR(F262="",F262=0),"",E262/F262)</f>
        <v>0.455252918287938</v>
      </c>
      <c r="I262" s="25" t="s">
        <v>128</v>
      </c>
      <c r="J262" s="28" t="n">
        <v>3.42046080519466</v>
      </c>
      <c r="K262" s="28" t="n">
        <f aca="false">$K$8</f>
        <v>0.297030231526703</v>
      </c>
      <c r="L262" s="28" t="n">
        <f aca="false">SQRT(J262^2+K262^2)</f>
        <v>3.43333352273176</v>
      </c>
      <c r="M262" s="53" t="n">
        <f aca="false">IF(G262="","",MAX(0,G262-1.96*L262/100))</f>
        <v>0.47745374466652</v>
      </c>
      <c r="N262" s="53" t="n">
        <f aca="false">IF(G262="","",MIN(1,G262+1.96*L262/100))</f>
        <v>0.612040418757605</v>
      </c>
      <c r="O262" s="52" t="n">
        <f aca="false">ROUND(S262*W262,0)</f>
        <v>76</v>
      </c>
      <c r="P262" s="52" t="n">
        <f aca="false">IF(F262="","",ROUND(SQRT((F262*L262/100)^2+(G262*O262)^2),0))</f>
        <v>45</v>
      </c>
      <c r="R262" s="54" t="n">
        <v>3.68315170132131</v>
      </c>
      <c r="S262" s="55" t="n">
        <f aca="false">U262*V262*$F$5</f>
        <v>514.18359375</v>
      </c>
      <c r="T262" s="56" t="n">
        <f aca="false">MAX(0,MIN(1,R262/100+$D$5))</f>
        <v>0.544886565980518</v>
      </c>
      <c r="U262" s="56" t="n">
        <v>0.641927083333333</v>
      </c>
      <c r="V262" s="55" t="n">
        <v>801</v>
      </c>
      <c r="W262" s="56" t="n">
        <v>0.148097331980838</v>
      </c>
      <c r="X262" s="57" t="s">
        <v>129</v>
      </c>
      <c r="Y262" s="57" t="s">
        <v>130</v>
      </c>
    </row>
    <row r="263" customFormat="false" ht="15" hidden="false" customHeight="false" outlineLevel="0" collapsed="false">
      <c r="A263" s="25" t="s">
        <v>385</v>
      </c>
      <c r="B263" s="25" t="s">
        <v>418</v>
      </c>
      <c r="C263" s="25" t="s">
        <v>426</v>
      </c>
      <c r="D263" s="52" t="n">
        <f aca="false">ROUND(S263*T263,0)</f>
        <v>402</v>
      </c>
      <c r="E263" s="52" t="n">
        <f aca="false">ROUND(S263,0)-D263</f>
        <v>304</v>
      </c>
      <c r="F263" s="52" t="n">
        <f aca="false">IF(COUNTA(D263:E263)=0,"",SUM(D263:E263))</f>
        <v>706</v>
      </c>
      <c r="G263" s="53" t="n">
        <f aca="false">IF(OR(F263="",F263=0),"",D263/F263)</f>
        <v>0.569405099150142</v>
      </c>
      <c r="H263" s="53" t="n">
        <f aca="false">IF(OR(F263="",F263=0),"",E263/F263)</f>
        <v>0.430594900849858</v>
      </c>
      <c r="I263" s="25" t="s">
        <v>128</v>
      </c>
      <c r="J263" s="28" t="n">
        <v>2.11716121919269</v>
      </c>
      <c r="K263" s="28" t="n">
        <f aca="false">$K$8</f>
        <v>0.297030231526703</v>
      </c>
      <c r="L263" s="28" t="n">
        <f aca="false">SQRT(J263^2+K263^2)</f>
        <v>2.13789583153489</v>
      </c>
      <c r="M263" s="53" t="n">
        <f aca="false">IF(G263="","",MAX(0,G263-1.96*L263/100))</f>
        <v>0.527502340852058</v>
      </c>
      <c r="N263" s="53" t="n">
        <f aca="false">IF(G263="","",MIN(1,G263+1.96*L263/100))</f>
        <v>0.611307857448226</v>
      </c>
      <c r="O263" s="52" t="n">
        <f aca="false">ROUND(S263*W263,0)</f>
        <v>63</v>
      </c>
      <c r="P263" s="52" t="n">
        <f aca="false">IF(F263="","",ROUND(SQRT((F263*L263/100)^2+(G263*O263)^2),0))</f>
        <v>39</v>
      </c>
      <c r="R263" s="54" t="n">
        <v>6.11237088607027</v>
      </c>
      <c r="S263" s="55" t="n">
        <f aca="false">U263*V263*$F$5</f>
        <v>705.860894941635</v>
      </c>
      <c r="T263" s="56" t="n">
        <f aca="false">MAX(0,MIN(1,R263/100+$D$5))</f>
        <v>0.569178757828007</v>
      </c>
      <c r="U263" s="56" t="n">
        <v>0.607976653696498</v>
      </c>
      <c r="V263" s="55" t="n">
        <v>1161</v>
      </c>
      <c r="W263" s="56" t="n">
        <v>0.0887445098984521</v>
      </c>
      <c r="X263" s="57" t="s">
        <v>135</v>
      </c>
      <c r="Y263" s="57" t="s">
        <v>130</v>
      </c>
    </row>
    <row r="264" customFormat="false" ht="15" hidden="false" customHeight="false" outlineLevel="0" collapsed="false">
      <c r="A264" s="25" t="s">
        <v>385</v>
      </c>
      <c r="B264" s="25" t="s">
        <v>418</v>
      </c>
      <c r="C264" s="25" t="s">
        <v>427</v>
      </c>
      <c r="D264" s="52" t="n">
        <f aca="false">ROUND(S264*T264,0)</f>
        <v>256</v>
      </c>
      <c r="E264" s="52" t="n">
        <f aca="false">ROUND(S264,0)-D264</f>
        <v>173</v>
      </c>
      <c r="F264" s="52" t="n">
        <f aca="false">IF(COUNTA(D264:E264)=0,"",SUM(D264:E264))</f>
        <v>429</v>
      </c>
      <c r="G264" s="53" t="n">
        <f aca="false">IF(OR(F264="",F264=0),"",D264/F264)</f>
        <v>0.596736596736597</v>
      </c>
      <c r="H264" s="53" t="n">
        <f aca="false">IF(OR(F264="",F264=0),"",E264/F264)</f>
        <v>0.403263403263403</v>
      </c>
      <c r="I264" s="25" t="s">
        <v>128</v>
      </c>
      <c r="J264" s="28" t="n">
        <v>3.42046080519466</v>
      </c>
      <c r="K264" s="28" t="n">
        <f aca="false">$K$8</f>
        <v>0.297030231526703</v>
      </c>
      <c r="L264" s="28" t="n">
        <f aca="false">SQRT(J264^2+K264^2)</f>
        <v>3.43333352273176</v>
      </c>
      <c r="M264" s="53" t="n">
        <f aca="false">IF(G264="","",MAX(0,G264-1.96*L264/100))</f>
        <v>0.529443259691054</v>
      </c>
      <c r="N264" s="53" t="n">
        <f aca="false">IF(G264="","",MIN(1,G264+1.96*L264/100))</f>
        <v>0.664029933782139</v>
      </c>
      <c r="O264" s="52" t="n">
        <f aca="false">ROUND(S264*W264,0)</f>
        <v>64</v>
      </c>
      <c r="P264" s="52" t="n">
        <f aca="false">IF(F264="","",ROUND(SQRT((F264*L264/100)^2+(G264*O264)^2),0))</f>
        <v>41</v>
      </c>
      <c r="R264" s="54" t="n">
        <v>8.86190164508051</v>
      </c>
      <c r="S264" s="55" t="n">
        <f aca="false">U264*V264*$F$5</f>
        <v>429.344262295082</v>
      </c>
      <c r="T264" s="56" t="n">
        <f aca="false">MAX(0,MIN(1,R264/100+$D$5))</f>
        <v>0.59667406541811</v>
      </c>
      <c r="U264" s="56" t="n">
        <v>0.55327868852459</v>
      </c>
      <c r="V264" s="55" t="n">
        <v>776</v>
      </c>
      <c r="W264" s="56" t="n">
        <v>0.148097331980838</v>
      </c>
      <c r="X264" s="57" t="s">
        <v>129</v>
      </c>
      <c r="Y264" s="57" t="s">
        <v>130</v>
      </c>
    </row>
    <row r="265" customFormat="false" ht="15" hidden="false" customHeight="false" outlineLevel="0" collapsed="false">
      <c r="A265" s="25" t="s">
        <v>385</v>
      </c>
      <c r="B265" s="25" t="s">
        <v>418</v>
      </c>
      <c r="C265" s="25" t="s">
        <v>428</v>
      </c>
      <c r="D265" s="52" t="n">
        <f aca="false">ROUND(S265*T265,0)</f>
        <v>279</v>
      </c>
      <c r="E265" s="52" t="n">
        <f aca="false">ROUND(S265,0)-D265</f>
        <v>265</v>
      </c>
      <c r="F265" s="52" t="n">
        <f aca="false">IF(COUNTA(D265:E265)=0,"",SUM(D265:E265))</f>
        <v>544</v>
      </c>
      <c r="G265" s="53" t="n">
        <f aca="false">IF(OR(F265="",F265=0),"",D265/F265)</f>
        <v>0.512867647058824</v>
      </c>
      <c r="H265" s="53" t="n">
        <f aca="false">IF(OR(F265="",F265=0),"",E265/F265)</f>
        <v>0.487132352941176</v>
      </c>
      <c r="I265" s="25" t="s">
        <v>128</v>
      </c>
      <c r="J265" s="28" t="n">
        <v>3.42046080519466</v>
      </c>
      <c r="K265" s="28" t="n">
        <f aca="false">$K$8</f>
        <v>0.297030231526703</v>
      </c>
      <c r="L265" s="28" t="n">
        <f aca="false">SQRT(J265^2+K265^2)</f>
        <v>3.43333352273176</v>
      </c>
      <c r="M265" s="53" t="n">
        <f aca="false">IF(G265="","",MAX(0,G265-1.96*L265/100))</f>
        <v>0.445574310013281</v>
      </c>
      <c r="N265" s="53" t="n">
        <f aca="false">IF(G265="","",MIN(1,G265+1.96*L265/100))</f>
        <v>0.580160984104366</v>
      </c>
      <c r="O265" s="52" t="n">
        <f aca="false">ROUND(S265*W265,0)</f>
        <v>81</v>
      </c>
      <c r="P265" s="52" t="n">
        <f aca="false">IF(F265="","",ROUND(SQRT((F265*L265/100)^2+(G265*O265)^2),0))</f>
        <v>46</v>
      </c>
      <c r="R265" s="54" t="n">
        <v>0.469169068123158</v>
      </c>
      <c r="S265" s="55" t="n">
        <f aca="false">U265*V265*$F$5</f>
        <v>543.75093399751</v>
      </c>
      <c r="T265" s="56" t="n">
        <f aca="false">MAX(0,MIN(1,R265/100+$D$5))</f>
        <v>0.512746739648536</v>
      </c>
      <c r="U265" s="56" t="n">
        <v>0.687422166874222</v>
      </c>
      <c r="V265" s="55" t="n">
        <v>791</v>
      </c>
      <c r="W265" s="56" t="n">
        <v>0.148097331980838</v>
      </c>
      <c r="X265" s="57" t="s">
        <v>129</v>
      </c>
      <c r="Y265" s="57" t="s">
        <v>130</v>
      </c>
    </row>
    <row r="266" customFormat="false" ht="15" hidden="false" customHeight="false" outlineLevel="0" collapsed="false">
      <c r="A266" s="25" t="s">
        <v>385</v>
      </c>
      <c r="B266" s="25" t="s">
        <v>418</v>
      </c>
      <c r="C266" s="25" t="s">
        <v>429</v>
      </c>
      <c r="D266" s="52" t="n">
        <f aca="false">ROUND(S266*T266,0)</f>
        <v>348</v>
      </c>
      <c r="E266" s="52" t="n">
        <f aca="false">ROUND(S266,0)-D266</f>
        <v>305</v>
      </c>
      <c r="F266" s="52" t="n">
        <f aca="false">IF(COUNTA(D266:E266)=0,"",SUM(D266:E266))</f>
        <v>653</v>
      </c>
      <c r="G266" s="53" t="n">
        <f aca="false">IF(OR(F266="",F266=0),"",D266/F266)</f>
        <v>0.532924961715161</v>
      </c>
      <c r="H266" s="53" t="n">
        <f aca="false">IF(OR(F266="",F266=0),"",E266/F266)</f>
        <v>0.467075038284839</v>
      </c>
      <c r="I266" s="25" t="s">
        <v>128</v>
      </c>
      <c r="J266" s="28" t="n">
        <v>2.11716121919269</v>
      </c>
      <c r="K266" s="28" t="n">
        <f aca="false">$K$8</f>
        <v>0.297030231526703</v>
      </c>
      <c r="L266" s="28" t="n">
        <f aca="false">SQRT(J266^2+K266^2)</f>
        <v>2.13789583153489</v>
      </c>
      <c r="M266" s="53" t="n">
        <f aca="false">IF(G266="","",MAX(0,G266-1.96*L266/100))</f>
        <v>0.491022203417077</v>
      </c>
      <c r="N266" s="53" t="n">
        <f aca="false">IF(G266="","",MIN(1,G266+1.96*L266/100))</f>
        <v>0.574827720013245</v>
      </c>
      <c r="O266" s="52" t="n">
        <f aca="false">ROUND(S266*W266,0)</f>
        <v>58</v>
      </c>
      <c r="P266" s="52" t="n">
        <f aca="false">IF(F266="","",ROUND(SQRT((F266*L266/100)^2+(G266*O266)^2),0))</f>
        <v>34</v>
      </c>
      <c r="R266" s="54" t="n">
        <v>2.45437626869908</v>
      </c>
      <c r="S266" s="55" t="n">
        <f aca="false">U266*V266*$F$5</f>
        <v>652.778593913956</v>
      </c>
      <c r="T266" s="56" t="n">
        <f aca="false">MAX(0,MIN(1,R266/100+$D$5))</f>
        <v>0.532598811654296</v>
      </c>
      <c r="U266" s="56" t="n">
        <v>0.677859391395593</v>
      </c>
      <c r="V266" s="55" t="n">
        <v>963</v>
      </c>
      <c r="W266" s="56" t="n">
        <v>0.0887445098984521</v>
      </c>
      <c r="X266" s="57" t="s">
        <v>135</v>
      </c>
      <c r="Y266" s="57" t="s">
        <v>130</v>
      </c>
    </row>
    <row r="267" customFormat="false" ht="15" hidden="false" customHeight="false" outlineLevel="0" collapsed="false">
      <c r="A267" s="25" t="s">
        <v>385</v>
      </c>
      <c r="B267" s="25" t="s">
        <v>418</v>
      </c>
      <c r="C267" s="25" t="s">
        <v>430</v>
      </c>
      <c r="D267" s="52" t="n">
        <f aca="false">ROUND(S267*T267,0)</f>
        <v>433</v>
      </c>
      <c r="E267" s="52" t="n">
        <f aca="false">ROUND(S267,0)-D267</f>
        <v>337</v>
      </c>
      <c r="F267" s="52" t="n">
        <f aca="false">IF(COUNTA(D267:E267)=0,"",SUM(D267:E267))</f>
        <v>770</v>
      </c>
      <c r="G267" s="53" t="n">
        <f aca="false">IF(OR(F267="",F267=0),"",D267/F267)</f>
        <v>0.562337662337662</v>
      </c>
      <c r="H267" s="53" t="n">
        <f aca="false">IF(OR(F267="",F267=0),"",E267/F267)</f>
        <v>0.437662337662338</v>
      </c>
      <c r="I267" s="25" t="s">
        <v>128</v>
      </c>
      <c r="J267" s="28" t="n">
        <v>2.11716121919269</v>
      </c>
      <c r="K267" s="28" t="n">
        <f aca="false">$K$8</f>
        <v>0.297030231526703</v>
      </c>
      <c r="L267" s="28" t="n">
        <f aca="false">SQRT(J267^2+K267^2)</f>
        <v>2.13789583153489</v>
      </c>
      <c r="M267" s="53" t="n">
        <f aca="false">IF(G267="","",MAX(0,G267-1.96*L267/100))</f>
        <v>0.520434904039579</v>
      </c>
      <c r="N267" s="53" t="n">
        <f aca="false">IF(G267="","",MIN(1,G267+1.96*L267/100))</f>
        <v>0.604240420635746</v>
      </c>
      <c r="O267" s="52" t="n">
        <f aca="false">ROUND(S267*W267,0)</f>
        <v>68</v>
      </c>
      <c r="P267" s="52" t="n">
        <f aca="false">IF(F267="","",ROUND(SQRT((F267*L267/100)^2+(G267*O267)^2),0))</f>
        <v>42</v>
      </c>
      <c r="R267" s="54" t="n">
        <v>5.43772365733809</v>
      </c>
      <c r="S267" s="55" t="n">
        <f aca="false">U267*V267*$F$5</f>
        <v>770.401725790987</v>
      </c>
      <c r="T267" s="56" t="n">
        <f aca="false">MAX(0,MIN(1,R267/100+$D$5))</f>
        <v>0.562432285540686</v>
      </c>
      <c r="U267" s="56" t="n">
        <v>0.674017257909875</v>
      </c>
      <c r="V267" s="55" t="n">
        <v>1143</v>
      </c>
      <c r="W267" s="56" t="n">
        <v>0.0887445098984521</v>
      </c>
      <c r="X267" s="57" t="s">
        <v>135</v>
      </c>
      <c r="Y267" s="57" t="s">
        <v>130</v>
      </c>
    </row>
    <row r="268" customFormat="false" ht="15" hidden="false" customHeight="false" outlineLevel="0" collapsed="false">
      <c r="A268" s="25" t="s">
        <v>385</v>
      </c>
      <c r="B268" s="25" t="s">
        <v>418</v>
      </c>
      <c r="C268" s="25" t="s">
        <v>431</v>
      </c>
      <c r="D268" s="52" t="n">
        <f aca="false">ROUND(S268*T268,0)</f>
        <v>342</v>
      </c>
      <c r="E268" s="52" t="n">
        <f aca="false">ROUND(S268,0)-D268</f>
        <v>325</v>
      </c>
      <c r="F268" s="52" t="n">
        <f aca="false">IF(COUNTA(D268:E268)=0,"",SUM(D268:E268))</f>
        <v>667</v>
      </c>
      <c r="G268" s="53" t="n">
        <f aca="false">IF(OR(F268="",F268=0),"",D268/F268)</f>
        <v>0.512743628185907</v>
      </c>
      <c r="H268" s="53" t="n">
        <f aca="false">IF(OR(F268="",F268=0),"",E268/F268)</f>
        <v>0.487256371814093</v>
      </c>
      <c r="I268" s="25" t="s">
        <v>128</v>
      </c>
      <c r="J268" s="28" t="n">
        <v>2.11716121919269</v>
      </c>
      <c r="K268" s="28" t="n">
        <f aca="false">$K$8</f>
        <v>0.297030231526703</v>
      </c>
      <c r="L268" s="28" t="n">
        <f aca="false">SQRT(J268^2+K268^2)</f>
        <v>2.13789583153489</v>
      </c>
      <c r="M268" s="53" t="n">
        <f aca="false">IF(G268="","",MAX(0,G268-1.96*L268/100))</f>
        <v>0.470840869887823</v>
      </c>
      <c r="N268" s="53" t="n">
        <f aca="false">IF(G268="","",MIN(1,G268+1.96*L268/100))</f>
        <v>0.554646386483991</v>
      </c>
      <c r="O268" s="52" t="n">
        <f aca="false">ROUND(S268*W268,0)</f>
        <v>59</v>
      </c>
      <c r="P268" s="52" t="n">
        <f aca="false">IF(F268="","",ROUND(SQRT((F268*L268/100)^2+(G268*O268)^2),0))</f>
        <v>33</v>
      </c>
      <c r="R268" s="54" t="n">
        <v>0.521858395119799</v>
      </c>
      <c r="S268" s="55" t="n">
        <f aca="false">U268*V268*$F$5</f>
        <v>666.944444444445</v>
      </c>
      <c r="T268" s="56" t="n">
        <f aca="false">MAX(0,MIN(1,R268/100+$D$5))</f>
        <v>0.513273632918503</v>
      </c>
      <c r="U268" s="56" t="n">
        <v>0.614695340501792</v>
      </c>
      <c r="V268" s="55" t="n">
        <v>1085</v>
      </c>
      <c r="W268" s="56" t="n">
        <v>0.0887445098984521</v>
      </c>
      <c r="X268" s="57" t="s">
        <v>135</v>
      </c>
      <c r="Y268" s="57" t="s">
        <v>130</v>
      </c>
    </row>
    <row r="269" customFormat="false" ht="15" hidden="false" customHeight="false" outlineLevel="0" collapsed="false">
      <c r="A269" s="25" t="s">
        <v>385</v>
      </c>
      <c r="B269" s="25" t="s">
        <v>418</v>
      </c>
      <c r="C269" s="25" t="s">
        <v>432</v>
      </c>
      <c r="D269" s="52" t="n">
        <f aca="false">ROUND(S269*T269,0)</f>
        <v>747</v>
      </c>
      <c r="E269" s="52" t="n">
        <f aca="false">ROUND(S269,0)-D269</f>
        <v>579</v>
      </c>
      <c r="F269" s="52" t="n">
        <f aca="false">IF(COUNTA(D269:E269)=0,"",SUM(D269:E269))</f>
        <v>1326</v>
      </c>
      <c r="G269" s="53" t="n">
        <f aca="false">IF(OR(F269="",F269=0),"",D269/F269)</f>
        <v>0.563348416289593</v>
      </c>
      <c r="H269" s="53" t="n">
        <f aca="false">IF(OR(F269="",F269=0),"",E269/F269)</f>
        <v>0.436651583710407</v>
      </c>
      <c r="I269" s="25" t="s">
        <v>128</v>
      </c>
      <c r="J269" s="28" t="n">
        <v>1.72835549007323</v>
      </c>
      <c r="K269" s="28" t="n">
        <f aca="false">$K$8</f>
        <v>0.297030231526703</v>
      </c>
      <c r="L269" s="28" t="n">
        <f aca="false">SQRT(J269^2+K269^2)</f>
        <v>1.75369314833214</v>
      </c>
      <c r="M269" s="53" t="n">
        <f aca="false">IF(G269="","",MAX(0,G269-1.96*L269/100))</f>
        <v>0.528976030582283</v>
      </c>
      <c r="N269" s="53" t="n">
        <f aca="false">IF(G269="","",MIN(1,G269+1.96*L269/100))</f>
        <v>0.597720801996903</v>
      </c>
      <c r="O269" s="52" t="n">
        <f aca="false">ROUND(S269*W269,0)</f>
        <v>91</v>
      </c>
      <c r="P269" s="52" t="n">
        <f aca="false">IF(F269="","",ROUND(SQRT((F269*L269/100)^2+(G269*O269)^2),0))</f>
        <v>56</v>
      </c>
      <c r="R269" s="54" t="n">
        <v>5.5357856877139</v>
      </c>
      <c r="S269" s="55" t="n">
        <f aca="false">U269*V269*$F$5</f>
        <v>1325.7421875</v>
      </c>
      <c r="T269" s="56" t="n">
        <f aca="false">MAX(0,MIN(1,R269/100+$D$5))</f>
        <v>0.563412905844444</v>
      </c>
      <c r="U269" s="56" t="n">
        <v>0.61376953125</v>
      </c>
      <c r="V269" s="55" t="n">
        <v>2160</v>
      </c>
      <c r="W269" s="56" t="n">
        <v>0.0684752145190268</v>
      </c>
      <c r="X269" s="57" t="s">
        <v>168</v>
      </c>
      <c r="Y269" s="57" t="s">
        <v>130</v>
      </c>
    </row>
    <row r="270" customFormat="false" ht="15" hidden="false" customHeight="false" outlineLevel="0" collapsed="false">
      <c r="A270" s="25" t="s">
        <v>385</v>
      </c>
      <c r="B270" s="25" t="s">
        <v>418</v>
      </c>
      <c r="C270" s="25" t="s">
        <v>433</v>
      </c>
      <c r="D270" s="52" t="n">
        <f aca="false">ROUND(S270*T270,0)</f>
        <v>411</v>
      </c>
      <c r="E270" s="52" t="n">
        <f aca="false">ROUND(S270,0)-D270</f>
        <v>391</v>
      </c>
      <c r="F270" s="52" t="n">
        <f aca="false">IF(COUNTA(D270:E270)=0,"",SUM(D270:E270))</f>
        <v>802</v>
      </c>
      <c r="G270" s="53" t="n">
        <f aca="false">IF(OR(F270="",F270=0),"",D270/F270)</f>
        <v>0.512468827930175</v>
      </c>
      <c r="H270" s="53" t="n">
        <f aca="false">IF(OR(F270="",F270=0),"",E270/F270)</f>
        <v>0.487531172069825</v>
      </c>
      <c r="I270" s="25" t="s">
        <v>128</v>
      </c>
      <c r="J270" s="28" t="n">
        <v>2.11716121919269</v>
      </c>
      <c r="K270" s="28" t="n">
        <f aca="false">$K$8</f>
        <v>0.297030231526703</v>
      </c>
      <c r="L270" s="28" t="n">
        <f aca="false">SQRT(J270^2+K270^2)</f>
        <v>2.13789583153489</v>
      </c>
      <c r="M270" s="53" t="n">
        <f aca="false">IF(G270="","",MAX(0,G270-1.96*L270/100))</f>
        <v>0.470566069632091</v>
      </c>
      <c r="N270" s="53" t="n">
        <f aca="false">IF(G270="","",MIN(1,G270+1.96*L270/100))</f>
        <v>0.554371586228258</v>
      </c>
      <c r="O270" s="52" t="n">
        <f aca="false">ROUND(S270*W270,0)</f>
        <v>71</v>
      </c>
      <c r="P270" s="52" t="n">
        <f aca="false">IF(F270="","",ROUND(SQRT((F270*L270/100)^2+(G270*O270)^2),0))</f>
        <v>40</v>
      </c>
      <c r="R270" s="54" t="n">
        <v>0.447658139454726</v>
      </c>
      <c r="S270" s="55" t="n">
        <f aca="false">U270*V270*$F$5</f>
        <v>802.258193445244</v>
      </c>
      <c r="T270" s="56" t="n">
        <f aca="false">MAX(0,MIN(1,R270/100+$D$5))</f>
        <v>0.512531630361852</v>
      </c>
      <c r="U270" s="56" t="n">
        <v>0.619504396482814</v>
      </c>
      <c r="V270" s="55" t="n">
        <v>1295</v>
      </c>
      <c r="W270" s="56" t="n">
        <v>0.0887445098984521</v>
      </c>
      <c r="X270" s="57" t="s">
        <v>135</v>
      </c>
      <c r="Y270" s="57" t="s">
        <v>130</v>
      </c>
    </row>
    <row r="271" customFormat="false" ht="15" hidden="false" customHeight="false" outlineLevel="0" collapsed="false">
      <c r="A271" s="25" t="s">
        <v>385</v>
      </c>
      <c r="B271" s="25" t="s">
        <v>418</v>
      </c>
      <c r="C271" s="25" t="s">
        <v>434</v>
      </c>
      <c r="D271" s="52" t="n">
        <f aca="false">ROUND(S271*T271,0)</f>
        <v>409</v>
      </c>
      <c r="E271" s="52" t="n">
        <f aca="false">ROUND(S271,0)-D271</f>
        <v>374</v>
      </c>
      <c r="F271" s="52" t="n">
        <f aca="false">IF(COUNTA(D271:E271)=0,"",SUM(D271:E271))</f>
        <v>783</v>
      </c>
      <c r="G271" s="53" t="n">
        <f aca="false">IF(OR(F271="",F271=0),"",D271/F271)</f>
        <v>0.52234993614304</v>
      </c>
      <c r="H271" s="53" t="n">
        <f aca="false">IF(OR(F271="",F271=0),"",E271/F271)</f>
        <v>0.47765006385696</v>
      </c>
      <c r="I271" s="25" t="s">
        <v>128</v>
      </c>
      <c r="J271" s="28" t="n">
        <v>2.11716121919269</v>
      </c>
      <c r="K271" s="28" t="n">
        <f aca="false">$K$8</f>
        <v>0.297030231526703</v>
      </c>
      <c r="L271" s="28" t="n">
        <f aca="false">SQRT(J271^2+K271^2)</f>
        <v>2.13789583153489</v>
      </c>
      <c r="M271" s="53" t="n">
        <f aca="false">IF(G271="","",MAX(0,G271-1.96*L271/100))</f>
        <v>0.480447177844956</v>
      </c>
      <c r="N271" s="53" t="n">
        <f aca="false">IF(G271="","",MIN(1,G271+1.96*L271/100))</f>
        <v>0.564252694441124</v>
      </c>
      <c r="O271" s="52" t="n">
        <f aca="false">ROUND(S271*W271,0)</f>
        <v>69</v>
      </c>
      <c r="P271" s="52" t="n">
        <f aca="false">IF(F271="","",ROUND(SQRT((F271*L271/100)^2+(G271*O271)^2),0))</f>
        <v>40</v>
      </c>
      <c r="R271" s="54" t="n">
        <v>1.49876928370843</v>
      </c>
      <c r="S271" s="55" t="n">
        <f aca="false">U271*V271*$F$5</f>
        <v>782.654941373534</v>
      </c>
      <c r="T271" s="56" t="n">
        <f aca="false">MAX(0,MIN(1,R271/100+$D$5))</f>
        <v>0.523042741804389</v>
      </c>
      <c r="U271" s="56" t="n">
        <v>0.654941373534338</v>
      </c>
      <c r="V271" s="55" t="n">
        <v>1195</v>
      </c>
      <c r="W271" s="56" t="n">
        <v>0.0887445098984521</v>
      </c>
      <c r="X271" s="57" t="s">
        <v>135</v>
      </c>
      <c r="Y271" s="57" t="s">
        <v>130</v>
      </c>
    </row>
    <row r="272" customFormat="false" ht="15" hidden="false" customHeight="false" outlineLevel="0" collapsed="false">
      <c r="A272" s="25" t="s">
        <v>385</v>
      </c>
      <c r="B272" s="25" t="s">
        <v>418</v>
      </c>
      <c r="C272" s="25" t="s">
        <v>435</v>
      </c>
      <c r="D272" s="52" t="n">
        <f aca="false">ROUND(S272*T272,0)</f>
        <v>398</v>
      </c>
      <c r="E272" s="52" t="n">
        <f aca="false">ROUND(S272,0)-D272</f>
        <v>359</v>
      </c>
      <c r="F272" s="52" t="n">
        <f aca="false">IF(COUNTA(D272:E272)=0,"",SUM(D272:E272))</f>
        <v>757</v>
      </c>
      <c r="G272" s="53" t="n">
        <f aca="false">IF(OR(F272="",F272=0),"",D272/F272)</f>
        <v>0.525759577278732</v>
      </c>
      <c r="H272" s="53" t="n">
        <f aca="false">IF(OR(F272="",F272=0),"",E272/F272)</f>
        <v>0.474240422721268</v>
      </c>
      <c r="I272" s="25" t="s">
        <v>128</v>
      </c>
      <c r="J272" s="28" t="n">
        <v>2.11716121919269</v>
      </c>
      <c r="K272" s="28" t="n">
        <f aca="false">$K$8</f>
        <v>0.297030231526703</v>
      </c>
      <c r="L272" s="28" t="n">
        <f aca="false">SQRT(J272^2+K272^2)</f>
        <v>2.13789583153489</v>
      </c>
      <c r="M272" s="53" t="n">
        <f aca="false">IF(G272="","",MAX(0,G272-1.96*L272/100))</f>
        <v>0.483856818980648</v>
      </c>
      <c r="N272" s="53" t="n">
        <f aca="false">IF(G272="","",MIN(1,G272+1.96*L272/100))</f>
        <v>0.567662335576816</v>
      </c>
      <c r="O272" s="52" t="n">
        <f aca="false">ROUND(S272*W272,0)</f>
        <v>67</v>
      </c>
      <c r="P272" s="52" t="n">
        <f aca="false">IF(F272="","",ROUND(SQRT((F272*L272/100)^2+(G272*O272)^2),0))</f>
        <v>39</v>
      </c>
      <c r="R272" s="54" t="n">
        <v>1.80490347098763</v>
      </c>
      <c r="S272" s="55" t="n">
        <f aca="false">U272*V272*$F$5</f>
        <v>757.186813186813</v>
      </c>
      <c r="T272" s="56" t="n">
        <f aca="false">MAX(0,MIN(1,R272/100+$D$5))</f>
        <v>0.526104083677181</v>
      </c>
      <c r="U272" s="56" t="n">
        <v>0.637362637362637</v>
      </c>
      <c r="V272" s="55" t="n">
        <v>1188</v>
      </c>
      <c r="W272" s="56" t="n">
        <v>0.0887445098984521</v>
      </c>
      <c r="X272" s="57" t="s">
        <v>135</v>
      </c>
      <c r="Y272" s="57" t="s">
        <v>130</v>
      </c>
    </row>
    <row r="273" customFormat="false" ht="15" hidden="false" customHeight="false" outlineLevel="0" collapsed="false">
      <c r="A273" s="25" t="s">
        <v>385</v>
      </c>
      <c r="B273" s="25" t="s">
        <v>436</v>
      </c>
      <c r="C273" s="25" t="s">
        <v>437</v>
      </c>
      <c r="D273" s="52" t="n">
        <f aca="false">ROUND(S273*T273,0)</f>
        <v>724</v>
      </c>
      <c r="E273" s="52" t="n">
        <f aca="false">ROUND(S273,0)-D273</f>
        <v>1134</v>
      </c>
      <c r="F273" s="52" t="n">
        <f aca="false">IF(COUNTA(D273:E273)=0,"",SUM(D273:E273))</f>
        <v>1858</v>
      </c>
      <c r="G273" s="53" t="n">
        <f aca="false">IF(OR(F273="",F273=0),"",D273/F273)</f>
        <v>0.389666307857912</v>
      </c>
      <c r="H273" s="53" t="n">
        <f aca="false">IF(OR(F273="",F273=0),"",E273/F273)</f>
        <v>0.610333692142088</v>
      </c>
      <c r="I273" s="25" t="s">
        <v>128</v>
      </c>
      <c r="J273" s="28" t="n">
        <v>1.72835549007323</v>
      </c>
      <c r="K273" s="28" t="n">
        <f aca="false">$K$8</f>
        <v>0.297030231526703</v>
      </c>
      <c r="L273" s="28" t="n">
        <f aca="false">SQRT(J273^2+K273^2)</f>
        <v>1.75369314833214</v>
      </c>
      <c r="M273" s="53" t="n">
        <f aca="false">IF(G273="","",MAX(0,G273-1.96*L273/100))</f>
        <v>0.355293922150602</v>
      </c>
      <c r="N273" s="53" t="n">
        <f aca="false">IF(G273="","",MIN(1,G273+1.96*L273/100))</f>
        <v>0.424038693565222</v>
      </c>
      <c r="O273" s="52" t="n">
        <f aca="false">ROUND(S273*W273,0)</f>
        <v>127</v>
      </c>
      <c r="P273" s="52" t="n">
        <f aca="false">IF(F273="","",ROUND(SQRT((F273*L273/100)^2+(G273*O273)^2),0))</f>
        <v>59</v>
      </c>
      <c r="R273" s="54" t="n">
        <v>-11.8107412776846</v>
      </c>
      <c r="S273" s="55" t="n">
        <f aca="false">U273*V273*$F$5</f>
        <v>1857.89473684211</v>
      </c>
      <c r="T273" s="56" t="n">
        <f aca="false">MAX(0,MIN(1,R273/100+$D$5))</f>
        <v>0.389947636190459</v>
      </c>
      <c r="U273" s="56" t="n">
        <v>0.657894736842106</v>
      </c>
      <c r="V273" s="55" t="n">
        <v>2824</v>
      </c>
      <c r="W273" s="56" t="n">
        <v>0.0684752145190268</v>
      </c>
      <c r="X273" s="57" t="s">
        <v>168</v>
      </c>
      <c r="Y273" s="57" t="s">
        <v>130</v>
      </c>
    </row>
    <row r="274" customFormat="false" ht="15" hidden="false" customHeight="false" outlineLevel="0" collapsed="false">
      <c r="A274" s="25" t="s">
        <v>385</v>
      </c>
      <c r="B274" s="25" t="s">
        <v>436</v>
      </c>
      <c r="C274" s="25" t="s">
        <v>438</v>
      </c>
      <c r="D274" s="52" t="n">
        <f aca="false">ROUND(S274*T274,0)</f>
        <v>651</v>
      </c>
      <c r="E274" s="52" t="n">
        <f aca="false">ROUND(S274,0)-D274</f>
        <v>949</v>
      </c>
      <c r="F274" s="52" t="n">
        <f aca="false">IF(COUNTA(D274:E274)=0,"",SUM(D274:E274))</f>
        <v>1600</v>
      </c>
      <c r="G274" s="53" t="n">
        <f aca="false">IF(OR(F274="",F274=0),"",D274/F274)</f>
        <v>0.406875</v>
      </c>
      <c r="H274" s="53" t="n">
        <f aca="false">IF(OR(F274="",F274=0),"",E274/F274)</f>
        <v>0.593125</v>
      </c>
      <c r="I274" s="25" t="s">
        <v>128</v>
      </c>
      <c r="J274" s="28" t="n">
        <v>1.72835549007323</v>
      </c>
      <c r="K274" s="28" t="n">
        <f aca="false">$K$8</f>
        <v>0.297030231526703</v>
      </c>
      <c r="L274" s="28" t="n">
        <f aca="false">SQRT(J274^2+K274^2)</f>
        <v>1.75369314833214</v>
      </c>
      <c r="M274" s="53" t="n">
        <f aca="false">IF(G274="","",MAX(0,G274-1.96*L274/100))</f>
        <v>0.37250261429269</v>
      </c>
      <c r="N274" s="53" t="n">
        <f aca="false">IF(G274="","",MIN(1,G274+1.96*L274/100))</f>
        <v>0.44124738570731</v>
      </c>
      <c r="O274" s="52" t="n">
        <f aca="false">ROUND(S274*W274,0)</f>
        <v>110</v>
      </c>
      <c r="P274" s="52" t="n">
        <f aca="false">IF(F274="","",ROUND(SQRT((F274*L274/100)^2+(G274*O274)^2),0))</f>
        <v>53</v>
      </c>
      <c r="R274" s="54" t="n">
        <v>-10.1007311459982</v>
      </c>
      <c r="S274" s="55" t="n">
        <f aca="false">U274*V274*$F$5</f>
        <v>1600.33208176888</v>
      </c>
      <c r="T274" s="56" t="n">
        <f aca="false">MAX(0,MIN(1,R274/100+$D$5))</f>
        <v>0.407047737507323</v>
      </c>
      <c r="U274" s="56" t="n">
        <v>0.667918231122236</v>
      </c>
      <c r="V274" s="55" t="n">
        <v>2396</v>
      </c>
      <c r="W274" s="56" t="n">
        <v>0.0684752145190268</v>
      </c>
      <c r="X274" s="57" t="s">
        <v>168</v>
      </c>
      <c r="Y274" s="57" t="s">
        <v>130</v>
      </c>
    </row>
    <row r="275" customFormat="false" ht="15" hidden="false" customHeight="false" outlineLevel="0" collapsed="false">
      <c r="A275" s="25" t="s">
        <v>385</v>
      </c>
      <c r="B275" s="25" t="s">
        <v>436</v>
      </c>
      <c r="C275" s="25" t="s">
        <v>439</v>
      </c>
      <c r="D275" s="52" t="n">
        <f aca="false">ROUND(S275*T275,0)</f>
        <v>343</v>
      </c>
      <c r="E275" s="52" t="n">
        <f aca="false">ROUND(S275,0)-D275</f>
        <v>620</v>
      </c>
      <c r="F275" s="52" t="n">
        <f aca="false">IF(COUNTA(D275:E275)=0,"",SUM(D275:E275))</f>
        <v>963</v>
      </c>
      <c r="G275" s="53" t="n">
        <f aca="false">IF(OR(F275="",F275=0),"",D275/F275)</f>
        <v>0.356178608515057</v>
      </c>
      <c r="H275" s="53" t="n">
        <f aca="false">IF(OR(F275="",F275=0),"",E275/F275)</f>
        <v>0.643821391484943</v>
      </c>
      <c r="I275" s="25" t="s">
        <v>128</v>
      </c>
      <c r="J275" s="28" t="n">
        <v>1.72835549007323</v>
      </c>
      <c r="K275" s="28" t="n">
        <f aca="false">$K$8</f>
        <v>0.297030231526703</v>
      </c>
      <c r="L275" s="28" t="n">
        <f aca="false">SQRT(J275^2+K275^2)</f>
        <v>1.75369314833214</v>
      </c>
      <c r="M275" s="53" t="n">
        <f aca="false">IF(G275="","",MAX(0,G275-1.96*L275/100))</f>
        <v>0.321806222807747</v>
      </c>
      <c r="N275" s="53" t="n">
        <f aca="false">IF(G275="","",MIN(1,G275+1.96*L275/100))</f>
        <v>0.390550994222367</v>
      </c>
      <c r="O275" s="52" t="n">
        <f aca="false">ROUND(S275*W275,0)</f>
        <v>66</v>
      </c>
      <c r="P275" s="52" t="n">
        <f aca="false">IF(F275="","",ROUND(SQRT((F275*L275/100)^2+(G275*O275)^2),0))</f>
        <v>29</v>
      </c>
      <c r="R275" s="54" t="n">
        <v>-15.1882296098347</v>
      </c>
      <c r="S275" s="55" t="n">
        <f aca="false">U275*V275*$F$5</f>
        <v>963.38125</v>
      </c>
      <c r="T275" s="56" t="n">
        <f aca="false">MAX(0,MIN(1,R275/100+$D$5))</f>
        <v>0.356172752868958</v>
      </c>
      <c r="U275" s="56" t="n">
        <v>0.640972222222222</v>
      </c>
      <c r="V275" s="55" t="n">
        <v>1503</v>
      </c>
      <c r="W275" s="56" t="n">
        <v>0.0684752145190268</v>
      </c>
      <c r="X275" s="57" t="s">
        <v>168</v>
      </c>
      <c r="Y275" s="57" t="s">
        <v>130</v>
      </c>
    </row>
    <row r="276" customFormat="false" ht="15" hidden="false" customHeight="false" outlineLevel="0" collapsed="false">
      <c r="A276" s="25" t="s">
        <v>385</v>
      </c>
      <c r="B276" s="25" t="s">
        <v>440</v>
      </c>
      <c r="C276" s="25" t="s">
        <v>440</v>
      </c>
      <c r="D276" s="52" t="n">
        <f aca="false">ROUND(S276*T276,0)</f>
        <v>35</v>
      </c>
      <c r="E276" s="52" t="n">
        <f aca="false">ROUND(S276,0)-D276</f>
        <v>62</v>
      </c>
      <c r="F276" s="52" t="n">
        <f aca="false">IF(COUNTA(D276:E276)=0,"",SUM(D276:E276))</f>
        <v>97</v>
      </c>
      <c r="G276" s="53" t="n">
        <f aca="false">IF(OR(F276="",F276=0),"",D276/F276)</f>
        <v>0.360824742268041</v>
      </c>
      <c r="H276" s="53" t="n">
        <f aca="false">IF(OR(F276="",F276=0),"",E276/F276)</f>
        <v>0.639175257731959</v>
      </c>
      <c r="I276" s="25" t="s">
        <v>128</v>
      </c>
      <c r="J276" s="28" t="n">
        <v>3.42046080519466</v>
      </c>
      <c r="K276" s="28" t="n">
        <f aca="false">$K$8</f>
        <v>0.297030231526703</v>
      </c>
      <c r="L276" s="28" t="n">
        <f aca="false">SQRT(J276^2+K276^2)</f>
        <v>3.43333352273176</v>
      </c>
      <c r="M276" s="53" t="n">
        <f aca="false">IF(G276="","",MAX(0,G276-1.96*L276/100))</f>
        <v>0.293531405222499</v>
      </c>
      <c r="N276" s="53" t="n">
        <f aca="false">IF(G276="","",MIN(1,G276+1.96*L276/100))</f>
        <v>0.428118079313584</v>
      </c>
      <c r="O276" s="52" t="n">
        <f aca="false">ROUND(S276*W276,0)</f>
        <v>14</v>
      </c>
      <c r="P276" s="52" t="n">
        <f aca="false">IF(F276="","",ROUND(SQRT((F276*L276/100)^2+(G276*O276)^2),0))</f>
        <v>6</v>
      </c>
      <c r="R276" s="54" t="n">
        <v>-15.1547478439681</v>
      </c>
      <c r="S276" s="55" t="n">
        <f aca="false">U276*V276*$F$5</f>
        <v>97.2992700729927</v>
      </c>
      <c r="T276" s="56" t="n">
        <f aca="false">MAX(0,MIN(1,R276/100+$D$5))</f>
        <v>0.356507570527624</v>
      </c>
      <c r="U276" s="56" t="n">
        <v>0.627737226277372</v>
      </c>
      <c r="V276" s="55" t="n">
        <v>155</v>
      </c>
      <c r="W276" s="56" t="n">
        <v>0.148097331980838</v>
      </c>
      <c r="X276" s="57" t="s">
        <v>129</v>
      </c>
      <c r="Y276" s="57" t="s">
        <v>130</v>
      </c>
    </row>
    <row r="277" customFormat="false" ht="15" hidden="false" customHeight="false" outlineLevel="0" collapsed="false">
      <c r="A277" s="25" t="s">
        <v>385</v>
      </c>
      <c r="B277" s="25" t="s">
        <v>441</v>
      </c>
      <c r="C277" s="25" t="s">
        <v>442</v>
      </c>
      <c r="D277" s="52" t="n">
        <f aca="false">ROUND(S277*T277,0)</f>
        <v>607</v>
      </c>
      <c r="E277" s="52" t="n">
        <f aca="false">ROUND(S277,0)-D277</f>
        <v>810</v>
      </c>
      <c r="F277" s="52" t="n">
        <f aca="false">IF(COUNTA(D277:E277)=0,"",SUM(D277:E277))</f>
        <v>1417</v>
      </c>
      <c r="G277" s="53" t="n">
        <f aca="false">IF(OR(F277="",F277=0),"",D277/F277)</f>
        <v>0.428369795342272</v>
      </c>
      <c r="H277" s="53" t="n">
        <f aca="false">IF(OR(F277="",F277=0),"",E277/F277)</f>
        <v>0.571630204657728</v>
      </c>
      <c r="I277" s="25" t="s">
        <v>128</v>
      </c>
      <c r="J277" s="28" t="n">
        <v>1.72835549007323</v>
      </c>
      <c r="K277" s="28" t="n">
        <f aca="false">$K$8</f>
        <v>0.297030231526703</v>
      </c>
      <c r="L277" s="28" t="n">
        <f aca="false">SQRT(J277^2+K277^2)</f>
        <v>1.75369314833214</v>
      </c>
      <c r="M277" s="53" t="n">
        <f aca="false">IF(G277="","",MAX(0,G277-1.96*L277/100))</f>
        <v>0.393997409634963</v>
      </c>
      <c r="N277" s="53" t="n">
        <f aca="false">IF(G277="","",MIN(1,G277+1.96*L277/100))</f>
        <v>0.462742181049582</v>
      </c>
      <c r="O277" s="52" t="n">
        <f aca="false">ROUND(S277*W277,0)</f>
        <v>97</v>
      </c>
      <c r="P277" s="52" t="n">
        <f aca="false">IF(F277="","",ROUND(SQRT((F277*L277/100)^2+(G277*O277)^2),0))</f>
        <v>48</v>
      </c>
      <c r="R277" s="54" t="n">
        <v>-8.00620519154562</v>
      </c>
      <c r="S277" s="55" t="n">
        <f aca="false">U277*V277*$F$5</f>
        <v>1417.27954319762</v>
      </c>
      <c r="T277" s="56" t="n">
        <f aca="false">MAX(0,MIN(1,R277/100+$D$5))</f>
        <v>0.427992997051849</v>
      </c>
      <c r="U277" s="56" t="n">
        <v>0.641012909632572</v>
      </c>
      <c r="V277" s="55" t="n">
        <v>2211</v>
      </c>
      <c r="W277" s="56" t="n">
        <v>0.0684752145190268</v>
      </c>
      <c r="X277" s="57" t="s">
        <v>168</v>
      </c>
      <c r="Y277" s="57" t="s">
        <v>130</v>
      </c>
    </row>
    <row r="278" customFormat="false" ht="15" hidden="false" customHeight="false" outlineLevel="0" collapsed="false">
      <c r="A278" s="25" t="s">
        <v>385</v>
      </c>
      <c r="B278" s="25" t="s">
        <v>441</v>
      </c>
      <c r="C278" s="25" t="s">
        <v>443</v>
      </c>
      <c r="D278" s="52" t="n">
        <f aca="false">ROUND(S278*T278,0)</f>
        <v>541</v>
      </c>
      <c r="E278" s="52" t="n">
        <f aca="false">ROUND(S278,0)-D278</f>
        <v>684</v>
      </c>
      <c r="F278" s="52" t="n">
        <f aca="false">IF(COUNTA(D278:E278)=0,"",SUM(D278:E278))</f>
        <v>1225</v>
      </c>
      <c r="G278" s="53" t="n">
        <f aca="false">IF(OR(F278="",F278=0),"",D278/F278)</f>
        <v>0.441632653061225</v>
      </c>
      <c r="H278" s="53" t="n">
        <f aca="false">IF(OR(F278="",F278=0),"",E278/F278)</f>
        <v>0.558367346938776</v>
      </c>
      <c r="I278" s="25" t="s">
        <v>128</v>
      </c>
      <c r="J278" s="28" t="n">
        <v>1.72835549007323</v>
      </c>
      <c r="K278" s="28" t="n">
        <f aca="false">$K$8</f>
        <v>0.297030231526703</v>
      </c>
      <c r="L278" s="28" t="n">
        <f aca="false">SQRT(J278^2+K278^2)</f>
        <v>1.75369314833214</v>
      </c>
      <c r="M278" s="53" t="n">
        <f aca="false">IF(G278="","",MAX(0,G278-1.96*L278/100))</f>
        <v>0.407260267353915</v>
      </c>
      <c r="N278" s="53" t="n">
        <f aca="false">IF(G278="","",MIN(1,G278+1.96*L278/100))</f>
        <v>0.476005038768534</v>
      </c>
      <c r="O278" s="52" t="n">
        <f aca="false">ROUND(S278*W278,0)</f>
        <v>84</v>
      </c>
      <c r="P278" s="52" t="n">
        <f aca="false">IF(F278="","",ROUND(SQRT((F278*L278/100)^2+(G278*O278)^2),0))</f>
        <v>43</v>
      </c>
      <c r="R278" s="54" t="n">
        <v>-6.62162166467186</v>
      </c>
      <c r="S278" s="55" t="n">
        <f aca="false">U278*V278*$F$5</f>
        <v>1224.74062660503</v>
      </c>
      <c r="T278" s="56" t="n">
        <f aca="false">MAX(0,MIN(1,R278/100+$D$5))</f>
        <v>0.441838832320586</v>
      </c>
      <c r="U278" s="56" t="n">
        <v>0.629686697483308</v>
      </c>
      <c r="V278" s="55" t="n">
        <v>1945</v>
      </c>
      <c r="W278" s="56" t="n">
        <v>0.0684752145190268</v>
      </c>
      <c r="X278" s="57" t="s">
        <v>168</v>
      </c>
      <c r="Y278" s="57" t="s">
        <v>130</v>
      </c>
    </row>
    <row r="279" customFormat="false" ht="15" hidden="false" customHeight="false" outlineLevel="0" collapsed="false">
      <c r="A279" s="25" t="s">
        <v>385</v>
      </c>
      <c r="B279" s="25" t="s">
        <v>444</v>
      </c>
      <c r="C279" s="25" t="s">
        <v>444</v>
      </c>
      <c r="D279" s="52" t="n">
        <f aca="false">ROUND(S279*T279,0)</f>
        <v>146</v>
      </c>
      <c r="E279" s="52" t="n">
        <f aca="false">ROUND(S279,0)-D279</f>
        <v>214</v>
      </c>
      <c r="F279" s="52" t="n">
        <f aca="false">IF(COUNTA(D279:E279)=0,"",SUM(D279:E279))</f>
        <v>360</v>
      </c>
      <c r="G279" s="53" t="n">
        <f aca="false">IF(OR(F279="",F279=0),"",D279/F279)</f>
        <v>0.405555555555556</v>
      </c>
      <c r="H279" s="53" t="n">
        <f aca="false">IF(OR(F279="",F279=0),"",E279/F279)</f>
        <v>0.594444444444444</v>
      </c>
      <c r="I279" s="25" t="s">
        <v>128</v>
      </c>
      <c r="J279" s="28" t="n">
        <v>3.42046080519466</v>
      </c>
      <c r="K279" s="28" t="n">
        <f aca="false">$K$8</f>
        <v>0.297030231526703</v>
      </c>
      <c r="L279" s="28" t="n">
        <f aca="false">SQRT(J279^2+K279^2)</f>
        <v>3.43333352273176</v>
      </c>
      <c r="M279" s="53" t="n">
        <f aca="false">IF(G279="","",MAX(0,G279-1.96*L279/100))</f>
        <v>0.338262218510013</v>
      </c>
      <c r="N279" s="53" t="n">
        <f aca="false">IF(G279="","",MIN(1,G279+1.96*L279/100))</f>
        <v>0.472848892601098</v>
      </c>
      <c r="O279" s="52" t="n">
        <f aca="false">ROUND(S279*W279,0)</f>
        <v>53</v>
      </c>
      <c r="P279" s="52" t="n">
        <f aca="false">IF(F279="","",ROUND(SQRT((F279*L279/100)^2+(G279*O279)^2),0))</f>
        <v>25</v>
      </c>
      <c r="R279" s="54" t="n">
        <v>-10.2424573124364</v>
      </c>
      <c r="S279" s="55" t="n">
        <f aca="false">U279*V279*$F$5</f>
        <v>360.236842105263</v>
      </c>
      <c r="T279" s="56" t="n">
        <f aca="false">MAX(0,MIN(1,R279/100+$D$5))</f>
        <v>0.405630475842941</v>
      </c>
      <c r="U279" s="56" t="n">
        <v>0.513157894736842</v>
      </c>
      <c r="V279" s="55" t="n">
        <v>702</v>
      </c>
      <c r="W279" s="56" t="n">
        <v>0.148097331980838</v>
      </c>
      <c r="X279" s="57" t="s">
        <v>129</v>
      </c>
      <c r="Y279" s="57" t="s">
        <v>130</v>
      </c>
    </row>
    <row r="280" customFormat="false" ht="15" hidden="false" customHeight="false" outlineLevel="0" collapsed="false">
      <c r="A280" s="25" t="s">
        <v>385</v>
      </c>
      <c r="B280" s="25" t="s">
        <v>445</v>
      </c>
      <c r="C280" s="25" t="s">
        <v>446</v>
      </c>
      <c r="D280" s="52" t="n">
        <f aca="false">ROUND(S280*T280,0)</f>
        <v>560</v>
      </c>
      <c r="E280" s="52" t="n">
        <f aca="false">ROUND(S280,0)-D280</f>
        <v>263</v>
      </c>
      <c r="F280" s="52" t="n">
        <f aca="false">IF(COUNTA(D280:E280)=0,"",SUM(D280:E280))</f>
        <v>823</v>
      </c>
      <c r="G280" s="53" t="n">
        <f aca="false">IF(OR(F280="",F280=0),"",D280/F280)</f>
        <v>0.680437424058323</v>
      </c>
      <c r="H280" s="53" t="n">
        <f aca="false">IF(OR(F280="",F280=0),"",E280/F280)</f>
        <v>0.319562575941677</v>
      </c>
      <c r="I280" s="25" t="s">
        <v>231</v>
      </c>
      <c r="J280" s="28" t="n">
        <v>2.11716121919269</v>
      </c>
      <c r="K280" s="28" t="n">
        <f aca="false">$K$8</f>
        <v>0.297030231526703</v>
      </c>
      <c r="L280" s="28" t="n">
        <f aca="false">SQRT(J280^2+K280^2)</f>
        <v>2.13789583153489</v>
      </c>
      <c r="M280" s="53" t="n">
        <f aca="false">IF(G280="","",MAX(0,G280-1.96*L280/100))</f>
        <v>0.638534665760239</v>
      </c>
      <c r="N280" s="53" t="n">
        <f aca="false">IF(G280="","",MIN(1,G280+1.96*L280/100))</f>
        <v>0.722340182356407</v>
      </c>
      <c r="O280" s="52" t="n">
        <f aca="false">ROUND(S280*W280,0)</f>
        <v>73</v>
      </c>
      <c r="P280" s="52" t="n">
        <f aca="false">IF(F280="","",ROUND(SQRT((F280*L280/100)^2+(G280*O280)^2),0))</f>
        <v>53</v>
      </c>
      <c r="R280" s="54" t="n">
        <v>17.1461928679524</v>
      </c>
      <c r="S280" s="55" t="n">
        <f aca="false">U280*V280*$F$5</f>
        <v>823.448359141722</v>
      </c>
      <c r="T280" s="56" t="n">
        <f aca="false">MAX(0,MIN(1,R280/100+$D$5))</f>
        <v>0.679516977646828</v>
      </c>
      <c r="U280" s="56" t="n">
        <v>0.478193007631662</v>
      </c>
      <c r="V280" s="55" t="n">
        <v>1722</v>
      </c>
      <c r="W280" s="56" t="n">
        <v>0.0887445098984521</v>
      </c>
      <c r="X280" s="57" t="s">
        <v>135</v>
      </c>
      <c r="Y280" s="57" t="s">
        <v>130</v>
      </c>
    </row>
    <row r="281" customFormat="false" ht="15" hidden="false" customHeight="false" outlineLevel="0" collapsed="false">
      <c r="A281" s="25" t="s">
        <v>385</v>
      </c>
      <c r="B281" s="25" t="s">
        <v>445</v>
      </c>
      <c r="C281" s="25" t="s">
        <v>447</v>
      </c>
      <c r="D281" s="52" t="n">
        <f aca="false">ROUND(S281*T281,0)</f>
        <v>531</v>
      </c>
      <c r="E281" s="52" t="n">
        <f aca="false">ROUND(S281,0)-D281</f>
        <v>249</v>
      </c>
      <c r="F281" s="52" t="n">
        <f aca="false">IF(COUNTA(D281:E281)=0,"",SUM(D281:E281))</f>
        <v>780</v>
      </c>
      <c r="G281" s="53" t="n">
        <f aca="false">IF(OR(F281="",F281=0),"",D281/F281)</f>
        <v>0.680769230769231</v>
      </c>
      <c r="H281" s="53" t="n">
        <f aca="false">IF(OR(F281="",F281=0),"",E281/F281)</f>
        <v>0.319230769230769</v>
      </c>
      <c r="I281" s="25" t="s">
        <v>128</v>
      </c>
      <c r="J281" s="28" t="n">
        <v>2.11716121919269</v>
      </c>
      <c r="K281" s="28" t="n">
        <f aca="false">$K$8</f>
        <v>0.297030231526703</v>
      </c>
      <c r="L281" s="28" t="n">
        <f aca="false">SQRT(J281^2+K281^2)</f>
        <v>2.13789583153489</v>
      </c>
      <c r="M281" s="53" t="n">
        <f aca="false">IF(G281="","",MAX(0,G281-1.96*L281/100))</f>
        <v>0.638866472471147</v>
      </c>
      <c r="N281" s="53" t="n">
        <f aca="false">IF(G281="","",MIN(1,G281+1.96*L281/100))</f>
        <v>0.722671989067315</v>
      </c>
      <c r="O281" s="52" t="n">
        <f aca="false">ROUND(S281*W281,0)</f>
        <v>69</v>
      </c>
      <c r="P281" s="52" t="n">
        <f aca="false">IF(F281="","",ROUND(SQRT((F281*L281/100)^2+(G281*O281)^2),0))</f>
        <v>50</v>
      </c>
      <c r="R281" s="54" t="n">
        <v>17.3306233412107</v>
      </c>
      <c r="S281" s="55" t="n">
        <f aca="false">U281*V281*$F$5</f>
        <v>779.911439114391</v>
      </c>
      <c r="T281" s="56" t="n">
        <f aca="false">MAX(0,MIN(1,R281/100+$D$5))</f>
        <v>0.681361282379412</v>
      </c>
      <c r="U281" s="56" t="n">
        <v>0.420664206642066</v>
      </c>
      <c r="V281" s="55" t="n">
        <v>1854</v>
      </c>
      <c r="W281" s="56" t="n">
        <v>0.0887445098984521</v>
      </c>
      <c r="X281" s="57" t="s">
        <v>135</v>
      </c>
      <c r="Y281" s="57" t="s">
        <v>130</v>
      </c>
    </row>
    <row r="282" customFormat="false" ht="15" hidden="false" customHeight="false" outlineLevel="0" collapsed="false">
      <c r="A282" s="25" t="s">
        <v>385</v>
      </c>
      <c r="B282" s="25" t="s">
        <v>445</v>
      </c>
      <c r="C282" s="25" t="s">
        <v>448</v>
      </c>
      <c r="D282" s="52" t="n">
        <f aca="false">ROUND(S282*T282,0)</f>
        <v>429</v>
      </c>
      <c r="E282" s="52" t="n">
        <f aca="false">ROUND(S282,0)-D282</f>
        <v>174</v>
      </c>
      <c r="F282" s="52" t="n">
        <f aca="false">IF(COUNTA(D282:E282)=0,"",SUM(D282:E282))</f>
        <v>603</v>
      </c>
      <c r="G282" s="53" t="n">
        <f aca="false">IF(OR(F282="",F282=0),"",D282/F282)</f>
        <v>0.711442786069652</v>
      </c>
      <c r="H282" s="53" t="n">
        <f aca="false">IF(OR(F282="",F282=0),"",E282/F282)</f>
        <v>0.288557213930348</v>
      </c>
      <c r="I282" s="25" t="s">
        <v>128</v>
      </c>
      <c r="J282" s="28" t="n">
        <v>2.11716121919269</v>
      </c>
      <c r="K282" s="28" t="n">
        <f aca="false">$K$8</f>
        <v>0.297030231526703</v>
      </c>
      <c r="L282" s="28" t="n">
        <f aca="false">SQRT(J282^2+K282^2)</f>
        <v>2.13789583153489</v>
      </c>
      <c r="M282" s="53" t="n">
        <f aca="false">IF(G282="","",MAX(0,G282-1.96*L282/100))</f>
        <v>0.669540027771568</v>
      </c>
      <c r="N282" s="53" t="n">
        <f aca="false">IF(G282="","",MIN(1,G282+1.96*L282/100))</f>
        <v>0.753345544367736</v>
      </c>
      <c r="O282" s="52" t="n">
        <f aca="false">ROUND(S282*W282,0)</f>
        <v>54</v>
      </c>
      <c r="P282" s="52" t="n">
        <f aca="false">IF(F282="","",ROUND(SQRT((F282*L282/100)^2+(G282*O282)^2),0))</f>
        <v>41</v>
      </c>
      <c r="R282" s="54" t="n">
        <v>20.3563408226636</v>
      </c>
      <c r="S282" s="55" t="n">
        <f aca="false">U282*V282*$F$5</f>
        <v>602.870201096892</v>
      </c>
      <c r="T282" s="56" t="n">
        <f aca="false">MAX(0,MIN(1,R282/100+$D$5))</f>
        <v>0.71161845719394</v>
      </c>
      <c r="U282" s="56" t="n">
        <v>0.447897623400366</v>
      </c>
      <c r="V282" s="55" t="n">
        <v>1346</v>
      </c>
      <c r="W282" s="56" t="n">
        <v>0.0887445098984521</v>
      </c>
      <c r="X282" s="57" t="s">
        <v>135</v>
      </c>
      <c r="Y282" s="57" t="s">
        <v>130</v>
      </c>
    </row>
    <row r="283" customFormat="false" ht="15" hidden="false" customHeight="false" outlineLevel="0" collapsed="false">
      <c r="A283" s="25" t="s">
        <v>385</v>
      </c>
      <c r="B283" s="25" t="s">
        <v>445</v>
      </c>
      <c r="C283" s="25" t="s">
        <v>449</v>
      </c>
      <c r="D283" s="52" t="n">
        <f aca="false">ROUND(S283*T283,0)</f>
        <v>599</v>
      </c>
      <c r="E283" s="52" t="n">
        <f aca="false">ROUND(S283,0)-D283</f>
        <v>222</v>
      </c>
      <c r="F283" s="52" t="n">
        <f aca="false">IF(COUNTA(D283:E283)=0,"",SUM(D283:E283))</f>
        <v>821</v>
      </c>
      <c r="G283" s="53" t="n">
        <f aca="false">IF(OR(F283="",F283=0),"",D283/F283)</f>
        <v>0.729598051157126</v>
      </c>
      <c r="H283" s="53" t="n">
        <f aca="false">IF(OR(F283="",F283=0),"",E283/F283)</f>
        <v>0.270401948842875</v>
      </c>
      <c r="I283" s="25" t="s">
        <v>128</v>
      </c>
      <c r="J283" s="28" t="n">
        <v>2.11716121919269</v>
      </c>
      <c r="K283" s="28" t="n">
        <f aca="false">$K$8</f>
        <v>0.297030231526703</v>
      </c>
      <c r="L283" s="28" t="n">
        <f aca="false">SQRT(J283^2+K283^2)</f>
        <v>2.13789583153489</v>
      </c>
      <c r="M283" s="53" t="n">
        <f aca="false">IF(G283="","",MAX(0,G283-1.96*L283/100))</f>
        <v>0.687695292859042</v>
      </c>
      <c r="N283" s="53" t="n">
        <f aca="false">IF(G283="","",MIN(1,G283+1.96*L283/100))</f>
        <v>0.771500809455209</v>
      </c>
      <c r="O283" s="52" t="n">
        <f aca="false">ROUND(S283*W283,0)</f>
        <v>73</v>
      </c>
      <c r="P283" s="52" t="n">
        <f aca="false">IF(F283="","",ROUND(SQRT((F283*L283/100)^2+(G283*O283)^2),0))</f>
        <v>56</v>
      </c>
      <c r="R283" s="54" t="n">
        <v>22.2363638025966</v>
      </c>
      <c r="S283" s="55" t="n">
        <f aca="false">U283*V283*$F$5</f>
        <v>820.6703125</v>
      </c>
      <c r="T283" s="56" t="n">
        <f aca="false">MAX(0,MIN(1,R283/100+$D$5))</f>
        <v>0.730418686993271</v>
      </c>
      <c r="U283" s="56" t="n">
        <v>0.6765625</v>
      </c>
      <c r="V283" s="55" t="n">
        <v>1213</v>
      </c>
      <c r="W283" s="56" t="n">
        <v>0.0887445098984521</v>
      </c>
      <c r="X283" s="57" t="s">
        <v>135</v>
      </c>
      <c r="Y283" s="57" t="s">
        <v>130</v>
      </c>
    </row>
    <row r="284" customFormat="false" ht="15" hidden="false" customHeight="false" outlineLevel="0" collapsed="false">
      <c r="A284" s="25" t="s">
        <v>385</v>
      </c>
      <c r="B284" s="25" t="s">
        <v>445</v>
      </c>
      <c r="C284" s="25" t="s">
        <v>450</v>
      </c>
      <c r="D284" s="52" t="n">
        <f aca="false">ROUND(S284*T284,0)</f>
        <v>463</v>
      </c>
      <c r="E284" s="52" t="n">
        <f aca="false">ROUND(S284,0)-D284</f>
        <v>128</v>
      </c>
      <c r="F284" s="52" t="n">
        <f aca="false">IF(COUNTA(D284:E284)=0,"",SUM(D284:E284))</f>
        <v>591</v>
      </c>
      <c r="G284" s="53" t="n">
        <f aca="false">IF(OR(F284="",F284=0),"",D284/F284)</f>
        <v>0.7834179357022</v>
      </c>
      <c r="H284" s="53" t="n">
        <f aca="false">IF(OR(F284="",F284=0),"",E284/F284)</f>
        <v>0.2165820642978</v>
      </c>
      <c r="I284" s="25" t="s">
        <v>128</v>
      </c>
      <c r="J284" s="28" t="n">
        <v>2.11716121919269</v>
      </c>
      <c r="K284" s="28" t="n">
        <f aca="false">$K$8</f>
        <v>0.297030231526703</v>
      </c>
      <c r="L284" s="28" t="n">
        <f aca="false">SQRT(J284^2+K284^2)</f>
        <v>2.13789583153489</v>
      </c>
      <c r="M284" s="53" t="n">
        <f aca="false">IF(G284="","",MAX(0,G284-1.96*L284/100))</f>
        <v>0.741515177404116</v>
      </c>
      <c r="N284" s="53" t="n">
        <f aca="false">IF(G284="","",MIN(1,G284+1.96*L284/100))</f>
        <v>0.825320694000284</v>
      </c>
      <c r="O284" s="52" t="n">
        <f aca="false">ROUND(S284*W284,0)</f>
        <v>52</v>
      </c>
      <c r="P284" s="52" t="n">
        <f aca="false">IF(F284="","",ROUND(SQRT((F284*L284/100)^2+(G284*O284)^2),0))</f>
        <v>43</v>
      </c>
      <c r="R284" s="54" t="n">
        <v>27.5884419656554</v>
      </c>
      <c r="S284" s="55" t="n">
        <f aca="false">U284*V284*$F$5</f>
        <v>590.669623059868</v>
      </c>
      <c r="T284" s="56" t="n">
        <f aca="false">MAX(0,MIN(1,R284/100+$D$5))</f>
        <v>0.783939468623858</v>
      </c>
      <c r="U284" s="56" t="n">
        <v>0.297117516629712</v>
      </c>
      <c r="V284" s="55" t="n">
        <v>1988</v>
      </c>
      <c r="W284" s="56" t="n">
        <v>0.0887445098984521</v>
      </c>
      <c r="X284" s="57" t="s">
        <v>135</v>
      </c>
      <c r="Y284" s="57" t="s">
        <v>130</v>
      </c>
    </row>
    <row r="285" customFormat="false" ht="15" hidden="false" customHeight="false" outlineLevel="0" collapsed="false">
      <c r="A285" s="25" t="s">
        <v>385</v>
      </c>
      <c r="B285" s="25" t="s">
        <v>445</v>
      </c>
      <c r="C285" s="25" t="s">
        <v>451</v>
      </c>
      <c r="D285" s="52" t="n">
        <f aca="false">ROUND(S285*T285,0)</f>
        <v>461</v>
      </c>
      <c r="E285" s="52" t="n">
        <f aca="false">ROUND(S285,0)-D285</f>
        <v>230</v>
      </c>
      <c r="F285" s="52" t="n">
        <f aca="false">IF(COUNTA(D285:E285)=0,"",SUM(D285:E285))</f>
        <v>691</v>
      </c>
      <c r="G285" s="53" t="n">
        <f aca="false">IF(OR(F285="",F285=0),"",D285/F285)</f>
        <v>0.667149059334298</v>
      </c>
      <c r="H285" s="53" t="n">
        <f aca="false">IF(OR(F285="",F285=0),"",E285/F285)</f>
        <v>0.332850940665702</v>
      </c>
      <c r="I285" s="25" t="s">
        <v>128</v>
      </c>
      <c r="J285" s="28" t="n">
        <v>2.11716121919269</v>
      </c>
      <c r="K285" s="28" t="n">
        <f aca="false">$K$8</f>
        <v>0.297030231526703</v>
      </c>
      <c r="L285" s="28" t="n">
        <f aca="false">SQRT(J285^2+K285^2)</f>
        <v>2.13789583153489</v>
      </c>
      <c r="M285" s="53" t="n">
        <f aca="false">IF(G285="","",MAX(0,G285-1.96*L285/100))</f>
        <v>0.625246301036214</v>
      </c>
      <c r="N285" s="53" t="n">
        <f aca="false">IF(G285="","",MIN(1,G285+1.96*L285/100))</f>
        <v>0.709051817632382</v>
      </c>
      <c r="O285" s="52" t="n">
        <f aca="false">ROUND(S285*W285,0)</f>
        <v>61</v>
      </c>
      <c r="P285" s="52" t="n">
        <f aca="false">IF(F285="","",ROUND(SQRT((F285*L285/100)^2+(G285*O285)^2),0))</f>
        <v>43</v>
      </c>
      <c r="R285" s="54" t="n">
        <v>15.9308400545631</v>
      </c>
      <c r="S285" s="55" t="n">
        <f aca="false">U285*V285*$F$5</f>
        <v>691.24526600541</v>
      </c>
      <c r="T285" s="56" t="n">
        <f aca="false">MAX(0,MIN(1,R285/100+$D$5))</f>
        <v>0.667363449512935</v>
      </c>
      <c r="U285" s="56" t="n">
        <v>0.612263300270514</v>
      </c>
      <c r="V285" s="55" t="n">
        <v>1129</v>
      </c>
      <c r="W285" s="56" t="n">
        <v>0.0887445098984521</v>
      </c>
      <c r="X285" s="57" t="s">
        <v>135</v>
      </c>
      <c r="Y285" s="57" t="s">
        <v>130</v>
      </c>
    </row>
    <row r="286" customFormat="false" ht="15" hidden="false" customHeight="false" outlineLevel="0" collapsed="false">
      <c r="A286" s="25" t="s">
        <v>385</v>
      </c>
      <c r="B286" s="25" t="s">
        <v>445</v>
      </c>
      <c r="C286" s="25" t="s">
        <v>452</v>
      </c>
      <c r="D286" s="52" t="n">
        <f aca="false">ROUND(S286*T286,0)</f>
        <v>330</v>
      </c>
      <c r="E286" s="52" t="n">
        <f aca="false">ROUND(S286,0)-D286</f>
        <v>180</v>
      </c>
      <c r="F286" s="52" t="n">
        <f aca="false">IF(COUNTA(D286:E286)=0,"",SUM(D286:E286))</f>
        <v>510</v>
      </c>
      <c r="G286" s="53" t="n">
        <f aca="false">IF(OR(F286="",F286=0),"",D286/F286)</f>
        <v>0.647058823529412</v>
      </c>
      <c r="H286" s="53" t="n">
        <f aca="false">IF(OR(F286="",F286=0),"",E286/F286)</f>
        <v>0.352941176470588</v>
      </c>
      <c r="I286" s="25" t="s">
        <v>128</v>
      </c>
      <c r="J286" s="28" t="n">
        <v>3.42046080519466</v>
      </c>
      <c r="K286" s="28" t="n">
        <f aca="false">$K$8</f>
        <v>0.297030231526703</v>
      </c>
      <c r="L286" s="28" t="n">
        <f aca="false">SQRT(J286^2+K286^2)</f>
        <v>3.43333352273176</v>
      </c>
      <c r="M286" s="53" t="n">
        <f aca="false">IF(G286="","",MAX(0,G286-1.96*L286/100))</f>
        <v>0.579765486483869</v>
      </c>
      <c r="N286" s="53" t="n">
        <f aca="false">IF(G286="","",MIN(1,G286+1.96*L286/100))</f>
        <v>0.714352160574954</v>
      </c>
      <c r="O286" s="52" t="n">
        <f aca="false">ROUND(S286*W286,0)</f>
        <v>76</v>
      </c>
      <c r="P286" s="52" t="n">
        <f aca="false">IF(F286="","",ROUND(SQRT((F286*L286/100)^2+(G286*O286)^2),0))</f>
        <v>52</v>
      </c>
      <c r="R286" s="54" t="n">
        <v>13.8772461899887</v>
      </c>
      <c r="S286" s="55" t="n">
        <f aca="false">U286*V286*$F$5</f>
        <v>510.153409090909</v>
      </c>
      <c r="T286" s="56" t="n">
        <f aca="false">MAX(0,MIN(1,R286/100+$D$5))</f>
        <v>0.646827510867192</v>
      </c>
      <c r="U286" s="56" t="n">
        <v>0.368607954545455</v>
      </c>
      <c r="V286" s="55" t="n">
        <v>1384</v>
      </c>
      <c r="W286" s="56" t="n">
        <v>0.148097331980838</v>
      </c>
      <c r="X286" s="57" t="s">
        <v>129</v>
      </c>
      <c r="Y286" s="57" t="s">
        <v>130</v>
      </c>
    </row>
    <row r="287" customFormat="false" ht="15" hidden="false" customHeight="false" outlineLevel="0" collapsed="false">
      <c r="A287" s="25" t="s">
        <v>385</v>
      </c>
      <c r="B287" s="25" t="s">
        <v>445</v>
      </c>
      <c r="C287" s="25" t="s">
        <v>453</v>
      </c>
      <c r="D287" s="52" t="n">
        <f aca="false">ROUND(S287*T287,0)</f>
        <v>145</v>
      </c>
      <c r="E287" s="52" t="n">
        <f aca="false">ROUND(S287,0)-D287</f>
        <v>58</v>
      </c>
      <c r="F287" s="52" t="n">
        <f aca="false">IF(COUNTA(D287:E287)=0,"",SUM(D287:E287))</f>
        <v>203</v>
      </c>
      <c r="G287" s="53" t="n">
        <f aca="false">IF(OR(F287="",F287=0),"",D287/F287)</f>
        <v>0.714285714285714</v>
      </c>
      <c r="H287" s="53" t="n">
        <f aca="false">IF(OR(F287="",F287=0),"",E287/F287)</f>
        <v>0.285714285714286</v>
      </c>
      <c r="I287" s="25" t="s">
        <v>128</v>
      </c>
      <c r="J287" s="28" t="n">
        <v>3.42046080519466</v>
      </c>
      <c r="K287" s="28" t="n">
        <f aca="false">$K$8</f>
        <v>0.297030231526703</v>
      </c>
      <c r="L287" s="28" t="n">
        <f aca="false">SQRT(J287^2+K287^2)</f>
        <v>3.43333352273176</v>
      </c>
      <c r="M287" s="53" t="n">
        <f aca="false">IF(G287="","",MAX(0,G287-1.96*L287/100))</f>
        <v>0.646992377240172</v>
      </c>
      <c r="N287" s="53" t="n">
        <f aca="false">IF(G287="","",MIN(1,G287+1.96*L287/100))</f>
        <v>0.781579051331257</v>
      </c>
      <c r="O287" s="52" t="n">
        <f aca="false">ROUND(S287*W287,0)</f>
        <v>30</v>
      </c>
      <c r="P287" s="52" t="n">
        <f aca="false">IF(F287="","",ROUND(SQRT((F287*L287/100)^2+(G287*O287)^2),0))</f>
        <v>23</v>
      </c>
      <c r="R287" s="54" t="n">
        <v>20.7908473564047</v>
      </c>
      <c r="S287" s="55" t="n">
        <f aca="false">U287*V287*$F$5</f>
        <v>202.766550522648</v>
      </c>
      <c r="T287" s="56" t="n">
        <f aca="false">MAX(0,MIN(1,R287/100+$D$5))</f>
        <v>0.715963522531351</v>
      </c>
      <c r="U287" s="56" t="n">
        <v>0.369337979094077</v>
      </c>
      <c r="V287" s="55" t="n">
        <v>549</v>
      </c>
      <c r="W287" s="56" t="n">
        <v>0.148097331980838</v>
      </c>
      <c r="X287" s="57" t="s">
        <v>129</v>
      </c>
      <c r="Y287" s="57" t="s">
        <v>130</v>
      </c>
    </row>
    <row r="288" customFormat="false" ht="15" hidden="false" customHeight="false" outlineLevel="0" collapsed="false">
      <c r="A288" s="25" t="s">
        <v>385</v>
      </c>
      <c r="B288" s="25" t="s">
        <v>445</v>
      </c>
      <c r="C288" s="25" t="s">
        <v>454</v>
      </c>
      <c r="D288" s="52" t="n">
        <f aca="false">ROUND(S288*T288,0)</f>
        <v>229</v>
      </c>
      <c r="E288" s="52" t="n">
        <f aca="false">ROUND(S288,0)-D288</f>
        <v>89</v>
      </c>
      <c r="F288" s="52" t="n">
        <f aca="false">IF(COUNTA(D288:E288)=0,"",SUM(D288:E288))</f>
        <v>318</v>
      </c>
      <c r="G288" s="53" t="n">
        <f aca="false">IF(OR(F288="",F288=0),"",D288/F288)</f>
        <v>0.720125786163522</v>
      </c>
      <c r="H288" s="53" t="n">
        <f aca="false">IF(OR(F288="",F288=0),"",E288/F288)</f>
        <v>0.279874213836478</v>
      </c>
      <c r="I288" s="25" t="s">
        <v>128</v>
      </c>
      <c r="J288" s="28" t="n">
        <v>3.42046080519466</v>
      </c>
      <c r="K288" s="28" t="n">
        <f aca="false">$K$8</f>
        <v>0.297030231526703</v>
      </c>
      <c r="L288" s="28" t="n">
        <f aca="false">SQRT(J288^2+K288^2)</f>
        <v>3.43333352273176</v>
      </c>
      <c r="M288" s="53" t="n">
        <f aca="false">IF(G288="","",MAX(0,G288-1.96*L288/100))</f>
        <v>0.652832449117979</v>
      </c>
      <c r="N288" s="53" t="n">
        <f aca="false">IF(G288="","",MIN(1,G288+1.96*L288/100))</f>
        <v>0.787419123209065</v>
      </c>
      <c r="O288" s="52" t="n">
        <f aca="false">ROUND(S288*W288,0)</f>
        <v>47</v>
      </c>
      <c r="P288" s="52" t="n">
        <f aca="false">IF(F288="","",ROUND(SQRT((F288*L288/100)^2+(G288*O288)^2),0))</f>
        <v>36</v>
      </c>
      <c r="R288" s="54" t="n">
        <v>21.0824790555687</v>
      </c>
      <c r="S288" s="55" t="n">
        <f aca="false">U288*V288*$F$5</f>
        <v>318.271119842829</v>
      </c>
      <c r="T288" s="56" t="n">
        <f aca="false">MAX(0,MIN(1,R288/100+$D$5))</f>
        <v>0.718879839522992</v>
      </c>
      <c r="U288" s="56" t="n">
        <v>0.318271119842829</v>
      </c>
      <c r="V288" s="55" t="n">
        <v>1000</v>
      </c>
      <c r="W288" s="56" t="n">
        <v>0.148097331980838</v>
      </c>
      <c r="X288" s="57" t="s">
        <v>129</v>
      </c>
      <c r="Y288" s="57" t="s">
        <v>130</v>
      </c>
    </row>
    <row r="289" customFormat="false" ht="15" hidden="false" customHeight="false" outlineLevel="0" collapsed="false">
      <c r="A289" s="25" t="s">
        <v>385</v>
      </c>
      <c r="B289" s="25" t="s">
        <v>445</v>
      </c>
      <c r="C289" s="25" t="s">
        <v>455</v>
      </c>
      <c r="D289" s="52" t="n">
        <f aca="false">ROUND(S289*T289,0)</f>
        <v>233</v>
      </c>
      <c r="E289" s="52" t="n">
        <f aca="false">ROUND(S289,0)-D289</f>
        <v>118</v>
      </c>
      <c r="F289" s="52" t="n">
        <f aca="false">IF(COUNTA(D289:E289)=0,"",SUM(D289:E289))</f>
        <v>351</v>
      </c>
      <c r="G289" s="53" t="n">
        <f aca="false">IF(OR(F289="",F289=0),"",D289/F289)</f>
        <v>0.663817663817664</v>
      </c>
      <c r="H289" s="53" t="n">
        <f aca="false">IF(OR(F289="",F289=0),"",E289/F289)</f>
        <v>0.336182336182336</v>
      </c>
      <c r="I289" s="25" t="s">
        <v>128</v>
      </c>
      <c r="J289" s="28" t="n">
        <v>3.42046080519466</v>
      </c>
      <c r="K289" s="28" t="n">
        <f aca="false">$K$8</f>
        <v>0.297030231526703</v>
      </c>
      <c r="L289" s="28" t="n">
        <f aca="false">SQRT(J289^2+K289^2)</f>
        <v>3.43333352273176</v>
      </c>
      <c r="M289" s="53" t="n">
        <f aca="false">IF(G289="","",MAX(0,G289-1.96*L289/100))</f>
        <v>0.596524326772121</v>
      </c>
      <c r="N289" s="53" t="n">
        <f aca="false">IF(G289="","",MIN(1,G289+1.96*L289/100))</f>
        <v>0.731111000863206</v>
      </c>
      <c r="O289" s="52" t="n">
        <f aca="false">ROUND(S289*W289,0)</f>
        <v>52</v>
      </c>
      <c r="P289" s="52" t="n">
        <f aca="false">IF(F289="","",ROUND(SQRT((F289*L289/100)^2+(G289*O289)^2),0))</f>
        <v>37</v>
      </c>
      <c r="R289" s="54" t="n">
        <v>15.5735244077814</v>
      </c>
      <c r="S289" s="55" t="n">
        <f aca="false">U289*V289*$F$5</f>
        <v>350.591240875912</v>
      </c>
      <c r="T289" s="56" t="n">
        <f aca="false">MAX(0,MIN(1,R289/100+$D$5))</f>
        <v>0.663790293045119</v>
      </c>
      <c r="U289" s="56" t="n">
        <v>0.313868613138686</v>
      </c>
      <c r="V289" s="55" t="n">
        <v>1117</v>
      </c>
      <c r="W289" s="56" t="n">
        <v>0.148097331980838</v>
      </c>
      <c r="X289" s="57" t="s">
        <v>129</v>
      </c>
      <c r="Y289" s="57" t="s">
        <v>130</v>
      </c>
    </row>
    <row r="290" customFormat="false" ht="15" hidden="false" customHeight="false" outlineLevel="0" collapsed="false">
      <c r="A290" s="25" t="s">
        <v>385</v>
      </c>
      <c r="B290" s="25" t="s">
        <v>445</v>
      </c>
      <c r="C290" s="25" t="s">
        <v>456</v>
      </c>
      <c r="D290" s="52" t="n">
        <f aca="false">ROUND(S290*T290,0)</f>
        <v>1122</v>
      </c>
      <c r="E290" s="52" t="n">
        <f aca="false">ROUND(S290,0)-D290</f>
        <v>519</v>
      </c>
      <c r="F290" s="52" t="n">
        <f aca="false">IF(COUNTA(D290:E290)=0,"",SUM(D290:E290))</f>
        <v>1641</v>
      </c>
      <c r="G290" s="53" t="n">
        <f aca="false">IF(OR(F290="",F290=0),"",D290/F290)</f>
        <v>0.683729433272395</v>
      </c>
      <c r="H290" s="53" t="n">
        <f aca="false">IF(OR(F290="",F290=0),"",E290/F290)</f>
        <v>0.316270566727605</v>
      </c>
      <c r="I290" s="25" t="s">
        <v>231</v>
      </c>
      <c r="J290" s="28" t="n">
        <v>1.72835549007323</v>
      </c>
      <c r="K290" s="28" t="n">
        <f aca="false">$K$8</f>
        <v>0.297030231526703</v>
      </c>
      <c r="L290" s="28" t="n">
        <f aca="false">SQRT(J290^2+K290^2)</f>
        <v>1.75369314833214</v>
      </c>
      <c r="M290" s="53" t="n">
        <f aca="false">IF(G290="","",MAX(0,G290-1.96*L290/100))</f>
        <v>0.649357047565085</v>
      </c>
      <c r="N290" s="53" t="n">
        <f aca="false">IF(G290="","",MIN(1,G290+1.96*L290/100))</f>
        <v>0.718101818979705</v>
      </c>
      <c r="O290" s="52" t="n">
        <f aca="false">ROUND(S290*W290,0)</f>
        <v>112</v>
      </c>
      <c r="P290" s="52" t="n">
        <f aca="false">IF(F290="","",ROUND(SQRT((F290*L290/100)^2+(G290*O290)^2),0))</f>
        <v>82</v>
      </c>
      <c r="R290" s="54" t="n">
        <v>17.5387571711483</v>
      </c>
      <c r="S290" s="55" t="n">
        <f aca="false">U290*V290*$F$5</f>
        <v>1641.003487384</v>
      </c>
      <c r="T290" s="56" t="n">
        <f aca="false">MAX(0,MIN(1,R290/100+$D$5))</f>
        <v>0.683442620678788</v>
      </c>
      <c r="U290" s="56" t="n">
        <v>0.752408751666208</v>
      </c>
      <c r="V290" s="55" t="n">
        <v>2181</v>
      </c>
      <c r="W290" s="56" t="n">
        <v>0.0684752145190268</v>
      </c>
      <c r="X290" s="57" t="s">
        <v>168</v>
      </c>
      <c r="Y290" s="57" t="s">
        <v>130</v>
      </c>
    </row>
    <row r="291" customFormat="false" ht="15" hidden="false" customHeight="false" outlineLevel="0" collapsed="false">
      <c r="A291" s="25" t="s">
        <v>385</v>
      </c>
      <c r="B291" s="25" t="s">
        <v>445</v>
      </c>
      <c r="C291" s="25" t="s">
        <v>457</v>
      </c>
      <c r="D291" s="52" t="n">
        <f aca="false">ROUND(S291*T291,0)</f>
        <v>612</v>
      </c>
      <c r="E291" s="52" t="n">
        <f aca="false">ROUND(S291,0)-D291</f>
        <v>314</v>
      </c>
      <c r="F291" s="52" t="n">
        <f aca="false">IF(COUNTA(D291:E291)=0,"",SUM(D291:E291))</f>
        <v>926</v>
      </c>
      <c r="G291" s="53" t="n">
        <f aca="false">IF(OR(F291="",F291=0),"",D291/F291)</f>
        <v>0.660907127429806</v>
      </c>
      <c r="H291" s="53" t="n">
        <f aca="false">IF(OR(F291="",F291=0),"",E291/F291)</f>
        <v>0.339092872570194</v>
      </c>
      <c r="I291" s="25" t="s">
        <v>128</v>
      </c>
      <c r="J291" s="28" t="n">
        <v>2.11716121919269</v>
      </c>
      <c r="K291" s="28" t="n">
        <f aca="false">$K$8</f>
        <v>0.297030231526703</v>
      </c>
      <c r="L291" s="28" t="n">
        <f aca="false">SQRT(J291^2+K291^2)</f>
        <v>2.13789583153489</v>
      </c>
      <c r="M291" s="53" t="n">
        <f aca="false">IF(G291="","",MAX(0,G291-1.96*L291/100))</f>
        <v>0.619004369131722</v>
      </c>
      <c r="N291" s="53" t="n">
        <f aca="false">IF(G291="","",MIN(1,G291+1.96*L291/100))</f>
        <v>0.70280988572789</v>
      </c>
      <c r="O291" s="52" t="n">
        <f aca="false">ROUND(S291*W291,0)</f>
        <v>82</v>
      </c>
      <c r="P291" s="52" t="n">
        <f aca="false">IF(F291="","",ROUND(SQRT((F291*L291/100)^2+(G291*O291)^2),0))</f>
        <v>58</v>
      </c>
      <c r="R291" s="54" t="n">
        <v>15.2678910900934</v>
      </c>
      <c r="S291" s="55" t="n">
        <f aca="false">U291*V291*$F$5</f>
        <v>925.647509578544</v>
      </c>
      <c r="T291" s="56" t="n">
        <f aca="false">MAX(0,MIN(1,R291/100+$D$5))</f>
        <v>0.660733959868239</v>
      </c>
      <c r="U291" s="56" t="n">
        <v>0.432950191570881</v>
      </c>
      <c r="V291" s="55" t="n">
        <v>2138</v>
      </c>
      <c r="W291" s="56" t="n">
        <v>0.0887445098984521</v>
      </c>
      <c r="X291" s="57" t="s">
        <v>135</v>
      </c>
      <c r="Y291" s="57" t="s">
        <v>130</v>
      </c>
    </row>
    <row r="292" customFormat="false" ht="15" hidden="false" customHeight="false" outlineLevel="0" collapsed="false">
      <c r="A292" s="25" t="s">
        <v>385</v>
      </c>
      <c r="B292" s="25" t="s">
        <v>458</v>
      </c>
      <c r="C292" s="25" t="s">
        <v>459</v>
      </c>
      <c r="D292" s="52" t="n">
        <f aca="false">ROUND(S292*T292,0)</f>
        <v>722</v>
      </c>
      <c r="E292" s="52" t="n">
        <f aca="false">ROUND(S292,0)-D292</f>
        <v>640</v>
      </c>
      <c r="F292" s="52" t="n">
        <f aca="false">IF(COUNTA(D292:E292)=0,"",SUM(D292:E292))</f>
        <v>1362</v>
      </c>
      <c r="G292" s="53" t="n">
        <f aca="false">IF(OR(F292="",F292=0),"",D292/F292)</f>
        <v>0.530102790014684</v>
      </c>
      <c r="H292" s="53" t="n">
        <f aca="false">IF(OR(F292="",F292=0),"",E292/F292)</f>
        <v>0.469897209985316</v>
      </c>
      <c r="I292" s="25" t="s">
        <v>128</v>
      </c>
      <c r="J292" s="28" t="n">
        <v>1.72835549007323</v>
      </c>
      <c r="K292" s="28" t="n">
        <f aca="false">$K$8</f>
        <v>0.297030231526703</v>
      </c>
      <c r="L292" s="28" t="n">
        <f aca="false">SQRT(J292^2+K292^2)</f>
        <v>1.75369314833214</v>
      </c>
      <c r="M292" s="53" t="n">
        <f aca="false">IF(G292="","",MAX(0,G292-1.96*L292/100))</f>
        <v>0.495730404307374</v>
      </c>
      <c r="N292" s="53" t="n">
        <f aca="false">IF(G292="","",MIN(1,G292+1.96*L292/100))</f>
        <v>0.564475175721994</v>
      </c>
      <c r="O292" s="52" t="n">
        <f aca="false">ROUND(S292*W292,0)</f>
        <v>93</v>
      </c>
      <c r="P292" s="52" t="n">
        <f aca="false">IF(F292="","",ROUND(SQRT((F292*L292/100)^2+(G292*O292)^2),0))</f>
        <v>55</v>
      </c>
      <c r="R292" s="54" t="n">
        <v>2.18983494600885</v>
      </c>
      <c r="S292" s="55" t="n">
        <f aca="false">U292*V292*$F$5</f>
        <v>1362.48372781065</v>
      </c>
      <c r="T292" s="56" t="n">
        <f aca="false">MAX(0,MIN(1,R292/100+$D$5))</f>
        <v>0.529953398427393</v>
      </c>
      <c r="U292" s="56" t="n">
        <v>0.638165680473373</v>
      </c>
      <c r="V292" s="55" t="n">
        <v>2135</v>
      </c>
      <c r="W292" s="56" t="n">
        <v>0.0684752145190268</v>
      </c>
      <c r="X292" s="57" t="s">
        <v>168</v>
      </c>
      <c r="Y292" s="57" t="s">
        <v>130</v>
      </c>
    </row>
    <row r="293" customFormat="false" ht="15" hidden="false" customHeight="false" outlineLevel="0" collapsed="false">
      <c r="A293" s="25" t="s">
        <v>385</v>
      </c>
      <c r="B293" s="25" t="s">
        <v>458</v>
      </c>
      <c r="C293" s="25" t="s">
        <v>460</v>
      </c>
      <c r="D293" s="52" t="n">
        <f aca="false">ROUND(S293*T293,0)</f>
        <v>570</v>
      </c>
      <c r="E293" s="52" t="n">
        <f aca="false">ROUND(S293,0)-D293</f>
        <v>527</v>
      </c>
      <c r="F293" s="52" t="n">
        <f aca="false">IF(COUNTA(D293:E293)=0,"",SUM(D293:E293))</f>
        <v>1097</v>
      </c>
      <c r="G293" s="53" t="n">
        <f aca="false">IF(OR(F293="",F293=0),"",D293/F293)</f>
        <v>0.519598906107566</v>
      </c>
      <c r="H293" s="53" t="n">
        <f aca="false">IF(OR(F293="",F293=0),"",E293/F293)</f>
        <v>0.480401093892434</v>
      </c>
      <c r="I293" s="25" t="s">
        <v>231</v>
      </c>
      <c r="J293" s="28" t="n">
        <v>1.72835549007323</v>
      </c>
      <c r="K293" s="28" t="n">
        <f aca="false">$K$8</f>
        <v>0.297030231526703</v>
      </c>
      <c r="L293" s="28" t="n">
        <f aca="false">SQRT(J293^2+K293^2)</f>
        <v>1.75369314833214</v>
      </c>
      <c r="M293" s="53" t="n">
        <f aca="false">IF(G293="","",MAX(0,G293-1.96*L293/100))</f>
        <v>0.485226520400256</v>
      </c>
      <c r="N293" s="53" t="n">
        <f aca="false">IF(G293="","",MIN(1,G293+1.96*L293/100))</f>
        <v>0.553971291814876</v>
      </c>
      <c r="O293" s="52" t="n">
        <f aca="false">ROUND(S293*W293,0)</f>
        <v>75</v>
      </c>
      <c r="P293" s="52" t="n">
        <f aca="false">IF(F293="","",ROUND(SQRT((F293*L293/100)^2+(G293*O293)^2),0))</f>
        <v>43</v>
      </c>
      <c r="R293" s="54" t="n">
        <v>1.1568126807313</v>
      </c>
      <c r="S293" s="55" t="n">
        <f aca="false">U293*V293*$F$5</f>
        <v>1096.75029446997</v>
      </c>
      <c r="T293" s="56" t="n">
        <f aca="false">MAX(0,MIN(1,R293/100+$D$5))</f>
        <v>0.519623175774618</v>
      </c>
      <c r="U293" s="56" t="n">
        <v>0.641801519406637</v>
      </c>
      <c r="V293" s="55" t="n">
        <v>1708.86210348014</v>
      </c>
      <c r="W293" s="56" t="n">
        <v>0.0684752145190268</v>
      </c>
      <c r="X293" s="57" t="s">
        <v>168</v>
      </c>
      <c r="Y293" s="57" t="s">
        <v>233</v>
      </c>
    </row>
    <row r="294" customFormat="false" ht="15" hidden="false" customHeight="false" outlineLevel="0" collapsed="false">
      <c r="A294" s="25" t="s">
        <v>385</v>
      </c>
      <c r="B294" s="25" t="s">
        <v>458</v>
      </c>
      <c r="C294" s="25" t="s">
        <v>461</v>
      </c>
      <c r="D294" s="52" t="n">
        <f aca="false">ROUND(S294*T294,0)</f>
        <v>316</v>
      </c>
      <c r="E294" s="52" t="n">
        <f aca="false">ROUND(S294,0)-D294</f>
        <v>265</v>
      </c>
      <c r="F294" s="52" t="n">
        <f aca="false">IF(COUNTA(D294:E294)=0,"",SUM(D294:E294))</f>
        <v>581</v>
      </c>
      <c r="G294" s="53" t="n">
        <f aca="false">IF(OR(F294="",F294=0),"",D294/F294)</f>
        <v>0.543889845094664</v>
      </c>
      <c r="H294" s="53" t="n">
        <f aca="false">IF(OR(F294="",F294=0),"",E294/F294)</f>
        <v>0.456110154905336</v>
      </c>
      <c r="I294" s="25" t="s">
        <v>231</v>
      </c>
      <c r="J294" s="28" t="n">
        <v>2.11716121919269</v>
      </c>
      <c r="K294" s="28" t="n">
        <f aca="false">$K$8</f>
        <v>0.297030231526703</v>
      </c>
      <c r="L294" s="28" t="n">
        <f aca="false">SQRT(J294^2+K294^2)</f>
        <v>2.13789583153489</v>
      </c>
      <c r="M294" s="53" t="n">
        <f aca="false">IF(G294="","",MAX(0,G294-1.96*L294/100))</f>
        <v>0.501987086796581</v>
      </c>
      <c r="N294" s="53" t="n">
        <f aca="false">IF(G294="","",MIN(1,G294+1.96*L294/100))</f>
        <v>0.585792603392748</v>
      </c>
      <c r="O294" s="52" t="n">
        <f aca="false">ROUND(S294*W294,0)</f>
        <v>52</v>
      </c>
      <c r="P294" s="52" t="n">
        <f aca="false">IF(F294="","",ROUND(SQRT((F294*L294/100)^2+(G294*O294)^2),0))</f>
        <v>31</v>
      </c>
      <c r="R294" s="54" t="n">
        <v>3.5193204895836</v>
      </c>
      <c r="S294" s="55" t="n">
        <f aca="false">U294*V294*$F$5</f>
        <v>581.035155413661</v>
      </c>
      <c r="T294" s="56" t="n">
        <f aca="false">MAX(0,MIN(1,R294/100+$D$5))</f>
        <v>0.543248253863141</v>
      </c>
      <c r="U294" s="56" t="n">
        <v>0.283708571979326</v>
      </c>
      <c r="V294" s="55" t="n">
        <v>2048</v>
      </c>
      <c r="W294" s="56" t="n">
        <v>0.0887445098984521</v>
      </c>
      <c r="X294" s="57" t="s">
        <v>135</v>
      </c>
      <c r="Y294" s="57" t="s">
        <v>130</v>
      </c>
    </row>
    <row r="295" customFormat="false" ht="15" hidden="false" customHeight="false" outlineLevel="0" collapsed="false">
      <c r="A295" s="25" t="s">
        <v>385</v>
      </c>
      <c r="B295" s="25" t="s">
        <v>458</v>
      </c>
      <c r="C295" s="25" t="s">
        <v>462</v>
      </c>
      <c r="D295" s="52" t="n">
        <f aca="false">ROUND(S295*T295,0)</f>
        <v>608</v>
      </c>
      <c r="E295" s="52" t="n">
        <f aca="false">ROUND(S295,0)-D295</f>
        <v>557</v>
      </c>
      <c r="F295" s="52" t="n">
        <f aca="false">IF(COUNTA(D295:E295)=0,"",SUM(D295:E295))</f>
        <v>1165</v>
      </c>
      <c r="G295" s="53" t="n">
        <f aca="false">IF(OR(F295="",F295=0),"",D295/F295)</f>
        <v>0.521888412017167</v>
      </c>
      <c r="H295" s="53" t="n">
        <f aca="false">IF(OR(F295="",F295=0),"",E295/F295)</f>
        <v>0.478111587982833</v>
      </c>
      <c r="I295" s="25" t="s">
        <v>231</v>
      </c>
      <c r="J295" s="28" t="n">
        <v>1.72835549007323</v>
      </c>
      <c r="K295" s="28" t="n">
        <f aca="false">$K$8</f>
        <v>0.297030231526703</v>
      </c>
      <c r="L295" s="28" t="n">
        <f aca="false">SQRT(J295^2+K295^2)</f>
        <v>1.75369314833214</v>
      </c>
      <c r="M295" s="53" t="n">
        <f aca="false">IF(G295="","",MAX(0,G295-1.96*L295/100))</f>
        <v>0.487516026309858</v>
      </c>
      <c r="N295" s="53" t="n">
        <f aca="false">IF(G295="","",MIN(1,G295+1.96*L295/100))</f>
        <v>0.556260797724477</v>
      </c>
      <c r="O295" s="52" t="n">
        <f aca="false">ROUND(S295*W295,0)</f>
        <v>80</v>
      </c>
      <c r="P295" s="52" t="n">
        <f aca="false">IF(F295="","",ROUND(SQRT((F295*L295/100)^2+(G295*O295)^2),0))</f>
        <v>46</v>
      </c>
      <c r="R295" s="54" t="n">
        <v>1.38468987397186</v>
      </c>
      <c r="S295" s="55" t="n">
        <f aca="false">U295*V295*$F$5</f>
        <v>1165.3300485926</v>
      </c>
      <c r="T295" s="56" t="n">
        <f aca="false">MAX(0,MIN(1,R295/100+$D$5))</f>
        <v>0.521901947707023</v>
      </c>
      <c r="U295" s="56" t="n">
        <v>0.60134773346046</v>
      </c>
      <c r="V295" s="55" t="n">
        <v>1937.86387434555</v>
      </c>
      <c r="W295" s="56" t="n">
        <v>0.0684752145190268</v>
      </c>
      <c r="X295" s="57" t="s">
        <v>168</v>
      </c>
      <c r="Y295" s="57" t="s">
        <v>233</v>
      </c>
    </row>
    <row r="296" customFormat="false" ht="15" hidden="false" customHeight="false" outlineLevel="0" collapsed="false">
      <c r="A296" s="25" t="s">
        <v>385</v>
      </c>
      <c r="B296" s="25" t="s">
        <v>458</v>
      </c>
      <c r="C296" s="25" t="s">
        <v>463</v>
      </c>
      <c r="D296" s="52" t="n">
        <f aca="false">ROUND(S296*T296,0)</f>
        <v>528</v>
      </c>
      <c r="E296" s="52" t="n">
        <f aca="false">ROUND(S296,0)-D296</f>
        <v>485</v>
      </c>
      <c r="F296" s="52" t="n">
        <f aca="false">IF(COUNTA(D296:E296)=0,"",SUM(D296:E296))</f>
        <v>1013</v>
      </c>
      <c r="G296" s="53" t="n">
        <f aca="false">IF(OR(F296="",F296=0),"",D296/F296)</f>
        <v>0.521224086870681</v>
      </c>
      <c r="H296" s="53" t="n">
        <f aca="false">IF(OR(F296="",F296=0),"",E296/F296)</f>
        <v>0.478775913129319</v>
      </c>
      <c r="I296" s="25" t="s">
        <v>128</v>
      </c>
      <c r="J296" s="28" t="n">
        <v>1.72835549007323</v>
      </c>
      <c r="K296" s="28" t="n">
        <f aca="false">$K$8</f>
        <v>0.297030231526703</v>
      </c>
      <c r="L296" s="28" t="n">
        <f aca="false">SQRT(J296^2+K296^2)</f>
        <v>1.75369314833214</v>
      </c>
      <c r="M296" s="53" t="n">
        <f aca="false">IF(G296="","",MAX(0,G296-1.96*L296/100))</f>
        <v>0.486851701163371</v>
      </c>
      <c r="N296" s="53" t="n">
        <f aca="false">IF(G296="","",MIN(1,G296+1.96*L296/100))</f>
        <v>0.555596472577991</v>
      </c>
      <c r="O296" s="52" t="n">
        <f aca="false">ROUND(S296*W296,0)</f>
        <v>69</v>
      </c>
      <c r="P296" s="52" t="n">
        <f aca="false">IF(F296="","",ROUND(SQRT((F296*L296/100)^2+(G296*O296)^2),0))</f>
        <v>40</v>
      </c>
      <c r="R296" s="54" t="n">
        <v>1.32039858663073</v>
      </c>
      <c r="S296" s="55" t="n">
        <f aca="false">U296*V296*$F$5</f>
        <v>1012.91514143095</v>
      </c>
      <c r="T296" s="56" t="n">
        <f aca="false">MAX(0,MIN(1,R296/100+$D$5))</f>
        <v>0.521259034833612</v>
      </c>
      <c r="U296" s="56" t="n">
        <v>0.613144758735441</v>
      </c>
      <c r="V296" s="55" t="n">
        <v>1652</v>
      </c>
      <c r="W296" s="56" t="n">
        <v>0.0684752145190268</v>
      </c>
      <c r="X296" s="57" t="s">
        <v>168</v>
      </c>
      <c r="Y296" s="57" t="s">
        <v>130</v>
      </c>
    </row>
    <row r="297" customFormat="false" ht="15" hidden="false" customHeight="false" outlineLevel="0" collapsed="false">
      <c r="A297" s="25" t="s">
        <v>385</v>
      </c>
      <c r="B297" s="25" t="s">
        <v>458</v>
      </c>
      <c r="C297" s="25" t="s">
        <v>464</v>
      </c>
      <c r="D297" s="52" t="n">
        <f aca="false">ROUND(S297*T297,0)</f>
        <v>622</v>
      </c>
      <c r="E297" s="52" t="n">
        <f aca="false">ROUND(S297,0)-D297</f>
        <v>578</v>
      </c>
      <c r="F297" s="52" t="n">
        <f aca="false">IF(COUNTA(D297:E297)=0,"",SUM(D297:E297))</f>
        <v>1200</v>
      </c>
      <c r="G297" s="53" t="n">
        <f aca="false">IF(OR(F297="",F297=0),"",D297/F297)</f>
        <v>0.518333333333333</v>
      </c>
      <c r="H297" s="53" t="n">
        <f aca="false">IF(OR(F297="",F297=0),"",E297/F297)</f>
        <v>0.481666666666667</v>
      </c>
      <c r="I297" s="25" t="s">
        <v>231</v>
      </c>
      <c r="J297" s="28" t="n">
        <v>1.72835549007323</v>
      </c>
      <c r="K297" s="28" t="n">
        <f aca="false">$K$8</f>
        <v>0.297030231526703</v>
      </c>
      <c r="L297" s="28" t="n">
        <f aca="false">SQRT(J297^2+K297^2)</f>
        <v>1.75369314833214</v>
      </c>
      <c r="M297" s="53" t="n">
        <f aca="false">IF(G297="","",MAX(0,G297-1.96*L297/100))</f>
        <v>0.483960947626023</v>
      </c>
      <c r="N297" s="53" t="n">
        <f aca="false">IF(G297="","",MIN(1,G297+1.96*L297/100))</f>
        <v>0.552705719040643</v>
      </c>
      <c r="O297" s="52" t="n">
        <f aca="false">ROUND(S297*W297,0)</f>
        <v>82</v>
      </c>
      <c r="P297" s="52" t="n">
        <f aca="false">IF(F297="","",ROUND(SQRT((F297*L297/100)^2+(G297*O297)^2),0))</f>
        <v>47</v>
      </c>
      <c r="R297" s="54" t="n">
        <v>1.06248603754559</v>
      </c>
      <c r="S297" s="55" t="n">
        <f aca="false">U297*V297*$F$5</f>
        <v>1199.88122011757</v>
      </c>
      <c r="T297" s="56" t="n">
        <f aca="false">MAX(0,MIN(1,R297/100+$D$5))</f>
        <v>0.518679909342761</v>
      </c>
      <c r="U297" s="56" t="n">
        <v>0.617879182182459</v>
      </c>
      <c r="V297" s="55" t="n">
        <v>1941.93501693871</v>
      </c>
      <c r="W297" s="56" t="n">
        <v>0.0684752145190268</v>
      </c>
      <c r="X297" s="57" t="s">
        <v>168</v>
      </c>
      <c r="Y297" s="57" t="s">
        <v>233</v>
      </c>
    </row>
    <row r="298" customFormat="false" ht="15" hidden="false" customHeight="false" outlineLevel="0" collapsed="false">
      <c r="A298" s="25" t="s">
        <v>385</v>
      </c>
      <c r="B298" s="25" t="s">
        <v>458</v>
      </c>
      <c r="C298" s="25" t="s">
        <v>465</v>
      </c>
      <c r="D298" s="52" t="n">
        <f aca="false">ROUND(S298*T298,0)</f>
        <v>309</v>
      </c>
      <c r="E298" s="52" t="n">
        <f aca="false">ROUND(S298,0)-D298</f>
        <v>300</v>
      </c>
      <c r="F298" s="52" t="n">
        <f aca="false">IF(COUNTA(D298:E298)=0,"",SUM(D298:E298))</f>
        <v>609</v>
      </c>
      <c r="G298" s="53" t="n">
        <f aca="false">IF(OR(F298="",F298=0),"",D298/F298)</f>
        <v>0.507389162561576</v>
      </c>
      <c r="H298" s="53" t="n">
        <f aca="false">IF(OR(F298="",F298=0),"",E298/F298)</f>
        <v>0.492610837438424</v>
      </c>
      <c r="I298" s="25" t="s">
        <v>231</v>
      </c>
      <c r="J298" s="28" t="n">
        <v>2.11716121919269</v>
      </c>
      <c r="K298" s="28" t="n">
        <f aca="false">$K$8</f>
        <v>0.297030231526703</v>
      </c>
      <c r="L298" s="28" t="n">
        <f aca="false">SQRT(J298^2+K298^2)</f>
        <v>2.13789583153489</v>
      </c>
      <c r="M298" s="53" t="n">
        <f aca="false">IF(G298="","",MAX(0,G298-1.96*L298/100))</f>
        <v>0.465486404263493</v>
      </c>
      <c r="N298" s="53" t="n">
        <f aca="false">IF(G298="","",MIN(1,G298+1.96*L298/100))</f>
        <v>0.54929192085966</v>
      </c>
      <c r="O298" s="52" t="n">
        <f aca="false">ROUND(S298*W298,0)</f>
        <v>54</v>
      </c>
      <c r="P298" s="52" t="n">
        <f aca="false">IF(F298="","",ROUND(SQRT((F298*L298/100)^2+(G298*O298)^2),0))</f>
        <v>30</v>
      </c>
      <c r="R298" s="54" t="n">
        <v>-0.0318878499952723</v>
      </c>
      <c r="S298" s="55" t="n">
        <f aca="false">U298*V298*$F$5</f>
        <v>609.080306436487</v>
      </c>
      <c r="T298" s="56" t="n">
        <f aca="false">MAX(0,MIN(1,R298/100+$D$5))</f>
        <v>0.507736170467352</v>
      </c>
      <c r="U298" s="56" t="n">
        <v>0.34508799231529</v>
      </c>
      <c r="V298" s="55" t="n">
        <v>1765</v>
      </c>
      <c r="W298" s="56" t="n">
        <v>0.0887445098984521</v>
      </c>
      <c r="X298" s="57" t="s">
        <v>135</v>
      </c>
      <c r="Y298" s="57" t="s">
        <v>130</v>
      </c>
    </row>
    <row r="299" customFormat="false" ht="15" hidden="false" customHeight="false" outlineLevel="0" collapsed="false">
      <c r="A299" s="25" t="s">
        <v>385</v>
      </c>
      <c r="B299" s="25" t="s">
        <v>466</v>
      </c>
      <c r="C299" s="25" t="s">
        <v>466</v>
      </c>
      <c r="D299" s="52" t="n">
        <f aca="false">ROUND(S299*T299,0)</f>
        <v>486</v>
      </c>
      <c r="E299" s="52" t="n">
        <f aca="false">ROUND(S299,0)-D299</f>
        <v>325</v>
      </c>
      <c r="F299" s="52" t="n">
        <f aca="false">IF(COUNTA(D299:E299)=0,"",SUM(D299:E299))</f>
        <v>811</v>
      </c>
      <c r="G299" s="53" t="n">
        <f aca="false">IF(OR(F299="",F299=0),"",D299/F299)</f>
        <v>0.599260172626387</v>
      </c>
      <c r="H299" s="53" t="n">
        <f aca="false">IF(OR(F299="",F299=0),"",E299/F299)</f>
        <v>0.400739827373613</v>
      </c>
      <c r="I299" s="25" t="s">
        <v>128</v>
      </c>
      <c r="J299" s="28" t="n">
        <v>2.11716121919269</v>
      </c>
      <c r="K299" s="28" t="n">
        <f aca="false">$K$8</f>
        <v>0.297030231526703</v>
      </c>
      <c r="L299" s="28" t="n">
        <f aca="false">SQRT(J299^2+K299^2)</f>
        <v>2.13789583153489</v>
      </c>
      <c r="M299" s="53" t="n">
        <f aca="false">IF(G299="","",MAX(0,G299-1.96*L299/100))</f>
        <v>0.557357414328303</v>
      </c>
      <c r="N299" s="53" t="n">
        <f aca="false">IF(G299="","",MIN(1,G299+1.96*L299/100))</f>
        <v>0.641162930924471</v>
      </c>
      <c r="O299" s="52" t="n">
        <f aca="false">ROUND(S299*W299,0)</f>
        <v>72</v>
      </c>
      <c r="P299" s="52" t="n">
        <f aca="false">IF(F299="","",ROUND(SQRT((F299*L299/100)^2+(G299*O299)^2),0))</f>
        <v>47</v>
      </c>
      <c r="R299" s="54" t="n">
        <v>9.14807899726592</v>
      </c>
      <c r="S299" s="55" t="n">
        <f aca="false">U299*V299*$F$5</f>
        <v>811.2722513089</v>
      </c>
      <c r="T299" s="56" t="n">
        <f aca="false">MAX(0,MIN(1,R299/100+$D$5))</f>
        <v>0.599535838939964</v>
      </c>
      <c r="U299" s="56" t="n">
        <v>0.424083769633508</v>
      </c>
      <c r="V299" s="55" t="n">
        <v>1913</v>
      </c>
      <c r="W299" s="56" t="n">
        <v>0.0887445098984521</v>
      </c>
      <c r="X299" s="57" t="s">
        <v>135</v>
      </c>
      <c r="Y299" s="57" t="s">
        <v>130</v>
      </c>
    </row>
    <row r="300" customFormat="false" ht="15" hidden="false" customHeight="false" outlineLevel="0" collapsed="false">
      <c r="A300" s="25" t="s">
        <v>385</v>
      </c>
      <c r="B300" s="25" t="s">
        <v>467</v>
      </c>
      <c r="C300" s="25" t="s">
        <v>467</v>
      </c>
      <c r="D300" s="52" t="n">
        <f aca="false">ROUND(S300*T300,0)</f>
        <v>75</v>
      </c>
      <c r="E300" s="52" t="n">
        <f aca="false">ROUND(S300,0)-D300</f>
        <v>69</v>
      </c>
      <c r="F300" s="52" t="n">
        <f aca="false">IF(COUNTA(D300:E300)=0,"",SUM(D300:E300))</f>
        <v>144</v>
      </c>
      <c r="G300" s="53" t="n">
        <f aca="false">IF(OR(F300="",F300=0),"",D300/F300)</f>
        <v>0.520833333333333</v>
      </c>
      <c r="H300" s="53" t="n">
        <f aca="false">IF(OR(F300="",F300=0),"",E300/F300)</f>
        <v>0.479166666666667</v>
      </c>
      <c r="I300" s="25" t="s">
        <v>128</v>
      </c>
      <c r="J300" s="28" t="n">
        <v>3.42046080519466</v>
      </c>
      <c r="K300" s="28" t="n">
        <f aca="false">$K$8</f>
        <v>0.297030231526703</v>
      </c>
      <c r="L300" s="28" t="n">
        <f aca="false">SQRT(J300^2+K300^2)</f>
        <v>3.43333352273176</v>
      </c>
      <c r="M300" s="53" t="n">
        <f aca="false">IF(G300="","",MAX(0,G300-1.96*L300/100))</f>
        <v>0.453539996287791</v>
      </c>
      <c r="N300" s="53" t="n">
        <f aca="false">IF(G300="","",MIN(1,G300+1.96*L300/100))</f>
        <v>0.588126670378876</v>
      </c>
      <c r="O300" s="52" t="n">
        <f aca="false">ROUND(S300*W300,0)</f>
        <v>21</v>
      </c>
      <c r="P300" s="52" t="n">
        <f aca="false">IF(F300="","",ROUND(SQRT((F300*L300/100)^2+(G300*O300)^2),0))</f>
        <v>12</v>
      </c>
      <c r="R300" s="54" t="n">
        <v>1.52978498234153</v>
      </c>
      <c r="S300" s="55" t="n">
        <f aca="false">U300*V300*$F$5</f>
        <v>143.630597014925</v>
      </c>
      <c r="T300" s="56" t="n">
        <f aca="false">MAX(0,MIN(1,R300/100+$D$5))</f>
        <v>0.52335289879072</v>
      </c>
      <c r="U300" s="56" t="n">
        <v>0.526119402985075</v>
      </c>
      <c r="V300" s="55" t="n">
        <v>273</v>
      </c>
      <c r="W300" s="56" t="n">
        <v>0.148097331980838</v>
      </c>
      <c r="X300" s="57" t="s">
        <v>129</v>
      </c>
      <c r="Y300" s="57" t="s">
        <v>130</v>
      </c>
    </row>
    <row r="301" customFormat="false" ht="15" hidden="false" customHeight="false" outlineLevel="0" collapsed="false">
      <c r="A301" s="25" t="s">
        <v>385</v>
      </c>
      <c r="B301" s="25" t="s">
        <v>292</v>
      </c>
      <c r="C301" s="25" t="s">
        <v>468</v>
      </c>
      <c r="D301" s="52" t="n">
        <f aca="false">ROUND(S301*T301,0)</f>
        <v>758</v>
      </c>
      <c r="E301" s="52" t="n">
        <f aca="false">ROUND(S301,0)-D301</f>
        <v>538</v>
      </c>
      <c r="F301" s="52" t="n">
        <f aca="false">IF(COUNTA(D301:E301)=0,"",SUM(D301:E301))</f>
        <v>1296</v>
      </c>
      <c r="G301" s="53" t="n">
        <f aca="false">IF(OR(F301="",F301=0),"",D301/F301)</f>
        <v>0.584876543209877</v>
      </c>
      <c r="H301" s="53" t="n">
        <f aca="false">IF(OR(F301="",F301=0),"",E301/F301)</f>
        <v>0.415123456790123</v>
      </c>
      <c r="I301" s="25" t="s">
        <v>128</v>
      </c>
      <c r="J301" s="28" t="n">
        <v>1.72835549007323</v>
      </c>
      <c r="K301" s="28" t="n">
        <f aca="false">$K$8</f>
        <v>0.297030231526703</v>
      </c>
      <c r="L301" s="28" t="n">
        <f aca="false">SQRT(J301^2+K301^2)</f>
        <v>1.75369314833214</v>
      </c>
      <c r="M301" s="53" t="n">
        <f aca="false">IF(G301="","",MAX(0,G301-1.96*L301/100))</f>
        <v>0.550504157502567</v>
      </c>
      <c r="N301" s="53" t="n">
        <f aca="false">IF(G301="","",MIN(1,G301+1.96*L301/100))</f>
        <v>0.619248928917186</v>
      </c>
      <c r="O301" s="52" t="n">
        <f aca="false">ROUND(S301*W301,0)</f>
        <v>89</v>
      </c>
      <c r="P301" s="52" t="n">
        <f aca="false">IF(F301="","",ROUND(SQRT((F301*L301/100)^2+(G301*O301)^2),0))</f>
        <v>57</v>
      </c>
      <c r="R301" s="54" t="n">
        <v>7.68025950569144</v>
      </c>
      <c r="S301" s="55" t="n">
        <f aca="false">U301*V301*$F$5</f>
        <v>1296.13085052843</v>
      </c>
      <c r="T301" s="56" t="n">
        <f aca="false">MAX(0,MIN(1,R301/100+$D$5))</f>
        <v>0.584857644024219</v>
      </c>
      <c r="U301" s="56" t="n">
        <v>0.662304982385506</v>
      </c>
      <c r="V301" s="55" t="n">
        <v>1957</v>
      </c>
      <c r="W301" s="56" t="n">
        <v>0.0684752145190268</v>
      </c>
      <c r="X301" s="57" t="s">
        <v>168</v>
      </c>
      <c r="Y301" s="57" t="s">
        <v>130</v>
      </c>
    </row>
    <row r="302" customFormat="false" ht="15" hidden="false" customHeight="false" outlineLevel="0" collapsed="false">
      <c r="A302" s="25" t="s">
        <v>385</v>
      </c>
      <c r="B302" s="25" t="s">
        <v>292</v>
      </c>
      <c r="C302" s="25" t="s">
        <v>469</v>
      </c>
      <c r="D302" s="52" t="n">
        <f aca="false">ROUND(S302*T302,0)</f>
        <v>727</v>
      </c>
      <c r="E302" s="52" t="n">
        <f aca="false">ROUND(S302,0)-D302</f>
        <v>587</v>
      </c>
      <c r="F302" s="52" t="n">
        <f aca="false">IF(COUNTA(D302:E302)=0,"",SUM(D302:E302))</f>
        <v>1314</v>
      </c>
      <c r="G302" s="53" t="n">
        <f aca="false">IF(OR(F302="",F302=0),"",D302/F302)</f>
        <v>0.553272450532725</v>
      </c>
      <c r="H302" s="53" t="n">
        <f aca="false">IF(OR(F302="",F302=0),"",E302/F302)</f>
        <v>0.446727549467276</v>
      </c>
      <c r="I302" s="25" t="s">
        <v>128</v>
      </c>
      <c r="J302" s="28" t="n">
        <v>1.72835549007323</v>
      </c>
      <c r="K302" s="28" t="n">
        <f aca="false">$K$8</f>
        <v>0.297030231526703</v>
      </c>
      <c r="L302" s="28" t="n">
        <f aca="false">SQRT(J302^2+K302^2)</f>
        <v>1.75369314833214</v>
      </c>
      <c r="M302" s="53" t="n">
        <f aca="false">IF(G302="","",MAX(0,G302-1.96*L302/100))</f>
        <v>0.518900064825415</v>
      </c>
      <c r="N302" s="53" t="n">
        <f aca="false">IF(G302="","",MIN(1,G302+1.96*L302/100))</f>
        <v>0.587644836240034</v>
      </c>
      <c r="O302" s="52" t="n">
        <f aca="false">ROUND(S302*W302,0)</f>
        <v>90</v>
      </c>
      <c r="P302" s="52" t="n">
        <f aca="false">IF(F302="","",ROUND(SQRT((F302*L302/100)^2+(G302*O302)^2),0))</f>
        <v>55</v>
      </c>
      <c r="R302" s="54" t="n">
        <v>4.5548944567879</v>
      </c>
      <c r="S302" s="55" t="n">
        <f aca="false">U302*V302*$F$5</f>
        <v>1313.559</v>
      </c>
      <c r="T302" s="56" t="n">
        <f aca="false">MAX(0,MIN(1,R302/100+$D$5))</f>
        <v>0.553603993535184</v>
      </c>
      <c r="U302" s="56" t="n">
        <v>0.6695</v>
      </c>
      <c r="V302" s="55" t="n">
        <v>1962</v>
      </c>
      <c r="W302" s="56" t="n">
        <v>0.0684752145190268</v>
      </c>
      <c r="X302" s="57" t="s">
        <v>168</v>
      </c>
      <c r="Y302" s="57" t="s">
        <v>130</v>
      </c>
    </row>
    <row r="303" customFormat="false" ht="15" hidden="false" customHeight="false" outlineLevel="0" collapsed="false">
      <c r="A303" s="25" t="s">
        <v>385</v>
      </c>
      <c r="B303" s="25" t="s">
        <v>292</v>
      </c>
      <c r="C303" s="25" t="s">
        <v>470</v>
      </c>
      <c r="D303" s="52" t="n">
        <f aca="false">ROUND(S303*T303,0)</f>
        <v>384</v>
      </c>
      <c r="E303" s="52" t="n">
        <f aca="false">ROUND(S303,0)-D303</f>
        <v>346</v>
      </c>
      <c r="F303" s="52" t="n">
        <f aca="false">IF(COUNTA(D303:E303)=0,"",SUM(D303:E303))</f>
        <v>730</v>
      </c>
      <c r="G303" s="53" t="n">
        <f aca="false">IF(OR(F303="",F303=0),"",D303/F303)</f>
        <v>0.526027397260274</v>
      </c>
      <c r="H303" s="53" t="n">
        <f aca="false">IF(OR(F303="",F303=0),"",E303/F303)</f>
        <v>0.473972602739726</v>
      </c>
      <c r="I303" s="25" t="s">
        <v>128</v>
      </c>
      <c r="J303" s="28" t="n">
        <v>2.11716121919269</v>
      </c>
      <c r="K303" s="28" t="n">
        <f aca="false">$K$8</f>
        <v>0.297030231526703</v>
      </c>
      <c r="L303" s="28" t="n">
        <f aca="false">SQRT(J303^2+K303^2)</f>
        <v>2.13789583153489</v>
      </c>
      <c r="M303" s="53" t="n">
        <f aca="false">IF(G303="","",MAX(0,G303-1.96*L303/100))</f>
        <v>0.48412463896219</v>
      </c>
      <c r="N303" s="53" t="n">
        <f aca="false">IF(G303="","",MIN(1,G303+1.96*L303/100))</f>
        <v>0.567930155558358</v>
      </c>
      <c r="O303" s="52" t="n">
        <f aca="false">ROUND(S303*W303,0)</f>
        <v>65</v>
      </c>
      <c r="P303" s="52" t="n">
        <f aca="false">IF(F303="","",ROUND(SQRT((F303*L303/100)^2+(G303*O303)^2),0))</f>
        <v>38</v>
      </c>
      <c r="R303" s="54" t="n">
        <v>1.71891494777073</v>
      </c>
      <c r="S303" s="55" t="n">
        <f aca="false">U303*V303*$F$5</f>
        <v>730.386706948641</v>
      </c>
      <c r="T303" s="56" t="n">
        <f aca="false">MAX(0,MIN(1,R303/100+$D$5))</f>
        <v>0.525244198445012</v>
      </c>
      <c r="U303" s="56" t="n">
        <v>0.731117824773414</v>
      </c>
      <c r="V303" s="55" t="n">
        <v>999</v>
      </c>
      <c r="W303" s="56" t="n">
        <v>0.0887445098984521</v>
      </c>
      <c r="X303" s="57" t="s">
        <v>135</v>
      </c>
      <c r="Y303" s="57" t="s">
        <v>130</v>
      </c>
    </row>
    <row r="304" customFormat="false" ht="15" hidden="false" customHeight="false" outlineLevel="0" collapsed="false">
      <c r="A304" s="25" t="s">
        <v>385</v>
      </c>
      <c r="B304" s="25" t="s">
        <v>292</v>
      </c>
      <c r="C304" s="25" t="s">
        <v>471</v>
      </c>
      <c r="D304" s="52" t="n">
        <f aca="false">ROUND(S304*T304,0)</f>
        <v>608</v>
      </c>
      <c r="E304" s="52" t="n">
        <f aca="false">ROUND(S304,0)-D304</f>
        <v>547</v>
      </c>
      <c r="F304" s="52" t="n">
        <f aca="false">IF(COUNTA(D304:E304)=0,"",SUM(D304:E304))</f>
        <v>1155</v>
      </c>
      <c r="G304" s="53" t="n">
        <f aca="false">IF(OR(F304="",F304=0),"",D304/F304)</f>
        <v>0.526406926406926</v>
      </c>
      <c r="H304" s="53" t="n">
        <f aca="false">IF(OR(F304="",F304=0),"",E304/F304)</f>
        <v>0.473593073593074</v>
      </c>
      <c r="I304" s="25" t="s">
        <v>128</v>
      </c>
      <c r="J304" s="28" t="n">
        <v>1.72835549007323</v>
      </c>
      <c r="K304" s="28" t="n">
        <f aca="false">$K$8</f>
        <v>0.297030231526703</v>
      </c>
      <c r="L304" s="28" t="n">
        <f aca="false">SQRT(J304^2+K304^2)</f>
        <v>1.75369314833214</v>
      </c>
      <c r="M304" s="53" t="n">
        <f aca="false">IF(G304="","",MAX(0,G304-1.96*L304/100))</f>
        <v>0.492034540699617</v>
      </c>
      <c r="N304" s="53" t="n">
        <f aca="false">IF(G304="","",MIN(1,G304+1.96*L304/100))</f>
        <v>0.560779312114236</v>
      </c>
      <c r="O304" s="52" t="n">
        <f aca="false">ROUND(S304*W304,0)</f>
        <v>79</v>
      </c>
      <c r="P304" s="52" t="n">
        <f aca="false">IF(F304="","",ROUND(SQRT((F304*L304/100)^2+(G304*O304)^2),0))</f>
        <v>46</v>
      </c>
      <c r="R304" s="54" t="n">
        <v>1.88767996275065</v>
      </c>
      <c r="S304" s="55" t="n">
        <f aca="false">U304*V304*$F$5</f>
        <v>1154.58674351585</v>
      </c>
      <c r="T304" s="56" t="n">
        <f aca="false">MAX(0,MIN(1,R304/100+$D$5))</f>
        <v>0.526931848594811</v>
      </c>
      <c r="U304" s="56" t="n">
        <v>0.660518731988472</v>
      </c>
      <c r="V304" s="55" t="n">
        <v>1748</v>
      </c>
      <c r="W304" s="56" t="n">
        <v>0.0684752145190268</v>
      </c>
      <c r="X304" s="57" t="s">
        <v>168</v>
      </c>
      <c r="Y304" s="57" t="s">
        <v>130</v>
      </c>
    </row>
    <row r="305" customFormat="false" ht="15" hidden="false" customHeight="false" outlineLevel="0" collapsed="false">
      <c r="A305" s="25" t="s">
        <v>385</v>
      </c>
      <c r="B305" s="25" t="s">
        <v>292</v>
      </c>
      <c r="C305" s="25" t="s">
        <v>472</v>
      </c>
      <c r="D305" s="52" t="n">
        <f aca="false">ROUND(S305*T305,0)</f>
        <v>661</v>
      </c>
      <c r="E305" s="52" t="n">
        <f aca="false">ROUND(S305,0)-D305</f>
        <v>540</v>
      </c>
      <c r="F305" s="52" t="n">
        <f aca="false">IF(COUNTA(D305:E305)=0,"",SUM(D305:E305))</f>
        <v>1201</v>
      </c>
      <c r="G305" s="53" t="n">
        <f aca="false">IF(OR(F305="",F305=0),"",D305/F305)</f>
        <v>0.5503746877602</v>
      </c>
      <c r="H305" s="53" t="n">
        <f aca="false">IF(OR(F305="",F305=0),"",E305/F305)</f>
        <v>0.4496253122398</v>
      </c>
      <c r="I305" s="25" t="s">
        <v>128</v>
      </c>
      <c r="J305" s="28" t="n">
        <v>1.72835549007323</v>
      </c>
      <c r="K305" s="28" t="n">
        <f aca="false">$K$8</f>
        <v>0.297030231526703</v>
      </c>
      <c r="L305" s="28" t="n">
        <f aca="false">SQRT(J305^2+K305^2)</f>
        <v>1.75369314833214</v>
      </c>
      <c r="M305" s="53" t="n">
        <f aca="false">IF(G305="","",MAX(0,G305-1.96*L305/100))</f>
        <v>0.51600230205289</v>
      </c>
      <c r="N305" s="53" t="n">
        <f aca="false">IF(G305="","",MIN(1,G305+1.96*L305/100))</f>
        <v>0.58474707346751</v>
      </c>
      <c r="O305" s="52" t="n">
        <f aca="false">ROUND(S305*W305,0)</f>
        <v>82</v>
      </c>
      <c r="P305" s="52" t="n">
        <f aca="false">IF(F305="","",ROUND(SQRT((F305*L305/100)^2+(G305*O305)^2),0))</f>
        <v>50</v>
      </c>
      <c r="R305" s="54" t="n">
        <v>4.19256582536592</v>
      </c>
      <c r="S305" s="55" t="n">
        <f aca="false">U305*V305*$F$5</f>
        <v>1201.08993448481</v>
      </c>
      <c r="T305" s="56" t="n">
        <f aca="false">MAX(0,MIN(1,R305/100+$D$5))</f>
        <v>0.549980707220964</v>
      </c>
      <c r="U305" s="56" t="n">
        <v>0.687909469922573</v>
      </c>
      <c r="V305" s="55" t="n">
        <v>1746</v>
      </c>
      <c r="W305" s="56" t="n">
        <v>0.0684752145190268</v>
      </c>
      <c r="X305" s="57" t="s">
        <v>168</v>
      </c>
      <c r="Y305" s="57" t="s">
        <v>130</v>
      </c>
    </row>
    <row r="306" customFormat="false" ht="15" hidden="false" customHeight="false" outlineLevel="0" collapsed="false">
      <c r="A306" s="25" t="s">
        <v>385</v>
      </c>
      <c r="B306" s="25" t="s">
        <v>292</v>
      </c>
      <c r="C306" s="25" t="s">
        <v>473</v>
      </c>
      <c r="D306" s="52" t="n">
        <f aca="false">ROUND(S306*T306,0)</f>
        <v>389</v>
      </c>
      <c r="E306" s="52" t="n">
        <f aca="false">ROUND(S306,0)-D306</f>
        <v>341</v>
      </c>
      <c r="F306" s="52" t="n">
        <f aca="false">IF(COUNTA(D306:E306)=0,"",SUM(D306:E306))</f>
        <v>730</v>
      </c>
      <c r="G306" s="53" t="n">
        <f aca="false">IF(OR(F306="",F306=0),"",D306/F306)</f>
        <v>0.532876712328767</v>
      </c>
      <c r="H306" s="53" t="n">
        <f aca="false">IF(OR(F306="",F306=0),"",E306/F306)</f>
        <v>0.467123287671233</v>
      </c>
      <c r="I306" s="25" t="s">
        <v>128</v>
      </c>
      <c r="J306" s="28" t="n">
        <v>2.11716121919269</v>
      </c>
      <c r="K306" s="28" t="n">
        <f aca="false">$K$8</f>
        <v>0.297030231526703</v>
      </c>
      <c r="L306" s="28" t="n">
        <f aca="false">SQRT(J306^2+K306^2)</f>
        <v>2.13789583153489</v>
      </c>
      <c r="M306" s="53" t="n">
        <f aca="false">IF(G306="","",MAX(0,G306-1.96*L306/100))</f>
        <v>0.490973954030683</v>
      </c>
      <c r="N306" s="53" t="n">
        <f aca="false">IF(G306="","",MIN(1,G306+1.96*L306/100))</f>
        <v>0.574779470626851</v>
      </c>
      <c r="O306" s="52" t="n">
        <f aca="false">ROUND(S306*W306,0)</f>
        <v>65</v>
      </c>
      <c r="P306" s="52" t="n">
        <f aca="false">IF(F306="","",ROUND(SQRT((F306*L306/100)^2+(G306*O306)^2),0))</f>
        <v>38</v>
      </c>
      <c r="R306" s="54" t="n">
        <v>2.46472399024641</v>
      </c>
      <c r="S306" s="55" t="n">
        <f aca="false">U306*V306*$F$5</f>
        <v>730.182352941177</v>
      </c>
      <c r="T306" s="56" t="n">
        <f aca="false">MAX(0,MIN(1,R306/100+$D$5))</f>
        <v>0.532702288869769</v>
      </c>
      <c r="U306" s="56" t="n">
        <v>0.647899159663866</v>
      </c>
      <c r="V306" s="55" t="n">
        <v>1127</v>
      </c>
      <c r="W306" s="56" t="n">
        <v>0.0887445098984521</v>
      </c>
      <c r="X306" s="57" t="s">
        <v>135</v>
      </c>
      <c r="Y306" s="57" t="s">
        <v>130</v>
      </c>
    </row>
    <row r="307" customFormat="false" ht="15" hidden="false" customHeight="false" outlineLevel="0" collapsed="false">
      <c r="A307" s="25" t="s">
        <v>385</v>
      </c>
      <c r="B307" s="25" t="s">
        <v>474</v>
      </c>
      <c r="C307" s="25" t="s">
        <v>475</v>
      </c>
      <c r="D307" s="52" t="n">
        <f aca="false">ROUND(S307*T307,0)</f>
        <v>452</v>
      </c>
      <c r="E307" s="52" t="n">
        <f aca="false">ROUND(S307,0)-D307</f>
        <v>458</v>
      </c>
      <c r="F307" s="52" t="n">
        <f aca="false">IF(COUNTA(D307:E307)=0,"",SUM(D307:E307))</f>
        <v>910</v>
      </c>
      <c r="G307" s="53" t="n">
        <f aca="false">IF(OR(F307="",F307=0),"",D307/F307)</f>
        <v>0.496703296703297</v>
      </c>
      <c r="H307" s="53" t="n">
        <f aca="false">IF(OR(F307="",F307=0),"",E307/F307)</f>
        <v>0.503296703296703</v>
      </c>
      <c r="I307" s="25" t="s">
        <v>128</v>
      </c>
      <c r="J307" s="28" t="n">
        <v>2.11716121919269</v>
      </c>
      <c r="K307" s="28" t="n">
        <f aca="false">$K$8</f>
        <v>0.297030231526703</v>
      </c>
      <c r="L307" s="28" t="n">
        <f aca="false">SQRT(J307^2+K307^2)</f>
        <v>2.13789583153489</v>
      </c>
      <c r="M307" s="53" t="n">
        <f aca="false">IF(G307="","",MAX(0,G307-1.96*L307/100))</f>
        <v>0.454800538405213</v>
      </c>
      <c r="N307" s="53" t="n">
        <f aca="false">IF(G307="","",MIN(1,G307+1.96*L307/100))</f>
        <v>0.538606055001381</v>
      </c>
      <c r="O307" s="52" t="n">
        <f aca="false">ROUND(S307*W307,0)</f>
        <v>81</v>
      </c>
      <c r="P307" s="52" t="n">
        <f aca="false">IF(F307="","",ROUND(SQRT((F307*L307/100)^2+(G307*O307)^2),0))</f>
        <v>45</v>
      </c>
      <c r="R307" s="54" t="n">
        <v>-1.19782850332214</v>
      </c>
      <c r="S307" s="55" t="n">
        <f aca="false">U307*V307*$F$5</f>
        <v>910.483425414365</v>
      </c>
      <c r="T307" s="56" t="n">
        <f aca="false">MAX(0,MIN(1,R307/100+$D$5))</f>
        <v>0.496076763934083</v>
      </c>
      <c r="U307" s="56" t="n">
        <v>0.604972375690608</v>
      </c>
      <c r="V307" s="55" t="n">
        <v>1505</v>
      </c>
      <c r="W307" s="56" t="n">
        <v>0.0887445098984521</v>
      </c>
      <c r="X307" s="57" t="s">
        <v>135</v>
      </c>
      <c r="Y307" s="57" t="s">
        <v>130</v>
      </c>
    </row>
    <row r="308" customFormat="false" ht="15" hidden="false" customHeight="false" outlineLevel="0" collapsed="false">
      <c r="A308" s="25" t="s">
        <v>385</v>
      </c>
      <c r="B308" s="25" t="s">
        <v>474</v>
      </c>
      <c r="C308" s="25" t="s">
        <v>476</v>
      </c>
      <c r="D308" s="52" t="n">
        <f aca="false">ROUND(S308*T308,0)</f>
        <v>362</v>
      </c>
      <c r="E308" s="52" t="n">
        <f aca="false">ROUND(S308,0)-D308</f>
        <v>339</v>
      </c>
      <c r="F308" s="52" t="n">
        <f aca="false">IF(COUNTA(D308:E308)=0,"",SUM(D308:E308))</f>
        <v>701</v>
      </c>
      <c r="G308" s="53" t="n">
        <f aca="false">IF(OR(F308="",F308=0),"",D308/F308)</f>
        <v>0.516405135520685</v>
      </c>
      <c r="H308" s="53" t="n">
        <f aca="false">IF(OR(F308="",F308=0),"",E308/F308)</f>
        <v>0.483594864479315</v>
      </c>
      <c r="I308" s="25" t="s">
        <v>128</v>
      </c>
      <c r="J308" s="28" t="n">
        <v>2.11716121919269</v>
      </c>
      <c r="K308" s="28" t="n">
        <f aca="false">$K$8</f>
        <v>0.297030231526703</v>
      </c>
      <c r="L308" s="28" t="n">
        <f aca="false">SQRT(J308^2+K308^2)</f>
        <v>2.13789583153489</v>
      </c>
      <c r="M308" s="53" t="n">
        <f aca="false">IF(G308="","",MAX(0,G308-1.96*L308/100))</f>
        <v>0.474502377222601</v>
      </c>
      <c r="N308" s="53" t="n">
        <f aca="false">IF(G308="","",MIN(1,G308+1.96*L308/100))</f>
        <v>0.558307893818769</v>
      </c>
      <c r="O308" s="52" t="n">
        <f aca="false">ROUND(S308*W308,0)</f>
        <v>62</v>
      </c>
      <c r="P308" s="52" t="n">
        <f aca="false">IF(F308="","",ROUND(SQRT((F308*L308/100)^2+(G308*O308)^2),0))</f>
        <v>35</v>
      </c>
      <c r="R308" s="54" t="n">
        <v>0.832563029807929</v>
      </c>
      <c r="S308" s="55" t="n">
        <f aca="false">U308*V308*$F$5</f>
        <v>700.622033898305</v>
      </c>
      <c r="T308" s="56" t="n">
        <f aca="false">MAX(0,MIN(1,R308/100+$D$5))</f>
        <v>0.516380679265384</v>
      </c>
      <c r="U308" s="56" t="n">
        <v>0.577118644067797</v>
      </c>
      <c r="V308" s="55" t="n">
        <v>1214</v>
      </c>
      <c r="W308" s="56" t="n">
        <v>0.0887445098984521</v>
      </c>
      <c r="X308" s="57" t="s">
        <v>135</v>
      </c>
      <c r="Y308" s="57" t="s">
        <v>130</v>
      </c>
    </row>
    <row r="309" customFormat="false" ht="15" hidden="false" customHeight="false" outlineLevel="0" collapsed="false">
      <c r="A309" s="25" t="s">
        <v>385</v>
      </c>
      <c r="B309" s="25" t="s">
        <v>474</v>
      </c>
      <c r="C309" s="25" t="s">
        <v>477</v>
      </c>
      <c r="D309" s="52" t="n">
        <f aca="false">ROUND(S309*T309,0)</f>
        <v>542</v>
      </c>
      <c r="E309" s="52" t="n">
        <f aca="false">ROUND(S309,0)-D309</f>
        <v>475</v>
      </c>
      <c r="F309" s="52" t="n">
        <f aca="false">IF(COUNTA(D309:E309)=0,"",SUM(D309:E309))</f>
        <v>1017</v>
      </c>
      <c r="G309" s="53" t="n">
        <f aca="false">IF(OR(F309="",F309=0),"",D309/F309)</f>
        <v>0.532940019665683</v>
      </c>
      <c r="H309" s="53" t="n">
        <f aca="false">IF(OR(F309="",F309=0),"",E309/F309)</f>
        <v>0.467059980334317</v>
      </c>
      <c r="I309" s="25" t="s">
        <v>128</v>
      </c>
      <c r="J309" s="28" t="n">
        <v>1.72835549007323</v>
      </c>
      <c r="K309" s="28" t="n">
        <f aca="false">$K$8</f>
        <v>0.297030231526703</v>
      </c>
      <c r="L309" s="28" t="n">
        <f aca="false">SQRT(J309^2+K309^2)</f>
        <v>1.75369314833214</v>
      </c>
      <c r="M309" s="53" t="n">
        <f aca="false">IF(G309="","",MAX(0,G309-1.96*L309/100))</f>
        <v>0.498567633958374</v>
      </c>
      <c r="N309" s="53" t="n">
        <f aca="false">IF(G309="","",MIN(1,G309+1.96*L309/100))</f>
        <v>0.567312405372993</v>
      </c>
      <c r="O309" s="52" t="n">
        <f aca="false">ROUND(S309*W309,0)</f>
        <v>70</v>
      </c>
      <c r="P309" s="52" t="n">
        <f aca="false">IF(F309="","",ROUND(SQRT((F309*L309/100)^2+(G309*O309)^2),0))</f>
        <v>41</v>
      </c>
      <c r="R309" s="54" t="n">
        <v>2.5406003230943</v>
      </c>
      <c r="S309" s="55" t="n">
        <f aca="false">U309*V309*$F$5</f>
        <v>1016.60692951016</v>
      </c>
      <c r="T309" s="56" t="n">
        <f aca="false">MAX(0,MIN(1,R309/100+$D$5))</f>
        <v>0.533461052198248</v>
      </c>
      <c r="U309" s="56" t="n">
        <v>0.606929510155317</v>
      </c>
      <c r="V309" s="55" t="n">
        <v>1675</v>
      </c>
      <c r="W309" s="56" t="n">
        <v>0.0684752145190268</v>
      </c>
      <c r="X309" s="57" t="s">
        <v>168</v>
      </c>
      <c r="Y309" s="57" t="s">
        <v>130</v>
      </c>
    </row>
    <row r="310" customFormat="false" ht="15" hidden="false" customHeight="false" outlineLevel="0" collapsed="false">
      <c r="A310" s="25" t="s">
        <v>385</v>
      </c>
      <c r="B310" s="25" t="s">
        <v>478</v>
      </c>
      <c r="C310" s="25" t="s">
        <v>479</v>
      </c>
      <c r="D310" s="52" t="n">
        <f aca="false">ROUND(S310*T310,0)</f>
        <v>457</v>
      </c>
      <c r="E310" s="52" t="n">
        <f aca="false">ROUND(S310,0)-D310</f>
        <v>882</v>
      </c>
      <c r="F310" s="52" t="n">
        <f aca="false">IF(COUNTA(D310:E310)=0,"",SUM(D310:E310))</f>
        <v>1339</v>
      </c>
      <c r="G310" s="53" t="n">
        <f aca="false">IF(OR(F310="",F310=0),"",D310/F310)</f>
        <v>0.341299477221807</v>
      </c>
      <c r="H310" s="53" t="n">
        <f aca="false">IF(OR(F310="",F310=0),"",E310/F310)</f>
        <v>0.658700522778193</v>
      </c>
      <c r="I310" s="25" t="s">
        <v>128</v>
      </c>
      <c r="J310" s="28" t="n">
        <v>1.72835549007323</v>
      </c>
      <c r="K310" s="28" t="n">
        <f aca="false">$K$8</f>
        <v>0.297030231526703</v>
      </c>
      <c r="L310" s="28" t="n">
        <f aca="false">SQRT(J310^2+K310^2)</f>
        <v>1.75369314833214</v>
      </c>
      <c r="M310" s="53" t="n">
        <f aca="false">IF(G310="","",MAX(0,G310-1.96*L310/100))</f>
        <v>0.306927091514497</v>
      </c>
      <c r="N310" s="53" t="n">
        <f aca="false">IF(G310="","",MIN(1,G310+1.96*L310/100))</f>
        <v>0.375671862929117</v>
      </c>
      <c r="O310" s="52" t="n">
        <f aca="false">ROUND(S310*W310,0)</f>
        <v>92</v>
      </c>
      <c r="P310" s="52" t="n">
        <f aca="false">IF(F310="","",ROUND(SQRT((F310*L310/100)^2+(G310*O310)^2),0))</f>
        <v>39</v>
      </c>
      <c r="R310" s="54" t="n">
        <v>-16.6681354900085</v>
      </c>
      <c r="S310" s="55" t="n">
        <f aca="false">U310*V310*$F$5</f>
        <v>1338.7974025974</v>
      </c>
      <c r="T310" s="56" t="n">
        <f aca="false">MAX(0,MIN(1,R310/100+$D$5))</f>
        <v>0.34137369406722</v>
      </c>
      <c r="U310" s="56" t="n">
        <v>0.664415584415585</v>
      </c>
      <c r="V310" s="55" t="n">
        <v>2015</v>
      </c>
      <c r="W310" s="56" t="n">
        <v>0.0684752145190268</v>
      </c>
      <c r="X310" s="57" t="s">
        <v>168</v>
      </c>
      <c r="Y310" s="57" t="s">
        <v>130</v>
      </c>
    </row>
    <row r="311" customFormat="false" ht="15" hidden="false" customHeight="false" outlineLevel="0" collapsed="false">
      <c r="A311" s="25" t="s">
        <v>385</v>
      </c>
      <c r="B311" s="25" t="s">
        <v>478</v>
      </c>
      <c r="C311" s="25" t="s">
        <v>480</v>
      </c>
      <c r="D311" s="52" t="n">
        <f aca="false">ROUND(S311*T311,0)</f>
        <v>516</v>
      </c>
      <c r="E311" s="52" t="n">
        <f aca="false">ROUND(S311,0)-D311</f>
        <v>979</v>
      </c>
      <c r="F311" s="52" t="n">
        <f aca="false">IF(COUNTA(D311:E311)=0,"",SUM(D311:E311))</f>
        <v>1495</v>
      </c>
      <c r="G311" s="53" t="n">
        <f aca="false">IF(OR(F311="",F311=0),"",D311/F311)</f>
        <v>0.345150501672241</v>
      </c>
      <c r="H311" s="53" t="n">
        <f aca="false">IF(OR(F311="",F311=0),"",E311/F311)</f>
        <v>0.654849498327759</v>
      </c>
      <c r="I311" s="25" t="s">
        <v>128</v>
      </c>
      <c r="J311" s="28" t="n">
        <v>1.72835549007323</v>
      </c>
      <c r="K311" s="28" t="n">
        <f aca="false">$K$8</f>
        <v>0.297030231526703</v>
      </c>
      <c r="L311" s="28" t="n">
        <f aca="false">SQRT(J311^2+K311^2)</f>
        <v>1.75369314833214</v>
      </c>
      <c r="M311" s="53" t="n">
        <f aca="false">IF(G311="","",MAX(0,G311-1.96*L311/100))</f>
        <v>0.310778115964931</v>
      </c>
      <c r="N311" s="53" t="n">
        <f aca="false">IF(G311="","",MIN(1,G311+1.96*L311/100))</f>
        <v>0.379522887379551</v>
      </c>
      <c r="O311" s="52" t="n">
        <f aca="false">ROUND(S311*W311,0)</f>
        <v>102</v>
      </c>
      <c r="P311" s="52" t="n">
        <f aca="false">IF(F311="","",ROUND(SQRT((F311*L311/100)^2+(G311*O311)^2),0))</f>
        <v>44</v>
      </c>
      <c r="R311" s="54" t="n">
        <v>-16.3222292809703</v>
      </c>
      <c r="S311" s="55" t="n">
        <f aca="false">U311*V311*$F$5</f>
        <v>1495.44556729444</v>
      </c>
      <c r="T311" s="56" t="n">
        <f aca="false">MAX(0,MIN(1,R311/100+$D$5))</f>
        <v>0.344832756157602</v>
      </c>
      <c r="U311" s="56" t="n">
        <v>0.663757464400551</v>
      </c>
      <c r="V311" s="55" t="n">
        <v>2253</v>
      </c>
      <c r="W311" s="56" t="n">
        <v>0.0684752145190268</v>
      </c>
      <c r="X311" s="57" t="s">
        <v>168</v>
      </c>
      <c r="Y311" s="57" t="s">
        <v>130</v>
      </c>
    </row>
    <row r="312" customFormat="false" ht="15" hidden="false" customHeight="false" outlineLevel="0" collapsed="false">
      <c r="A312" s="25" t="s">
        <v>385</v>
      </c>
      <c r="B312" s="25" t="s">
        <v>478</v>
      </c>
      <c r="C312" s="25" t="s">
        <v>481</v>
      </c>
      <c r="D312" s="52" t="n">
        <f aca="false">ROUND(S312*T312,0)</f>
        <v>164</v>
      </c>
      <c r="E312" s="52" t="n">
        <f aca="false">ROUND(S312,0)-D312</f>
        <v>346</v>
      </c>
      <c r="F312" s="52" t="n">
        <f aca="false">IF(COUNTA(D312:E312)=0,"",SUM(D312:E312))</f>
        <v>510</v>
      </c>
      <c r="G312" s="53" t="n">
        <f aca="false">IF(OR(F312="",F312=0),"",D312/F312)</f>
        <v>0.32156862745098</v>
      </c>
      <c r="H312" s="53" t="n">
        <f aca="false">IF(OR(F312="",F312=0),"",E312/F312)</f>
        <v>0.67843137254902</v>
      </c>
      <c r="I312" s="25" t="s">
        <v>128</v>
      </c>
      <c r="J312" s="28" t="n">
        <v>3.42046080519466</v>
      </c>
      <c r="K312" s="28" t="n">
        <f aca="false">$K$8</f>
        <v>0.297030231526703</v>
      </c>
      <c r="L312" s="28" t="n">
        <f aca="false">SQRT(J312^2+K312^2)</f>
        <v>3.43333352273176</v>
      </c>
      <c r="M312" s="53" t="n">
        <f aca="false">IF(G312="","",MAX(0,G312-1.96*L312/100))</f>
        <v>0.254275290405438</v>
      </c>
      <c r="N312" s="53" t="n">
        <f aca="false">IF(G312="","",MIN(1,G312+1.96*L312/100))</f>
        <v>0.388861964496523</v>
      </c>
      <c r="O312" s="52" t="n">
        <f aca="false">ROUND(S312*W312,0)</f>
        <v>76</v>
      </c>
      <c r="P312" s="52" t="n">
        <f aca="false">IF(F312="","",ROUND(SQRT((F312*L312/100)^2+(G312*O312)^2),0))</f>
        <v>30</v>
      </c>
      <c r="R312" s="54" t="n">
        <v>-18.5953283154694</v>
      </c>
      <c r="S312" s="55" t="n">
        <f aca="false">U312*V312*$F$5</f>
        <v>509.948921679909</v>
      </c>
      <c r="T312" s="56" t="n">
        <f aca="false">MAX(0,MIN(1,R312/100+$D$5))</f>
        <v>0.32210176581261</v>
      </c>
      <c r="U312" s="56" t="n">
        <v>0.557321225879682</v>
      </c>
      <c r="V312" s="55" t="n">
        <v>915</v>
      </c>
      <c r="W312" s="56" t="n">
        <v>0.148097331980838</v>
      </c>
      <c r="X312" s="57" t="s">
        <v>129</v>
      </c>
      <c r="Y312" s="57" t="s">
        <v>130</v>
      </c>
    </row>
    <row r="313" customFormat="false" ht="15" hidden="false" customHeight="false" outlineLevel="0" collapsed="false">
      <c r="A313" s="25" t="s">
        <v>385</v>
      </c>
      <c r="B313" s="25" t="s">
        <v>478</v>
      </c>
      <c r="C313" s="25" t="s">
        <v>482</v>
      </c>
      <c r="D313" s="52" t="n">
        <f aca="false">ROUND(S313*T313,0)</f>
        <v>402</v>
      </c>
      <c r="E313" s="52" t="n">
        <f aca="false">ROUND(S313,0)-D313</f>
        <v>759</v>
      </c>
      <c r="F313" s="52" t="n">
        <f aca="false">IF(COUNTA(D313:E313)=0,"",SUM(D313:E313))</f>
        <v>1161</v>
      </c>
      <c r="G313" s="53" t="n">
        <f aca="false">IF(OR(F313="",F313=0),"",D313/F313)</f>
        <v>0.34625322997416</v>
      </c>
      <c r="H313" s="53" t="n">
        <f aca="false">IF(OR(F313="",F313=0),"",E313/F313)</f>
        <v>0.65374677002584</v>
      </c>
      <c r="I313" s="25" t="s">
        <v>128</v>
      </c>
      <c r="J313" s="28" t="n">
        <v>1.72835549007323</v>
      </c>
      <c r="K313" s="28" t="n">
        <f aca="false">$K$8</f>
        <v>0.297030231526703</v>
      </c>
      <c r="L313" s="28" t="n">
        <f aca="false">SQRT(J313^2+K313^2)</f>
        <v>1.75369314833214</v>
      </c>
      <c r="M313" s="53" t="n">
        <f aca="false">IF(G313="","",MAX(0,G313-1.96*L313/100))</f>
        <v>0.31188084426685</v>
      </c>
      <c r="N313" s="53" t="n">
        <f aca="false">IF(G313="","",MIN(1,G313+1.96*L313/100))</f>
        <v>0.38062561568147</v>
      </c>
      <c r="O313" s="52" t="n">
        <f aca="false">ROUND(S313*W313,0)</f>
        <v>80</v>
      </c>
      <c r="P313" s="52" t="n">
        <f aca="false">IF(F313="","",ROUND(SQRT((F313*L313/100)^2+(G313*O313)^2),0))</f>
        <v>34</v>
      </c>
      <c r="R313" s="54" t="n">
        <v>-16.1523923912105</v>
      </c>
      <c r="S313" s="55" t="n">
        <f aca="false">U313*V313*$F$5</f>
        <v>1161.2700729927</v>
      </c>
      <c r="T313" s="56" t="n">
        <f aca="false">MAX(0,MIN(1,R313/100+$D$5))</f>
        <v>0.3465311250552</v>
      </c>
      <c r="U313" s="56" t="n">
        <v>0.687956204379562</v>
      </c>
      <c r="V313" s="55" t="n">
        <v>1688</v>
      </c>
      <c r="W313" s="56" t="n">
        <v>0.0684752145190268</v>
      </c>
      <c r="X313" s="57" t="s">
        <v>168</v>
      </c>
      <c r="Y313" s="57" t="s">
        <v>130</v>
      </c>
    </row>
    <row r="314" customFormat="false" ht="15" hidden="false" customHeight="false" outlineLevel="0" collapsed="false">
      <c r="A314" s="25" t="s">
        <v>385</v>
      </c>
      <c r="B314" s="25" t="s">
        <v>478</v>
      </c>
      <c r="C314" s="25" t="s">
        <v>483</v>
      </c>
      <c r="D314" s="52" t="n">
        <f aca="false">ROUND(S314*T314,0)</f>
        <v>304</v>
      </c>
      <c r="E314" s="52" t="n">
        <f aca="false">ROUND(S314,0)-D314</f>
        <v>529</v>
      </c>
      <c r="F314" s="52" t="n">
        <f aca="false">IF(COUNTA(D314:E314)=0,"",SUM(D314:E314))</f>
        <v>833</v>
      </c>
      <c r="G314" s="53" t="n">
        <f aca="false">IF(OR(F314="",F314=0),"",D314/F314)</f>
        <v>0.364945978391357</v>
      </c>
      <c r="H314" s="53" t="n">
        <f aca="false">IF(OR(F314="",F314=0),"",E314/F314)</f>
        <v>0.635054021608643</v>
      </c>
      <c r="I314" s="25" t="s">
        <v>128</v>
      </c>
      <c r="J314" s="28" t="n">
        <v>2.11716121919269</v>
      </c>
      <c r="K314" s="28" t="n">
        <f aca="false">$K$8</f>
        <v>0.297030231526703</v>
      </c>
      <c r="L314" s="28" t="n">
        <f aca="false">SQRT(J314^2+K314^2)</f>
        <v>2.13789583153489</v>
      </c>
      <c r="M314" s="53" t="n">
        <f aca="false">IF(G314="","",MAX(0,G314-1.96*L314/100))</f>
        <v>0.323043220093273</v>
      </c>
      <c r="N314" s="53" t="n">
        <f aca="false">IF(G314="","",MIN(1,G314+1.96*L314/100))</f>
        <v>0.40684873668944</v>
      </c>
      <c r="O314" s="52" t="n">
        <f aca="false">ROUND(S314*W314,0)</f>
        <v>74</v>
      </c>
      <c r="P314" s="52" t="n">
        <f aca="false">IF(F314="","",ROUND(SQRT((F314*L314/100)^2+(G314*O314)^2),0))</f>
        <v>32</v>
      </c>
      <c r="R314" s="54" t="n">
        <v>-14.3820012620718</v>
      </c>
      <c r="S314" s="55" t="n">
        <f aca="false">U314*V314*$F$5</f>
        <v>833.484320557492</v>
      </c>
      <c r="T314" s="56" t="n">
        <f aca="false">MAX(0,MIN(1,R314/100+$D$5))</f>
        <v>0.364235036346587</v>
      </c>
      <c r="U314" s="56" t="n">
        <v>0.662020905923345</v>
      </c>
      <c r="V314" s="55" t="n">
        <v>1259</v>
      </c>
      <c r="W314" s="56" t="n">
        <v>0.0887445098984521</v>
      </c>
      <c r="X314" s="57" t="s">
        <v>135</v>
      </c>
      <c r="Y314" s="57" t="s">
        <v>130</v>
      </c>
    </row>
    <row r="315" customFormat="false" ht="15" hidden="false" customHeight="false" outlineLevel="0" collapsed="false">
      <c r="A315" s="25" t="s">
        <v>385</v>
      </c>
      <c r="B315" s="25" t="s">
        <v>484</v>
      </c>
      <c r="C315" s="25" t="s">
        <v>485</v>
      </c>
      <c r="D315" s="52" t="n">
        <f aca="false">ROUND(S315*T315,0)</f>
        <v>47</v>
      </c>
      <c r="E315" s="52" t="n">
        <f aca="false">ROUND(S315,0)-D315</f>
        <v>84</v>
      </c>
      <c r="F315" s="52" t="n">
        <f aca="false">IF(COUNTA(D315:E315)=0,"",SUM(D315:E315))</f>
        <v>131</v>
      </c>
      <c r="G315" s="53" t="n">
        <f aca="false">IF(OR(F315="",F315=0),"",D315/F315)</f>
        <v>0.358778625954198</v>
      </c>
      <c r="H315" s="53" t="n">
        <f aca="false">IF(OR(F315="",F315=0),"",E315/F315)</f>
        <v>0.641221374045802</v>
      </c>
      <c r="I315" s="25" t="s">
        <v>128</v>
      </c>
      <c r="J315" s="28" t="n">
        <v>3.42046080519466</v>
      </c>
      <c r="K315" s="28" t="n">
        <f aca="false">$K$8</f>
        <v>0.297030231526703</v>
      </c>
      <c r="L315" s="28" t="n">
        <f aca="false">SQRT(J315^2+K315^2)</f>
        <v>3.43333352273176</v>
      </c>
      <c r="M315" s="53" t="n">
        <f aca="false">IF(G315="","",MAX(0,G315-1.96*L315/100))</f>
        <v>0.291485288908656</v>
      </c>
      <c r="N315" s="53" t="n">
        <f aca="false">IF(G315="","",MIN(1,G315+1.96*L315/100))</f>
        <v>0.426071962999741</v>
      </c>
      <c r="O315" s="52" t="n">
        <f aca="false">ROUND(S315*W315,0)</f>
        <v>19</v>
      </c>
      <c r="P315" s="52" t="n">
        <f aca="false">IF(F315="","",ROUND(SQRT((F315*L315/100)^2+(G315*O315)^2),0))</f>
        <v>8</v>
      </c>
      <c r="R315" s="54" t="n">
        <v>-14.7250726241066</v>
      </c>
      <c r="S315" s="55" t="n">
        <f aca="false">U315*V315*$F$5</f>
        <v>130.654569021387</v>
      </c>
      <c r="T315" s="56" t="n">
        <f aca="false">MAX(0,MIN(1,R315/100+$D$5))</f>
        <v>0.360804322726239</v>
      </c>
      <c r="U315" s="56" t="n">
        <v>0.907323395981853</v>
      </c>
      <c r="V315" s="55" t="n">
        <v>144</v>
      </c>
      <c r="W315" s="56" t="n">
        <v>0.148097331980838</v>
      </c>
      <c r="X315" s="57" t="s">
        <v>129</v>
      </c>
      <c r="Y315" s="57" t="s">
        <v>130</v>
      </c>
    </row>
    <row r="316" customFormat="false" ht="15" hidden="false" customHeight="false" outlineLevel="0" collapsed="false">
      <c r="A316" s="25" t="s">
        <v>385</v>
      </c>
      <c r="B316" s="25" t="s">
        <v>484</v>
      </c>
      <c r="C316" s="25" t="s">
        <v>486</v>
      </c>
      <c r="D316" s="52" t="n">
        <f aca="false">ROUND(S316*T316,0)</f>
        <v>294</v>
      </c>
      <c r="E316" s="52" t="n">
        <f aca="false">ROUND(S316,0)-D316</f>
        <v>590</v>
      </c>
      <c r="F316" s="52" t="n">
        <f aca="false">IF(COUNTA(D316:E316)=0,"",SUM(D316:E316))</f>
        <v>884</v>
      </c>
      <c r="G316" s="53" t="n">
        <f aca="false">IF(OR(F316="",F316=0),"",D316/F316)</f>
        <v>0.332579185520362</v>
      </c>
      <c r="H316" s="53" t="n">
        <f aca="false">IF(OR(F316="",F316=0),"",E316/F316)</f>
        <v>0.667420814479638</v>
      </c>
      <c r="I316" s="25" t="s">
        <v>128</v>
      </c>
      <c r="J316" s="28" t="n">
        <v>2.11716121919269</v>
      </c>
      <c r="K316" s="28" t="n">
        <f aca="false">$K$8</f>
        <v>0.297030231526703</v>
      </c>
      <c r="L316" s="28" t="n">
        <f aca="false">SQRT(J316^2+K316^2)</f>
        <v>2.13789583153489</v>
      </c>
      <c r="M316" s="53" t="n">
        <f aca="false">IF(G316="","",MAX(0,G316-1.96*L316/100))</f>
        <v>0.290676427222278</v>
      </c>
      <c r="N316" s="53" t="n">
        <f aca="false">IF(G316="","",MIN(1,G316+1.96*L316/100))</f>
        <v>0.374481943818446</v>
      </c>
      <c r="O316" s="52" t="n">
        <f aca="false">ROUND(S316*W316,0)</f>
        <v>78</v>
      </c>
      <c r="P316" s="52" t="n">
        <f aca="false">IF(F316="","",ROUND(SQRT((F316*L316/100)^2+(G316*O316)^2),0))</f>
        <v>32</v>
      </c>
      <c r="R316" s="54" t="n">
        <v>-17.5517650033396</v>
      </c>
      <c r="S316" s="55" t="n">
        <f aca="false">U316*V316*$F$5</f>
        <v>884.185372918175</v>
      </c>
      <c r="T316" s="56" t="n">
        <f aca="false">MAX(0,MIN(1,R316/100+$D$5))</f>
        <v>0.332537398933909</v>
      </c>
      <c r="U316" s="56" t="n">
        <v>0.627081824764663</v>
      </c>
      <c r="V316" s="55" t="n">
        <v>1410</v>
      </c>
      <c r="W316" s="56" t="n">
        <v>0.0887445098984521</v>
      </c>
      <c r="X316" s="57" t="s">
        <v>135</v>
      </c>
      <c r="Y316" s="57" t="s">
        <v>130</v>
      </c>
    </row>
    <row r="317" customFormat="false" ht="15" hidden="false" customHeight="false" outlineLevel="0" collapsed="false">
      <c r="A317" s="25" t="s">
        <v>385</v>
      </c>
      <c r="B317" s="25" t="s">
        <v>487</v>
      </c>
      <c r="C317" s="25" t="s">
        <v>488</v>
      </c>
      <c r="D317" s="52" t="n">
        <f aca="false">ROUND(S317*T317,0)</f>
        <v>40</v>
      </c>
      <c r="E317" s="52" t="n">
        <f aca="false">ROUND(S317,0)-D317</f>
        <v>48</v>
      </c>
      <c r="F317" s="52" t="n">
        <f aca="false">IF(COUNTA(D317:E317)=0,"",SUM(D317:E317))</f>
        <v>88</v>
      </c>
      <c r="G317" s="53" t="n">
        <f aca="false">IF(OR(F317="",F317=0),"",D317/F317)</f>
        <v>0.454545454545455</v>
      </c>
      <c r="H317" s="53" t="n">
        <f aca="false">IF(OR(F317="",F317=0),"",E317/F317)</f>
        <v>0.545454545454545</v>
      </c>
      <c r="I317" s="25" t="s">
        <v>231</v>
      </c>
      <c r="J317" s="28" t="n">
        <v>3.42046080519466</v>
      </c>
      <c r="K317" s="28" t="n">
        <f aca="false">$K$8</f>
        <v>0.297030231526703</v>
      </c>
      <c r="L317" s="28" t="n">
        <f aca="false">SQRT(J317^2+K317^2)</f>
        <v>3.43333352273176</v>
      </c>
      <c r="M317" s="53" t="n">
        <f aca="false">IF(G317="","",MAX(0,G317-1.96*L317/100))</f>
        <v>0.387252117499912</v>
      </c>
      <c r="N317" s="53" t="n">
        <f aca="false">IF(G317="","",MIN(1,G317+1.96*L317/100))</f>
        <v>0.521838791590997</v>
      </c>
      <c r="O317" s="52" t="n">
        <f aca="false">ROUND(S317*W317,0)</f>
        <v>13</v>
      </c>
      <c r="P317" s="52" t="n">
        <f aca="false">IF(F317="","",ROUND(SQRT((F317*L317/100)^2+(G317*O317)^2),0))</f>
        <v>7</v>
      </c>
      <c r="R317" s="54" t="n">
        <v>-5.48825132974324</v>
      </c>
      <c r="S317" s="55" t="n">
        <f aca="false">U317*V317*$F$5</f>
        <v>87.7428325123506</v>
      </c>
      <c r="T317" s="56" t="n">
        <f aca="false">MAX(0,MIN(1,R317/100+$D$5))</f>
        <v>0.453172535669872</v>
      </c>
      <c r="U317" s="56" t="n">
        <v>0.121696022902012</v>
      </c>
      <c r="V317" s="55" t="n">
        <v>721</v>
      </c>
      <c r="W317" s="56" t="n">
        <v>0.148097331980838</v>
      </c>
      <c r="X317" s="57" t="s">
        <v>129</v>
      </c>
      <c r="Y317" s="57" t="s">
        <v>130</v>
      </c>
    </row>
    <row r="318" customFormat="false" ht="15" hidden="false" customHeight="false" outlineLevel="0" collapsed="false">
      <c r="A318" s="25" t="s">
        <v>385</v>
      </c>
      <c r="B318" s="25" t="s">
        <v>487</v>
      </c>
      <c r="C318" s="25" t="s">
        <v>489</v>
      </c>
      <c r="D318" s="52" t="n">
        <f aca="false">ROUND(S318*T318,0)</f>
        <v>533</v>
      </c>
      <c r="E318" s="52" t="n">
        <f aca="false">ROUND(S318,0)-D318</f>
        <v>620</v>
      </c>
      <c r="F318" s="52" t="n">
        <f aca="false">IF(COUNTA(D318:E318)=0,"",SUM(D318:E318))</f>
        <v>1153</v>
      </c>
      <c r="G318" s="53" t="n">
        <f aca="false">IF(OR(F318="",F318=0),"",D318/F318)</f>
        <v>0.462272333044232</v>
      </c>
      <c r="H318" s="53" t="n">
        <f aca="false">IF(OR(F318="",F318=0),"",E318/F318)</f>
        <v>0.537727666955768</v>
      </c>
      <c r="I318" s="25" t="s">
        <v>231</v>
      </c>
      <c r="J318" s="28" t="n">
        <v>1.72835549007323</v>
      </c>
      <c r="K318" s="28" t="n">
        <f aca="false">$K$8</f>
        <v>0.297030231526703</v>
      </c>
      <c r="L318" s="28" t="n">
        <f aca="false">SQRT(J318^2+K318^2)</f>
        <v>1.75369314833214</v>
      </c>
      <c r="M318" s="53" t="n">
        <f aca="false">IF(G318="","",MAX(0,G318-1.96*L318/100))</f>
        <v>0.427899947336923</v>
      </c>
      <c r="N318" s="53" t="n">
        <f aca="false">IF(G318="","",MIN(1,G318+1.96*L318/100))</f>
        <v>0.496644718751542</v>
      </c>
      <c r="O318" s="52" t="n">
        <f aca="false">ROUND(S318*W318,0)</f>
        <v>79</v>
      </c>
      <c r="P318" s="52" t="n">
        <f aca="false">IF(F318="","",ROUND(SQRT((F318*L318/100)^2+(G318*O318)^2),0))</f>
        <v>42</v>
      </c>
      <c r="R318" s="54" t="n">
        <v>-4.59903348402558</v>
      </c>
      <c r="S318" s="55" t="n">
        <f aca="false">U318*V318*$F$5</f>
        <v>1153.44137368419</v>
      </c>
      <c r="T318" s="56" t="n">
        <f aca="false">MAX(0,MIN(1,R318/100+$D$5))</f>
        <v>0.462064714127049</v>
      </c>
      <c r="U318" s="56" t="n">
        <v>0.679407464419022</v>
      </c>
      <c r="V318" s="55" t="n">
        <v>1697.71666354965</v>
      </c>
      <c r="W318" s="56" t="n">
        <v>0.0684752145190268</v>
      </c>
      <c r="X318" s="57" t="s">
        <v>168</v>
      </c>
      <c r="Y318" s="57" t="s">
        <v>233</v>
      </c>
    </row>
    <row r="319" customFormat="false" ht="15" hidden="false" customHeight="false" outlineLevel="0" collapsed="false">
      <c r="A319" s="25" t="s">
        <v>385</v>
      </c>
      <c r="B319" s="25" t="s">
        <v>487</v>
      </c>
      <c r="C319" s="25" t="s">
        <v>490</v>
      </c>
      <c r="D319" s="52" t="n">
        <f aca="false">ROUND(S319*T319,0)</f>
        <v>423</v>
      </c>
      <c r="E319" s="52" t="n">
        <f aca="false">ROUND(S319,0)-D319</f>
        <v>551</v>
      </c>
      <c r="F319" s="52" t="n">
        <f aca="false">IF(COUNTA(D319:E319)=0,"",SUM(D319:E319))</f>
        <v>974</v>
      </c>
      <c r="G319" s="53" t="n">
        <f aca="false">IF(OR(F319="",F319=0),"",D319/F319)</f>
        <v>0.43429158110883</v>
      </c>
      <c r="H319" s="53" t="n">
        <f aca="false">IF(OR(F319="",F319=0),"",E319/F319)</f>
        <v>0.56570841889117</v>
      </c>
      <c r="I319" s="25" t="s">
        <v>128</v>
      </c>
      <c r="J319" s="28" t="n">
        <v>1.72835549007323</v>
      </c>
      <c r="K319" s="28" t="n">
        <f aca="false">$K$8</f>
        <v>0.297030231526703</v>
      </c>
      <c r="L319" s="28" t="n">
        <f aca="false">SQRT(J319^2+K319^2)</f>
        <v>1.75369314833214</v>
      </c>
      <c r="M319" s="53" t="n">
        <f aca="false">IF(G319="","",MAX(0,G319-1.96*L319/100))</f>
        <v>0.39991919540152</v>
      </c>
      <c r="N319" s="53" t="n">
        <f aca="false">IF(G319="","",MIN(1,G319+1.96*L319/100))</f>
        <v>0.46866396681614</v>
      </c>
      <c r="O319" s="52" t="n">
        <f aca="false">ROUND(S319*W319,0)</f>
        <v>67</v>
      </c>
      <c r="P319" s="52" t="n">
        <f aca="false">IF(F319="","",ROUND(SQRT((F319*L319/100)^2+(G319*O319)^2),0))</f>
        <v>34</v>
      </c>
      <c r="R319" s="54" t="n">
        <v>-7.35029638770868</v>
      </c>
      <c r="S319" s="55" t="n">
        <f aca="false">U319*V319*$F$5</f>
        <v>973.779572994807</v>
      </c>
      <c r="T319" s="56" t="n">
        <f aca="false">MAX(0,MIN(1,R319/100+$D$5))</f>
        <v>0.434552085090218</v>
      </c>
      <c r="U319" s="56" t="n">
        <v>0.662435083669937</v>
      </c>
      <c r="V319" s="55" t="n">
        <v>1470</v>
      </c>
      <c r="W319" s="56" t="n">
        <v>0.0684752145190268</v>
      </c>
      <c r="X319" s="57" t="s">
        <v>168</v>
      </c>
      <c r="Y319" s="57" t="s">
        <v>130</v>
      </c>
    </row>
    <row r="320" customFormat="false" ht="15" hidden="false" customHeight="false" outlineLevel="0" collapsed="false">
      <c r="A320" s="25" t="s">
        <v>385</v>
      </c>
      <c r="B320" s="25" t="s">
        <v>487</v>
      </c>
      <c r="C320" s="25" t="s">
        <v>491</v>
      </c>
      <c r="D320" s="52" t="n">
        <f aca="false">ROUND(S320*T320,0)</f>
        <v>505</v>
      </c>
      <c r="E320" s="52" t="n">
        <f aca="false">ROUND(S320,0)-D320</f>
        <v>616</v>
      </c>
      <c r="F320" s="52" t="n">
        <f aca="false">IF(COUNTA(D320:E320)=0,"",SUM(D320:E320))</f>
        <v>1121</v>
      </c>
      <c r="G320" s="53" t="n">
        <f aca="false">IF(OR(F320="",F320=0),"",D320/F320)</f>
        <v>0.450490633363069</v>
      </c>
      <c r="H320" s="53" t="n">
        <f aca="false">IF(OR(F320="",F320=0),"",E320/F320)</f>
        <v>0.549509366636931</v>
      </c>
      <c r="I320" s="25" t="s">
        <v>231</v>
      </c>
      <c r="J320" s="28" t="n">
        <v>1.72835549007323</v>
      </c>
      <c r="K320" s="28" t="n">
        <f aca="false">$K$8</f>
        <v>0.297030231526703</v>
      </c>
      <c r="L320" s="28" t="n">
        <f aca="false">SQRT(J320^2+K320^2)</f>
        <v>1.75369314833214</v>
      </c>
      <c r="M320" s="53" t="n">
        <f aca="false">IF(G320="","",MAX(0,G320-1.96*L320/100))</f>
        <v>0.416118247655759</v>
      </c>
      <c r="N320" s="53" t="n">
        <f aca="false">IF(G320="","",MIN(1,G320+1.96*L320/100))</f>
        <v>0.484863019070379</v>
      </c>
      <c r="O320" s="52" t="n">
        <f aca="false">ROUND(S320*W320,0)</f>
        <v>77</v>
      </c>
      <c r="P320" s="52" t="n">
        <f aca="false">IF(F320="","",ROUND(SQRT((F320*L320/100)^2+(G320*O320)^2),0))</f>
        <v>40</v>
      </c>
      <c r="R320" s="54" t="n">
        <v>-5.79402474735265</v>
      </c>
      <c r="S320" s="55" t="n">
        <f aca="false">U320*V320*$F$5</f>
        <v>1121.33790491331</v>
      </c>
      <c r="T320" s="56" t="n">
        <f aca="false">MAX(0,MIN(1,R320/100+$D$5))</f>
        <v>0.450114801493778</v>
      </c>
      <c r="U320" s="56" t="n">
        <v>0.71629019848963</v>
      </c>
      <c r="V320" s="55" t="n">
        <v>1565.47989526838</v>
      </c>
      <c r="W320" s="56" t="n">
        <v>0.0684752145190268</v>
      </c>
      <c r="X320" s="57" t="s">
        <v>168</v>
      </c>
      <c r="Y320" s="57" t="s">
        <v>233</v>
      </c>
    </row>
    <row r="321" customFormat="false" ht="15" hidden="false" customHeight="false" outlineLevel="0" collapsed="false">
      <c r="A321" s="25" t="s">
        <v>385</v>
      </c>
      <c r="B321" s="25" t="s">
        <v>492</v>
      </c>
      <c r="C321" s="25" t="s">
        <v>493</v>
      </c>
      <c r="D321" s="52" t="n">
        <f aca="false">ROUND(S321*T321,0)</f>
        <v>495</v>
      </c>
      <c r="E321" s="52" t="n">
        <f aca="false">ROUND(S321,0)-D321</f>
        <v>445</v>
      </c>
      <c r="F321" s="52" t="n">
        <f aca="false">IF(COUNTA(D321:E321)=0,"",SUM(D321:E321))</f>
        <v>940</v>
      </c>
      <c r="G321" s="53" t="n">
        <f aca="false">IF(OR(F321="",F321=0),"",D321/F321)</f>
        <v>0.526595744680851</v>
      </c>
      <c r="H321" s="53" t="n">
        <f aca="false">IF(OR(F321="",F321=0),"",E321/F321)</f>
        <v>0.473404255319149</v>
      </c>
      <c r="I321" s="25" t="s">
        <v>128</v>
      </c>
      <c r="J321" s="28" t="n">
        <v>1.72835549007323</v>
      </c>
      <c r="K321" s="28" t="n">
        <f aca="false">$K$8</f>
        <v>0.297030231526703</v>
      </c>
      <c r="L321" s="28" t="n">
        <f aca="false">SQRT(J321^2+K321^2)</f>
        <v>1.75369314833214</v>
      </c>
      <c r="M321" s="53" t="n">
        <f aca="false">IF(G321="","",MAX(0,G321-1.96*L321/100))</f>
        <v>0.492223358973541</v>
      </c>
      <c r="N321" s="53" t="n">
        <f aca="false">IF(G321="","",MIN(1,G321+1.96*L321/100))</f>
        <v>0.560968130388161</v>
      </c>
      <c r="O321" s="52" t="n">
        <f aca="false">ROUND(S321*W321,0)</f>
        <v>64</v>
      </c>
      <c r="P321" s="52" t="n">
        <f aca="false">IF(F321="","",ROUND(SQRT((F321*L321/100)^2+(G321*O321)^2),0))</f>
        <v>38</v>
      </c>
      <c r="R321" s="54" t="n">
        <v>1.92940664038682</v>
      </c>
      <c r="S321" s="55" t="n">
        <f aca="false">U321*V321*$F$5</f>
        <v>939.568965517241</v>
      </c>
      <c r="T321" s="56" t="n">
        <f aca="false">MAX(0,MIN(1,R321/100+$D$5))</f>
        <v>0.527349115371173</v>
      </c>
      <c r="U321" s="56" t="n">
        <v>0.678879310344827</v>
      </c>
      <c r="V321" s="55" t="n">
        <v>1384</v>
      </c>
      <c r="W321" s="56" t="n">
        <v>0.0684752145190268</v>
      </c>
      <c r="X321" s="57" t="s">
        <v>168</v>
      </c>
      <c r="Y321" s="57" t="s">
        <v>130</v>
      </c>
    </row>
    <row r="322" customFormat="false" ht="15" hidden="false" customHeight="false" outlineLevel="0" collapsed="false">
      <c r="A322" s="25" t="s">
        <v>385</v>
      </c>
      <c r="B322" s="25" t="s">
        <v>492</v>
      </c>
      <c r="C322" s="25" t="s">
        <v>494</v>
      </c>
      <c r="D322" s="52" t="n">
        <f aca="false">ROUND(S322*T322,0)</f>
        <v>519</v>
      </c>
      <c r="E322" s="52" t="n">
        <f aca="false">ROUND(S322,0)-D322</f>
        <v>684</v>
      </c>
      <c r="F322" s="52" t="n">
        <f aca="false">IF(COUNTA(D322:E322)=0,"",SUM(D322:E322))</f>
        <v>1203</v>
      </c>
      <c r="G322" s="53" t="n">
        <f aca="false">IF(OR(F322="",F322=0),"",D322/F322)</f>
        <v>0.43142144638404</v>
      </c>
      <c r="H322" s="53" t="n">
        <f aca="false">IF(OR(F322="",F322=0),"",E322/F322)</f>
        <v>0.56857855361596</v>
      </c>
      <c r="I322" s="25" t="s">
        <v>128</v>
      </c>
      <c r="J322" s="28" t="n">
        <v>1.72835549007323</v>
      </c>
      <c r="K322" s="28" t="n">
        <f aca="false">$K$8</f>
        <v>0.297030231526703</v>
      </c>
      <c r="L322" s="28" t="n">
        <f aca="false">SQRT(J322^2+K322^2)</f>
        <v>1.75369314833214</v>
      </c>
      <c r="M322" s="53" t="n">
        <f aca="false">IF(G322="","",MAX(0,G322-1.96*L322/100))</f>
        <v>0.39704906067673</v>
      </c>
      <c r="N322" s="53" t="n">
        <f aca="false">IF(G322="","",MIN(1,G322+1.96*L322/100))</f>
        <v>0.46579383209135</v>
      </c>
      <c r="O322" s="52" t="n">
        <f aca="false">ROUND(S322*W322,0)</f>
        <v>82</v>
      </c>
      <c r="P322" s="52" t="n">
        <f aca="false">IF(F322="","",ROUND(SQRT((F322*L322/100)^2+(G322*O322)^2),0))</f>
        <v>41</v>
      </c>
      <c r="R322" s="54" t="n">
        <v>-7.62798631682816</v>
      </c>
      <c r="S322" s="55" t="n">
        <f aca="false">U322*V322*$F$5</f>
        <v>1202.75915948276</v>
      </c>
      <c r="T322" s="56" t="n">
        <f aca="false">MAX(0,MIN(1,R322/100+$D$5))</f>
        <v>0.431775185799023</v>
      </c>
      <c r="U322" s="56" t="n">
        <v>0.63739224137931</v>
      </c>
      <c r="V322" s="55" t="n">
        <v>1887</v>
      </c>
      <c r="W322" s="56" t="n">
        <v>0.0684752145190268</v>
      </c>
      <c r="X322" s="57" t="s">
        <v>168</v>
      </c>
      <c r="Y322" s="57" t="s">
        <v>130</v>
      </c>
    </row>
    <row r="323" customFormat="false" ht="15" hidden="false" customHeight="false" outlineLevel="0" collapsed="false">
      <c r="A323" s="25" t="s">
        <v>385</v>
      </c>
      <c r="B323" s="25" t="s">
        <v>492</v>
      </c>
      <c r="C323" s="25" t="s">
        <v>495</v>
      </c>
      <c r="D323" s="52" t="n">
        <f aca="false">ROUND(S323*T323,0)</f>
        <v>476</v>
      </c>
      <c r="E323" s="52" t="n">
        <f aca="false">ROUND(S323,0)-D323</f>
        <v>526</v>
      </c>
      <c r="F323" s="52" t="n">
        <f aca="false">IF(COUNTA(D323:E323)=0,"",SUM(D323:E323))</f>
        <v>1002</v>
      </c>
      <c r="G323" s="53" t="n">
        <f aca="false">IF(OR(F323="",F323=0),"",D323/F323)</f>
        <v>0.475049900199601</v>
      </c>
      <c r="H323" s="53" t="n">
        <f aca="false">IF(OR(F323="",F323=0),"",E323/F323)</f>
        <v>0.524950099800399</v>
      </c>
      <c r="I323" s="25" t="s">
        <v>231</v>
      </c>
      <c r="J323" s="28" t="n">
        <v>1.72835549007323</v>
      </c>
      <c r="K323" s="28" t="n">
        <f aca="false">$K$8</f>
        <v>0.297030231526703</v>
      </c>
      <c r="L323" s="28" t="n">
        <f aca="false">SQRT(J323^2+K323^2)</f>
        <v>1.75369314833214</v>
      </c>
      <c r="M323" s="53" t="n">
        <f aca="false">IF(G323="","",MAX(0,G323-1.96*L323/100))</f>
        <v>0.440677514492291</v>
      </c>
      <c r="N323" s="53" t="n">
        <f aca="false">IF(G323="","",MIN(1,G323+1.96*L323/100))</f>
        <v>0.509422285906911</v>
      </c>
      <c r="O323" s="52" t="n">
        <f aca="false">ROUND(S323*W323,0)</f>
        <v>69</v>
      </c>
      <c r="P323" s="52" t="n">
        <f aca="false">IF(F323="","",ROUND(SQRT((F323*L323/100)^2+(G323*O323)^2),0))</f>
        <v>37</v>
      </c>
      <c r="R323" s="54" t="n">
        <v>-3.32088846471676</v>
      </c>
      <c r="S323" s="55" t="n">
        <f aca="false">U323*V323*$F$5</f>
        <v>1001.56291989084</v>
      </c>
      <c r="T323" s="56" t="n">
        <f aca="false">MAX(0,MIN(1,R323/100+$D$5))</f>
        <v>0.474846164320137</v>
      </c>
      <c r="U323" s="56" t="n">
        <v>0.836029148489848</v>
      </c>
      <c r="V323" s="55" t="n">
        <v>1198</v>
      </c>
      <c r="W323" s="56" t="n">
        <v>0.0684752145190268</v>
      </c>
      <c r="X323" s="57" t="s">
        <v>168</v>
      </c>
      <c r="Y323" s="57" t="s">
        <v>130</v>
      </c>
    </row>
    <row r="324" customFormat="false" ht="15" hidden="false" customHeight="false" outlineLevel="0" collapsed="false">
      <c r="A324" s="25" t="s">
        <v>385</v>
      </c>
      <c r="B324" s="25" t="s">
        <v>492</v>
      </c>
      <c r="C324" s="25" t="s">
        <v>496</v>
      </c>
      <c r="D324" s="52" t="n">
        <f aca="false">ROUND(S324*T324,0)</f>
        <v>381</v>
      </c>
      <c r="E324" s="52" t="n">
        <f aca="false">ROUND(S324,0)-D324</f>
        <v>346</v>
      </c>
      <c r="F324" s="52" t="n">
        <f aca="false">IF(COUNTA(D324:E324)=0,"",SUM(D324:E324))</f>
        <v>727</v>
      </c>
      <c r="G324" s="53" t="n">
        <f aca="false">IF(OR(F324="",F324=0),"",D324/F324)</f>
        <v>0.524071526822558</v>
      </c>
      <c r="H324" s="53" t="n">
        <f aca="false">IF(OR(F324="",F324=0),"",E324/F324)</f>
        <v>0.475928473177442</v>
      </c>
      <c r="I324" s="25" t="s">
        <v>128</v>
      </c>
      <c r="J324" s="28" t="n">
        <v>2.11716121919269</v>
      </c>
      <c r="K324" s="28" t="n">
        <f aca="false">$K$8</f>
        <v>0.297030231526703</v>
      </c>
      <c r="L324" s="28" t="n">
        <f aca="false">SQRT(J324^2+K324^2)</f>
        <v>2.13789583153489</v>
      </c>
      <c r="M324" s="53" t="n">
        <f aca="false">IF(G324="","",MAX(0,G324-1.96*L324/100))</f>
        <v>0.482168768524475</v>
      </c>
      <c r="N324" s="53" t="n">
        <f aca="false">IF(G324="","",MIN(1,G324+1.96*L324/100))</f>
        <v>0.565974285120642</v>
      </c>
      <c r="O324" s="52" t="n">
        <f aca="false">ROUND(S324*W324,0)</f>
        <v>65</v>
      </c>
      <c r="P324" s="52" t="n">
        <f aca="false">IF(F324="","",ROUND(SQRT((F324*L324/100)^2+(G324*O324)^2),0))</f>
        <v>37</v>
      </c>
      <c r="R324" s="54" t="n">
        <v>1.5187941836883</v>
      </c>
      <c r="S324" s="55" t="n">
        <f aca="false">U324*V324*$F$5</f>
        <v>727.410579345088</v>
      </c>
      <c r="T324" s="56" t="n">
        <f aca="false">MAX(0,MIN(1,R324/100+$D$5))</f>
        <v>0.523242990804188</v>
      </c>
      <c r="U324" s="56" t="n">
        <v>0.633081444164568</v>
      </c>
      <c r="V324" s="55" t="n">
        <v>1149</v>
      </c>
      <c r="W324" s="56" t="n">
        <v>0.0887445098984521</v>
      </c>
      <c r="X324" s="57" t="s">
        <v>135</v>
      </c>
      <c r="Y324" s="57" t="s">
        <v>130</v>
      </c>
    </row>
    <row r="325" customFormat="false" ht="15" hidden="false" customHeight="false" outlineLevel="0" collapsed="false">
      <c r="A325" s="25" t="s">
        <v>385</v>
      </c>
      <c r="B325" s="25" t="s">
        <v>492</v>
      </c>
      <c r="C325" s="25" t="s">
        <v>497</v>
      </c>
      <c r="D325" s="52" t="n">
        <f aca="false">ROUND(S325*T325,0)</f>
        <v>359</v>
      </c>
      <c r="E325" s="52" t="n">
        <f aca="false">ROUND(S325,0)-D325</f>
        <v>487</v>
      </c>
      <c r="F325" s="52" t="n">
        <f aca="false">IF(COUNTA(D325:E325)=0,"",SUM(D325:E325))</f>
        <v>846</v>
      </c>
      <c r="G325" s="53" t="n">
        <f aca="false">IF(OR(F325="",F325=0),"",D325/F325)</f>
        <v>0.42434988179669</v>
      </c>
      <c r="H325" s="53" t="n">
        <f aca="false">IF(OR(F325="",F325=0),"",E325/F325)</f>
        <v>0.57565011820331</v>
      </c>
      <c r="I325" s="25" t="s">
        <v>128</v>
      </c>
      <c r="J325" s="28" t="n">
        <v>2.11716121919269</v>
      </c>
      <c r="K325" s="28" t="n">
        <f aca="false">$K$8</f>
        <v>0.297030231526703</v>
      </c>
      <c r="L325" s="28" t="n">
        <f aca="false">SQRT(J325^2+K325^2)</f>
        <v>2.13789583153489</v>
      </c>
      <c r="M325" s="53" t="n">
        <f aca="false">IF(G325="","",MAX(0,G325-1.96*L325/100))</f>
        <v>0.382447123498606</v>
      </c>
      <c r="N325" s="53" t="n">
        <f aca="false">IF(G325="","",MIN(1,G325+1.96*L325/100))</f>
        <v>0.466252640094774</v>
      </c>
      <c r="O325" s="52" t="n">
        <f aca="false">ROUND(S325*W325,0)</f>
        <v>75</v>
      </c>
      <c r="P325" s="52" t="n">
        <f aca="false">IF(F325="","",ROUND(SQRT((F325*L325/100)^2+(G325*O325)^2),0))</f>
        <v>37</v>
      </c>
      <c r="R325" s="54" t="n">
        <v>-8.36189612534572</v>
      </c>
      <c r="S325" s="55" t="n">
        <f aca="false">U325*V325*$F$5</f>
        <v>845.732235701906</v>
      </c>
      <c r="T325" s="56" t="n">
        <f aca="false">MAX(0,MIN(1,R325/100+$D$5))</f>
        <v>0.424436087713848</v>
      </c>
      <c r="U325" s="56" t="n">
        <v>0.714904679376083</v>
      </c>
      <c r="V325" s="55" t="n">
        <v>1183</v>
      </c>
      <c r="W325" s="56" t="n">
        <v>0.0887445098984521</v>
      </c>
      <c r="X325" s="57" t="s">
        <v>135</v>
      </c>
      <c r="Y325" s="57" t="s">
        <v>130</v>
      </c>
    </row>
    <row r="326" customFormat="false" ht="15" hidden="false" customHeight="false" outlineLevel="0" collapsed="false">
      <c r="A326" s="25" t="s">
        <v>385</v>
      </c>
      <c r="B326" s="25" t="s">
        <v>492</v>
      </c>
      <c r="C326" s="25" t="s">
        <v>498</v>
      </c>
      <c r="D326" s="52" t="n">
        <f aca="false">ROUND(S326*T326,0)</f>
        <v>815</v>
      </c>
      <c r="E326" s="52" t="n">
        <f aca="false">ROUND(S326,0)-D326</f>
        <v>832</v>
      </c>
      <c r="F326" s="52" t="n">
        <f aca="false">IF(COUNTA(D326:E326)=0,"",SUM(D326:E326))</f>
        <v>1647</v>
      </c>
      <c r="G326" s="53" t="n">
        <f aca="false">IF(OR(F326="",F326=0),"",D326/F326)</f>
        <v>0.494839101396478</v>
      </c>
      <c r="H326" s="53" t="n">
        <f aca="false">IF(OR(F326="",F326=0),"",E326/F326)</f>
        <v>0.505160898603522</v>
      </c>
      <c r="I326" s="25" t="s">
        <v>231</v>
      </c>
      <c r="J326" s="28" t="n">
        <v>1.72835549007323</v>
      </c>
      <c r="K326" s="28" t="n">
        <f aca="false">$K$8</f>
        <v>0.297030231526703</v>
      </c>
      <c r="L326" s="28" t="n">
        <f aca="false">SQRT(J326^2+K326^2)</f>
        <v>1.75369314833214</v>
      </c>
      <c r="M326" s="53" t="n">
        <f aca="false">IF(G326="","",MAX(0,G326-1.96*L326/100))</f>
        <v>0.460466715689169</v>
      </c>
      <c r="N326" s="53" t="n">
        <f aca="false">IF(G326="","",MIN(1,G326+1.96*L326/100))</f>
        <v>0.529211487103788</v>
      </c>
      <c r="O326" s="52" t="n">
        <f aca="false">ROUND(S326*W326,0)</f>
        <v>113</v>
      </c>
      <c r="P326" s="52" t="n">
        <f aca="false">IF(F326="","",ROUND(SQRT((F326*L326/100)^2+(G326*O326)^2),0))</f>
        <v>63</v>
      </c>
      <c r="R326" s="54" t="n">
        <v>-1.29710729305845</v>
      </c>
      <c r="S326" s="55" t="n">
        <f aca="false">U326*V326*$F$5</f>
        <v>1646.977422525</v>
      </c>
      <c r="T326" s="56" t="n">
        <f aca="false">MAX(0,MIN(1,R326/100+$D$5))</f>
        <v>0.49508397603672</v>
      </c>
      <c r="U326" s="56" t="n">
        <v>0.836029148489848</v>
      </c>
      <c r="V326" s="55" t="n">
        <v>1970</v>
      </c>
      <c r="W326" s="56" t="n">
        <v>0.0684752145190268</v>
      </c>
      <c r="X326" s="57" t="s">
        <v>168</v>
      </c>
      <c r="Y326" s="57" t="s">
        <v>130</v>
      </c>
    </row>
    <row r="327" customFormat="false" ht="15" hidden="false" customHeight="false" outlineLevel="0" collapsed="false">
      <c r="A327" s="25" t="s">
        <v>385</v>
      </c>
      <c r="B327" s="25" t="s">
        <v>499</v>
      </c>
      <c r="C327" s="25" t="s">
        <v>500</v>
      </c>
      <c r="D327" s="52" t="n">
        <f aca="false">ROUND(S327*T327,0)</f>
        <v>334</v>
      </c>
      <c r="E327" s="52" t="n">
        <f aca="false">ROUND(S327,0)-D327</f>
        <v>618</v>
      </c>
      <c r="F327" s="52" t="n">
        <f aca="false">IF(COUNTA(D327:E327)=0,"",SUM(D327:E327))</f>
        <v>952</v>
      </c>
      <c r="G327" s="53" t="n">
        <f aca="false">IF(OR(F327="",F327=0),"",D327/F327)</f>
        <v>0.350840336134454</v>
      </c>
      <c r="H327" s="53" t="n">
        <f aca="false">IF(OR(F327="",F327=0),"",E327/F327)</f>
        <v>0.649159663865546</v>
      </c>
      <c r="I327" s="25" t="s">
        <v>128</v>
      </c>
      <c r="J327" s="28" t="n">
        <v>1.72835549007323</v>
      </c>
      <c r="K327" s="28" t="n">
        <f aca="false">$K$8</f>
        <v>0.297030231526703</v>
      </c>
      <c r="L327" s="28" t="n">
        <f aca="false">SQRT(J327^2+K327^2)</f>
        <v>1.75369314833214</v>
      </c>
      <c r="M327" s="53" t="n">
        <f aca="false">IF(G327="","",MAX(0,G327-1.96*L327/100))</f>
        <v>0.316467950427144</v>
      </c>
      <c r="N327" s="53" t="n">
        <f aca="false">IF(G327="","",MIN(1,G327+1.96*L327/100))</f>
        <v>0.385212721841764</v>
      </c>
      <c r="O327" s="52" t="n">
        <f aca="false">ROUND(S327*W327,0)</f>
        <v>65</v>
      </c>
      <c r="P327" s="52" t="n">
        <f aca="false">IF(F327="","",ROUND(SQRT((F327*L327/100)^2+(G327*O327)^2),0))</f>
        <v>28</v>
      </c>
      <c r="R327" s="54" t="n">
        <v>-15.7015318489481</v>
      </c>
      <c r="S327" s="55" t="n">
        <f aca="false">U327*V327*$F$5</f>
        <v>951.894508670521</v>
      </c>
      <c r="T327" s="56" t="n">
        <f aca="false">MAX(0,MIN(1,R327/100+$D$5))</f>
        <v>0.351039730477824</v>
      </c>
      <c r="U327" s="56" t="n">
        <v>0.677023121387284</v>
      </c>
      <c r="V327" s="55" t="n">
        <v>1406</v>
      </c>
      <c r="W327" s="56" t="n">
        <v>0.0684752145190268</v>
      </c>
      <c r="X327" s="57" t="s">
        <v>168</v>
      </c>
      <c r="Y327" s="57" t="s">
        <v>130</v>
      </c>
    </row>
    <row r="328" customFormat="false" ht="15" hidden="false" customHeight="false" outlineLevel="0" collapsed="false">
      <c r="A328" s="25" t="s">
        <v>385</v>
      </c>
      <c r="B328" s="25" t="s">
        <v>499</v>
      </c>
      <c r="C328" s="25" t="s">
        <v>501</v>
      </c>
      <c r="D328" s="52" t="n">
        <f aca="false">ROUND(S328*T328,0)</f>
        <v>648</v>
      </c>
      <c r="E328" s="52" t="n">
        <f aca="false">ROUND(S328,0)-D328</f>
        <v>1260</v>
      </c>
      <c r="F328" s="52" t="n">
        <f aca="false">IF(COUNTA(D328:E328)=0,"",SUM(D328:E328))</f>
        <v>1908</v>
      </c>
      <c r="G328" s="53" t="n">
        <f aca="false">IF(OR(F328="",F328=0),"",D328/F328)</f>
        <v>0.339622641509434</v>
      </c>
      <c r="H328" s="53" t="n">
        <f aca="false">IF(OR(F328="",F328=0),"",E328/F328)</f>
        <v>0.660377358490566</v>
      </c>
      <c r="I328" s="25" t="s">
        <v>128</v>
      </c>
      <c r="J328" s="28" t="n">
        <v>1.72835549007323</v>
      </c>
      <c r="K328" s="28" t="n">
        <f aca="false">$K$8</f>
        <v>0.297030231526703</v>
      </c>
      <c r="L328" s="28" t="n">
        <f aca="false">SQRT(J328^2+K328^2)</f>
        <v>1.75369314833214</v>
      </c>
      <c r="M328" s="53" t="n">
        <f aca="false">IF(G328="","",MAX(0,G328-1.96*L328/100))</f>
        <v>0.305250255802124</v>
      </c>
      <c r="N328" s="53" t="n">
        <f aca="false">IF(G328="","",MIN(1,G328+1.96*L328/100))</f>
        <v>0.373995027216744</v>
      </c>
      <c r="O328" s="52" t="n">
        <f aca="false">ROUND(S328*W328,0)</f>
        <v>131</v>
      </c>
      <c r="P328" s="52" t="n">
        <f aca="false">IF(F328="","",ROUND(SQRT((F328*L328/100)^2+(G328*O328)^2),0))</f>
        <v>56</v>
      </c>
      <c r="R328" s="54" t="n">
        <v>-16.8168746660399</v>
      </c>
      <c r="S328" s="55" t="n">
        <f aca="false">U328*V328*$F$5</f>
        <v>1907.80833039181</v>
      </c>
      <c r="T328" s="56" t="n">
        <f aca="false">MAX(0,MIN(1,R328/100+$D$5))</f>
        <v>0.339886302306905</v>
      </c>
      <c r="U328" s="56" t="n">
        <v>0.649135192375574</v>
      </c>
      <c r="V328" s="55" t="n">
        <v>2939</v>
      </c>
      <c r="W328" s="56" t="n">
        <v>0.0684752145190268</v>
      </c>
      <c r="X328" s="57" t="s">
        <v>168</v>
      </c>
      <c r="Y328" s="57" t="s">
        <v>130</v>
      </c>
    </row>
    <row r="329" customFormat="false" ht="15" hidden="false" customHeight="false" outlineLevel="0" collapsed="false">
      <c r="A329" s="25" t="s">
        <v>385</v>
      </c>
      <c r="B329" s="25" t="s">
        <v>499</v>
      </c>
      <c r="C329" s="25" t="s">
        <v>502</v>
      </c>
      <c r="D329" s="52" t="n">
        <f aca="false">ROUND(S329*T329,0)</f>
        <v>439</v>
      </c>
      <c r="E329" s="52" t="n">
        <f aca="false">ROUND(S329,0)-D329</f>
        <v>908</v>
      </c>
      <c r="F329" s="52" t="n">
        <f aca="false">IF(COUNTA(D329:E329)=0,"",SUM(D329:E329))</f>
        <v>1347</v>
      </c>
      <c r="G329" s="53" t="n">
        <f aca="false">IF(OR(F329="",F329=0),"",D329/F329)</f>
        <v>0.325909428359317</v>
      </c>
      <c r="H329" s="53" t="n">
        <f aca="false">IF(OR(F329="",F329=0),"",E329/F329)</f>
        <v>0.674090571640683</v>
      </c>
      <c r="I329" s="25" t="s">
        <v>128</v>
      </c>
      <c r="J329" s="28" t="n">
        <v>1.72835549007323</v>
      </c>
      <c r="K329" s="28" t="n">
        <f aca="false">$K$8</f>
        <v>0.297030231526703</v>
      </c>
      <c r="L329" s="28" t="n">
        <f aca="false">SQRT(J329^2+K329^2)</f>
        <v>1.75369314833214</v>
      </c>
      <c r="M329" s="53" t="n">
        <f aca="false">IF(G329="","",MAX(0,G329-1.96*L329/100))</f>
        <v>0.291537042652007</v>
      </c>
      <c r="N329" s="53" t="n">
        <f aca="false">IF(G329="","",MIN(1,G329+1.96*L329/100))</f>
        <v>0.360281814066627</v>
      </c>
      <c r="O329" s="52" t="n">
        <f aca="false">ROUND(S329*W329,0)</f>
        <v>92</v>
      </c>
      <c r="P329" s="52" t="n">
        <f aca="false">IF(F329="","",ROUND(SQRT((F329*L329/100)^2+(G329*O329)^2),0))</f>
        <v>38</v>
      </c>
      <c r="R329" s="54" t="n">
        <v>-18.2182751052109</v>
      </c>
      <c r="S329" s="55" t="n">
        <f aca="false">U329*V329*$F$5</f>
        <v>1347</v>
      </c>
      <c r="T329" s="56" t="n">
        <f aca="false">MAX(0,MIN(1,R329/100+$D$5))</f>
        <v>0.325872297915195</v>
      </c>
      <c r="U329" s="56" t="n">
        <v>0.677565392354125</v>
      </c>
      <c r="V329" s="55" t="n">
        <v>1988</v>
      </c>
      <c r="W329" s="56" t="n">
        <v>0.0684752145190268</v>
      </c>
      <c r="X329" s="57" t="s">
        <v>168</v>
      </c>
      <c r="Y329" s="57" t="s">
        <v>130</v>
      </c>
    </row>
    <row r="330" customFormat="false" ht="15" hidden="false" customHeight="false" outlineLevel="0" collapsed="false">
      <c r="A330" s="25" t="s">
        <v>385</v>
      </c>
      <c r="B330" s="25" t="s">
        <v>499</v>
      </c>
      <c r="C330" s="25" t="s">
        <v>503</v>
      </c>
      <c r="D330" s="52" t="n">
        <f aca="false">ROUND(S330*T330,0)</f>
        <v>213</v>
      </c>
      <c r="E330" s="52" t="n">
        <f aca="false">ROUND(S330,0)-D330</f>
        <v>427</v>
      </c>
      <c r="F330" s="52" t="n">
        <f aca="false">IF(COUNTA(D330:E330)=0,"",SUM(D330:E330))</f>
        <v>640</v>
      </c>
      <c r="G330" s="53" t="n">
        <f aca="false">IF(OR(F330="",F330=0),"",D330/F330)</f>
        <v>0.3328125</v>
      </c>
      <c r="H330" s="53" t="n">
        <f aca="false">IF(OR(F330="",F330=0),"",E330/F330)</f>
        <v>0.6671875</v>
      </c>
      <c r="I330" s="25" t="s">
        <v>128</v>
      </c>
      <c r="J330" s="28" t="n">
        <v>2.11716121919269</v>
      </c>
      <c r="K330" s="28" t="n">
        <f aca="false">$K$8</f>
        <v>0.297030231526703</v>
      </c>
      <c r="L330" s="28" t="n">
        <f aca="false">SQRT(J330^2+K330^2)</f>
        <v>2.13789583153489</v>
      </c>
      <c r="M330" s="53" t="n">
        <f aca="false">IF(G330="","",MAX(0,G330-1.96*L330/100))</f>
        <v>0.290909741701916</v>
      </c>
      <c r="N330" s="53" t="n">
        <f aca="false">IF(G330="","",MIN(1,G330+1.96*L330/100))</f>
        <v>0.374715258298084</v>
      </c>
      <c r="O330" s="52" t="n">
        <f aca="false">ROUND(S330*W330,0)</f>
        <v>57</v>
      </c>
      <c r="P330" s="52" t="n">
        <f aca="false">IF(F330="","",ROUND(SQRT((F330*L330/100)^2+(G330*O330)^2),0))</f>
        <v>23</v>
      </c>
      <c r="R330" s="54" t="n">
        <v>-17.5976901938606</v>
      </c>
      <c r="S330" s="55" t="n">
        <f aca="false">U330*V330*$F$5</f>
        <v>640.169811320755</v>
      </c>
      <c r="T330" s="56" t="n">
        <f aca="false">MAX(0,MIN(1,R330/100+$D$5))</f>
        <v>0.332078147028699</v>
      </c>
      <c r="U330" s="56" t="n">
        <v>0.69811320754717</v>
      </c>
      <c r="V330" s="55" t="n">
        <v>917</v>
      </c>
      <c r="W330" s="56" t="n">
        <v>0.0887445098984521</v>
      </c>
      <c r="X330" s="57" t="s">
        <v>135</v>
      </c>
      <c r="Y330" s="57" t="s">
        <v>130</v>
      </c>
    </row>
    <row r="331" customFormat="false" ht="15" hidden="false" customHeight="false" outlineLevel="0" collapsed="false">
      <c r="A331" s="25" t="s">
        <v>385</v>
      </c>
      <c r="B331" s="25" t="s">
        <v>504</v>
      </c>
      <c r="C331" s="25" t="s">
        <v>505</v>
      </c>
      <c r="D331" s="52" t="n">
        <f aca="false">ROUND(S331*T331,0)</f>
        <v>498</v>
      </c>
      <c r="E331" s="52" t="n">
        <f aca="false">ROUND(S331,0)-D331</f>
        <v>480</v>
      </c>
      <c r="F331" s="52" t="n">
        <f aca="false">IF(COUNTA(D331:E331)=0,"",SUM(D331:E331))</f>
        <v>978</v>
      </c>
      <c r="G331" s="53" t="n">
        <f aca="false">IF(OR(F331="",F331=0),"",D331/F331)</f>
        <v>0.50920245398773</v>
      </c>
      <c r="H331" s="53" t="n">
        <f aca="false">IF(OR(F331="",F331=0),"",E331/F331)</f>
        <v>0.49079754601227</v>
      </c>
      <c r="I331" s="25" t="s">
        <v>128</v>
      </c>
      <c r="J331" s="28" t="n">
        <v>1.72835549007323</v>
      </c>
      <c r="K331" s="28" t="n">
        <f aca="false">$K$8</f>
        <v>0.297030231526703</v>
      </c>
      <c r="L331" s="28" t="n">
        <f aca="false">SQRT(J331^2+K331^2)</f>
        <v>1.75369314833214</v>
      </c>
      <c r="M331" s="53" t="n">
        <f aca="false">IF(G331="","",MAX(0,G331-1.96*L331/100))</f>
        <v>0.47483006828042</v>
      </c>
      <c r="N331" s="53" t="n">
        <f aca="false">IF(G331="","",MIN(1,G331+1.96*L331/100))</f>
        <v>0.54357483969504</v>
      </c>
      <c r="O331" s="52" t="n">
        <f aca="false">ROUND(S331*W331,0)</f>
        <v>67</v>
      </c>
      <c r="P331" s="52" t="n">
        <f aca="false">IF(F331="","",ROUND(SQRT((F331*L331/100)^2+(G331*O331)^2),0))</f>
        <v>38</v>
      </c>
      <c r="R331" s="54" t="n">
        <v>0.0868357778828572</v>
      </c>
      <c r="S331" s="55" t="n">
        <f aca="false">U331*V331*$F$5</f>
        <v>978.044260027662</v>
      </c>
      <c r="T331" s="56" t="n">
        <f aca="false">MAX(0,MIN(1,R331/100+$D$5))</f>
        <v>0.508923406746133</v>
      </c>
      <c r="U331" s="56" t="n">
        <v>0.659059474412171</v>
      </c>
      <c r="V331" s="55" t="n">
        <v>1484</v>
      </c>
      <c r="W331" s="56" t="n">
        <v>0.0684752145190268</v>
      </c>
      <c r="X331" s="57" t="s">
        <v>168</v>
      </c>
      <c r="Y331" s="57" t="s">
        <v>130</v>
      </c>
    </row>
    <row r="332" customFormat="false" ht="15" hidden="false" customHeight="false" outlineLevel="0" collapsed="false">
      <c r="A332" s="25" t="s">
        <v>385</v>
      </c>
      <c r="B332" s="25" t="s">
        <v>504</v>
      </c>
      <c r="C332" s="25" t="s">
        <v>506</v>
      </c>
      <c r="D332" s="52" t="n">
        <f aca="false">ROUND(S332*T332,0)</f>
        <v>403</v>
      </c>
      <c r="E332" s="52" t="n">
        <f aca="false">ROUND(S332,0)-D332</f>
        <v>378</v>
      </c>
      <c r="F332" s="52" t="n">
        <f aca="false">IF(COUNTA(D332:E332)=0,"",SUM(D332:E332))</f>
        <v>781</v>
      </c>
      <c r="G332" s="53" t="n">
        <f aca="false">IF(OR(F332="",F332=0),"",D332/F332)</f>
        <v>0.516005121638924</v>
      </c>
      <c r="H332" s="53" t="n">
        <f aca="false">IF(OR(F332="",F332=0),"",E332/F332)</f>
        <v>0.483994878361076</v>
      </c>
      <c r="I332" s="25" t="s">
        <v>128</v>
      </c>
      <c r="J332" s="28" t="n">
        <v>2.11716121919269</v>
      </c>
      <c r="K332" s="28" t="n">
        <f aca="false">$K$8</f>
        <v>0.297030231526703</v>
      </c>
      <c r="L332" s="28" t="n">
        <f aca="false">SQRT(J332^2+K332^2)</f>
        <v>2.13789583153489</v>
      </c>
      <c r="M332" s="53" t="n">
        <f aca="false">IF(G332="","",MAX(0,G332-1.96*L332/100))</f>
        <v>0.474102363340841</v>
      </c>
      <c r="N332" s="53" t="n">
        <f aca="false">IF(G332="","",MIN(1,G332+1.96*L332/100))</f>
        <v>0.557907879937008</v>
      </c>
      <c r="O332" s="52" t="n">
        <f aca="false">ROUND(S332*W332,0)</f>
        <v>69</v>
      </c>
      <c r="P332" s="52" t="n">
        <f aca="false">IF(F332="","",ROUND(SQRT((F332*L332/100)^2+(G332*O332)^2),0))</f>
        <v>39</v>
      </c>
      <c r="R332" s="54" t="n">
        <v>0.832588339598263</v>
      </c>
      <c r="S332" s="55" t="n">
        <f aca="false">U332*V332*$F$5</f>
        <v>780.745236414961</v>
      </c>
      <c r="T332" s="56" t="n">
        <f aca="false">MAX(0,MIN(1,R332/100+$D$5))</f>
        <v>0.516380932363287</v>
      </c>
      <c r="U332" s="56" t="n">
        <v>0.549047282992237</v>
      </c>
      <c r="V332" s="55" t="n">
        <v>1422</v>
      </c>
      <c r="W332" s="56" t="n">
        <v>0.0887445098984521</v>
      </c>
      <c r="X332" s="57" t="s">
        <v>135</v>
      </c>
      <c r="Y332" s="57" t="s">
        <v>130</v>
      </c>
    </row>
    <row r="333" customFormat="false" ht="15" hidden="false" customHeight="false" outlineLevel="0" collapsed="false">
      <c r="A333" s="25" t="s">
        <v>385</v>
      </c>
      <c r="B333" s="25" t="s">
        <v>504</v>
      </c>
      <c r="C333" s="25" t="s">
        <v>507</v>
      </c>
      <c r="D333" s="52" t="n">
        <f aca="false">ROUND(S333*T333,0)</f>
        <v>369</v>
      </c>
      <c r="E333" s="52" t="n">
        <f aca="false">ROUND(S333,0)-D333</f>
        <v>388</v>
      </c>
      <c r="F333" s="52" t="n">
        <f aca="false">IF(COUNTA(D333:E333)=0,"",SUM(D333:E333))</f>
        <v>757</v>
      </c>
      <c r="G333" s="53" t="n">
        <f aca="false">IF(OR(F333="",F333=0),"",D333/F333)</f>
        <v>0.487450462351387</v>
      </c>
      <c r="H333" s="53" t="n">
        <f aca="false">IF(OR(F333="",F333=0),"",E333/F333)</f>
        <v>0.512549537648613</v>
      </c>
      <c r="I333" s="25" t="s">
        <v>128</v>
      </c>
      <c r="J333" s="28" t="n">
        <v>2.11716121919269</v>
      </c>
      <c r="K333" s="28" t="n">
        <f aca="false">$K$8</f>
        <v>0.297030231526703</v>
      </c>
      <c r="L333" s="28" t="n">
        <f aca="false">SQRT(J333^2+K333^2)</f>
        <v>2.13789583153489</v>
      </c>
      <c r="M333" s="53" t="n">
        <f aca="false">IF(G333="","",MAX(0,G333-1.96*L333/100))</f>
        <v>0.445547704053303</v>
      </c>
      <c r="N333" s="53" t="n">
        <f aca="false">IF(G333="","",MIN(1,G333+1.96*L333/100))</f>
        <v>0.529353220649471</v>
      </c>
      <c r="O333" s="52" t="n">
        <f aca="false">ROUND(S333*W333,0)</f>
        <v>67</v>
      </c>
      <c r="P333" s="52" t="n">
        <f aca="false">IF(F333="","",ROUND(SQRT((F333*L333/100)^2+(G333*O333)^2),0))</f>
        <v>36</v>
      </c>
      <c r="R333" s="54" t="n">
        <v>-2.0417229590307</v>
      </c>
      <c r="S333" s="55" t="n">
        <f aca="false">U333*V333*$F$5</f>
        <v>757.126771653543</v>
      </c>
      <c r="T333" s="56" t="n">
        <f aca="false">MAX(0,MIN(1,R333/100+$D$5))</f>
        <v>0.487637819376998</v>
      </c>
      <c r="U333" s="56" t="n">
        <v>0.574015748031496</v>
      </c>
      <c r="V333" s="55" t="n">
        <v>1319</v>
      </c>
      <c r="W333" s="56" t="n">
        <v>0.0887445098984521</v>
      </c>
      <c r="X333" s="57" t="s">
        <v>135</v>
      </c>
      <c r="Y333" s="57" t="s">
        <v>130</v>
      </c>
    </row>
    <row r="334" customFormat="false" ht="15" hidden="false" customHeight="false" outlineLevel="0" collapsed="false">
      <c r="A334" s="25" t="s">
        <v>385</v>
      </c>
      <c r="B334" s="25" t="s">
        <v>508</v>
      </c>
      <c r="C334" s="25" t="s">
        <v>509</v>
      </c>
      <c r="D334" s="52" t="n">
        <f aca="false">ROUND(S334*T334,0)</f>
        <v>178</v>
      </c>
      <c r="E334" s="52" t="n">
        <f aca="false">ROUND(S334,0)-D334</f>
        <v>205</v>
      </c>
      <c r="F334" s="52" t="n">
        <f aca="false">IF(COUNTA(D334:E334)=0,"",SUM(D334:E334))</f>
        <v>383</v>
      </c>
      <c r="G334" s="53" t="n">
        <f aca="false">IF(OR(F334="",F334=0),"",D334/F334)</f>
        <v>0.464751958224543</v>
      </c>
      <c r="H334" s="53" t="n">
        <f aca="false">IF(OR(F334="",F334=0),"",E334/F334)</f>
        <v>0.535248041775457</v>
      </c>
      <c r="I334" s="25" t="s">
        <v>128</v>
      </c>
      <c r="J334" s="28" t="n">
        <v>3.42046080519466</v>
      </c>
      <c r="K334" s="28" t="n">
        <f aca="false">$K$8</f>
        <v>0.297030231526703</v>
      </c>
      <c r="L334" s="28" t="n">
        <f aca="false">SQRT(J334^2+K334^2)</f>
        <v>3.43333352273176</v>
      </c>
      <c r="M334" s="53" t="n">
        <f aca="false">IF(G334="","",MAX(0,G334-1.96*L334/100))</f>
        <v>0.397458621179001</v>
      </c>
      <c r="N334" s="53" t="n">
        <f aca="false">IF(G334="","",MIN(1,G334+1.96*L334/100))</f>
        <v>0.532045295270086</v>
      </c>
      <c r="O334" s="52" t="n">
        <f aca="false">ROUND(S334*W334,0)</f>
        <v>57</v>
      </c>
      <c r="P334" s="52" t="n">
        <f aca="false">IF(F334="","",ROUND(SQRT((F334*L334/100)^2+(G334*O334)^2),0))</f>
        <v>30</v>
      </c>
      <c r="R334" s="54" t="n">
        <v>-4.3891727165142</v>
      </c>
      <c r="S334" s="55" t="n">
        <f aca="false">U334*V334*$F$5</f>
        <v>383.103139013453</v>
      </c>
      <c r="T334" s="56" t="n">
        <f aca="false">MAX(0,MIN(1,R334/100+$D$5))</f>
        <v>0.464163321802163</v>
      </c>
      <c r="U334" s="56" t="n">
        <v>0.541106128550075</v>
      </c>
      <c r="V334" s="55" t="n">
        <v>708</v>
      </c>
      <c r="W334" s="56" t="n">
        <v>0.148097331980838</v>
      </c>
      <c r="X334" s="57" t="s">
        <v>129</v>
      </c>
      <c r="Y334" s="57" t="s">
        <v>130</v>
      </c>
    </row>
    <row r="335" customFormat="false" ht="15" hidden="false" customHeight="false" outlineLevel="0" collapsed="false">
      <c r="A335" s="25" t="s">
        <v>385</v>
      </c>
      <c r="B335" s="25" t="s">
        <v>508</v>
      </c>
      <c r="C335" s="25" t="s">
        <v>510</v>
      </c>
      <c r="D335" s="52" t="n">
        <f aca="false">ROUND(S335*T335,0)</f>
        <v>537</v>
      </c>
      <c r="E335" s="52" t="n">
        <f aca="false">ROUND(S335,0)-D335</f>
        <v>512</v>
      </c>
      <c r="F335" s="52" t="n">
        <f aca="false">IF(COUNTA(D335:E335)=0,"",SUM(D335:E335))</f>
        <v>1049</v>
      </c>
      <c r="G335" s="53" t="n">
        <f aca="false">IF(OR(F335="",F335=0),"",D335/F335)</f>
        <v>0.511916110581506</v>
      </c>
      <c r="H335" s="53" t="n">
        <f aca="false">IF(OR(F335="",F335=0),"",E335/F335)</f>
        <v>0.488083889418494</v>
      </c>
      <c r="I335" s="25" t="s">
        <v>128</v>
      </c>
      <c r="J335" s="28" t="n">
        <v>1.72835549007323</v>
      </c>
      <c r="K335" s="28" t="n">
        <f aca="false">$K$8</f>
        <v>0.297030231526703</v>
      </c>
      <c r="L335" s="28" t="n">
        <f aca="false">SQRT(J335^2+K335^2)</f>
        <v>1.75369314833214</v>
      </c>
      <c r="M335" s="53" t="n">
        <f aca="false">IF(G335="","",MAX(0,G335-1.96*L335/100))</f>
        <v>0.477543724874196</v>
      </c>
      <c r="N335" s="53" t="n">
        <f aca="false">IF(G335="","",MIN(1,G335+1.96*L335/100))</f>
        <v>0.546288496288816</v>
      </c>
      <c r="O335" s="52" t="n">
        <f aca="false">ROUND(S335*W335,0)</f>
        <v>72</v>
      </c>
      <c r="P335" s="52" t="n">
        <f aca="false">IF(F335="","",ROUND(SQRT((F335*L335/100)^2+(G335*O335)^2),0))</f>
        <v>41</v>
      </c>
      <c r="R335" s="54" t="n">
        <v>0.369908456048205</v>
      </c>
      <c r="S335" s="55" t="n">
        <f aca="false">U335*V335*$F$5</f>
        <v>1049.22431259045</v>
      </c>
      <c r="T335" s="56" t="n">
        <f aca="false">MAX(0,MIN(1,R335/100+$D$5))</f>
        <v>0.511754133527787</v>
      </c>
      <c r="U335" s="56" t="n">
        <v>0.662807525325615</v>
      </c>
      <c r="V335" s="55" t="n">
        <v>1583</v>
      </c>
      <c r="W335" s="56" t="n">
        <v>0.0684752145190268</v>
      </c>
      <c r="X335" s="57" t="s">
        <v>168</v>
      </c>
      <c r="Y335" s="57" t="s">
        <v>130</v>
      </c>
    </row>
    <row r="336" customFormat="false" ht="15" hidden="false" customHeight="false" outlineLevel="0" collapsed="false">
      <c r="A336" s="25" t="s">
        <v>385</v>
      </c>
      <c r="B336" s="25" t="s">
        <v>511</v>
      </c>
      <c r="C336" s="25" t="s">
        <v>512</v>
      </c>
      <c r="D336" s="52" t="n">
        <f aca="false">ROUND(S336*T336,0)</f>
        <v>491</v>
      </c>
      <c r="E336" s="52" t="n">
        <f aca="false">ROUND(S336,0)-D336</f>
        <v>537</v>
      </c>
      <c r="F336" s="52" t="n">
        <f aca="false">IF(COUNTA(D336:E336)=0,"",SUM(D336:E336))</f>
        <v>1028</v>
      </c>
      <c r="G336" s="53" t="n">
        <f aca="false">IF(OR(F336="",F336=0),"",D336/F336)</f>
        <v>0.477626459143969</v>
      </c>
      <c r="H336" s="53" t="n">
        <f aca="false">IF(OR(F336="",F336=0),"",E336/F336)</f>
        <v>0.522373540856031</v>
      </c>
      <c r="I336" s="25" t="s">
        <v>128</v>
      </c>
      <c r="J336" s="28" t="n">
        <v>1.72835549007323</v>
      </c>
      <c r="K336" s="28" t="n">
        <f aca="false">$K$8</f>
        <v>0.297030231526703</v>
      </c>
      <c r="L336" s="28" t="n">
        <f aca="false">SQRT(J336^2+K336^2)</f>
        <v>1.75369314833214</v>
      </c>
      <c r="M336" s="53" t="n">
        <f aca="false">IF(G336="","",MAX(0,G336-1.96*L336/100))</f>
        <v>0.443254073436659</v>
      </c>
      <c r="N336" s="53" t="n">
        <f aca="false">IF(G336="","",MIN(1,G336+1.96*L336/100))</f>
        <v>0.511998844851279</v>
      </c>
      <c r="O336" s="52" t="n">
        <f aca="false">ROUND(S336*W336,0)</f>
        <v>70</v>
      </c>
      <c r="P336" s="52" t="n">
        <f aca="false">IF(F336="","",ROUND(SQRT((F336*L336/100)^2+(G336*O336)^2),0))</f>
        <v>38</v>
      </c>
      <c r="R336" s="54" t="n">
        <v>-3.04253424980238</v>
      </c>
      <c r="S336" s="55" t="n">
        <f aca="false">U336*V336*$F$5</f>
        <v>1027.55404570723</v>
      </c>
      <c r="T336" s="56" t="n">
        <f aca="false">MAX(0,MIN(1,R336/100+$D$5))</f>
        <v>0.477629706469281</v>
      </c>
      <c r="U336" s="56" t="n">
        <v>0.589870290302656</v>
      </c>
      <c r="V336" s="55" t="n">
        <v>1742</v>
      </c>
      <c r="W336" s="56" t="n">
        <v>0.0684752145190268</v>
      </c>
      <c r="X336" s="57" t="s">
        <v>168</v>
      </c>
      <c r="Y336" s="57" t="s">
        <v>130</v>
      </c>
    </row>
    <row r="337" customFormat="false" ht="15" hidden="false" customHeight="false" outlineLevel="0" collapsed="false">
      <c r="A337" s="25" t="s">
        <v>385</v>
      </c>
      <c r="B337" s="25" t="s">
        <v>511</v>
      </c>
      <c r="C337" s="25" t="s">
        <v>513</v>
      </c>
      <c r="D337" s="52" t="n">
        <f aca="false">ROUND(S337*T337,0)</f>
        <v>429</v>
      </c>
      <c r="E337" s="52" t="n">
        <f aca="false">ROUND(S337,0)-D337</f>
        <v>439</v>
      </c>
      <c r="F337" s="52" t="n">
        <f aca="false">IF(COUNTA(D337:E337)=0,"",SUM(D337:E337))</f>
        <v>868</v>
      </c>
      <c r="G337" s="53" t="n">
        <f aca="false">IF(OR(F337="",F337=0),"",D337/F337)</f>
        <v>0.494239631336406</v>
      </c>
      <c r="H337" s="53" t="n">
        <f aca="false">IF(OR(F337="",F337=0),"",E337/F337)</f>
        <v>0.505760368663594</v>
      </c>
      <c r="I337" s="25" t="s">
        <v>128</v>
      </c>
      <c r="J337" s="28" t="n">
        <v>2.11716121919269</v>
      </c>
      <c r="K337" s="28" t="n">
        <f aca="false">$K$8</f>
        <v>0.297030231526703</v>
      </c>
      <c r="L337" s="28" t="n">
        <f aca="false">SQRT(J337^2+K337^2)</f>
        <v>2.13789583153489</v>
      </c>
      <c r="M337" s="53" t="n">
        <f aca="false">IF(G337="","",MAX(0,G337-1.96*L337/100))</f>
        <v>0.452336873038322</v>
      </c>
      <c r="N337" s="53" t="n">
        <f aca="false">IF(G337="","",MIN(1,G337+1.96*L337/100))</f>
        <v>0.53614238963449</v>
      </c>
      <c r="O337" s="52" t="n">
        <f aca="false">ROUND(S337*W337,0)</f>
        <v>77</v>
      </c>
      <c r="P337" s="52" t="n">
        <f aca="false">IF(F337="","",ROUND(SQRT((F337*L337/100)^2+(G337*O337)^2),0))</f>
        <v>42</v>
      </c>
      <c r="R337" s="54" t="n">
        <v>-1.36448983008346</v>
      </c>
      <c r="S337" s="55" t="n">
        <f aca="false">U337*V337*$F$5</f>
        <v>867.502130249544</v>
      </c>
      <c r="T337" s="56" t="n">
        <f aca="false">MAX(0,MIN(1,R337/100+$D$5))</f>
        <v>0.49441015066647</v>
      </c>
      <c r="U337" s="56" t="n">
        <v>0.507608034083993</v>
      </c>
      <c r="V337" s="55" t="n">
        <v>1709</v>
      </c>
      <c r="W337" s="56" t="n">
        <v>0.0887445098984521</v>
      </c>
      <c r="X337" s="57" t="s">
        <v>135</v>
      </c>
      <c r="Y337" s="57" t="s">
        <v>130</v>
      </c>
    </row>
    <row r="338" customFormat="false" ht="15" hidden="false" customHeight="false" outlineLevel="0" collapsed="false">
      <c r="A338" s="25" t="s">
        <v>385</v>
      </c>
      <c r="B338" s="25" t="s">
        <v>511</v>
      </c>
      <c r="C338" s="25" t="s">
        <v>514</v>
      </c>
      <c r="D338" s="52" t="n">
        <f aca="false">ROUND(S338*T338,0)</f>
        <v>885</v>
      </c>
      <c r="E338" s="52" t="n">
        <f aca="false">ROUND(S338,0)-D338</f>
        <v>989</v>
      </c>
      <c r="F338" s="52" t="n">
        <f aca="false">IF(COUNTA(D338:E338)=0,"",SUM(D338:E338))</f>
        <v>1874</v>
      </c>
      <c r="G338" s="53" t="n">
        <f aca="false">IF(OR(F338="",F338=0),"",D338/F338)</f>
        <v>0.472251867662753</v>
      </c>
      <c r="H338" s="53" t="n">
        <f aca="false">IF(OR(F338="",F338=0),"",E338/F338)</f>
        <v>0.527748132337247</v>
      </c>
      <c r="I338" s="25" t="s">
        <v>128</v>
      </c>
      <c r="J338" s="28" t="n">
        <v>1.72835549007323</v>
      </c>
      <c r="K338" s="28" t="n">
        <f aca="false">$K$8</f>
        <v>0.297030231526703</v>
      </c>
      <c r="L338" s="28" t="n">
        <f aca="false">SQRT(J338^2+K338^2)</f>
        <v>1.75369314833214</v>
      </c>
      <c r="M338" s="53" t="n">
        <f aca="false">IF(G338="","",MAX(0,G338-1.96*L338/100))</f>
        <v>0.437879481955444</v>
      </c>
      <c r="N338" s="53" t="n">
        <f aca="false">IF(G338="","",MIN(1,G338+1.96*L338/100))</f>
        <v>0.506624253370063</v>
      </c>
      <c r="O338" s="52" t="n">
        <f aca="false">ROUND(S338*W338,0)</f>
        <v>128</v>
      </c>
      <c r="P338" s="52" t="n">
        <f aca="false">IF(F338="","",ROUND(SQRT((F338*L338/100)^2+(G338*O338)^2),0))</f>
        <v>69</v>
      </c>
      <c r="R338" s="54" t="n">
        <v>-3.55670316134108</v>
      </c>
      <c r="S338" s="55" t="n">
        <f aca="false">U338*V338*$F$5</f>
        <v>1873.94361294814</v>
      </c>
      <c r="T338" s="56" t="n">
        <f aca="false">MAX(0,MIN(1,R338/100+$D$5))</f>
        <v>0.472488017353894</v>
      </c>
      <c r="U338" s="56" t="n">
        <v>0.612600069613644</v>
      </c>
      <c r="V338" s="55" t="n">
        <v>3059</v>
      </c>
      <c r="W338" s="56" t="n">
        <v>0.0684752145190268</v>
      </c>
      <c r="X338" s="57" t="s">
        <v>168</v>
      </c>
      <c r="Y338" s="57" t="s">
        <v>130</v>
      </c>
    </row>
    <row r="339" customFormat="false" ht="15" hidden="false" customHeight="false" outlineLevel="0" collapsed="false">
      <c r="A339" s="25" t="s">
        <v>385</v>
      </c>
      <c r="B339" s="25" t="s">
        <v>511</v>
      </c>
      <c r="C339" s="25" t="s">
        <v>515</v>
      </c>
      <c r="D339" s="52" t="n">
        <f aca="false">ROUND(S339*T339,0)</f>
        <v>181</v>
      </c>
      <c r="E339" s="52" t="n">
        <f aca="false">ROUND(S339,0)-D339</f>
        <v>217</v>
      </c>
      <c r="F339" s="52" t="n">
        <f aca="false">IF(COUNTA(D339:E339)=0,"",SUM(D339:E339))</f>
        <v>398</v>
      </c>
      <c r="G339" s="53" t="n">
        <f aca="false">IF(OR(F339="",F339=0),"",D339/F339)</f>
        <v>0.454773869346734</v>
      </c>
      <c r="H339" s="53" t="n">
        <f aca="false">IF(OR(F339="",F339=0),"",E339/F339)</f>
        <v>0.545226130653266</v>
      </c>
      <c r="I339" s="25" t="s">
        <v>128</v>
      </c>
      <c r="J339" s="28" t="n">
        <v>3.42046080519466</v>
      </c>
      <c r="K339" s="28" t="n">
        <f aca="false">$K$8</f>
        <v>0.297030231526703</v>
      </c>
      <c r="L339" s="28" t="n">
        <f aca="false">SQRT(J339^2+K339^2)</f>
        <v>3.43333352273176</v>
      </c>
      <c r="M339" s="53" t="n">
        <f aca="false">IF(G339="","",MAX(0,G339-1.96*L339/100))</f>
        <v>0.387480532301191</v>
      </c>
      <c r="N339" s="53" t="n">
        <f aca="false">IF(G339="","",MIN(1,G339+1.96*L339/100))</f>
        <v>0.522067206392276</v>
      </c>
      <c r="O339" s="52" t="n">
        <f aca="false">ROUND(S339*W339,0)</f>
        <v>59</v>
      </c>
      <c r="P339" s="52" t="n">
        <f aca="false">IF(F339="","",ROUND(SQRT((F339*L339/100)^2+(G339*O339)^2),0))</f>
        <v>30</v>
      </c>
      <c r="R339" s="54" t="n">
        <v>-5.33341519588048</v>
      </c>
      <c r="S339" s="55" t="n">
        <f aca="false">U339*V339*$F$5</f>
        <v>398.40616966581</v>
      </c>
      <c r="T339" s="56" t="n">
        <f aca="false">MAX(0,MIN(1,R339/100+$D$5))</f>
        <v>0.4547208970085</v>
      </c>
      <c r="U339" s="56" t="n">
        <v>0.48586118251928</v>
      </c>
      <c r="V339" s="55" t="n">
        <v>820</v>
      </c>
      <c r="W339" s="56" t="n">
        <v>0.148097331980838</v>
      </c>
      <c r="X339" s="57" t="s">
        <v>129</v>
      </c>
      <c r="Y339" s="57" t="s">
        <v>130</v>
      </c>
    </row>
    <row r="340" customFormat="false" ht="15" hidden="false" customHeight="false" outlineLevel="0" collapsed="false">
      <c r="A340" s="25" t="s">
        <v>385</v>
      </c>
      <c r="B340" s="25" t="s">
        <v>516</v>
      </c>
      <c r="C340" s="25" t="s">
        <v>517</v>
      </c>
      <c r="D340" s="52" t="n">
        <f aca="false">ROUND(S340*T340,0)</f>
        <v>669</v>
      </c>
      <c r="E340" s="52" t="n">
        <f aca="false">ROUND(S340,0)-D340</f>
        <v>712</v>
      </c>
      <c r="F340" s="52" t="n">
        <f aca="false">IF(COUNTA(D340:E340)=0,"",SUM(D340:E340))</f>
        <v>1381</v>
      </c>
      <c r="G340" s="53" t="n">
        <f aca="false">IF(OR(F340="",F340=0),"",D340/F340)</f>
        <v>0.484431571325127</v>
      </c>
      <c r="H340" s="53" t="n">
        <f aca="false">IF(OR(F340="",F340=0),"",E340/F340)</f>
        <v>0.515568428674873</v>
      </c>
      <c r="I340" s="25" t="s">
        <v>128</v>
      </c>
      <c r="J340" s="28" t="n">
        <v>1.72835549007323</v>
      </c>
      <c r="K340" s="28" t="n">
        <f aca="false">$K$8</f>
        <v>0.297030231526703</v>
      </c>
      <c r="L340" s="28" t="n">
        <f aca="false">SQRT(J340^2+K340^2)</f>
        <v>1.75369314833214</v>
      </c>
      <c r="M340" s="53" t="n">
        <f aca="false">IF(G340="","",MAX(0,G340-1.96*L340/100))</f>
        <v>0.450059185617817</v>
      </c>
      <c r="N340" s="53" t="n">
        <f aca="false">IF(G340="","",MIN(1,G340+1.96*L340/100))</f>
        <v>0.518803957032437</v>
      </c>
      <c r="O340" s="52" t="n">
        <f aca="false">ROUND(S340*W340,0)</f>
        <v>95</v>
      </c>
      <c r="P340" s="52" t="n">
        <f aca="false">IF(F340="","",ROUND(SQRT((F340*L340/100)^2+(G340*O340)^2),0))</f>
        <v>52</v>
      </c>
      <c r="R340" s="54" t="n">
        <v>-2.35596280241517</v>
      </c>
      <c r="S340" s="55" t="n">
        <f aca="false">U340*V340*$F$5</f>
        <v>1380.50534255185</v>
      </c>
      <c r="T340" s="56" t="n">
        <f aca="false">MAX(0,MIN(1,R340/100+$D$5))</f>
        <v>0.484495420943153</v>
      </c>
      <c r="U340" s="56" t="n">
        <v>0.629792583280955</v>
      </c>
      <c r="V340" s="55" t="n">
        <v>2192</v>
      </c>
      <c r="W340" s="56" t="n">
        <v>0.0684752145190268</v>
      </c>
      <c r="X340" s="57" t="s">
        <v>168</v>
      </c>
      <c r="Y340" s="57" t="s">
        <v>130</v>
      </c>
    </row>
    <row r="341" customFormat="false" ht="15" hidden="false" customHeight="false" outlineLevel="0" collapsed="false">
      <c r="A341" s="25" t="s">
        <v>385</v>
      </c>
      <c r="B341" s="25" t="s">
        <v>516</v>
      </c>
      <c r="C341" s="25" t="s">
        <v>518</v>
      </c>
      <c r="D341" s="52" t="n">
        <f aca="false">ROUND(S341*T341,0)</f>
        <v>158</v>
      </c>
      <c r="E341" s="52" t="n">
        <f aca="false">ROUND(S341,0)-D341</f>
        <v>144</v>
      </c>
      <c r="F341" s="52" t="n">
        <f aca="false">IF(COUNTA(D341:E341)=0,"",SUM(D341:E341))</f>
        <v>302</v>
      </c>
      <c r="G341" s="53" t="n">
        <f aca="false">IF(OR(F341="",F341=0),"",D341/F341)</f>
        <v>0.52317880794702</v>
      </c>
      <c r="H341" s="53" t="n">
        <f aca="false">IF(OR(F341="",F341=0),"",E341/F341)</f>
        <v>0.47682119205298</v>
      </c>
      <c r="I341" s="25" t="s">
        <v>231</v>
      </c>
      <c r="J341" s="28" t="n">
        <v>3.42046080519466</v>
      </c>
      <c r="K341" s="28" t="n">
        <f aca="false">$K$8</f>
        <v>0.297030231526703</v>
      </c>
      <c r="L341" s="28" t="n">
        <f aca="false">SQRT(J341^2+K341^2)</f>
        <v>3.43333352273176</v>
      </c>
      <c r="M341" s="53" t="n">
        <f aca="false">IF(G341="","",MAX(0,G341-1.96*L341/100))</f>
        <v>0.455885470901477</v>
      </c>
      <c r="N341" s="53" t="n">
        <f aca="false">IF(G341="","",MIN(1,G341+1.96*L341/100))</f>
        <v>0.590472144992562</v>
      </c>
      <c r="O341" s="52" t="n">
        <f aca="false">ROUND(S341*W341,0)</f>
        <v>45</v>
      </c>
      <c r="P341" s="52" t="n">
        <f aca="false">IF(F341="","",ROUND(SQRT((F341*L341/100)^2+(G341*O341)^2),0))</f>
        <v>26</v>
      </c>
      <c r="R341" s="54" t="n">
        <v>1.48947930378718</v>
      </c>
      <c r="S341" s="55" t="n">
        <f aca="false">U341*V341*$F$5</f>
        <v>301.77107159879</v>
      </c>
      <c r="T341" s="56" t="n">
        <f aca="false">MAX(0,MIN(1,R341/100+$D$5))</f>
        <v>0.522949842005177</v>
      </c>
      <c r="U341" s="56" t="n">
        <v>0.210586930634187</v>
      </c>
      <c r="V341" s="55" t="n">
        <v>1433</v>
      </c>
      <c r="W341" s="56" t="n">
        <v>0.148097331980838</v>
      </c>
      <c r="X341" s="57" t="s">
        <v>129</v>
      </c>
      <c r="Y341" s="57" t="s">
        <v>130</v>
      </c>
    </row>
    <row r="342" customFormat="false" ht="15" hidden="false" customHeight="false" outlineLevel="0" collapsed="false">
      <c r="A342" s="25" t="s">
        <v>385</v>
      </c>
      <c r="B342" s="25" t="s">
        <v>516</v>
      </c>
      <c r="C342" s="25" t="s">
        <v>519</v>
      </c>
      <c r="D342" s="52" t="n">
        <f aca="false">ROUND(S342*T342,0)</f>
        <v>605</v>
      </c>
      <c r="E342" s="52" t="n">
        <f aca="false">ROUND(S342,0)-D342</f>
        <v>585</v>
      </c>
      <c r="F342" s="52" t="n">
        <f aca="false">IF(COUNTA(D342:E342)=0,"",SUM(D342:E342))</f>
        <v>1190</v>
      </c>
      <c r="G342" s="53" t="n">
        <f aca="false">IF(OR(F342="",F342=0),"",D342/F342)</f>
        <v>0.508403361344538</v>
      </c>
      <c r="H342" s="53" t="n">
        <f aca="false">IF(OR(F342="",F342=0),"",E342/F342)</f>
        <v>0.491596638655462</v>
      </c>
      <c r="I342" s="25" t="s">
        <v>231</v>
      </c>
      <c r="J342" s="28" t="n">
        <v>1.72835549007323</v>
      </c>
      <c r="K342" s="28" t="n">
        <f aca="false">$K$8</f>
        <v>0.297030231526703</v>
      </c>
      <c r="L342" s="28" t="n">
        <f aca="false">SQRT(J342^2+K342^2)</f>
        <v>1.75369314833214</v>
      </c>
      <c r="M342" s="53" t="n">
        <f aca="false">IF(G342="","",MAX(0,G342-1.96*L342/100))</f>
        <v>0.474030975637228</v>
      </c>
      <c r="N342" s="53" t="n">
        <f aca="false">IF(G342="","",MIN(1,G342+1.96*L342/100))</f>
        <v>0.542775747051848</v>
      </c>
      <c r="O342" s="52" t="n">
        <f aca="false">ROUND(S342*W342,0)</f>
        <v>82</v>
      </c>
      <c r="P342" s="52" t="n">
        <f aca="false">IF(F342="","",ROUND(SQRT((F342*L342/100)^2+(G342*O342)^2),0))</f>
        <v>47</v>
      </c>
      <c r="R342" s="54" t="n">
        <v>0.0468800714296807</v>
      </c>
      <c r="S342" s="55" t="n">
        <f aca="false">U342*V342*$F$5</f>
        <v>1190.2119157459</v>
      </c>
      <c r="T342" s="56" t="n">
        <f aca="false">MAX(0,MIN(1,R342/100+$D$5))</f>
        <v>0.508523849681602</v>
      </c>
      <c r="U342" s="56" t="n">
        <v>0.60792399109143</v>
      </c>
      <c r="V342" s="55" t="n">
        <v>1957.83014519475</v>
      </c>
      <c r="W342" s="56" t="n">
        <v>0.0684752145190268</v>
      </c>
      <c r="X342" s="57" t="s">
        <v>168</v>
      </c>
      <c r="Y342" s="57" t="s">
        <v>233</v>
      </c>
    </row>
    <row r="343" customFormat="false" ht="15" hidden="false" customHeight="false" outlineLevel="0" collapsed="false">
      <c r="A343" s="25" t="s">
        <v>385</v>
      </c>
      <c r="B343" s="25" t="s">
        <v>516</v>
      </c>
      <c r="C343" s="25" t="s">
        <v>520</v>
      </c>
      <c r="D343" s="52" t="n">
        <f aca="false">ROUND(S343*T343,0)</f>
        <v>747</v>
      </c>
      <c r="E343" s="52" t="n">
        <f aca="false">ROUND(S343,0)-D343</f>
        <v>656</v>
      </c>
      <c r="F343" s="52" t="n">
        <f aca="false">IF(COUNTA(D343:E343)=0,"",SUM(D343:E343))</f>
        <v>1403</v>
      </c>
      <c r="G343" s="53" t="n">
        <f aca="false">IF(OR(F343="",F343=0),"",D343/F343)</f>
        <v>0.532430506058446</v>
      </c>
      <c r="H343" s="53" t="n">
        <f aca="false">IF(OR(F343="",F343=0),"",E343/F343)</f>
        <v>0.467569493941554</v>
      </c>
      <c r="I343" s="25" t="s">
        <v>128</v>
      </c>
      <c r="J343" s="28" t="n">
        <v>1.72835549007323</v>
      </c>
      <c r="K343" s="28" t="n">
        <f aca="false">$K$8</f>
        <v>0.297030231526703</v>
      </c>
      <c r="L343" s="28" t="n">
        <f aca="false">SQRT(J343^2+K343^2)</f>
        <v>1.75369314833214</v>
      </c>
      <c r="M343" s="53" t="n">
        <f aca="false">IF(G343="","",MAX(0,G343-1.96*L343/100))</f>
        <v>0.498058120351136</v>
      </c>
      <c r="N343" s="53" t="n">
        <f aca="false">IF(G343="","",MIN(1,G343+1.96*L343/100))</f>
        <v>0.566802891765756</v>
      </c>
      <c r="O343" s="52" t="n">
        <f aca="false">ROUND(S343*W343,0)</f>
        <v>96</v>
      </c>
      <c r="P343" s="52" t="n">
        <f aca="false">IF(F343="","",ROUND(SQRT((F343*L343/100)^2+(G343*O343)^2),0))</f>
        <v>57</v>
      </c>
      <c r="R343" s="54" t="n">
        <v>2.41001194784538</v>
      </c>
      <c r="S343" s="55" t="n">
        <f aca="false">U343*V343*$F$5</f>
        <v>1402.88532351394</v>
      </c>
      <c r="T343" s="56" t="n">
        <f aca="false">MAX(0,MIN(1,R343/100+$D$5))</f>
        <v>0.532155168445759</v>
      </c>
      <c r="U343" s="56" t="n">
        <v>0.608627038400842</v>
      </c>
      <c r="V343" s="55" t="n">
        <v>2305</v>
      </c>
      <c r="W343" s="56" t="n">
        <v>0.0684752145190268</v>
      </c>
      <c r="X343" s="57" t="s">
        <v>168</v>
      </c>
      <c r="Y343" s="57" t="s">
        <v>130</v>
      </c>
    </row>
    <row r="344" customFormat="false" ht="15" hidden="false" customHeight="false" outlineLevel="0" collapsed="false">
      <c r="A344" s="25" t="s">
        <v>385</v>
      </c>
      <c r="B344" s="25" t="s">
        <v>516</v>
      </c>
      <c r="C344" s="25" t="s">
        <v>521</v>
      </c>
      <c r="D344" s="52" t="n">
        <f aca="false">ROUND(S344*T344,0)</f>
        <v>629</v>
      </c>
      <c r="E344" s="52" t="n">
        <f aca="false">ROUND(S344,0)-D344</f>
        <v>641</v>
      </c>
      <c r="F344" s="52" t="n">
        <f aca="false">IF(COUNTA(D344:E344)=0,"",SUM(D344:E344))</f>
        <v>1270</v>
      </c>
      <c r="G344" s="53" t="n">
        <f aca="false">IF(OR(F344="",F344=0),"",D344/F344)</f>
        <v>0.495275590551181</v>
      </c>
      <c r="H344" s="53" t="n">
        <f aca="false">IF(OR(F344="",F344=0),"",E344/F344)</f>
        <v>0.504724409448819</v>
      </c>
      <c r="I344" s="25" t="s">
        <v>128</v>
      </c>
      <c r="J344" s="28" t="n">
        <v>1.72835549007323</v>
      </c>
      <c r="K344" s="28" t="n">
        <f aca="false">$K$8</f>
        <v>0.297030231526703</v>
      </c>
      <c r="L344" s="28" t="n">
        <f aca="false">SQRT(J344^2+K344^2)</f>
        <v>1.75369314833214</v>
      </c>
      <c r="M344" s="53" t="n">
        <f aca="false">IF(G344="","",MAX(0,G344-1.96*L344/100))</f>
        <v>0.460903204843871</v>
      </c>
      <c r="N344" s="53" t="n">
        <f aca="false">IF(G344="","",MIN(1,G344+1.96*L344/100))</f>
        <v>0.529647976258491</v>
      </c>
      <c r="O344" s="52" t="n">
        <f aca="false">ROUND(S344*W344,0)</f>
        <v>87</v>
      </c>
      <c r="P344" s="52" t="n">
        <f aca="false">IF(F344="","",ROUND(SQRT((F344*L344/100)^2+(G344*O344)^2),0))</f>
        <v>49</v>
      </c>
      <c r="R344" s="54" t="n">
        <v>-1.27370554497468</v>
      </c>
      <c r="S344" s="55" t="n">
        <f aca="false">U344*V344*$F$5</f>
        <v>1270.0390625</v>
      </c>
      <c r="T344" s="56" t="n">
        <f aca="false">MAX(0,MIN(1,R344/100+$D$5))</f>
        <v>0.495317993517558</v>
      </c>
      <c r="U344" s="56" t="n">
        <v>0.595703125</v>
      </c>
      <c r="V344" s="55" t="n">
        <v>2132</v>
      </c>
      <c r="W344" s="56" t="n">
        <v>0.0684752145190268</v>
      </c>
      <c r="X344" s="57" t="s">
        <v>168</v>
      </c>
      <c r="Y344" s="57" t="s">
        <v>130</v>
      </c>
    </row>
    <row r="345" customFormat="false" ht="15" hidden="false" customHeight="false" outlineLevel="0" collapsed="false">
      <c r="A345" s="25" t="s">
        <v>385</v>
      </c>
      <c r="B345" s="25" t="s">
        <v>516</v>
      </c>
      <c r="C345" s="25" t="s">
        <v>522</v>
      </c>
      <c r="D345" s="52" t="n">
        <f aca="false">ROUND(S345*T345,0)</f>
        <v>621</v>
      </c>
      <c r="E345" s="52" t="n">
        <f aca="false">ROUND(S345,0)-D345</f>
        <v>621</v>
      </c>
      <c r="F345" s="52" t="n">
        <f aca="false">IF(COUNTA(D345:E345)=0,"",SUM(D345:E345))</f>
        <v>1242</v>
      </c>
      <c r="G345" s="53" t="n">
        <f aca="false">IF(OR(F345="",F345=0),"",D345/F345)</f>
        <v>0.5</v>
      </c>
      <c r="H345" s="53" t="n">
        <f aca="false">IF(OR(F345="",F345=0),"",E345/F345)</f>
        <v>0.5</v>
      </c>
      <c r="I345" s="25" t="s">
        <v>128</v>
      </c>
      <c r="J345" s="28" t="n">
        <v>1.72835549007323</v>
      </c>
      <c r="K345" s="28" t="n">
        <f aca="false">$K$8</f>
        <v>0.297030231526703</v>
      </c>
      <c r="L345" s="28" t="n">
        <f aca="false">SQRT(J345^2+K345^2)</f>
        <v>1.75369314833214</v>
      </c>
      <c r="M345" s="53" t="n">
        <f aca="false">IF(G345="","",MAX(0,G345-1.96*L345/100))</f>
        <v>0.46562761429269</v>
      </c>
      <c r="N345" s="53" t="n">
        <f aca="false">IF(G345="","",MIN(1,G345+1.96*L345/100))</f>
        <v>0.53437238570731</v>
      </c>
      <c r="O345" s="52" t="n">
        <f aca="false">ROUND(S345*W345,0)</f>
        <v>85</v>
      </c>
      <c r="P345" s="52" t="n">
        <f aca="false">IF(F345="","",ROUND(SQRT((F345*L345/100)^2+(G345*O345)^2),0))</f>
        <v>48</v>
      </c>
      <c r="R345" s="54" t="n">
        <v>-0.803461268779617</v>
      </c>
      <c r="S345" s="55" t="n">
        <f aca="false">U345*V345*$F$5</f>
        <v>1241.83236382866</v>
      </c>
      <c r="T345" s="56" t="n">
        <f aca="false">MAX(0,MIN(1,R345/100+$D$5))</f>
        <v>0.500020436279509</v>
      </c>
      <c r="U345" s="56" t="n">
        <v>0.687995769434162</v>
      </c>
      <c r="V345" s="55" t="n">
        <v>1805</v>
      </c>
      <c r="W345" s="56" t="n">
        <v>0.0684752145190268</v>
      </c>
      <c r="X345" s="57" t="s">
        <v>168</v>
      </c>
      <c r="Y345" s="57" t="s">
        <v>130</v>
      </c>
    </row>
    <row r="346" customFormat="false" ht="15" hidden="false" customHeight="false" outlineLevel="0" collapsed="false">
      <c r="A346" s="25" t="s">
        <v>385</v>
      </c>
      <c r="B346" s="25" t="s">
        <v>516</v>
      </c>
      <c r="C346" s="25" t="s">
        <v>523</v>
      </c>
      <c r="D346" s="52" t="n">
        <f aca="false">ROUND(S346*T346,0)</f>
        <v>552</v>
      </c>
      <c r="E346" s="52" t="n">
        <f aca="false">ROUND(S346,0)-D346</f>
        <v>505</v>
      </c>
      <c r="F346" s="52" t="n">
        <f aca="false">IF(COUNTA(D346:E346)=0,"",SUM(D346:E346))</f>
        <v>1057</v>
      </c>
      <c r="G346" s="53" t="n">
        <f aca="false">IF(OR(F346="",F346=0),"",D346/F346)</f>
        <v>0.522232734153264</v>
      </c>
      <c r="H346" s="53" t="n">
        <f aca="false">IF(OR(F346="",F346=0),"",E346/F346)</f>
        <v>0.477767265846736</v>
      </c>
      <c r="I346" s="25" t="s">
        <v>231</v>
      </c>
      <c r="J346" s="28" t="n">
        <v>1.72835549007323</v>
      </c>
      <c r="K346" s="28" t="n">
        <f aca="false">$K$8</f>
        <v>0.297030231526703</v>
      </c>
      <c r="L346" s="28" t="n">
        <f aca="false">SQRT(J346^2+K346^2)</f>
        <v>1.75369314833214</v>
      </c>
      <c r="M346" s="53" t="n">
        <f aca="false">IF(G346="","",MAX(0,G346-1.96*L346/100))</f>
        <v>0.487860348445954</v>
      </c>
      <c r="N346" s="53" t="n">
        <f aca="false">IF(G346="","",MIN(1,G346+1.96*L346/100))</f>
        <v>0.556605119860574</v>
      </c>
      <c r="O346" s="52" t="n">
        <f aca="false">ROUND(S346*W346,0)</f>
        <v>72</v>
      </c>
      <c r="P346" s="52" t="n">
        <f aca="false">IF(F346="","",ROUND(SQRT((F346*L346/100)^2+(G346*O346)^2),0))</f>
        <v>42</v>
      </c>
      <c r="R346" s="54" t="n">
        <v>1.45719674889798</v>
      </c>
      <c r="S346" s="55" t="n">
        <f aca="false">U346*V346*$F$5</f>
        <v>1057.01374184354</v>
      </c>
      <c r="T346" s="56" t="n">
        <f aca="false">MAX(0,MIN(1,R346/100+$D$5))</f>
        <v>0.522627016456285</v>
      </c>
      <c r="U346" s="56" t="n">
        <v>0.539330078320882</v>
      </c>
      <c r="V346" s="55" t="n">
        <v>1959.86425443651</v>
      </c>
      <c r="W346" s="56" t="n">
        <v>0.0684752145190268</v>
      </c>
      <c r="X346" s="57" t="s">
        <v>168</v>
      </c>
      <c r="Y346" s="57" t="s">
        <v>233</v>
      </c>
    </row>
    <row r="347" customFormat="false" ht="15" hidden="false" customHeight="false" outlineLevel="0" collapsed="false">
      <c r="A347" s="25" t="s">
        <v>385</v>
      </c>
      <c r="B347" s="25" t="s">
        <v>516</v>
      </c>
      <c r="C347" s="25" t="s">
        <v>524</v>
      </c>
      <c r="D347" s="52" t="n">
        <f aca="false">ROUND(S347*T347,0)</f>
        <v>226</v>
      </c>
      <c r="E347" s="52" t="n">
        <f aca="false">ROUND(S347,0)-D347</f>
        <v>219</v>
      </c>
      <c r="F347" s="52" t="n">
        <f aca="false">IF(COUNTA(D347:E347)=0,"",SUM(D347:E347))</f>
        <v>445</v>
      </c>
      <c r="G347" s="53" t="n">
        <f aca="false">IF(OR(F347="",F347=0),"",D347/F347)</f>
        <v>0.507865168539326</v>
      </c>
      <c r="H347" s="53" t="n">
        <f aca="false">IF(OR(F347="",F347=0),"",E347/F347)</f>
        <v>0.492134831460674</v>
      </c>
      <c r="I347" s="25" t="s">
        <v>231</v>
      </c>
      <c r="J347" s="28" t="n">
        <v>3.42046080519466</v>
      </c>
      <c r="K347" s="28" t="n">
        <f aca="false">$K$8</f>
        <v>0.297030231526703</v>
      </c>
      <c r="L347" s="28" t="n">
        <f aca="false">SQRT(J347^2+K347^2)</f>
        <v>3.43333352273176</v>
      </c>
      <c r="M347" s="53" t="n">
        <f aca="false">IF(G347="","",MAX(0,G347-1.96*L347/100))</f>
        <v>0.440571831493783</v>
      </c>
      <c r="N347" s="53" t="n">
        <f aca="false">IF(G347="","",MIN(1,G347+1.96*L347/100))</f>
        <v>0.575158505584868</v>
      </c>
      <c r="O347" s="52" t="n">
        <f aca="false">ROUND(S347*W347,0)</f>
        <v>66</v>
      </c>
      <c r="P347" s="52" t="n">
        <f aca="false">IF(F347="","",ROUND(SQRT((F347*L347/100)^2+(G347*O347)^2),0))</f>
        <v>37</v>
      </c>
      <c r="R347" s="54" t="n">
        <v>-0.0623673957104804</v>
      </c>
      <c r="S347" s="55" t="n">
        <f aca="false">U347*V347*$F$5</f>
        <v>444.793344999185</v>
      </c>
      <c r="T347" s="56" t="n">
        <f aca="false">MAX(0,MIN(1,R347/100+$D$5))</f>
        <v>0.5074313750102</v>
      </c>
      <c r="U347" s="56" t="n">
        <v>0.252867166002948</v>
      </c>
      <c r="V347" s="55" t="n">
        <v>1759</v>
      </c>
      <c r="W347" s="56" t="n">
        <v>0.148097331980838</v>
      </c>
      <c r="X347" s="57" t="s">
        <v>129</v>
      </c>
      <c r="Y347" s="57" t="s">
        <v>130</v>
      </c>
    </row>
    <row r="348" customFormat="false" ht="15" hidden="false" customHeight="false" outlineLevel="0" collapsed="false">
      <c r="A348" s="25" t="s">
        <v>385</v>
      </c>
      <c r="B348" s="25" t="s">
        <v>516</v>
      </c>
      <c r="C348" s="25" t="s">
        <v>525</v>
      </c>
      <c r="D348" s="52" t="n">
        <f aca="false">ROUND(S348*T348,0)</f>
        <v>535</v>
      </c>
      <c r="E348" s="52" t="n">
        <f aca="false">ROUND(S348,0)-D348</f>
        <v>516</v>
      </c>
      <c r="F348" s="52" t="n">
        <f aca="false">IF(COUNTA(D348:E348)=0,"",SUM(D348:E348))</f>
        <v>1051</v>
      </c>
      <c r="G348" s="53" t="n">
        <f aca="false">IF(OR(F348="",F348=0),"",D348/F348)</f>
        <v>0.509039010466223</v>
      </c>
      <c r="H348" s="53" t="n">
        <f aca="false">IF(OR(F348="",F348=0),"",E348/F348)</f>
        <v>0.490960989533777</v>
      </c>
      <c r="I348" s="25" t="s">
        <v>231</v>
      </c>
      <c r="J348" s="28" t="n">
        <v>1.72835549007323</v>
      </c>
      <c r="K348" s="28" t="n">
        <f aca="false">$K$8</f>
        <v>0.297030231526703</v>
      </c>
      <c r="L348" s="28" t="n">
        <f aca="false">SQRT(J348^2+K348^2)</f>
        <v>1.75369314833214</v>
      </c>
      <c r="M348" s="53" t="n">
        <f aca="false">IF(G348="","",MAX(0,G348-1.96*L348/100))</f>
        <v>0.474666624758913</v>
      </c>
      <c r="N348" s="53" t="n">
        <f aca="false">IF(G348="","",MIN(1,G348+1.96*L348/100))</f>
        <v>0.543411396173533</v>
      </c>
      <c r="O348" s="52" t="n">
        <f aca="false">ROUND(S348*W348,0)</f>
        <v>72</v>
      </c>
      <c r="P348" s="52" t="n">
        <f aca="false">IF(F348="","",ROUND(SQRT((F348*L348/100)^2+(G348*O348)^2),0))</f>
        <v>41</v>
      </c>
      <c r="R348" s="54" t="n">
        <v>0.123016978904687</v>
      </c>
      <c r="S348" s="55" t="n">
        <f aca="false">U348*V348*$F$5</f>
        <v>1051.11310419537</v>
      </c>
      <c r="T348" s="56" t="n">
        <f aca="false">MAX(0,MIN(1,R348/100+$D$5))</f>
        <v>0.509285218756352</v>
      </c>
      <c r="U348" s="56" t="n">
        <v>0.502924930237018</v>
      </c>
      <c r="V348" s="55" t="n">
        <v>2090</v>
      </c>
      <c r="W348" s="56" t="n">
        <v>0.0684752145190268</v>
      </c>
      <c r="X348" s="57" t="s">
        <v>168</v>
      </c>
      <c r="Y348" s="57" t="s">
        <v>130</v>
      </c>
    </row>
    <row r="349" customFormat="false" ht="15" hidden="false" customHeight="false" outlineLevel="0" collapsed="false">
      <c r="A349" s="25" t="s">
        <v>385</v>
      </c>
      <c r="B349" s="25" t="s">
        <v>526</v>
      </c>
      <c r="C349" s="25" t="s">
        <v>527</v>
      </c>
      <c r="D349" s="52" t="n">
        <f aca="false">ROUND(S349*T349,0)</f>
        <v>83</v>
      </c>
      <c r="E349" s="52" t="n">
        <f aca="false">ROUND(S349,0)-D349</f>
        <v>132</v>
      </c>
      <c r="F349" s="52" t="n">
        <f aca="false">IF(COUNTA(D349:E349)=0,"",SUM(D349:E349))</f>
        <v>215</v>
      </c>
      <c r="G349" s="53" t="n">
        <f aca="false">IF(OR(F349="",F349=0),"",D349/F349)</f>
        <v>0.386046511627907</v>
      </c>
      <c r="H349" s="53" t="n">
        <f aca="false">IF(OR(F349="",F349=0),"",E349/F349)</f>
        <v>0.613953488372093</v>
      </c>
      <c r="I349" s="25" t="s">
        <v>128</v>
      </c>
      <c r="J349" s="28" t="n">
        <v>3.42046080519466</v>
      </c>
      <c r="K349" s="28" t="n">
        <f aca="false">$K$8</f>
        <v>0.297030231526703</v>
      </c>
      <c r="L349" s="28" t="n">
        <f aca="false">SQRT(J349^2+K349^2)</f>
        <v>3.43333352273176</v>
      </c>
      <c r="M349" s="53" t="n">
        <f aca="false">IF(G349="","",MAX(0,G349-1.96*L349/100))</f>
        <v>0.318753174582364</v>
      </c>
      <c r="N349" s="53" t="n">
        <f aca="false">IF(G349="","",MIN(1,G349+1.96*L349/100))</f>
        <v>0.45333984867345</v>
      </c>
      <c r="O349" s="52" t="n">
        <f aca="false">ROUND(S349*W349,0)</f>
        <v>32</v>
      </c>
      <c r="P349" s="52" t="n">
        <f aca="false">IF(F349="","",ROUND(SQRT((F349*L349/100)^2+(G349*O349)^2),0))</f>
        <v>14</v>
      </c>
      <c r="R349" s="54" t="n">
        <v>-12.2669806197742</v>
      </c>
      <c r="S349" s="55" t="n">
        <f aca="false">U349*V349*$F$5</f>
        <v>214.558510638298</v>
      </c>
      <c r="T349" s="56" t="n">
        <f aca="false">MAX(0,MIN(1,R349/100+$D$5))</f>
        <v>0.385385242769563</v>
      </c>
      <c r="U349" s="56" t="n">
        <v>0.513297872340426</v>
      </c>
      <c r="V349" s="55" t="n">
        <v>418</v>
      </c>
      <c r="W349" s="56" t="n">
        <v>0.148097331980838</v>
      </c>
      <c r="X349" s="57" t="s">
        <v>129</v>
      </c>
      <c r="Y349" s="57" t="s">
        <v>130</v>
      </c>
    </row>
    <row r="350" customFormat="false" ht="15" hidden="false" customHeight="false" outlineLevel="0" collapsed="false">
      <c r="A350" s="25" t="s">
        <v>385</v>
      </c>
      <c r="B350" s="25" t="s">
        <v>526</v>
      </c>
      <c r="C350" s="25" t="s">
        <v>528</v>
      </c>
      <c r="D350" s="52" t="n">
        <f aca="false">ROUND(S350*T350,0)</f>
        <v>203</v>
      </c>
      <c r="E350" s="52" t="n">
        <f aca="false">ROUND(S350,0)-D350</f>
        <v>360</v>
      </c>
      <c r="F350" s="52" t="n">
        <f aca="false">IF(COUNTA(D350:E350)=0,"",SUM(D350:E350))</f>
        <v>563</v>
      </c>
      <c r="G350" s="53" t="n">
        <f aca="false">IF(OR(F350="",F350=0),"",D350/F350)</f>
        <v>0.36056838365897</v>
      </c>
      <c r="H350" s="53" t="n">
        <f aca="false">IF(OR(F350="",F350=0),"",E350/F350)</f>
        <v>0.63943161634103</v>
      </c>
      <c r="I350" s="25" t="s">
        <v>128</v>
      </c>
      <c r="J350" s="28" t="n">
        <v>3.42046080519466</v>
      </c>
      <c r="K350" s="28" t="n">
        <f aca="false">$K$8</f>
        <v>0.297030231526703</v>
      </c>
      <c r="L350" s="28" t="n">
        <f aca="false">SQRT(J350^2+K350^2)</f>
        <v>3.43333352273176</v>
      </c>
      <c r="M350" s="53" t="n">
        <f aca="false">IF(G350="","",MAX(0,G350-1.96*L350/100))</f>
        <v>0.293275046613427</v>
      </c>
      <c r="N350" s="53" t="n">
        <f aca="false">IF(G350="","",MIN(1,G350+1.96*L350/100))</f>
        <v>0.427861720704512</v>
      </c>
      <c r="O350" s="52" t="n">
        <f aca="false">ROUND(S350*W350,0)</f>
        <v>83</v>
      </c>
      <c r="P350" s="52" t="n">
        <f aca="false">IF(F350="","",ROUND(SQRT((F350*L350/100)^2+(G350*O350)^2),0))</f>
        <v>36</v>
      </c>
      <c r="R350" s="54" t="n">
        <v>-14.7863912010671</v>
      </c>
      <c r="S350" s="55" t="n">
        <f aca="false">U350*V350*$F$5</f>
        <v>562.888888888889</v>
      </c>
      <c r="T350" s="56" t="n">
        <f aca="false">MAX(0,MIN(1,R350/100+$D$5))</f>
        <v>0.360191136956634</v>
      </c>
      <c r="U350" s="56" t="n">
        <v>0.62962962962963</v>
      </c>
      <c r="V350" s="55" t="n">
        <v>894</v>
      </c>
      <c r="W350" s="56" t="n">
        <v>0.148097331980838</v>
      </c>
      <c r="X350" s="57" t="s">
        <v>129</v>
      </c>
      <c r="Y350" s="57" t="s">
        <v>130</v>
      </c>
    </row>
    <row r="351" customFormat="false" ht="15" hidden="false" customHeight="false" outlineLevel="0" collapsed="false">
      <c r="A351" s="25" t="s">
        <v>385</v>
      </c>
      <c r="B351" s="25" t="s">
        <v>526</v>
      </c>
      <c r="C351" s="25" t="s">
        <v>529</v>
      </c>
      <c r="D351" s="52" t="n">
        <f aca="false">ROUND(S351*T351,0)</f>
        <v>147</v>
      </c>
      <c r="E351" s="52" t="n">
        <f aca="false">ROUND(S351,0)-D351</f>
        <v>215</v>
      </c>
      <c r="F351" s="52" t="n">
        <f aca="false">IF(COUNTA(D351:E351)=0,"",SUM(D351:E351))</f>
        <v>362</v>
      </c>
      <c r="G351" s="53" t="n">
        <f aca="false">IF(OR(F351="",F351=0),"",D351/F351)</f>
        <v>0.406077348066298</v>
      </c>
      <c r="H351" s="53" t="n">
        <f aca="false">IF(OR(F351="",F351=0),"",E351/F351)</f>
        <v>0.593922651933702</v>
      </c>
      <c r="I351" s="25" t="s">
        <v>128</v>
      </c>
      <c r="J351" s="28" t="n">
        <v>3.42046080519466</v>
      </c>
      <c r="K351" s="28" t="n">
        <f aca="false">$K$8</f>
        <v>0.297030231526703</v>
      </c>
      <c r="L351" s="28" t="n">
        <f aca="false">SQRT(J351^2+K351^2)</f>
        <v>3.43333352273176</v>
      </c>
      <c r="M351" s="53" t="n">
        <f aca="false">IF(G351="","",MAX(0,G351-1.96*L351/100))</f>
        <v>0.338784011020756</v>
      </c>
      <c r="N351" s="53" t="n">
        <f aca="false">IF(G351="","",MIN(1,G351+1.96*L351/100))</f>
        <v>0.473370685111841</v>
      </c>
      <c r="O351" s="52" t="n">
        <f aca="false">ROUND(S351*W351,0)</f>
        <v>54</v>
      </c>
      <c r="P351" s="52" t="n">
        <f aca="false">IF(F351="","",ROUND(SQRT((F351*L351/100)^2+(G351*O351)^2),0))</f>
        <v>25</v>
      </c>
      <c r="R351" s="54" t="n">
        <v>-10.1571354139655</v>
      </c>
      <c r="S351" s="55" t="n">
        <f aca="false">U351*V351*$F$5</f>
        <v>362.264705882353</v>
      </c>
      <c r="T351" s="56" t="n">
        <f aca="false">MAX(0,MIN(1,R351/100+$D$5))</f>
        <v>0.40648369482765</v>
      </c>
      <c r="U351" s="56" t="n">
        <v>0.553921568627451</v>
      </c>
      <c r="V351" s="55" t="n">
        <v>654</v>
      </c>
      <c r="W351" s="56" t="n">
        <v>0.148097331980838</v>
      </c>
      <c r="X351" s="57" t="s">
        <v>129</v>
      </c>
      <c r="Y351" s="57" t="s">
        <v>130</v>
      </c>
    </row>
    <row r="352" customFormat="false" ht="15" hidden="false" customHeight="false" outlineLevel="0" collapsed="false">
      <c r="A352" s="25" t="s">
        <v>385</v>
      </c>
      <c r="B352" s="25" t="s">
        <v>526</v>
      </c>
      <c r="C352" s="25" t="s">
        <v>530</v>
      </c>
      <c r="D352" s="52" t="n">
        <f aca="false">ROUND(S352*T352,0)</f>
        <v>88</v>
      </c>
      <c r="E352" s="52" t="n">
        <f aca="false">ROUND(S352,0)-D352</f>
        <v>128</v>
      </c>
      <c r="F352" s="52" t="n">
        <f aca="false">IF(COUNTA(D352:E352)=0,"",SUM(D352:E352))</f>
        <v>216</v>
      </c>
      <c r="G352" s="53" t="n">
        <f aca="false">IF(OR(F352="",F352=0),"",D352/F352)</f>
        <v>0.407407407407407</v>
      </c>
      <c r="H352" s="53" t="n">
        <f aca="false">IF(OR(F352="",F352=0),"",E352/F352)</f>
        <v>0.592592592592593</v>
      </c>
      <c r="I352" s="25" t="s">
        <v>128</v>
      </c>
      <c r="J352" s="28" t="n">
        <v>3.42046080519466</v>
      </c>
      <c r="K352" s="28" t="n">
        <f aca="false">$K$8</f>
        <v>0.297030231526703</v>
      </c>
      <c r="L352" s="28" t="n">
        <f aca="false">SQRT(J352^2+K352^2)</f>
        <v>3.43333352273176</v>
      </c>
      <c r="M352" s="53" t="n">
        <f aca="false">IF(G352="","",MAX(0,G352-1.96*L352/100))</f>
        <v>0.340114070361865</v>
      </c>
      <c r="N352" s="53" t="n">
        <f aca="false">IF(G352="","",MIN(1,G352+1.96*L352/100))</f>
        <v>0.47470074445295</v>
      </c>
      <c r="O352" s="52" t="n">
        <f aca="false">ROUND(S352*W352,0)</f>
        <v>32</v>
      </c>
      <c r="P352" s="52" t="n">
        <f aca="false">IF(F352="","",ROUND(SQRT((F352*L352/100)^2+(G352*O352)^2),0))</f>
        <v>15</v>
      </c>
      <c r="R352" s="54" t="n">
        <v>-9.98809867844101</v>
      </c>
      <c r="S352" s="55" t="n">
        <f aca="false">U352*V352*$F$5</f>
        <v>215.962962962963</v>
      </c>
      <c r="T352" s="56" t="n">
        <f aca="false">MAX(0,MIN(1,R352/100+$D$5))</f>
        <v>0.408174062182895</v>
      </c>
      <c r="U352" s="56" t="n">
        <v>0.453703703703704</v>
      </c>
      <c r="V352" s="55" t="n">
        <v>476</v>
      </c>
      <c r="W352" s="56" t="n">
        <v>0.148097331980838</v>
      </c>
      <c r="X352" s="57" t="s">
        <v>129</v>
      </c>
      <c r="Y352" s="57" t="s">
        <v>130</v>
      </c>
    </row>
    <row r="353" customFormat="false" ht="15" hidden="false" customHeight="false" outlineLevel="0" collapsed="false">
      <c r="A353" s="25" t="s">
        <v>385</v>
      </c>
      <c r="B353" s="25" t="s">
        <v>531</v>
      </c>
      <c r="C353" s="25" t="s">
        <v>532</v>
      </c>
      <c r="D353" s="52" t="n">
        <f aca="false">ROUND(S353*T353,0)</f>
        <v>338</v>
      </c>
      <c r="E353" s="52" t="n">
        <f aca="false">ROUND(S353,0)-D353</f>
        <v>613</v>
      </c>
      <c r="F353" s="52" t="n">
        <f aca="false">IF(COUNTA(D353:E353)=0,"",SUM(D353:E353))</f>
        <v>951</v>
      </c>
      <c r="G353" s="53" t="n">
        <f aca="false">IF(OR(F353="",F353=0),"",D353/F353)</f>
        <v>0.355415352260778</v>
      </c>
      <c r="H353" s="53" t="n">
        <f aca="false">IF(OR(F353="",F353=0),"",E353/F353)</f>
        <v>0.644584647739222</v>
      </c>
      <c r="I353" s="25" t="s">
        <v>128</v>
      </c>
      <c r="J353" s="28" t="n">
        <v>1.72835549007323</v>
      </c>
      <c r="K353" s="28" t="n">
        <f aca="false">$K$8</f>
        <v>0.297030231526703</v>
      </c>
      <c r="L353" s="28" t="n">
        <f aca="false">SQRT(J353^2+K353^2)</f>
        <v>1.75369314833214</v>
      </c>
      <c r="M353" s="53" t="n">
        <f aca="false">IF(G353="","",MAX(0,G353-1.96*L353/100))</f>
        <v>0.321042966553468</v>
      </c>
      <c r="N353" s="53" t="n">
        <f aca="false">IF(G353="","",MIN(1,G353+1.96*L353/100))</f>
        <v>0.389787737968088</v>
      </c>
      <c r="O353" s="52" t="n">
        <f aca="false">ROUND(S353*W353,0)</f>
        <v>65</v>
      </c>
      <c r="P353" s="52" t="n">
        <f aca="false">IF(F353="","",ROUND(SQRT((F353*L353/100)^2+(G353*O353)^2),0))</f>
        <v>28</v>
      </c>
      <c r="R353" s="54" t="n">
        <v>-15.3253314298076</v>
      </c>
      <c r="S353" s="55" t="n">
        <f aca="false">U353*V353*$F$5</f>
        <v>951.480446927374</v>
      </c>
      <c r="T353" s="56" t="n">
        <f aca="false">MAX(0,MIN(1,R353/100+$D$5))</f>
        <v>0.354801734669229</v>
      </c>
      <c r="U353" s="56" t="n">
        <v>0.642458100558659</v>
      </c>
      <c r="V353" s="55" t="n">
        <v>1481</v>
      </c>
      <c r="W353" s="56" t="n">
        <v>0.0684752145190268</v>
      </c>
      <c r="X353" s="57" t="s">
        <v>168</v>
      </c>
      <c r="Y353" s="57" t="s">
        <v>130</v>
      </c>
    </row>
    <row r="354" customFormat="false" ht="15" hidden="false" customHeight="false" outlineLevel="0" collapsed="false">
      <c r="A354" s="25" t="s">
        <v>385</v>
      </c>
      <c r="B354" s="25" t="s">
        <v>531</v>
      </c>
      <c r="C354" s="25" t="s">
        <v>533</v>
      </c>
      <c r="D354" s="52" t="n">
        <f aca="false">ROUND(S354*T354,0)</f>
        <v>272</v>
      </c>
      <c r="E354" s="52" t="n">
        <f aca="false">ROUND(S354,0)-D354</f>
        <v>477</v>
      </c>
      <c r="F354" s="52" t="n">
        <f aca="false">IF(COUNTA(D354:E354)=0,"",SUM(D354:E354))</f>
        <v>749</v>
      </c>
      <c r="G354" s="53" t="n">
        <f aca="false">IF(OR(F354="",F354=0),"",D354/F354)</f>
        <v>0.363150867823765</v>
      </c>
      <c r="H354" s="53" t="n">
        <f aca="false">IF(OR(F354="",F354=0),"",E354/F354)</f>
        <v>0.636849132176235</v>
      </c>
      <c r="I354" s="25" t="s">
        <v>128</v>
      </c>
      <c r="J354" s="28" t="n">
        <v>2.11716121919269</v>
      </c>
      <c r="K354" s="28" t="n">
        <f aca="false">$K$8</f>
        <v>0.297030231526703</v>
      </c>
      <c r="L354" s="28" t="n">
        <f aca="false">SQRT(J354^2+K354^2)</f>
        <v>2.13789583153489</v>
      </c>
      <c r="M354" s="53" t="n">
        <f aca="false">IF(G354="","",MAX(0,G354-1.96*L354/100))</f>
        <v>0.321248109525681</v>
      </c>
      <c r="N354" s="53" t="n">
        <f aca="false">IF(G354="","",MIN(1,G354+1.96*L354/100))</f>
        <v>0.405053626121849</v>
      </c>
      <c r="O354" s="52" t="n">
        <f aca="false">ROUND(S354*W354,0)</f>
        <v>66</v>
      </c>
      <c r="P354" s="52" t="n">
        <f aca="false">IF(F354="","",ROUND(SQRT((F354*L354/100)^2+(G354*O354)^2),0))</f>
        <v>29</v>
      </c>
      <c r="R354" s="54" t="n">
        <v>-14.5449594459685</v>
      </c>
      <c r="S354" s="55" t="n">
        <f aca="false">U354*V354*$F$5</f>
        <v>748.801666666667</v>
      </c>
      <c r="T354" s="56" t="n">
        <f aca="false">MAX(0,MIN(1,R354/100+$D$5))</f>
        <v>0.362605454507619</v>
      </c>
      <c r="U354" s="56" t="n">
        <v>0.618333333333333</v>
      </c>
      <c r="V354" s="55" t="n">
        <v>1211</v>
      </c>
      <c r="W354" s="56" t="n">
        <v>0.0887445098984521</v>
      </c>
      <c r="X354" s="57" t="s">
        <v>135</v>
      </c>
      <c r="Y354" s="57" t="s">
        <v>130</v>
      </c>
    </row>
    <row r="355" customFormat="false" ht="15" hidden="false" customHeight="false" outlineLevel="0" collapsed="false">
      <c r="A355" s="25" t="s">
        <v>385</v>
      </c>
      <c r="B355" s="25" t="s">
        <v>531</v>
      </c>
      <c r="C355" s="25" t="s">
        <v>534</v>
      </c>
      <c r="D355" s="52" t="n">
        <f aca="false">ROUND(S355*T355,0)</f>
        <v>238</v>
      </c>
      <c r="E355" s="52" t="n">
        <f aca="false">ROUND(S355,0)-D355</f>
        <v>469</v>
      </c>
      <c r="F355" s="52" t="n">
        <f aca="false">IF(COUNTA(D355:E355)=0,"",SUM(D355:E355))</f>
        <v>707</v>
      </c>
      <c r="G355" s="53" t="n">
        <f aca="false">IF(OR(F355="",F355=0),"",D355/F355)</f>
        <v>0.336633663366337</v>
      </c>
      <c r="H355" s="53" t="n">
        <f aca="false">IF(OR(F355="",F355=0),"",E355/F355)</f>
        <v>0.663366336633663</v>
      </c>
      <c r="I355" s="25" t="s">
        <v>128</v>
      </c>
      <c r="J355" s="28" t="n">
        <v>2.11716121919269</v>
      </c>
      <c r="K355" s="28" t="n">
        <f aca="false">$K$8</f>
        <v>0.297030231526703</v>
      </c>
      <c r="L355" s="28" t="n">
        <f aca="false">SQRT(J355^2+K355^2)</f>
        <v>2.13789583153489</v>
      </c>
      <c r="M355" s="53" t="n">
        <f aca="false">IF(G355="","",MAX(0,G355-1.96*L355/100))</f>
        <v>0.294730905068253</v>
      </c>
      <c r="N355" s="53" t="n">
        <f aca="false">IF(G355="","",MIN(1,G355+1.96*L355/100))</f>
        <v>0.378536421664421</v>
      </c>
      <c r="O355" s="52" t="n">
        <f aca="false">ROUND(S355*W355,0)</f>
        <v>63</v>
      </c>
      <c r="P355" s="52" t="n">
        <f aca="false">IF(F355="","",ROUND(SQRT((F355*L355/100)^2+(G355*O355)^2),0))</f>
        <v>26</v>
      </c>
      <c r="R355" s="54" t="n">
        <v>-17.0796768052622</v>
      </c>
      <c r="S355" s="55" t="n">
        <f aca="false">U355*V355*$F$5</f>
        <v>707.096134786918</v>
      </c>
      <c r="T355" s="56" t="n">
        <f aca="false">MAX(0,MIN(1,R355/100+$D$5))</f>
        <v>0.337258280914683</v>
      </c>
      <c r="U355" s="56" t="n">
        <v>0.698711595639247</v>
      </c>
      <c r="V355" s="55" t="n">
        <v>1012</v>
      </c>
      <c r="W355" s="56" t="n">
        <v>0.0887445098984521</v>
      </c>
      <c r="X355" s="57" t="s">
        <v>135</v>
      </c>
      <c r="Y355" s="57" t="s">
        <v>130</v>
      </c>
    </row>
    <row r="356" customFormat="false" ht="15" hidden="false" customHeight="false" outlineLevel="0" collapsed="false">
      <c r="A356" s="25" t="s">
        <v>385</v>
      </c>
      <c r="B356" s="25" t="s">
        <v>531</v>
      </c>
      <c r="C356" s="25" t="s">
        <v>535</v>
      </c>
      <c r="D356" s="52" t="n">
        <f aca="false">ROUND(S356*T356,0)</f>
        <v>242</v>
      </c>
      <c r="E356" s="52" t="n">
        <f aca="false">ROUND(S356,0)-D356</f>
        <v>471</v>
      </c>
      <c r="F356" s="52" t="n">
        <f aca="false">IF(COUNTA(D356:E356)=0,"",SUM(D356:E356))</f>
        <v>713</v>
      </c>
      <c r="G356" s="53" t="n">
        <f aca="false">IF(OR(F356="",F356=0),"",D356/F356)</f>
        <v>0.339410939691445</v>
      </c>
      <c r="H356" s="53" t="n">
        <f aca="false">IF(OR(F356="",F356=0),"",E356/F356)</f>
        <v>0.660589060308555</v>
      </c>
      <c r="I356" s="25" t="s">
        <v>128</v>
      </c>
      <c r="J356" s="28" t="n">
        <v>2.11716121919269</v>
      </c>
      <c r="K356" s="28" t="n">
        <f aca="false">$K$8</f>
        <v>0.297030231526703</v>
      </c>
      <c r="L356" s="28" t="n">
        <f aca="false">SQRT(J356^2+K356^2)</f>
        <v>2.13789583153489</v>
      </c>
      <c r="M356" s="53" t="n">
        <f aca="false">IF(G356="","",MAX(0,G356-1.96*L356/100))</f>
        <v>0.297508181393361</v>
      </c>
      <c r="N356" s="53" t="n">
        <f aca="false">IF(G356="","",MIN(1,G356+1.96*L356/100))</f>
        <v>0.381313697989528</v>
      </c>
      <c r="O356" s="52" t="n">
        <f aca="false">ROUND(S356*W356,0)</f>
        <v>63</v>
      </c>
      <c r="P356" s="52" t="n">
        <f aca="false">IF(F356="","",ROUND(SQRT((F356*L356/100)^2+(G356*O356)^2),0))</f>
        <v>26</v>
      </c>
      <c r="R356" s="54" t="n">
        <v>-16.9500743224273</v>
      </c>
      <c r="S356" s="55" t="n">
        <f aca="false">U356*V356*$F$5</f>
        <v>713.433121019108</v>
      </c>
      <c r="T356" s="56" t="n">
        <f aca="false">MAX(0,MIN(1,R356/100+$D$5))</f>
        <v>0.338554305743032</v>
      </c>
      <c r="U356" s="56" t="n">
        <v>0.643312101910828</v>
      </c>
      <c r="V356" s="55" t="n">
        <v>1109</v>
      </c>
      <c r="W356" s="56" t="n">
        <v>0.0887445098984521</v>
      </c>
      <c r="X356" s="57" t="s">
        <v>135</v>
      </c>
      <c r="Y356" s="57" t="s">
        <v>130</v>
      </c>
    </row>
    <row r="357" customFormat="false" ht="15" hidden="false" customHeight="false" outlineLevel="0" collapsed="false">
      <c r="A357" s="25" t="s">
        <v>385</v>
      </c>
      <c r="B357" s="25" t="s">
        <v>536</v>
      </c>
      <c r="C357" s="25" t="s">
        <v>537</v>
      </c>
      <c r="D357" s="52" t="n">
        <f aca="false">ROUND(S357*T357,0)</f>
        <v>69</v>
      </c>
      <c r="E357" s="52" t="n">
        <f aca="false">ROUND(S357,0)-D357</f>
        <v>127</v>
      </c>
      <c r="F357" s="52" t="n">
        <f aca="false">IF(COUNTA(D357:E357)=0,"",SUM(D357:E357))</f>
        <v>196</v>
      </c>
      <c r="G357" s="53" t="n">
        <f aca="false">IF(OR(F357="",F357=0),"",D357/F357)</f>
        <v>0.352040816326531</v>
      </c>
      <c r="H357" s="53" t="n">
        <f aca="false">IF(OR(F357="",F357=0),"",E357/F357)</f>
        <v>0.647959183673469</v>
      </c>
      <c r="I357" s="25" t="s">
        <v>128</v>
      </c>
      <c r="J357" s="28" t="n">
        <v>3.42046080519466</v>
      </c>
      <c r="K357" s="28" t="n">
        <f aca="false">$K$8</f>
        <v>0.297030231526703</v>
      </c>
      <c r="L357" s="28" t="n">
        <f aca="false">SQRT(J357^2+K357^2)</f>
        <v>3.43333352273176</v>
      </c>
      <c r="M357" s="53" t="n">
        <f aca="false">IF(G357="","",MAX(0,G357-1.96*L357/100))</f>
        <v>0.284747479280988</v>
      </c>
      <c r="N357" s="53" t="n">
        <f aca="false">IF(G357="","",MIN(1,G357+1.96*L357/100))</f>
        <v>0.419334153372073</v>
      </c>
      <c r="O357" s="52" t="n">
        <f aca="false">ROUND(S357*W357,0)</f>
        <v>29</v>
      </c>
      <c r="P357" s="52" t="n">
        <f aca="false">IF(F357="","",ROUND(SQRT((F357*L357/100)^2+(G357*O357)^2),0))</f>
        <v>12</v>
      </c>
      <c r="R357" s="54" t="n">
        <v>-15.5878236667925</v>
      </c>
      <c r="S357" s="55" t="n">
        <f aca="false">U357*V357*$F$5</f>
        <v>196.10298102981</v>
      </c>
      <c r="T357" s="56" t="n">
        <f aca="false">MAX(0,MIN(1,R357/100+$D$5))</f>
        <v>0.352176812299379</v>
      </c>
      <c r="U357" s="56" t="n">
        <v>0.525745257452575</v>
      </c>
      <c r="V357" s="55" t="n">
        <v>373</v>
      </c>
      <c r="W357" s="56" t="n">
        <v>0.148097331980838</v>
      </c>
      <c r="X357" s="57" t="s">
        <v>129</v>
      </c>
      <c r="Y357" s="57" t="s">
        <v>130</v>
      </c>
    </row>
    <row r="358" customFormat="false" ht="15" hidden="false" customHeight="false" outlineLevel="0" collapsed="false">
      <c r="A358" s="25" t="s">
        <v>385</v>
      </c>
      <c r="B358" s="25" t="s">
        <v>538</v>
      </c>
      <c r="C358" s="25" t="s">
        <v>539</v>
      </c>
      <c r="D358" s="52" t="n">
        <f aca="false">ROUND(S358*T358,0)</f>
        <v>257</v>
      </c>
      <c r="E358" s="52" t="n">
        <f aca="false">ROUND(S358,0)-D358</f>
        <v>427</v>
      </c>
      <c r="F358" s="52" t="n">
        <f aca="false">IF(COUNTA(D358:E358)=0,"",SUM(D358:E358))</f>
        <v>684</v>
      </c>
      <c r="G358" s="53" t="n">
        <f aca="false">IF(OR(F358="",F358=0),"",D358/F358)</f>
        <v>0.375730994152047</v>
      </c>
      <c r="H358" s="53" t="n">
        <f aca="false">IF(OR(F358="",F358=0),"",E358/F358)</f>
        <v>0.624269005847953</v>
      </c>
      <c r="I358" s="25" t="s">
        <v>128</v>
      </c>
      <c r="J358" s="28" t="n">
        <v>2.11716121919269</v>
      </c>
      <c r="K358" s="28" t="n">
        <f aca="false">$K$8</f>
        <v>0.297030231526703</v>
      </c>
      <c r="L358" s="28" t="n">
        <f aca="false">SQRT(J358^2+K358^2)</f>
        <v>2.13789583153489</v>
      </c>
      <c r="M358" s="53" t="n">
        <f aca="false">IF(G358="","",MAX(0,G358-1.96*L358/100))</f>
        <v>0.333828235853963</v>
      </c>
      <c r="N358" s="53" t="n">
        <f aca="false">IF(G358="","",MIN(1,G358+1.96*L358/100))</f>
        <v>0.417633752450131</v>
      </c>
      <c r="O358" s="52" t="n">
        <f aca="false">ROUND(S358*W358,0)</f>
        <v>61</v>
      </c>
      <c r="P358" s="52" t="n">
        <f aca="false">IF(F358="","",ROUND(SQRT((F358*L358/100)^2+(G358*O358)^2),0))</f>
        <v>27</v>
      </c>
      <c r="R358" s="54" t="n">
        <v>-13.195083216163</v>
      </c>
      <c r="S358" s="55" t="n">
        <f aca="false">U358*V358*$F$5</f>
        <v>683.952941176471</v>
      </c>
      <c r="T358" s="56" t="n">
        <f aca="false">MAX(0,MIN(1,R358/100+$D$5))</f>
        <v>0.376104216805674</v>
      </c>
      <c r="U358" s="56" t="n">
        <v>0.568067226890757</v>
      </c>
      <c r="V358" s="55" t="n">
        <v>1204</v>
      </c>
      <c r="W358" s="56" t="n">
        <v>0.0887445098984521</v>
      </c>
      <c r="X358" s="57" t="s">
        <v>135</v>
      </c>
      <c r="Y358" s="57" t="s">
        <v>130</v>
      </c>
    </row>
    <row r="359" customFormat="false" ht="15" hidden="false" customHeight="false" outlineLevel="0" collapsed="false">
      <c r="A359" s="25" t="s">
        <v>385</v>
      </c>
      <c r="B359" s="25" t="s">
        <v>540</v>
      </c>
      <c r="C359" s="25" t="s">
        <v>541</v>
      </c>
      <c r="D359" s="52" t="n">
        <f aca="false">ROUND(S359*T359,0)</f>
        <v>159</v>
      </c>
      <c r="E359" s="52" t="n">
        <f aca="false">ROUND(S359,0)-D359</f>
        <v>230</v>
      </c>
      <c r="F359" s="52" t="n">
        <f aca="false">IF(COUNTA(D359:E359)=0,"",SUM(D359:E359))</f>
        <v>389</v>
      </c>
      <c r="G359" s="53" t="n">
        <f aca="false">IF(OR(F359="",F359=0),"",D359/F359)</f>
        <v>0.408740359897172</v>
      </c>
      <c r="H359" s="53" t="n">
        <f aca="false">IF(OR(F359="",F359=0),"",E359/F359)</f>
        <v>0.591259640102828</v>
      </c>
      <c r="I359" s="25" t="s">
        <v>128</v>
      </c>
      <c r="J359" s="28" t="n">
        <v>3.42046080519466</v>
      </c>
      <c r="K359" s="28" t="n">
        <f aca="false">$K$8</f>
        <v>0.297030231526703</v>
      </c>
      <c r="L359" s="28" t="n">
        <f aca="false">SQRT(J359^2+K359^2)</f>
        <v>3.43333352273176</v>
      </c>
      <c r="M359" s="53" t="n">
        <f aca="false">IF(G359="","",MAX(0,G359-1.96*L359/100))</f>
        <v>0.34144702285163</v>
      </c>
      <c r="N359" s="53" t="n">
        <f aca="false">IF(G359="","",MIN(1,G359+1.96*L359/100))</f>
        <v>0.476033696942715</v>
      </c>
      <c r="O359" s="52" t="n">
        <f aca="false">ROUND(S359*W359,0)</f>
        <v>58</v>
      </c>
      <c r="P359" s="52" t="n">
        <f aca="false">IF(F359="","",ROUND(SQRT((F359*L359/100)^2+(G359*O359)^2),0))</f>
        <v>27</v>
      </c>
      <c r="R359" s="54" t="n">
        <v>-10.0038917552661</v>
      </c>
      <c r="S359" s="55" t="n">
        <f aca="false">U359*V359*$F$5</f>
        <v>388.819749216301</v>
      </c>
      <c r="T359" s="56" t="n">
        <f aca="false">MAX(0,MIN(1,R359/100+$D$5))</f>
        <v>0.408016131414644</v>
      </c>
      <c r="U359" s="56" t="n">
        <v>0.606583072100314</v>
      </c>
      <c r="V359" s="55" t="n">
        <v>641</v>
      </c>
      <c r="W359" s="56" t="n">
        <v>0.148097331980838</v>
      </c>
      <c r="X359" s="57" t="s">
        <v>129</v>
      </c>
      <c r="Y359" s="57" t="s">
        <v>130</v>
      </c>
    </row>
    <row r="360" customFormat="false" ht="15" hidden="false" customHeight="false" outlineLevel="0" collapsed="false">
      <c r="A360" s="25" t="s">
        <v>385</v>
      </c>
      <c r="B360" s="25" t="s">
        <v>542</v>
      </c>
      <c r="C360" s="25" t="s">
        <v>543</v>
      </c>
      <c r="D360" s="52" t="n">
        <f aca="false">ROUND(S360*T360,0)</f>
        <v>259</v>
      </c>
      <c r="E360" s="52" t="n">
        <f aca="false">ROUND(S360,0)-D360</f>
        <v>343</v>
      </c>
      <c r="F360" s="52" t="n">
        <f aca="false">IF(COUNTA(D360:E360)=0,"",SUM(D360:E360))</f>
        <v>602</v>
      </c>
      <c r="G360" s="53" t="n">
        <f aca="false">IF(OR(F360="",F360=0),"",D360/F360)</f>
        <v>0.430232558139535</v>
      </c>
      <c r="H360" s="53" t="n">
        <f aca="false">IF(OR(F360="",F360=0),"",E360/F360)</f>
        <v>0.569767441860465</v>
      </c>
      <c r="I360" s="25" t="s">
        <v>128</v>
      </c>
      <c r="J360" s="28" t="n">
        <v>2.11716121919269</v>
      </c>
      <c r="K360" s="28" t="n">
        <f aca="false">$K$8</f>
        <v>0.297030231526703</v>
      </c>
      <c r="L360" s="28" t="n">
        <f aca="false">SQRT(J360^2+K360^2)</f>
        <v>2.13789583153489</v>
      </c>
      <c r="M360" s="53" t="n">
        <f aca="false">IF(G360="","",MAX(0,G360-1.96*L360/100))</f>
        <v>0.388329799841451</v>
      </c>
      <c r="N360" s="53" t="n">
        <f aca="false">IF(G360="","",MIN(1,G360+1.96*L360/100))</f>
        <v>0.472135316437619</v>
      </c>
      <c r="O360" s="52" t="n">
        <f aca="false">ROUND(S360*W360,0)</f>
        <v>53</v>
      </c>
      <c r="P360" s="52" t="n">
        <f aca="false">IF(F360="","",ROUND(SQRT((F360*L360/100)^2+(G360*O360)^2),0))</f>
        <v>26</v>
      </c>
      <c r="R360" s="54" t="n">
        <v>-7.73407959942199</v>
      </c>
      <c r="S360" s="55" t="n">
        <f aca="false">U360*V360*$F$5</f>
        <v>602.07868852459</v>
      </c>
      <c r="T360" s="56" t="n">
        <f aca="false">MAX(0,MIN(1,R360/100+$D$5))</f>
        <v>0.430714252973085</v>
      </c>
      <c r="U360" s="56" t="n">
        <v>0.613114754098361</v>
      </c>
      <c r="V360" s="55" t="n">
        <v>982</v>
      </c>
      <c r="W360" s="56" t="n">
        <v>0.0887445098984521</v>
      </c>
      <c r="X360" s="57" t="s">
        <v>135</v>
      </c>
      <c r="Y360" s="57" t="s">
        <v>130</v>
      </c>
    </row>
    <row r="361" customFormat="false" ht="15" hidden="false" customHeight="false" outlineLevel="0" collapsed="false">
      <c r="A361" s="25" t="s">
        <v>385</v>
      </c>
      <c r="B361" s="25" t="s">
        <v>544</v>
      </c>
      <c r="C361" s="25" t="s">
        <v>545</v>
      </c>
      <c r="D361" s="52" t="n">
        <f aca="false">ROUND(S361*T361,0)</f>
        <v>239</v>
      </c>
      <c r="E361" s="52" t="n">
        <f aca="false">ROUND(S361,0)-D361</f>
        <v>575</v>
      </c>
      <c r="F361" s="52" t="n">
        <f aca="false">IF(COUNTA(D361:E361)=0,"",SUM(D361:E361))</f>
        <v>814</v>
      </c>
      <c r="G361" s="53" t="n">
        <f aca="false">IF(OR(F361="",F361=0),"",D361/F361)</f>
        <v>0.293611793611794</v>
      </c>
      <c r="H361" s="53" t="n">
        <f aca="false">IF(OR(F361="",F361=0),"",E361/F361)</f>
        <v>0.706388206388206</v>
      </c>
      <c r="I361" s="25" t="s">
        <v>128</v>
      </c>
      <c r="J361" s="28" t="n">
        <v>2.11716121919269</v>
      </c>
      <c r="K361" s="28" t="n">
        <f aca="false">$K$8</f>
        <v>0.297030231526703</v>
      </c>
      <c r="L361" s="28" t="n">
        <f aca="false">SQRT(J361^2+K361^2)</f>
        <v>2.13789583153489</v>
      </c>
      <c r="M361" s="53" t="n">
        <f aca="false">IF(G361="","",MAX(0,G361-1.96*L361/100))</f>
        <v>0.25170903531371</v>
      </c>
      <c r="N361" s="53" t="n">
        <f aca="false">IF(G361="","",MIN(1,G361+1.96*L361/100))</f>
        <v>0.335514551909878</v>
      </c>
      <c r="O361" s="52" t="n">
        <f aca="false">ROUND(S361*W361,0)</f>
        <v>72</v>
      </c>
      <c r="P361" s="52" t="n">
        <f aca="false">IF(F361="","",ROUND(SQRT((F361*L361/100)^2+(G361*O361)^2),0))</f>
        <v>27</v>
      </c>
      <c r="R361" s="54" t="n">
        <v>-21.4260597119955</v>
      </c>
      <c r="S361" s="55" t="n">
        <f aca="false">U361*V361*$F$5</f>
        <v>814.349042709867</v>
      </c>
      <c r="T361" s="56" t="n">
        <f aca="false">MAX(0,MIN(1,R361/100+$D$5))</f>
        <v>0.29379445184735</v>
      </c>
      <c r="U361" s="56" t="n">
        <v>0.610456553755523</v>
      </c>
      <c r="V361" s="55" t="n">
        <v>1334</v>
      </c>
      <c r="W361" s="56" t="n">
        <v>0.0887445098984521</v>
      </c>
      <c r="X361" s="57" t="s">
        <v>135</v>
      </c>
      <c r="Y361" s="57" t="s">
        <v>130</v>
      </c>
    </row>
    <row r="362" customFormat="false" ht="15" hidden="false" customHeight="false" outlineLevel="0" collapsed="false">
      <c r="A362" s="25" t="s">
        <v>385</v>
      </c>
      <c r="B362" s="25" t="s">
        <v>544</v>
      </c>
      <c r="C362" s="25" t="s">
        <v>546</v>
      </c>
      <c r="D362" s="52" t="n">
        <f aca="false">ROUND(S362*T362,0)</f>
        <v>205</v>
      </c>
      <c r="E362" s="52" t="n">
        <f aca="false">ROUND(S362,0)-D362</f>
        <v>412</v>
      </c>
      <c r="F362" s="52" t="n">
        <f aca="false">IF(COUNTA(D362:E362)=0,"",SUM(D362:E362))</f>
        <v>617</v>
      </c>
      <c r="G362" s="53" t="n">
        <f aca="false">IF(OR(F362="",F362=0),"",D362/F362)</f>
        <v>0.3322528363047</v>
      </c>
      <c r="H362" s="53" t="n">
        <f aca="false">IF(OR(F362="",F362=0),"",E362/F362)</f>
        <v>0.6677471636953</v>
      </c>
      <c r="I362" s="25" t="s">
        <v>128</v>
      </c>
      <c r="J362" s="28" t="n">
        <v>2.11716121919269</v>
      </c>
      <c r="K362" s="28" t="n">
        <f aca="false">$K$8</f>
        <v>0.297030231526703</v>
      </c>
      <c r="L362" s="28" t="n">
        <f aca="false">SQRT(J362^2+K362^2)</f>
        <v>2.13789583153489</v>
      </c>
      <c r="M362" s="53" t="n">
        <f aca="false">IF(G362="","",MAX(0,G362-1.96*L362/100))</f>
        <v>0.290350078006616</v>
      </c>
      <c r="N362" s="53" t="n">
        <f aca="false">IF(G362="","",MIN(1,G362+1.96*L362/100))</f>
        <v>0.374155594602784</v>
      </c>
      <c r="O362" s="52" t="n">
        <f aca="false">ROUND(S362*W362,0)</f>
        <v>55</v>
      </c>
      <c r="P362" s="52" t="n">
        <f aca="false">IF(F362="","",ROUND(SQRT((F362*L362/100)^2+(G362*O362)^2),0))</f>
        <v>23</v>
      </c>
      <c r="R362" s="54" t="n">
        <v>-17.6019779398479</v>
      </c>
      <c r="S362" s="55" t="n">
        <f aca="false">U362*V362*$F$5</f>
        <v>617.366628830874</v>
      </c>
      <c r="T362" s="56" t="n">
        <f aca="false">MAX(0,MIN(1,R362/100+$D$5))</f>
        <v>0.332035269568826</v>
      </c>
      <c r="U362" s="56" t="n">
        <v>0.667423382519864</v>
      </c>
      <c r="V362" s="55" t="n">
        <v>925</v>
      </c>
      <c r="W362" s="56" t="n">
        <v>0.0887445098984521</v>
      </c>
      <c r="X362" s="57" t="s">
        <v>135</v>
      </c>
      <c r="Y362" s="57" t="s">
        <v>130</v>
      </c>
    </row>
    <row r="363" customFormat="false" ht="15" hidden="false" customHeight="false" outlineLevel="0" collapsed="false">
      <c r="A363" s="25" t="s">
        <v>385</v>
      </c>
      <c r="B363" s="25" t="s">
        <v>544</v>
      </c>
      <c r="C363" s="25" t="s">
        <v>547</v>
      </c>
      <c r="D363" s="52" t="n">
        <f aca="false">ROUND(S363*T363,0)</f>
        <v>156</v>
      </c>
      <c r="E363" s="52" t="n">
        <f aca="false">ROUND(S363,0)-D363</f>
        <v>372</v>
      </c>
      <c r="F363" s="52" t="n">
        <f aca="false">IF(COUNTA(D363:E363)=0,"",SUM(D363:E363))</f>
        <v>528</v>
      </c>
      <c r="G363" s="53" t="n">
        <f aca="false">IF(OR(F363="",F363=0),"",D363/F363)</f>
        <v>0.295454545454545</v>
      </c>
      <c r="H363" s="53" t="n">
        <f aca="false">IF(OR(F363="",F363=0),"",E363/F363)</f>
        <v>0.704545454545455</v>
      </c>
      <c r="I363" s="25" t="s">
        <v>128</v>
      </c>
      <c r="J363" s="28" t="n">
        <v>3.42046080519466</v>
      </c>
      <c r="K363" s="28" t="n">
        <f aca="false">$K$8</f>
        <v>0.297030231526703</v>
      </c>
      <c r="L363" s="28" t="n">
        <f aca="false">SQRT(J363^2+K363^2)</f>
        <v>3.43333352273176</v>
      </c>
      <c r="M363" s="53" t="n">
        <f aca="false">IF(G363="","",MAX(0,G363-1.96*L363/100))</f>
        <v>0.228161208409003</v>
      </c>
      <c r="N363" s="53" t="n">
        <f aca="false">IF(G363="","",MIN(1,G363+1.96*L363/100))</f>
        <v>0.362747882500088</v>
      </c>
      <c r="O363" s="52" t="n">
        <f aca="false">ROUND(S363*W363,0)</f>
        <v>78</v>
      </c>
      <c r="P363" s="52" t="n">
        <f aca="false">IF(F363="","",ROUND(SQRT((F363*L363/100)^2+(G363*O363)^2),0))</f>
        <v>29</v>
      </c>
      <c r="R363" s="54" t="n">
        <v>-21.2945711886491</v>
      </c>
      <c r="S363" s="55" t="n">
        <f aca="false">U363*V363*$F$5</f>
        <v>528.071059431524</v>
      </c>
      <c r="T363" s="56" t="n">
        <f aca="false">MAX(0,MIN(1,R363/100+$D$5))</f>
        <v>0.295109337080814</v>
      </c>
      <c r="U363" s="56" t="n">
        <v>0.657622739018088</v>
      </c>
      <c r="V363" s="55" t="n">
        <v>803</v>
      </c>
      <c r="W363" s="56" t="n">
        <v>0.148097331980838</v>
      </c>
      <c r="X363" s="57" t="s">
        <v>129</v>
      </c>
      <c r="Y363" s="57" t="s">
        <v>130</v>
      </c>
    </row>
    <row r="364" customFormat="false" ht="15" hidden="false" customHeight="false" outlineLevel="0" collapsed="false">
      <c r="A364" s="25" t="s">
        <v>385</v>
      </c>
      <c r="B364" s="25" t="s">
        <v>544</v>
      </c>
      <c r="C364" s="25" t="s">
        <v>548</v>
      </c>
      <c r="D364" s="52" t="n">
        <f aca="false">ROUND(S364*T364,0)</f>
        <v>140</v>
      </c>
      <c r="E364" s="52" t="n">
        <f aca="false">ROUND(S364,0)-D364</f>
        <v>323</v>
      </c>
      <c r="F364" s="52" t="n">
        <f aca="false">IF(COUNTA(D364:E364)=0,"",SUM(D364:E364))</f>
        <v>463</v>
      </c>
      <c r="G364" s="53" t="n">
        <f aca="false">IF(OR(F364="",F364=0),"",D364/F364)</f>
        <v>0.302375809935205</v>
      </c>
      <c r="H364" s="53" t="n">
        <f aca="false">IF(OR(F364="",F364=0),"",E364/F364)</f>
        <v>0.697624190064795</v>
      </c>
      <c r="I364" s="25" t="s">
        <v>128</v>
      </c>
      <c r="J364" s="28" t="n">
        <v>3.42046080519466</v>
      </c>
      <c r="K364" s="28" t="n">
        <f aca="false">$K$8</f>
        <v>0.297030231526703</v>
      </c>
      <c r="L364" s="28" t="n">
        <f aca="false">SQRT(J364^2+K364^2)</f>
        <v>3.43333352273176</v>
      </c>
      <c r="M364" s="53" t="n">
        <f aca="false">IF(G364="","",MAX(0,G364-1.96*L364/100))</f>
        <v>0.235082472889663</v>
      </c>
      <c r="N364" s="53" t="n">
        <f aca="false">IF(G364="","",MIN(1,G364+1.96*L364/100))</f>
        <v>0.369669146980748</v>
      </c>
      <c r="O364" s="52" t="n">
        <f aca="false">ROUND(S364*W364,0)</f>
        <v>69</v>
      </c>
      <c r="P364" s="52" t="n">
        <f aca="false">IF(F364="","",ROUND(SQRT((F364*L364/100)^2+(G364*O364)^2),0))</f>
        <v>26</v>
      </c>
      <c r="R364" s="54" t="n">
        <v>-20.6705018631554</v>
      </c>
      <c r="S364" s="55" t="n">
        <f aca="false">U364*V364*$F$5</f>
        <v>463.140604467805</v>
      </c>
      <c r="T364" s="56" t="n">
        <f aca="false">MAX(0,MIN(1,R364/100+$D$5))</f>
        <v>0.301350030335751</v>
      </c>
      <c r="U364" s="56" t="n">
        <v>0.624178712220762</v>
      </c>
      <c r="V364" s="55" t="n">
        <v>742</v>
      </c>
      <c r="W364" s="56" t="n">
        <v>0.148097331980838</v>
      </c>
      <c r="X364" s="57" t="s">
        <v>129</v>
      </c>
      <c r="Y364" s="57" t="s">
        <v>130</v>
      </c>
    </row>
    <row r="365" customFormat="false" ht="15" hidden="false" customHeight="false" outlineLevel="0" collapsed="false">
      <c r="A365" s="25" t="s">
        <v>385</v>
      </c>
      <c r="B365" s="25" t="s">
        <v>544</v>
      </c>
      <c r="C365" s="25" t="s">
        <v>549</v>
      </c>
      <c r="D365" s="52" t="n">
        <f aca="false">ROUND(S365*T365,0)</f>
        <v>268</v>
      </c>
      <c r="E365" s="52" t="n">
        <f aca="false">ROUND(S365,0)-D365</f>
        <v>458</v>
      </c>
      <c r="F365" s="52" t="n">
        <f aca="false">IF(COUNTA(D365:E365)=0,"",SUM(D365:E365))</f>
        <v>726</v>
      </c>
      <c r="G365" s="53" t="n">
        <f aca="false">IF(OR(F365="",F365=0),"",D365/F365)</f>
        <v>0.369146005509642</v>
      </c>
      <c r="H365" s="53" t="n">
        <f aca="false">IF(OR(F365="",F365=0),"",E365/F365)</f>
        <v>0.630853994490358</v>
      </c>
      <c r="I365" s="25" t="s">
        <v>128</v>
      </c>
      <c r="J365" s="28" t="n">
        <v>2.11716121919269</v>
      </c>
      <c r="K365" s="28" t="n">
        <f aca="false">$K$8</f>
        <v>0.297030231526703</v>
      </c>
      <c r="L365" s="28" t="n">
        <f aca="false">SQRT(J365^2+K365^2)</f>
        <v>2.13789583153489</v>
      </c>
      <c r="M365" s="53" t="n">
        <f aca="false">IF(G365="","",MAX(0,G365-1.96*L365/100))</f>
        <v>0.327243247211558</v>
      </c>
      <c r="N365" s="53" t="n">
        <f aca="false">IF(G365="","",MIN(1,G365+1.96*L365/100))</f>
        <v>0.411048763807726</v>
      </c>
      <c r="O365" s="52" t="n">
        <f aca="false">ROUND(S365*W365,0)</f>
        <v>64</v>
      </c>
      <c r="P365" s="52" t="n">
        <f aca="false">IF(F365="","",ROUND(SQRT((F365*L365/100)^2+(G365*O365)^2),0))</f>
        <v>28</v>
      </c>
      <c r="R365" s="54" t="n">
        <v>-13.872295590675</v>
      </c>
      <c r="S365" s="55" t="n">
        <f aca="false">U365*V365*$F$5</f>
        <v>726.367947669665</v>
      </c>
      <c r="T365" s="56" t="n">
        <f aca="false">MAX(0,MIN(1,R365/100+$D$5))</f>
        <v>0.369332093060555</v>
      </c>
      <c r="U365" s="56" t="n">
        <v>0.59198691741619</v>
      </c>
      <c r="V365" s="55" t="n">
        <v>1227</v>
      </c>
      <c r="W365" s="56" t="n">
        <v>0.0887445098984521</v>
      </c>
      <c r="X365" s="57" t="s">
        <v>135</v>
      </c>
      <c r="Y365" s="57" t="s">
        <v>130</v>
      </c>
    </row>
    <row r="366" customFormat="false" ht="15" hidden="false" customHeight="false" outlineLevel="0" collapsed="false">
      <c r="A366" s="25" t="s">
        <v>385</v>
      </c>
      <c r="B366" s="25" t="s">
        <v>550</v>
      </c>
      <c r="C366" s="25" t="s">
        <v>551</v>
      </c>
      <c r="D366" s="52" t="n">
        <f aca="false">ROUND(S366*T366,0)</f>
        <v>615</v>
      </c>
      <c r="E366" s="52" t="n">
        <f aca="false">ROUND(S366,0)-D366</f>
        <v>635</v>
      </c>
      <c r="F366" s="52" t="n">
        <f aca="false">IF(COUNTA(D366:E366)=0,"",SUM(D366:E366))</f>
        <v>1250</v>
      </c>
      <c r="G366" s="53" t="n">
        <f aca="false">IF(OR(F366="",F366=0),"",D366/F366)</f>
        <v>0.492</v>
      </c>
      <c r="H366" s="53" t="n">
        <f aca="false">IF(OR(F366="",F366=0),"",E366/F366)</f>
        <v>0.508</v>
      </c>
      <c r="I366" s="25" t="s">
        <v>128</v>
      </c>
      <c r="J366" s="28" t="n">
        <v>1.72835549007323</v>
      </c>
      <c r="K366" s="28" t="n">
        <f aca="false">$K$8</f>
        <v>0.297030231526703</v>
      </c>
      <c r="L366" s="28" t="n">
        <f aca="false">SQRT(J366^2+K366^2)</f>
        <v>1.75369314833214</v>
      </c>
      <c r="M366" s="53" t="n">
        <f aca="false">IF(G366="","",MAX(0,G366-1.96*L366/100))</f>
        <v>0.45762761429269</v>
      </c>
      <c r="N366" s="53" t="n">
        <f aca="false">IF(G366="","",MIN(1,G366+1.96*L366/100))</f>
        <v>0.52637238570731</v>
      </c>
      <c r="O366" s="52" t="n">
        <f aca="false">ROUND(S366*W366,0)</f>
        <v>86</v>
      </c>
      <c r="P366" s="52" t="n">
        <f aca="false">IF(F366="","",ROUND(SQRT((F366*L366/100)^2+(G366*O366)^2),0))</f>
        <v>48</v>
      </c>
      <c r="R366" s="54" t="n">
        <v>-1.60039685819531</v>
      </c>
      <c r="S366" s="55" t="n">
        <f aca="false">U366*V366*$F$5</f>
        <v>1250.41526045488</v>
      </c>
      <c r="T366" s="56" t="n">
        <f aca="false">MAX(0,MIN(1,R366/100+$D$5))</f>
        <v>0.492051080385352</v>
      </c>
      <c r="U366" s="56" t="n">
        <v>0.666177549523111</v>
      </c>
      <c r="V366" s="55" t="n">
        <v>1877</v>
      </c>
      <c r="W366" s="56" t="n">
        <v>0.0684752145190268</v>
      </c>
      <c r="X366" s="57" t="s">
        <v>168</v>
      </c>
      <c r="Y366" s="57" t="s">
        <v>130</v>
      </c>
    </row>
    <row r="367" customFormat="false" ht="15" hidden="false" customHeight="false" outlineLevel="0" collapsed="false">
      <c r="A367" s="25" t="s">
        <v>385</v>
      </c>
      <c r="B367" s="25" t="s">
        <v>550</v>
      </c>
      <c r="C367" s="25" t="s">
        <v>552</v>
      </c>
      <c r="D367" s="52" t="n">
        <f aca="false">ROUND(S367*T367,0)</f>
        <v>287</v>
      </c>
      <c r="E367" s="52" t="n">
        <f aca="false">ROUND(S367,0)-D367</f>
        <v>304</v>
      </c>
      <c r="F367" s="52" t="n">
        <f aca="false">IF(COUNTA(D367:E367)=0,"",SUM(D367:E367))</f>
        <v>591</v>
      </c>
      <c r="G367" s="53" t="n">
        <f aca="false">IF(OR(F367="",F367=0),"",D367/F367)</f>
        <v>0.485617597292724</v>
      </c>
      <c r="H367" s="53" t="n">
        <f aca="false">IF(OR(F367="",F367=0),"",E367/F367)</f>
        <v>0.514382402707276</v>
      </c>
      <c r="I367" s="25" t="s">
        <v>231</v>
      </c>
      <c r="J367" s="28" t="n">
        <v>2.11716121919269</v>
      </c>
      <c r="K367" s="28" t="n">
        <f aca="false">$K$8</f>
        <v>0.297030231526703</v>
      </c>
      <c r="L367" s="28" t="n">
        <f aca="false">SQRT(J367^2+K367^2)</f>
        <v>2.13789583153489</v>
      </c>
      <c r="M367" s="53" t="n">
        <f aca="false">IF(G367="","",MAX(0,G367-1.96*L367/100))</f>
        <v>0.44371483899464</v>
      </c>
      <c r="N367" s="53" t="n">
        <f aca="false">IF(G367="","",MIN(1,G367+1.96*L367/100))</f>
        <v>0.527520355590808</v>
      </c>
      <c r="O367" s="52" t="n">
        <f aca="false">ROUND(S367*W367,0)</f>
        <v>52</v>
      </c>
      <c r="P367" s="52" t="n">
        <f aca="false">IF(F367="","",ROUND(SQRT((F367*L367/100)^2+(G367*O367)^2),0))</f>
        <v>28</v>
      </c>
      <c r="R367" s="54" t="n">
        <v>-2.22314526359592</v>
      </c>
      <c r="S367" s="55" t="n">
        <f aca="false">U367*V367*$F$5</f>
        <v>590.70917107022</v>
      </c>
      <c r="T367" s="56" t="n">
        <f aca="false">MAX(0,MIN(1,R367/100+$D$5))</f>
        <v>0.485823596331346</v>
      </c>
      <c r="U367" s="56" t="n">
        <v>0.64151780942283</v>
      </c>
      <c r="V367" s="55" t="n">
        <v>920.799333071793</v>
      </c>
      <c r="W367" s="56" t="n">
        <v>0.0887445098984521</v>
      </c>
      <c r="X367" s="57" t="s">
        <v>135</v>
      </c>
      <c r="Y367" s="57" t="s">
        <v>233</v>
      </c>
    </row>
    <row r="368" customFormat="false" ht="15" hidden="false" customHeight="false" outlineLevel="0" collapsed="false">
      <c r="A368" s="25" t="s">
        <v>385</v>
      </c>
      <c r="B368" s="25" t="s">
        <v>550</v>
      </c>
      <c r="C368" s="25" t="s">
        <v>553</v>
      </c>
      <c r="D368" s="52" t="n">
        <f aca="false">ROUND(S368*T368,0)</f>
        <v>486</v>
      </c>
      <c r="E368" s="52" t="n">
        <f aca="false">ROUND(S368,0)-D368</f>
        <v>515</v>
      </c>
      <c r="F368" s="52" t="n">
        <f aca="false">IF(COUNTA(D368:E368)=0,"",SUM(D368:E368))</f>
        <v>1001</v>
      </c>
      <c r="G368" s="53" t="n">
        <f aca="false">IF(OR(F368="",F368=0),"",D368/F368)</f>
        <v>0.485514485514486</v>
      </c>
      <c r="H368" s="53" t="n">
        <f aca="false">IF(OR(F368="",F368=0),"",E368/F368)</f>
        <v>0.514485514485515</v>
      </c>
      <c r="I368" s="25" t="s">
        <v>128</v>
      </c>
      <c r="J368" s="28" t="n">
        <v>1.72835549007323</v>
      </c>
      <c r="K368" s="28" t="n">
        <f aca="false">$K$8</f>
        <v>0.297030231526703</v>
      </c>
      <c r="L368" s="28" t="n">
        <f aca="false">SQRT(J368^2+K368^2)</f>
        <v>1.75369314833214</v>
      </c>
      <c r="M368" s="53" t="n">
        <f aca="false">IF(G368="","",MAX(0,G368-1.96*L368/100))</f>
        <v>0.451142099807176</v>
      </c>
      <c r="N368" s="53" t="n">
        <f aca="false">IF(G368="","",MIN(1,G368+1.96*L368/100))</f>
        <v>0.519886871221795</v>
      </c>
      <c r="O368" s="52" t="n">
        <f aca="false">ROUND(S368*W368,0)</f>
        <v>69</v>
      </c>
      <c r="P368" s="52" t="n">
        <f aca="false">IF(F368="","",ROUND(SQRT((F368*L368/100)^2+(G368*O368)^2),0))</f>
        <v>38</v>
      </c>
      <c r="R368" s="54" t="n">
        <v>-2.22794177293112</v>
      </c>
      <c r="S368" s="55" t="n">
        <f aca="false">U368*V368*$F$5</f>
        <v>1000.79736842105</v>
      </c>
      <c r="T368" s="56" t="n">
        <f aca="false">MAX(0,MIN(1,R368/100+$D$5))</f>
        <v>0.485775631237994</v>
      </c>
      <c r="U368" s="56" t="n">
        <v>0.590789473684211</v>
      </c>
      <c r="V368" s="55" t="n">
        <v>1694</v>
      </c>
      <c r="W368" s="56" t="n">
        <v>0.0684752145190268</v>
      </c>
      <c r="X368" s="57" t="s">
        <v>168</v>
      </c>
      <c r="Y368" s="57" t="s">
        <v>130</v>
      </c>
    </row>
    <row r="369" customFormat="false" ht="15" hidden="false" customHeight="false" outlineLevel="0" collapsed="false">
      <c r="A369" s="25" t="s">
        <v>385</v>
      </c>
      <c r="B369" s="25" t="s">
        <v>550</v>
      </c>
      <c r="C369" s="25" t="s">
        <v>554</v>
      </c>
      <c r="D369" s="52" t="n">
        <f aca="false">ROUND(S369*T369,0)</f>
        <v>214</v>
      </c>
      <c r="E369" s="52" t="n">
        <f aca="false">ROUND(S369,0)-D369</f>
        <v>228</v>
      </c>
      <c r="F369" s="52" t="n">
        <f aca="false">IF(COUNTA(D369:E369)=0,"",SUM(D369:E369))</f>
        <v>442</v>
      </c>
      <c r="G369" s="53" t="n">
        <f aca="false">IF(OR(F369="",F369=0),"",D369/F369)</f>
        <v>0.484162895927602</v>
      </c>
      <c r="H369" s="53" t="n">
        <f aca="false">IF(OR(F369="",F369=0),"",E369/F369)</f>
        <v>0.515837104072398</v>
      </c>
      <c r="I369" s="25" t="s">
        <v>231</v>
      </c>
      <c r="J369" s="28" t="n">
        <v>3.42046080519466</v>
      </c>
      <c r="K369" s="28" t="n">
        <f aca="false">$K$8</f>
        <v>0.297030231526703</v>
      </c>
      <c r="L369" s="28" t="n">
        <f aca="false">SQRT(J369^2+K369^2)</f>
        <v>3.43333352273176</v>
      </c>
      <c r="M369" s="53" t="n">
        <f aca="false">IF(G369="","",MAX(0,G369-1.96*L369/100))</f>
        <v>0.416869558882059</v>
      </c>
      <c r="N369" s="53" t="n">
        <f aca="false">IF(G369="","",MIN(1,G369+1.96*L369/100))</f>
        <v>0.551456232973144</v>
      </c>
      <c r="O369" s="52" t="n">
        <f aca="false">ROUND(S369*W369,0)</f>
        <v>66</v>
      </c>
      <c r="P369" s="52" t="n">
        <f aca="false">IF(F369="","",ROUND(SQRT((F369*L369/100)^2+(G369*O369)^2),0))</f>
        <v>35</v>
      </c>
      <c r="R369" s="54" t="n">
        <v>-2.53862933298774</v>
      </c>
      <c r="S369" s="55" t="n">
        <f aca="false">U369*V369*$F$5</f>
        <v>442.424845330775</v>
      </c>
      <c r="T369" s="56" t="n">
        <f aca="false">MAX(0,MIN(1,R369/100+$D$5))</f>
        <v>0.482668755637427</v>
      </c>
      <c r="U369" s="56" t="n">
        <v>0.632025575313589</v>
      </c>
      <c r="V369" s="55" t="n">
        <v>700.010984699882</v>
      </c>
      <c r="W369" s="56" t="n">
        <v>0.148097331980838</v>
      </c>
      <c r="X369" s="57" t="s">
        <v>129</v>
      </c>
      <c r="Y369" s="57" t="s">
        <v>233</v>
      </c>
    </row>
    <row r="370" customFormat="false" ht="15" hidden="false" customHeight="false" outlineLevel="0" collapsed="false">
      <c r="A370" s="25" t="s">
        <v>385</v>
      </c>
      <c r="B370" s="25" t="s">
        <v>555</v>
      </c>
      <c r="C370" s="25" t="s">
        <v>556</v>
      </c>
      <c r="D370" s="52" t="n">
        <f aca="false">ROUND(S370*T370,0)</f>
        <v>312</v>
      </c>
      <c r="E370" s="52" t="n">
        <f aca="false">ROUND(S370,0)-D370</f>
        <v>449</v>
      </c>
      <c r="F370" s="52" t="n">
        <f aca="false">IF(COUNTA(D370:E370)=0,"",SUM(D370:E370))</f>
        <v>761</v>
      </c>
      <c r="G370" s="53" t="n">
        <f aca="false">IF(OR(F370="",F370=0),"",D370/F370)</f>
        <v>0.409986859395532</v>
      </c>
      <c r="H370" s="53" t="n">
        <f aca="false">IF(OR(F370="",F370=0),"",E370/F370)</f>
        <v>0.590013140604468</v>
      </c>
      <c r="I370" s="25" t="s">
        <v>128</v>
      </c>
      <c r="J370" s="28" t="n">
        <v>2.11716121919269</v>
      </c>
      <c r="K370" s="28" t="n">
        <f aca="false">$K$8</f>
        <v>0.297030231526703</v>
      </c>
      <c r="L370" s="28" t="n">
        <f aca="false">SQRT(J370^2+K370^2)</f>
        <v>2.13789583153489</v>
      </c>
      <c r="M370" s="53" t="n">
        <f aca="false">IF(G370="","",MAX(0,G370-1.96*L370/100))</f>
        <v>0.368084101097448</v>
      </c>
      <c r="N370" s="53" t="n">
        <f aca="false">IF(G370="","",MIN(1,G370+1.96*L370/100))</f>
        <v>0.451889617693616</v>
      </c>
      <c r="O370" s="52" t="n">
        <f aca="false">ROUND(S370*W370,0)</f>
        <v>68</v>
      </c>
      <c r="P370" s="52" t="n">
        <f aca="false">IF(F370="","",ROUND(SQRT((F370*L370/100)^2+(G370*O370)^2),0))</f>
        <v>32</v>
      </c>
      <c r="R370" s="54" t="n">
        <v>-9.81708904581992</v>
      </c>
      <c r="S370" s="55" t="n">
        <f aca="false">U370*V370*$F$5</f>
        <v>761.429837518464</v>
      </c>
      <c r="T370" s="56" t="n">
        <f aca="false">MAX(0,MIN(1,R370/100+$D$5))</f>
        <v>0.409884158509106</v>
      </c>
      <c r="U370" s="56" t="n">
        <v>0.534711964549483</v>
      </c>
      <c r="V370" s="55" t="n">
        <v>1424</v>
      </c>
      <c r="W370" s="56" t="n">
        <v>0.0887445098984521</v>
      </c>
      <c r="X370" s="57" t="s">
        <v>135</v>
      </c>
      <c r="Y370" s="57" t="s">
        <v>130</v>
      </c>
    </row>
    <row r="371" customFormat="false" ht="15" hidden="false" customHeight="false" outlineLevel="0" collapsed="false">
      <c r="A371" s="25" t="s">
        <v>385</v>
      </c>
      <c r="B371" s="25" t="s">
        <v>360</v>
      </c>
      <c r="C371" s="25" t="s">
        <v>557</v>
      </c>
      <c r="D371" s="52" t="n">
        <f aca="false">ROUND(S371*T371,0)</f>
        <v>422</v>
      </c>
      <c r="E371" s="52" t="n">
        <f aca="false">ROUND(S371,0)-D371</f>
        <v>828</v>
      </c>
      <c r="F371" s="52" t="n">
        <f aca="false">IF(COUNTA(D371:E371)=0,"",SUM(D371:E371))</f>
        <v>1250</v>
      </c>
      <c r="G371" s="53" t="n">
        <f aca="false">IF(OR(F371="",F371=0),"",D371/F371)</f>
        <v>0.3376</v>
      </c>
      <c r="H371" s="53" t="n">
        <f aca="false">IF(OR(F371="",F371=0),"",E371/F371)</f>
        <v>0.6624</v>
      </c>
      <c r="I371" s="25" t="s">
        <v>128</v>
      </c>
      <c r="J371" s="28" t="n">
        <v>1.72835549007323</v>
      </c>
      <c r="K371" s="28" t="n">
        <f aca="false">$K$8</f>
        <v>0.297030231526703</v>
      </c>
      <c r="L371" s="28" t="n">
        <f aca="false">SQRT(J371^2+K371^2)</f>
        <v>1.75369314833214</v>
      </c>
      <c r="M371" s="53" t="n">
        <f aca="false">IF(G371="","",MAX(0,G371-1.96*L371/100))</f>
        <v>0.30322761429269</v>
      </c>
      <c r="N371" s="53" t="n">
        <f aca="false">IF(G371="","",MIN(1,G371+1.96*L371/100))</f>
        <v>0.37197238570731</v>
      </c>
      <c r="O371" s="52" t="n">
        <f aca="false">ROUND(S371*W371,0)</f>
        <v>86</v>
      </c>
      <c r="P371" s="52" t="n">
        <f aca="false">IF(F371="","",ROUND(SQRT((F371*L371/100)^2+(G371*O371)^2),0))</f>
        <v>36</v>
      </c>
      <c r="R371" s="54" t="n">
        <v>-17.0427200768041</v>
      </c>
      <c r="S371" s="55" t="n">
        <f aca="false">U371*V371*$F$5</f>
        <v>1250.46090534979</v>
      </c>
      <c r="T371" s="56" t="n">
        <f aca="false">MAX(0,MIN(1,R371/100+$D$5))</f>
        <v>0.337627848199264</v>
      </c>
      <c r="U371" s="56" t="n">
        <v>0.616598079561042</v>
      </c>
      <c r="V371" s="55" t="n">
        <v>2028</v>
      </c>
      <c r="W371" s="56" t="n">
        <v>0.0684752145190268</v>
      </c>
      <c r="X371" s="57" t="s">
        <v>168</v>
      </c>
      <c r="Y371" s="57" t="s">
        <v>130</v>
      </c>
    </row>
    <row r="372" customFormat="false" ht="15" hidden="false" customHeight="false" outlineLevel="0" collapsed="false">
      <c r="A372" s="25" t="s">
        <v>385</v>
      </c>
      <c r="B372" s="25" t="s">
        <v>360</v>
      </c>
      <c r="C372" s="25" t="s">
        <v>558</v>
      </c>
      <c r="D372" s="52" t="n">
        <f aca="false">ROUND(S372*T372,0)</f>
        <v>467</v>
      </c>
      <c r="E372" s="52" t="n">
        <f aca="false">ROUND(S372,0)-D372</f>
        <v>916</v>
      </c>
      <c r="F372" s="52" t="n">
        <f aca="false">IF(COUNTA(D372:E372)=0,"",SUM(D372:E372))</f>
        <v>1383</v>
      </c>
      <c r="G372" s="53" t="n">
        <f aca="false">IF(OR(F372="",F372=0),"",D372/F372)</f>
        <v>0.33767172812726</v>
      </c>
      <c r="H372" s="53" t="n">
        <f aca="false">IF(OR(F372="",F372=0),"",E372/F372)</f>
        <v>0.662328271872741</v>
      </c>
      <c r="I372" s="25" t="s">
        <v>559</v>
      </c>
      <c r="J372" s="28" t="n">
        <v>1.72835549007323</v>
      </c>
      <c r="K372" s="28" t="n">
        <f aca="false">$K$8</f>
        <v>0.297030231526703</v>
      </c>
      <c r="L372" s="28" t="n">
        <f aca="false">SQRT(J372^2+K372^2)</f>
        <v>1.75369314833214</v>
      </c>
      <c r="M372" s="53" t="n">
        <f aca="false">IF(G372="","",MAX(0,G372-1.96*L372/100))</f>
        <v>0.30329934241995</v>
      </c>
      <c r="N372" s="53" t="n">
        <f aca="false">IF(G372="","",MIN(1,G372+1.96*L372/100))</f>
        <v>0.37204411383457</v>
      </c>
      <c r="O372" s="52" t="n">
        <f aca="false">ROUND(S372*W372,0)</f>
        <v>95</v>
      </c>
      <c r="P372" s="52" t="n">
        <f aca="false">IF(F372="","",ROUND(SQRT((F372*L372/100)^2+(G372*O372)^2),0))</f>
        <v>40</v>
      </c>
      <c r="R372" s="54" t="n">
        <v>-17.0653523000277</v>
      </c>
      <c r="S372" s="55" t="n">
        <f aca="false">U372*V372*$F$5</f>
        <v>1383.3299660738</v>
      </c>
      <c r="T372" s="56" t="n">
        <f aca="false">MAX(0,MIN(1,R372/100+$D$5))</f>
        <v>0.337401525967028</v>
      </c>
      <c r="U372" s="56" t="n">
        <v>0.764270699488289</v>
      </c>
      <c r="V372" s="55" t="n">
        <v>1810</v>
      </c>
      <c r="W372" s="56" t="n">
        <v>0.0684752145190268</v>
      </c>
      <c r="X372" s="57" t="s">
        <v>168</v>
      </c>
      <c r="Y372" s="57" t="s">
        <v>130</v>
      </c>
    </row>
    <row r="373" customFormat="false" ht="15" hidden="false" customHeight="false" outlineLevel="0" collapsed="false">
      <c r="A373" s="25" t="s">
        <v>385</v>
      </c>
      <c r="B373" s="25" t="s">
        <v>560</v>
      </c>
      <c r="C373" s="25" t="s">
        <v>560</v>
      </c>
      <c r="D373" s="52" t="n">
        <f aca="false">ROUND(S373*T373,0)</f>
        <v>212</v>
      </c>
      <c r="E373" s="52" t="n">
        <f aca="false">ROUND(S373,0)-D373</f>
        <v>226</v>
      </c>
      <c r="F373" s="52" t="n">
        <f aca="false">IF(COUNTA(D373:E373)=0,"",SUM(D373:E373))</f>
        <v>438</v>
      </c>
      <c r="G373" s="53" t="n">
        <f aca="false">IF(OR(F373="",F373=0),"",D373/F373)</f>
        <v>0.484018264840183</v>
      </c>
      <c r="H373" s="53" t="n">
        <f aca="false">IF(OR(F373="",F373=0),"",E373/F373)</f>
        <v>0.515981735159817</v>
      </c>
      <c r="I373" s="25" t="s">
        <v>128</v>
      </c>
      <c r="J373" s="28" t="n">
        <v>3.42046080519466</v>
      </c>
      <c r="K373" s="28" t="n">
        <f aca="false">$K$8</f>
        <v>0.297030231526703</v>
      </c>
      <c r="L373" s="28" t="n">
        <f aca="false">SQRT(J373^2+K373^2)</f>
        <v>3.43333352273176</v>
      </c>
      <c r="M373" s="53" t="n">
        <f aca="false">IF(G373="","",MAX(0,G373-1.96*L373/100))</f>
        <v>0.41672492779464</v>
      </c>
      <c r="N373" s="53" t="n">
        <f aca="false">IF(G373="","",MIN(1,G373+1.96*L373/100))</f>
        <v>0.551311601885725</v>
      </c>
      <c r="O373" s="52" t="n">
        <f aca="false">ROUND(S373*W373,0)</f>
        <v>65</v>
      </c>
      <c r="P373" s="52" t="n">
        <f aca="false">IF(F373="","",ROUND(SQRT((F373*L373/100)^2+(G373*O373)^2),0))</f>
        <v>35</v>
      </c>
      <c r="R373" s="54" t="n">
        <v>-2.45139296920219</v>
      </c>
      <c r="S373" s="55" t="n">
        <f aca="false">U373*V373*$F$5</f>
        <v>438.292134831461</v>
      </c>
      <c r="T373" s="56" t="n">
        <f aca="false">MAX(0,MIN(1,R373/100+$D$5))</f>
        <v>0.483541119275283</v>
      </c>
      <c r="U373" s="56" t="n">
        <v>0.51685393258427</v>
      </c>
      <c r="V373" s="55" t="n">
        <v>848</v>
      </c>
      <c r="W373" s="56" t="n">
        <v>0.148097331980838</v>
      </c>
      <c r="X373" s="57" t="s">
        <v>129</v>
      </c>
      <c r="Y373" s="57" t="s">
        <v>130</v>
      </c>
    </row>
    <row r="374" customFormat="false" ht="15" hidden="false" customHeight="false" outlineLevel="0" collapsed="false">
      <c r="A374" s="25" t="s">
        <v>385</v>
      </c>
      <c r="B374" s="25" t="s">
        <v>561</v>
      </c>
      <c r="C374" s="25" t="s">
        <v>562</v>
      </c>
      <c r="D374" s="52" t="n">
        <f aca="false">ROUND(S374*T374,0)</f>
        <v>411</v>
      </c>
      <c r="E374" s="52" t="n">
        <f aca="false">ROUND(S374,0)-D374</f>
        <v>568</v>
      </c>
      <c r="F374" s="52" t="n">
        <f aca="false">IF(COUNTA(D374:E374)=0,"",SUM(D374:E374))</f>
        <v>979</v>
      </c>
      <c r="G374" s="53" t="n">
        <f aca="false">IF(OR(F374="",F374=0),"",D374/F374)</f>
        <v>0.419816138917263</v>
      </c>
      <c r="H374" s="53" t="n">
        <f aca="false">IF(OR(F374="",F374=0),"",E374/F374)</f>
        <v>0.580183861082738</v>
      </c>
      <c r="I374" s="25" t="s">
        <v>128</v>
      </c>
      <c r="J374" s="28" t="n">
        <v>1.72835549007323</v>
      </c>
      <c r="K374" s="28" t="n">
        <f aca="false">$K$8</f>
        <v>0.297030231526703</v>
      </c>
      <c r="L374" s="28" t="n">
        <f aca="false">SQRT(J374^2+K374^2)</f>
        <v>1.75369314833214</v>
      </c>
      <c r="M374" s="53" t="n">
        <f aca="false">IF(G374="","",MAX(0,G374-1.96*L374/100))</f>
        <v>0.385443753209953</v>
      </c>
      <c r="N374" s="53" t="n">
        <f aca="false">IF(G374="","",MIN(1,G374+1.96*L374/100))</f>
        <v>0.454188524624572</v>
      </c>
      <c r="O374" s="52" t="n">
        <f aca="false">ROUND(S374*W374,0)</f>
        <v>67</v>
      </c>
      <c r="P374" s="52" t="n">
        <f aca="false">IF(F374="","",ROUND(SQRT((F374*L374/100)^2+(G374*O374)^2),0))</f>
        <v>33</v>
      </c>
      <c r="R374" s="54" t="n">
        <v>-8.82168721740271</v>
      </c>
      <c r="S374" s="55" t="n">
        <f aca="false">U374*V374*$F$5</f>
        <v>979.331514324693</v>
      </c>
      <c r="T374" s="56" t="n">
        <f aca="false">MAX(0,MIN(1,R374/100+$D$5))</f>
        <v>0.419838176793278</v>
      </c>
      <c r="U374" s="56" t="n">
        <v>0.668485675306958</v>
      </c>
      <c r="V374" s="55" t="n">
        <v>1465</v>
      </c>
      <c r="W374" s="56" t="n">
        <v>0.0684752145190268</v>
      </c>
      <c r="X374" s="57" t="s">
        <v>168</v>
      </c>
      <c r="Y374" s="57" t="s">
        <v>130</v>
      </c>
    </row>
    <row r="375" customFormat="false" ht="15" hidden="false" customHeight="false" outlineLevel="0" collapsed="false">
      <c r="A375" s="25" t="s">
        <v>385</v>
      </c>
      <c r="B375" s="25" t="s">
        <v>561</v>
      </c>
      <c r="C375" s="25" t="s">
        <v>563</v>
      </c>
      <c r="D375" s="52" t="n">
        <f aca="false">ROUND(S375*T375,0)</f>
        <v>369</v>
      </c>
      <c r="E375" s="52" t="n">
        <f aca="false">ROUND(S375,0)-D375</f>
        <v>559</v>
      </c>
      <c r="F375" s="52" t="n">
        <f aca="false">IF(COUNTA(D375:E375)=0,"",SUM(D375:E375))</f>
        <v>928</v>
      </c>
      <c r="G375" s="53" t="n">
        <f aca="false">IF(OR(F375="",F375=0),"",D375/F375)</f>
        <v>0.397629310344828</v>
      </c>
      <c r="H375" s="53" t="n">
        <f aca="false">IF(OR(F375="",F375=0),"",E375/F375)</f>
        <v>0.602370689655172</v>
      </c>
      <c r="I375" s="25" t="s">
        <v>128</v>
      </c>
      <c r="J375" s="28" t="n">
        <v>2.11716121919269</v>
      </c>
      <c r="K375" s="28" t="n">
        <f aca="false">$K$8</f>
        <v>0.297030231526703</v>
      </c>
      <c r="L375" s="28" t="n">
        <f aca="false">SQRT(J375^2+K375^2)</f>
        <v>2.13789583153489</v>
      </c>
      <c r="M375" s="53" t="n">
        <f aca="false">IF(G375="","",MAX(0,G375-1.96*L375/100))</f>
        <v>0.355726552046744</v>
      </c>
      <c r="N375" s="53" t="n">
        <f aca="false">IF(G375="","",MIN(1,G375+1.96*L375/100))</f>
        <v>0.439532068642911</v>
      </c>
      <c r="O375" s="52" t="n">
        <f aca="false">ROUND(S375*W375,0)</f>
        <v>82</v>
      </c>
      <c r="P375" s="52" t="n">
        <f aca="false">IF(F375="","",ROUND(SQRT((F375*L375/100)^2+(G375*O375)^2),0))</f>
        <v>38</v>
      </c>
      <c r="R375" s="54" t="n">
        <v>-11.0466250973995</v>
      </c>
      <c r="S375" s="55" t="n">
        <f aca="false">U375*V375*$F$5</f>
        <v>927.869774919614</v>
      </c>
      <c r="T375" s="56" t="n">
        <f aca="false">MAX(0,MIN(1,R375/100+$D$5))</f>
        <v>0.39758879799331</v>
      </c>
      <c r="U375" s="56" t="n">
        <v>0.679260450160772</v>
      </c>
      <c r="V375" s="55" t="n">
        <v>1366</v>
      </c>
      <c r="W375" s="56" t="n">
        <v>0.0887445098984521</v>
      </c>
      <c r="X375" s="57" t="s">
        <v>135</v>
      </c>
      <c r="Y375" s="57" t="s">
        <v>130</v>
      </c>
    </row>
    <row r="376" customFormat="false" ht="15" hidden="false" customHeight="false" outlineLevel="0" collapsed="false">
      <c r="A376" s="25" t="s">
        <v>385</v>
      </c>
      <c r="B376" s="25" t="s">
        <v>561</v>
      </c>
      <c r="C376" s="25" t="s">
        <v>564</v>
      </c>
      <c r="D376" s="52" t="n">
        <f aca="false">ROUND(S376*T376,0)</f>
        <v>438</v>
      </c>
      <c r="E376" s="52" t="n">
        <f aca="false">ROUND(S376,0)-D376</f>
        <v>451</v>
      </c>
      <c r="F376" s="52" t="n">
        <f aca="false">IF(COUNTA(D376:E376)=0,"",SUM(D376:E376))</f>
        <v>889</v>
      </c>
      <c r="G376" s="53" t="n">
        <f aca="false">IF(OR(F376="",F376=0),"",D376/F376)</f>
        <v>0.492688413948256</v>
      </c>
      <c r="H376" s="53" t="n">
        <f aca="false">IF(OR(F376="",F376=0),"",E376/F376)</f>
        <v>0.507311586051744</v>
      </c>
      <c r="I376" s="25" t="s">
        <v>128</v>
      </c>
      <c r="J376" s="28" t="n">
        <v>2.11716121919269</v>
      </c>
      <c r="K376" s="28" t="n">
        <f aca="false">$K$8</f>
        <v>0.297030231526703</v>
      </c>
      <c r="L376" s="28" t="n">
        <f aca="false">SQRT(J376^2+K376^2)</f>
        <v>2.13789583153489</v>
      </c>
      <c r="M376" s="53" t="n">
        <f aca="false">IF(G376="","",MAX(0,G376-1.96*L376/100))</f>
        <v>0.450785655650173</v>
      </c>
      <c r="N376" s="53" t="n">
        <f aca="false">IF(G376="","",MIN(1,G376+1.96*L376/100))</f>
        <v>0.53459117224634</v>
      </c>
      <c r="O376" s="52" t="n">
        <f aca="false">ROUND(S376*W376,0)</f>
        <v>79</v>
      </c>
      <c r="P376" s="52" t="n">
        <f aca="false">IF(F376="","",ROUND(SQRT((F376*L376/100)^2+(G376*O376)^2),0))</f>
        <v>43</v>
      </c>
      <c r="R376" s="54" t="n">
        <v>-1.49010397176458</v>
      </c>
      <c r="S376" s="55" t="n">
        <f aca="false">U376*V376*$F$5</f>
        <v>888.564146620848</v>
      </c>
      <c r="T376" s="56" t="n">
        <f aca="false">MAX(0,MIN(1,R376/100+$D$5))</f>
        <v>0.493154009249659</v>
      </c>
      <c r="U376" s="56" t="n">
        <v>0.521764032073311</v>
      </c>
      <c r="V376" s="55" t="n">
        <v>1703</v>
      </c>
      <c r="W376" s="56" t="n">
        <v>0.0887445098984521</v>
      </c>
      <c r="X376" s="57" t="s">
        <v>135</v>
      </c>
      <c r="Y376" s="57" t="s">
        <v>130</v>
      </c>
    </row>
    <row r="377" customFormat="false" ht="15" hidden="false" customHeight="false" outlineLevel="0" collapsed="false">
      <c r="A377" s="25" t="s">
        <v>385</v>
      </c>
      <c r="B377" s="25" t="s">
        <v>561</v>
      </c>
      <c r="C377" s="25" t="s">
        <v>565</v>
      </c>
      <c r="D377" s="52" t="n">
        <f aca="false">ROUND(S377*T377,0)</f>
        <v>242</v>
      </c>
      <c r="E377" s="52" t="n">
        <f aca="false">ROUND(S377,0)-D377</f>
        <v>339</v>
      </c>
      <c r="F377" s="52" t="n">
        <f aca="false">IF(COUNTA(D377:E377)=0,"",SUM(D377:E377))</f>
        <v>581</v>
      </c>
      <c r="G377" s="53" t="n">
        <f aca="false">IF(OR(F377="",F377=0),"",D377/F377)</f>
        <v>0.416523235800344</v>
      </c>
      <c r="H377" s="53" t="n">
        <f aca="false">IF(OR(F377="",F377=0),"",E377/F377)</f>
        <v>0.583476764199656</v>
      </c>
      <c r="I377" s="25" t="s">
        <v>128</v>
      </c>
      <c r="J377" s="28" t="n">
        <v>2.11716121919269</v>
      </c>
      <c r="K377" s="28" t="n">
        <f aca="false">$K$8</f>
        <v>0.297030231526703</v>
      </c>
      <c r="L377" s="28" t="n">
        <f aca="false">SQRT(J377^2+K377^2)</f>
        <v>2.13789583153489</v>
      </c>
      <c r="M377" s="53" t="n">
        <f aca="false">IF(G377="","",MAX(0,G377-1.96*L377/100))</f>
        <v>0.37462047750226</v>
      </c>
      <c r="N377" s="53" t="n">
        <f aca="false">IF(G377="","",MIN(1,G377+1.96*L377/100))</f>
        <v>0.458425994098428</v>
      </c>
      <c r="O377" s="52" t="n">
        <f aca="false">ROUND(S377*W377,0)</f>
        <v>52</v>
      </c>
      <c r="P377" s="52" t="n">
        <f aca="false">IF(F377="","",ROUND(SQRT((F377*L377/100)^2+(G377*O377)^2),0))</f>
        <v>25</v>
      </c>
      <c r="R377" s="54" t="n">
        <v>-9.06307441341107</v>
      </c>
      <c r="S377" s="55" t="n">
        <f aca="false">U377*V377*$F$5</f>
        <v>580.714285714285</v>
      </c>
      <c r="T377" s="56" t="n">
        <f aca="false">MAX(0,MIN(1,R377/100+$D$5))</f>
        <v>0.417424304833194</v>
      </c>
      <c r="U377" s="56" t="n">
        <v>0.714285714285714</v>
      </c>
      <c r="V377" s="55" t="n">
        <v>813</v>
      </c>
      <c r="W377" s="56" t="n">
        <v>0.0887445098984521</v>
      </c>
      <c r="X377" s="57" t="s">
        <v>135</v>
      </c>
      <c r="Y377" s="57" t="s">
        <v>130</v>
      </c>
    </row>
    <row r="378" customFormat="false" ht="15" hidden="false" customHeight="false" outlineLevel="0" collapsed="false">
      <c r="A378" s="25" t="s">
        <v>385</v>
      </c>
      <c r="B378" s="25" t="s">
        <v>566</v>
      </c>
      <c r="C378" s="25" t="s">
        <v>567</v>
      </c>
      <c r="D378" s="52" t="n">
        <f aca="false">ROUND(S378*T378,0)</f>
        <v>453</v>
      </c>
      <c r="E378" s="52" t="n">
        <f aca="false">ROUND(S378,0)-D378</f>
        <v>312</v>
      </c>
      <c r="F378" s="52" t="n">
        <f aca="false">IF(COUNTA(D378:E378)=0,"",SUM(D378:E378))</f>
        <v>765</v>
      </c>
      <c r="G378" s="53" t="n">
        <f aca="false">IF(OR(F378="",F378=0),"",D378/F378)</f>
        <v>0.592156862745098</v>
      </c>
      <c r="H378" s="53" t="n">
        <f aca="false">IF(OR(F378="",F378=0),"",E378/F378)</f>
        <v>0.407843137254902</v>
      </c>
      <c r="I378" s="25" t="s">
        <v>128</v>
      </c>
      <c r="J378" s="28" t="n">
        <v>2.11716121919269</v>
      </c>
      <c r="K378" s="28" t="n">
        <f aca="false">$K$8</f>
        <v>0.297030231526703</v>
      </c>
      <c r="L378" s="28" t="n">
        <f aca="false">SQRT(J378^2+K378^2)</f>
        <v>2.13789583153489</v>
      </c>
      <c r="M378" s="53" t="n">
        <f aca="false">IF(G378="","",MAX(0,G378-1.96*L378/100))</f>
        <v>0.550254104447014</v>
      </c>
      <c r="N378" s="53" t="n">
        <f aca="false">IF(G378="","",MIN(1,G378+1.96*L378/100))</f>
        <v>0.634059621043182</v>
      </c>
      <c r="O378" s="52" t="n">
        <f aca="false">ROUND(S378*W378,0)</f>
        <v>68</v>
      </c>
      <c r="P378" s="52" t="n">
        <f aca="false">IF(F378="","",ROUND(SQRT((F378*L378/100)^2+(G378*O378)^2),0))</f>
        <v>43</v>
      </c>
      <c r="R378" s="54" t="n">
        <v>8.40450401491282</v>
      </c>
      <c r="S378" s="55" t="n">
        <f aca="false">U378*V378*$F$5</f>
        <v>764.667071688942</v>
      </c>
      <c r="T378" s="56" t="n">
        <f aca="false">MAX(0,MIN(1,R378/100+$D$5))</f>
        <v>0.592100089116433</v>
      </c>
      <c r="U378" s="56" t="n">
        <v>0.451397326852977</v>
      </c>
      <c r="V378" s="55" t="n">
        <v>1694</v>
      </c>
      <c r="W378" s="56" t="n">
        <v>0.0887445098984521</v>
      </c>
      <c r="X378" s="57" t="s">
        <v>135</v>
      </c>
      <c r="Y378" s="57" t="s">
        <v>130</v>
      </c>
    </row>
    <row r="379" customFormat="false" ht="15" hidden="false" customHeight="false" outlineLevel="0" collapsed="false">
      <c r="A379" s="25" t="s">
        <v>385</v>
      </c>
      <c r="B379" s="25" t="s">
        <v>566</v>
      </c>
      <c r="C379" s="25" t="s">
        <v>568</v>
      </c>
      <c r="D379" s="52" t="n">
        <f aca="false">ROUND(S379*T379,0)</f>
        <v>349</v>
      </c>
      <c r="E379" s="52" t="n">
        <f aca="false">ROUND(S379,0)-D379</f>
        <v>270</v>
      </c>
      <c r="F379" s="52" t="n">
        <f aca="false">IF(COUNTA(D379:E379)=0,"",SUM(D379:E379))</f>
        <v>619</v>
      </c>
      <c r="G379" s="53" t="n">
        <f aca="false">IF(OR(F379="",F379=0),"",D379/F379)</f>
        <v>0.563812600969305</v>
      </c>
      <c r="H379" s="53" t="n">
        <f aca="false">IF(OR(F379="",F379=0),"",E379/F379)</f>
        <v>0.436187399030695</v>
      </c>
      <c r="I379" s="25" t="s">
        <v>128</v>
      </c>
      <c r="J379" s="28" t="n">
        <v>2.11716121919269</v>
      </c>
      <c r="K379" s="28" t="n">
        <f aca="false">$K$8</f>
        <v>0.297030231526703</v>
      </c>
      <c r="L379" s="28" t="n">
        <f aca="false">SQRT(J379^2+K379^2)</f>
        <v>2.13789583153489</v>
      </c>
      <c r="M379" s="53" t="n">
        <f aca="false">IF(G379="","",MAX(0,G379-1.96*L379/100))</f>
        <v>0.521909842671221</v>
      </c>
      <c r="N379" s="53" t="n">
        <f aca="false">IF(G379="","",MIN(1,G379+1.96*L379/100))</f>
        <v>0.605715359267389</v>
      </c>
      <c r="O379" s="52" t="n">
        <f aca="false">ROUND(S379*W379,0)</f>
        <v>55</v>
      </c>
      <c r="P379" s="52" t="n">
        <f aca="false">IF(F379="","",ROUND(SQRT((F379*L379/100)^2+(G379*O379)^2),0))</f>
        <v>34</v>
      </c>
      <c r="R379" s="54" t="n">
        <v>5.60017226282582</v>
      </c>
      <c r="S379" s="55" t="n">
        <f aca="false">U379*V379*$F$5</f>
        <v>619.017871017871</v>
      </c>
      <c r="T379" s="56" t="n">
        <f aca="false">MAX(0,MIN(1,R379/100+$D$5))</f>
        <v>0.564056771595563</v>
      </c>
      <c r="U379" s="56" t="n">
        <v>0.469308469308469</v>
      </c>
      <c r="V379" s="55" t="n">
        <v>1319</v>
      </c>
      <c r="W379" s="56" t="n">
        <v>0.0887445098984521</v>
      </c>
      <c r="X379" s="57" t="s">
        <v>135</v>
      </c>
      <c r="Y379" s="57" t="s">
        <v>130</v>
      </c>
    </row>
    <row r="380" customFormat="false" ht="15" hidden="false" customHeight="false" outlineLevel="0" collapsed="false">
      <c r="A380" s="25" t="s">
        <v>385</v>
      </c>
      <c r="B380" s="25" t="s">
        <v>566</v>
      </c>
      <c r="C380" s="25" t="s">
        <v>569</v>
      </c>
      <c r="D380" s="52" t="n">
        <f aca="false">ROUND(S380*T380,0)</f>
        <v>528</v>
      </c>
      <c r="E380" s="52" t="n">
        <f aca="false">ROUND(S380,0)-D380</f>
        <v>438</v>
      </c>
      <c r="F380" s="52" t="n">
        <f aca="false">IF(COUNTA(D380:E380)=0,"",SUM(D380:E380))</f>
        <v>966</v>
      </c>
      <c r="G380" s="53" t="n">
        <f aca="false">IF(OR(F380="",F380=0),"",D380/F380)</f>
        <v>0.546583850931677</v>
      </c>
      <c r="H380" s="53" t="n">
        <f aca="false">IF(OR(F380="",F380=0),"",E380/F380)</f>
        <v>0.453416149068323</v>
      </c>
      <c r="I380" s="25" t="s">
        <v>128</v>
      </c>
      <c r="J380" s="28" t="n">
        <v>1.72835549007323</v>
      </c>
      <c r="K380" s="28" t="n">
        <f aca="false">$K$8</f>
        <v>0.297030231526703</v>
      </c>
      <c r="L380" s="28" t="n">
        <f aca="false">SQRT(J380^2+K380^2)</f>
        <v>1.75369314833214</v>
      </c>
      <c r="M380" s="53" t="n">
        <f aca="false">IF(G380="","",MAX(0,G380-1.96*L380/100))</f>
        <v>0.512211465224367</v>
      </c>
      <c r="N380" s="53" t="n">
        <f aca="false">IF(G380="","",MIN(1,G380+1.96*L380/100))</f>
        <v>0.580956236638987</v>
      </c>
      <c r="O380" s="52" t="n">
        <f aca="false">ROUND(S380*W380,0)</f>
        <v>66</v>
      </c>
      <c r="P380" s="52" t="n">
        <f aca="false">IF(F380="","",ROUND(SQRT((F380*L380/100)^2+(G380*O380)^2),0))</f>
        <v>40</v>
      </c>
      <c r="R380" s="54" t="n">
        <v>3.81200359963903</v>
      </c>
      <c r="S380" s="55" t="n">
        <f aca="false">U380*V380*$F$5</f>
        <v>966.474176094441</v>
      </c>
      <c r="T380" s="56" t="n">
        <f aca="false">MAX(0,MIN(1,R380/100+$D$5))</f>
        <v>0.546175084963695</v>
      </c>
      <c r="U380" s="56" t="n">
        <v>0.465322183964584</v>
      </c>
      <c r="V380" s="55" t="n">
        <v>2077</v>
      </c>
      <c r="W380" s="56" t="n">
        <v>0.0684752145190268</v>
      </c>
      <c r="X380" s="57" t="s">
        <v>168</v>
      </c>
      <c r="Y380" s="57" t="s">
        <v>130</v>
      </c>
    </row>
    <row r="381" customFormat="false" ht="15" hidden="false" customHeight="false" outlineLevel="0" collapsed="false">
      <c r="A381" s="25" t="s">
        <v>385</v>
      </c>
      <c r="B381" s="25" t="s">
        <v>570</v>
      </c>
      <c r="C381" s="25" t="s">
        <v>570</v>
      </c>
      <c r="D381" s="52" t="n">
        <f aca="false">ROUND(S381*T381,0)</f>
        <v>492</v>
      </c>
      <c r="E381" s="52" t="n">
        <f aca="false">ROUND(S381,0)-D381</f>
        <v>653</v>
      </c>
      <c r="F381" s="52" t="n">
        <f aca="false">IF(COUNTA(D381:E381)=0,"",SUM(D381:E381))</f>
        <v>1145</v>
      </c>
      <c r="G381" s="53" t="n">
        <f aca="false">IF(OR(F381="",F381=0),"",D381/F381)</f>
        <v>0.429694323144105</v>
      </c>
      <c r="H381" s="53" t="n">
        <f aca="false">IF(OR(F381="",F381=0),"",E381/F381)</f>
        <v>0.570305676855895</v>
      </c>
      <c r="I381" s="25" t="s">
        <v>128</v>
      </c>
      <c r="J381" s="28" t="n">
        <v>1.72835549007323</v>
      </c>
      <c r="K381" s="28" t="n">
        <f aca="false">$K$8</f>
        <v>0.297030231526703</v>
      </c>
      <c r="L381" s="28" t="n">
        <f aca="false">SQRT(J381^2+K381^2)</f>
        <v>1.75369314833214</v>
      </c>
      <c r="M381" s="53" t="n">
        <f aca="false">IF(G381="","",MAX(0,G381-1.96*L381/100))</f>
        <v>0.395321937436795</v>
      </c>
      <c r="N381" s="53" t="n">
        <f aca="false">IF(G381="","",MIN(1,G381+1.96*L381/100))</f>
        <v>0.464066708851415</v>
      </c>
      <c r="O381" s="52" t="n">
        <f aca="false">ROUND(S381*W381,0)</f>
        <v>78</v>
      </c>
      <c r="P381" s="52" t="n">
        <f aca="false">IF(F381="","",ROUND(SQRT((F381*L381/100)^2+(G381*O381)^2),0))</f>
        <v>39</v>
      </c>
      <c r="R381" s="54" t="n">
        <v>-7.86161407442459</v>
      </c>
      <c r="S381" s="55" t="n">
        <f aca="false">U381*V381*$F$5</f>
        <v>1145.48062775871</v>
      </c>
      <c r="T381" s="56" t="n">
        <f aca="false">MAX(0,MIN(1,R381/100+$D$5))</f>
        <v>0.429438908223059</v>
      </c>
      <c r="U381" s="56" t="n">
        <v>0.537027954879843</v>
      </c>
      <c r="V381" s="55" t="n">
        <v>2133</v>
      </c>
      <c r="W381" s="56" t="n">
        <v>0.0684752145190268</v>
      </c>
      <c r="X381" s="57" t="s">
        <v>168</v>
      </c>
      <c r="Y381" s="57" t="s">
        <v>130</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571</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572</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B5-SUMPRODUCT(R12:R381,S12:S381)/SUM(S12:S381)/100</f>
        <v>0.511993414518765</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SUM(D12:D381)</f>
        <v>151578</v>
      </c>
      <c r="E8" s="46" t="n">
        <f aca="false">SUM(E12:E381)</f>
        <v>154535</v>
      </c>
      <c r="F8" s="46" t="n">
        <f aca="false">D8+E8</f>
        <v>306113</v>
      </c>
      <c r="G8" s="47" t="n">
        <f aca="false">IF(F8=0,"",D8/F8)</f>
        <v>0.495170084249934</v>
      </c>
      <c r="H8" s="47" t="n">
        <f aca="false">IF(F8=0,"",E8/F8)</f>
        <v>0.504829915750066</v>
      </c>
      <c r="I8" s="20" t="s">
        <v>113</v>
      </c>
      <c r="J8" s="48" t="n">
        <v>0</v>
      </c>
      <c r="K8" s="48" t="n">
        <v>0.297938238782275</v>
      </c>
      <c r="L8" s="48" t="n">
        <f aca="false">SQRT(J8^2+K8^2)</f>
        <v>0.297938238782275</v>
      </c>
      <c r="M8" s="47" t="n">
        <f aca="false">G8-1.96*L8/100</f>
        <v>0.489330494769801</v>
      </c>
      <c r="N8" s="47" t="n">
        <f aca="false">G8+1.96*L8/100</f>
        <v>0.501009673730066</v>
      </c>
      <c r="O8" s="46" t="n">
        <f aca="false">ROUND(F8*0.04436,0)</f>
        <v>13579</v>
      </c>
      <c r="P8" s="46" t="n">
        <f aca="false">ROUND(SQRT((F8*L8/100)^2+(G8*O8)^2),0)</f>
        <v>6785</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127</v>
      </c>
      <c r="D12" s="52" t="n">
        <f aca="false">ROUND(S12*T12,0)</f>
        <v>154</v>
      </c>
      <c r="E12" s="52" t="n">
        <f aca="false">ROUND(S12,0)-D12</f>
        <v>210</v>
      </c>
      <c r="F12" s="52" t="n">
        <f aca="false">IF(COUNTA(D12:E12)=0,"",SUM(D12:E12))</f>
        <v>364</v>
      </c>
      <c r="G12" s="53" t="n">
        <f aca="false">IF(OR(F12="",F12=0),"",D12/F12)</f>
        <v>0.423076923076923</v>
      </c>
      <c r="H12" s="53" t="n">
        <f aca="false">IF(OR(F12="",F12=0),"",E12/F12)</f>
        <v>0.576923076923077</v>
      </c>
      <c r="I12" s="25" t="s">
        <v>128</v>
      </c>
      <c r="J12" s="28" t="n">
        <v>3.1978281706008</v>
      </c>
      <c r="K12" s="28" t="n">
        <f aca="false">$K$8</f>
        <v>0.297938238782275</v>
      </c>
      <c r="L12" s="28" t="n">
        <f aca="false">SQRT(J12^2+K12^2)</f>
        <v>3.21167747490571</v>
      </c>
      <c r="M12" s="53" t="n">
        <f aca="false">IF(G12="","",MAX(0,G12-1.96*L12/100))</f>
        <v>0.360128044568771</v>
      </c>
      <c r="N12" s="53" t="n">
        <f aca="false">IF(G12="","",MIN(1,G12+1.96*L12/100))</f>
        <v>0.486025801585075</v>
      </c>
      <c r="O12" s="52" t="n">
        <f aca="false">ROUND(S12*W12,0)</f>
        <v>54</v>
      </c>
      <c r="P12" s="52" t="n">
        <f aca="false">IF(F12="","",ROUND(SQRT((F12*L12/100)^2+(G12*O12)^2),0))</f>
        <v>26</v>
      </c>
      <c r="R12" s="54" t="n">
        <v>-8.96023894270661</v>
      </c>
      <c r="S12" s="55" t="n">
        <f aca="false">U12*V12*$F$5</f>
        <v>364.490963855422</v>
      </c>
      <c r="T12" s="56" t="n">
        <f aca="false">MAX(0,MIN(1,R12/100+$D$5))</f>
        <v>0.422391025091699</v>
      </c>
      <c r="U12" s="56" t="n">
        <v>0.58132530120482</v>
      </c>
      <c r="V12" s="55" t="n">
        <v>627</v>
      </c>
      <c r="W12" s="56" t="n">
        <v>0.148097331980838</v>
      </c>
      <c r="X12" s="57" t="s">
        <v>129</v>
      </c>
      <c r="Y12" s="57" t="s">
        <v>130</v>
      </c>
    </row>
    <row r="13" customFormat="false" ht="15" hidden="false" customHeight="false" outlineLevel="0" collapsed="false">
      <c r="A13" s="25" t="s">
        <v>126</v>
      </c>
      <c r="B13" s="25" t="s">
        <v>131</v>
      </c>
      <c r="C13" s="25" t="s">
        <v>131</v>
      </c>
      <c r="D13" s="52" t="n">
        <f aca="false">ROUND(S13*T13,0)</f>
        <v>97</v>
      </c>
      <c r="E13" s="52" t="n">
        <f aca="false">ROUND(S13,0)-D13</f>
        <v>233</v>
      </c>
      <c r="F13" s="52" t="n">
        <f aca="false">IF(COUNTA(D13:E13)=0,"",SUM(D13:E13))</f>
        <v>330</v>
      </c>
      <c r="G13" s="53" t="n">
        <f aca="false">IF(OR(F13="",F13=0),"",D13/F13)</f>
        <v>0.293939393939394</v>
      </c>
      <c r="H13" s="53" t="n">
        <f aca="false">IF(OR(F13="",F13=0),"",E13/F13)</f>
        <v>0.706060606060606</v>
      </c>
      <c r="I13" s="25" t="s">
        <v>128</v>
      </c>
      <c r="J13" s="28" t="n">
        <v>3.1978281706008</v>
      </c>
      <c r="K13" s="28" t="n">
        <f aca="false">$K$8</f>
        <v>0.297938238782275</v>
      </c>
      <c r="L13" s="28" t="n">
        <f aca="false">SQRT(J13^2+K13^2)</f>
        <v>3.21167747490571</v>
      </c>
      <c r="M13" s="53" t="n">
        <f aca="false">IF(G13="","",MAX(0,G13-1.96*L13/100))</f>
        <v>0.230990515431242</v>
      </c>
      <c r="N13" s="53" t="n">
        <f aca="false">IF(G13="","",MIN(1,G13+1.96*L13/100))</f>
        <v>0.356888272447546</v>
      </c>
      <c r="O13" s="52" t="n">
        <f aca="false">ROUND(S13*W13,0)</f>
        <v>49</v>
      </c>
      <c r="P13" s="52" t="n">
        <f aca="false">IF(F13="","",ROUND(SQRT((F13*L13/100)^2+(G13*O13)^2),0))</f>
        <v>18</v>
      </c>
      <c r="R13" s="54" t="n">
        <v>-21.8928818485521</v>
      </c>
      <c r="S13" s="55" t="n">
        <f aca="false">U13*V13*$F$5</f>
        <v>330.130136986301</v>
      </c>
      <c r="T13" s="56" t="n">
        <f aca="false">MAX(0,MIN(1,R13/100+$D$5))</f>
        <v>0.293064596033244</v>
      </c>
      <c r="U13" s="56" t="n">
        <v>0.537671232876712</v>
      </c>
      <c r="V13" s="55" t="n">
        <v>614</v>
      </c>
      <c r="W13" s="56" t="n">
        <v>0.148097331980838</v>
      </c>
      <c r="X13" s="57" t="s">
        <v>129</v>
      </c>
      <c r="Y13" s="57" t="s">
        <v>130</v>
      </c>
    </row>
    <row r="14" customFormat="false" ht="15" hidden="false" customHeight="false" outlineLevel="0" collapsed="false">
      <c r="A14" s="25" t="s">
        <v>126</v>
      </c>
      <c r="B14" s="25" t="s">
        <v>132</v>
      </c>
      <c r="C14" s="25" t="s">
        <v>132</v>
      </c>
      <c r="D14" s="52" t="n">
        <f aca="false">ROUND(S14*T14,0)</f>
        <v>121</v>
      </c>
      <c r="E14" s="52" t="n">
        <f aca="false">ROUND(S14,0)-D14</f>
        <v>235</v>
      </c>
      <c r="F14" s="52" t="n">
        <f aca="false">IF(COUNTA(D14:E14)=0,"",SUM(D14:E14))</f>
        <v>356</v>
      </c>
      <c r="G14" s="53" t="n">
        <f aca="false">IF(OR(F14="",F14=0),"",D14/F14)</f>
        <v>0.339887640449438</v>
      </c>
      <c r="H14" s="53" t="n">
        <f aca="false">IF(OR(F14="",F14=0),"",E14/F14)</f>
        <v>0.660112359550562</v>
      </c>
      <c r="I14" s="25" t="s">
        <v>128</v>
      </c>
      <c r="J14" s="28" t="n">
        <v>3.1978281706008</v>
      </c>
      <c r="K14" s="28" t="n">
        <f aca="false">$K$8</f>
        <v>0.297938238782275</v>
      </c>
      <c r="L14" s="28" t="n">
        <f aca="false">SQRT(J14^2+K14^2)</f>
        <v>3.21167747490571</v>
      </c>
      <c r="M14" s="53" t="n">
        <f aca="false">IF(G14="","",MAX(0,G14-1.96*L14/100))</f>
        <v>0.276938761941286</v>
      </c>
      <c r="N14" s="53" t="n">
        <f aca="false">IF(G14="","",MIN(1,G14+1.96*L14/100))</f>
        <v>0.40283651895759</v>
      </c>
      <c r="O14" s="52" t="n">
        <f aca="false">ROUND(S14*W14,0)</f>
        <v>53</v>
      </c>
      <c r="P14" s="52" t="n">
        <f aca="false">IF(F14="","",ROUND(SQRT((F14*L14/100)^2+(G14*O14)^2),0))</f>
        <v>21</v>
      </c>
      <c r="R14" s="54" t="n">
        <v>-17.2731585933479</v>
      </c>
      <c r="S14" s="55" t="n">
        <f aca="false">U14*V14*$F$5</f>
        <v>355.63436928702</v>
      </c>
      <c r="T14" s="56" t="n">
        <f aca="false">MAX(0,MIN(1,R14/100+$D$5))</f>
        <v>0.339261828585285</v>
      </c>
      <c r="U14" s="56" t="n">
        <v>0.636197440585009</v>
      </c>
      <c r="V14" s="55" t="n">
        <v>559</v>
      </c>
      <c r="W14" s="56" t="n">
        <v>0.148097331980838</v>
      </c>
      <c r="X14" s="57" t="s">
        <v>129</v>
      </c>
      <c r="Y14" s="57" t="s">
        <v>130</v>
      </c>
    </row>
    <row r="15" customFormat="false" ht="15" hidden="false" customHeight="false" outlineLevel="0" collapsed="false">
      <c r="A15" s="25" t="s">
        <v>126</v>
      </c>
      <c r="B15" s="25" t="s">
        <v>133</v>
      </c>
      <c r="C15" s="25" t="s">
        <v>134</v>
      </c>
      <c r="D15" s="52" t="n">
        <f aca="false">ROUND(S15*T15,0)</f>
        <v>192</v>
      </c>
      <c r="E15" s="52" t="n">
        <f aca="false">ROUND(S15,0)-D15</f>
        <v>532</v>
      </c>
      <c r="F15" s="52" t="n">
        <f aca="false">IF(COUNTA(D15:E15)=0,"",SUM(D15:E15))</f>
        <v>724</v>
      </c>
      <c r="G15" s="53" t="n">
        <f aca="false">IF(OR(F15="",F15=0),"",D15/F15)</f>
        <v>0.265193370165746</v>
      </c>
      <c r="H15" s="53" t="n">
        <f aca="false">IF(OR(F15="",F15=0),"",E15/F15)</f>
        <v>0.734806629834254</v>
      </c>
      <c r="I15" s="25" t="s">
        <v>128</v>
      </c>
      <c r="J15" s="28" t="n">
        <v>2.22489971008846</v>
      </c>
      <c r="K15" s="28" t="n">
        <f aca="false">$K$8</f>
        <v>0.297938238782275</v>
      </c>
      <c r="L15" s="28" t="n">
        <f aca="false">SQRT(J15^2+K15^2)</f>
        <v>2.24475965619494</v>
      </c>
      <c r="M15" s="53" t="n">
        <f aca="false">IF(G15="","",MAX(0,G15-1.96*L15/100))</f>
        <v>0.221196080904325</v>
      </c>
      <c r="N15" s="53" t="n">
        <f aca="false">IF(G15="","",MIN(1,G15+1.96*L15/100))</f>
        <v>0.309190659427167</v>
      </c>
      <c r="O15" s="52" t="n">
        <f aca="false">ROUND(S15*W15,0)</f>
        <v>64</v>
      </c>
      <c r="P15" s="52" t="n">
        <f aca="false">IF(F15="","",ROUND(SQRT((F15*L15/100)^2+(G15*O15)^2),0))</f>
        <v>23</v>
      </c>
      <c r="R15" s="54" t="n">
        <v>-24.642820966893</v>
      </c>
      <c r="S15" s="55" t="n">
        <f aca="false">U15*V15*$F$5</f>
        <v>724.377906976744</v>
      </c>
      <c r="T15" s="56" t="n">
        <f aca="false">MAX(0,MIN(1,R15/100+$D$5))</f>
        <v>0.265565204849835</v>
      </c>
      <c r="U15" s="56" t="n">
        <v>0.676356589147287</v>
      </c>
      <c r="V15" s="55" t="n">
        <v>1071</v>
      </c>
      <c r="W15" s="56" t="n">
        <v>0.0887445098984521</v>
      </c>
      <c r="X15" s="57" t="s">
        <v>135</v>
      </c>
      <c r="Y15" s="57" t="s">
        <v>130</v>
      </c>
    </row>
    <row r="16" customFormat="false" ht="15" hidden="false" customHeight="false" outlineLevel="0" collapsed="false">
      <c r="A16" s="25" t="s">
        <v>126</v>
      </c>
      <c r="B16" s="25" t="s">
        <v>133</v>
      </c>
      <c r="C16" s="25" t="s">
        <v>136</v>
      </c>
      <c r="D16" s="52" t="n">
        <f aca="false">ROUND(S16*T16,0)</f>
        <v>174</v>
      </c>
      <c r="E16" s="52" t="n">
        <f aca="false">ROUND(S16,0)-D16</f>
        <v>437</v>
      </c>
      <c r="F16" s="52" t="n">
        <f aca="false">IF(COUNTA(D16:E16)=0,"",SUM(D16:E16))</f>
        <v>611</v>
      </c>
      <c r="G16" s="53" t="n">
        <f aca="false">IF(OR(F16="",F16=0),"",D16/F16)</f>
        <v>0.284779050736498</v>
      </c>
      <c r="H16" s="53" t="n">
        <f aca="false">IF(OR(F16="",F16=0),"",E16/F16)</f>
        <v>0.715220949263502</v>
      </c>
      <c r="I16" s="25" t="s">
        <v>128</v>
      </c>
      <c r="J16" s="28" t="n">
        <v>2.22489971008846</v>
      </c>
      <c r="K16" s="28" t="n">
        <f aca="false">$K$8</f>
        <v>0.297938238782275</v>
      </c>
      <c r="L16" s="28" t="n">
        <f aca="false">SQRT(J16^2+K16^2)</f>
        <v>2.24475965619494</v>
      </c>
      <c r="M16" s="53" t="n">
        <f aca="false">IF(G16="","",MAX(0,G16-1.96*L16/100))</f>
        <v>0.240781761475077</v>
      </c>
      <c r="N16" s="53" t="n">
        <f aca="false">IF(G16="","",MIN(1,G16+1.96*L16/100))</f>
        <v>0.328776339997918</v>
      </c>
      <c r="O16" s="52" t="n">
        <f aca="false">ROUND(S16*W16,0)</f>
        <v>54</v>
      </c>
      <c r="P16" s="52" t="n">
        <f aca="false">IF(F16="","",ROUND(SQRT((F16*L16/100)^2+(G16*O16)^2),0))</f>
        <v>21</v>
      </c>
      <c r="R16" s="54" t="n">
        <v>-22.7557237415554</v>
      </c>
      <c r="S16" s="55" t="n">
        <f aca="false">U16*V16*$F$5</f>
        <v>610.89237199582</v>
      </c>
      <c r="T16" s="56" t="n">
        <f aca="false">MAX(0,MIN(1,R16/100+$D$5))</f>
        <v>0.284436177103211</v>
      </c>
      <c r="U16" s="56" t="n">
        <v>0.625914315569488</v>
      </c>
      <c r="V16" s="55" t="n">
        <v>976</v>
      </c>
      <c r="W16" s="56" t="n">
        <v>0.0887445098984521</v>
      </c>
      <c r="X16" s="57" t="s">
        <v>135</v>
      </c>
      <c r="Y16" s="57" t="s">
        <v>130</v>
      </c>
    </row>
    <row r="17" customFormat="false" ht="15" hidden="false" customHeight="false" outlineLevel="0" collapsed="false">
      <c r="A17" s="25" t="s">
        <v>126</v>
      </c>
      <c r="B17" s="25" t="s">
        <v>137</v>
      </c>
      <c r="C17" s="25" t="s">
        <v>137</v>
      </c>
      <c r="D17" s="52" t="n">
        <f aca="false">ROUND(S17*T17,0)</f>
        <v>33</v>
      </c>
      <c r="E17" s="52" t="n">
        <f aca="false">ROUND(S17,0)-D17</f>
        <v>60</v>
      </c>
      <c r="F17" s="52" t="n">
        <f aca="false">IF(COUNTA(D17:E17)=0,"",SUM(D17:E17))</f>
        <v>93</v>
      </c>
      <c r="G17" s="53" t="n">
        <f aca="false">IF(OR(F17="",F17=0),"",D17/F17)</f>
        <v>0.354838709677419</v>
      </c>
      <c r="H17" s="53" t="n">
        <f aca="false">IF(OR(F17="",F17=0),"",E17/F17)</f>
        <v>0.645161290322581</v>
      </c>
      <c r="I17" s="25" t="s">
        <v>128</v>
      </c>
      <c r="J17" s="28" t="n">
        <v>3.1978281706008</v>
      </c>
      <c r="K17" s="28" t="n">
        <f aca="false">$K$8</f>
        <v>0.297938238782275</v>
      </c>
      <c r="L17" s="28" t="n">
        <f aca="false">SQRT(J17^2+K17^2)</f>
        <v>3.21167747490571</v>
      </c>
      <c r="M17" s="53" t="n">
        <f aca="false">IF(G17="","",MAX(0,G17-1.96*L17/100))</f>
        <v>0.291889831169268</v>
      </c>
      <c r="N17" s="53" t="n">
        <f aca="false">IF(G17="","",MIN(1,G17+1.96*L17/100))</f>
        <v>0.417787588185571</v>
      </c>
      <c r="O17" s="52" t="n">
        <f aca="false">ROUND(S17*W17,0)</f>
        <v>14</v>
      </c>
      <c r="P17" s="52" t="n">
        <f aca="false">IF(F17="","",ROUND(SQRT((F17*L17/100)^2+(G17*O17)^2),0))</f>
        <v>6</v>
      </c>
      <c r="R17" s="54" t="n">
        <v>-15.9096053678746</v>
      </c>
      <c r="S17" s="55" t="n">
        <f aca="false">U17*V17*$F$5</f>
        <v>93.4268292682927</v>
      </c>
      <c r="T17" s="56" t="n">
        <f aca="false">MAX(0,MIN(1,R17/100+$D$5))</f>
        <v>0.352897360840018</v>
      </c>
      <c r="U17" s="56" t="n">
        <v>0.573170731707317</v>
      </c>
      <c r="V17" s="55" t="n">
        <v>163</v>
      </c>
      <c r="W17" s="56" t="n">
        <v>0.148097331980838</v>
      </c>
      <c r="X17" s="57" t="s">
        <v>129</v>
      </c>
      <c r="Y17" s="57" t="s">
        <v>130</v>
      </c>
    </row>
    <row r="18" customFormat="false" ht="15" hidden="false" customHeight="false" outlineLevel="0" collapsed="false">
      <c r="A18" s="25" t="s">
        <v>126</v>
      </c>
      <c r="B18" s="25" t="s">
        <v>138</v>
      </c>
      <c r="C18" s="25" t="s">
        <v>139</v>
      </c>
      <c r="D18" s="52" t="n">
        <f aca="false">ROUND(S18*T18,0)</f>
        <v>245</v>
      </c>
      <c r="E18" s="52" t="n">
        <f aca="false">ROUND(S18,0)-D18</f>
        <v>608</v>
      </c>
      <c r="F18" s="52" t="n">
        <f aca="false">IF(COUNTA(D18:E18)=0,"",SUM(D18:E18))</f>
        <v>853</v>
      </c>
      <c r="G18" s="53" t="n">
        <f aca="false">IF(OR(F18="",F18=0),"",D18/F18)</f>
        <v>0.287221570926143</v>
      </c>
      <c r="H18" s="53" t="n">
        <f aca="false">IF(OR(F18="",F18=0),"",E18/F18)</f>
        <v>0.712778429073857</v>
      </c>
      <c r="I18" s="25" t="s">
        <v>128</v>
      </c>
      <c r="J18" s="28" t="n">
        <v>2.22489971008846</v>
      </c>
      <c r="K18" s="28" t="n">
        <f aca="false">$K$8</f>
        <v>0.297938238782275</v>
      </c>
      <c r="L18" s="28" t="n">
        <f aca="false">SQRT(J18^2+K18^2)</f>
        <v>2.24475965619494</v>
      </c>
      <c r="M18" s="53" t="n">
        <f aca="false">IF(G18="","",MAX(0,G18-1.96*L18/100))</f>
        <v>0.243224281664722</v>
      </c>
      <c r="N18" s="53" t="n">
        <f aca="false">IF(G18="","",MIN(1,G18+1.96*L18/100))</f>
        <v>0.331218860187564</v>
      </c>
      <c r="O18" s="52" t="n">
        <f aca="false">ROUND(S18*W18,0)</f>
        <v>76</v>
      </c>
      <c r="P18" s="52" t="n">
        <f aca="false">IF(F18="","",ROUND(SQRT((F18*L18/100)^2+(G18*O18)^2),0))</f>
        <v>29</v>
      </c>
      <c r="R18" s="54" t="n">
        <v>-22.5056311229132</v>
      </c>
      <c r="S18" s="55" t="n">
        <f aca="false">U18*V18*$F$5</f>
        <v>852.994440031771</v>
      </c>
      <c r="T18" s="56" t="n">
        <f aca="false">MAX(0,MIN(1,R18/100+$D$5))</f>
        <v>0.286937103289633</v>
      </c>
      <c r="U18" s="56" t="n">
        <v>0.666401906274821</v>
      </c>
      <c r="V18" s="55" t="n">
        <v>1280</v>
      </c>
      <c r="W18" s="56" t="n">
        <v>0.0887445098984521</v>
      </c>
      <c r="X18" s="57" t="s">
        <v>135</v>
      </c>
      <c r="Y18" s="57" t="s">
        <v>130</v>
      </c>
    </row>
    <row r="19" customFormat="false" ht="15" hidden="false" customHeight="false" outlineLevel="0" collapsed="false">
      <c r="A19" s="25" t="s">
        <v>126</v>
      </c>
      <c r="B19" s="25" t="s">
        <v>138</v>
      </c>
      <c r="C19" s="25" t="s">
        <v>140</v>
      </c>
      <c r="D19" s="52" t="n">
        <f aca="false">ROUND(S19*T19,0)</f>
        <v>125</v>
      </c>
      <c r="E19" s="52" t="n">
        <f aca="false">ROUND(S19,0)-D19</f>
        <v>323</v>
      </c>
      <c r="F19" s="52" t="n">
        <f aca="false">IF(COUNTA(D19:E19)=0,"",SUM(D19:E19))</f>
        <v>448</v>
      </c>
      <c r="G19" s="53" t="n">
        <f aca="false">IF(OR(F19="",F19=0),"",D19/F19)</f>
        <v>0.279017857142857</v>
      </c>
      <c r="H19" s="53" t="n">
        <f aca="false">IF(OR(F19="",F19=0),"",E19/F19)</f>
        <v>0.720982142857143</v>
      </c>
      <c r="I19" s="25" t="s">
        <v>128</v>
      </c>
      <c r="J19" s="28" t="n">
        <v>3.1978281706008</v>
      </c>
      <c r="K19" s="28" t="n">
        <f aca="false">$K$8</f>
        <v>0.297938238782275</v>
      </c>
      <c r="L19" s="28" t="n">
        <f aca="false">SQRT(J19^2+K19^2)</f>
        <v>3.21167747490571</v>
      </c>
      <c r="M19" s="53" t="n">
        <f aca="false">IF(G19="","",MAX(0,G19-1.96*L19/100))</f>
        <v>0.216068978634705</v>
      </c>
      <c r="N19" s="53" t="n">
        <f aca="false">IF(G19="","",MIN(1,G19+1.96*L19/100))</f>
        <v>0.341966735651009</v>
      </c>
      <c r="O19" s="52" t="n">
        <f aca="false">ROUND(S19*W19,0)</f>
        <v>66</v>
      </c>
      <c r="P19" s="52" t="n">
        <f aca="false">IF(F19="","",ROUND(SQRT((F19*L19/100)^2+(G19*O19)^2),0))</f>
        <v>23</v>
      </c>
      <c r="R19" s="54" t="n">
        <v>-23.1937359352232</v>
      </c>
      <c r="S19" s="55" t="n">
        <f aca="false">U19*V19*$F$5</f>
        <v>447.939320388349</v>
      </c>
      <c r="T19" s="56" t="n">
        <f aca="false">MAX(0,MIN(1,R19/100+$D$5))</f>
        <v>0.280056055166533</v>
      </c>
      <c r="U19" s="56" t="n">
        <v>0.550970873786408</v>
      </c>
      <c r="V19" s="55" t="n">
        <v>813</v>
      </c>
      <c r="W19" s="56" t="n">
        <v>0.148097331980838</v>
      </c>
      <c r="X19" s="57" t="s">
        <v>129</v>
      </c>
      <c r="Y19" s="57" t="s">
        <v>130</v>
      </c>
    </row>
    <row r="20" customFormat="false" ht="15" hidden="false" customHeight="false" outlineLevel="0" collapsed="false">
      <c r="A20" s="25" t="s">
        <v>126</v>
      </c>
      <c r="B20" s="25" t="s">
        <v>138</v>
      </c>
      <c r="C20" s="25" t="s">
        <v>141</v>
      </c>
      <c r="D20" s="52" t="n">
        <f aca="false">ROUND(S20*T20,0)</f>
        <v>188</v>
      </c>
      <c r="E20" s="52" t="n">
        <f aca="false">ROUND(S20,0)-D20</f>
        <v>495</v>
      </c>
      <c r="F20" s="52" t="n">
        <f aca="false">IF(COUNTA(D20:E20)=0,"",SUM(D20:E20))</f>
        <v>683</v>
      </c>
      <c r="G20" s="53" t="n">
        <f aca="false">IF(OR(F20="",F20=0),"",D20/F20)</f>
        <v>0.275256222547584</v>
      </c>
      <c r="H20" s="53" t="n">
        <f aca="false">IF(OR(F20="",F20=0),"",E20/F20)</f>
        <v>0.724743777452416</v>
      </c>
      <c r="I20" s="25" t="s">
        <v>128</v>
      </c>
      <c r="J20" s="28" t="n">
        <v>2.22489971008846</v>
      </c>
      <c r="K20" s="28" t="n">
        <f aca="false">$K$8</f>
        <v>0.297938238782275</v>
      </c>
      <c r="L20" s="28" t="n">
        <f aca="false">SQRT(J20^2+K20^2)</f>
        <v>2.24475965619494</v>
      </c>
      <c r="M20" s="53" t="n">
        <f aca="false">IF(G20="","",MAX(0,G20-1.96*L20/100))</f>
        <v>0.231258933286163</v>
      </c>
      <c r="N20" s="53" t="n">
        <f aca="false">IF(G20="","",MIN(1,G20+1.96*L20/100))</f>
        <v>0.319253511809005</v>
      </c>
      <c r="O20" s="52" t="n">
        <f aca="false">ROUND(S20*W20,0)</f>
        <v>61</v>
      </c>
      <c r="P20" s="52" t="n">
        <f aca="false">IF(F20="","",ROUND(SQRT((F20*L20/100)^2+(G20*O20)^2),0))</f>
        <v>23</v>
      </c>
      <c r="R20" s="54" t="n">
        <v>-23.6391551644366</v>
      </c>
      <c r="S20" s="55" t="n">
        <f aca="false">U20*V20*$F$5</f>
        <v>683.326771653543</v>
      </c>
      <c r="T20" s="56" t="n">
        <f aca="false">MAX(0,MIN(1,R20/100+$D$5))</f>
        <v>0.275601862874399</v>
      </c>
      <c r="U20" s="56" t="n">
        <v>0.654527559055118</v>
      </c>
      <c r="V20" s="55" t="n">
        <v>1044</v>
      </c>
      <c r="W20" s="56" t="n">
        <v>0.0887445098984521</v>
      </c>
      <c r="X20" s="57" t="s">
        <v>135</v>
      </c>
      <c r="Y20" s="57" t="s">
        <v>130</v>
      </c>
    </row>
    <row r="21" customFormat="false" ht="15" hidden="false" customHeight="false" outlineLevel="0" collapsed="false">
      <c r="A21" s="25" t="s">
        <v>126</v>
      </c>
      <c r="B21" s="25" t="s">
        <v>142</v>
      </c>
      <c r="C21" s="25" t="s">
        <v>143</v>
      </c>
      <c r="D21" s="52" t="n">
        <f aca="false">ROUND(S21*T21,0)</f>
        <v>196</v>
      </c>
      <c r="E21" s="52" t="n">
        <f aca="false">ROUND(S21,0)-D21</f>
        <v>240</v>
      </c>
      <c r="F21" s="52" t="n">
        <f aca="false">IF(COUNTA(D21:E21)=0,"",SUM(D21:E21))</f>
        <v>436</v>
      </c>
      <c r="G21" s="53" t="n">
        <f aca="false">IF(OR(F21="",F21=0),"",D21/F21)</f>
        <v>0.44954128440367</v>
      </c>
      <c r="H21" s="53" t="n">
        <f aca="false">IF(OR(F21="",F21=0),"",E21/F21)</f>
        <v>0.55045871559633</v>
      </c>
      <c r="I21" s="25" t="s">
        <v>128</v>
      </c>
      <c r="J21" s="28" t="n">
        <v>3.1978281706008</v>
      </c>
      <c r="K21" s="28" t="n">
        <f aca="false">$K$8</f>
        <v>0.297938238782275</v>
      </c>
      <c r="L21" s="28" t="n">
        <f aca="false">SQRT(J21^2+K21^2)</f>
        <v>3.21167747490571</v>
      </c>
      <c r="M21" s="53" t="n">
        <f aca="false">IF(G21="","",MAX(0,G21-1.96*L21/100))</f>
        <v>0.386592405895518</v>
      </c>
      <c r="N21" s="53" t="n">
        <f aca="false">IF(G21="","",MIN(1,G21+1.96*L21/100))</f>
        <v>0.512490162911822</v>
      </c>
      <c r="O21" s="52" t="n">
        <f aca="false">ROUND(S21*W21,0)</f>
        <v>65</v>
      </c>
      <c r="P21" s="52" t="n">
        <f aca="false">IF(F21="","",ROUND(SQRT((F21*L21/100)^2+(G21*O21)^2),0))</f>
        <v>32</v>
      </c>
      <c r="R21" s="54" t="n">
        <v>-6.29777723183289</v>
      </c>
      <c r="S21" s="55" t="n">
        <f aca="false">U21*V21*$F$5</f>
        <v>436.24466571835</v>
      </c>
      <c r="T21" s="56" t="n">
        <f aca="false">MAX(0,MIN(1,R21/100+$D$5))</f>
        <v>0.449015642200436</v>
      </c>
      <c r="U21" s="56" t="n">
        <v>0.625889046941679</v>
      </c>
      <c r="V21" s="55" t="n">
        <v>697</v>
      </c>
      <c r="W21" s="56" t="n">
        <v>0.148097331980838</v>
      </c>
      <c r="X21" s="57" t="s">
        <v>129</v>
      </c>
      <c r="Y21" s="57" t="s">
        <v>130</v>
      </c>
    </row>
    <row r="22" customFormat="false" ht="15" hidden="false" customHeight="false" outlineLevel="0" collapsed="false">
      <c r="A22" s="25" t="s">
        <v>126</v>
      </c>
      <c r="B22" s="25" t="s">
        <v>142</v>
      </c>
      <c r="C22" s="25" t="s">
        <v>144</v>
      </c>
      <c r="D22" s="52" t="n">
        <f aca="false">ROUND(S22*T22,0)</f>
        <v>122</v>
      </c>
      <c r="E22" s="52" t="n">
        <f aca="false">ROUND(S22,0)-D22</f>
        <v>158</v>
      </c>
      <c r="F22" s="52" t="n">
        <f aca="false">IF(COUNTA(D22:E22)=0,"",SUM(D22:E22))</f>
        <v>280</v>
      </c>
      <c r="G22" s="53" t="n">
        <f aca="false">IF(OR(F22="",F22=0),"",D22/F22)</f>
        <v>0.435714285714286</v>
      </c>
      <c r="H22" s="53" t="n">
        <f aca="false">IF(OR(F22="",F22=0),"",E22/F22)</f>
        <v>0.564285714285714</v>
      </c>
      <c r="I22" s="25" t="s">
        <v>128</v>
      </c>
      <c r="J22" s="28" t="n">
        <v>3.1978281706008</v>
      </c>
      <c r="K22" s="28" t="n">
        <f aca="false">$K$8</f>
        <v>0.297938238782275</v>
      </c>
      <c r="L22" s="28" t="n">
        <f aca="false">SQRT(J22^2+K22^2)</f>
        <v>3.21167747490571</v>
      </c>
      <c r="M22" s="53" t="n">
        <f aca="false">IF(G22="","",MAX(0,G22-1.96*L22/100))</f>
        <v>0.372765407206134</v>
      </c>
      <c r="N22" s="53" t="n">
        <f aca="false">IF(G22="","",MIN(1,G22+1.96*L22/100))</f>
        <v>0.498663164222438</v>
      </c>
      <c r="O22" s="52" t="n">
        <f aca="false">ROUND(S22*W22,0)</f>
        <v>42</v>
      </c>
      <c r="P22" s="52" t="n">
        <f aca="false">IF(F22="","",ROUND(SQRT((F22*L22/100)^2+(G22*O22)^2),0))</f>
        <v>20</v>
      </c>
      <c r="R22" s="54" t="n">
        <v>-7.63226659442704</v>
      </c>
      <c r="S22" s="55" t="n">
        <f aca="false">U22*V22*$F$5</f>
        <v>280.5</v>
      </c>
      <c r="T22" s="56" t="n">
        <f aca="false">MAX(0,MIN(1,R22/100+$D$5))</f>
        <v>0.435670748574494</v>
      </c>
      <c r="U22" s="56" t="n">
        <v>0.568965517241379</v>
      </c>
      <c r="V22" s="55" t="n">
        <v>493</v>
      </c>
      <c r="W22" s="56" t="n">
        <v>0.148097331980838</v>
      </c>
      <c r="X22" s="57" t="s">
        <v>129</v>
      </c>
      <c r="Y22" s="57" t="s">
        <v>130</v>
      </c>
    </row>
    <row r="23" customFormat="false" ht="15" hidden="false" customHeight="false" outlineLevel="0" collapsed="false">
      <c r="A23" s="25" t="s">
        <v>126</v>
      </c>
      <c r="B23" s="25" t="s">
        <v>142</v>
      </c>
      <c r="C23" s="25" t="s">
        <v>145</v>
      </c>
      <c r="D23" s="52" t="n">
        <f aca="false">ROUND(S23*T23,0)</f>
        <v>251</v>
      </c>
      <c r="E23" s="52" t="n">
        <f aca="false">ROUND(S23,0)-D23</f>
        <v>395</v>
      </c>
      <c r="F23" s="52" t="n">
        <f aca="false">IF(COUNTA(D23:E23)=0,"",SUM(D23:E23))</f>
        <v>646</v>
      </c>
      <c r="G23" s="53" t="n">
        <f aca="false">IF(OR(F23="",F23=0),"",D23/F23)</f>
        <v>0.388544891640867</v>
      </c>
      <c r="H23" s="53" t="n">
        <f aca="false">IF(OR(F23="",F23=0),"",E23/F23)</f>
        <v>0.611455108359133</v>
      </c>
      <c r="I23" s="25" t="s">
        <v>128</v>
      </c>
      <c r="J23" s="28" t="n">
        <v>2.22489971008846</v>
      </c>
      <c r="K23" s="28" t="n">
        <f aca="false">$K$8</f>
        <v>0.297938238782275</v>
      </c>
      <c r="L23" s="28" t="n">
        <f aca="false">SQRT(J23^2+K23^2)</f>
        <v>2.24475965619494</v>
      </c>
      <c r="M23" s="53" t="n">
        <f aca="false">IF(G23="","",MAX(0,G23-1.96*L23/100))</f>
        <v>0.344547602379446</v>
      </c>
      <c r="N23" s="53" t="n">
        <f aca="false">IF(G23="","",MIN(1,G23+1.96*L23/100))</f>
        <v>0.432542180902288</v>
      </c>
      <c r="O23" s="52" t="n">
        <f aca="false">ROUND(S23*W23,0)</f>
        <v>57</v>
      </c>
      <c r="P23" s="52" t="n">
        <f aca="false">IF(F23="","",ROUND(SQRT((F23*L23/100)^2+(G23*O23)^2),0))</f>
        <v>26</v>
      </c>
      <c r="R23" s="54" t="n">
        <v>-12.3059777605267</v>
      </c>
      <c r="S23" s="55" t="n">
        <f aca="false">U23*V23*$F$5</f>
        <v>645.69536423841</v>
      </c>
      <c r="T23" s="56" t="n">
        <f aca="false">MAX(0,MIN(1,R23/100+$D$5))</f>
        <v>0.388933636913498</v>
      </c>
      <c r="U23" s="56" t="n">
        <v>0.689845474613686</v>
      </c>
      <c r="V23" s="55" t="n">
        <v>936</v>
      </c>
      <c r="W23" s="56" t="n">
        <v>0.0887445098984521</v>
      </c>
      <c r="X23" s="57" t="s">
        <v>135</v>
      </c>
      <c r="Y23" s="57" t="s">
        <v>130</v>
      </c>
    </row>
    <row r="24" customFormat="false" ht="15" hidden="false" customHeight="false" outlineLevel="0" collapsed="false">
      <c r="A24" s="25" t="s">
        <v>126</v>
      </c>
      <c r="B24" s="25" t="s">
        <v>142</v>
      </c>
      <c r="C24" s="25" t="s">
        <v>146</v>
      </c>
      <c r="D24" s="52" t="n">
        <f aca="false">ROUND(S24*T24,0)</f>
        <v>116</v>
      </c>
      <c r="E24" s="52" t="n">
        <f aca="false">ROUND(S24,0)-D24</f>
        <v>113</v>
      </c>
      <c r="F24" s="52" t="n">
        <f aca="false">IF(COUNTA(D24:E24)=0,"",SUM(D24:E24))</f>
        <v>229</v>
      </c>
      <c r="G24" s="53" t="n">
        <f aca="false">IF(OR(F24="",F24=0),"",D24/F24)</f>
        <v>0.506550218340611</v>
      </c>
      <c r="H24" s="53" t="n">
        <f aca="false">IF(OR(F24="",F24=0),"",E24/F24)</f>
        <v>0.493449781659389</v>
      </c>
      <c r="I24" s="25" t="s">
        <v>128</v>
      </c>
      <c r="J24" s="28" t="n">
        <v>3.1978281706008</v>
      </c>
      <c r="K24" s="28" t="n">
        <f aca="false">$K$8</f>
        <v>0.297938238782275</v>
      </c>
      <c r="L24" s="28" t="n">
        <f aca="false">SQRT(J24^2+K24^2)</f>
        <v>3.21167747490571</v>
      </c>
      <c r="M24" s="53" t="n">
        <f aca="false">IF(G24="","",MAX(0,G24-1.96*L24/100))</f>
        <v>0.443601339832459</v>
      </c>
      <c r="N24" s="53" t="n">
        <f aca="false">IF(G24="","",MIN(1,G24+1.96*L24/100))</f>
        <v>0.569499096848763</v>
      </c>
      <c r="O24" s="52" t="n">
        <f aca="false">ROUND(S24*W24,0)</f>
        <v>34</v>
      </c>
      <c r="P24" s="52" t="n">
        <f aca="false">IF(F24="","",ROUND(SQRT((F24*L24/100)^2+(G24*O24)^2),0))</f>
        <v>19</v>
      </c>
      <c r="R24" s="54" t="n">
        <v>-0.489911171455161</v>
      </c>
      <c r="S24" s="55" t="n">
        <f aca="false">U24*V24*$F$5</f>
        <v>229.496083550914</v>
      </c>
      <c r="T24" s="56" t="n">
        <f aca="false">MAX(0,MIN(1,R24/100+$D$5))</f>
        <v>0.507094302804213</v>
      </c>
      <c r="U24" s="56" t="n">
        <v>0.650130548302872</v>
      </c>
      <c r="V24" s="55" t="n">
        <v>353</v>
      </c>
      <c r="W24" s="56" t="n">
        <v>0.148097331980838</v>
      </c>
      <c r="X24" s="57" t="s">
        <v>129</v>
      </c>
      <c r="Y24" s="57" t="s">
        <v>130</v>
      </c>
    </row>
    <row r="25" customFormat="false" ht="15" hidden="false" customHeight="false" outlineLevel="0" collapsed="false">
      <c r="A25" s="25" t="s">
        <v>126</v>
      </c>
      <c r="B25" s="25" t="s">
        <v>142</v>
      </c>
      <c r="C25" s="25" t="s">
        <v>147</v>
      </c>
      <c r="D25" s="52" t="n">
        <f aca="false">ROUND(S25*T25,0)</f>
        <v>236</v>
      </c>
      <c r="E25" s="52" t="n">
        <f aca="false">ROUND(S25,0)-D25</f>
        <v>283</v>
      </c>
      <c r="F25" s="52" t="n">
        <f aca="false">IF(COUNTA(D25:E25)=0,"",SUM(D25:E25))</f>
        <v>519</v>
      </c>
      <c r="G25" s="53" t="n">
        <f aca="false">IF(OR(F25="",F25=0),"",D25/F25)</f>
        <v>0.454720616570328</v>
      </c>
      <c r="H25" s="53" t="n">
        <f aca="false">IF(OR(F25="",F25=0),"",E25/F25)</f>
        <v>0.545279383429672</v>
      </c>
      <c r="I25" s="25" t="s">
        <v>128</v>
      </c>
      <c r="J25" s="28" t="n">
        <v>3.1978281706008</v>
      </c>
      <c r="K25" s="28" t="n">
        <f aca="false">$K$8</f>
        <v>0.297938238782275</v>
      </c>
      <c r="L25" s="28" t="n">
        <f aca="false">SQRT(J25^2+K25^2)</f>
        <v>3.21167747490571</v>
      </c>
      <c r="M25" s="53" t="n">
        <f aca="false">IF(G25="","",MAX(0,G25-1.96*L25/100))</f>
        <v>0.391771738062176</v>
      </c>
      <c r="N25" s="53" t="n">
        <f aca="false">IF(G25="","",MIN(1,G25+1.96*L25/100))</f>
        <v>0.51766949507848</v>
      </c>
      <c r="O25" s="52" t="n">
        <f aca="false">ROUND(S25*W25,0)</f>
        <v>77</v>
      </c>
      <c r="P25" s="52" t="n">
        <f aca="false">IF(F25="","",ROUND(SQRT((F25*L25/100)^2+(G25*O25)^2),0))</f>
        <v>39</v>
      </c>
      <c r="R25" s="54" t="n">
        <v>-5.71900197342184</v>
      </c>
      <c r="S25" s="55" t="n">
        <f aca="false">U25*V25*$F$5</f>
        <v>519.166666666667</v>
      </c>
      <c r="T25" s="56" t="n">
        <f aca="false">MAX(0,MIN(1,R25/100+$D$5))</f>
        <v>0.454803394784546</v>
      </c>
      <c r="U25" s="56" t="n">
        <v>0.648148148148148</v>
      </c>
      <c r="V25" s="55" t="n">
        <v>801</v>
      </c>
      <c r="W25" s="56" t="n">
        <v>0.148097331980838</v>
      </c>
      <c r="X25" s="57" t="s">
        <v>129</v>
      </c>
      <c r="Y25" s="57" t="s">
        <v>130</v>
      </c>
    </row>
    <row r="26" customFormat="false" ht="15" hidden="false" customHeight="false" outlineLevel="0" collapsed="false">
      <c r="A26" s="25" t="s">
        <v>126</v>
      </c>
      <c r="B26" s="25" t="s">
        <v>148</v>
      </c>
      <c r="C26" s="25" t="s">
        <v>149</v>
      </c>
      <c r="D26" s="52" t="n">
        <f aca="false">ROUND(S26*T26,0)</f>
        <v>97</v>
      </c>
      <c r="E26" s="52" t="n">
        <f aca="false">ROUND(S26,0)-D26</f>
        <v>170</v>
      </c>
      <c r="F26" s="52" t="n">
        <f aca="false">IF(COUNTA(D26:E26)=0,"",SUM(D26:E26))</f>
        <v>267</v>
      </c>
      <c r="G26" s="53" t="n">
        <f aca="false">IF(OR(F26="",F26=0),"",D26/F26)</f>
        <v>0.363295880149813</v>
      </c>
      <c r="H26" s="53" t="n">
        <f aca="false">IF(OR(F26="",F26=0),"",E26/F26)</f>
        <v>0.636704119850187</v>
      </c>
      <c r="I26" s="25" t="s">
        <v>128</v>
      </c>
      <c r="J26" s="28" t="n">
        <v>3.1978281706008</v>
      </c>
      <c r="K26" s="28" t="n">
        <f aca="false">$K$8</f>
        <v>0.297938238782275</v>
      </c>
      <c r="L26" s="28" t="n">
        <f aca="false">SQRT(J26^2+K26^2)</f>
        <v>3.21167747490571</v>
      </c>
      <c r="M26" s="53" t="n">
        <f aca="false">IF(G26="","",MAX(0,G26-1.96*L26/100))</f>
        <v>0.300347001641661</v>
      </c>
      <c r="N26" s="53" t="n">
        <f aca="false">IF(G26="","",MIN(1,G26+1.96*L26/100))</f>
        <v>0.426244758657965</v>
      </c>
      <c r="O26" s="52" t="n">
        <f aca="false">ROUND(S26*W26,0)</f>
        <v>40</v>
      </c>
      <c r="P26" s="52" t="n">
        <f aca="false">IF(F26="","",ROUND(SQRT((F26*L26/100)^2+(G26*O26)^2),0))</f>
        <v>17</v>
      </c>
      <c r="R26" s="54" t="n">
        <v>-14.6902570816061</v>
      </c>
      <c r="S26" s="55" t="n">
        <f aca="false">U26*V26*$F$5</f>
        <v>267.002518891688</v>
      </c>
      <c r="T26" s="56" t="n">
        <f aca="false">MAX(0,MIN(1,R26/100+$D$5))</f>
        <v>0.365090843702704</v>
      </c>
      <c r="U26" s="56" t="n">
        <v>0.629722921914358</v>
      </c>
      <c r="V26" s="55" t="n">
        <v>424</v>
      </c>
      <c r="W26" s="56" t="n">
        <v>0.148097331980838</v>
      </c>
      <c r="X26" s="57" t="s">
        <v>129</v>
      </c>
      <c r="Y26" s="57" t="s">
        <v>130</v>
      </c>
    </row>
    <row r="27" customFormat="false" ht="15" hidden="false" customHeight="false" outlineLevel="0" collapsed="false">
      <c r="A27" s="25" t="s">
        <v>126</v>
      </c>
      <c r="B27" s="25" t="s">
        <v>148</v>
      </c>
      <c r="C27" s="25" t="s">
        <v>150</v>
      </c>
      <c r="D27" s="52" t="n">
        <f aca="false">ROUND(S27*T27,0)</f>
        <v>177</v>
      </c>
      <c r="E27" s="52" t="n">
        <f aca="false">ROUND(S27,0)-D27</f>
        <v>365</v>
      </c>
      <c r="F27" s="52" t="n">
        <f aca="false">IF(COUNTA(D27:E27)=0,"",SUM(D27:E27))</f>
        <v>542</v>
      </c>
      <c r="G27" s="53" t="n">
        <f aca="false">IF(OR(F27="",F27=0),"",D27/F27)</f>
        <v>0.326568265682657</v>
      </c>
      <c r="H27" s="53" t="n">
        <f aca="false">IF(OR(F27="",F27=0),"",E27/F27)</f>
        <v>0.673431734317343</v>
      </c>
      <c r="I27" s="25" t="s">
        <v>128</v>
      </c>
      <c r="J27" s="28" t="n">
        <v>3.1978281706008</v>
      </c>
      <c r="K27" s="28" t="n">
        <f aca="false">$K$8</f>
        <v>0.297938238782275</v>
      </c>
      <c r="L27" s="28" t="n">
        <f aca="false">SQRT(J27^2+K27^2)</f>
        <v>3.21167747490571</v>
      </c>
      <c r="M27" s="53" t="n">
        <f aca="false">IF(G27="","",MAX(0,G27-1.96*L27/100))</f>
        <v>0.263619387174505</v>
      </c>
      <c r="N27" s="53" t="n">
        <f aca="false">IF(G27="","",MIN(1,G27+1.96*L27/100))</f>
        <v>0.389517144190809</v>
      </c>
      <c r="O27" s="52" t="n">
        <f aca="false">ROUND(S27*W27,0)</f>
        <v>80</v>
      </c>
      <c r="P27" s="52" t="n">
        <f aca="false">IF(F27="","",ROUND(SQRT((F27*L27/100)^2+(G27*O27)^2),0))</f>
        <v>31</v>
      </c>
      <c r="R27" s="54" t="n">
        <v>-18.4930161524117</v>
      </c>
      <c r="S27" s="55" t="n">
        <f aca="false">U27*V27*$F$5</f>
        <v>542.170709793351</v>
      </c>
      <c r="T27" s="56" t="n">
        <f aca="false">MAX(0,MIN(1,R27/100+$D$5))</f>
        <v>0.327063252994648</v>
      </c>
      <c r="U27" s="56" t="n">
        <v>0.527403414195867</v>
      </c>
      <c r="V27" s="55" t="n">
        <v>1028</v>
      </c>
      <c r="W27" s="56" t="n">
        <v>0.148097331980838</v>
      </c>
      <c r="X27" s="57" t="s">
        <v>129</v>
      </c>
      <c r="Y27" s="57" t="s">
        <v>130</v>
      </c>
    </row>
    <row r="28" customFormat="false" ht="15" hidden="false" customHeight="false" outlineLevel="0" collapsed="false">
      <c r="A28" s="25" t="s">
        <v>126</v>
      </c>
      <c r="B28" s="25" t="s">
        <v>151</v>
      </c>
      <c r="C28" s="25" t="s">
        <v>152</v>
      </c>
      <c r="D28" s="52" t="n">
        <f aca="false">ROUND(S28*T28,0)</f>
        <v>219</v>
      </c>
      <c r="E28" s="52" t="n">
        <f aca="false">ROUND(S28,0)-D28</f>
        <v>305</v>
      </c>
      <c r="F28" s="52" t="n">
        <f aca="false">IF(COUNTA(D28:E28)=0,"",SUM(D28:E28))</f>
        <v>524</v>
      </c>
      <c r="G28" s="53" t="n">
        <f aca="false">IF(OR(F28="",F28=0),"",D28/F28)</f>
        <v>0.41793893129771</v>
      </c>
      <c r="H28" s="53" t="n">
        <f aca="false">IF(OR(F28="",F28=0),"",E28/F28)</f>
        <v>0.58206106870229</v>
      </c>
      <c r="I28" s="25" t="s">
        <v>128</v>
      </c>
      <c r="J28" s="28" t="n">
        <v>3.1978281706008</v>
      </c>
      <c r="K28" s="28" t="n">
        <f aca="false">$K$8</f>
        <v>0.297938238782275</v>
      </c>
      <c r="L28" s="28" t="n">
        <f aca="false">SQRT(J28^2+K28^2)</f>
        <v>3.21167747490571</v>
      </c>
      <c r="M28" s="53" t="n">
        <f aca="false">IF(G28="","",MAX(0,G28-1.96*L28/100))</f>
        <v>0.354990052789558</v>
      </c>
      <c r="N28" s="53" t="n">
        <f aca="false">IF(G28="","",MIN(1,G28+1.96*L28/100))</f>
        <v>0.480887809805862</v>
      </c>
      <c r="O28" s="52" t="n">
        <f aca="false">ROUND(S28*W28,0)</f>
        <v>78</v>
      </c>
      <c r="P28" s="52" t="n">
        <f aca="false">IF(F28="","",ROUND(SQRT((F28*L28/100)^2+(G28*O28)^2),0))</f>
        <v>37</v>
      </c>
      <c r="R28" s="54" t="n">
        <v>-9.3977373015118</v>
      </c>
      <c r="S28" s="55" t="n">
        <f aca="false">U28*V28*$F$5</f>
        <v>523.643835616438</v>
      </c>
      <c r="T28" s="56" t="n">
        <f aca="false">MAX(0,MIN(1,R28/100+$D$5))</f>
        <v>0.418016041503647</v>
      </c>
      <c r="U28" s="56" t="n">
        <v>0.472602739726027</v>
      </c>
      <c r="V28" s="55" t="n">
        <v>1108</v>
      </c>
      <c r="W28" s="56" t="n">
        <v>0.148097331980838</v>
      </c>
      <c r="X28" s="57" t="s">
        <v>129</v>
      </c>
      <c r="Y28" s="57" t="s">
        <v>130</v>
      </c>
    </row>
    <row r="29" customFormat="false" ht="15" hidden="false" customHeight="false" outlineLevel="0" collapsed="false">
      <c r="A29" s="25" t="s">
        <v>126</v>
      </c>
      <c r="B29" s="25" t="s">
        <v>151</v>
      </c>
      <c r="C29" s="25" t="s">
        <v>153</v>
      </c>
      <c r="D29" s="52" t="n">
        <f aca="false">ROUND(S29*T29,0)</f>
        <v>123</v>
      </c>
      <c r="E29" s="52" t="n">
        <f aca="false">ROUND(S29,0)-D29</f>
        <v>175</v>
      </c>
      <c r="F29" s="52" t="n">
        <f aca="false">IF(COUNTA(D29:E29)=0,"",SUM(D29:E29))</f>
        <v>298</v>
      </c>
      <c r="G29" s="53" t="n">
        <f aca="false">IF(OR(F29="",F29=0),"",D29/F29)</f>
        <v>0.412751677852349</v>
      </c>
      <c r="H29" s="53" t="n">
        <f aca="false">IF(OR(F29="",F29=0),"",E29/F29)</f>
        <v>0.587248322147651</v>
      </c>
      <c r="I29" s="25" t="s">
        <v>128</v>
      </c>
      <c r="J29" s="28" t="n">
        <v>3.1978281706008</v>
      </c>
      <c r="K29" s="28" t="n">
        <f aca="false">$K$8</f>
        <v>0.297938238782275</v>
      </c>
      <c r="L29" s="28" t="n">
        <f aca="false">SQRT(J29^2+K29^2)</f>
        <v>3.21167747490571</v>
      </c>
      <c r="M29" s="53" t="n">
        <f aca="false">IF(G29="","",MAX(0,G29-1.96*L29/100))</f>
        <v>0.349802799344197</v>
      </c>
      <c r="N29" s="53" t="n">
        <f aca="false">IF(G29="","",MIN(1,G29+1.96*L29/100))</f>
        <v>0.475700556360501</v>
      </c>
      <c r="O29" s="52" t="n">
        <f aca="false">ROUND(S29*W29,0)</f>
        <v>44</v>
      </c>
      <c r="P29" s="52" t="n">
        <f aca="false">IF(F29="","",ROUND(SQRT((F29*L29/100)^2+(G29*O29)^2),0))</f>
        <v>21</v>
      </c>
      <c r="R29" s="54" t="n">
        <v>-9.85410317277009</v>
      </c>
      <c r="S29" s="55" t="n">
        <f aca="false">U29*V29*$F$5</f>
        <v>297.7625</v>
      </c>
      <c r="T29" s="56" t="n">
        <f aca="false">MAX(0,MIN(1,R29/100+$D$5))</f>
        <v>0.413452382791064</v>
      </c>
      <c r="U29" s="56" t="n">
        <v>0.4484375</v>
      </c>
      <c r="V29" s="55" t="n">
        <v>664</v>
      </c>
      <c r="W29" s="56" t="n">
        <v>0.148097331980838</v>
      </c>
      <c r="X29" s="57" t="s">
        <v>129</v>
      </c>
      <c r="Y29" s="57" t="s">
        <v>130</v>
      </c>
    </row>
    <row r="30" customFormat="false" ht="15" hidden="false" customHeight="false" outlineLevel="0" collapsed="false">
      <c r="A30" s="25" t="s">
        <v>126</v>
      </c>
      <c r="B30" s="25" t="s">
        <v>151</v>
      </c>
      <c r="C30" s="25" t="s">
        <v>154</v>
      </c>
      <c r="D30" s="52" t="n">
        <f aca="false">ROUND(S30*T30,0)</f>
        <v>111</v>
      </c>
      <c r="E30" s="52" t="n">
        <f aca="false">ROUND(S30,0)-D30</f>
        <v>150</v>
      </c>
      <c r="F30" s="52" t="n">
        <f aca="false">IF(COUNTA(D30:E30)=0,"",SUM(D30:E30))</f>
        <v>261</v>
      </c>
      <c r="G30" s="53" t="n">
        <f aca="false">IF(OR(F30="",F30=0),"",D30/F30)</f>
        <v>0.425287356321839</v>
      </c>
      <c r="H30" s="53" t="n">
        <f aca="false">IF(OR(F30="",F30=0),"",E30/F30)</f>
        <v>0.574712643678161</v>
      </c>
      <c r="I30" s="25" t="s">
        <v>128</v>
      </c>
      <c r="J30" s="28" t="n">
        <v>3.1978281706008</v>
      </c>
      <c r="K30" s="28" t="n">
        <f aca="false">$K$8</f>
        <v>0.297938238782275</v>
      </c>
      <c r="L30" s="28" t="n">
        <f aca="false">SQRT(J30^2+K30^2)</f>
        <v>3.21167747490571</v>
      </c>
      <c r="M30" s="53" t="n">
        <f aca="false">IF(G30="","",MAX(0,G30-1.96*L30/100))</f>
        <v>0.362338477813687</v>
      </c>
      <c r="N30" s="53" t="n">
        <f aca="false">IF(G30="","",MIN(1,G30+1.96*L30/100))</f>
        <v>0.488236234829991</v>
      </c>
      <c r="O30" s="52" t="n">
        <f aca="false">ROUND(S30*W30,0)</f>
        <v>39</v>
      </c>
      <c r="P30" s="52" t="n">
        <f aca="false">IF(F30="","",ROUND(SQRT((F30*L30/100)^2+(G30*O30)^2),0))</f>
        <v>19</v>
      </c>
      <c r="R30" s="54" t="n">
        <v>-8.83180695247728</v>
      </c>
      <c r="S30" s="55" t="n">
        <f aca="false">U30*V30*$F$5</f>
        <v>260.883392226148</v>
      </c>
      <c r="T30" s="56" t="n">
        <f aca="false">MAX(0,MIN(1,R30/100+$D$5))</f>
        <v>0.423675344993992</v>
      </c>
      <c r="U30" s="56" t="n">
        <v>0.406360424028269</v>
      </c>
      <c r="V30" s="55" t="n">
        <v>642</v>
      </c>
      <c r="W30" s="56" t="n">
        <v>0.148097331980838</v>
      </c>
      <c r="X30" s="57" t="s">
        <v>129</v>
      </c>
      <c r="Y30" s="57" t="s">
        <v>130</v>
      </c>
    </row>
    <row r="31" customFormat="false" ht="15" hidden="false" customHeight="false" outlineLevel="0" collapsed="false">
      <c r="A31" s="25" t="s">
        <v>126</v>
      </c>
      <c r="B31" s="25" t="s">
        <v>155</v>
      </c>
      <c r="C31" s="25" t="s">
        <v>155</v>
      </c>
      <c r="D31" s="52" t="n">
        <f aca="false">ROUND(S31*T31,0)</f>
        <v>32</v>
      </c>
      <c r="E31" s="52" t="n">
        <f aca="false">ROUND(S31,0)-D31</f>
        <v>86</v>
      </c>
      <c r="F31" s="52" t="n">
        <f aca="false">IF(COUNTA(D31:E31)=0,"",SUM(D31:E31))</f>
        <v>118</v>
      </c>
      <c r="G31" s="53" t="n">
        <f aca="false">IF(OR(F31="",F31=0),"",D31/F31)</f>
        <v>0.271186440677966</v>
      </c>
      <c r="H31" s="53" t="n">
        <f aca="false">IF(OR(F31="",F31=0),"",E31/F31)</f>
        <v>0.728813559322034</v>
      </c>
      <c r="I31" s="25" t="s">
        <v>128</v>
      </c>
      <c r="J31" s="28" t="n">
        <v>3.1978281706008</v>
      </c>
      <c r="K31" s="28" t="n">
        <f aca="false">$K$8</f>
        <v>0.297938238782275</v>
      </c>
      <c r="L31" s="28" t="n">
        <f aca="false">SQRT(J31^2+K31^2)</f>
        <v>3.21167747490571</v>
      </c>
      <c r="M31" s="53" t="n">
        <f aca="false">IF(G31="","",MAX(0,G31-1.96*L31/100))</f>
        <v>0.208237562169814</v>
      </c>
      <c r="N31" s="53" t="n">
        <f aca="false">IF(G31="","",MIN(1,G31+1.96*L31/100))</f>
        <v>0.334135319186118</v>
      </c>
      <c r="O31" s="52" t="n">
        <f aca="false">ROUND(S31*W31,0)</f>
        <v>18</v>
      </c>
      <c r="P31" s="52" t="n">
        <f aca="false">IF(F31="","",ROUND(SQRT((F31*L31/100)^2+(G31*O31)^2),0))</f>
        <v>6</v>
      </c>
      <c r="R31" s="54" t="n">
        <v>-23.8280519819528</v>
      </c>
      <c r="S31" s="55" t="n">
        <f aca="false">U31*V31*$F$5</f>
        <v>118.285714285714</v>
      </c>
      <c r="T31" s="56" t="n">
        <f aca="false">MAX(0,MIN(1,R31/100+$D$5))</f>
        <v>0.273712894699237</v>
      </c>
      <c r="U31" s="56" t="n">
        <v>0.657142857142857</v>
      </c>
      <c r="V31" s="55" t="n">
        <v>180</v>
      </c>
      <c r="W31" s="56" t="n">
        <v>0.148097331980838</v>
      </c>
      <c r="X31" s="57" t="s">
        <v>129</v>
      </c>
      <c r="Y31" s="57" t="s">
        <v>130</v>
      </c>
    </row>
    <row r="32" customFormat="false" ht="15" hidden="false" customHeight="false" outlineLevel="0" collapsed="false">
      <c r="A32" s="25" t="s">
        <v>126</v>
      </c>
      <c r="B32" s="25" t="s">
        <v>156</v>
      </c>
      <c r="C32" s="25" t="s">
        <v>156</v>
      </c>
      <c r="D32" s="52" t="n">
        <f aca="false">ROUND(S32*T32,0)</f>
        <v>51</v>
      </c>
      <c r="E32" s="52" t="n">
        <f aca="false">ROUND(S32,0)-D32</f>
        <v>186</v>
      </c>
      <c r="F32" s="52" t="n">
        <f aca="false">IF(COUNTA(D32:E32)=0,"",SUM(D32:E32))</f>
        <v>237</v>
      </c>
      <c r="G32" s="53" t="n">
        <f aca="false">IF(OR(F32="",F32=0),"",D32/F32)</f>
        <v>0.215189873417722</v>
      </c>
      <c r="H32" s="53" t="n">
        <f aca="false">IF(OR(F32="",F32=0),"",E32/F32)</f>
        <v>0.784810126582278</v>
      </c>
      <c r="I32" s="25" t="s">
        <v>128</v>
      </c>
      <c r="J32" s="28" t="n">
        <v>3.1978281706008</v>
      </c>
      <c r="K32" s="28" t="n">
        <f aca="false">$K$8</f>
        <v>0.297938238782275</v>
      </c>
      <c r="L32" s="28" t="n">
        <f aca="false">SQRT(J32^2+K32^2)</f>
        <v>3.21167747490571</v>
      </c>
      <c r="M32" s="53" t="n">
        <f aca="false">IF(G32="","",MAX(0,G32-1.96*L32/100))</f>
        <v>0.15224099490957</v>
      </c>
      <c r="N32" s="53" t="n">
        <f aca="false">IF(G32="","",MIN(1,G32+1.96*L32/100))</f>
        <v>0.278138751925873</v>
      </c>
      <c r="O32" s="52" t="n">
        <f aca="false">ROUND(S32*W32,0)</f>
        <v>35</v>
      </c>
      <c r="P32" s="52" t="n">
        <f aca="false">IF(F32="","",ROUND(SQRT((F32*L32/100)^2+(G32*O32)^2),0))</f>
        <v>11</v>
      </c>
      <c r="R32" s="54" t="n">
        <v>-29.4573575051144</v>
      </c>
      <c r="S32" s="55" t="n">
        <f aca="false">U32*V32*$F$5</f>
        <v>236.844827586207</v>
      </c>
      <c r="T32" s="56" t="n">
        <f aca="false">MAX(0,MIN(1,R32/100+$D$5))</f>
        <v>0.21741983946762</v>
      </c>
      <c r="U32" s="56" t="n">
        <v>0.692528735632184</v>
      </c>
      <c r="V32" s="55" t="n">
        <v>342</v>
      </c>
      <c r="W32" s="56" t="n">
        <v>0.148097331980838</v>
      </c>
      <c r="X32" s="57" t="s">
        <v>129</v>
      </c>
      <c r="Y32" s="57" t="s">
        <v>130</v>
      </c>
    </row>
    <row r="33" customFormat="false" ht="15" hidden="false" customHeight="false" outlineLevel="0" collapsed="false">
      <c r="A33" s="25" t="s">
        <v>126</v>
      </c>
      <c r="B33" s="25" t="s">
        <v>157</v>
      </c>
      <c r="C33" s="25" t="s">
        <v>158</v>
      </c>
      <c r="D33" s="52" t="n">
        <f aca="false">ROUND(S33*T33,0)</f>
        <v>246</v>
      </c>
      <c r="E33" s="52" t="n">
        <f aca="false">ROUND(S33,0)-D33</f>
        <v>350</v>
      </c>
      <c r="F33" s="52" t="n">
        <f aca="false">IF(COUNTA(D33:E33)=0,"",SUM(D33:E33))</f>
        <v>596</v>
      </c>
      <c r="G33" s="53" t="n">
        <f aca="false">IF(OR(F33="",F33=0),"",D33/F33)</f>
        <v>0.412751677852349</v>
      </c>
      <c r="H33" s="53" t="n">
        <f aca="false">IF(OR(F33="",F33=0),"",E33/F33)</f>
        <v>0.587248322147651</v>
      </c>
      <c r="I33" s="25" t="s">
        <v>128</v>
      </c>
      <c r="J33" s="28" t="n">
        <v>2.22489971008846</v>
      </c>
      <c r="K33" s="28" t="n">
        <f aca="false">$K$8</f>
        <v>0.297938238782275</v>
      </c>
      <c r="L33" s="28" t="n">
        <f aca="false">SQRT(J33^2+K33^2)</f>
        <v>2.24475965619494</v>
      </c>
      <c r="M33" s="53" t="n">
        <f aca="false">IF(G33="","",MAX(0,G33-1.96*L33/100))</f>
        <v>0.368754388590928</v>
      </c>
      <c r="N33" s="53" t="n">
        <f aca="false">IF(G33="","",MIN(1,G33+1.96*L33/100))</f>
        <v>0.45674896711377</v>
      </c>
      <c r="O33" s="52" t="n">
        <f aca="false">ROUND(S33*W33,0)</f>
        <v>53</v>
      </c>
      <c r="P33" s="52" t="n">
        <f aca="false">IF(F33="","",ROUND(SQRT((F33*L33/100)^2+(G33*O33)^2),0))</f>
        <v>26</v>
      </c>
      <c r="R33" s="54" t="n">
        <v>-9.94374515359952</v>
      </c>
      <c r="S33" s="55" t="n">
        <f aca="false">U33*V33*$F$5</f>
        <v>596.457399103139</v>
      </c>
      <c r="T33" s="56" t="n">
        <f aca="false">MAX(0,MIN(1,R33/100+$D$5))</f>
        <v>0.412555962982769</v>
      </c>
      <c r="U33" s="56" t="n">
        <v>0.50762331838565</v>
      </c>
      <c r="V33" s="55" t="n">
        <v>1175</v>
      </c>
      <c r="W33" s="56" t="n">
        <v>0.0887445098984521</v>
      </c>
      <c r="X33" s="57" t="s">
        <v>135</v>
      </c>
      <c r="Y33" s="57" t="s">
        <v>130</v>
      </c>
    </row>
    <row r="34" customFormat="false" ht="15" hidden="false" customHeight="false" outlineLevel="0" collapsed="false">
      <c r="A34" s="25" t="s">
        <v>126</v>
      </c>
      <c r="B34" s="25" t="s">
        <v>157</v>
      </c>
      <c r="C34" s="25" t="s">
        <v>159</v>
      </c>
      <c r="D34" s="52" t="n">
        <f aca="false">ROUND(S34*T34,0)</f>
        <v>223</v>
      </c>
      <c r="E34" s="52" t="n">
        <f aca="false">ROUND(S34,0)-D34</f>
        <v>340</v>
      </c>
      <c r="F34" s="52" t="n">
        <f aca="false">IF(COUNTA(D34:E34)=0,"",SUM(D34:E34))</f>
        <v>563</v>
      </c>
      <c r="G34" s="53" t="n">
        <f aca="false">IF(OR(F34="",F34=0),"",D34/F34)</f>
        <v>0.396092362344583</v>
      </c>
      <c r="H34" s="53" t="n">
        <f aca="false">IF(OR(F34="",F34=0),"",E34/F34)</f>
        <v>0.603907637655417</v>
      </c>
      <c r="I34" s="25" t="s">
        <v>128</v>
      </c>
      <c r="J34" s="28" t="n">
        <v>3.1978281706008</v>
      </c>
      <c r="K34" s="28" t="n">
        <f aca="false">$K$8</f>
        <v>0.297938238782275</v>
      </c>
      <c r="L34" s="28" t="n">
        <f aca="false">SQRT(J34^2+K34^2)</f>
        <v>3.21167747490571</v>
      </c>
      <c r="M34" s="53" t="n">
        <f aca="false">IF(G34="","",MAX(0,G34-1.96*L34/100))</f>
        <v>0.333143483836431</v>
      </c>
      <c r="N34" s="53" t="n">
        <f aca="false">IF(G34="","",MIN(1,G34+1.96*L34/100))</f>
        <v>0.459041240852735</v>
      </c>
      <c r="O34" s="52" t="n">
        <f aca="false">ROUND(S34*W34,0)</f>
        <v>83</v>
      </c>
      <c r="P34" s="52" t="n">
        <f aca="false">IF(F34="","",ROUND(SQRT((F34*L34/100)^2+(G34*O34)^2),0))</f>
        <v>38</v>
      </c>
      <c r="R34" s="54" t="n">
        <v>-11.6242156304399</v>
      </c>
      <c r="S34" s="55" t="n">
        <f aca="false">U34*V34*$F$5</f>
        <v>563.161453077699</v>
      </c>
      <c r="T34" s="56" t="n">
        <f aca="false">MAX(0,MIN(1,R34/100+$D$5))</f>
        <v>0.395751258214366</v>
      </c>
      <c r="U34" s="56" t="n">
        <v>0.531786074672048</v>
      </c>
      <c r="V34" s="55" t="n">
        <v>1059</v>
      </c>
      <c r="W34" s="56" t="n">
        <v>0.148097331980838</v>
      </c>
      <c r="X34" s="57" t="s">
        <v>129</v>
      </c>
      <c r="Y34" s="57" t="s">
        <v>130</v>
      </c>
    </row>
    <row r="35" customFormat="false" ht="15" hidden="false" customHeight="false" outlineLevel="0" collapsed="false">
      <c r="A35" s="25" t="s">
        <v>126</v>
      </c>
      <c r="B35" s="25" t="s">
        <v>157</v>
      </c>
      <c r="C35" s="25" t="s">
        <v>160</v>
      </c>
      <c r="D35" s="52" t="n">
        <f aca="false">ROUND(S35*T35,0)</f>
        <v>235</v>
      </c>
      <c r="E35" s="52" t="n">
        <f aca="false">ROUND(S35,0)-D35</f>
        <v>359</v>
      </c>
      <c r="F35" s="52" t="n">
        <f aca="false">IF(COUNTA(D35:E35)=0,"",SUM(D35:E35))</f>
        <v>594</v>
      </c>
      <c r="G35" s="53" t="n">
        <f aca="false">IF(OR(F35="",F35=0),"",D35/F35)</f>
        <v>0.395622895622896</v>
      </c>
      <c r="H35" s="53" t="n">
        <f aca="false">IF(OR(F35="",F35=0),"",E35/F35)</f>
        <v>0.604377104377104</v>
      </c>
      <c r="I35" s="25" t="s">
        <v>128</v>
      </c>
      <c r="J35" s="28" t="n">
        <v>2.22489971008846</v>
      </c>
      <c r="K35" s="28" t="n">
        <f aca="false">$K$8</f>
        <v>0.297938238782275</v>
      </c>
      <c r="L35" s="28" t="n">
        <f aca="false">SQRT(J35^2+K35^2)</f>
        <v>2.24475965619494</v>
      </c>
      <c r="M35" s="53" t="n">
        <f aca="false">IF(G35="","",MAX(0,G35-1.96*L35/100))</f>
        <v>0.351625606361475</v>
      </c>
      <c r="N35" s="53" t="n">
        <f aca="false">IF(G35="","",MIN(1,G35+1.96*L35/100))</f>
        <v>0.439620184884316</v>
      </c>
      <c r="O35" s="52" t="n">
        <f aca="false">ROUND(S35*W35,0)</f>
        <v>53</v>
      </c>
      <c r="P35" s="52" t="n">
        <f aca="false">IF(F35="","",ROUND(SQRT((F35*L35/100)^2+(G35*O35)^2),0))</f>
        <v>25</v>
      </c>
      <c r="R35" s="54" t="n">
        <v>-11.5655675998369</v>
      </c>
      <c r="S35" s="55" t="n">
        <f aca="false">U35*V35*$F$5</f>
        <v>593.941784037559</v>
      </c>
      <c r="T35" s="56" t="n">
        <f aca="false">MAX(0,MIN(1,R35/100+$D$5))</f>
        <v>0.396337738520396</v>
      </c>
      <c r="U35" s="56" t="n">
        <v>0.538967136150235</v>
      </c>
      <c r="V35" s="55" t="n">
        <v>1102</v>
      </c>
      <c r="W35" s="56" t="n">
        <v>0.0887445098984521</v>
      </c>
      <c r="X35" s="57" t="s">
        <v>135</v>
      </c>
      <c r="Y35" s="57" t="s">
        <v>130</v>
      </c>
    </row>
    <row r="36" customFormat="false" ht="15" hidden="false" customHeight="false" outlineLevel="0" collapsed="false">
      <c r="A36" s="25" t="s">
        <v>126</v>
      </c>
      <c r="B36" s="25" t="s">
        <v>161</v>
      </c>
      <c r="C36" s="25" t="s">
        <v>162</v>
      </c>
      <c r="D36" s="52" t="n">
        <f aca="false">ROUND(S36*T36,0)</f>
        <v>242</v>
      </c>
      <c r="E36" s="52" t="n">
        <f aca="false">ROUND(S36,0)-D36</f>
        <v>588</v>
      </c>
      <c r="F36" s="52" t="n">
        <f aca="false">IF(COUNTA(D36:E36)=0,"",SUM(D36:E36))</f>
        <v>830</v>
      </c>
      <c r="G36" s="53" t="n">
        <f aca="false">IF(OR(F36="",F36=0),"",D36/F36)</f>
        <v>0.291566265060241</v>
      </c>
      <c r="H36" s="53" t="n">
        <f aca="false">IF(OR(F36="",F36=0),"",E36/F36)</f>
        <v>0.708433734939759</v>
      </c>
      <c r="I36" s="25" t="s">
        <v>128</v>
      </c>
      <c r="J36" s="28" t="n">
        <v>2.22489971008846</v>
      </c>
      <c r="K36" s="28" t="n">
        <f aca="false">$K$8</f>
        <v>0.297938238782275</v>
      </c>
      <c r="L36" s="28" t="n">
        <f aca="false">SQRT(J36^2+K36^2)</f>
        <v>2.24475965619494</v>
      </c>
      <c r="M36" s="53" t="n">
        <f aca="false">IF(G36="","",MAX(0,G36-1.96*L36/100))</f>
        <v>0.24756897579882</v>
      </c>
      <c r="N36" s="53" t="n">
        <f aca="false">IF(G36="","",MIN(1,G36+1.96*L36/100))</f>
        <v>0.335563554321662</v>
      </c>
      <c r="O36" s="52" t="n">
        <f aca="false">ROUND(S36*W36,0)</f>
        <v>74</v>
      </c>
      <c r="P36" s="52" t="n">
        <f aca="false">IF(F36="","",ROUND(SQRT((F36*L36/100)^2+(G36*O36)^2),0))</f>
        <v>29</v>
      </c>
      <c r="R36" s="54" t="n">
        <v>-22.0072224501589</v>
      </c>
      <c r="S36" s="55" t="n">
        <f aca="false">U36*V36*$F$5</f>
        <v>830.121621621622</v>
      </c>
      <c r="T36" s="56" t="n">
        <f aca="false">MAX(0,MIN(1,R36/100+$D$5))</f>
        <v>0.291921190017176</v>
      </c>
      <c r="U36" s="56" t="n">
        <v>0.635135135135135</v>
      </c>
      <c r="V36" s="55" t="n">
        <v>1307</v>
      </c>
      <c r="W36" s="56" t="n">
        <v>0.0887445098984521</v>
      </c>
      <c r="X36" s="57" t="s">
        <v>135</v>
      </c>
      <c r="Y36" s="57" t="s">
        <v>130</v>
      </c>
    </row>
    <row r="37" customFormat="false" ht="15" hidden="false" customHeight="false" outlineLevel="0" collapsed="false">
      <c r="A37" s="25" t="s">
        <v>126</v>
      </c>
      <c r="B37" s="25" t="s">
        <v>161</v>
      </c>
      <c r="C37" s="25" t="s">
        <v>163</v>
      </c>
      <c r="D37" s="52" t="n">
        <f aca="false">ROUND(S37*T37,0)</f>
        <v>175</v>
      </c>
      <c r="E37" s="52" t="n">
        <f aca="false">ROUND(S37,0)-D37</f>
        <v>396</v>
      </c>
      <c r="F37" s="52" t="n">
        <f aca="false">IF(COUNTA(D37:E37)=0,"",SUM(D37:E37))</f>
        <v>571</v>
      </c>
      <c r="G37" s="53" t="n">
        <f aca="false">IF(OR(F37="",F37=0),"",D37/F37)</f>
        <v>0.306479859894921</v>
      </c>
      <c r="H37" s="53" t="n">
        <f aca="false">IF(OR(F37="",F37=0),"",E37/F37)</f>
        <v>0.693520140105079</v>
      </c>
      <c r="I37" s="25" t="s">
        <v>128</v>
      </c>
      <c r="J37" s="28" t="n">
        <v>3.1978281706008</v>
      </c>
      <c r="K37" s="28" t="n">
        <f aca="false">$K$8</f>
        <v>0.297938238782275</v>
      </c>
      <c r="L37" s="28" t="n">
        <f aca="false">SQRT(J37^2+K37^2)</f>
        <v>3.21167747490571</v>
      </c>
      <c r="M37" s="53" t="n">
        <f aca="false">IF(G37="","",MAX(0,G37-1.96*L37/100))</f>
        <v>0.243530981386769</v>
      </c>
      <c r="N37" s="53" t="n">
        <f aca="false">IF(G37="","",MIN(1,G37+1.96*L37/100))</f>
        <v>0.369428738403073</v>
      </c>
      <c r="O37" s="52" t="n">
        <f aca="false">ROUND(S37*W37,0)</f>
        <v>85</v>
      </c>
      <c r="P37" s="52" t="n">
        <f aca="false">IF(F37="","",ROUND(SQRT((F37*L37/100)^2+(G37*O37)^2),0))</f>
        <v>32</v>
      </c>
      <c r="R37" s="54" t="n">
        <v>-20.5518144405282</v>
      </c>
      <c r="S37" s="55" t="n">
        <f aca="false">U37*V37*$F$5</f>
        <v>570.942760942761</v>
      </c>
      <c r="T37" s="56" t="n">
        <f aca="false">MAX(0,MIN(1,R37/100+$D$5))</f>
        <v>0.306475270113483</v>
      </c>
      <c r="U37" s="56" t="n">
        <v>0.613916947250281</v>
      </c>
      <c r="V37" s="55" t="n">
        <v>930</v>
      </c>
      <c r="W37" s="56" t="n">
        <v>0.148097331980838</v>
      </c>
      <c r="X37" s="57" t="s">
        <v>129</v>
      </c>
      <c r="Y37" s="57" t="s">
        <v>130</v>
      </c>
    </row>
    <row r="38" customFormat="false" ht="15" hidden="false" customHeight="false" outlineLevel="0" collapsed="false">
      <c r="A38" s="25" t="s">
        <v>126</v>
      </c>
      <c r="B38" s="25" t="s">
        <v>164</v>
      </c>
      <c r="C38" s="25" t="s">
        <v>165</v>
      </c>
      <c r="D38" s="52" t="n">
        <f aca="false">ROUND(S38*T38,0)</f>
        <v>120</v>
      </c>
      <c r="E38" s="52" t="n">
        <f aca="false">ROUND(S38,0)-D38</f>
        <v>326</v>
      </c>
      <c r="F38" s="52" t="n">
        <f aca="false">IF(COUNTA(D38:E38)=0,"",SUM(D38:E38))</f>
        <v>446</v>
      </c>
      <c r="G38" s="53" t="n">
        <f aca="false">IF(OR(F38="",F38=0),"",D38/F38)</f>
        <v>0.269058295964126</v>
      </c>
      <c r="H38" s="53" t="n">
        <f aca="false">IF(OR(F38="",F38=0),"",E38/F38)</f>
        <v>0.730941704035874</v>
      </c>
      <c r="I38" s="25" t="s">
        <v>128</v>
      </c>
      <c r="J38" s="28" t="n">
        <v>3.1978281706008</v>
      </c>
      <c r="K38" s="28" t="n">
        <f aca="false">$K$8</f>
        <v>0.297938238782275</v>
      </c>
      <c r="L38" s="28" t="n">
        <f aca="false">SQRT(J38^2+K38^2)</f>
        <v>3.21167747490571</v>
      </c>
      <c r="M38" s="53" t="n">
        <f aca="false">IF(G38="","",MAX(0,G38-1.96*L38/100))</f>
        <v>0.206109417455974</v>
      </c>
      <c r="N38" s="53" t="n">
        <f aca="false">IF(G38="","",MIN(1,G38+1.96*L38/100))</f>
        <v>0.332007174472277</v>
      </c>
      <c r="O38" s="52" t="n">
        <f aca="false">ROUND(S38*W38,0)</f>
        <v>66</v>
      </c>
      <c r="P38" s="52" t="n">
        <f aca="false">IF(F38="","",ROUND(SQRT((F38*L38/100)^2+(G38*O38)^2),0))</f>
        <v>23</v>
      </c>
      <c r="R38" s="54" t="n">
        <v>-24.3745259654252</v>
      </c>
      <c r="S38" s="55" t="n">
        <f aca="false">U38*V38*$F$5</f>
        <v>446.130363036304</v>
      </c>
      <c r="T38" s="56" t="n">
        <f aca="false">MAX(0,MIN(1,R38/100+$D$5))</f>
        <v>0.268248154864512</v>
      </c>
      <c r="U38" s="56" t="n">
        <v>0.641914191419142</v>
      </c>
      <c r="V38" s="55" t="n">
        <v>695</v>
      </c>
      <c r="W38" s="56" t="n">
        <v>0.148097331980838</v>
      </c>
      <c r="X38" s="57" t="s">
        <v>129</v>
      </c>
      <c r="Y38" s="57" t="s">
        <v>130</v>
      </c>
    </row>
    <row r="39" customFormat="false" ht="15" hidden="false" customHeight="false" outlineLevel="0" collapsed="false">
      <c r="A39" s="25" t="s">
        <v>126</v>
      </c>
      <c r="B39" s="25" t="s">
        <v>164</v>
      </c>
      <c r="C39" s="25" t="s">
        <v>166</v>
      </c>
      <c r="D39" s="52" t="n">
        <f aca="false">ROUND(S39*T39,0)</f>
        <v>91</v>
      </c>
      <c r="E39" s="52" t="n">
        <f aca="false">ROUND(S39,0)-D39</f>
        <v>210</v>
      </c>
      <c r="F39" s="52" t="n">
        <f aca="false">IF(COUNTA(D39:E39)=0,"",SUM(D39:E39))</f>
        <v>301</v>
      </c>
      <c r="G39" s="53" t="n">
        <f aca="false">IF(OR(F39="",F39=0),"",D39/F39)</f>
        <v>0.302325581395349</v>
      </c>
      <c r="H39" s="53" t="n">
        <f aca="false">IF(OR(F39="",F39=0),"",E39/F39)</f>
        <v>0.697674418604651</v>
      </c>
      <c r="I39" s="25" t="s">
        <v>128</v>
      </c>
      <c r="J39" s="28" t="n">
        <v>3.1978281706008</v>
      </c>
      <c r="K39" s="28" t="n">
        <f aca="false">$K$8</f>
        <v>0.297938238782275</v>
      </c>
      <c r="L39" s="28" t="n">
        <f aca="false">SQRT(J39^2+K39^2)</f>
        <v>3.21167747490571</v>
      </c>
      <c r="M39" s="53" t="n">
        <f aca="false">IF(G39="","",MAX(0,G39-1.96*L39/100))</f>
        <v>0.239376702887197</v>
      </c>
      <c r="N39" s="53" t="n">
        <f aca="false">IF(G39="","",MIN(1,G39+1.96*L39/100))</f>
        <v>0.365274459903501</v>
      </c>
      <c r="O39" s="52" t="n">
        <f aca="false">ROUND(S39*W39,0)</f>
        <v>45</v>
      </c>
      <c r="P39" s="52" t="n">
        <f aca="false">IF(F39="","",ROUND(SQRT((F39*L39/100)^2+(G39*O39)^2),0))</f>
        <v>17</v>
      </c>
      <c r="R39" s="54" t="n">
        <v>-20.9032030935242</v>
      </c>
      <c r="S39" s="55" t="n">
        <f aca="false">U39*V39*$F$5</f>
        <v>301.151408450704</v>
      </c>
      <c r="T39" s="56" t="n">
        <f aca="false">MAX(0,MIN(1,R39/100+$D$5))</f>
        <v>0.302961383583523</v>
      </c>
      <c r="U39" s="56" t="n">
        <v>0.538732394366197</v>
      </c>
      <c r="V39" s="55" t="n">
        <v>559</v>
      </c>
      <c r="W39" s="56" t="n">
        <v>0.148097331980838</v>
      </c>
      <c r="X39" s="57" t="s">
        <v>129</v>
      </c>
      <c r="Y39" s="57" t="s">
        <v>130</v>
      </c>
    </row>
    <row r="40" customFormat="false" ht="15" hidden="false" customHeight="false" outlineLevel="0" collapsed="false">
      <c r="A40" s="25" t="s">
        <v>126</v>
      </c>
      <c r="B40" s="25" t="s">
        <v>164</v>
      </c>
      <c r="C40" s="25" t="s">
        <v>167</v>
      </c>
      <c r="D40" s="52" t="n">
        <f aca="false">ROUND(S40*T40,0)</f>
        <v>341</v>
      </c>
      <c r="E40" s="52" t="n">
        <f aca="false">ROUND(S40,0)-D40</f>
        <v>795</v>
      </c>
      <c r="F40" s="52" t="n">
        <f aca="false">IF(COUNTA(D40:E40)=0,"",SUM(D40:E40))</f>
        <v>1136</v>
      </c>
      <c r="G40" s="53" t="n">
        <f aca="false">IF(OR(F40="",F40=0),"",D40/F40)</f>
        <v>0.300176056338028</v>
      </c>
      <c r="H40" s="53" t="n">
        <f aca="false">IF(OR(F40="",F40=0),"",E40/F40)</f>
        <v>0.699823943661972</v>
      </c>
      <c r="I40" s="25" t="s">
        <v>128</v>
      </c>
      <c r="J40" s="28" t="n">
        <v>2.08262589216041</v>
      </c>
      <c r="K40" s="28" t="n">
        <f aca="false">$K$8</f>
        <v>0.297938238782275</v>
      </c>
      <c r="L40" s="28" t="n">
        <f aca="false">SQRT(J40^2+K40^2)</f>
        <v>2.1038293183682</v>
      </c>
      <c r="M40" s="53" t="n">
        <f aca="false">IF(G40="","",MAX(0,G40-1.96*L40/100))</f>
        <v>0.258941001698011</v>
      </c>
      <c r="N40" s="53" t="n">
        <f aca="false">IF(G40="","",MIN(1,G40+1.96*L40/100))</f>
        <v>0.341411110978045</v>
      </c>
      <c r="O40" s="52" t="n">
        <f aca="false">ROUND(S40*W40,0)</f>
        <v>78</v>
      </c>
      <c r="P40" s="52" t="n">
        <f aca="false">IF(F40="","",ROUND(SQRT((F40*L40/100)^2+(G40*O40)^2),0))</f>
        <v>33</v>
      </c>
      <c r="R40" s="54" t="n">
        <v>-21.2016332639689</v>
      </c>
      <c r="S40" s="55" t="n">
        <f aca="false">U40*V40*$F$5</f>
        <v>1135.63689776733</v>
      </c>
      <c r="T40" s="56" t="n">
        <f aca="false">MAX(0,MIN(1,R40/100+$D$5))</f>
        <v>0.299977081879075</v>
      </c>
      <c r="U40" s="56" t="n">
        <v>0.63337250293772</v>
      </c>
      <c r="V40" s="55" t="n">
        <v>1793</v>
      </c>
      <c r="W40" s="56" t="n">
        <v>0.0684752145190268</v>
      </c>
      <c r="X40" s="57" t="s">
        <v>168</v>
      </c>
      <c r="Y40" s="57" t="s">
        <v>130</v>
      </c>
    </row>
    <row r="41" customFormat="false" ht="15" hidden="false" customHeight="false" outlineLevel="0" collapsed="false">
      <c r="A41" s="25" t="s">
        <v>126</v>
      </c>
      <c r="B41" s="25" t="s">
        <v>169</v>
      </c>
      <c r="C41" s="25" t="s">
        <v>170</v>
      </c>
      <c r="D41" s="52" t="n">
        <f aca="false">ROUND(S41*T41,0)</f>
        <v>240</v>
      </c>
      <c r="E41" s="52" t="n">
        <f aca="false">ROUND(S41,0)-D41</f>
        <v>346</v>
      </c>
      <c r="F41" s="52" t="n">
        <f aca="false">IF(COUNTA(D41:E41)=0,"",SUM(D41:E41))</f>
        <v>586</v>
      </c>
      <c r="G41" s="53" t="n">
        <f aca="false">IF(OR(F41="",F41=0),"",D41/F41)</f>
        <v>0.409556313993174</v>
      </c>
      <c r="H41" s="53" t="n">
        <f aca="false">IF(OR(F41="",F41=0),"",E41/F41)</f>
        <v>0.590443686006826</v>
      </c>
      <c r="I41" s="25" t="s">
        <v>128</v>
      </c>
      <c r="J41" s="28" t="n">
        <v>2.22489971008846</v>
      </c>
      <c r="K41" s="28" t="n">
        <f aca="false">$K$8</f>
        <v>0.297938238782275</v>
      </c>
      <c r="L41" s="28" t="n">
        <f aca="false">SQRT(J41^2+K41^2)</f>
        <v>2.24475965619494</v>
      </c>
      <c r="M41" s="53" t="n">
        <f aca="false">IF(G41="","",MAX(0,G41-1.96*L41/100))</f>
        <v>0.365559024731753</v>
      </c>
      <c r="N41" s="53" t="n">
        <f aca="false">IF(G41="","",MIN(1,G41+1.96*L41/100))</f>
        <v>0.453553603254595</v>
      </c>
      <c r="O41" s="52" t="n">
        <f aca="false">ROUND(S41*W41,0)</f>
        <v>52</v>
      </c>
      <c r="P41" s="52" t="n">
        <f aca="false">IF(F41="","",ROUND(SQRT((F41*L41/100)^2+(G41*O41)^2),0))</f>
        <v>25</v>
      </c>
      <c r="R41" s="54" t="n">
        <v>-10.1719903353066</v>
      </c>
      <c r="S41" s="55" t="n">
        <f aca="false">U41*V41*$F$5</f>
        <v>585.940362087327</v>
      </c>
      <c r="T41" s="56" t="n">
        <f aca="false">MAX(0,MIN(1,R41/100+$D$5))</f>
        <v>0.410273511165698</v>
      </c>
      <c r="U41" s="56" t="n">
        <v>0.598509052183174</v>
      </c>
      <c r="V41" s="55" t="n">
        <v>979</v>
      </c>
      <c r="W41" s="56" t="n">
        <v>0.0887445098984521</v>
      </c>
      <c r="X41" s="57" t="s">
        <v>135</v>
      </c>
      <c r="Y41" s="57" t="s">
        <v>130</v>
      </c>
    </row>
    <row r="42" customFormat="false" ht="15" hidden="false" customHeight="false" outlineLevel="0" collapsed="false">
      <c r="A42" s="25" t="s">
        <v>126</v>
      </c>
      <c r="B42" s="25" t="s">
        <v>169</v>
      </c>
      <c r="C42" s="25" t="s">
        <v>171</v>
      </c>
      <c r="D42" s="52" t="n">
        <f aca="false">ROUND(S42*T42,0)</f>
        <v>252</v>
      </c>
      <c r="E42" s="52" t="n">
        <f aca="false">ROUND(S42,0)-D42</f>
        <v>377</v>
      </c>
      <c r="F42" s="52" t="n">
        <f aca="false">IF(COUNTA(D42:E42)=0,"",SUM(D42:E42))</f>
        <v>629</v>
      </c>
      <c r="G42" s="53" t="n">
        <f aca="false">IF(OR(F42="",F42=0),"",D42/F42)</f>
        <v>0.400635930047695</v>
      </c>
      <c r="H42" s="53" t="n">
        <f aca="false">IF(OR(F42="",F42=0),"",E42/F42)</f>
        <v>0.599364069952305</v>
      </c>
      <c r="I42" s="25" t="s">
        <v>128</v>
      </c>
      <c r="J42" s="28" t="n">
        <v>2.22489971008846</v>
      </c>
      <c r="K42" s="28" t="n">
        <f aca="false">$K$8</f>
        <v>0.297938238782275</v>
      </c>
      <c r="L42" s="28" t="n">
        <f aca="false">SQRT(J42^2+K42^2)</f>
        <v>2.24475965619494</v>
      </c>
      <c r="M42" s="53" t="n">
        <f aca="false">IF(G42="","",MAX(0,G42-1.96*L42/100))</f>
        <v>0.356638640786274</v>
      </c>
      <c r="N42" s="53" t="n">
        <f aca="false">IF(G42="","",MIN(1,G42+1.96*L42/100))</f>
        <v>0.444633219309116</v>
      </c>
      <c r="O42" s="52" t="n">
        <f aca="false">ROUND(S42*W42,0)</f>
        <v>56</v>
      </c>
      <c r="P42" s="52" t="n">
        <f aca="false">IF(F42="","",ROUND(SQRT((F42*L42/100)^2+(G42*O42)^2),0))</f>
        <v>27</v>
      </c>
      <c r="R42" s="54" t="n">
        <v>-11.1974604861629</v>
      </c>
      <c r="S42" s="55" t="n">
        <f aca="false">U42*V42*$F$5</f>
        <v>629.208480565371</v>
      </c>
      <c r="T42" s="56" t="n">
        <f aca="false">MAX(0,MIN(1,R42/100+$D$5))</f>
        <v>0.400018809657136</v>
      </c>
      <c r="U42" s="56" t="n">
        <v>0.558303886925795</v>
      </c>
      <c r="V42" s="55" t="n">
        <v>1127</v>
      </c>
      <c r="W42" s="56" t="n">
        <v>0.0887445098984521</v>
      </c>
      <c r="X42" s="57" t="s">
        <v>135</v>
      </c>
      <c r="Y42" s="57" t="s">
        <v>130</v>
      </c>
    </row>
    <row r="43" customFormat="false" ht="15" hidden="false" customHeight="false" outlineLevel="0" collapsed="false">
      <c r="A43" s="25" t="s">
        <v>126</v>
      </c>
      <c r="B43" s="25" t="s">
        <v>172</v>
      </c>
      <c r="C43" s="25" t="s">
        <v>172</v>
      </c>
      <c r="D43" s="52" t="n">
        <f aca="false">ROUND(S43*T43,0)</f>
        <v>110</v>
      </c>
      <c r="E43" s="52" t="n">
        <f aca="false">ROUND(S43,0)-D43</f>
        <v>420</v>
      </c>
      <c r="F43" s="52" t="n">
        <f aca="false">IF(COUNTA(D43:E43)=0,"",SUM(D43:E43))</f>
        <v>530</v>
      </c>
      <c r="G43" s="53" t="n">
        <f aca="false">IF(OR(F43="",F43=0),"",D43/F43)</f>
        <v>0.207547169811321</v>
      </c>
      <c r="H43" s="53" t="n">
        <f aca="false">IF(OR(F43="",F43=0),"",E43/F43)</f>
        <v>0.792452830188679</v>
      </c>
      <c r="I43" s="25" t="s">
        <v>128</v>
      </c>
      <c r="J43" s="28" t="n">
        <v>3.1978281706008</v>
      </c>
      <c r="K43" s="28" t="n">
        <f aca="false">$K$8</f>
        <v>0.297938238782275</v>
      </c>
      <c r="L43" s="28" t="n">
        <f aca="false">SQRT(J43^2+K43^2)</f>
        <v>3.21167747490571</v>
      </c>
      <c r="M43" s="53" t="n">
        <f aca="false">IF(G43="","",MAX(0,G43-1.96*L43/100))</f>
        <v>0.144598291303169</v>
      </c>
      <c r="N43" s="53" t="n">
        <f aca="false">IF(G43="","",MIN(1,G43+1.96*L43/100))</f>
        <v>0.270496048319473</v>
      </c>
      <c r="O43" s="52" t="n">
        <f aca="false">ROUND(S43*W43,0)</f>
        <v>79</v>
      </c>
      <c r="P43" s="52" t="n">
        <f aca="false">IF(F43="","",ROUND(SQRT((F43*L43/100)^2+(G43*O43)^2),0))</f>
        <v>24</v>
      </c>
      <c r="R43" s="54" t="n">
        <v>-30.4303782664352</v>
      </c>
      <c r="S43" s="55" t="n">
        <f aca="false">U43*V43*$F$5</f>
        <v>530.117647058823</v>
      </c>
      <c r="T43" s="56" t="n">
        <f aca="false">MAX(0,MIN(1,R43/100+$D$5))</f>
        <v>0.207689631854413</v>
      </c>
      <c r="U43" s="56" t="n">
        <v>0.705882352941177</v>
      </c>
      <c r="V43" s="55" t="n">
        <v>751</v>
      </c>
      <c r="W43" s="56" t="n">
        <v>0.148097331980838</v>
      </c>
      <c r="X43" s="57" t="s">
        <v>129</v>
      </c>
      <c r="Y43" s="57" t="s">
        <v>130</v>
      </c>
    </row>
    <row r="44" customFormat="false" ht="15" hidden="false" customHeight="false" outlineLevel="0" collapsed="false">
      <c r="A44" s="25" t="s">
        <v>126</v>
      </c>
      <c r="B44" s="25" t="s">
        <v>173</v>
      </c>
      <c r="C44" s="25" t="s">
        <v>174</v>
      </c>
      <c r="D44" s="52" t="n">
        <f aca="false">ROUND(S44*T44,0)</f>
        <v>237</v>
      </c>
      <c r="E44" s="52" t="n">
        <f aca="false">ROUND(S44,0)-D44</f>
        <v>458</v>
      </c>
      <c r="F44" s="52" t="n">
        <f aca="false">IF(COUNTA(D44:E44)=0,"",SUM(D44:E44))</f>
        <v>695</v>
      </c>
      <c r="G44" s="53" t="n">
        <f aca="false">IF(OR(F44="",F44=0),"",D44/F44)</f>
        <v>0.341007194244604</v>
      </c>
      <c r="H44" s="53" t="n">
        <f aca="false">IF(OR(F44="",F44=0),"",E44/F44)</f>
        <v>0.658992805755396</v>
      </c>
      <c r="I44" s="25" t="s">
        <v>128</v>
      </c>
      <c r="J44" s="28" t="n">
        <v>2.22489971008846</v>
      </c>
      <c r="K44" s="28" t="n">
        <f aca="false">$K$8</f>
        <v>0.297938238782275</v>
      </c>
      <c r="L44" s="28" t="n">
        <f aca="false">SQRT(J44^2+K44^2)</f>
        <v>2.24475965619494</v>
      </c>
      <c r="M44" s="53" t="n">
        <f aca="false">IF(G44="","",MAX(0,G44-1.96*L44/100))</f>
        <v>0.297009904983184</v>
      </c>
      <c r="N44" s="53" t="n">
        <f aca="false">IF(G44="","",MIN(1,G44+1.96*L44/100))</f>
        <v>0.385004483506025</v>
      </c>
      <c r="O44" s="52" t="n">
        <f aca="false">ROUND(S44*W44,0)</f>
        <v>62</v>
      </c>
      <c r="P44" s="52" t="n">
        <f aca="false">IF(F44="","",ROUND(SQRT((F44*L44/100)^2+(G44*O44)^2),0))</f>
        <v>26</v>
      </c>
      <c r="R44" s="54" t="n">
        <v>-17.1544193532827</v>
      </c>
      <c r="S44" s="55" t="n">
        <f aca="false">U44*V44*$F$5</f>
        <v>695.209549071618</v>
      </c>
      <c r="T44" s="56" t="n">
        <f aca="false">MAX(0,MIN(1,R44/100+$D$5))</f>
        <v>0.340449220985937</v>
      </c>
      <c r="U44" s="56" t="n">
        <v>0.600353669319186</v>
      </c>
      <c r="V44" s="55" t="n">
        <v>1158</v>
      </c>
      <c r="W44" s="56" t="n">
        <v>0.0887445098984521</v>
      </c>
      <c r="X44" s="57" t="s">
        <v>135</v>
      </c>
      <c r="Y44" s="57" t="s">
        <v>130</v>
      </c>
    </row>
    <row r="45" customFormat="false" ht="15" hidden="false" customHeight="false" outlineLevel="0" collapsed="false">
      <c r="A45" s="25" t="s">
        <v>126</v>
      </c>
      <c r="B45" s="25" t="s">
        <v>173</v>
      </c>
      <c r="C45" s="25" t="s">
        <v>175</v>
      </c>
      <c r="D45" s="52" t="n">
        <f aca="false">ROUND(S45*T45,0)</f>
        <v>382</v>
      </c>
      <c r="E45" s="52" t="n">
        <f aca="false">ROUND(S45,0)-D45</f>
        <v>602</v>
      </c>
      <c r="F45" s="52" t="n">
        <f aca="false">IF(COUNTA(D45:E45)=0,"",SUM(D45:E45))</f>
        <v>984</v>
      </c>
      <c r="G45" s="53" t="n">
        <f aca="false">IF(OR(F45="",F45=0),"",D45/F45)</f>
        <v>0.388211382113821</v>
      </c>
      <c r="H45" s="53" t="n">
        <f aca="false">IF(OR(F45="",F45=0),"",E45/F45)</f>
        <v>0.611788617886179</v>
      </c>
      <c r="I45" s="25" t="s">
        <v>128</v>
      </c>
      <c r="J45" s="28" t="n">
        <v>2.08262589216041</v>
      </c>
      <c r="K45" s="28" t="n">
        <f aca="false">$K$8</f>
        <v>0.297938238782275</v>
      </c>
      <c r="L45" s="28" t="n">
        <f aca="false">SQRT(J45^2+K45^2)</f>
        <v>2.1038293183682</v>
      </c>
      <c r="M45" s="53" t="n">
        <f aca="false">IF(G45="","",MAX(0,G45-1.96*L45/100))</f>
        <v>0.346976327473804</v>
      </c>
      <c r="N45" s="53" t="n">
        <f aca="false">IF(G45="","",MIN(1,G45+1.96*L45/100))</f>
        <v>0.429446436753838</v>
      </c>
      <c r="O45" s="52" t="n">
        <f aca="false">ROUND(S45*W45,0)</f>
        <v>67</v>
      </c>
      <c r="P45" s="52" t="n">
        <f aca="false">IF(F45="","",ROUND(SQRT((F45*L45/100)^2+(G45*O45)^2),0))</f>
        <v>33</v>
      </c>
      <c r="R45" s="54" t="n">
        <v>-12.3337155659201</v>
      </c>
      <c r="S45" s="55" t="n">
        <f aca="false">U45*V45*$F$5</f>
        <v>983.694267515924</v>
      </c>
      <c r="T45" s="56" t="n">
        <f aca="false">MAX(0,MIN(1,R45/100+$D$5))</f>
        <v>0.388656258859564</v>
      </c>
      <c r="U45" s="56" t="n">
        <v>0.54198031268095</v>
      </c>
      <c r="V45" s="55" t="n">
        <v>1815</v>
      </c>
      <c r="W45" s="56" t="n">
        <v>0.0684752145190268</v>
      </c>
      <c r="X45" s="57" t="s">
        <v>168</v>
      </c>
      <c r="Y45" s="57" t="s">
        <v>130</v>
      </c>
    </row>
    <row r="46" customFormat="false" ht="15" hidden="false" customHeight="false" outlineLevel="0" collapsed="false">
      <c r="A46" s="25" t="s">
        <v>126</v>
      </c>
      <c r="B46" s="25" t="s">
        <v>173</v>
      </c>
      <c r="C46" s="25" t="s">
        <v>176</v>
      </c>
      <c r="D46" s="52" t="n">
        <f aca="false">ROUND(S46*T46,0)</f>
        <v>111</v>
      </c>
      <c r="E46" s="52" t="n">
        <f aca="false">ROUND(S46,0)-D46</f>
        <v>200</v>
      </c>
      <c r="F46" s="52" t="n">
        <f aca="false">IF(COUNTA(D46:E46)=0,"",SUM(D46:E46))</f>
        <v>311</v>
      </c>
      <c r="G46" s="53" t="n">
        <f aca="false">IF(OR(F46="",F46=0),"",D46/F46)</f>
        <v>0.356913183279743</v>
      </c>
      <c r="H46" s="53" t="n">
        <f aca="false">IF(OR(F46="",F46=0),"",E46/F46)</f>
        <v>0.643086816720257</v>
      </c>
      <c r="I46" s="25" t="s">
        <v>128</v>
      </c>
      <c r="J46" s="28" t="n">
        <v>3.1978281706008</v>
      </c>
      <c r="K46" s="28" t="n">
        <f aca="false">$K$8</f>
        <v>0.297938238782275</v>
      </c>
      <c r="L46" s="28" t="n">
        <f aca="false">SQRT(J46^2+K46^2)</f>
        <v>3.21167747490571</v>
      </c>
      <c r="M46" s="53" t="n">
        <f aca="false">IF(G46="","",MAX(0,G46-1.96*L46/100))</f>
        <v>0.293964304771591</v>
      </c>
      <c r="N46" s="53" t="n">
        <f aca="false">IF(G46="","",MIN(1,G46+1.96*L46/100))</f>
        <v>0.419862061787895</v>
      </c>
      <c r="O46" s="52" t="n">
        <f aca="false">ROUND(S46*W46,0)</f>
        <v>46</v>
      </c>
      <c r="P46" s="52" t="n">
        <f aca="false">IF(F46="","",ROUND(SQRT((F46*L46/100)^2+(G46*O46)^2),0))</f>
        <v>19</v>
      </c>
      <c r="R46" s="54" t="n">
        <v>-15.5940051423984</v>
      </c>
      <c r="S46" s="55" t="n">
        <f aca="false">U46*V46*$F$5</f>
        <v>310.913705583756</v>
      </c>
      <c r="T46" s="56" t="n">
        <f aca="false">MAX(0,MIN(1,R46/100+$D$5))</f>
        <v>0.356053363094781</v>
      </c>
      <c r="U46" s="56" t="n">
        <v>0.49746192893401</v>
      </c>
      <c r="V46" s="55" t="n">
        <v>625</v>
      </c>
      <c r="W46" s="56" t="n">
        <v>0.148097331980838</v>
      </c>
      <c r="X46" s="57" t="s">
        <v>129</v>
      </c>
      <c r="Y46" s="57" t="s">
        <v>130</v>
      </c>
    </row>
    <row r="47" customFormat="false" ht="15" hidden="false" customHeight="false" outlineLevel="0" collapsed="false">
      <c r="A47" s="25" t="s">
        <v>126</v>
      </c>
      <c r="B47" s="25" t="s">
        <v>177</v>
      </c>
      <c r="C47" s="25" t="s">
        <v>177</v>
      </c>
      <c r="D47" s="52" t="n">
        <f aca="false">ROUND(S47*T47,0)</f>
        <v>58</v>
      </c>
      <c r="E47" s="52" t="n">
        <f aca="false">ROUND(S47,0)-D47</f>
        <v>127</v>
      </c>
      <c r="F47" s="52" t="n">
        <f aca="false">IF(COUNTA(D47:E47)=0,"",SUM(D47:E47))</f>
        <v>185</v>
      </c>
      <c r="G47" s="53" t="n">
        <f aca="false">IF(OR(F47="",F47=0),"",D47/F47)</f>
        <v>0.313513513513514</v>
      </c>
      <c r="H47" s="53" t="n">
        <f aca="false">IF(OR(F47="",F47=0),"",E47/F47)</f>
        <v>0.686486486486487</v>
      </c>
      <c r="I47" s="25" t="s">
        <v>128</v>
      </c>
      <c r="J47" s="28" t="n">
        <v>3.1978281706008</v>
      </c>
      <c r="K47" s="28" t="n">
        <f aca="false">$K$8</f>
        <v>0.297938238782275</v>
      </c>
      <c r="L47" s="28" t="n">
        <f aca="false">SQRT(J47^2+K47^2)</f>
        <v>3.21167747490571</v>
      </c>
      <c r="M47" s="53" t="n">
        <f aca="false">IF(G47="","",MAX(0,G47-1.96*L47/100))</f>
        <v>0.250564635005362</v>
      </c>
      <c r="N47" s="53" t="n">
        <f aca="false">IF(G47="","",MIN(1,G47+1.96*L47/100))</f>
        <v>0.376462392021665</v>
      </c>
      <c r="O47" s="52" t="n">
        <f aca="false">ROUND(S47*W47,0)</f>
        <v>27</v>
      </c>
      <c r="P47" s="52" t="n">
        <f aca="false">IF(F47="","",ROUND(SQRT((F47*L47/100)^2+(G47*O47)^2),0))</f>
        <v>10</v>
      </c>
      <c r="R47" s="54" t="n">
        <v>-19.5928150710453</v>
      </c>
      <c r="S47" s="55" t="n">
        <f aca="false">U47*V47*$F$5</f>
        <v>184.547540983606</v>
      </c>
      <c r="T47" s="56" t="n">
        <f aca="false">MAX(0,MIN(1,R47/100+$D$5))</f>
        <v>0.316065263808312</v>
      </c>
      <c r="U47" s="56" t="n">
        <v>0.613114754098361</v>
      </c>
      <c r="V47" s="55" t="n">
        <v>301</v>
      </c>
      <c r="W47" s="56" t="n">
        <v>0.148097331980838</v>
      </c>
      <c r="X47" s="57" t="s">
        <v>129</v>
      </c>
      <c r="Y47" s="57" t="s">
        <v>130</v>
      </c>
    </row>
    <row r="48" customFormat="false" ht="15" hidden="false" customHeight="false" outlineLevel="0" collapsed="false">
      <c r="A48" s="25" t="s">
        <v>126</v>
      </c>
      <c r="B48" s="25" t="s">
        <v>178</v>
      </c>
      <c r="C48" s="25" t="s">
        <v>179</v>
      </c>
      <c r="D48" s="52" t="n">
        <f aca="false">ROUND(S48*T48,0)</f>
        <v>318</v>
      </c>
      <c r="E48" s="52" t="n">
        <f aca="false">ROUND(S48,0)-D48</f>
        <v>521</v>
      </c>
      <c r="F48" s="52" t="n">
        <f aca="false">IF(COUNTA(D48:E48)=0,"",SUM(D48:E48))</f>
        <v>839</v>
      </c>
      <c r="G48" s="53" t="n">
        <f aca="false">IF(OR(F48="",F48=0),"",D48/F48)</f>
        <v>0.379022646007151</v>
      </c>
      <c r="H48" s="53" t="n">
        <f aca="false">IF(OR(F48="",F48=0),"",E48/F48)</f>
        <v>0.620977353992849</v>
      </c>
      <c r="I48" s="25" t="s">
        <v>128</v>
      </c>
      <c r="J48" s="28" t="n">
        <v>2.22489971008846</v>
      </c>
      <c r="K48" s="28" t="n">
        <f aca="false">$K$8</f>
        <v>0.297938238782275</v>
      </c>
      <c r="L48" s="28" t="n">
        <f aca="false">SQRT(J48^2+K48^2)</f>
        <v>2.24475965619494</v>
      </c>
      <c r="M48" s="53" t="n">
        <f aca="false">IF(G48="","",MAX(0,G48-1.96*L48/100))</f>
        <v>0.335025356745731</v>
      </c>
      <c r="N48" s="53" t="n">
        <f aca="false">IF(G48="","",MIN(1,G48+1.96*L48/100))</f>
        <v>0.423019935268572</v>
      </c>
      <c r="O48" s="52" t="n">
        <f aca="false">ROUND(S48*W48,0)</f>
        <v>74</v>
      </c>
      <c r="P48" s="52" t="n">
        <f aca="false">IF(F48="","",ROUND(SQRT((F48*L48/100)^2+(G48*O48)^2),0))</f>
        <v>34</v>
      </c>
      <c r="R48" s="54" t="n">
        <v>-13.3523253405821</v>
      </c>
      <c r="S48" s="55" t="n">
        <f aca="false">U48*V48*$F$5</f>
        <v>839.29959746981</v>
      </c>
      <c r="T48" s="56" t="n">
        <f aca="false">MAX(0,MIN(1,R48/100+$D$5))</f>
        <v>0.378470161112944</v>
      </c>
      <c r="U48" s="56" t="n">
        <v>0.474985623921794</v>
      </c>
      <c r="V48" s="55" t="n">
        <v>1767</v>
      </c>
      <c r="W48" s="56" t="n">
        <v>0.0887445098984521</v>
      </c>
      <c r="X48" s="57" t="s">
        <v>135</v>
      </c>
      <c r="Y48" s="57" t="s">
        <v>130</v>
      </c>
    </row>
    <row r="49" customFormat="false" ht="15" hidden="false" customHeight="false" outlineLevel="0" collapsed="false">
      <c r="A49" s="25" t="s">
        <v>126</v>
      </c>
      <c r="B49" s="25" t="s">
        <v>178</v>
      </c>
      <c r="C49" s="25" t="s">
        <v>180</v>
      </c>
      <c r="D49" s="52" t="n">
        <f aca="false">ROUND(S49*T49,0)</f>
        <v>239</v>
      </c>
      <c r="E49" s="52" t="n">
        <f aca="false">ROUND(S49,0)-D49</f>
        <v>412</v>
      </c>
      <c r="F49" s="52" t="n">
        <f aca="false">IF(COUNTA(D49:E49)=0,"",SUM(D49:E49))</f>
        <v>651</v>
      </c>
      <c r="G49" s="53" t="n">
        <f aca="false">IF(OR(F49="",F49=0),"",D49/F49)</f>
        <v>0.367127496159754</v>
      </c>
      <c r="H49" s="53" t="n">
        <f aca="false">IF(OR(F49="",F49=0),"",E49/F49)</f>
        <v>0.632872503840246</v>
      </c>
      <c r="I49" s="25" t="s">
        <v>128</v>
      </c>
      <c r="J49" s="28" t="n">
        <v>2.22489971008846</v>
      </c>
      <c r="K49" s="28" t="n">
        <f aca="false">$K$8</f>
        <v>0.297938238782275</v>
      </c>
      <c r="L49" s="28" t="n">
        <f aca="false">SQRT(J49^2+K49^2)</f>
        <v>2.24475965619494</v>
      </c>
      <c r="M49" s="53" t="n">
        <f aca="false">IF(G49="","",MAX(0,G49-1.96*L49/100))</f>
        <v>0.323130206898333</v>
      </c>
      <c r="N49" s="53" t="n">
        <f aca="false">IF(G49="","",MIN(1,G49+1.96*L49/100))</f>
        <v>0.411124785421175</v>
      </c>
      <c r="O49" s="52" t="n">
        <f aca="false">ROUND(S49*W49,0)</f>
        <v>58</v>
      </c>
      <c r="P49" s="52" t="n">
        <f aca="false">IF(F49="","",ROUND(SQRT((F49*L49/100)^2+(G49*O49)^2),0))</f>
        <v>26</v>
      </c>
      <c r="R49" s="54" t="n">
        <v>-14.4307205340131</v>
      </c>
      <c r="S49" s="55" t="n">
        <f aca="false">U49*V49*$F$5</f>
        <v>650.966977138019</v>
      </c>
      <c r="T49" s="56" t="n">
        <f aca="false">MAX(0,MIN(1,R49/100+$D$5))</f>
        <v>0.367686209178634</v>
      </c>
      <c r="U49" s="56" t="n">
        <v>0.523285351397121</v>
      </c>
      <c r="V49" s="55" t="n">
        <v>1244</v>
      </c>
      <c r="W49" s="56" t="n">
        <v>0.0887445098984521</v>
      </c>
      <c r="X49" s="57" t="s">
        <v>135</v>
      </c>
      <c r="Y49" s="57" t="s">
        <v>130</v>
      </c>
    </row>
    <row r="50" customFormat="false" ht="15" hidden="false" customHeight="false" outlineLevel="0" collapsed="false">
      <c r="A50" s="25" t="s">
        <v>126</v>
      </c>
      <c r="B50" s="25" t="s">
        <v>178</v>
      </c>
      <c r="C50" s="25" t="s">
        <v>181</v>
      </c>
      <c r="D50" s="52" t="n">
        <f aca="false">ROUND(S50*T50,0)</f>
        <v>354</v>
      </c>
      <c r="E50" s="52" t="n">
        <f aca="false">ROUND(S50,0)-D50</f>
        <v>591</v>
      </c>
      <c r="F50" s="52" t="n">
        <f aca="false">IF(COUNTA(D50:E50)=0,"",SUM(D50:E50))</f>
        <v>945</v>
      </c>
      <c r="G50" s="53" t="n">
        <f aca="false">IF(OR(F50="",F50=0),"",D50/F50)</f>
        <v>0.374603174603175</v>
      </c>
      <c r="H50" s="53" t="n">
        <f aca="false">IF(OR(F50="",F50=0),"",E50/F50)</f>
        <v>0.625396825396825</v>
      </c>
      <c r="I50" s="25" t="s">
        <v>128</v>
      </c>
      <c r="J50" s="28" t="n">
        <v>2.08262589216041</v>
      </c>
      <c r="K50" s="28" t="n">
        <f aca="false">$K$8</f>
        <v>0.297938238782275</v>
      </c>
      <c r="L50" s="28" t="n">
        <f aca="false">SQRT(J50^2+K50^2)</f>
        <v>2.1038293183682</v>
      </c>
      <c r="M50" s="53" t="n">
        <f aca="false">IF(G50="","",MAX(0,G50-1.96*L50/100))</f>
        <v>0.333368119963158</v>
      </c>
      <c r="N50" s="53" t="n">
        <f aca="false">IF(G50="","",MIN(1,G50+1.96*L50/100))</f>
        <v>0.415838229243191</v>
      </c>
      <c r="O50" s="52" t="n">
        <f aca="false">ROUND(S50*W50,0)</f>
        <v>65</v>
      </c>
      <c r="P50" s="52" t="n">
        <f aca="false">IF(F50="","",ROUND(SQRT((F50*L50/100)^2+(G50*O50)^2),0))</f>
        <v>31</v>
      </c>
      <c r="R50" s="54" t="n">
        <v>-13.7490755660887</v>
      </c>
      <c r="S50" s="55" t="n">
        <f aca="false">U50*V50*$F$5</f>
        <v>945.214912280702</v>
      </c>
      <c r="T50" s="56" t="n">
        <f aca="false">MAX(0,MIN(1,R50/100+$D$5))</f>
        <v>0.374502658857878</v>
      </c>
      <c r="U50" s="56" t="n">
        <v>0.521929824561404</v>
      </c>
      <c r="V50" s="55" t="n">
        <v>1811</v>
      </c>
      <c r="W50" s="56" t="n">
        <v>0.0684752145190268</v>
      </c>
      <c r="X50" s="57" t="s">
        <v>168</v>
      </c>
      <c r="Y50" s="57" t="s">
        <v>130</v>
      </c>
    </row>
    <row r="51" customFormat="false" ht="15" hidden="false" customHeight="false" outlineLevel="0" collapsed="false">
      <c r="A51" s="25" t="s">
        <v>126</v>
      </c>
      <c r="B51" s="25" t="s">
        <v>178</v>
      </c>
      <c r="C51" s="25" t="s">
        <v>182</v>
      </c>
      <c r="D51" s="52" t="n">
        <f aca="false">ROUND(S51*T51,0)</f>
        <v>365</v>
      </c>
      <c r="E51" s="52" t="n">
        <f aca="false">ROUND(S51,0)-D51</f>
        <v>751</v>
      </c>
      <c r="F51" s="52" t="n">
        <f aca="false">IF(COUNTA(D51:E51)=0,"",SUM(D51:E51))</f>
        <v>1116</v>
      </c>
      <c r="G51" s="53" t="n">
        <f aca="false">IF(OR(F51="",F51=0),"",D51/F51)</f>
        <v>0.327060931899642</v>
      </c>
      <c r="H51" s="53" t="n">
        <f aca="false">IF(OR(F51="",F51=0),"",E51/F51)</f>
        <v>0.672939068100358</v>
      </c>
      <c r="I51" s="25" t="s">
        <v>128</v>
      </c>
      <c r="J51" s="28" t="n">
        <v>2.08262589216041</v>
      </c>
      <c r="K51" s="28" t="n">
        <f aca="false">$K$8</f>
        <v>0.297938238782275</v>
      </c>
      <c r="L51" s="28" t="n">
        <f aca="false">SQRT(J51^2+K51^2)</f>
        <v>2.1038293183682</v>
      </c>
      <c r="M51" s="53" t="n">
        <f aca="false">IF(G51="","",MAX(0,G51-1.96*L51/100))</f>
        <v>0.285825877259625</v>
      </c>
      <c r="N51" s="53" t="n">
        <f aca="false">IF(G51="","",MIN(1,G51+1.96*L51/100))</f>
        <v>0.368295986539658</v>
      </c>
      <c r="O51" s="52" t="n">
        <f aca="false">ROUND(S51*W51,0)</f>
        <v>76</v>
      </c>
      <c r="P51" s="52" t="n">
        <f aca="false">IF(F51="","",ROUND(SQRT((F51*L51/100)^2+(G51*O51)^2),0))</f>
        <v>34</v>
      </c>
      <c r="R51" s="54" t="n">
        <v>-18.4764107868622</v>
      </c>
      <c r="S51" s="55" t="n">
        <f aca="false">U51*V51*$F$5</f>
        <v>1115.89731051345</v>
      </c>
      <c r="T51" s="56" t="n">
        <f aca="false">MAX(0,MIN(1,R51/100+$D$5))</f>
        <v>0.327229306650143</v>
      </c>
      <c r="U51" s="56" t="n">
        <v>0.63080684596577</v>
      </c>
      <c r="V51" s="55" t="n">
        <v>1769</v>
      </c>
      <c r="W51" s="56" t="n">
        <v>0.0684752145190268</v>
      </c>
      <c r="X51" s="57" t="s">
        <v>168</v>
      </c>
      <c r="Y51" s="57" t="s">
        <v>130</v>
      </c>
    </row>
    <row r="52" customFormat="false" ht="15" hidden="false" customHeight="false" outlineLevel="0" collapsed="false">
      <c r="A52" s="25" t="s">
        <v>126</v>
      </c>
      <c r="B52" s="25" t="s">
        <v>178</v>
      </c>
      <c r="C52" s="25" t="s">
        <v>183</v>
      </c>
      <c r="D52" s="52" t="n">
        <f aca="false">ROUND(S52*T52,0)</f>
        <v>334</v>
      </c>
      <c r="E52" s="52" t="n">
        <f aca="false">ROUND(S52,0)-D52</f>
        <v>598</v>
      </c>
      <c r="F52" s="52" t="n">
        <f aca="false">IF(COUNTA(D52:E52)=0,"",SUM(D52:E52))</f>
        <v>932</v>
      </c>
      <c r="G52" s="53" t="n">
        <f aca="false">IF(OR(F52="",F52=0),"",D52/F52)</f>
        <v>0.358369098712446</v>
      </c>
      <c r="H52" s="53" t="n">
        <f aca="false">IF(OR(F52="",F52=0),"",E52/F52)</f>
        <v>0.641630901287554</v>
      </c>
      <c r="I52" s="25" t="s">
        <v>128</v>
      </c>
      <c r="J52" s="28" t="n">
        <v>2.22489971008846</v>
      </c>
      <c r="K52" s="28" t="n">
        <f aca="false">$K$8</f>
        <v>0.297938238782275</v>
      </c>
      <c r="L52" s="28" t="n">
        <f aca="false">SQRT(J52^2+K52^2)</f>
        <v>2.24475965619494</v>
      </c>
      <c r="M52" s="53" t="n">
        <f aca="false">IF(G52="","",MAX(0,G52-1.96*L52/100))</f>
        <v>0.314371809451026</v>
      </c>
      <c r="N52" s="53" t="n">
        <f aca="false">IF(G52="","",MIN(1,G52+1.96*L52/100))</f>
        <v>0.402366387973867</v>
      </c>
      <c r="O52" s="52" t="n">
        <f aca="false">ROUND(S52*W52,0)</f>
        <v>83</v>
      </c>
      <c r="P52" s="52" t="n">
        <f aca="false">IF(F52="","",ROUND(SQRT((F52*L52/100)^2+(G52*O52)^2),0))</f>
        <v>36</v>
      </c>
      <c r="R52" s="54" t="n">
        <v>-15.4031605087222</v>
      </c>
      <c r="S52" s="55" t="n">
        <f aca="false">U52*V52*$F$5</f>
        <v>932.161434977579</v>
      </c>
      <c r="T52" s="56" t="n">
        <f aca="false">MAX(0,MIN(1,R52/100+$D$5))</f>
        <v>0.357961809431543</v>
      </c>
      <c r="U52" s="56" t="n">
        <v>0.669656203288491</v>
      </c>
      <c r="V52" s="55" t="n">
        <v>1392</v>
      </c>
      <c r="W52" s="56" t="n">
        <v>0.0887445098984521</v>
      </c>
      <c r="X52" s="57" t="s">
        <v>135</v>
      </c>
      <c r="Y52" s="57" t="s">
        <v>130</v>
      </c>
    </row>
    <row r="53" customFormat="false" ht="15" hidden="false" customHeight="false" outlineLevel="0" collapsed="false">
      <c r="A53" s="25" t="s">
        <v>126</v>
      </c>
      <c r="B53" s="25" t="s">
        <v>184</v>
      </c>
      <c r="C53" s="25" t="s">
        <v>185</v>
      </c>
      <c r="D53" s="52" t="n">
        <f aca="false">ROUND(S53*T53,0)</f>
        <v>143</v>
      </c>
      <c r="E53" s="52" t="n">
        <f aca="false">ROUND(S53,0)-D53</f>
        <v>161</v>
      </c>
      <c r="F53" s="52" t="n">
        <f aca="false">IF(COUNTA(D53:E53)=0,"",SUM(D53:E53))</f>
        <v>304</v>
      </c>
      <c r="G53" s="53" t="n">
        <f aca="false">IF(OR(F53="",F53=0),"",D53/F53)</f>
        <v>0.470394736842105</v>
      </c>
      <c r="H53" s="53" t="n">
        <f aca="false">IF(OR(F53="",F53=0),"",E53/F53)</f>
        <v>0.529605263157895</v>
      </c>
      <c r="I53" s="25" t="s">
        <v>128</v>
      </c>
      <c r="J53" s="28" t="n">
        <v>3.1978281706008</v>
      </c>
      <c r="K53" s="28" t="n">
        <f aca="false">$K$8</f>
        <v>0.297938238782275</v>
      </c>
      <c r="L53" s="28" t="n">
        <f aca="false">SQRT(J53^2+K53^2)</f>
        <v>3.21167747490571</v>
      </c>
      <c r="M53" s="53" t="n">
        <f aca="false">IF(G53="","",MAX(0,G53-1.96*L53/100))</f>
        <v>0.407445858333953</v>
      </c>
      <c r="N53" s="53" t="n">
        <f aca="false">IF(G53="","",MIN(1,G53+1.96*L53/100))</f>
        <v>0.533343615350257</v>
      </c>
      <c r="O53" s="52" t="n">
        <f aca="false">ROUND(S53*W53,0)</f>
        <v>45</v>
      </c>
      <c r="P53" s="52" t="n">
        <f aca="false">IF(F53="","",ROUND(SQRT((F53*L53/100)^2+(G53*O53)^2),0))</f>
        <v>23</v>
      </c>
      <c r="R53" s="54" t="n">
        <v>-4.07092515885246</v>
      </c>
      <c r="S53" s="55" t="n">
        <f aca="false">U53*V53*$F$5</f>
        <v>304.095808383234</v>
      </c>
      <c r="T53" s="56" t="n">
        <f aca="false">MAX(0,MIN(1,R53/100+$D$5))</f>
        <v>0.47128416293024</v>
      </c>
      <c r="U53" s="56" t="n">
        <v>0.574850299401198</v>
      </c>
      <c r="V53" s="55" t="n">
        <v>529</v>
      </c>
      <c r="W53" s="56" t="n">
        <v>0.148097331980838</v>
      </c>
      <c r="X53" s="57" t="s">
        <v>129</v>
      </c>
      <c r="Y53" s="57" t="s">
        <v>130</v>
      </c>
    </row>
    <row r="54" customFormat="false" ht="15" hidden="false" customHeight="false" outlineLevel="0" collapsed="false">
      <c r="A54" s="25" t="s">
        <v>126</v>
      </c>
      <c r="B54" s="25" t="s">
        <v>184</v>
      </c>
      <c r="C54" s="25" t="s">
        <v>186</v>
      </c>
      <c r="D54" s="52" t="n">
        <f aca="false">ROUND(S54*T54,0)</f>
        <v>165</v>
      </c>
      <c r="E54" s="52" t="n">
        <f aca="false">ROUND(S54,0)-D54</f>
        <v>174</v>
      </c>
      <c r="F54" s="52" t="n">
        <f aca="false">IF(COUNTA(D54:E54)=0,"",SUM(D54:E54))</f>
        <v>339</v>
      </c>
      <c r="G54" s="53" t="n">
        <f aca="false">IF(OR(F54="",F54=0),"",D54/F54)</f>
        <v>0.486725663716814</v>
      </c>
      <c r="H54" s="53" t="n">
        <f aca="false">IF(OR(F54="",F54=0),"",E54/F54)</f>
        <v>0.513274336283186</v>
      </c>
      <c r="I54" s="25" t="s">
        <v>128</v>
      </c>
      <c r="J54" s="28" t="n">
        <v>3.1978281706008</v>
      </c>
      <c r="K54" s="28" t="n">
        <f aca="false">$K$8</f>
        <v>0.297938238782275</v>
      </c>
      <c r="L54" s="28" t="n">
        <f aca="false">SQRT(J54^2+K54^2)</f>
        <v>3.21167747490571</v>
      </c>
      <c r="M54" s="53" t="n">
        <f aca="false">IF(G54="","",MAX(0,G54-1.96*L54/100))</f>
        <v>0.423776785208662</v>
      </c>
      <c r="N54" s="53" t="n">
        <f aca="false">IF(G54="","",MIN(1,G54+1.96*L54/100))</f>
        <v>0.549674542224966</v>
      </c>
      <c r="O54" s="52" t="n">
        <f aca="false">ROUND(S54*W54,0)</f>
        <v>50</v>
      </c>
      <c r="P54" s="52" t="n">
        <f aca="false">IF(F54="","",ROUND(SQRT((F54*L54/100)^2+(G54*O54)^2),0))</f>
        <v>27</v>
      </c>
      <c r="R54" s="54" t="n">
        <v>-2.56357048331193</v>
      </c>
      <c r="S54" s="55" t="n">
        <f aca="false">U54*V54*$F$5</f>
        <v>338.993963782696</v>
      </c>
      <c r="T54" s="56" t="n">
        <f aca="false">MAX(0,MIN(1,R54/100+$D$5))</f>
        <v>0.486357709685645</v>
      </c>
      <c r="U54" s="56" t="n">
        <v>0.627766599597585</v>
      </c>
      <c r="V54" s="55" t="n">
        <v>540</v>
      </c>
      <c r="W54" s="56" t="n">
        <v>0.148097331980838</v>
      </c>
      <c r="X54" s="57" t="s">
        <v>129</v>
      </c>
      <c r="Y54" s="57" t="s">
        <v>130</v>
      </c>
    </row>
    <row r="55" customFormat="false" ht="15" hidden="false" customHeight="false" outlineLevel="0" collapsed="false">
      <c r="A55" s="25" t="s">
        <v>126</v>
      </c>
      <c r="B55" s="25" t="s">
        <v>184</v>
      </c>
      <c r="C55" s="25" t="s">
        <v>187</v>
      </c>
      <c r="D55" s="52" t="n">
        <f aca="false">ROUND(S55*T55,0)</f>
        <v>92</v>
      </c>
      <c r="E55" s="52" t="n">
        <f aca="false">ROUND(S55,0)-D55</f>
        <v>151</v>
      </c>
      <c r="F55" s="52" t="n">
        <f aca="false">IF(COUNTA(D55:E55)=0,"",SUM(D55:E55))</f>
        <v>243</v>
      </c>
      <c r="G55" s="53" t="n">
        <f aca="false">IF(OR(F55="",F55=0),"",D55/F55)</f>
        <v>0.378600823045268</v>
      </c>
      <c r="H55" s="53" t="n">
        <f aca="false">IF(OR(F55="",F55=0),"",E55/F55)</f>
        <v>0.621399176954733</v>
      </c>
      <c r="I55" s="25" t="s">
        <v>128</v>
      </c>
      <c r="J55" s="28" t="n">
        <v>3.1978281706008</v>
      </c>
      <c r="K55" s="28" t="n">
        <f aca="false">$K$8</f>
        <v>0.297938238782275</v>
      </c>
      <c r="L55" s="28" t="n">
        <f aca="false">SQRT(J55^2+K55^2)</f>
        <v>3.21167747490571</v>
      </c>
      <c r="M55" s="53" t="n">
        <f aca="false">IF(G55="","",MAX(0,G55-1.96*L55/100))</f>
        <v>0.315651944537116</v>
      </c>
      <c r="N55" s="53" t="n">
        <f aca="false">IF(G55="","",MIN(1,G55+1.96*L55/100))</f>
        <v>0.441549701553419</v>
      </c>
      <c r="O55" s="52" t="n">
        <f aca="false">ROUND(S55*W55,0)</f>
        <v>36</v>
      </c>
      <c r="P55" s="52" t="n">
        <f aca="false">IF(F55="","",ROUND(SQRT((F55*L55/100)^2+(G55*O55)^2),0))</f>
        <v>16</v>
      </c>
      <c r="R55" s="54" t="n">
        <v>-13.316759172309</v>
      </c>
      <c r="S55" s="55" t="n">
        <f aca="false">U55*V55*$F$5</f>
        <v>242.881401617251</v>
      </c>
      <c r="T55" s="56" t="n">
        <f aca="false">MAX(0,MIN(1,R55/100+$D$5))</f>
        <v>0.378825822795675</v>
      </c>
      <c r="U55" s="56" t="n">
        <v>0.676549865229111</v>
      </c>
      <c r="V55" s="55" t="n">
        <v>359</v>
      </c>
      <c r="W55" s="56" t="n">
        <v>0.148097331980838</v>
      </c>
      <c r="X55" s="57" t="s">
        <v>129</v>
      </c>
      <c r="Y55" s="57" t="s">
        <v>130</v>
      </c>
    </row>
    <row r="56" customFormat="false" ht="15" hidden="false" customHeight="false" outlineLevel="0" collapsed="false">
      <c r="A56" s="25" t="s">
        <v>126</v>
      </c>
      <c r="B56" s="25" t="s">
        <v>184</v>
      </c>
      <c r="C56" s="25" t="s">
        <v>188</v>
      </c>
      <c r="D56" s="52" t="n">
        <f aca="false">ROUND(S56*T56,0)</f>
        <v>167</v>
      </c>
      <c r="E56" s="52" t="n">
        <f aca="false">ROUND(S56,0)-D56</f>
        <v>238</v>
      </c>
      <c r="F56" s="52" t="n">
        <f aca="false">IF(COUNTA(D56:E56)=0,"",SUM(D56:E56))</f>
        <v>405</v>
      </c>
      <c r="G56" s="53" t="n">
        <f aca="false">IF(OR(F56="",F56=0),"",D56/F56)</f>
        <v>0.412345679012346</v>
      </c>
      <c r="H56" s="53" t="n">
        <f aca="false">IF(OR(F56="",F56=0),"",E56/F56)</f>
        <v>0.587654320987654</v>
      </c>
      <c r="I56" s="25" t="s">
        <v>128</v>
      </c>
      <c r="J56" s="28" t="n">
        <v>3.1978281706008</v>
      </c>
      <c r="K56" s="28" t="n">
        <f aca="false">$K$8</f>
        <v>0.297938238782275</v>
      </c>
      <c r="L56" s="28" t="n">
        <f aca="false">SQRT(J56^2+K56^2)</f>
        <v>3.21167747490571</v>
      </c>
      <c r="M56" s="53" t="n">
        <f aca="false">IF(G56="","",MAX(0,G56-1.96*L56/100))</f>
        <v>0.349396800504194</v>
      </c>
      <c r="N56" s="53" t="n">
        <f aca="false">IF(G56="","",MIN(1,G56+1.96*L56/100))</f>
        <v>0.475294557520498</v>
      </c>
      <c r="O56" s="52" t="n">
        <f aca="false">ROUND(S56*W56,0)</f>
        <v>60</v>
      </c>
      <c r="P56" s="52" t="n">
        <f aca="false">IF(F56="","",ROUND(SQRT((F56*L56/100)^2+(G56*O56)^2),0))</f>
        <v>28</v>
      </c>
      <c r="R56" s="54" t="n">
        <v>-10.1082115990058</v>
      </c>
      <c r="S56" s="55" t="n">
        <f aca="false">U56*V56*$F$5</f>
        <v>405.365413533835</v>
      </c>
      <c r="T56" s="56" t="n">
        <f aca="false">MAX(0,MIN(1,R56/100+$D$5))</f>
        <v>0.410911298528707</v>
      </c>
      <c r="U56" s="56" t="n">
        <v>0.577443609022556</v>
      </c>
      <c r="V56" s="55" t="n">
        <v>702</v>
      </c>
      <c r="W56" s="56" t="n">
        <v>0.148097331980838</v>
      </c>
      <c r="X56" s="57" t="s">
        <v>129</v>
      </c>
      <c r="Y56" s="57" t="s">
        <v>130</v>
      </c>
    </row>
    <row r="57" customFormat="false" ht="15" hidden="false" customHeight="false" outlineLevel="0" collapsed="false">
      <c r="A57" s="25" t="s">
        <v>126</v>
      </c>
      <c r="B57" s="25" t="s">
        <v>189</v>
      </c>
      <c r="C57" s="25" t="s">
        <v>190</v>
      </c>
      <c r="D57" s="52" t="n">
        <f aca="false">ROUND(S57*T57,0)</f>
        <v>241</v>
      </c>
      <c r="E57" s="52" t="n">
        <f aca="false">ROUND(S57,0)-D57</f>
        <v>529</v>
      </c>
      <c r="F57" s="52" t="n">
        <f aca="false">IF(COUNTA(D57:E57)=0,"",SUM(D57:E57))</f>
        <v>770</v>
      </c>
      <c r="G57" s="53" t="n">
        <f aca="false">IF(OR(F57="",F57=0),"",D57/F57)</f>
        <v>0.312987012987013</v>
      </c>
      <c r="H57" s="53" t="n">
        <f aca="false">IF(OR(F57="",F57=0),"",E57/F57)</f>
        <v>0.687012987012987</v>
      </c>
      <c r="I57" s="25" t="s">
        <v>128</v>
      </c>
      <c r="J57" s="28" t="n">
        <v>2.22489971008846</v>
      </c>
      <c r="K57" s="28" t="n">
        <f aca="false">$K$8</f>
        <v>0.297938238782275</v>
      </c>
      <c r="L57" s="28" t="n">
        <f aca="false">SQRT(J57^2+K57^2)</f>
        <v>2.24475965619494</v>
      </c>
      <c r="M57" s="53" t="n">
        <f aca="false">IF(G57="","",MAX(0,G57-1.96*L57/100))</f>
        <v>0.268989723725592</v>
      </c>
      <c r="N57" s="53" t="n">
        <f aca="false">IF(G57="","",MIN(1,G57+1.96*L57/100))</f>
        <v>0.356984302248434</v>
      </c>
      <c r="O57" s="52" t="n">
        <f aca="false">ROUND(S57*W57,0)</f>
        <v>68</v>
      </c>
      <c r="P57" s="52" t="n">
        <f aca="false">IF(F57="","",ROUND(SQRT((F57*L57/100)^2+(G57*O57)^2),0))</f>
        <v>27</v>
      </c>
      <c r="R57" s="54" t="n">
        <v>-19.8572166645777</v>
      </c>
      <c r="S57" s="55" t="n">
        <f aca="false">U57*V57*$F$5</f>
        <v>769.717741935484</v>
      </c>
      <c r="T57" s="56" t="n">
        <f aca="false">MAX(0,MIN(1,R57/100+$D$5))</f>
        <v>0.313421247872988</v>
      </c>
      <c r="U57" s="56" t="n">
        <v>0.633512544802867</v>
      </c>
      <c r="V57" s="55" t="n">
        <v>1215</v>
      </c>
      <c r="W57" s="56" t="n">
        <v>0.0887445098984521</v>
      </c>
      <c r="X57" s="57" t="s">
        <v>135</v>
      </c>
      <c r="Y57" s="57" t="s">
        <v>130</v>
      </c>
    </row>
    <row r="58" customFormat="false" ht="15" hidden="false" customHeight="false" outlineLevel="0" collapsed="false">
      <c r="A58" s="25" t="s">
        <v>126</v>
      </c>
      <c r="B58" s="25" t="s">
        <v>189</v>
      </c>
      <c r="C58" s="25" t="s">
        <v>191</v>
      </c>
      <c r="D58" s="52" t="n">
        <f aca="false">ROUND(S58*T58,0)</f>
        <v>223</v>
      </c>
      <c r="E58" s="52" t="n">
        <f aca="false">ROUND(S58,0)-D58</f>
        <v>563</v>
      </c>
      <c r="F58" s="52" t="n">
        <f aca="false">IF(COUNTA(D58:E58)=0,"",SUM(D58:E58))</f>
        <v>786</v>
      </c>
      <c r="G58" s="53" t="n">
        <f aca="false">IF(OR(F58="",F58=0),"",D58/F58)</f>
        <v>0.283715012722646</v>
      </c>
      <c r="H58" s="53" t="n">
        <f aca="false">IF(OR(F58="",F58=0),"",E58/F58)</f>
        <v>0.716284987277354</v>
      </c>
      <c r="I58" s="25" t="s">
        <v>128</v>
      </c>
      <c r="J58" s="28" t="n">
        <v>2.22489971008846</v>
      </c>
      <c r="K58" s="28" t="n">
        <f aca="false">$K$8</f>
        <v>0.297938238782275</v>
      </c>
      <c r="L58" s="28" t="n">
        <f aca="false">SQRT(J58^2+K58^2)</f>
        <v>2.24475965619494</v>
      </c>
      <c r="M58" s="53" t="n">
        <f aca="false">IF(G58="","",MAX(0,G58-1.96*L58/100))</f>
        <v>0.239717723461226</v>
      </c>
      <c r="N58" s="53" t="n">
        <f aca="false">IF(G58="","",MIN(1,G58+1.96*L58/100))</f>
        <v>0.327712301984067</v>
      </c>
      <c r="O58" s="52" t="n">
        <f aca="false">ROUND(S58*W58,0)</f>
        <v>70</v>
      </c>
      <c r="P58" s="52" t="n">
        <f aca="false">IF(F58="","",ROUND(SQRT((F58*L58/100)^2+(G58*O58)^2),0))</f>
        <v>27</v>
      </c>
      <c r="R58" s="54" t="n">
        <v>-22.8916762080056</v>
      </c>
      <c r="S58" s="55" t="n">
        <f aca="false">U58*V58*$F$5</f>
        <v>786.289198606272</v>
      </c>
      <c r="T58" s="56" t="n">
        <f aca="false">MAX(0,MIN(1,R58/100+$D$5))</f>
        <v>0.283076652438709</v>
      </c>
      <c r="U58" s="56" t="n">
        <v>0.649825783972126</v>
      </c>
      <c r="V58" s="55" t="n">
        <v>1210</v>
      </c>
      <c r="W58" s="56" t="n">
        <v>0.0887445098984521</v>
      </c>
      <c r="X58" s="57" t="s">
        <v>135</v>
      </c>
      <c r="Y58" s="57" t="s">
        <v>130</v>
      </c>
    </row>
    <row r="59" customFormat="false" ht="15" hidden="false" customHeight="false" outlineLevel="0" collapsed="false">
      <c r="A59" s="25" t="s">
        <v>126</v>
      </c>
      <c r="B59" s="25" t="s">
        <v>189</v>
      </c>
      <c r="C59" s="25" t="s">
        <v>192</v>
      </c>
      <c r="D59" s="52" t="n">
        <f aca="false">ROUND(S59*T59,0)</f>
        <v>204</v>
      </c>
      <c r="E59" s="52" t="n">
        <f aca="false">ROUND(S59,0)-D59</f>
        <v>497</v>
      </c>
      <c r="F59" s="52" t="n">
        <f aca="false">IF(COUNTA(D59:E59)=0,"",SUM(D59:E59))</f>
        <v>701</v>
      </c>
      <c r="G59" s="53" t="n">
        <f aca="false">IF(OR(F59="",F59=0),"",D59/F59)</f>
        <v>0.291012838801712</v>
      </c>
      <c r="H59" s="53" t="n">
        <f aca="false">IF(OR(F59="",F59=0),"",E59/F59)</f>
        <v>0.708987161198288</v>
      </c>
      <c r="I59" s="25" t="s">
        <v>128</v>
      </c>
      <c r="J59" s="28" t="n">
        <v>2.22489971008846</v>
      </c>
      <c r="K59" s="28" t="n">
        <f aca="false">$K$8</f>
        <v>0.297938238782275</v>
      </c>
      <c r="L59" s="28" t="n">
        <f aca="false">SQRT(J59^2+K59^2)</f>
        <v>2.24475965619494</v>
      </c>
      <c r="M59" s="53" t="n">
        <f aca="false">IF(G59="","",MAX(0,G59-1.96*L59/100))</f>
        <v>0.247015549540291</v>
      </c>
      <c r="N59" s="53" t="n">
        <f aca="false">IF(G59="","",MIN(1,G59+1.96*L59/100))</f>
        <v>0.335010128063133</v>
      </c>
      <c r="O59" s="52" t="n">
        <f aca="false">ROUND(S59*W59,0)</f>
        <v>62</v>
      </c>
      <c r="P59" s="52" t="n">
        <f aca="false">IF(F59="","",ROUND(SQRT((F59*L59/100)^2+(G59*O59)^2),0))</f>
        <v>24</v>
      </c>
      <c r="R59" s="54" t="n">
        <v>-22.1378704803855</v>
      </c>
      <c r="S59" s="55" t="n">
        <f aca="false">U59*V59*$F$5</f>
        <v>700.937313432836</v>
      </c>
      <c r="T59" s="56" t="n">
        <f aca="false">MAX(0,MIN(1,R59/100+$D$5))</f>
        <v>0.29061470971491</v>
      </c>
      <c r="U59" s="56" t="n">
        <v>0.674626865671642</v>
      </c>
      <c r="V59" s="55" t="n">
        <v>1039</v>
      </c>
      <c r="W59" s="56" t="n">
        <v>0.0887445098984521</v>
      </c>
      <c r="X59" s="57" t="s">
        <v>135</v>
      </c>
      <c r="Y59" s="57" t="s">
        <v>130</v>
      </c>
    </row>
    <row r="60" customFormat="false" ht="15" hidden="false" customHeight="false" outlineLevel="0" collapsed="false">
      <c r="A60" s="25" t="s">
        <v>126</v>
      </c>
      <c r="B60" s="25" t="s">
        <v>193</v>
      </c>
      <c r="C60" s="25" t="s">
        <v>194</v>
      </c>
      <c r="D60" s="52" t="n">
        <f aca="false">ROUND(S60*T60,0)</f>
        <v>183</v>
      </c>
      <c r="E60" s="52" t="n">
        <f aca="false">ROUND(S60,0)-D60</f>
        <v>418</v>
      </c>
      <c r="F60" s="52" t="n">
        <f aca="false">IF(COUNTA(D60:E60)=0,"",SUM(D60:E60))</f>
        <v>601</v>
      </c>
      <c r="G60" s="53" t="n">
        <f aca="false">IF(OR(F60="",F60=0),"",D60/F60)</f>
        <v>0.304492512479201</v>
      </c>
      <c r="H60" s="53" t="n">
        <f aca="false">IF(OR(F60="",F60=0),"",E60/F60)</f>
        <v>0.695507487520799</v>
      </c>
      <c r="I60" s="25" t="s">
        <v>128</v>
      </c>
      <c r="J60" s="28" t="n">
        <v>2.22489971008846</v>
      </c>
      <c r="K60" s="28" t="n">
        <f aca="false">$K$8</f>
        <v>0.297938238782275</v>
      </c>
      <c r="L60" s="28" t="n">
        <f aca="false">SQRT(J60^2+K60^2)</f>
        <v>2.24475965619494</v>
      </c>
      <c r="M60" s="53" t="n">
        <f aca="false">IF(G60="","",MAX(0,G60-1.96*L60/100))</f>
        <v>0.260495223217781</v>
      </c>
      <c r="N60" s="53" t="n">
        <f aca="false">IF(G60="","",MIN(1,G60+1.96*L60/100))</f>
        <v>0.348489801740622</v>
      </c>
      <c r="O60" s="52" t="n">
        <f aca="false">ROUND(S60*W60,0)</f>
        <v>53</v>
      </c>
      <c r="P60" s="52" t="n">
        <f aca="false">IF(F60="","",ROUND(SQRT((F60*L60/100)^2+(G60*O60)^2),0))</f>
        <v>21</v>
      </c>
      <c r="R60" s="54" t="n">
        <v>-20.7773185848031</v>
      </c>
      <c r="S60" s="55" t="n">
        <f aca="false">U60*V60*$F$5</f>
        <v>601.421153846154</v>
      </c>
      <c r="T60" s="56" t="n">
        <f aca="false">MAX(0,MIN(1,R60/100+$D$5))</f>
        <v>0.304220228670733</v>
      </c>
      <c r="U60" s="56" t="n">
        <v>0.578846153846154</v>
      </c>
      <c r="V60" s="55" t="n">
        <v>1039</v>
      </c>
      <c r="W60" s="56" t="n">
        <v>0.0887445098984521</v>
      </c>
      <c r="X60" s="57" t="s">
        <v>135</v>
      </c>
      <c r="Y60" s="57" t="s">
        <v>130</v>
      </c>
    </row>
    <row r="61" customFormat="false" ht="15" hidden="false" customHeight="false" outlineLevel="0" collapsed="false">
      <c r="A61" s="25" t="s">
        <v>126</v>
      </c>
      <c r="B61" s="25" t="s">
        <v>193</v>
      </c>
      <c r="C61" s="25" t="s">
        <v>195</v>
      </c>
      <c r="D61" s="52" t="n">
        <f aca="false">ROUND(S61*T61,0)</f>
        <v>91</v>
      </c>
      <c r="E61" s="52" t="n">
        <f aca="false">ROUND(S61,0)-D61</f>
        <v>221</v>
      </c>
      <c r="F61" s="52" t="n">
        <f aca="false">IF(COUNTA(D61:E61)=0,"",SUM(D61:E61))</f>
        <v>312</v>
      </c>
      <c r="G61" s="53" t="n">
        <f aca="false">IF(OR(F61="",F61=0),"",D61/F61)</f>
        <v>0.291666666666667</v>
      </c>
      <c r="H61" s="53" t="n">
        <f aca="false">IF(OR(F61="",F61=0),"",E61/F61)</f>
        <v>0.708333333333333</v>
      </c>
      <c r="I61" s="25" t="s">
        <v>128</v>
      </c>
      <c r="J61" s="28" t="n">
        <v>3.1978281706008</v>
      </c>
      <c r="K61" s="28" t="n">
        <f aca="false">$K$8</f>
        <v>0.297938238782275</v>
      </c>
      <c r="L61" s="28" t="n">
        <f aca="false">SQRT(J61^2+K61^2)</f>
        <v>3.21167747490571</v>
      </c>
      <c r="M61" s="53" t="n">
        <f aca="false">IF(G61="","",MAX(0,G61-1.96*L61/100))</f>
        <v>0.228717788158515</v>
      </c>
      <c r="N61" s="53" t="n">
        <f aca="false">IF(G61="","",MIN(1,G61+1.96*L61/100))</f>
        <v>0.354615545174819</v>
      </c>
      <c r="O61" s="52" t="n">
        <f aca="false">ROUND(S61*W61,0)</f>
        <v>46</v>
      </c>
      <c r="P61" s="52" t="n">
        <f aca="false">IF(F61="","",ROUND(SQRT((F61*L61/100)^2+(G61*O61)^2),0))</f>
        <v>17</v>
      </c>
      <c r="R61" s="54" t="n">
        <v>-21.9282817105112</v>
      </c>
      <c r="S61" s="55" t="n">
        <f aca="false">U61*V61*$F$5</f>
        <v>312.431640625</v>
      </c>
      <c r="T61" s="56" t="n">
        <f aca="false">MAX(0,MIN(1,R61/100+$D$5))</f>
        <v>0.292710597413653</v>
      </c>
      <c r="U61" s="56" t="n">
        <v>0.583984375</v>
      </c>
      <c r="V61" s="55" t="n">
        <v>535</v>
      </c>
      <c r="W61" s="56" t="n">
        <v>0.148097331980838</v>
      </c>
      <c r="X61" s="57" t="s">
        <v>129</v>
      </c>
      <c r="Y61" s="57" t="s">
        <v>130</v>
      </c>
    </row>
    <row r="62" customFormat="false" ht="15" hidden="false" customHeight="false" outlineLevel="0" collapsed="false">
      <c r="A62" s="25" t="s">
        <v>126</v>
      </c>
      <c r="B62" s="25" t="s">
        <v>196</v>
      </c>
      <c r="C62" s="25" t="s">
        <v>196</v>
      </c>
      <c r="D62" s="52" t="n">
        <f aca="false">ROUND(S62*T62,0)</f>
        <v>40</v>
      </c>
      <c r="E62" s="52" t="n">
        <f aca="false">ROUND(S62,0)-D62</f>
        <v>67</v>
      </c>
      <c r="F62" s="52" t="n">
        <f aca="false">IF(COUNTA(D62:E62)=0,"",SUM(D62:E62))</f>
        <v>107</v>
      </c>
      <c r="G62" s="53" t="n">
        <f aca="false">IF(OR(F62="",F62=0),"",D62/F62)</f>
        <v>0.373831775700935</v>
      </c>
      <c r="H62" s="53" t="n">
        <f aca="false">IF(OR(F62="",F62=0),"",E62/F62)</f>
        <v>0.626168224299065</v>
      </c>
      <c r="I62" s="25" t="s">
        <v>128</v>
      </c>
      <c r="J62" s="28" t="n">
        <v>3.1978281706008</v>
      </c>
      <c r="K62" s="28" t="n">
        <f aca="false">$K$8</f>
        <v>0.297938238782275</v>
      </c>
      <c r="L62" s="28" t="n">
        <f aca="false">SQRT(J62^2+K62^2)</f>
        <v>3.21167747490571</v>
      </c>
      <c r="M62" s="53" t="n">
        <f aca="false">IF(G62="","",MAX(0,G62-1.96*L62/100))</f>
        <v>0.310882897192783</v>
      </c>
      <c r="N62" s="53" t="n">
        <f aca="false">IF(G62="","",MIN(1,G62+1.96*L62/100))</f>
        <v>0.436780654209086</v>
      </c>
      <c r="O62" s="52" t="n">
        <f aca="false">ROUND(S62*W62,0)</f>
        <v>16</v>
      </c>
      <c r="P62" s="52" t="n">
        <f aca="false">IF(F62="","",ROUND(SQRT((F62*L62/100)^2+(G62*O62)^2),0))</f>
        <v>7</v>
      </c>
      <c r="R62" s="54" t="n">
        <v>-14.0387002164883</v>
      </c>
      <c r="S62" s="55" t="n">
        <f aca="false">U62*V62*$F$5</f>
        <v>106.666666666667</v>
      </c>
      <c r="T62" s="56" t="n">
        <f aca="false">MAX(0,MIN(1,R62/100+$D$5))</f>
        <v>0.371606412353882</v>
      </c>
      <c r="U62" s="56" t="n">
        <v>0.444444444444444</v>
      </c>
      <c r="V62" s="55" t="n">
        <v>240</v>
      </c>
      <c r="W62" s="56" t="n">
        <v>0.148097331980838</v>
      </c>
      <c r="X62" s="57" t="s">
        <v>129</v>
      </c>
      <c r="Y62" s="57" t="s">
        <v>130</v>
      </c>
    </row>
    <row r="63" customFormat="false" ht="15" hidden="false" customHeight="false" outlineLevel="0" collapsed="false">
      <c r="A63" s="25" t="s">
        <v>197</v>
      </c>
      <c r="B63" s="25" t="s">
        <v>198</v>
      </c>
      <c r="C63" s="25" t="s">
        <v>198</v>
      </c>
      <c r="D63" s="52" t="n">
        <f aca="false">ROUND(S63*T63,0)</f>
        <v>490</v>
      </c>
      <c r="E63" s="52" t="n">
        <f aca="false">ROUND(S63,0)-D63</f>
        <v>571</v>
      </c>
      <c r="F63" s="52" t="n">
        <f aca="false">IF(COUNTA(D63:E63)=0,"",SUM(D63:E63))</f>
        <v>1061</v>
      </c>
      <c r="G63" s="53" t="n">
        <f aca="false">IF(OR(F63="",F63=0),"",D63/F63)</f>
        <v>0.461828463713478</v>
      </c>
      <c r="H63" s="53" t="n">
        <f aca="false">IF(OR(F63="",F63=0),"",E63/F63)</f>
        <v>0.538171536286522</v>
      </c>
      <c r="I63" s="25" t="s">
        <v>128</v>
      </c>
      <c r="J63" s="28" t="n">
        <v>2.08262589216041</v>
      </c>
      <c r="K63" s="28" t="n">
        <f aca="false">$K$8</f>
        <v>0.297938238782275</v>
      </c>
      <c r="L63" s="28" t="n">
        <f aca="false">SQRT(J63^2+K63^2)</f>
        <v>2.1038293183682</v>
      </c>
      <c r="M63" s="53" t="n">
        <f aca="false">IF(G63="","",MAX(0,G63-1.96*L63/100))</f>
        <v>0.420593409073461</v>
      </c>
      <c r="N63" s="53" t="n">
        <f aca="false">IF(G63="","",MIN(1,G63+1.96*L63/100))</f>
        <v>0.503063518353495</v>
      </c>
      <c r="O63" s="52" t="n">
        <f aca="false">ROUND(S63*W63,0)</f>
        <v>73</v>
      </c>
      <c r="P63" s="52" t="n">
        <f aca="false">IF(F63="","",ROUND(SQRT((F63*L63/100)^2+(G63*O63)^2),0))</f>
        <v>40</v>
      </c>
      <c r="R63" s="54" t="n">
        <v>-5.02626066739649</v>
      </c>
      <c r="S63" s="55" t="n">
        <f aca="false">U63*V63*$F$5</f>
        <v>1060.80585424134</v>
      </c>
      <c r="T63" s="56" t="n">
        <f aca="false">MAX(0,MIN(1,R63/100+$D$5))</f>
        <v>0.4617308078448</v>
      </c>
      <c r="U63" s="56" t="n">
        <v>0.605137395459976</v>
      </c>
      <c r="V63" s="55" t="n">
        <v>1753</v>
      </c>
      <c r="W63" s="56" t="n">
        <v>0.0684752145190268</v>
      </c>
      <c r="X63" s="57" t="s">
        <v>168</v>
      </c>
      <c r="Y63" s="57" t="s">
        <v>130</v>
      </c>
    </row>
    <row r="64" customFormat="false" ht="15" hidden="false" customHeight="false" outlineLevel="0" collapsed="false">
      <c r="A64" s="25" t="s">
        <v>197</v>
      </c>
      <c r="B64" s="25" t="s">
        <v>199</v>
      </c>
      <c r="C64" s="25" t="s">
        <v>200</v>
      </c>
      <c r="D64" s="52" t="n">
        <f aca="false">ROUND(S64*T64,0)</f>
        <v>236</v>
      </c>
      <c r="E64" s="52" t="n">
        <f aca="false">ROUND(S64,0)-D64</f>
        <v>103</v>
      </c>
      <c r="F64" s="52" t="n">
        <f aca="false">IF(COUNTA(D64:E64)=0,"",SUM(D64:E64))</f>
        <v>339</v>
      </c>
      <c r="G64" s="53" t="n">
        <f aca="false">IF(OR(F64="",F64=0),"",D64/F64)</f>
        <v>0.696165191740413</v>
      </c>
      <c r="H64" s="53" t="n">
        <f aca="false">IF(OR(F64="",F64=0),"",E64/F64)</f>
        <v>0.303834808259587</v>
      </c>
      <c r="I64" s="25" t="s">
        <v>128</v>
      </c>
      <c r="J64" s="28" t="n">
        <v>3.1978281706008</v>
      </c>
      <c r="K64" s="28" t="n">
        <f aca="false">$K$8</f>
        <v>0.297938238782275</v>
      </c>
      <c r="L64" s="28" t="n">
        <f aca="false">SQRT(J64^2+K64^2)</f>
        <v>3.21167747490571</v>
      </c>
      <c r="M64" s="53" t="n">
        <f aca="false">IF(G64="","",MAX(0,G64-1.96*L64/100))</f>
        <v>0.633216313232261</v>
      </c>
      <c r="N64" s="53" t="n">
        <f aca="false">IF(G64="","",MIN(1,G64+1.96*L64/100))</f>
        <v>0.759114070248565</v>
      </c>
      <c r="O64" s="52" t="n">
        <f aca="false">ROUND(S64*W64,0)</f>
        <v>50</v>
      </c>
      <c r="P64" s="52" t="n">
        <f aca="false">IF(F64="","",ROUND(SQRT((F64*L64/100)^2+(G64*O64)^2),0))</f>
        <v>36</v>
      </c>
      <c r="R64" s="54" t="n">
        <v>18.6103457196181</v>
      </c>
      <c r="S64" s="55" t="n">
        <f aca="false">U64*V64*$F$5</f>
        <v>338.759820426487</v>
      </c>
      <c r="T64" s="56" t="n">
        <f aca="false">MAX(0,MIN(1,R64/100+$D$5))</f>
        <v>0.698096871714946</v>
      </c>
      <c r="U64" s="56" t="n">
        <v>0.187991021324355</v>
      </c>
      <c r="V64" s="55" t="n">
        <v>1802</v>
      </c>
      <c r="W64" s="56" t="n">
        <v>0.148097331980838</v>
      </c>
      <c r="X64" s="57" t="s">
        <v>129</v>
      </c>
      <c r="Y64" s="57" t="s">
        <v>130</v>
      </c>
    </row>
    <row r="65" customFormat="false" ht="15" hidden="false" customHeight="false" outlineLevel="0" collapsed="false">
      <c r="A65" s="25" t="s">
        <v>197</v>
      </c>
      <c r="B65" s="25" t="s">
        <v>199</v>
      </c>
      <c r="C65" s="25" t="s">
        <v>201</v>
      </c>
      <c r="D65" s="52" t="n">
        <f aca="false">ROUND(S65*T65,0)</f>
        <v>135</v>
      </c>
      <c r="E65" s="52" t="n">
        <f aca="false">ROUND(S65,0)-D65</f>
        <v>66</v>
      </c>
      <c r="F65" s="52" t="n">
        <f aca="false">IF(COUNTA(D65:E65)=0,"",SUM(D65:E65))</f>
        <v>201</v>
      </c>
      <c r="G65" s="53" t="n">
        <f aca="false">IF(OR(F65="",F65=0),"",D65/F65)</f>
        <v>0.671641791044776</v>
      </c>
      <c r="H65" s="53" t="n">
        <f aca="false">IF(OR(F65="",F65=0),"",E65/F65)</f>
        <v>0.328358208955224</v>
      </c>
      <c r="I65" s="25" t="s">
        <v>128</v>
      </c>
      <c r="J65" s="28" t="n">
        <v>3.1978281706008</v>
      </c>
      <c r="K65" s="28" t="n">
        <f aca="false">$K$8</f>
        <v>0.297938238782275</v>
      </c>
      <c r="L65" s="28" t="n">
        <f aca="false">SQRT(J65^2+K65^2)</f>
        <v>3.21167747490571</v>
      </c>
      <c r="M65" s="53" t="n">
        <f aca="false">IF(G65="","",MAX(0,G65-1.96*L65/100))</f>
        <v>0.608692912536624</v>
      </c>
      <c r="N65" s="53" t="n">
        <f aca="false">IF(G65="","",MIN(1,G65+1.96*L65/100))</f>
        <v>0.734590669552928</v>
      </c>
      <c r="O65" s="52" t="n">
        <f aca="false">ROUND(S65*W65,0)</f>
        <v>30</v>
      </c>
      <c r="P65" s="52" t="n">
        <f aca="false">IF(F65="","",ROUND(SQRT((F65*L65/100)^2+(G65*O65)^2),0))</f>
        <v>21</v>
      </c>
      <c r="R65" s="54" t="n">
        <v>16.0523476407547</v>
      </c>
      <c r="S65" s="55" t="n">
        <f aca="false">U65*V65*$F$5</f>
        <v>200.692863595303</v>
      </c>
      <c r="T65" s="56" t="n">
        <f aca="false">MAX(0,MIN(1,R65/100+$D$5))</f>
        <v>0.672516890926312</v>
      </c>
      <c r="U65" s="56" t="n">
        <v>0.188798554652213</v>
      </c>
      <c r="V65" s="55" t="n">
        <v>1063</v>
      </c>
      <c r="W65" s="56" t="n">
        <v>0.148097331980838</v>
      </c>
      <c r="X65" s="57" t="s">
        <v>129</v>
      </c>
      <c r="Y65" s="57" t="s">
        <v>130</v>
      </c>
    </row>
    <row r="66" customFormat="false" ht="15" hidden="false" customHeight="false" outlineLevel="0" collapsed="false">
      <c r="A66" s="25" t="s">
        <v>197</v>
      </c>
      <c r="B66" s="25" t="s">
        <v>199</v>
      </c>
      <c r="C66" s="25" t="s">
        <v>202</v>
      </c>
      <c r="D66" s="52" t="n">
        <f aca="false">ROUND(S66*T66,0)</f>
        <v>162</v>
      </c>
      <c r="E66" s="52" t="n">
        <f aca="false">ROUND(S66,0)-D66</f>
        <v>71</v>
      </c>
      <c r="F66" s="52" t="n">
        <f aca="false">IF(COUNTA(D66:E66)=0,"",SUM(D66:E66))</f>
        <v>233</v>
      </c>
      <c r="G66" s="53" t="n">
        <f aca="false">IF(OR(F66="",F66=0),"",D66/F66)</f>
        <v>0.695278969957082</v>
      </c>
      <c r="H66" s="53" t="n">
        <f aca="false">IF(OR(F66="",F66=0),"",E66/F66)</f>
        <v>0.304721030042918</v>
      </c>
      <c r="I66" s="25" t="s">
        <v>128</v>
      </c>
      <c r="J66" s="28" t="n">
        <v>3.1978281706008</v>
      </c>
      <c r="K66" s="28" t="n">
        <f aca="false">$K$8</f>
        <v>0.297938238782275</v>
      </c>
      <c r="L66" s="28" t="n">
        <f aca="false">SQRT(J66^2+K66^2)</f>
        <v>3.21167747490571</v>
      </c>
      <c r="M66" s="53" t="n">
        <f aca="false">IF(G66="","",MAX(0,G66-1.96*L66/100))</f>
        <v>0.63233009144893</v>
      </c>
      <c r="N66" s="53" t="n">
        <f aca="false">IF(G66="","",MIN(1,G66+1.96*L66/100))</f>
        <v>0.758227848465233</v>
      </c>
      <c r="O66" s="52" t="n">
        <f aca="false">ROUND(S66*W66,0)</f>
        <v>34</v>
      </c>
      <c r="P66" s="52" t="n">
        <f aca="false">IF(F66="","",ROUND(SQRT((F66*L66/100)^2+(G66*O66)^2),0))</f>
        <v>25</v>
      </c>
      <c r="R66" s="54" t="n">
        <v>18.4729072996844</v>
      </c>
      <c r="S66" s="55" t="n">
        <f aca="false">U66*V66*$F$5</f>
        <v>232.72650296359</v>
      </c>
      <c r="T66" s="56" t="n">
        <f aca="false">MAX(0,MIN(1,R66/100+$D$5))</f>
        <v>0.696722487515609</v>
      </c>
      <c r="U66" s="56" t="n">
        <v>0.202370872142252</v>
      </c>
      <c r="V66" s="55" t="n">
        <v>1150</v>
      </c>
      <c r="W66" s="56" t="n">
        <v>0.148097331980838</v>
      </c>
      <c r="X66" s="57" t="s">
        <v>129</v>
      </c>
      <c r="Y66" s="57" t="s">
        <v>130</v>
      </c>
    </row>
    <row r="67" customFormat="false" ht="15" hidden="false" customHeight="false" outlineLevel="0" collapsed="false">
      <c r="A67" s="25" t="s">
        <v>197</v>
      </c>
      <c r="B67" s="25" t="s">
        <v>199</v>
      </c>
      <c r="C67" s="25" t="s">
        <v>203</v>
      </c>
      <c r="D67" s="52" t="n">
        <f aca="false">ROUND(S67*T67,0)</f>
        <v>159</v>
      </c>
      <c r="E67" s="52" t="n">
        <f aca="false">ROUND(S67,0)-D67</f>
        <v>76</v>
      </c>
      <c r="F67" s="52" t="n">
        <f aca="false">IF(COUNTA(D67:E67)=0,"",SUM(D67:E67))</f>
        <v>235</v>
      </c>
      <c r="G67" s="53" t="n">
        <f aca="false">IF(OR(F67="",F67=0),"",D67/F67)</f>
        <v>0.676595744680851</v>
      </c>
      <c r="H67" s="53" t="n">
        <f aca="false">IF(OR(F67="",F67=0),"",E67/F67)</f>
        <v>0.323404255319149</v>
      </c>
      <c r="I67" s="25" t="s">
        <v>128</v>
      </c>
      <c r="J67" s="28" t="n">
        <v>3.1978281706008</v>
      </c>
      <c r="K67" s="28" t="n">
        <f aca="false">$K$8</f>
        <v>0.297938238782275</v>
      </c>
      <c r="L67" s="28" t="n">
        <f aca="false">SQRT(J67^2+K67^2)</f>
        <v>3.21167747490571</v>
      </c>
      <c r="M67" s="53" t="n">
        <f aca="false">IF(G67="","",MAX(0,G67-1.96*L67/100))</f>
        <v>0.613646866172699</v>
      </c>
      <c r="N67" s="53" t="n">
        <f aca="false">IF(G67="","",MIN(1,G67+1.96*L67/100))</f>
        <v>0.739544623189003</v>
      </c>
      <c r="O67" s="52" t="n">
        <f aca="false">ROUND(S67*W67,0)</f>
        <v>35</v>
      </c>
      <c r="P67" s="52" t="n">
        <f aca="false">IF(F67="","",ROUND(SQRT((F67*L67/100)^2+(G67*O67)^2),0))</f>
        <v>25</v>
      </c>
      <c r="R67" s="54" t="n">
        <v>16.4882021695258</v>
      </c>
      <c r="S67" s="55" t="n">
        <f aca="false">U67*V67*$F$5</f>
        <v>234.521920668058</v>
      </c>
      <c r="T67" s="56" t="n">
        <f aca="false">MAX(0,MIN(1,R67/100+$D$5))</f>
        <v>0.676875436214022</v>
      </c>
      <c r="U67" s="56" t="n">
        <v>0.248434237995825</v>
      </c>
      <c r="V67" s="55" t="n">
        <v>944</v>
      </c>
      <c r="W67" s="56" t="n">
        <v>0.148097331980838</v>
      </c>
      <c r="X67" s="57" t="s">
        <v>129</v>
      </c>
      <c r="Y67" s="57" t="s">
        <v>130</v>
      </c>
    </row>
    <row r="68" customFormat="false" ht="15" hidden="false" customHeight="false" outlineLevel="0" collapsed="false">
      <c r="A68" s="25" t="s">
        <v>197</v>
      </c>
      <c r="B68" s="25" t="s">
        <v>199</v>
      </c>
      <c r="C68" s="25" t="s">
        <v>204</v>
      </c>
      <c r="D68" s="52" t="n">
        <f aca="false">ROUND(S68*T68,0)</f>
        <v>163</v>
      </c>
      <c r="E68" s="52" t="n">
        <f aca="false">ROUND(S68,0)-D68</f>
        <v>64</v>
      </c>
      <c r="F68" s="52" t="n">
        <f aca="false">IF(COUNTA(D68:E68)=0,"",SUM(D68:E68))</f>
        <v>227</v>
      </c>
      <c r="G68" s="53" t="n">
        <f aca="false">IF(OR(F68="",F68=0),"",D68/F68)</f>
        <v>0.718061674008811</v>
      </c>
      <c r="H68" s="53" t="n">
        <f aca="false">IF(OR(F68="",F68=0),"",E68/F68)</f>
        <v>0.281938325991189</v>
      </c>
      <c r="I68" s="25" t="s">
        <v>128</v>
      </c>
      <c r="J68" s="28" t="n">
        <v>3.1978281706008</v>
      </c>
      <c r="K68" s="28" t="n">
        <f aca="false">$K$8</f>
        <v>0.297938238782275</v>
      </c>
      <c r="L68" s="28" t="n">
        <f aca="false">SQRT(J68^2+K68^2)</f>
        <v>3.21167747490571</v>
      </c>
      <c r="M68" s="53" t="n">
        <f aca="false">IF(G68="","",MAX(0,G68-1.96*L68/100))</f>
        <v>0.655112795500659</v>
      </c>
      <c r="N68" s="53" t="n">
        <f aca="false">IF(G68="","",MIN(1,G68+1.96*L68/100))</f>
        <v>0.781010552516963</v>
      </c>
      <c r="O68" s="52" t="n">
        <f aca="false">ROUND(S68*W68,0)</f>
        <v>34</v>
      </c>
      <c r="P68" s="52" t="n">
        <f aca="false">IF(F68="","",ROUND(SQRT((F68*L68/100)^2+(G68*O68)^2),0))</f>
        <v>25</v>
      </c>
      <c r="R68" s="54" t="n">
        <v>20.6343857888625</v>
      </c>
      <c r="S68" s="55" t="n">
        <f aca="false">U68*V68*$F$5</f>
        <v>227.321723189734</v>
      </c>
      <c r="T68" s="56" t="n">
        <f aca="false">MAX(0,MIN(1,R68/100+$D$5))</f>
        <v>0.71833727240739</v>
      </c>
      <c r="U68" s="56" t="n">
        <v>0.212648945921173</v>
      </c>
      <c r="V68" s="55" t="n">
        <v>1069</v>
      </c>
      <c r="W68" s="56" t="n">
        <v>0.148097331980838</v>
      </c>
      <c r="X68" s="57" t="s">
        <v>129</v>
      </c>
      <c r="Y68" s="57" t="s">
        <v>130</v>
      </c>
    </row>
    <row r="69" customFormat="false" ht="15" hidden="false" customHeight="false" outlineLevel="0" collapsed="false">
      <c r="A69" s="25" t="s">
        <v>197</v>
      </c>
      <c r="B69" s="25" t="s">
        <v>199</v>
      </c>
      <c r="C69" s="25" t="s">
        <v>205</v>
      </c>
      <c r="D69" s="52" t="n">
        <f aca="false">ROUND(S69*T69,0)</f>
        <v>246</v>
      </c>
      <c r="E69" s="52" t="n">
        <f aca="false">ROUND(S69,0)-D69</f>
        <v>115</v>
      </c>
      <c r="F69" s="52" t="n">
        <f aca="false">IF(COUNTA(D69:E69)=0,"",SUM(D69:E69))</f>
        <v>361</v>
      </c>
      <c r="G69" s="53" t="n">
        <f aca="false">IF(OR(F69="",F69=0),"",D69/F69)</f>
        <v>0.681440443213296</v>
      </c>
      <c r="H69" s="53" t="n">
        <f aca="false">IF(OR(F69="",F69=0),"",E69/F69)</f>
        <v>0.318559556786704</v>
      </c>
      <c r="I69" s="25" t="s">
        <v>128</v>
      </c>
      <c r="J69" s="28" t="n">
        <v>3.1978281706008</v>
      </c>
      <c r="K69" s="28" t="n">
        <f aca="false">$K$8</f>
        <v>0.297938238782275</v>
      </c>
      <c r="L69" s="28" t="n">
        <f aca="false">SQRT(J69^2+K69^2)</f>
        <v>3.21167747490571</v>
      </c>
      <c r="M69" s="53" t="n">
        <f aca="false">IF(G69="","",MAX(0,G69-1.96*L69/100))</f>
        <v>0.618491564705145</v>
      </c>
      <c r="N69" s="53" t="n">
        <f aca="false">IF(G69="","",MIN(1,G69+1.96*L69/100))</f>
        <v>0.744389321721448</v>
      </c>
      <c r="O69" s="52" t="n">
        <f aca="false">ROUND(S69*W69,0)</f>
        <v>53</v>
      </c>
      <c r="P69" s="52" t="n">
        <f aca="false">IF(F69="","",ROUND(SQRT((F69*L69/100)^2+(G69*O69)^2),0))</f>
        <v>38</v>
      </c>
      <c r="R69" s="54" t="n">
        <v>16.916449521698</v>
      </c>
      <c r="S69" s="55" t="n">
        <f aca="false">U69*V69*$F$5</f>
        <v>360.922448979592</v>
      </c>
      <c r="T69" s="56" t="n">
        <f aca="false">MAX(0,MIN(1,R69/100+$D$5))</f>
        <v>0.681157909735745</v>
      </c>
      <c r="U69" s="56" t="n">
        <v>0.36530612244898</v>
      </c>
      <c r="V69" s="55" t="n">
        <v>988.000000000001</v>
      </c>
      <c r="W69" s="56" t="n">
        <v>0.148097331980838</v>
      </c>
      <c r="X69" s="57" t="s">
        <v>129</v>
      </c>
      <c r="Y69" s="57" t="s">
        <v>130</v>
      </c>
    </row>
    <row r="70" customFormat="false" ht="15" hidden="false" customHeight="false" outlineLevel="0" collapsed="false">
      <c r="A70" s="25" t="s">
        <v>197</v>
      </c>
      <c r="B70" s="25" t="s">
        <v>199</v>
      </c>
      <c r="C70" s="25" t="s">
        <v>206</v>
      </c>
      <c r="D70" s="52" t="n">
        <f aca="false">ROUND(S70*T70,0)</f>
        <v>573</v>
      </c>
      <c r="E70" s="52" t="n">
        <f aca="false">ROUND(S70,0)-D70</f>
        <v>185</v>
      </c>
      <c r="F70" s="52" t="n">
        <f aca="false">IF(COUNTA(D70:E70)=0,"",SUM(D70:E70))</f>
        <v>758</v>
      </c>
      <c r="G70" s="53" t="n">
        <f aca="false">IF(OR(F70="",F70=0),"",D70/F70)</f>
        <v>0.755936675461741</v>
      </c>
      <c r="H70" s="53" t="n">
        <f aca="false">IF(OR(F70="",F70=0),"",E70/F70)</f>
        <v>0.244063324538259</v>
      </c>
      <c r="I70" s="25" t="s">
        <v>128</v>
      </c>
      <c r="J70" s="28" t="n">
        <v>2.22489971008846</v>
      </c>
      <c r="K70" s="28" t="n">
        <f aca="false">$K$8</f>
        <v>0.297938238782275</v>
      </c>
      <c r="L70" s="28" t="n">
        <f aca="false">SQRT(J70^2+K70^2)</f>
        <v>2.24475965619494</v>
      </c>
      <c r="M70" s="53" t="n">
        <f aca="false">IF(G70="","",MAX(0,G70-1.96*L70/100))</f>
        <v>0.711939386200321</v>
      </c>
      <c r="N70" s="53" t="n">
        <f aca="false">IF(G70="","",MIN(1,G70+1.96*L70/100))</f>
        <v>0.799933964723162</v>
      </c>
      <c r="O70" s="52" t="n">
        <f aca="false">ROUND(S70*W70,0)</f>
        <v>67</v>
      </c>
      <c r="P70" s="52" t="n">
        <f aca="false">IF(F70="","",ROUND(SQRT((F70*L70/100)^2+(G70*O70)^2),0))</f>
        <v>53</v>
      </c>
      <c r="R70" s="54" t="n">
        <v>24.3699270990416</v>
      </c>
      <c r="S70" s="55" t="n">
        <f aca="false">U70*V70*$F$5</f>
        <v>757.916666666666</v>
      </c>
      <c r="T70" s="56" t="n">
        <f aca="false">MAX(0,MIN(1,R70/100+$D$5))</f>
        <v>0.755692685509181</v>
      </c>
      <c r="U70" s="56" t="n">
        <v>0.307971014492754</v>
      </c>
      <c r="V70" s="55" t="n">
        <v>2461</v>
      </c>
      <c r="W70" s="56" t="n">
        <v>0.0887445098984521</v>
      </c>
      <c r="X70" s="57" t="s">
        <v>135</v>
      </c>
      <c r="Y70" s="57" t="s">
        <v>130</v>
      </c>
    </row>
    <row r="71" customFormat="false" ht="15" hidden="false" customHeight="false" outlineLevel="0" collapsed="false">
      <c r="A71" s="25" t="s">
        <v>197</v>
      </c>
      <c r="B71" s="25" t="s">
        <v>199</v>
      </c>
      <c r="C71" s="25" t="s">
        <v>207</v>
      </c>
      <c r="D71" s="52" t="n">
        <f aca="false">ROUND(S71*T71,0)</f>
        <v>269</v>
      </c>
      <c r="E71" s="52" t="n">
        <f aca="false">ROUND(S71,0)-D71</f>
        <v>142</v>
      </c>
      <c r="F71" s="52" t="n">
        <f aca="false">IF(COUNTA(D71:E71)=0,"",SUM(D71:E71))</f>
        <v>411</v>
      </c>
      <c r="G71" s="53" t="n">
        <f aca="false">IF(OR(F71="",F71=0),"",D71/F71)</f>
        <v>0.654501216545012</v>
      </c>
      <c r="H71" s="53" t="n">
        <f aca="false">IF(OR(F71="",F71=0),"",E71/F71)</f>
        <v>0.345498783454988</v>
      </c>
      <c r="I71" s="25" t="s">
        <v>128</v>
      </c>
      <c r="J71" s="28" t="n">
        <v>3.1978281706008</v>
      </c>
      <c r="K71" s="28" t="n">
        <f aca="false">$K$8</f>
        <v>0.297938238782275</v>
      </c>
      <c r="L71" s="28" t="n">
        <f aca="false">SQRT(J71^2+K71^2)</f>
        <v>3.21167747490571</v>
      </c>
      <c r="M71" s="53" t="n">
        <f aca="false">IF(G71="","",MAX(0,G71-1.96*L71/100))</f>
        <v>0.59155233803686</v>
      </c>
      <c r="N71" s="53" t="n">
        <f aca="false">IF(G71="","",MIN(1,G71+1.96*L71/100))</f>
        <v>0.717450095053164</v>
      </c>
      <c r="O71" s="52" t="n">
        <f aca="false">ROUND(S71*W71,0)</f>
        <v>61</v>
      </c>
      <c r="P71" s="52" t="n">
        <f aca="false">IF(F71="","",ROUND(SQRT((F71*L71/100)^2+(G71*O71)^2),0))</f>
        <v>42</v>
      </c>
      <c r="R71" s="54" t="n">
        <v>14.2594644279454</v>
      </c>
      <c r="S71" s="55" t="n">
        <f aca="false">U71*V71*$F$5</f>
        <v>411.119158878505</v>
      </c>
      <c r="T71" s="56" t="n">
        <f aca="false">MAX(0,MIN(1,R71/100+$D$5))</f>
        <v>0.654588058798219</v>
      </c>
      <c r="U71" s="56" t="n">
        <v>0.466121495327103</v>
      </c>
      <c r="V71" s="55" t="n">
        <v>882</v>
      </c>
      <c r="W71" s="56" t="n">
        <v>0.148097331980838</v>
      </c>
      <c r="X71" s="57" t="s">
        <v>129</v>
      </c>
      <c r="Y71" s="57" t="s">
        <v>130</v>
      </c>
    </row>
    <row r="72" customFormat="false" ht="15" hidden="false" customHeight="false" outlineLevel="0" collapsed="false">
      <c r="A72" s="25" t="s">
        <v>197</v>
      </c>
      <c r="B72" s="25" t="s">
        <v>199</v>
      </c>
      <c r="C72" s="25" t="s">
        <v>208</v>
      </c>
      <c r="D72" s="52" t="n">
        <f aca="false">ROUND(S72*T72,0)</f>
        <v>419</v>
      </c>
      <c r="E72" s="52" t="n">
        <f aca="false">ROUND(S72,0)-D72</f>
        <v>251</v>
      </c>
      <c r="F72" s="52" t="n">
        <f aca="false">IF(COUNTA(D72:E72)=0,"",SUM(D72:E72))</f>
        <v>670</v>
      </c>
      <c r="G72" s="53" t="n">
        <f aca="false">IF(OR(F72="",F72=0),"",D72/F72)</f>
        <v>0.625373134328358</v>
      </c>
      <c r="H72" s="53" t="n">
        <f aca="false">IF(OR(F72="",F72=0),"",E72/F72)</f>
        <v>0.374626865671642</v>
      </c>
      <c r="I72" s="25" t="s">
        <v>128</v>
      </c>
      <c r="J72" s="28" t="n">
        <v>2.22489971008846</v>
      </c>
      <c r="K72" s="28" t="n">
        <f aca="false">$K$8</f>
        <v>0.297938238782275</v>
      </c>
      <c r="L72" s="28" t="n">
        <f aca="false">SQRT(J72^2+K72^2)</f>
        <v>2.24475965619494</v>
      </c>
      <c r="M72" s="53" t="n">
        <f aca="false">IF(G72="","",MAX(0,G72-1.96*L72/100))</f>
        <v>0.581375845066937</v>
      </c>
      <c r="N72" s="53" t="n">
        <f aca="false">IF(G72="","",MIN(1,G72+1.96*L72/100))</f>
        <v>0.669370423589779</v>
      </c>
      <c r="O72" s="52" t="n">
        <f aca="false">ROUND(S72*W72,0)</f>
        <v>59</v>
      </c>
      <c r="P72" s="52" t="n">
        <f aca="false">IF(F72="","",ROUND(SQRT((F72*L72/100)^2+(G72*O72)^2),0))</f>
        <v>40</v>
      </c>
      <c r="R72" s="54" t="n">
        <v>11.3185074386886</v>
      </c>
      <c r="S72" s="55" t="n">
        <f aca="false">U72*V72*$F$5</f>
        <v>669.509193776521</v>
      </c>
      <c r="T72" s="56" t="n">
        <f aca="false">MAX(0,MIN(1,R72/100+$D$5))</f>
        <v>0.62517848890565</v>
      </c>
      <c r="U72" s="56" t="n">
        <v>0.487270155586988</v>
      </c>
      <c r="V72" s="55" t="n">
        <v>1374</v>
      </c>
      <c r="W72" s="56" t="n">
        <v>0.0887445098984521</v>
      </c>
      <c r="X72" s="57" t="s">
        <v>135</v>
      </c>
      <c r="Y72" s="57" t="s">
        <v>130</v>
      </c>
    </row>
    <row r="73" customFormat="false" ht="15" hidden="false" customHeight="false" outlineLevel="0" collapsed="false">
      <c r="A73" s="25" t="s">
        <v>197</v>
      </c>
      <c r="B73" s="25" t="s">
        <v>199</v>
      </c>
      <c r="C73" s="25" t="s">
        <v>209</v>
      </c>
      <c r="D73" s="52" t="n">
        <f aca="false">ROUND(S73*T73,0)</f>
        <v>348</v>
      </c>
      <c r="E73" s="52" t="n">
        <f aca="false">ROUND(S73,0)-D73</f>
        <v>201</v>
      </c>
      <c r="F73" s="52" t="n">
        <f aca="false">IF(COUNTA(D73:E73)=0,"",SUM(D73:E73))</f>
        <v>549</v>
      </c>
      <c r="G73" s="53" t="n">
        <f aca="false">IF(OR(F73="",F73=0),"",D73/F73)</f>
        <v>0.633879781420765</v>
      </c>
      <c r="H73" s="53" t="n">
        <f aca="false">IF(OR(F73="",F73=0),"",E73/F73)</f>
        <v>0.366120218579235</v>
      </c>
      <c r="I73" s="25" t="s">
        <v>128</v>
      </c>
      <c r="J73" s="28" t="n">
        <v>3.1978281706008</v>
      </c>
      <c r="K73" s="28" t="n">
        <f aca="false">$K$8</f>
        <v>0.297938238782275</v>
      </c>
      <c r="L73" s="28" t="n">
        <f aca="false">SQRT(J73^2+K73^2)</f>
        <v>3.21167747490571</v>
      </c>
      <c r="M73" s="53" t="n">
        <f aca="false">IF(G73="","",MAX(0,G73-1.96*L73/100))</f>
        <v>0.570930902912613</v>
      </c>
      <c r="N73" s="53" t="n">
        <f aca="false">IF(G73="","",MIN(1,G73+1.96*L73/100))</f>
        <v>0.696828659928917</v>
      </c>
      <c r="O73" s="52" t="n">
        <f aca="false">ROUND(S73*W73,0)</f>
        <v>81</v>
      </c>
      <c r="P73" s="52" t="n">
        <f aca="false">IF(F73="","",ROUND(SQRT((F73*L73/100)^2+(G73*O73)^2),0))</f>
        <v>54</v>
      </c>
      <c r="R73" s="54" t="n">
        <v>12.2011268411295</v>
      </c>
      <c r="S73" s="55" t="n">
        <f aca="false">U73*V73*$F$5</f>
        <v>549.287257019439</v>
      </c>
      <c r="T73" s="56" t="n">
        <f aca="false">MAX(0,MIN(1,R73/100+$D$5))</f>
        <v>0.63400468293006</v>
      </c>
      <c r="U73" s="56" t="n">
        <v>0.587473002159827</v>
      </c>
      <c r="V73" s="55" t="n">
        <v>935</v>
      </c>
      <c r="W73" s="56" t="n">
        <v>0.148097331980838</v>
      </c>
      <c r="X73" s="57" t="s">
        <v>129</v>
      </c>
      <c r="Y73" s="57" t="s">
        <v>130</v>
      </c>
    </row>
    <row r="74" customFormat="false" ht="15" hidden="false" customHeight="false" outlineLevel="0" collapsed="false">
      <c r="A74" s="25" t="s">
        <v>197</v>
      </c>
      <c r="B74" s="25" t="s">
        <v>199</v>
      </c>
      <c r="C74" s="25" t="s">
        <v>210</v>
      </c>
      <c r="D74" s="52" t="n">
        <f aca="false">ROUND(S74*T74,0)</f>
        <v>249</v>
      </c>
      <c r="E74" s="52" t="n">
        <f aca="false">ROUND(S74,0)-D74</f>
        <v>129</v>
      </c>
      <c r="F74" s="52" t="n">
        <f aca="false">IF(COUNTA(D74:E74)=0,"",SUM(D74:E74))</f>
        <v>378</v>
      </c>
      <c r="G74" s="53" t="n">
        <f aca="false">IF(OR(F74="",F74=0),"",D74/F74)</f>
        <v>0.658730158730159</v>
      </c>
      <c r="H74" s="53" t="n">
        <f aca="false">IF(OR(F74="",F74=0),"",E74/F74)</f>
        <v>0.341269841269841</v>
      </c>
      <c r="I74" s="25" t="s">
        <v>128</v>
      </c>
      <c r="J74" s="28" t="n">
        <v>3.1978281706008</v>
      </c>
      <c r="K74" s="28" t="n">
        <f aca="false">$K$8</f>
        <v>0.297938238782275</v>
      </c>
      <c r="L74" s="28" t="n">
        <f aca="false">SQRT(J74^2+K74^2)</f>
        <v>3.21167747490571</v>
      </c>
      <c r="M74" s="53" t="n">
        <f aca="false">IF(G74="","",MAX(0,G74-1.96*L74/100))</f>
        <v>0.595781280222007</v>
      </c>
      <c r="N74" s="53" t="n">
        <f aca="false">IF(G74="","",MIN(1,G74+1.96*L74/100))</f>
        <v>0.721679037238311</v>
      </c>
      <c r="O74" s="52" t="n">
        <f aca="false">ROUND(S74*W74,0)</f>
        <v>56</v>
      </c>
      <c r="P74" s="52" t="n">
        <f aca="false">IF(F74="","",ROUND(SQRT((F74*L74/100)^2+(G74*O74)^2),0))</f>
        <v>39</v>
      </c>
      <c r="R74" s="54" t="n">
        <v>14.7292252894838</v>
      </c>
      <c r="S74" s="55" t="n">
        <f aca="false">U74*V74*$F$5</f>
        <v>378.339066339066</v>
      </c>
      <c r="T74" s="56" t="n">
        <f aca="false">MAX(0,MIN(1,R74/100+$D$5))</f>
        <v>0.659285667413603</v>
      </c>
      <c r="U74" s="56" t="n">
        <v>0.314496314496315</v>
      </c>
      <c r="V74" s="55" t="n">
        <v>1203</v>
      </c>
      <c r="W74" s="56" t="n">
        <v>0.148097331980838</v>
      </c>
      <c r="X74" s="57" t="s">
        <v>129</v>
      </c>
      <c r="Y74" s="57" t="s">
        <v>130</v>
      </c>
    </row>
    <row r="75" customFormat="false" ht="15" hidden="false" customHeight="false" outlineLevel="0" collapsed="false">
      <c r="A75" s="25" t="s">
        <v>197</v>
      </c>
      <c r="B75" s="25" t="s">
        <v>199</v>
      </c>
      <c r="C75" s="25" t="s">
        <v>211</v>
      </c>
      <c r="D75" s="52" t="n">
        <f aca="false">ROUND(S75*T75,0)</f>
        <v>311</v>
      </c>
      <c r="E75" s="52" t="n">
        <f aca="false">ROUND(S75,0)-D75</f>
        <v>174</v>
      </c>
      <c r="F75" s="52" t="n">
        <f aca="false">IF(COUNTA(D75:E75)=0,"",SUM(D75:E75))</f>
        <v>485</v>
      </c>
      <c r="G75" s="53" t="n">
        <f aca="false">IF(OR(F75="",F75=0),"",D75/F75)</f>
        <v>0.641237113402062</v>
      </c>
      <c r="H75" s="53" t="n">
        <f aca="false">IF(OR(F75="",F75=0),"",E75/F75)</f>
        <v>0.358762886597938</v>
      </c>
      <c r="I75" s="25" t="s">
        <v>128</v>
      </c>
      <c r="J75" s="28" t="n">
        <v>3.1978281706008</v>
      </c>
      <c r="K75" s="28" t="n">
        <f aca="false">$K$8</f>
        <v>0.297938238782275</v>
      </c>
      <c r="L75" s="28" t="n">
        <f aca="false">SQRT(J75^2+K75^2)</f>
        <v>3.21167747490571</v>
      </c>
      <c r="M75" s="53" t="n">
        <f aca="false">IF(G75="","",MAX(0,G75-1.96*L75/100))</f>
        <v>0.57828823489391</v>
      </c>
      <c r="N75" s="53" t="n">
        <f aca="false">IF(G75="","",MIN(1,G75+1.96*L75/100))</f>
        <v>0.704185991910214</v>
      </c>
      <c r="O75" s="52" t="n">
        <f aca="false">ROUND(S75*W75,0)</f>
        <v>72</v>
      </c>
      <c r="P75" s="52" t="n">
        <f aca="false">IF(F75="","",ROUND(SQRT((F75*L75/100)^2+(G75*O75)^2),0))</f>
        <v>49</v>
      </c>
      <c r="R75" s="54" t="n">
        <v>12.9842888655948</v>
      </c>
      <c r="S75" s="55" t="n">
        <f aca="false">U75*V75*$F$5</f>
        <v>484.695302013423</v>
      </c>
      <c r="T75" s="56" t="n">
        <f aca="false">MAX(0,MIN(1,R75/100+$D$5))</f>
        <v>0.641836303174713</v>
      </c>
      <c r="U75" s="56" t="n">
        <v>0.326174496644295</v>
      </c>
      <c r="V75" s="55" t="n">
        <v>1486</v>
      </c>
      <c r="W75" s="56" t="n">
        <v>0.148097331980838</v>
      </c>
      <c r="X75" s="57" t="s">
        <v>129</v>
      </c>
      <c r="Y75" s="57" t="s">
        <v>130</v>
      </c>
    </row>
    <row r="76" customFormat="false" ht="15" hidden="false" customHeight="false" outlineLevel="0" collapsed="false">
      <c r="A76" s="25" t="s">
        <v>197</v>
      </c>
      <c r="B76" s="25" t="s">
        <v>199</v>
      </c>
      <c r="C76" s="25" t="s">
        <v>212</v>
      </c>
      <c r="D76" s="52" t="n">
        <f aca="false">ROUND(S76*T76,0)</f>
        <v>361</v>
      </c>
      <c r="E76" s="52" t="n">
        <f aca="false">ROUND(S76,0)-D76</f>
        <v>213</v>
      </c>
      <c r="F76" s="52" t="n">
        <f aca="false">IF(COUNTA(D76:E76)=0,"",SUM(D76:E76))</f>
        <v>574</v>
      </c>
      <c r="G76" s="53" t="n">
        <f aca="false">IF(OR(F76="",F76=0),"",D76/F76)</f>
        <v>0.628919860627178</v>
      </c>
      <c r="H76" s="53" t="n">
        <f aca="false">IF(OR(F76="",F76=0),"",E76/F76)</f>
        <v>0.371080139372822</v>
      </c>
      <c r="I76" s="25" t="s">
        <v>128</v>
      </c>
      <c r="J76" s="28" t="n">
        <v>2.22489971008846</v>
      </c>
      <c r="K76" s="28" t="n">
        <f aca="false">$K$8</f>
        <v>0.297938238782275</v>
      </c>
      <c r="L76" s="28" t="n">
        <f aca="false">SQRT(J76^2+K76^2)</f>
        <v>2.24475965619494</v>
      </c>
      <c r="M76" s="53" t="n">
        <f aca="false">IF(G76="","",MAX(0,G76-1.96*L76/100))</f>
        <v>0.584922571365757</v>
      </c>
      <c r="N76" s="53" t="n">
        <f aca="false">IF(G76="","",MIN(1,G76+1.96*L76/100))</f>
        <v>0.672917149888599</v>
      </c>
      <c r="O76" s="52" t="n">
        <f aca="false">ROUND(S76*W76,0)</f>
        <v>51</v>
      </c>
      <c r="P76" s="52" t="n">
        <f aca="false">IF(F76="","",ROUND(SQRT((F76*L76/100)^2+(G76*O76)^2),0))</f>
        <v>35</v>
      </c>
      <c r="R76" s="54" t="n">
        <v>11.6067269272669</v>
      </c>
      <c r="S76" s="55" t="n">
        <f aca="false">U76*V76*$F$5</f>
        <v>574.422997946612</v>
      </c>
      <c r="T76" s="56" t="n">
        <f aca="false">MAX(0,MIN(1,R76/100+$D$5))</f>
        <v>0.628060683791433</v>
      </c>
      <c r="U76" s="56" t="n">
        <v>0.509240246406571</v>
      </c>
      <c r="V76" s="55" t="n">
        <v>1128</v>
      </c>
      <c r="W76" s="56" t="n">
        <v>0.0887445098984521</v>
      </c>
      <c r="X76" s="57" t="s">
        <v>135</v>
      </c>
      <c r="Y76" s="57" t="s">
        <v>130</v>
      </c>
    </row>
    <row r="77" customFormat="false" ht="15" hidden="false" customHeight="false" outlineLevel="0" collapsed="false">
      <c r="A77" s="25" t="s">
        <v>197</v>
      </c>
      <c r="B77" s="25" t="s">
        <v>199</v>
      </c>
      <c r="C77" s="25" t="s">
        <v>213</v>
      </c>
      <c r="D77" s="52" t="n">
        <f aca="false">ROUND(S77*T77,0)</f>
        <v>334</v>
      </c>
      <c r="E77" s="52" t="n">
        <f aca="false">ROUND(S77,0)-D77</f>
        <v>245</v>
      </c>
      <c r="F77" s="52" t="n">
        <f aca="false">IF(COUNTA(D77:E77)=0,"",SUM(D77:E77))</f>
        <v>579</v>
      </c>
      <c r="G77" s="53" t="n">
        <f aca="false">IF(OR(F77="",F77=0),"",D77/F77)</f>
        <v>0.57685664939551</v>
      </c>
      <c r="H77" s="53" t="n">
        <f aca="false">IF(OR(F77="",F77=0),"",E77/F77)</f>
        <v>0.423143350604491</v>
      </c>
      <c r="I77" s="25" t="s">
        <v>128</v>
      </c>
      <c r="J77" s="28" t="n">
        <v>2.22489971008846</v>
      </c>
      <c r="K77" s="28" t="n">
        <f aca="false">$K$8</f>
        <v>0.297938238782275</v>
      </c>
      <c r="L77" s="28" t="n">
        <f aca="false">SQRT(J77^2+K77^2)</f>
        <v>2.24475965619494</v>
      </c>
      <c r="M77" s="53" t="n">
        <f aca="false">IF(G77="","",MAX(0,G77-1.96*L77/100))</f>
        <v>0.532859360134089</v>
      </c>
      <c r="N77" s="53" t="n">
        <f aca="false">IF(G77="","",MIN(1,G77+1.96*L77/100))</f>
        <v>0.62085393865693</v>
      </c>
      <c r="O77" s="52" t="n">
        <f aca="false">ROUND(S77*W77,0)</f>
        <v>51</v>
      </c>
      <c r="P77" s="52" t="n">
        <f aca="false">IF(F77="","",ROUND(SQRT((F77*L77/100)^2+(G77*O77)^2),0))</f>
        <v>32</v>
      </c>
      <c r="R77" s="54" t="n">
        <v>6.45648188882259</v>
      </c>
      <c r="S77" s="55" t="n">
        <f aca="false">U77*V77*$F$5</f>
        <v>579.434468524251</v>
      </c>
      <c r="T77" s="56" t="n">
        <f aca="false">MAX(0,MIN(1,R77/100+$D$5))</f>
        <v>0.576558233406991</v>
      </c>
      <c r="U77" s="56" t="n">
        <v>0.584107327141383</v>
      </c>
      <c r="V77" s="55" t="n">
        <v>992</v>
      </c>
      <c r="W77" s="56" t="n">
        <v>0.0887445098984521</v>
      </c>
      <c r="X77" s="57" t="s">
        <v>135</v>
      </c>
      <c r="Y77" s="57" t="s">
        <v>130</v>
      </c>
    </row>
    <row r="78" customFormat="false" ht="15" hidden="false" customHeight="false" outlineLevel="0" collapsed="false">
      <c r="A78" s="25" t="s">
        <v>197</v>
      </c>
      <c r="B78" s="25" t="s">
        <v>199</v>
      </c>
      <c r="C78" s="25" t="s">
        <v>214</v>
      </c>
      <c r="D78" s="52" t="n">
        <f aca="false">ROUND(S78*T78,0)</f>
        <v>267</v>
      </c>
      <c r="E78" s="52" t="n">
        <f aca="false">ROUND(S78,0)-D78</f>
        <v>165</v>
      </c>
      <c r="F78" s="52" t="n">
        <f aca="false">IF(COUNTA(D78:E78)=0,"",SUM(D78:E78))</f>
        <v>432</v>
      </c>
      <c r="G78" s="53" t="n">
        <f aca="false">IF(OR(F78="",F78=0),"",D78/F78)</f>
        <v>0.618055555555556</v>
      </c>
      <c r="H78" s="53" t="n">
        <f aca="false">IF(OR(F78="",F78=0),"",E78/F78)</f>
        <v>0.381944444444444</v>
      </c>
      <c r="I78" s="25" t="s">
        <v>128</v>
      </c>
      <c r="J78" s="28" t="n">
        <v>3.1978281706008</v>
      </c>
      <c r="K78" s="28" t="n">
        <f aca="false">$K$8</f>
        <v>0.297938238782275</v>
      </c>
      <c r="L78" s="28" t="n">
        <f aca="false">SQRT(J78^2+K78^2)</f>
        <v>3.21167747490571</v>
      </c>
      <c r="M78" s="53" t="n">
        <f aca="false">IF(G78="","",MAX(0,G78-1.96*L78/100))</f>
        <v>0.555106677047404</v>
      </c>
      <c r="N78" s="53" t="n">
        <f aca="false">IF(G78="","",MIN(1,G78+1.96*L78/100))</f>
        <v>0.681004434063708</v>
      </c>
      <c r="O78" s="52" t="n">
        <f aca="false">ROUND(S78*W78,0)</f>
        <v>64</v>
      </c>
      <c r="P78" s="52" t="n">
        <f aca="false">IF(F78="","",ROUND(SQRT((F78*L78/100)^2+(G78*O78)^2),0))</f>
        <v>42</v>
      </c>
      <c r="R78" s="54" t="n">
        <v>10.6708555645274</v>
      </c>
      <c r="S78" s="55" t="n">
        <f aca="false">U78*V78*$F$5</f>
        <v>431.913793103448</v>
      </c>
      <c r="T78" s="56" t="n">
        <f aca="false">MAX(0,MIN(1,R78/100+$D$5))</f>
        <v>0.618701970164039</v>
      </c>
      <c r="U78" s="56" t="n">
        <v>0.353448275862069</v>
      </c>
      <c r="V78" s="55" t="n">
        <v>1222</v>
      </c>
      <c r="W78" s="56" t="n">
        <v>0.148097331980838</v>
      </c>
      <c r="X78" s="57" t="s">
        <v>129</v>
      </c>
      <c r="Y78" s="57" t="s">
        <v>130</v>
      </c>
    </row>
    <row r="79" customFormat="false" ht="15" hidden="false" customHeight="false" outlineLevel="0" collapsed="false">
      <c r="A79" s="25" t="s">
        <v>197</v>
      </c>
      <c r="B79" s="25" t="s">
        <v>199</v>
      </c>
      <c r="C79" s="25" t="s">
        <v>215</v>
      </c>
      <c r="D79" s="52" t="n">
        <f aca="false">ROUND(S79*T79,0)</f>
        <v>253</v>
      </c>
      <c r="E79" s="52" t="n">
        <f aca="false">ROUND(S79,0)-D79</f>
        <v>111</v>
      </c>
      <c r="F79" s="52" t="n">
        <f aca="false">IF(COUNTA(D79:E79)=0,"",SUM(D79:E79))</f>
        <v>364</v>
      </c>
      <c r="G79" s="53" t="n">
        <f aca="false">IF(OR(F79="",F79=0),"",D79/F79)</f>
        <v>0.695054945054945</v>
      </c>
      <c r="H79" s="53" t="n">
        <f aca="false">IF(OR(F79="",F79=0),"",E79/F79)</f>
        <v>0.304945054945055</v>
      </c>
      <c r="I79" s="25" t="s">
        <v>128</v>
      </c>
      <c r="J79" s="28" t="n">
        <v>3.1978281706008</v>
      </c>
      <c r="K79" s="28" t="n">
        <f aca="false">$K$8</f>
        <v>0.297938238782275</v>
      </c>
      <c r="L79" s="28" t="n">
        <f aca="false">SQRT(J79^2+K79^2)</f>
        <v>3.21167747490571</v>
      </c>
      <c r="M79" s="53" t="n">
        <f aca="false">IF(G79="","",MAX(0,G79-1.96*L79/100))</f>
        <v>0.632106066546793</v>
      </c>
      <c r="N79" s="53" t="n">
        <f aca="false">IF(G79="","",MIN(1,G79+1.96*L79/100))</f>
        <v>0.758003823563097</v>
      </c>
      <c r="O79" s="52" t="n">
        <f aca="false">ROUND(S79*W79,0)</f>
        <v>54</v>
      </c>
      <c r="P79" s="52" t="n">
        <f aca="false">IF(F79="","",ROUND(SQRT((F79*L79/100)^2+(G79*O79)^2),0))</f>
        <v>39</v>
      </c>
      <c r="R79" s="54" t="n">
        <v>18.3381457448326</v>
      </c>
      <c r="S79" s="55" t="n">
        <f aca="false">U79*V79*$F$5</f>
        <v>363.966015293118</v>
      </c>
      <c r="T79" s="56" t="n">
        <f aca="false">MAX(0,MIN(1,R79/100+$D$5))</f>
        <v>0.695374871967091</v>
      </c>
      <c r="U79" s="56" t="n">
        <v>0.295666949872557</v>
      </c>
      <c r="V79" s="55" t="n">
        <v>1231</v>
      </c>
      <c r="W79" s="56" t="n">
        <v>0.148097331980838</v>
      </c>
      <c r="X79" s="57" t="s">
        <v>129</v>
      </c>
      <c r="Y79" s="57" t="s">
        <v>130</v>
      </c>
    </row>
    <row r="80" customFormat="false" ht="15" hidden="false" customHeight="false" outlineLevel="0" collapsed="false">
      <c r="A80" s="25" t="s">
        <v>197</v>
      </c>
      <c r="B80" s="25" t="s">
        <v>199</v>
      </c>
      <c r="C80" s="25" t="s">
        <v>216</v>
      </c>
      <c r="D80" s="52" t="n">
        <f aca="false">ROUND(S80*T80,0)</f>
        <v>202</v>
      </c>
      <c r="E80" s="52" t="n">
        <f aca="false">ROUND(S80,0)-D80</f>
        <v>102</v>
      </c>
      <c r="F80" s="52" t="n">
        <f aca="false">IF(COUNTA(D80:E80)=0,"",SUM(D80:E80))</f>
        <v>304</v>
      </c>
      <c r="G80" s="53" t="n">
        <f aca="false">IF(OR(F80="",F80=0),"",D80/F80)</f>
        <v>0.664473684210526</v>
      </c>
      <c r="H80" s="53" t="n">
        <f aca="false">IF(OR(F80="",F80=0),"",E80/F80)</f>
        <v>0.335526315789474</v>
      </c>
      <c r="I80" s="25" t="s">
        <v>128</v>
      </c>
      <c r="J80" s="28" t="n">
        <v>3.1978281706008</v>
      </c>
      <c r="K80" s="28" t="n">
        <f aca="false">$K$8</f>
        <v>0.297938238782275</v>
      </c>
      <c r="L80" s="28" t="n">
        <f aca="false">SQRT(J80^2+K80^2)</f>
        <v>3.21167747490571</v>
      </c>
      <c r="M80" s="53" t="n">
        <f aca="false">IF(G80="","",MAX(0,G80-1.96*L80/100))</f>
        <v>0.601524805702374</v>
      </c>
      <c r="N80" s="53" t="n">
        <f aca="false">IF(G80="","",MIN(1,G80+1.96*L80/100))</f>
        <v>0.727422562718678</v>
      </c>
      <c r="O80" s="52" t="n">
        <f aca="false">ROUND(S80*W80,0)</f>
        <v>45</v>
      </c>
      <c r="P80" s="52" t="n">
        <f aca="false">IF(F80="","",ROUND(SQRT((F80*L80/100)^2+(G80*O80)^2),0))</f>
        <v>31</v>
      </c>
      <c r="R80" s="54" t="n">
        <v>15.2251804808216</v>
      </c>
      <c r="S80" s="55" t="n">
        <f aca="false">U80*V80*$F$5</f>
        <v>303.644444444444</v>
      </c>
      <c r="T80" s="56" t="n">
        <f aca="false">MAX(0,MIN(1,R80/100+$D$5))</f>
        <v>0.664245219326981</v>
      </c>
      <c r="U80" s="56" t="n">
        <v>0.311111111111111</v>
      </c>
      <c r="V80" s="55" t="n">
        <v>976</v>
      </c>
      <c r="W80" s="56" t="n">
        <v>0.148097331980838</v>
      </c>
      <c r="X80" s="57" t="s">
        <v>129</v>
      </c>
      <c r="Y80" s="57" t="s">
        <v>130</v>
      </c>
    </row>
    <row r="81" customFormat="false" ht="15" hidden="false" customHeight="false" outlineLevel="0" collapsed="false">
      <c r="A81" s="25" t="s">
        <v>197</v>
      </c>
      <c r="B81" s="25" t="s">
        <v>199</v>
      </c>
      <c r="C81" s="25" t="s">
        <v>217</v>
      </c>
      <c r="D81" s="52" t="n">
        <f aca="false">ROUND(S81*T81,0)</f>
        <v>259</v>
      </c>
      <c r="E81" s="52" t="n">
        <f aca="false">ROUND(S81,0)-D81</f>
        <v>136</v>
      </c>
      <c r="F81" s="52" t="n">
        <f aca="false">IF(COUNTA(D81:E81)=0,"",SUM(D81:E81))</f>
        <v>395</v>
      </c>
      <c r="G81" s="53" t="n">
        <f aca="false">IF(OR(F81="",F81=0),"",D81/F81)</f>
        <v>0.655696202531646</v>
      </c>
      <c r="H81" s="53" t="n">
        <f aca="false">IF(OR(F81="",F81=0),"",E81/F81)</f>
        <v>0.344303797468354</v>
      </c>
      <c r="I81" s="25" t="s">
        <v>128</v>
      </c>
      <c r="J81" s="28" t="n">
        <v>3.1978281706008</v>
      </c>
      <c r="K81" s="28" t="n">
        <f aca="false">$K$8</f>
        <v>0.297938238782275</v>
      </c>
      <c r="L81" s="28" t="n">
        <f aca="false">SQRT(J81^2+K81^2)</f>
        <v>3.21167747490571</v>
      </c>
      <c r="M81" s="53" t="n">
        <f aca="false">IF(G81="","",MAX(0,G81-1.96*L81/100))</f>
        <v>0.592747324023494</v>
      </c>
      <c r="N81" s="53" t="n">
        <f aca="false">IF(G81="","",MIN(1,G81+1.96*L81/100))</f>
        <v>0.718645081039798</v>
      </c>
      <c r="O81" s="52" t="n">
        <f aca="false">ROUND(S81*W81,0)</f>
        <v>59</v>
      </c>
      <c r="P81" s="52" t="n">
        <f aca="false">IF(F81="","",ROUND(SQRT((F81*L81/100)^2+(G81*O81)^2),0))</f>
        <v>41</v>
      </c>
      <c r="R81" s="54" t="n">
        <v>14.3254735474385</v>
      </c>
      <c r="S81" s="55" t="n">
        <f aca="false">U81*V81*$F$5</f>
        <v>395.313313313313</v>
      </c>
      <c r="T81" s="56" t="n">
        <f aca="false">MAX(0,MIN(1,R81/100+$D$5))</f>
        <v>0.655248149993149</v>
      </c>
      <c r="U81" s="56" t="n">
        <v>0.379379379379379</v>
      </c>
      <c r="V81" s="55" t="n">
        <v>1042</v>
      </c>
      <c r="W81" s="56" t="n">
        <v>0.148097331980838</v>
      </c>
      <c r="X81" s="57" t="s">
        <v>129</v>
      </c>
      <c r="Y81" s="57" t="s">
        <v>130</v>
      </c>
    </row>
    <row r="82" customFormat="false" ht="15" hidden="false" customHeight="false" outlineLevel="0" collapsed="false">
      <c r="A82" s="25" t="s">
        <v>197</v>
      </c>
      <c r="B82" s="25" t="s">
        <v>199</v>
      </c>
      <c r="C82" s="25" t="s">
        <v>218</v>
      </c>
      <c r="D82" s="52" t="n">
        <f aca="false">ROUND(S82*T82,0)</f>
        <v>203</v>
      </c>
      <c r="E82" s="52" t="n">
        <f aca="false">ROUND(S82,0)-D82</f>
        <v>98</v>
      </c>
      <c r="F82" s="52" t="n">
        <f aca="false">IF(COUNTA(D82:E82)=0,"",SUM(D82:E82))</f>
        <v>301</v>
      </c>
      <c r="G82" s="53" t="n">
        <f aca="false">IF(OR(F82="",F82=0),"",D82/F82)</f>
        <v>0.674418604651163</v>
      </c>
      <c r="H82" s="53" t="n">
        <f aca="false">IF(OR(F82="",F82=0),"",E82/F82)</f>
        <v>0.325581395348837</v>
      </c>
      <c r="I82" s="25" t="s">
        <v>128</v>
      </c>
      <c r="J82" s="28" t="n">
        <v>3.1978281706008</v>
      </c>
      <c r="K82" s="28" t="n">
        <f aca="false">$K$8</f>
        <v>0.297938238782275</v>
      </c>
      <c r="L82" s="28" t="n">
        <f aca="false">SQRT(J82^2+K82^2)</f>
        <v>3.21167747490571</v>
      </c>
      <c r="M82" s="53" t="n">
        <f aca="false">IF(G82="","",MAX(0,G82-1.96*L82/100))</f>
        <v>0.611469726143011</v>
      </c>
      <c r="N82" s="53" t="n">
        <f aca="false">IF(G82="","",MIN(1,G82+1.96*L82/100))</f>
        <v>0.737367483159315</v>
      </c>
      <c r="O82" s="52" t="n">
        <f aca="false">ROUND(S82*W82,0)</f>
        <v>45</v>
      </c>
      <c r="P82" s="52" t="n">
        <f aca="false">IF(F82="","",ROUND(SQRT((F82*L82/100)^2+(G82*O82)^2),0))</f>
        <v>32</v>
      </c>
      <c r="R82" s="54" t="n">
        <v>16.3024682691665</v>
      </c>
      <c r="S82" s="55" t="n">
        <f aca="false">U82*V82*$F$5</f>
        <v>300.567123287671</v>
      </c>
      <c r="T82" s="56" t="n">
        <f aca="false">MAX(0,MIN(1,R82/100+$D$5))</f>
        <v>0.67501809721043</v>
      </c>
      <c r="U82" s="56" t="n">
        <v>0.398630136986301</v>
      </c>
      <c r="V82" s="55" t="n">
        <v>754</v>
      </c>
      <c r="W82" s="56" t="n">
        <v>0.148097331980838</v>
      </c>
      <c r="X82" s="57" t="s">
        <v>129</v>
      </c>
      <c r="Y82" s="57" t="s">
        <v>130</v>
      </c>
    </row>
    <row r="83" customFormat="false" ht="15" hidden="false" customHeight="false" outlineLevel="0" collapsed="false">
      <c r="A83" s="25" t="s">
        <v>197</v>
      </c>
      <c r="B83" s="25" t="s">
        <v>199</v>
      </c>
      <c r="C83" s="25" t="s">
        <v>219</v>
      </c>
      <c r="D83" s="52" t="n">
        <f aca="false">ROUND(S83*T83,0)</f>
        <v>373</v>
      </c>
      <c r="E83" s="52" t="n">
        <f aca="false">ROUND(S83,0)-D83</f>
        <v>213</v>
      </c>
      <c r="F83" s="52" t="n">
        <f aca="false">IF(COUNTA(D83:E83)=0,"",SUM(D83:E83))</f>
        <v>586</v>
      </c>
      <c r="G83" s="53" t="n">
        <f aca="false">IF(OR(F83="",F83=0),"",D83/F83)</f>
        <v>0.636518771331058</v>
      </c>
      <c r="H83" s="53" t="n">
        <f aca="false">IF(OR(F83="",F83=0),"",E83/F83)</f>
        <v>0.363481228668942</v>
      </c>
      <c r="I83" s="25" t="s">
        <v>128</v>
      </c>
      <c r="J83" s="28" t="n">
        <v>2.22489971008846</v>
      </c>
      <c r="K83" s="28" t="n">
        <f aca="false">$K$8</f>
        <v>0.297938238782275</v>
      </c>
      <c r="L83" s="28" t="n">
        <f aca="false">SQRT(J83^2+K83^2)</f>
        <v>2.24475965619494</v>
      </c>
      <c r="M83" s="53" t="n">
        <f aca="false">IF(G83="","",MAX(0,G83-1.96*L83/100))</f>
        <v>0.592521482069637</v>
      </c>
      <c r="N83" s="53" t="n">
        <f aca="false">IF(G83="","",MIN(1,G83+1.96*L83/100))</f>
        <v>0.680516060592479</v>
      </c>
      <c r="O83" s="52" t="n">
        <f aca="false">ROUND(S83*W83,0)</f>
        <v>52</v>
      </c>
      <c r="P83" s="52" t="n">
        <f aca="false">IF(F83="","",ROUND(SQRT((F83*L83/100)^2+(G83*O83)^2),0))</f>
        <v>36</v>
      </c>
      <c r="R83" s="54" t="n">
        <v>12.456495369928</v>
      </c>
      <c r="S83" s="55" t="n">
        <f aca="false">U83*V83*$F$5</f>
        <v>586.485403548941</v>
      </c>
      <c r="T83" s="56" t="n">
        <f aca="false">MAX(0,MIN(1,R83/100+$D$5))</f>
        <v>0.636558368218045</v>
      </c>
      <c r="U83" s="56" t="n">
        <v>0.328563251287922</v>
      </c>
      <c r="V83" s="55" t="n">
        <v>1785</v>
      </c>
      <c r="W83" s="56" t="n">
        <v>0.0887445098984521</v>
      </c>
      <c r="X83" s="57" t="s">
        <v>135</v>
      </c>
      <c r="Y83" s="57" t="s">
        <v>130</v>
      </c>
    </row>
    <row r="84" customFormat="false" ht="15" hidden="false" customHeight="false" outlineLevel="0" collapsed="false">
      <c r="A84" s="25" t="s">
        <v>197</v>
      </c>
      <c r="B84" s="25" t="s">
        <v>199</v>
      </c>
      <c r="C84" s="25" t="s">
        <v>220</v>
      </c>
      <c r="D84" s="52" t="n">
        <f aca="false">ROUND(S84*T84,0)</f>
        <v>370</v>
      </c>
      <c r="E84" s="52" t="n">
        <f aca="false">ROUND(S84,0)-D84</f>
        <v>201</v>
      </c>
      <c r="F84" s="52" t="n">
        <f aca="false">IF(COUNTA(D84:E84)=0,"",SUM(D84:E84))</f>
        <v>571</v>
      </c>
      <c r="G84" s="53" t="n">
        <f aca="false">IF(OR(F84="",F84=0),"",D84/F84)</f>
        <v>0.647985989492119</v>
      </c>
      <c r="H84" s="53" t="n">
        <f aca="false">IF(OR(F84="",F84=0),"",E84/F84)</f>
        <v>0.352014010507881</v>
      </c>
      <c r="I84" s="25" t="s">
        <v>128</v>
      </c>
      <c r="J84" s="28" t="n">
        <v>3.1978281706008</v>
      </c>
      <c r="K84" s="28" t="n">
        <f aca="false">$K$8</f>
        <v>0.297938238782275</v>
      </c>
      <c r="L84" s="28" t="n">
        <f aca="false">SQRT(J84^2+K84^2)</f>
        <v>3.21167747490571</v>
      </c>
      <c r="M84" s="53" t="n">
        <f aca="false">IF(G84="","",MAX(0,G84-1.96*L84/100))</f>
        <v>0.585037110983967</v>
      </c>
      <c r="N84" s="53" t="n">
        <f aca="false">IF(G84="","",MIN(1,G84+1.96*L84/100))</f>
        <v>0.710934868000271</v>
      </c>
      <c r="O84" s="52" t="n">
        <f aca="false">ROUND(S84*W84,0)</f>
        <v>85</v>
      </c>
      <c r="P84" s="52" t="n">
        <f aca="false">IF(F84="","",ROUND(SQRT((F84*L84/100)^2+(G84*O84)^2),0))</f>
        <v>58</v>
      </c>
      <c r="R84" s="54" t="n">
        <v>13.5317080318257</v>
      </c>
      <c r="S84" s="55" t="n">
        <f aca="false">U84*V84*$F$5</f>
        <v>571.299896587383</v>
      </c>
      <c r="T84" s="56" t="n">
        <f aca="false">MAX(0,MIN(1,R84/100+$D$5))</f>
        <v>0.647310494837022</v>
      </c>
      <c r="U84" s="56" t="n">
        <v>0.28593588417787</v>
      </c>
      <c r="V84" s="55" t="n">
        <v>1998</v>
      </c>
      <c r="W84" s="56" t="n">
        <v>0.148097331980838</v>
      </c>
      <c r="X84" s="57" t="s">
        <v>129</v>
      </c>
      <c r="Y84" s="57" t="s">
        <v>130</v>
      </c>
    </row>
    <row r="85" customFormat="false" ht="15" hidden="false" customHeight="false" outlineLevel="0" collapsed="false">
      <c r="A85" s="25" t="s">
        <v>197</v>
      </c>
      <c r="B85" s="25" t="s">
        <v>199</v>
      </c>
      <c r="C85" s="25" t="s">
        <v>221</v>
      </c>
      <c r="D85" s="52" t="n">
        <f aca="false">ROUND(S85*T85,0)</f>
        <v>306</v>
      </c>
      <c r="E85" s="52" t="n">
        <f aca="false">ROUND(S85,0)-D85</f>
        <v>217</v>
      </c>
      <c r="F85" s="52" t="n">
        <f aca="false">IF(COUNTA(D85:E85)=0,"",SUM(D85:E85))</f>
        <v>523</v>
      </c>
      <c r="G85" s="53" t="n">
        <f aca="false">IF(OR(F85="",F85=0),"",D85/F85)</f>
        <v>0.58508604206501</v>
      </c>
      <c r="H85" s="53" t="n">
        <f aca="false">IF(OR(F85="",F85=0),"",E85/F85)</f>
        <v>0.41491395793499</v>
      </c>
      <c r="I85" s="25" t="s">
        <v>128</v>
      </c>
      <c r="J85" s="28" t="n">
        <v>3.1978281706008</v>
      </c>
      <c r="K85" s="28" t="n">
        <f aca="false">$K$8</f>
        <v>0.297938238782275</v>
      </c>
      <c r="L85" s="28" t="n">
        <f aca="false">SQRT(J85^2+K85^2)</f>
        <v>3.21167747490571</v>
      </c>
      <c r="M85" s="53" t="n">
        <f aca="false">IF(G85="","",MAX(0,G85-1.96*L85/100))</f>
        <v>0.522137163556858</v>
      </c>
      <c r="N85" s="53" t="n">
        <f aca="false">IF(G85="","",MIN(1,G85+1.96*L85/100))</f>
        <v>0.648034920573162</v>
      </c>
      <c r="O85" s="52" t="n">
        <f aca="false">ROUND(S85*W85,0)</f>
        <v>77</v>
      </c>
      <c r="P85" s="52" t="n">
        <f aca="false">IF(F85="","",ROUND(SQRT((F85*L85/100)^2+(G85*O85)^2),0))</f>
        <v>48</v>
      </c>
      <c r="R85" s="54" t="n">
        <v>7.35855648763021</v>
      </c>
      <c r="S85" s="55" t="n">
        <f aca="false">U85*V85*$F$5</f>
        <v>522.567052980132</v>
      </c>
      <c r="T85" s="56" t="n">
        <f aca="false">MAX(0,MIN(1,R85/100+$D$5))</f>
        <v>0.585578979395067</v>
      </c>
      <c r="U85" s="56" t="n">
        <v>0.43294701986755</v>
      </c>
      <c r="V85" s="55" t="n">
        <v>1207</v>
      </c>
      <c r="W85" s="56" t="n">
        <v>0.148097331980838</v>
      </c>
      <c r="X85" s="57" t="s">
        <v>129</v>
      </c>
      <c r="Y85" s="57" t="s">
        <v>130</v>
      </c>
    </row>
    <row r="86" customFormat="false" ht="15" hidden="false" customHeight="false" outlineLevel="0" collapsed="false">
      <c r="A86" s="25" t="s">
        <v>197</v>
      </c>
      <c r="B86" s="25" t="s">
        <v>199</v>
      </c>
      <c r="C86" s="25" t="s">
        <v>222</v>
      </c>
      <c r="D86" s="52" t="n">
        <f aca="false">ROUND(S86*T86,0)</f>
        <v>381</v>
      </c>
      <c r="E86" s="52" t="n">
        <f aca="false">ROUND(S86,0)-D86</f>
        <v>229</v>
      </c>
      <c r="F86" s="52" t="n">
        <f aca="false">IF(COUNTA(D86:E86)=0,"",SUM(D86:E86))</f>
        <v>610</v>
      </c>
      <c r="G86" s="53" t="n">
        <f aca="false">IF(OR(F86="",F86=0),"",D86/F86)</f>
        <v>0.624590163934426</v>
      </c>
      <c r="H86" s="53" t="n">
        <f aca="false">IF(OR(F86="",F86=0),"",E86/F86)</f>
        <v>0.375409836065574</v>
      </c>
      <c r="I86" s="25" t="s">
        <v>128</v>
      </c>
      <c r="J86" s="28" t="n">
        <v>2.22489971008846</v>
      </c>
      <c r="K86" s="28" t="n">
        <f aca="false">$K$8</f>
        <v>0.297938238782275</v>
      </c>
      <c r="L86" s="28" t="n">
        <f aca="false">SQRT(J86^2+K86^2)</f>
        <v>2.24475965619494</v>
      </c>
      <c r="M86" s="53" t="n">
        <f aca="false">IF(G86="","",MAX(0,G86-1.96*L86/100))</f>
        <v>0.580592874673006</v>
      </c>
      <c r="N86" s="53" t="n">
        <f aca="false">IF(G86="","",MIN(1,G86+1.96*L86/100))</f>
        <v>0.668587453195847</v>
      </c>
      <c r="O86" s="52" t="n">
        <f aca="false">ROUND(S86*W86,0)</f>
        <v>54</v>
      </c>
      <c r="P86" s="52" t="n">
        <f aca="false">IF(F86="","",ROUND(SQRT((F86*L86/100)^2+(G86*O86)^2),0))</f>
        <v>36</v>
      </c>
      <c r="R86" s="54" t="n">
        <v>11.1722399181564</v>
      </c>
      <c r="S86" s="55" t="n">
        <f aca="false">U86*V86*$F$5</f>
        <v>610.325752919484</v>
      </c>
      <c r="T86" s="56" t="n">
        <f aca="false">MAX(0,MIN(1,R86/100+$D$5))</f>
        <v>0.623715813700328</v>
      </c>
      <c r="U86" s="56" t="n">
        <v>0.368776889981561</v>
      </c>
      <c r="V86" s="55" t="n">
        <v>1655</v>
      </c>
      <c r="W86" s="56" t="n">
        <v>0.0887445098984521</v>
      </c>
      <c r="X86" s="57" t="s">
        <v>135</v>
      </c>
      <c r="Y86" s="57" t="s">
        <v>130</v>
      </c>
    </row>
    <row r="87" customFormat="false" ht="15" hidden="false" customHeight="false" outlineLevel="0" collapsed="false">
      <c r="A87" s="25" t="s">
        <v>197</v>
      </c>
      <c r="B87" s="25" t="s">
        <v>199</v>
      </c>
      <c r="C87" s="25" t="s">
        <v>223</v>
      </c>
      <c r="D87" s="52" t="n">
        <f aca="false">ROUND(S87*T87,0)</f>
        <v>427</v>
      </c>
      <c r="E87" s="52" t="n">
        <f aca="false">ROUND(S87,0)-D87</f>
        <v>254</v>
      </c>
      <c r="F87" s="52" t="n">
        <f aca="false">IF(COUNTA(D87:E87)=0,"",SUM(D87:E87))</f>
        <v>681</v>
      </c>
      <c r="G87" s="53" t="n">
        <f aca="false">IF(OR(F87="",F87=0),"",D87/F87)</f>
        <v>0.627019089574156</v>
      </c>
      <c r="H87" s="53" t="n">
        <f aca="false">IF(OR(F87="",F87=0),"",E87/F87)</f>
        <v>0.372980910425844</v>
      </c>
      <c r="I87" s="25" t="s">
        <v>128</v>
      </c>
      <c r="J87" s="28" t="n">
        <v>2.22489971008846</v>
      </c>
      <c r="K87" s="28" t="n">
        <f aca="false">$K$8</f>
        <v>0.297938238782275</v>
      </c>
      <c r="L87" s="28" t="n">
        <f aca="false">SQRT(J87^2+K87^2)</f>
        <v>2.24475965619494</v>
      </c>
      <c r="M87" s="53" t="n">
        <f aca="false">IF(G87="","",MAX(0,G87-1.96*L87/100))</f>
        <v>0.583021800312735</v>
      </c>
      <c r="N87" s="53" t="n">
        <f aca="false">IF(G87="","",MIN(1,G87+1.96*L87/100))</f>
        <v>0.671016378835576</v>
      </c>
      <c r="O87" s="52" t="n">
        <f aca="false">ROUND(S87*W87,0)</f>
        <v>60</v>
      </c>
      <c r="P87" s="52" t="n">
        <f aca="false">IF(F87="","",ROUND(SQRT((F87*L87/100)^2+(G87*O87)^2),0))</f>
        <v>41</v>
      </c>
      <c r="R87" s="54" t="n">
        <v>11.4432978664706</v>
      </c>
      <c r="S87" s="55" t="n">
        <f aca="false">U87*V87*$F$5</f>
        <v>680.907053394859</v>
      </c>
      <c r="T87" s="56" t="n">
        <f aca="false">MAX(0,MIN(1,R87/100+$D$5))</f>
        <v>0.626426393183471</v>
      </c>
      <c r="U87" s="56" t="n">
        <v>0.441001977587344</v>
      </c>
      <c r="V87" s="55" t="n">
        <v>1544</v>
      </c>
      <c r="W87" s="56" t="n">
        <v>0.0887445098984521</v>
      </c>
      <c r="X87" s="57" t="s">
        <v>135</v>
      </c>
      <c r="Y87" s="57" t="s">
        <v>130</v>
      </c>
    </row>
    <row r="88" customFormat="false" ht="15" hidden="false" customHeight="false" outlineLevel="0" collapsed="false">
      <c r="A88" s="25" t="s">
        <v>197</v>
      </c>
      <c r="B88" s="25" t="s">
        <v>199</v>
      </c>
      <c r="C88" s="25" t="s">
        <v>224</v>
      </c>
      <c r="D88" s="52" t="n">
        <f aca="false">ROUND(S88*T88,0)</f>
        <v>293</v>
      </c>
      <c r="E88" s="52" t="n">
        <f aca="false">ROUND(S88,0)-D88</f>
        <v>199</v>
      </c>
      <c r="F88" s="52" t="n">
        <f aca="false">IF(COUNTA(D88:E88)=0,"",SUM(D88:E88))</f>
        <v>492</v>
      </c>
      <c r="G88" s="53" t="n">
        <f aca="false">IF(OR(F88="",F88=0),"",D88/F88)</f>
        <v>0.595528455284553</v>
      </c>
      <c r="H88" s="53" t="n">
        <f aca="false">IF(OR(F88="",F88=0),"",E88/F88)</f>
        <v>0.404471544715447</v>
      </c>
      <c r="I88" s="25" t="s">
        <v>128</v>
      </c>
      <c r="J88" s="28" t="n">
        <v>3.1978281706008</v>
      </c>
      <c r="K88" s="28" t="n">
        <f aca="false">$K$8</f>
        <v>0.297938238782275</v>
      </c>
      <c r="L88" s="28" t="n">
        <f aca="false">SQRT(J88^2+K88^2)</f>
        <v>3.21167747490571</v>
      </c>
      <c r="M88" s="53" t="n">
        <f aca="false">IF(G88="","",MAX(0,G88-1.96*L88/100))</f>
        <v>0.532579576776401</v>
      </c>
      <c r="N88" s="53" t="n">
        <f aca="false">IF(G88="","",MIN(1,G88+1.96*L88/100))</f>
        <v>0.658477333792705</v>
      </c>
      <c r="O88" s="52" t="n">
        <f aca="false">ROUND(S88*W88,0)</f>
        <v>73</v>
      </c>
      <c r="P88" s="52" t="n">
        <f aca="false">IF(F88="","",ROUND(SQRT((F88*L88/100)^2+(G88*O88)^2),0))</f>
        <v>46</v>
      </c>
      <c r="R88" s="54" t="n">
        <v>8.38399339907603</v>
      </c>
      <c r="S88" s="55" t="n">
        <f aca="false">U88*V88*$F$5</f>
        <v>491.515840779854</v>
      </c>
      <c r="T88" s="56" t="n">
        <f aca="false">MAX(0,MIN(1,R88/100+$D$5))</f>
        <v>0.595833348509525</v>
      </c>
      <c r="U88" s="56" t="n">
        <v>0.376929325751422</v>
      </c>
      <c r="V88" s="55" t="n">
        <v>1304</v>
      </c>
      <c r="W88" s="56" t="n">
        <v>0.148097331980838</v>
      </c>
      <c r="X88" s="57" t="s">
        <v>129</v>
      </c>
      <c r="Y88" s="57" t="s">
        <v>130</v>
      </c>
    </row>
    <row r="89" customFormat="false" ht="15" hidden="false" customHeight="false" outlineLevel="0" collapsed="false">
      <c r="A89" s="25" t="s">
        <v>197</v>
      </c>
      <c r="B89" s="25" t="s">
        <v>199</v>
      </c>
      <c r="C89" s="25" t="s">
        <v>225</v>
      </c>
      <c r="D89" s="52" t="n">
        <f aca="false">ROUND(S89*T89,0)</f>
        <v>286</v>
      </c>
      <c r="E89" s="52" t="n">
        <f aca="false">ROUND(S89,0)-D89</f>
        <v>174</v>
      </c>
      <c r="F89" s="52" t="n">
        <f aca="false">IF(COUNTA(D89:E89)=0,"",SUM(D89:E89))</f>
        <v>460</v>
      </c>
      <c r="G89" s="53" t="n">
        <f aca="false">IF(OR(F89="",F89=0),"",D89/F89)</f>
        <v>0.621739130434783</v>
      </c>
      <c r="H89" s="53" t="n">
        <f aca="false">IF(OR(F89="",F89=0),"",E89/F89)</f>
        <v>0.378260869565217</v>
      </c>
      <c r="I89" s="25" t="s">
        <v>128</v>
      </c>
      <c r="J89" s="28" t="n">
        <v>3.1978281706008</v>
      </c>
      <c r="K89" s="28" t="n">
        <f aca="false">$K$8</f>
        <v>0.297938238782275</v>
      </c>
      <c r="L89" s="28" t="n">
        <f aca="false">SQRT(J89^2+K89^2)</f>
        <v>3.21167747490571</v>
      </c>
      <c r="M89" s="53" t="n">
        <f aca="false">IF(G89="","",MAX(0,G89-1.96*L89/100))</f>
        <v>0.558790251926631</v>
      </c>
      <c r="N89" s="53" t="n">
        <f aca="false">IF(G89="","",MIN(1,G89+1.96*L89/100))</f>
        <v>0.684688008942935</v>
      </c>
      <c r="O89" s="52" t="n">
        <f aca="false">ROUND(S89*W89,0)</f>
        <v>68</v>
      </c>
      <c r="P89" s="52" t="n">
        <f aca="false">IF(F89="","",ROUND(SQRT((F89*L89/100)^2+(G89*O89)^2),0))</f>
        <v>45</v>
      </c>
      <c r="R89" s="54" t="n">
        <v>10.8976212428618</v>
      </c>
      <c r="S89" s="55" t="n">
        <f aca="false">U89*V89*$F$5</f>
        <v>460.299781181619</v>
      </c>
      <c r="T89" s="56" t="n">
        <f aca="false">MAX(0,MIN(1,R89/100+$D$5))</f>
        <v>0.620969626947382</v>
      </c>
      <c r="U89" s="56" t="n">
        <v>0.321663019693654</v>
      </c>
      <c r="V89" s="55" t="n">
        <v>1431</v>
      </c>
      <c r="W89" s="56" t="n">
        <v>0.148097331980838</v>
      </c>
      <c r="X89" s="57" t="s">
        <v>129</v>
      </c>
      <c r="Y89" s="57" t="s">
        <v>130</v>
      </c>
    </row>
    <row r="90" customFormat="false" ht="15" hidden="false" customHeight="false" outlineLevel="0" collapsed="false">
      <c r="A90" s="25" t="s">
        <v>197</v>
      </c>
      <c r="B90" s="25" t="s">
        <v>199</v>
      </c>
      <c r="C90" s="25" t="s">
        <v>226</v>
      </c>
      <c r="D90" s="52" t="n">
        <f aca="false">ROUND(S90*T90,0)</f>
        <v>499</v>
      </c>
      <c r="E90" s="52" t="n">
        <f aca="false">ROUND(S90,0)-D90</f>
        <v>322</v>
      </c>
      <c r="F90" s="52" t="n">
        <f aca="false">IF(COUNTA(D90:E90)=0,"",SUM(D90:E90))</f>
        <v>821</v>
      </c>
      <c r="G90" s="53" t="n">
        <f aca="false">IF(OR(F90="",F90=0),"",D90/F90)</f>
        <v>0.607795371498173</v>
      </c>
      <c r="H90" s="53" t="n">
        <f aca="false">IF(OR(F90="",F90=0),"",E90/F90)</f>
        <v>0.392204628501827</v>
      </c>
      <c r="I90" s="25" t="s">
        <v>128</v>
      </c>
      <c r="J90" s="28" t="n">
        <v>2.22489971008846</v>
      </c>
      <c r="K90" s="28" t="n">
        <f aca="false">$K$8</f>
        <v>0.297938238782275</v>
      </c>
      <c r="L90" s="28" t="n">
        <f aca="false">SQRT(J90^2+K90^2)</f>
        <v>2.24475965619494</v>
      </c>
      <c r="M90" s="53" t="n">
        <f aca="false">IF(G90="","",MAX(0,G90-1.96*L90/100))</f>
        <v>0.563798082236752</v>
      </c>
      <c r="N90" s="53" t="n">
        <f aca="false">IF(G90="","",MIN(1,G90+1.96*L90/100))</f>
        <v>0.651792660759594</v>
      </c>
      <c r="O90" s="52" t="n">
        <f aca="false">ROUND(S90*W90,0)</f>
        <v>73</v>
      </c>
      <c r="P90" s="52" t="n">
        <f aca="false">IF(F90="","",ROUND(SQRT((F90*L90/100)^2+(G90*O90)^2),0))</f>
        <v>48</v>
      </c>
      <c r="R90" s="54" t="n">
        <v>9.56199767366143</v>
      </c>
      <c r="S90" s="55" t="n">
        <f aca="false">U90*V90*$F$5</f>
        <v>821.477888730385</v>
      </c>
      <c r="T90" s="56" t="n">
        <f aca="false">MAX(0,MIN(1,R90/100+$D$5))</f>
        <v>0.607613391255379</v>
      </c>
      <c r="U90" s="56" t="n">
        <v>0.368045649072753</v>
      </c>
      <c r="V90" s="55" t="n">
        <v>2232</v>
      </c>
      <c r="W90" s="56" t="n">
        <v>0.0887445098984521</v>
      </c>
      <c r="X90" s="57" t="s">
        <v>135</v>
      </c>
      <c r="Y90" s="57" t="s">
        <v>130</v>
      </c>
    </row>
    <row r="91" customFormat="false" ht="15" hidden="false" customHeight="false" outlineLevel="0" collapsed="false">
      <c r="A91" s="25" t="s">
        <v>197</v>
      </c>
      <c r="B91" s="25" t="s">
        <v>199</v>
      </c>
      <c r="C91" s="25" t="s">
        <v>227</v>
      </c>
      <c r="D91" s="52" t="n">
        <f aca="false">ROUND(S91*T91,0)</f>
        <v>350</v>
      </c>
      <c r="E91" s="52" t="n">
        <f aca="false">ROUND(S91,0)-D91</f>
        <v>170</v>
      </c>
      <c r="F91" s="52" t="n">
        <f aca="false">IF(COUNTA(D91:E91)=0,"",SUM(D91:E91))</f>
        <v>520</v>
      </c>
      <c r="G91" s="53" t="n">
        <f aca="false">IF(OR(F91="",F91=0),"",D91/F91)</f>
        <v>0.673076923076923</v>
      </c>
      <c r="H91" s="53" t="n">
        <f aca="false">IF(OR(F91="",F91=0),"",E91/F91)</f>
        <v>0.326923076923077</v>
      </c>
      <c r="I91" s="25" t="s">
        <v>128</v>
      </c>
      <c r="J91" s="28" t="n">
        <v>3.1978281706008</v>
      </c>
      <c r="K91" s="28" t="n">
        <f aca="false">$K$8</f>
        <v>0.297938238782275</v>
      </c>
      <c r="L91" s="28" t="n">
        <f aca="false">SQRT(J91^2+K91^2)</f>
        <v>3.21167747490571</v>
      </c>
      <c r="M91" s="53" t="n">
        <f aca="false">IF(G91="","",MAX(0,G91-1.96*L91/100))</f>
        <v>0.610128044568771</v>
      </c>
      <c r="N91" s="53" t="n">
        <f aca="false">IF(G91="","",MIN(1,G91+1.96*L91/100))</f>
        <v>0.736025801585075</v>
      </c>
      <c r="O91" s="52" t="n">
        <f aca="false">ROUND(S91*W91,0)</f>
        <v>77</v>
      </c>
      <c r="P91" s="52" t="n">
        <f aca="false">IF(F91="","",ROUND(SQRT((F91*L91/100)^2+(G91*O91)^2),0))</f>
        <v>54</v>
      </c>
      <c r="R91" s="54" t="n">
        <v>16.108822059982</v>
      </c>
      <c r="S91" s="55" t="n">
        <f aca="false">U91*V91*$F$5</f>
        <v>519.765237020316</v>
      </c>
      <c r="T91" s="56" t="n">
        <f aca="false">MAX(0,MIN(1,R91/100+$D$5))</f>
        <v>0.673081635118585</v>
      </c>
      <c r="U91" s="56" t="n">
        <v>0.555304740406321</v>
      </c>
      <c r="V91" s="55" t="n">
        <v>936</v>
      </c>
      <c r="W91" s="56" t="n">
        <v>0.148097331980838</v>
      </c>
      <c r="X91" s="57" t="s">
        <v>129</v>
      </c>
      <c r="Y91" s="57" t="s">
        <v>130</v>
      </c>
    </row>
    <row r="92" customFormat="false" ht="15" hidden="false" customHeight="false" outlineLevel="0" collapsed="false">
      <c r="A92" s="25" t="s">
        <v>197</v>
      </c>
      <c r="B92" s="25" t="s">
        <v>199</v>
      </c>
      <c r="C92" s="25" t="s">
        <v>228</v>
      </c>
      <c r="D92" s="52" t="n">
        <f aca="false">ROUND(S92*T92,0)</f>
        <v>392</v>
      </c>
      <c r="E92" s="52" t="n">
        <f aca="false">ROUND(S92,0)-D92</f>
        <v>225</v>
      </c>
      <c r="F92" s="52" t="n">
        <f aca="false">IF(COUNTA(D92:E92)=0,"",SUM(D92:E92))</f>
        <v>617</v>
      </c>
      <c r="G92" s="53" t="n">
        <f aca="false">IF(OR(F92="",F92=0),"",D92/F92)</f>
        <v>0.635332252836305</v>
      </c>
      <c r="H92" s="53" t="n">
        <f aca="false">IF(OR(F92="",F92=0),"",E92/F92)</f>
        <v>0.364667747163695</v>
      </c>
      <c r="I92" s="25" t="s">
        <v>128</v>
      </c>
      <c r="J92" s="28" t="n">
        <v>2.22489971008846</v>
      </c>
      <c r="K92" s="28" t="n">
        <f aca="false">$K$8</f>
        <v>0.297938238782275</v>
      </c>
      <c r="L92" s="28" t="n">
        <f aca="false">SQRT(J92^2+K92^2)</f>
        <v>2.24475965619494</v>
      </c>
      <c r="M92" s="53" t="n">
        <f aca="false">IF(G92="","",MAX(0,G92-1.96*L92/100))</f>
        <v>0.591334963574884</v>
      </c>
      <c r="N92" s="53" t="n">
        <f aca="false">IF(G92="","",MIN(1,G92+1.96*L92/100))</f>
        <v>0.679329542097725</v>
      </c>
      <c r="O92" s="52" t="n">
        <f aca="false">ROUND(S92*W92,0)</f>
        <v>55</v>
      </c>
      <c r="P92" s="52" t="n">
        <f aca="false">IF(F92="","",ROUND(SQRT((F92*L92/100)^2+(G92*O92)^2),0))</f>
        <v>38</v>
      </c>
      <c r="R92" s="54" t="n">
        <v>12.3091514583205</v>
      </c>
      <c r="S92" s="55" t="n">
        <f aca="false">U92*V92*$F$5</f>
        <v>617.474012474013</v>
      </c>
      <c r="T92" s="56" t="n">
        <f aca="false">MAX(0,MIN(1,R92/100+$D$5))</f>
        <v>0.635084929101969</v>
      </c>
      <c r="U92" s="56" t="n">
        <v>0.646569646569647</v>
      </c>
      <c r="V92" s="55" t="n">
        <v>955</v>
      </c>
      <c r="W92" s="56" t="n">
        <v>0.0887445098984521</v>
      </c>
      <c r="X92" s="57" t="s">
        <v>135</v>
      </c>
      <c r="Y92" s="57" t="s">
        <v>130</v>
      </c>
    </row>
    <row r="93" customFormat="false" ht="15" hidden="false" customHeight="false" outlineLevel="0" collapsed="false">
      <c r="A93" s="25" t="s">
        <v>197</v>
      </c>
      <c r="B93" s="25" t="s">
        <v>199</v>
      </c>
      <c r="C93" s="25" t="s">
        <v>229</v>
      </c>
      <c r="D93" s="52" t="n">
        <f aca="false">ROUND(S93*T93,0)</f>
        <v>421</v>
      </c>
      <c r="E93" s="52" t="n">
        <f aca="false">ROUND(S93,0)-D93</f>
        <v>255</v>
      </c>
      <c r="F93" s="52" t="n">
        <f aca="false">IF(COUNTA(D93:E93)=0,"",SUM(D93:E93))</f>
        <v>676</v>
      </c>
      <c r="G93" s="53" t="n">
        <f aca="false">IF(OR(F93="",F93=0),"",D93/F93)</f>
        <v>0.622781065088757</v>
      </c>
      <c r="H93" s="53" t="n">
        <f aca="false">IF(OR(F93="",F93=0),"",E93/F93)</f>
        <v>0.377218934911243</v>
      </c>
      <c r="I93" s="25" t="s">
        <v>128</v>
      </c>
      <c r="J93" s="28" t="n">
        <v>2.22489971008846</v>
      </c>
      <c r="K93" s="28" t="n">
        <f aca="false">$K$8</f>
        <v>0.297938238782275</v>
      </c>
      <c r="L93" s="28" t="n">
        <f aca="false">SQRT(J93^2+K93^2)</f>
        <v>2.24475965619494</v>
      </c>
      <c r="M93" s="53" t="n">
        <f aca="false">IF(G93="","",MAX(0,G93-1.96*L93/100))</f>
        <v>0.578783775827337</v>
      </c>
      <c r="N93" s="53" t="n">
        <f aca="false">IF(G93="","",MIN(1,G93+1.96*L93/100))</f>
        <v>0.666778354350178</v>
      </c>
      <c r="O93" s="52" t="n">
        <f aca="false">ROUND(S93*W93,0)</f>
        <v>60</v>
      </c>
      <c r="P93" s="52" t="n">
        <f aca="false">IF(F93="","",ROUND(SQRT((F93*L93/100)^2+(G93*O93)^2),0))</f>
        <v>40</v>
      </c>
      <c r="R93" s="54" t="n">
        <v>11.1441663325758</v>
      </c>
      <c r="S93" s="55" t="n">
        <f aca="false">U93*V93*$F$5</f>
        <v>675.646008403362</v>
      </c>
      <c r="T93" s="56" t="n">
        <f aca="false">MAX(0,MIN(1,R93/100+$D$5))</f>
        <v>0.623435077844523</v>
      </c>
      <c r="U93" s="56" t="n">
        <v>0.719537815126051</v>
      </c>
      <c r="V93" s="55" t="n">
        <v>939</v>
      </c>
      <c r="W93" s="56" t="n">
        <v>0.0887445098984521</v>
      </c>
      <c r="X93" s="57" t="s">
        <v>135</v>
      </c>
      <c r="Y93" s="57" t="s">
        <v>130</v>
      </c>
    </row>
    <row r="94" customFormat="false" ht="15" hidden="false" customHeight="false" outlineLevel="0" collapsed="false">
      <c r="A94" s="25" t="s">
        <v>197</v>
      </c>
      <c r="B94" s="25" t="s">
        <v>199</v>
      </c>
      <c r="C94" s="25" t="s">
        <v>230</v>
      </c>
      <c r="D94" s="52" t="n">
        <f aca="false">ROUND(S94*T94,0)</f>
        <v>343</v>
      </c>
      <c r="E94" s="52" t="n">
        <f aca="false">ROUND(S94,0)-D94</f>
        <v>212</v>
      </c>
      <c r="F94" s="52" t="n">
        <f aca="false">IF(COUNTA(D94:E94)=0,"",SUM(D94:E94))</f>
        <v>555</v>
      </c>
      <c r="G94" s="53" t="n">
        <f aca="false">IF(OR(F94="",F94=0),"",D94/F94)</f>
        <v>0.618018018018018</v>
      </c>
      <c r="H94" s="53" t="n">
        <f aca="false">IF(OR(F94="",F94=0),"",E94/F94)</f>
        <v>0.381981981981982</v>
      </c>
      <c r="I94" s="25" t="s">
        <v>231</v>
      </c>
      <c r="J94" s="28" t="n">
        <v>3.1978281706008</v>
      </c>
      <c r="K94" s="28" t="n">
        <f aca="false">$K$8</f>
        <v>0.297938238782275</v>
      </c>
      <c r="L94" s="28" t="n">
        <f aca="false">SQRT(J94^2+K94^2)</f>
        <v>3.21167747490571</v>
      </c>
      <c r="M94" s="53" t="n">
        <f aca="false">IF(G94="","",MAX(0,G94-1.96*L94/100))</f>
        <v>0.555069139509866</v>
      </c>
      <c r="N94" s="53" t="n">
        <f aca="false">IF(G94="","",MIN(1,G94+1.96*L94/100))</f>
        <v>0.68096689652617</v>
      </c>
      <c r="O94" s="52" t="n">
        <f aca="false">ROUND(S94*W94,0)</f>
        <v>82</v>
      </c>
      <c r="P94" s="52" t="n">
        <f aca="false">IF(F94="","",ROUND(SQRT((F94*L94/100)^2+(G94*O94)^2),0))</f>
        <v>54</v>
      </c>
      <c r="R94" s="54" t="n">
        <v>10.6269889853967</v>
      </c>
      <c r="S94" s="55" t="n">
        <f aca="false">U94*V94*$F$5</f>
        <v>554.842964315995</v>
      </c>
      <c r="T94" s="56" t="n">
        <f aca="false">MAX(0,MIN(1,R94/100+$D$5))</f>
        <v>0.618263304372732</v>
      </c>
      <c r="U94" s="56" t="n">
        <v>0.77927382628651</v>
      </c>
      <c r="V94" s="55" t="n">
        <v>712</v>
      </c>
      <c r="W94" s="56" t="n">
        <v>0.148097331980838</v>
      </c>
      <c r="X94" s="57" t="s">
        <v>129</v>
      </c>
      <c r="Y94" s="57" t="s">
        <v>130</v>
      </c>
    </row>
    <row r="95" customFormat="false" ht="15" hidden="false" customHeight="false" outlineLevel="0" collapsed="false">
      <c r="A95" s="25" t="s">
        <v>197</v>
      </c>
      <c r="B95" s="25" t="s">
        <v>199</v>
      </c>
      <c r="C95" s="25" t="s">
        <v>232</v>
      </c>
      <c r="D95" s="52" t="n">
        <f aca="false">ROUND(S95*T95,0)</f>
        <v>744</v>
      </c>
      <c r="E95" s="52" t="n">
        <f aca="false">ROUND(S95,0)-D95</f>
        <v>462</v>
      </c>
      <c r="F95" s="52" t="n">
        <f aca="false">IF(COUNTA(D95:E95)=0,"",SUM(D95:E95))</f>
        <v>1206</v>
      </c>
      <c r="G95" s="53" t="n">
        <f aca="false">IF(OR(F95="",F95=0),"",D95/F95)</f>
        <v>0.616915422885572</v>
      </c>
      <c r="H95" s="53" t="n">
        <f aca="false">IF(OR(F95="",F95=0),"",E95/F95)</f>
        <v>0.383084577114428</v>
      </c>
      <c r="I95" s="25" t="s">
        <v>231</v>
      </c>
      <c r="J95" s="28" t="n">
        <v>2.08262589216041</v>
      </c>
      <c r="K95" s="28" t="n">
        <f aca="false">$K$8</f>
        <v>0.297938238782275</v>
      </c>
      <c r="L95" s="28" t="n">
        <f aca="false">SQRT(J95^2+K95^2)</f>
        <v>2.1038293183682</v>
      </c>
      <c r="M95" s="53" t="n">
        <f aca="false">IF(G95="","",MAX(0,G95-1.96*L95/100))</f>
        <v>0.575680368245555</v>
      </c>
      <c r="N95" s="53" t="n">
        <f aca="false">IF(G95="","",MIN(1,G95+1.96*L95/100))</f>
        <v>0.658150477525589</v>
      </c>
      <c r="O95" s="52" t="n">
        <f aca="false">ROUND(S95*W95,0)</f>
        <v>83</v>
      </c>
      <c r="P95" s="52" t="n">
        <f aca="false">IF(F95="","",ROUND(SQRT((F95*L95/100)^2+(G95*O95)^2),0))</f>
        <v>57</v>
      </c>
      <c r="R95" s="54" t="n">
        <v>10.5019551507939</v>
      </c>
      <c r="S95" s="55" t="n">
        <f aca="false">U95*V95*$F$5</f>
        <v>1206.29316677804</v>
      </c>
      <c r="T95" s="56" t="n">
        <f aca="false">MAX(0,MIN(1,R95/100+$D$5))</f>
        <v>0.617012966026703</v>
      </c>
      <c r="U95" s="56" t="n">
        <v>0.569903617810831</v>
      </c>
      <c r="V95" s="55" t="n">
        <v>2116.66171099557</v>
      </c>
      <c r="W95" s="56" t="n">
        <v>0.0684752145190268</v>
      </c>
      <c r="X95" s="57" t="s">
        <v>168</v>
      </c>
      <c r="Y95" s="57" t="s">
        <v>233</v>
      </c>
    </row>
    <row r="96" customFormat="false" ht="15" hidden="false" customHeight="false" outlineLevel="0" collapsed="false">
      <c r="A96" s="25" t="s">
        <v>197</v>
      </c>
      <c r="B96" s="25" t="s">
        <v>199</v>
      </c>
      <c r="C96" s="25" t="s">
        <v>234</v>
      </c>
      <c r="D96" s="52" t="n">
        <f aca="false">ROUND(S96*T96,0)</f>
        <v>390</v>
      </c>
      <c r="E96" s="52" t="n">
        <f aca="false">ROUND(S96,0)-D96</f>
        <v>195</v>
      </c>
      <c r="F96" s="52" t="n">
        <f aca="false">IF(COUNTA(D96:E96)=0,"",SUM(D96:E96))</f>
        <v>585</v>
      </c>
      <c r="G96" s="53" t="n">
        <f aca="false">IF(OR(F96="",F96=0),"",D96/F96)</f>
        <v>0.666666666666667</v>
      </c>
      <c r="H96" s="53" t="n">
        <f aca="false">IF(OR(F96="",F96=0),"",E96/F96)</f>
        <v>0.333333333333333</v>
      </c>
      <c r="I96" s="25" t="s">
        <v>128</v>
      </c>
      <c r="J96" s="28" t="n">
        <v>2.22489971008846</v>
      </c>
      <c r="K96" s="28" t="n">
        <f aca="false">$K$8</f>
        <v>0.297938238782275</v>
      </c>
      <c r="L96" s="28" t="n">
        <f aca="false">SQRT(J96^2+K96^2)</f>
        <v>2.24475965619494</v>
      </c>
      <c r="M96" s="53" t="n">
        <f aca="false">IF(G96="","",MAX(0,G96-1.96*L96/100))</f>
        <v>0.622669377405246</v>
      </c>
      <c r="N96" s="53" t="n">
        <f aca="false">IF(G96="","",MIN(1,G96+1.96*L96/100))</f>
        <v>0.710663955928087</v>
      </c>
      <c r="O96" s="52" t="n">
        <f aca="false">ROUND(S96*W96,0)</f>
        <v>52</v>
      </c>
      <c r="P96" s="52" t="n">
        <f aca="false">IF(F96="","",ROUND(SQRT((F96*L96/100)^2+(G96*O96)^2),0))</f>
        <v>37</v>
      </c>
      <c r="R96" s="54" t="n">
        <v>15.40264995654</v>
      </c>
      <c r="S96" s="55" t="n">
        <f aca="false">U96*V96*$F$5</f>
        <v>585.1929092805</v>
      </c>
      <c r="T96" s="56" t="n">
        <f aca="false">MAX(0,MIN(1,R96/100+$D$5))</f>
        <v>0.666019914084165</v>
      </c>
      <c r="U96" s="56" t="n">
        <v>0.599582898852972</v>
      </c>
      <c r="V96" s="55" t="n">
        <v>976</v>
      </c>
      <c r="W96" s="56" t="n">
        <v>0.0887445098984521</v>
      </c>
      <c r="X96" s="57" t="s">
        <v>135</v>
      </c>
      <c r="Y96" s="57" t="s">
        <v>130</v>
      </c>
    </row>
    <row r="97" customFormat="false" ht="15" hidden="false" customHeight="false" outlineLevel="0" collapsed="false">
      <c r="A97" s="25" t="s">
        <v>197</v>
      </c>
      <c r="B97" s="25" t="s">
        <v>199</v>
      </c>
      <c r="C97" s="25" t="s">
        <v>235</v>
      </c>
      <c r="D97" s="52" t="n">
        <f aca="false">ROUND(S97*T97,0)</f>
        <v>493</v>
      </c>
      <c r="E97" s="52" t="n">
        <f aca="false">ROUND(S97,0)-D97</f>
        <v>292</v>
      </c>
      <c r="F97" s="52" t="n">
        <f aca="false">IF(COUNTA(D97:E97)=0,"",SUM(D97:E97))</f>
        <v>785</v>
      </c>
      <c r="G97" s="53" t="n">
        <f aca="false">IF(OR(F97="",F97=0),"",D97/F97)</f>
        <v>0.628025477707006</v>
      </c>
      <c r="H97" s="53" t="n">
        <f aca="false">IF(OR(F97="",F97=0),"",E97/F97)</f>
        <v>0.371974522292994</v>
      </c>
      <c r="I97" s="25" t="s">
        <v>128</v>
      </c>
      <c r="J97" s="28" t="n">
        <v>2.22489971008846</v>
      </c>
      <c r="K97" s="28" t="n">
        <f aca="false">$K$8</f>
        <v>0.297938238782275</v>
      </c>
      <c r="L97" s="28" t="n">
        <f aca="false">SQRT(J97^2+K97^2)</f>
        <v>2.24475965619494</v>
      </c>
      <c r="M97" s="53" t="n">
        <f aca="false">IF(G97="","",MAX(0,G97-1.96*L97/100))</f>
        <v>0.584028188445586</v>
      </c>
      <c r="N97" s="53" t="n">
        <f aca="false">IF(G97="","",MIN(1,G97+1.96*L97/100))</f>
        <v>0.672022766968427</v>
      </c>
      <c r="O97" s="52" t="n">
        <f aca="false">ROUND(S97*W97,0)</f>
        <v>70</v>
      </c>
      <c r="P97" s="52" t="n">
        <f aca="false">IF(F97="","",ROUND(SQRT((F97*L97/100)^2+(G97*O97)^2),0))</f>
        <v>47</v>
      </c>
      <c r="R97" s="54" t="n">
        <v>11.5260026379609</v>
      </c>
      <c r="S97" s="55" t="n">
        <f aca="false">U97*V97*$F$5</f>
        <v>785.366995073891</v>
      </c>
      <c r="T97" s="56" t="n">
        <f aca="false">MAX(0,MIN(1,R97/100+$D$5))</f>
        <v>0.627253440898374</v>
      </c>
      <c r="U97" s="56" t="n">
        <v>0.624794745484401</v>
      </c>
      <c r="V97" s="55" t="n">
        <v>1257</v>
      </c>
      <c r="W97" s="56" t="n">
        <v>0.0887445098984521</v>
      </c>
      <c r="X97" s="57" t="s">
        <v>135</v>
      </c>
      <c r="Y97" s="57" t="s">
        <v>130</v>
      </c>
    </row>
    <row r="98" customFormat="false" ht="15" hidden="false" customHeight="false" outlineLevel="0" collapsed="false">
      <c r="A98" s="25" t="s">
        <v>197</v>
      </c>
      <c r="B98" s="25" t="s">
        <v>199</v>
      </c>
      <c r="C98" s="25" t="s">
        <v>236</v>
      </c>
      <c r="D98" s="52" t="n">
        <f aca="false">ROUND(S98*T98,0)</f>
        <v>12</v>
      </c>
      <c r="E98" s="52" t="n">
        <f aca="false">ROUND(S98,0)-D98</f>
        <v>8</v>
      </c>
      <c r="F98" s="52" t="n">
        <f aca="false">IF(COUNTA(D98:E98)=0,"",SUM(D98:E98))</f>
        <v>20</v>
      </c>
      <c r="G98" s="53" t="n">
        <f aca="false">IF(OR(F98="",F98=0),"",D98/F98)</f>
        <v>0.6</v>
      </c>
      <c r="H98" s="53" t="n">
        <f aca="false">IF(OR(F98="",F98=0),"",E98/F98)</f>
        <v>0.4</v>
      </c>
      <c r="I98" s="25" t="s">
        <v>231</v>
      </c>
      <c r="J98" s="28" t="n">
        <v>3.1978281706008</v>
      </c>
      <c r="K98" s="28" t="n">
        <f aca="false">$K$8</f>
        <v>0.297938238782275</v>
      </c>
      <c r="L98" s="28" t="n">
        <f aca="false">SQRT(J98^2+K98^2)</f>
        <v>3.21167747490571</v>
      </c>
      <c r="M98" s="53" t="n">
        <f aca="false">IF(G98="","",MAX(0,G98-1.96*L98/100))</f>
        <v>0.537051121491848</v>
      </c>
      <c r="N98" s="53" t="n">
        <f aca="false">IF(G98="","",MIN(1,G98+1.96*L98/100))</f>
        <v>0.662948878508152</v>
      </c>
      <c r="O98" s="52" t="n">
        <f aca="false">ROUND(S98*W98,0)</f>
        <v>3</v>
      </c>
      <c r="P98" s="52" t="n">
        <f aca="false">IF(F98="","",ROUND(SQRT((F98*L98/100)^2+(G98*O98)^2),0))</f>
        <v>2</v>
      </c>
      <c r="R98" s="54" t="n">
        <v>7.73795041862182</v>
      </c>
      <c r="S98" s="55" t="n">
        <f aca="false">U98*V98*$F$5</f>
        <v>20.1728274473207</v>
      </c>
      <c r="T98" s="56" t="n">
        <f aca="false">MAX(0,MIN(1,R98/100+$D$5))</f>
        <v>0.589372918704983</v>
      </c>
      <c r="U98" s="56" t="n">
        <v>0.58248124473513</v>
      </c>
      <c r="V98" s="55" t="n">
        <v>34.6325785244704</v>
      </c>
      <c r="W98" s="56" t="n">
        <v>0.148097331980838</v>
      </c>
      <c r="X98" s="57" t="s">
        <v>129</v>
      </c>
      <c r="Y98" s="57" t="s">
        <v>233</v>
      </c>
    </row>
    <row r="99" customFormat="false" ht="15" hidden="false" customHeight="false" outlineLevel="0" collapsed="false">
      <c r="A99" s="25" t="s">
        <v>197</v>
      </c>
      <c r="B99" s="25" t="s">
        <v>199</v>
      </c>
      <c r="C99" s="25" t="s">
        <v>237</v>
      </c>
      <c r="D99" s="52" t="n">
        <f aca="false">ROUND(S99*T99,0)</f>
        <v>223</v>
      </c>
      <c r="E99" s="52" t="n">
        <f aca="false">ROUND(S99,0)-D99</f>
        <v>158</v>
      </c>
      <c r="F99" s="52" t="n">
        <f aca="false">IF(COUNTA(D99:E99)=0,"",SUM(D99:E99))</f>
        <v>381</v>
      </c>
      <c r="G99" s="53" t="n">
        <f aca="false">IF(OR(F99="",F99=0),"",D99/F99)</f>
        <v>0.585301837270341</v>
      </c>
      <c r="H99" s="53" t="n">
        <f aca="false">IF(OR(F99="",F99=0),"",E99/F99)</f>
        <v>0.414698162729659</v>
      </c>
      <c r="I99" s="25" t="s">
        <v>128</v>
      </c>
      <c r="J99" s="28" t="n">
        <v>3.1978281706008</v>
      </c>
      <c r="K99" s="28" t="n">
        <f aca="false">$K$8</f>
        <v>0.297938238782275</v>
      </c>
      <c r="L99" s="28" t="n">
        <f aca="false">SQRT(J99^2+K99^2)</f>
        <v>3.21167747490571</v>
      </c>
      <c r="M99" s="53" t="n">
        <f aca="false">IF(G99="","",MAX(0,G99-1.96*L99/100))</f>
        <v>0.522352958762189</v>
      </c>
      <c r="N99" s="53" t="n">
        <f aca="false">IF(G99="","",MIN(1,G99+1.96*L99/100))</f>
        <v>0.648250715778493</v>
      </c>
      <c r="O99" s="52" t="n">
        <f aca="false">ROUND(S99*W99,0)</f>
        <v>56</v>
      </c>
      <c r="P99" s="52" t="n">
        <f aca="false">IF(F99="","",ROUND(SQRT((F99*L99/100)^2+(G99*O99)^2),0))</f>
        <v>35</v>
      </c>
      <c r="R99" s="54" t="n">
        <v>7.19088742808927</v>
      </c>
      <c r="S99" s="55" t="n">
        <f aca="false">U99*V99*$F$5</f>
        <v>381.16646562123</v>
      </c>
      <c r="T99" s="56" t="n">
        <f aca="false">MAX(0,MIN(1,R99/100+$D$5))</f>
        <v>0.583902288799657</v>
      </c>
      <c r="U99" s="56" t="n">
        <v>0.44270205066345</v>
      </c>
      <c r="V99" s="55" t="n">
        <v>861</v>
      </c>
      <c r="W99" s="56" t="n">
        <v>0.148097331980838</v>
      </c>
      <c r="X99" s="57" t="s">
        <v>129</v>
      </c>
      <c r="Y99" s="57" t="s">
        <v>130</v>
      </c>
    </row>
    <row r="100" customFormat="false" ht="15" hidden="false" customHeight="false" outlineLevel="0" collapsed="false">
      <c r="A100" s="25" t="s">
        <v>197</v>
      </c>
      <c r="B100" s="25" t="s">
        <v>199</v>
      </c>
      <c r="C100" s="25" t="s">
        <v>238</v>
      </c>
      <c r="D100" s="52" t="n">
        <f aca="false">ROUND(S100*T100,0)</f>
        <v>367</v>
      </c>
      <c r="E100" s="52" t="n">
        <f aca="false">ROUND(S100,0)-D100</f>
        <v>193</v>
      </c>
      <c r="F100" s="52" t="n">
        <f aca="false">IF(COUNTA(D100:E100)=0,"",SUM(D100:E100))</f>
        <v>560</v>
      </c>
      <c r="G100" s="53" t="n">
        <f aca="false">IF(OR(F100="",F100=0),"",D100/F100)</f>
        <v>0.655357142857143</v>
      </c>
      <c r="H100" s="53" t="n">
        <f aca="false">IF(OR(F100="",F100=0),"",E100/F100)</f>
        <v>0.344642857142857</v>
      </c>
      <c r="I100" s="25" t="s">
        <v>128</v>
      </c>
      <c r="J100" s="28" t="n">
        <v>3.1978281706008</v>
      </c>
      <c r="K100" s="28" t="n">
        <f aca="false">$K$8</f>
        <v>0.297938238782275</v>
      </c>
      <c r="L100" s="28" t="n">
        <f aca="false">SQRT(J100^2+K100^2)</f>
        <v>3.21167747490571</v>
      </c>
      <c r="M100" s="53" t="n">
        <f aca="false">IF(G100="","",MAX(0,G100-1.96*L100/100))</f>
        <v>0.592408264348991</v>
      </c>
      <c r="N100" s="53" t="n">
        <f aca="false">IF(G100="","",MIN(1,G100+1.96*L100/100))</f>
        <v>0.718306021365295</v>
      </c>
      <c r="O100" s="52" t="n">
        <f aca="false">ROUND(S100*W100,0)</f>
        <v>83</v>
      </c>
      <c r="P100" s="52" t="n">
        <f aca="false">IF(F100="","",ROUND(SQRT((F100*L100/100)^2+(G100*O100)^2),0))</f>
        <v>57</v>
      </c>
      <c r="R100" s="54" t="n">
        <v>14.3015835172428</v>
      </c>
      <c r="S100" s="55" t="n">
        <f aca="false">U100*V100*$F$5</f>
        <v>559.617875647668</v>
      </c>
      <c r="T100" s="56" t="n">
        <f aca="false">MAX(0,MIN(1,R100/100+$D$5))</f>
        <v>0.655009249691193</v>
      </c>
      <c r="U100" s="56" t="n">
        <v>0.356217616580311</v>
      </c>
      <c r="V100" s="55" t="n">
        <v>1571</v>
      </c>
      <c r="W100" s="56" t="n">
        <v>0.148097331980838</v>
      </c>
      <c r="X100" s="57" t="s">
        <v>129</v>
      </c>
      <c r="Y100" s="57" t="s">
        <v>130</v>
      </c>
    </row>
    <row r="101" customFormat="false" ht="15" hidden="false" customHeight="false" outlineLevel="0" collapsed="false">
      <c r="A101" s="25" t="s">
        <v>197</v>
      </c>
      <c r="B101" s="25" t="s">
        <v>199</v>
      </c>
      <c r="C101" s="25" t="s">
        <v>239</v>
      </c>
      <c r="D101" s="52" t="n">
        <f aca="false">ROUND(S101*T101,0)</f>
        <v>264</v>
      </c>
      <c r="E101" s="52" t="n">
        <f aca="false">ROUND(S101,0)-D101</f>
        <v>175</v>
      </c>
      <c r="F101" s="52" t="n">
        <f aca="false">IF(COUNTA(D101:E101)=0,"",SUM(D101:E101))</f>
        <v>439</v>
      </c>
      <c r="G101" s="53" t="n">
        <f aca="false">IF(OR(F101="",F101=0),"",D101/F101)</f>
        <v>0.601366742596811</v>
      </c>
      <c r="H101" s="53" t="n">
        <f aca="false">IF(OR(F101="",F101=0),"",E101/F101)</f>
        <v>0.398633257403189</v>
      </c>
      <c r="I101" s="25" t="s">
        <v>128</v>
      </c>
      <c r="J101" s="28" t="n">
        <v>3.1978281706008</v>
      </c>
      <c r="K101" s="28" t="n">
        <f aca="false">$K$8</f>
        <v>0.297938238782275</v>
      </c>
      <c r="L101" s="28" t="n">
        <f aca="false">SQRT(J101^2+K101^2)</f>
        <v>3.21167747490571</v>
      </c>
      <c r="M101" s="53" t="n">
        <f aca="false">IF(G101="","",MAX(0,G101-1.96*L101/100))</f>
        <v>0.538417864088659</v>
      </c>
      <c r="N101" s="53" t="n">
        <f aca="false">IF(G101="","",MIN(1,G101+1.96*L101/100))</f>
        <v>0.664315621104963</v>
      </c>
      <c r="O101" s="52" t="n">
        <f aca="false">ROUND(S101*W101,0)</f>
        <v>65</v>
      </c>
      <c r="P101" s="52" t="n">
        <f aca="false">IF(F101="","",ROUND(SQRT((F101*L101/100)^2+(G101*O101)^2),0))</f>
        <v>42</v>
      </c>
      <c r="R101" s="54" t="n">
        <v>8.97302442725213</v>
      </c>
      <c r="S101" s="55" t="n">
        <f aca="false">U101*V101*$F$5</f>
        <v>439.019455252919</v>
      </c>
      <c r="T101" s="56" t="n">
        <f aca="false">MAX(0,MIN(1,R101/100+$D$5))</f>
        <v>0.601723658791286</v>
      </c>
      <c r="U101" s="56" t="n">
        <v>0.546044098573282</v>
      </c>
      <c r="V101" s="55" t="n">
        <v>804</v>
      </c>
      <c r="W101" s="56" t="n">
        <v>0.148097331980838</v>
      </c>
      <c r="X101" s="57" t="s">
        <v>129</v>
      </c>
      <c r="Y101" s="57" t="s">
        <v>130</v>
      </c>
    </row>
    <row r="102" customFormat="false" ht="15" hidden="false" customHeight="false" outlineLevel="0" collapsed="false">
      <c r="A102" s="25" t="s">
        <v>197</v>
      </c>
      <c r="B102" s="25" t="s">
        <v>199</v>
      </c>
      <c r="C102" s="25" t="s">
        <v>240</v>
      </c>
      <c r="D102" s="52" t="n">
        <f aca="false">ROUND(S102*T102,0)</f>
        <v>242</v>
      </c>
      <c r="E102" s="52" t="n">
        <f aca="false">ROUND(S102,0)-D102</f>
        <v>133</v>
      </c>
      <c r="F102" s="52" t="n">
        <f aca="false">IF(COUNTA(D102:E102)=0,"",SUM(D102:E102))</f>
        <v>375</v>
      </c>
      <c r="G102" s="53" t="n">
        <f aca="false">IF(OR(F102="",F102=0),"",D102/F102)</f>
        <v>0.645333333333333</v>
      </c>
      <c r="H102" s="53" t="n">
        <f aca="false">IF(OR(F102="",F102=0),"",E102/F102)</f>
        <v>0.354666666666667</v>
      </c>
      <c r="I102" s="25" t="s">
        <v>128</v>
      </c>
      <c r="J102" s="28" t="n">
        <v>3.1978281706008</v>
      </c>
      <c r="K102" s="28" t="n">
        <f aca="false">$K$8</f>
        <v>0.297938238782275</v>
      </c>
      <c r="L102" s="28" t="n">
        <f aca="false">SQRT(J102^2+K102^2)</f>
        <v>3.21167747490571</v>
      </c>
      <c r="M102" s="53" t="n">
        <f aca="false">IF(G102="","",MAX(0,G102-1.96*L102/100))</f>
        <v>0.582384454825181</v>
      </c>
      <c r="N102" s="53" t="n">
        <f aca="false">IF(G102="","",MIN(1,G102+1.96*L102/100))</f>
        <v>0.708282211841485</v>
      </c>
      <c r="O102" s="52" t="n">
        <f aca="false">ROUND(S102*W102,0)</f>
        <v>56</v>
      </c>
      <c r="P102" s="52" t="n">
        <f aca="false">IF(F102="","",ROUND(SQRT((F102*L102/100)^2+(G102*O102)^2),0))</f>
        <v>38</v>
      </c>
      <c r="R102" s="54" t="n">
        <v>13.2131158552691</v>
      </c>
      <c r="S102" s="55" t="n">
        <f aca="false">U102*V102*$F$5</f>
        <v>374.938159879336</v>
      </c>
      <c r="T102" s="56" t="n">
        <f aca="false">MAX(0,MIN(1,R102/100+$D$5))</f>
        <v>0.644124573071455</v>
      </c>
      <c r="U102" s="56" t="n">
        <v>0.291101055806938</v>
      </c>
      <c r="V102" s="55" t="n">
        <v>1288</v>
      </c>
      <c r="W102" s="56" t="n">
        <v>0.148097331980838</v>
      </c>
      <c r="X102" s="57" t="s">
        <v>129</v>
      </c>
      <c r="Y102" s="57" t="s">
        <v>130</v>
      </c>
    </row>
    <row r="103" customFormat="false" ht="15" hidden="false" customHeight="false" outlineLevel="0" collapsed="false">
      <c r="A103" s="25" t="s">
        <v>197</v>
      </c>
      <c r="B103" s="25" t="s">
        <v>199</v>
      </c>
      <c r="C103" s="25" t="s">
        <v>241</v>
      </c>
      <c r="D103" s="52" t="n">
        <f aca="false">ROUND(S103*T103,0)</f>
        <v>369</v>
      </c>
      <c r="E103" s="52" t="n">
        <f aca="false">ROUND(S103,0)-D103</f>
        <v>232</v>
      </c>
      <c r="F103" s="52" t="n">
        <f aca="false">IF(COUNTA(D103:E103)=0,"",SUM(D103:E103))</f>
        <v>601</v>
      </c>
      <c r="G103" s="53" t="n">
        <f aca="false">IF(OR(F103="",F103=0),"",D103/F103)</f>
        <v>0.613976705490849</v>
      </c>
      <c r="H103" s="53" t="n">
        <f aca="false">IF(OR(F103="",F103=0),"",E103/F103)</f>
        <v>0.386023294509151</v>
      </c>
      <c r="I103" s="25" t="s">
        <v>128</v>
      </c>
      <c r="J103" s="28" t="n">
        <v>2.22489971008846</v>
      </c>
      <c r="K103" s="28" t="n">
        <f aca="false">$K$8</f>
        <v>0.297938238782275</v>
      </c>
      <c r="L103" s="28" t="n">
        <f aca="false">SQRT(J103^2+K103^2)</f>
        <v>2.24475965619494</v>
      </c>
      <c r="M103" s="53" t="n">
        <f aca="false">IF(G103="","",MAX(0,G103-1.96*L103/100))</f>
        <v>0.569979416229428</v>
      </c>
      <c r="N103" s="53" t="n">
        <f aca="false">IF(G103="","",MIN(1,G103+1.96*L103/100))</f>
        <v>0.657973994752269</v>
      </c>
      <c r="O103" s="52" t="n">
        <f aca="false">ROUND(S103*W103,0)</f>
        <v>53</v>
      </c>
      <c r="P103" s="52" t="n">
        <f aca="false">IF(F103="","",ROUND(SQRT((F103*L103/100)^2+(G103*O103)^2),0))</f>
        <v>35</v>
      </c>
      <c r="R103" s="54" t="n">
        <v>10.1935395497509</v>
      </c>
      <c r="S103" s="55" t="n">
        <f aca="false">U103*V103*$F$5</f>
        <v>600.916119620715</v>
      </c>
      <c r="T103" s="56" t="n">
        <f aca="false">MAX(0,MIN(1,R103/100+$D$5))</f>
        <v>0.613928810016274</v>
      </c>
      <c r="U103" s="56" t="n">
        <v>0.440554339897885</v>
      </c>
      <c r="V103" s="55" t="n">
        <v>1364</v>
      </c>
      <c r="W103" s="56" t="n">
        <v>0.0887445098984521</v>
      </c>
      <c r="X103" s="57" t="s">
        <v>135</v>
      </c>
      <c r="Y103" s="57" t="s">
        <v>130</v>
      </c>
    </row>
    <row r="104" customFormat="false" ht="15" hidden="false" customHeight="false" outlineLevel="0" collapsed="false">
      <c r="A104" s="25" t="s">
        <v>197</v>
      </c>
      <c r="B104" s="25" t="s">
        <v>199</v>
      </c>
      <c r="C104" s="25" t="s">
        <v>242</v>
      </c>
      <c r="D104" s="52" t="n">
        <f aca="false">ROUND(S104*T104,0)</f>
        <v>1</v>
      </c>
      <c r="E104" s="52" t="n">
        <f aca="false">ROUND(S104,0)-D104</f>
        <v>1</v>
      </c>
      <c r="F104" s="52" t="n">
        <f aca="false">IF(COUNTA(D104:E104)=0,"",SUM(D104:E104))</f>
        <v>2</v>
      </c>
      <c r="G104" s="53" t="n">
        <f aca="false">IF(OR(F104="",F104=0),"",D104/F104)</f>
        <v>0.5</v>
      </c>
      <c r="H104" s="53" t="n">
        <f aca="false">IF(OR(F104="",F104=0),"",E104/F104)</f>
        <v>0.5</v>
      </c>
      <c r="I104" s="25" t="s">
        <v>231</v>
      </c>
      <c r="J104" s="28" t="n">
        <v>3.1978281706008</v>
      </c>
      <c r="K104" s="28" t="n">
        <f aca="false">$K$8</f>
        <v>0.297938238782275</v>
      </c>
      <c r="L104" s="28" t="n">
        <f aca="false">SQRT(J104^2+K104^2)</f>
        <v>3.21167747490571</v>
      </c>
      <c r="M104" s="53" t="n">
        <f aca="false">IF(G104="","",MAX(0,G104-1.96*L104/100))</f>
        <v>0.437051121491848</v>
      </c>
      <c r="N104" s="53" t="n">
        <f aca="false">IF(G104="","",MIN(1,G104+1.96*L104/100))</f>
        <v>0.562948878508152</v>
      </c>
      <c r="O104" s="52" t="n">
        <f aca="false">ROUND(S104*W104,0)</f>
        <v>0</v>
      </c>
      <c r="P104" s="52" t="n">
        <f aca="false">IF(F104="","",ROUND(SQRT((F104*L104/100)^2+(G104*O104)^2),0))</f>
        <v>0</v>
      </c>
      <c r="R104" s="54" t="n">
        <v>6.28406612854473</v>
      </c>
      <c r="S104" s="55" t="n">
        <f aca="false">U104*V104*$F$5</f>
        <v>1.93609179834966</v>
      </c>
      <c r="T104" s="56" t="n">
        <f aca="false">MAX(0,MIN(1,R104/100+$D$5))</f>
        <v>0.574834075804212</v>
      </c>
      <c r="U104" s="56" t="n">
        <v>0.633576090764528</v>
      </c>
      <c r="V104" s="55" t="n">
        <v>3.05581575215915</v>
      </c>
      <c r="W104" s="56" t="n">
        <v>0.148097331980838</v>
      </c>
      <c r="X104" s="57" t="s">
        <v>129</v>
      </c>
      <c r="Y104" s="57" t="s">
        <v>233</v>
      </c>
    </row>
    <row r="105" customFormat="false" ht="15" hidden="false" customHeight="false" outlineLevel="0" collapsed="false">
      <c r="A105" s="25" t="s">
        <v>197</v>
      </c>
      <c r="B105" s="25" t="s">
        <v>199</v>
      </c>
      <c r="C105" s="25" t="s">
        <v>243</v>
      </c>
      <c r="D105" s="52" t="n">
        <f aca="false">ROUND(S105*T105,0)</f>
        <v>484</v>
      </c>
      <c r="E105" s="52" t="n">
        <f aca="false">ROUND(S105,0)-D105</f>
        <v>300</v>
      </c>
      <c r="F105" s="52" t="n">
        <f aca="false">IF(COUNTA(D105:E105)=0,"",SUM(D105:E105))</f>
        <v>784</v>
      </c>
      <c r="G105" s="53" t="n">
        <f aca="false">IF(OR(F105="",F105=0),"",D105/F105)</f>
        <v>0.61734693877551</v>
      </c>
      <c r="H105" s="53" t="n">
        <f aca="false">IF(OR(F105="",F105=0),"",E105/F105)</f>
        <v>0.38265306122449</v>
      </c>
      <c r="I105" s="25" t="s">
        <v>128</v>
      </c>
      <c r="J105" s="28" t="n">
        <v>2.22489971008846</v>
      </c>
      <c r="K105" s="28" t="n">
        <f aca="false">$K$8</f>
        <v>0.297938238782275</v>
      </c>
      <c r="L105" s="28" t="n">
        <f aca="false">SQRT(J105^2+K105^2)</f>
        <v>2.24475965619494</v>
      </c>
      <c r="M105" s="53" t="n">
        <f aca="false">IF(G105="","",MAX(0,G105-1.96*L105/100))</f>
        <v>0.573349649514089</v>
      </c>
      <c r="N105" s="53" t="n">
        <f aca="false">IF(G105="","",MIN(1,G105+1.96*L105/100))</f>
        <v>0.661344228036931</v>
      </c>
      <c r="O105" s="52" t="n">
        <f aca="false">ROUND(S105*W105,0)</f>
        <v>70</v>
      </c>
      <c r="P105" s="52" t="n">
        <f aca="false">IF(F105="","",ROUND(SQRT((F105*L105/100)^2+(G105*O105)^2),0))</f>
        <v>47</v>
      </c>
      <c r="R105" s="54" t="n">
        <v>10.5776058975317</v>
      </c>
      <c r="S105" s="55" t="n">
        <f aca="false">U105*V105*$F$5</f>
        <v>784.118962432916</v>
      </c>
      <c r="T105" s="56" t="n">
        <f aca="false">MAX(0,MIN(1,R105/100+$D$5))</f>
        <v>0.617769473494081</v>
      </c>
      <c r="U105" s="56" t="n">
        <v>0.344364937388193</v>
      </c>
      <c r="V105" s="55" t="n">
        <v>2277</v>
      </c>
      <c r="W105" s="56" t="n">
        <v>0.0887445098984521</v>
      </c>
      <c r="X105" s="57" t="s">
        <v>135</v>
      </c>
      <c r="Y105" s="57" t="s">
        <v>130</v>
      </c>
    </row>
    <row r="106" customFormat="false" ht="15" hidden="false" customHeight="false" outlineLevel="0" collapsed="false">
      <c r="A106" s="25" t="s">
        <v>197</v>
      </c>
      <c r="B106" s="25" t="s">
        <v>199</v>
      </c>
      <c r="C106" s="25" t="s">
        <v>244</v>
      </c>
      <c r="D106" s="52" t="n">
        <f aca="false">ROUND(S106*T106,0)</f>
        <v>221</v>
      </c>
      <c r="E106" s="52" t="n">
        <f aca="false">ROUND(S106,0)-D106</f>
        <v>87</v>
      </c>
      <c r="F106" s="52" t="n">
        <f aca="false">IF(COUNTA(D106:E106)=0,"",SUM(D106:E106))</f>
        <v>308</v>
      </c>
      <c r="G106" s="53" t="n">
        <f aca="false">IF(OR(F106="",F106=0),"",D106/F106)</f>
        <v>0.717532467532468</v>
      </c>
      <c r="H106" s="53" t="n">
        <f aca="false">IF(OR(F106="",F106=0),"",E106/F106)</f>
        <v>0.282467532467533</v>
      </c>
      <c r="I106" s="25" t="s">
        <v>128</v>
      </c>
      <c r="J106" s="28" t="n">
        <v>3.1978281706008</v>
      </c>
      <c r="K106" s="28" t="n">
        <f aca="false">$K$8</f>
        <v>0.297938238782275</v>
      </c>
      <c r="L106" s="28" t="n">
        <f aca="false">SQRT(J106^2+K106^2)</f>
        <v>3.21167747490571</v>
      </c>
      <c r="M106" s="53" t="n">
        <f aca="false">IF(G106="","",MAX(0,G106-1.96*L106/100))</f>
        <v>0.654583589024316</v>
      </c>
      <c r="N106" s="53" t="n">
        <f aca="false">IF(G106="","",MIN(1,G106+1.96*L106/100))</f>
        <v>0.78048134604062</v>
      </c>
      <c r="O106" s="52" t="n">
        <f aca="false">ROUND(S106*W106,0)</f>
        <v>46</v>
      </c>
      <c r="P106" s="52" t="n">
        <f aca="false">IF(F106="","",ROUND(SQRT((F106*L106/100)^2+(G106*O106)^2),0))</f>
        <v>34</v>
      </c>
      <c r="R106" s="54" t="n">
        <v>20.5142283158759</v>
      </c>
      <c r="S106" s="55" t="n">
        <f aca="false">U106*V106*$F$5</f>
        <v>307.670520231214</v>
      </c>
      <c r="T106" s="56" t="n">
        <f aca="false">MAX(0,MIN(1,R106/100+$D$5))</f>
        <v>0.717135697677524</v>
      </c>
      <c r="U106" s="56" t="n">
        <v>0.194605009633911</v>
      </c>
      <c r="V106" s="55" t="n">
        <v>1581</v>
      </c>
      <c r="W106" s="56" t="n">
        <v>0.148097331980838</v>
      </c>
      <c r="X106" s="57" t="s">
        <v>129</v>
      </c>
      <c r="Y106" s="57" t="s">
        <v>130</v>
      </c>
    </row>
    <row r="107" customFormat="false" ht="15" hidden="false" customHeight="false" outlineLevel="0" collapsed="false">
      <c r="A107" s="25" t="s">
        <v>197</v>
      </c>
      <c r="B107" s="25" t="s">
        <v>199</v>
      </c>
      <c r="C107" s="25" t="s">
        <v>245</v>
      </c>
      <c r="D107" s="52" t="n">
        <f aca="false">ROUND(S107*T107,0)</f>
        <v>186</v>
      </c>
      <c r="E107" s="52" t="n">
        <f aca="false">ROUND(S107,0)-D107</f>
        <v>86</v>
      </c>
      <c r="F107" s="52" t="n">
        <f aca="false">IF(COUNTA(D107:E107)=0,"",SUM(D107:E107))</f>
        <v>272</v>
      </c>
      <c r="G107" s="53" t="n">
        <f aca="false">IF(OR(F107="",F107=0),"",D107/F107)</f>
        <v>0.683823529411765</v>
      </c>
      <c r="H107" s="53" t="n">
        <f aca="false">IF(OR(F107="",F107=0),"",E107/F107)</f>
        <v>0.316176470588235</v>
      </c>
      <c r="I107" s="25" t="s">
        <v>128</v>
      </c>
      <c r="J107" s="28" t="n">
        <v>3.1978281706008</v>
      </c>
      <c r="K107" s="28" t="n">
        <f aca="false">$K$8</f>
        <v>0.297938238782275</v>
      </c>
      <c r="L107" s="28" t="n">
        <f aca="false">SQRT(J107^2+K107^2)</f>
        <v>3.21167747490571</v>
      </c>
      <c r="M107" s="53" t="n">
        <f aca="false">IF(G107="","",MAX(0,G107-1.96*L107/100))</f>
        <v>0.620874650903613</v>
      </c>
      <c r="N107" s="53" t="n">
        <f aca="false">IF(G107="","",MIN(1,G107+1.96*L107/100))</f>
        <v>0.746772407919917</v>
      </c>
      <c r="O107" s="52" t="n">
        <f aca="false">ROUND(S107*W107,0)</f>
        <v>40</v>
      </c>
      <c r="P107" s="52" t="n">
        <f aca="false">IF(F107="","",ROUND(SQRT((F107*L107/100)^2+(G107*O107)^2),0))</f>
        <v>29</v>
      </c>
      <c r="R107" s="54" t="n">
        <v>17.2124748622161</v>
      </c>
      <c r="S107" s="55" t="n">
        <f aca="false">U107*V107*$F$5</f>
        <v>271.509527754764</v>
      </c>
      <c r="T107" s="56" t="n">
        <f aca="false">MAX(0,MIN(1,R107/100+$D$5))</f>
        <v>0.684118163140926</v>
      </c>
      <c r="U107" s="56" t="n">
        <v>0.251864125932063</v>
      </c>
      <c r="V107" s="55" t="n">
        <v>1078</v>
      </c>
      <c r="W107" s="56" t="n">
        <v>0.148097331980838</v>
      </c>
      <c r="X107" s="57" t="s">
        <v>129</v>
      </c>
      <c r="Y107" s="57" t="s">
        <v>130</v>
      </c>
    </row>
    <row r="108" customFormat="false" ht="15" hidden="false" customHeight="false" outlineLevel="0" collapsed="false">
      <c r="A108" s="25" t="s">
        <v>197</v>
      </c>
      <c r="B108" s="25" t="s">
        <v>199</v>
      </c>
      <c r="C108" s="25" t="s">
        <v>246</v>
      </c>
      <c r="D108" s="52" t="n">
        <f aca="false">ROUND(S108*T108,0)</f>
        <v>391</v>
      </c>
      <c r="E108" s="52" t="n">
        <f aca="false">ROUND(S108,0)-D108</f>
        <v>159</v>
      </c>
      <c r="F108" s="52" t="n">
        <f aca="false">IF(COUNTA(D108:E108)=0,"",SUM(D108:E108))</f>
        <v>550</v>
      </c>
      <c r="G108" s="53" t="n">
        <f aca="false">IF(OR(F108="",F108=0),"",D108/F108)</f>
        <v>0.710909090909091</v>
      </c>
      <c r="H108" s="53" t="n">
        <f aca="false">IF(OR(F108="",F108=0),"",E108/F108)</f>
        <v>0.289090909090909</v>
      </c>
      <c r="I108" s="25" t="s">
        <v>128</v>
      </c>
      <c r="J108" s="28" t="n">
        <v>3.1978281706008</v>
      </c>
      <c r="K108" s="28" t="n">
        <f aca="false">$K$8</f>
        <v>0.297938238782275</v>
      </c>
      <c r="L108" s="28" t="n">
        <f aca="false">SQRT(J108^2+K108^2)</f>
        <v>3.21167747490571</v>
      </c>
      <c r="M108" s="53" t="n">
        <f aca="false">IF(G108="","",MAX(0,G108-1.96*L108/100))</f>
        <v>0.647960212400939</v>
      </c>
      <c r="N108" s="53" t="n">
        <f aca="false">IF(G108="","",MIN(1,G108+1.96*L108/100))</f>
        <v>0.773857969417243</v>
      </c>
      <c r="O108" s="52" t="n">
        <f aca="false">ROUND(S108*W108,0)</f>
        <v>82</v>
      </c>
      <c r="P108" s="52" t="n">
        <f aca="false">IF(F108="","",ROUND(SQRT((F108*L108/100)^2+(G108*O108)^2),0))</f>
        <v>61</v>
      </c>
      <c r="R108" s="54" t="n">
        <v>19.8315111270209</v>
      </c>
      <c r="S108" s="55" t="n">
        <f aca="false">U108*V108*$F$5</f>
        <v>550.335990190067</v>
      </c>
      <c r="T108" s="56" t="n">
        <f aca="false">MAX(0,MIN(1,R108/100+$D$5))</f>
        <v>0.710308525788973</v>
      </c>
      <c r="U108" s="56" t="n">
        <v>0.267933782955242</v>
      </c>
      <c r="V108" s="55" t="n">
        <v>2054</v>
      </c>
      <c r="W108" s="56" t="n">
        <v>0.148097331980838</v>
      </c>
      <c r="X108" s="57" t="s">
        <v>129</v>
      </c>
      <c r="Y108" s="57" t="s">
        <v>130</v>
      </c>
    </row>
    <row r="109" customFormat="false" ht="15" hidden="false" customHeight="false" outlineLevel="0" collapsed="false">
      <c r="A109" s="25" t="s">
        <v>197</v>
      </c>
      <c r="B109" s="25" t="s">
        <v>199</v>
      </c>
      <c r="C109" s="25" t="s">
        <v>247</v>
      </c>
      <c r="D109" s="52" t="n">
        <f aca="false">ROUND(S109*T109,0)</f>
        <v>157</v>
      </c>
      <c r="E109" s="52" t="n">
        <f aca="false">ROUND(S109,0)-D109</f>
        <v>76</v>
      </c>
      <c r="F109" s="52" t="n">
        <f aca="false">IF(COUNTA(D109:E109)=0,"",SUM(D109:E109))</f>
        <v>233</v>
      </c>
      <c r="G109" s="53" t="n">
        <f aca="false">IF(OR(F109="",F109=0),"",D109/F109)</f>
        <v>0.67381974248927</v>
      </c>
      <c r="H109" s="53" t="n">
        <f aca="false">IF(OR(F109="",F109=0),"",E109/F109)</f>
        <v>0.32618025751073</v>
      </c>
      <c r="I109" s="25" t="s">
        <v>128</v>
      </c>
      <c r="J109" s="28" t="n">
        <v>3.1978281706008</v>
      </c>
      <c r="K109" s="28" t="n">
        <f aca="false">$K$8</f>
        <v>0.297938238782275</v>
      </c>
      <c r="L109" s="28" t="n">
        <f aca="false">SQRT(J109^2+K109^2)</f>
        <v>3.21167747490571</v>
      </c>
      <c r="M109" s="53" t="n">
        <f aca="false">IF(G109="","",MAX(0,G109-1.96*L109/100))</f>
        <v>0.610870863981119</v>
      </c>
      <c r="N109" s="53" t="n">
        <f aca="false">IF(G109="","",MIN(1,G109+1.96*L109/100))</f>
        <v>0.736768620997422</v>
      </c>
      <c r="O109" s="52" t="n">
        <f aca="false">ROUND(S109*W109,0)</f>
        <v>34</v>
      </c>
      <c r="P109" s="52" t="n">
        <f aca="false">IF(F109="","",ROUND(SQRT((F109*L109/100)^2+(G109*O109)^2),0))</f>
        <v>24</v>
      </c>
      <c r="R109" s="54" t="n">
        <v>16.1019574693637</v>
      </c>
      <c r="S109" s="55" t="n">
        <f aca="false">U109*V109*$F$5</f>
        <v>232.689791873142</v>
      </c>
      <c r="T109" s="56" t="n">
        <f aca="false">MAX(0,MIN(1,R109/100+$D$5))</f>
        <v>0.673012989212402</v>
      </c>
      <c r="U109" s="56" t="n">
        <v>0.229930624380575</v>
      </c>
      <c r="V109" s="55" t="n">
        <v>1012</v>
      </c>
      <c r="W109" s="56" t="n">
        <v>0.148097331980838</v>
      </c>
      <c r="X109" s="57" t="s">
        <v>129</v>
      </c>
      <c r="Y109" s="57" t="s">
        <v>130</v>
      </c>
    </row>
    <row r="110" customFormat="false" ht="15" hidden="false" customHeight="false" outlineLevel="0" collapsed="false">
      <c r="A110" s="25" t="s">
        <v>197</v>
      </c>
      <c r="B110" s="25" t="s">
        <v>199</v>
      </c>
      <c r="C110" s="25" t="s">
        <v>248</v>
      </c>
      <c r="D110" s="52" t="n">
        <f aca="false">ROUND(S110*T110,0)</f>
        <v>225</v>
      </c>
      <c r="E110" s="52" t="n">
        <f aca="false">ROUND(S110,0)-D110</f>
        <v>82</v>
      </c>
      <c r="F110" s="52" t="n">
        <f aca="false">IF(COUNTA(D110:E110)=0,"",SUM(D110:E110))</f>
        <v>307</v>
      </c>
      <c r="G110" s="53" t="n">
        <f aca="false">IF(OR(F110="",F110=0),"",D110/F110)</f>
        <v>0.732899022801303</v>
      </c>
      <c r="H110" s="53" t="n">
        <f aca="false">IF(OR(F110="",F110=0),"",E110/F110)</f>
        <v>0.267100977198697</v>
      </c>
      <c r="I110" s="25" t="s">
        <v>128</v>
      </c>
      <c r="J110" s="28" t="n">
        <v>3.1978281706008</v>
      </c>
      <c r="K110" s="28" t="n">
        <f aca="false">$K$8</f>
        <v>0.297938238782275</v>
      </c>
      <c r="L110" s="28" t="n">
        <f aca="false">SQRT(J110^2+K110^2)</f>
        <v>3.21167747490571</v>
      </c>
      <c r="M110" s="53" t="n">
        <f aca="false">IF(G110="","",MAX(0,G110-1.96*L110/100))</f>
        <v>0.669950144293151</v>
      </c>
      <c r="N110" s="53" t="n">
        <f aca="false">IF(G110="","",MIN(1,G110+1.96*L110/100))</f>
        <v>0.795847901309455</v>
      </c>
      <c r="O110" s="52" t="n">
        <f aca="false">ROUND(S110*W110,0)</f>
        <v>45</v>
      </c>
      <c r="P110" s="52" t="n">
        <f aca="false">IF(F110="","",ROUND(SQRT((F110*L110/100)^2+(G110*O110)^2),0))</f>
        <v>34</v>
      </c>
      <c r="R110" s="54" t="n">
        <v>22.1743491885165</v>
      </c>
      <c r="S110" s="55" t="n">
        <f aca="false">U110*V110*$F$5</f>
        <v>306.767588932806</v>
      </c>
      <c r="T110" s="56" t="n">
        <f aca="false">MAX(0,MIN(1,R110/100+$D$5))</f>
        <v>0.73373690640393</v>
      </c>
      <c r="U110" s="56" t="n">
        <v>0.222134387351779</v>
      </c>
      <c r="V110" s="55" t="n">
        <v>1381</v>
      </c>
      <c r="W110" s="56" t="n">
        <v>0.148097331980838</v>
      </c>
      <c r="X110" s="57" t="s">
        <v>129</v>
      </c>
      <c r="Y110" s="57" t="s">
        <v>130</v>
      </c>
    </row>
    <row r="111" customFormat="false" ht="15" hidden="false" customHeight="false" outlineLevel="0" collapsed="false">
      <c r="A111" s="25" t="s">
        <v>197</v>
      </c>
      <c r="B111" s="25" t="s">
        <v>199</v>
      </c>
      <c r="C111" s="25" t="s">
        <v>249</v>
      </c>
      <c r="D111" s="52" t="n">
        <f aca="false">ROUND(S111*T111,0)</f>
        <v>79</v>
      </c>
      <c r="E111" s="52" t="n">
        <f aca="false">ROUND(S111,0)-D111</f>
        <v>40</v>
      </c>
      <c r="F111" s="52" t="n">
        <f aca="false">IF(COUNTA(D111:E111)=0,"",SUM(D111:E111))</f>
        <v>119</v>
      </c>
      <c r="G111" s="53" t="n">
        <f aca="false">IF(OR(F111="",F111=0),"",D111/F111)</f>
        <v>0.663865546218487</v>
      </c>
      <c r="H111" s="53" t="n">
        <f aca="false">IF(OR(F111="",F111=0),"",E111/F111)</f>
        <v>0.336134453781513</v>
      </c>
      <c r="I111" s="25" t="s">
        <v>128</v>
      </c>
      <c r="J111" s="28" t="n">
        <v>3.1978281706008</v>
      </c>
      <c r="K111" s="28" t="n">
        <f aca="false">$K$8</f>
        <v>0.297938238782275</v>
      </c>
      <c r="L111" s="28" t="n">
        <f aca="false">SQRT(J111^2+K111^2)</f>
        <v>3.21167747490571</v>
      </c>
      <c r="M111" s="53" t="n">
        <f aca="false">IF(G111="","",MAX(0,G111-1.96*L111/100))</f>
        <v>0.600916667710336</v>
      </c>
      <c r="N111" s="53" t="n">
        <f aca="false">IF(G111="","",MIN(1,G111+1.96*L111/100))</f>
        <v>0.726814424726639</v>
      </c>
      <c r="O111" s="52" t="n">
        <f aca="false">ROUND(S111*W111,0)</f>
        <v>18</v>
      </c>
      <c r="P111" s="52" t="n">
        <f aca="false">IF(F111="","",ROUND(SQRT((F111*L111/100)^2+(G111*O111)^2),0))</f>
        <v>13</v>
      </c>
      <c r="R111" s="54" t="n">
        <v>14.7384072802209</v>
      </c>
      <c r="S111" s="55" t="n">
        <f aca="false">U111*V111*$F$5</f>
        <v>119.188732394366</v>
      </c>
      <c r="T111" s="56" t="n">
        <f aca="false">MAX(0,MIN(1,R111/100+$D$5))</f>
        <v>0.659377487320973</v>
      </c>
      <c r="U111" s="56" t="n">
        <v>0.173239436619718</v>
      </c>
      <c r="V111" s="55" t="n">
        <v>688</v>
      </c>
      <c r="W111" s="56" t="n">
        <v>0.148097331980838</v>
      </c>
      <c r="X111" s="57" t="s">
        <v>129</v>
      </c>
      <c r="Y111" s="57" t="s">
        <v>130</v>
      </c>
    </row>
    <row r="112" customFormat="false" ht="15" hidden="false" customHeight="false" outlineLevel="0" collapsed="false">
      <c r="A112" s="25" t="s">
        <v>197</v>
      </c>
      <c r="B112" s="25" t="s">
        <v>199</v>
      </c>
      <c r="C112" s="25" t="s">
        <v>250</v>
      </c>
      <c r="D112" s="52" t="n">
        <f aca="false">ROUND(S112*T112,0)</f>
        <v>189</v>
      </c>
      <c r="E112" s="52" t="n">
        <f aca="false">ROUND(S112,0)-D112</f>
        <v>102</v>
      </c>
      <c r="F112" s="52" t="n">
        <f aca="false">IF(COUNTA(D112:E112)=0,"",SUM(D112:E112))</f>
        <v>291</v>
      </c>
      <c r="G112" s="53" t="n">
        <f aca="false">IF(OR(F112="",F112=0),"",D112/F112)</f>
        <v>0.649484536082474</v>
      </c>
      <c r="H112" s="53" t="n">
        <f aca="false">IF(OR(F112="",F112=0),"",E112/F112)</f>
        <v>0.350515463917526</v>
      </c>
      <c r="I112" s="25" t="s">
        <v>128</v>
      </c>
      <c r="J112" s="28" t="n">
        <v>3.1978281706008</v>
      </c>
      <c r="K112" s="28" t="n">
        <f aca="false">$K$8</f>
        <v>0.297938238782275</v>
      </c>
      <c r="L112" s="28" t="n">
        <f aca="false">SQRT(J112^2+K112^2)</f>
        <v>3.21167747490571</v>
      </c>
      <c r="M112" s="53" t="n">
        <f aca="false">IF(G112="","",MAX(0,G112-1.96*L112/100))</f>
        <v>0.586535657574322</v>
      </c>
      <c r="N112" s="53" t="n">
        <f aca="false">IF(G112="","",MIN(1,G112+1.96*L112/100))</f>
        <v>0.712433414590626</v>
      </c>
      <c r="O112" s="52" t="n">
        <f aca="false">ROUND(S112*W112,0)</f>
        <v>43</v>
      </c>
      <c r="P112" s="52" t="n">
        <f aca="false">IF(F112="","",ROUND(SQRT((F112*L112/100)^2+(G112*O112)^2),0))</f>
        <v>29</v>
      </c>
      <c r="R112" s="54" t="n">
        <v>13.6084402246632</v>
      </c>
      <c r="S112" s="55" t="n">
        <f aca="false">U112*V112*$F$5</f>
        <v>291.248923341947</v>
      </c>
      <c r="T112" s="56" t="n">
        <f aca="false">MAX(0,MIN(1,R112/100+$D$5))</f>
        <v>0.648077816765397</v>
      </c>
      <c r="U112" s="56" t="n">
        <v>0.24978466838932</v>
      </c>
      <c r="V112" s="55" t="n">
        <v>1166</v>
      </c>
      <c r="W112" s="56" t="n">
        <v>0.148097331980838</v>
      </c>
      <c r="X112" s="57" t="s">
        <v>129</v>
      </c>
      <c r="Y112" s="57" t="s">
        <v>130</v>
      </c>
    </row>
    <row r="113" customFormat="false" ht="15" hidden="false" customHeight="false" outlineLevel="0" collapsed="false">
      <c r="A113" s="25" t="s">
        <v>197</v>
      </c>
      <c r="B113" s="25" t="s">
        <v>199</v>
      </c>
      <c r="C113" s="25" t="s">
        <v>251</v>
      </c>
      <c r="D113" s="52" t="n">
        <f aca="false">ROUND(S113*T113,0)</f>
        <v>267</v>
      </c>
      <c r="E113" s="52" t="n">
        <f aca="false">ROUND(S113,0)-D113</f>
        <v>108</v>
      </c>
      <c r="F113" s="52" t="n">
        <f aca="false">IF(COUNTA(D113:E113)=0,"",SUM(D113:E113))</f>
        <v>375</v>
      </c>
      <c r="G113" s="53" t="n">
        <f aca="false">IF(OR(F113="",F113=0),"",D113/F113)</f>
        <v>0.712</v>
      </c>
      <c r="H113" s="53" t="n">
        <f aca="false">IF(OR(F113="",F113=0),"",E113/F113)</f>
        <v>0.288</v>
      </c>
      <c r="I113" s="25" t="s">
        <v>128</v>
      </c>
      <c r="J113" s="28" t="n">
        <v>3.1978281706008</v>
      </c>
      <c r="K113" s="28" t="n">
        <f aca="false">$K$8</f>
        <v>0.297938238782275</v>
      </c>
      <c r="L113" s="28" t="n">
        <f aca="false">SQRT(J113^2+K113^2)</f>
        <v>3.21167747490571</v>
      </c>
      <c r="M113" s="53" t="n">
        <f aca="false">IF(G113="","",MAX(0,G113-1.96*L113/100))</f>
        <v>0.649051121491848</v>
      </c>
      <c r="N113" s="53" t="n">
        <f aca="false">IF(G113="","",MIN(1,G113+1.96*L113/100))</f>
        <v>0.774948878508152</v>
      </c>
      <c r="O113" s="52" t="n">
        <f aca="false">ROUND(S113*W113,0)</f>
        <v>56</v>
      </c>
      <c r="P113" s="52" t="n">
        <f aca="false">IF(F113="","",ROUND(SQRT((F113*L113/100)^2+(G113*O113)^2),0))</f>
        <v>42</v>
      </c>
      <c r="R113" s="54" t="n">
        <v>19.8384136291447</v>
      </c>
      <c r="S113" s="55" t="n">
        <f aca="false">U113*V113*$F$5</f>
        <v>375.212598425197</v>
      </c>
      <c r="T113" s="56" t="n">
        <f aca="false">MAX(0,MIN(1,R113/100+$D$5))</f>
        <v>0.710377550810211</v>
      </c>
      <c r="U113" s="56" t="n">
        <v>0.224409448818898</v>
      </c>
      <c r="V113" s="55" t="n">
        <v>1672</v>
      </c>
      <c r="W113" s="56" t="n">
        <v>0.148097331980838</v>
      </c>
      <c r="X113" s="57" t="s">
        <v>129</v>
      </c>
      <c r="Y113" s="57" t="s">
        <v>130</v>
      </c>
    </row>
    <row r="114" customFormat="false" ht="15" hidden="false" customHeight="false" outlineLevel="0" collapsed="false">
      <c r="A114" s="25" t="s">
        <v>197</v>
      </c>
      <c r="B114" s="25" t="s">
        <v>199</v>
      </c>
      <c r="C114" s="25" t="s">
        <v>252</v>
      </c>
      <c r="D114" s="52" t="n">
        <f aca="false">ROUND(S114*T114,0)</f>
        <v>104</v>
      </c>
      <c r="E114" s="52" t="n">
        <f aca="false">ROUND(S114,0)-D114</f>
        <v>40</v>
      </c>
      <c r="F114" s="52" t="n">
        <f aca="false">IF(COUNTA(D114:E114)=0,"",SUM(D114:E114))</f>
        <v>144</v>
      </c>
      <c r="G114" s="53" t="n">
        <f aca="false">IF(OR(F114="",F114=0),"",D114/F114)</f>
        <v>0.722222222222222</v>
      </c>
      <c r="H114" s="53" t="n">
        <f aca="false">IF(OR(F114="",F114=0),"",E114/F114)</f>
        <v>0.277777777777778</v>
      </c>
      <c r="I114" s="25" t="s">
        <v>128</v>
      </c>
      <c r="J114" s="28" t="n">
        <v>3.1978281706008</v>
      </c>
      <c r="K114" s="28" t="n">
        <f aca="false">$K$8</f>
        <v>0.297938238782275</v>
      </c>
      <c r="L114" s="28" t="n">
        <f aca="false">SQRT(J114^2+K114^2)</f>
        <v>3.21167747490571</v>
      </c>
      <c r="M114" s="53" t="n">
        <f aca="false">IF(G114="","",MAX(0,G114-1.96*L114/100))</f>
        <v>0.65927334371407</v>
      </c>
      <c r="N114" s="53" t="n">
        <f aca="false">IF(G114="","",MIN(1,G114+1.96*L114/100))</f>
        <v>0.785171100730374</v>
      </c>
      <c r="O114" s="52" t="n">
        <f aca="false">ROUND(S114*W114,0)</f>
        <v>21</v>
      </c>
      <c r="P114" s="52" t="n">
        <f aca="false">IF(F114="","",ROUND(SQRT((F114*L114/100)^2+(G114*O114)^2),0))</f>
        <v>16</v>
      </c>
      <c r="R114" s="54" t="n">
        <v>21.3252844609296</v>
      </c>
      <c r="S114" s="55" t="n">
        <f aca="false">U114*V114*$F$5</f>
        <v>143.58320610687</v>
      </c>
      <c r="T114" s="56" t="n">
        <f aca="false">MAX(0,MIN(1,R114/100+$D$5))</f>
        <v>0.725246259128061</v>
      </c>
      <c r="U114" s="56" t="n">
        <v>0.215267175572519</v>
      </c>
      <c r="V114" s="55" t="n">
        <v>667</v>
      </c>
      <c r="W114" s="56" t="n">
        <v>0.148097331980838</v>
      </c>
      <c r="X114" s="57" t="s">
        <v>129</v>
      </c>
      <c r="Y114" s="57" t="s">
        <v>130</v>
      </c>
    </row>
    <row r="115" customFormat="false" ht="15" hidden="false" customHeight="false" outlineLevel="0" collapsed="false">
      <c r="A115" s="25" t="s">
        <v>197</v>
      </c>
      <c r="B115" s="25" t="s">
        <v>199</v>
      </c>
      <c r="C115" s="25" t="s">
        <v>253</v>
      </c>
      <c r="D115" s="52" t="n">
        <f aca="false">ROUND(S115*T115,0)</f>
        <v>128</v>
      </c>
      <c r="E115" s="52" t="n">
        <f aca="false">ROUND(S115,0)-D115</f>
        <v>47</v>
      </c>
      <c r="F115" s="52" t="n">
        <f aca="false">IF(COUNTA(D115:E115)=0,"",SUM(D115:E115))</f>
        <v>175</v>
      </c>
      <c r="G115" s="53" t="n">
        <f aca="false">IF(OR(F115="",F115=0),"",D115/F115)</f>
        <v>0.731428571428571</v>
      </c>
      <c r="H115" s="53" t="n">
        <f aca="false">IF(OR(F115="",F115=0),"",E115/F115)</f>
        <v>0.268571428571429</v>
      </c>
      <c r="I115" s="25" t="s">
        <v>128</v>
      </c>
      <c r="J115" s="28" t="n">
        <v>3.1978281706008</v>
      </c>
      <c r="K115" s="28" t="n">
        <f aca="false">$K$8</f>
        <v>0.297938238782275</v>
      </c>
      <c r="L115" s="28" t="n">
        <f aca="false">SQRT(J115^2+K115^2)</f>
        <v>3.21167747490571</v>
      </c>
      <c r="M115" s="53" t="n">
        <f aca="false">IF(G115="","",MAX(0,G115-1.96*L115/100))</f>
        <v>0.66847969292042</v>
      </c>
      <c r="N115" s="53" t="n">
        <f aca="false">IF(G115="","",MIN(1,G115+1.96*L115/100))</f>
        <v>0.794377449936723</v>
      </c>
      <c r="O115" s="52" t="n">
        <f aca="false">ROUND(S115*W115,0)</f>
        <v>26</v>
      </c>
      <c r="P115" s="52" t="n">
        <f aca="false">IF(F115="","",ROUND(SQRT((F115*L115/100)^2+(G115*O115)^2),0))</f>
        <v>20</v>
      </c>
      <c r="R115" s="54" t="n">
        <v>21.8614602154073</v>
      </c>
      <c r="S115" s="55" t="n">
        <f aca="false">U115*V115*$F$5</f>
        <v>174.69400244798</v>
      </c>
      <c r="T115" s="56" t="n">
        <f aca="false">MAX(0,MIN(1,R115/100+$D$5))</f>
        <v>0.730608016672838</v>
      </c>
      <c r="U115" s="56" t="n">
        <v>0.211750305997552</v>
      </c>
      <c r="V115" s="55" t="n">
        <v>825</v>
      </c>
      <c r="W115" s="56" t="n">
        <v>0.148097331980838</v>
      </c>
      <c r="X115" s="57" t="s">
        <v>129</v>
      </c>
      <c r="Y115" s="57" t="s">
        <v>130</v>
      </c>
    </row>
    <row r="116" customFormat="false" ht="15" hidden="false" customHeight="false" outlineLevel="0" collapsed="false">
      <c r="A116" s="25" t="s">
        <v>197</v>
      </c>
      <c r="B116" s="25" t="s">
        <v>199</v>
      </c>
      <c r="C116" s="25" t="s">
        <v>254</v>
      </c>
      <c r="D116" s="52" t="n">
        <f aca="false">ROUND(S116*T116,0)</f>
        <v>191</v>
      </c>
      <c r="E116" s="52" t="n">
        <f aca="false">ROUND(S116,0)-D116</f>
        <v>72</v>
      </c>
      <c r="F116" s="52" t="n">
        <f aca="false">IF(COUNTA(D116:E116)=0,"",SUM(D116:E116))</f>
        <v>263</v>
      </c>
      <c r="G116" s="53" t="n">
        <f aca="false">IF(OR(F116="",F116=0),"",D116/F116)</f>
        <v>0.726235741444867</v>
      </c>
      <c r="H116" s="53" t="n">
        <f aca="false">IF(OR(F116="",F116=0),"",E116/F116)</f>
        <v>0.273764258555133</v>
      </c>
      <c r="I116" s="25" t="s">
        <v>128</v>
      </c>
      <c r="J116" s="28" t="n">
        <v>3.1978281706008</v>
      </c>
      <c r="K116" s="28" t="n">
        <f aca="false">$K$8</f>
        <v>0.297938238782275</v>
      </c>
      <c r="L116" s="28" t="n">
        <f aca="false">SQRT(J116^2+K116^2)</f>
        <v>3.21167747490571</v>
      </c>
      <c r="M116" s="53" t="n">
        <f aca="false">IF(G116="","",MAX(0,G116-1.96*L116/100))</f>
        <v>0.663286862936715</v>
      </c>
      <c r="N116" s="53" t="n">
        <f aca="false">IF(G116="","",MIN(1,G116+1.96*L116/100))</f>
        <v>0.789184619953019</v>
      </c>
      <c r="O116" s="52" t="n">
        <f aca="false">ROUND(S116*W116,0)</f>
        <v>39</v>
      </c>
      <c r="P116" s="52" t="n">
        <f aca="false">IF(F116="","",ROUND(SQRT((F116*L116/100)^2+(G116*O116)^2),0))</f>
        <v>30</v>
      </c>
      <c r="R116" s="54" t="n">
        <v>21.3982162445039</v>
      </c>
      <c r="S116" s="55" t="n">
        <f aca="false">U116*V116*$F$5</f>
        <v>263.436544342508</v>
      </c>
      <c r="T116" s="56" t="n">
        <f aca="false">MAX(0,MIN(1,R116/100+$D$5))</f>
        <v>0.725975576963804</v>
      </c>
      <c r="U116" s="56" t="n">
        <v>0.210244648318043</v>
      </c>
      <c r="V116" s="55" t="n">
        <v>1253</v>
      </c>
      <c r="W116" s="56" t="n">
        <v>0.148097331980838</v>
      </c>
      <c r="X116" s="57" t="s">
        <v>129</v>
      </c>
      <c r="Y116" s="57" t="s">
        <v>130</v>
      </c>
    </row>
    <row r="117" customFormat="false" ht="15" hidden="false" customHeight="false" outlineLevel="0" collapsed="false">
      <c r="A117" s="25" t="s">
        <v>197</v>
      </c>
      <c r="B117" s="25" t="s">
        <v>199</v>
      </c>
      <c r="C117" s="25" t="s">
        <v>255</v>
      </c>
      <c r="D117" s="52" t="n">
        <f aca="false">ROUND(S117*T117,0)</f>
        <v>325</v>
      </c>
      <c r="E117" s="52" t="n">
        <f aca="false">ROUND(S117,0)-D117</f>
        <v>168</v>
      </c>
      <c r="F117" s="52" t="n">
        <f aca="false">IF(COUNTA(D117:E117)=0,"",SUM(D117:E117))</f>
        <v>493</v>
      </c>
      <c r="G117" s="53" t="n">
        <f aca="false">IF(OR(F117="",F117=0),"",D117/F117)</f>
        <v>0.659229208924949</v>
      </c>
      <c r="H117" s="53" t="n">
        <f aca="false">IF(OR(F117="",F117=0),"",E117/F117)</f>
        <v>0.340770791075051</v>
      </c>
      <c r="I117" s="25" t="s">
        <v>128</v>
      </c>
      <c r="J117" s="28" t="n">
        <v>3.1978281706008</v>
      </c>
      <c r="K117" s="28" t="n">
        <f aca="false">$K$8</f>
        <v>0.297938238782275</v>
      </c>
      <c r="L117" s="28" t="n">
        <f aca="false">SQRT(J117^2+K117^2)</f>
        <v>3.21167747490571</v>
      </c>
      <c r="M117" s="53" t="n">
        <f aca="false">IF(G117="","",MAX(0,G117-1.96*L117/100))</f>
        <v>0.596280330416797</v>
      </c>
      <c r="N117" s="53" t="n">
        <f aca="false">IF(G117="","",MIN(1,G117+1.96*L117/100))</f>
        <v>0.722178087433101</v>
      </c>
      <c r="O117" s="52" t="n">
        <f aca="false">ROUND(S117*W117,0)</f>
        <v>73</v>
      </c>
      <c r="P117" s="52" t="n">
        <f aca="false">IF(F117="","",ROUND(SQRT((F117*L117/100)^2+(G117*O117)^2),0))</f>
        <v>51</v>
      </c>
      <c r="R117" s="54" t="n">
        <v>14.7185916568119</v>
      </c>
      <c r="S117" s="55" t="n">
        <f aca="false">U117*V117*$F$5</f>
        <v>493.360186418109</v>
      </c>
      <c r="T117" s="56" t="n">
        <f aca="false">MAX(0,MIN(1,R117/100+$D$5))</f>
        <v>0.659179331086884</v>
      </c>
      <c r="U117" s="56" t="n">
        <v>0.330892143808256</v>
      </c>
      <c r="V117" s="55" t="n">
        <v>1491</v>
      </c>
      <c r="W117" s="56" t="n">
        <v>0.148097331980838</v>
      </c>
      <c r="X117" s="57" t="s">
        <v>129</v>
      </c>
      <c r="Y117" s="57" t="s">
        <v>130</v>
      </c>
    </row>
    <row r="118" customFormat="false" ht="15" hidden="false" customHeight="false" outlineLevel="0" collapsed="false">
      <c r="A118" s="25" t="s">
        <v>197</v>
      </c>
      <c r="B118" s="25" t="s">
        <v>199</v>
      </c>
      <c r="C118" s="25" t="s">
        <v>256</v>
      </c>
      <c r="D118" s="52" t="n">
        <f aca="false">ROUND(S118*T118,0)</f>
        <v>150</v>
      </c>
      <c r="E118" s="52" t="n">
        <f aca="false">ROUND(S118,0)-D118</f>
        <v>74</v>
      </c>
      <c r="F118" s="52" t="n">
        <f aca="false">IF(COUNTA(D118:E118)=0,"",SUM(D118:E118))</f>
        <v>224</v>
      </c>
      <c r="G118" s="53" t="n">
        <f aca="false">IF(OR(F118="",F118=0),"",D118/F118)</f>
        <v>0.669642857142857</v>
      </c>
      <c r="H118" s="53" t="n">
        <f aca="false">IF(OR(F118="",F118=0),"",E118/F118)</f>
        <v>0.330357142857143</v>
      </c>
      <c r="I118" s="25" t="s">
        <v>128</v>
      </c>
      <c r="J118" s="28" t="n">
        <v>3.1978281706008</v>
      </c>
      <c r="K118" s="28" t="n">
        <f aca="false">$K$8</f>
        <v>0.297938238782275</v>
      </c>
      <c r="L118" s="28" t="n">
        <f aca="false">SQRT(J118^2+K118^2)</f>
        <v>3.21167747490571</v>
      </c>
      <c r="M118" s="53" t="n">
        <f aca="false">IF(G118="","",MAX(0,G118-1.96*L118/100))</f>
        <v>0.606693978634705</v>
      </c>
      <c r="N118" s="53" t="n">
        <f aca="false">IF(G118="","",MIN(1,G118+1.96*L118/100))</f>
        <v>0.732591735651009</v>
      </c>
      <c r="O118" s="52" t="n">
        <f aca="false">ROUND(S118*W118,0)</f>
        <v>33</v>
      </c>
      <c r="P118" s="52" t="n">
        <f aca="false">IF(F118="","",ROUND(SQRT((F118*L118/100)^2+(G118*O118)^2),0))</f>
        <v>23</v>
      </c>
      <c r="R118" s="54" t="n">
        <v>15.9883705583779</v>
      </c>
      <c r="S118" s="55" t="n">
        <f aca="false">U118*V118*$F$5</f>
        <v>223.817896389325</v>
      </c>
      <c r="T118" s="56" t="n">
        <f aca="false">MAX(0,MIN(1,R118/100+$D$5))</f>
        <v>0.671877120102544</v>
      </c>
      <c r="U118" s="56" t="n">
        <v>0.342229199372057</v>
      </c>
      <c r="V118" s="55" t="n">
        <v>654</v>
      </c>
      <c r="W118" s="56" t="n">
        <v>0.148097331980838</v>
      </c>
      <c r="X118" s="57" t="s">
        <v>129</v>
      </c>
      <c r="Y118" s="57" t="s">
        <v>130</v>
      </c>
    </row>
    <row r="119" customFormat="false" ht="15" hidden="false" customHeight="false" outlineLevel="0" collapsed="false">
      <c r="A119" s="25" t="s">
        <v>197</v>
      </c>
      <c r="B119" s="25" t="s">
        <v>199</v>
      </c>
      <c r="C119" s="25" t="s">
        <v>257</v>
      </c>
      <c r="D119" s="52" t="n">
        <f aca="false">ROUND(S119*T119,0)</f>
        <v>167</v>
      </c>
      <c r="E119" s="52" t="n">
        <f aca="false">ROUND(S119,0)-D119</f>
        <v>75</v>
      </c>
      <c r="F119" s="52" t="n">
        <f aca="false">IF(COUNTA(D119:E119)=0,"",SUM(D119:E119))</f>
        <v>242</v>
      </c>
      <c r="G119" s="53" t="n">
        <f aca="false">IF(OR(F119="",F119=0),"",D119/F119)</f>
        <v>0.690082644628099</v>
      </c>
      <c r="H119" s="53" t="n">
        <f aca="false">IF(OR(F119="",F119=0),"",E119/F119)</f>
        <v>0.309917355371901</v>
      </c>
      <c r="I119" s="25" t="s">
        <v>128</v>
      </c>
      <c r="J119" s="28" t="n">
        <v>3.1978281706008</v>
      </c>
      <c r="K119" s="28" t="n">
        <f aca="false">$K$8</f>
        <v>0.297938238782275</v>
      </c>
      <c r="L119" s="28" t="n">
        <f aca="false">SQRT(J119^2+K119^2)</f>
        <v>3.21167747490571</v>
      </c>
      <c r="M119" s="53" t="n">
        <f aca="false">IF(G119="","",MAX(0,G119-1.96*L119/100))</f>
        <v>0.627133766119947</v>
      </c>
      <c r="N119" s="53" t="n">
        <f aca="false">IF(G119="","",MIN(1,G119+1.96*L119/100))</f>
        <v>0.753031523136251</v>
      </c>
      <c r="O119" s="52" t="n">
        <f aca="false">ROUND(S119*W119,0)</f>
        <v>36</v>
      </c>
      <c r="P119" s="52" t="n">
        <f aca="false">IF(F119="","",ROUND(SQRT((F119*L119/100)^2+(G119*O119)^2),0))</f>
        <v>26</v>
      </c>
      <c r="R119" s="54" t="n">
        <v>17.8380148977938</v>
      </c>
      <c r="S119" s="55" t="n">
        <f aca="false">U119*V119*$F$5</f>
        <v>242.481171548117</v>
      </c>
      <c r="T119" s="56" t="n">
        <f aca="false">MAX(0,MIN(1,R119/100+$D$5))</f>
        <v>0.690373563496703</v>
      </c>
      <c r="U119" s="56" t="n">
        <v>0.248953974895398</v>
      </c>
      <c r="V119" s="55" t="n">
        <v>974</v>
      </c>
      <c r="W119" s="56" t="n">
        <v>0.148097331980838</v>
      </c>
      <c r="X119" s="57" t="s">
        <v>129</v>
      </c>
      <c r="Y119" s="57" t="s">
        <v>130</v>
      </c>
    </row>
    <row r="120" customFormat="false" ht="15" hidden="false" customHeight="false" outlineLevel="0" collapsed="false">
      <c r="A120" s="25" t="s">
        <v>197</v>
      </c>
      <c r="B120" s="25" t="s">
        <v>199</v>
      </c>
      <c r="C120" s="25" t="s">
        <v>258</v>
      </c>
      <c r="D120" s="52" t="n">
        <f aca="false">ROUND(S120*T120,0)</f>
        <v>282</v>
      </c>
      <c r="E120" s="52" t="n">
        <f aca="false">ROUND(S120,0)-D120</f>
        <v>167</v>
      </c>
      <c r="F120" s="52" t="n">
        <f aca="false">IF(COUNTA(D120:E120)=0,"",SUM(D120:E120))</f>
        <v>449</v>
      </c>
      <c r="G120" s="53" t="n">
        <f aca="false">IF(OR(F120="",F120=0),"",D120/F120)</f>
        <v>0.628062360801782</v>
      </c>
      <c r="H120" s="53" t="n">
        <f aca="false">IF(OR(F120="",F120=0),"",E120/F120)</f>
        <v>0.371937639198218</v>
      </c>
      <c r="I120" s="25" t="s">
        <v>128</v>
      </c>
      <c r="J120" s="28" t="n">
        <v>3.1978281706008</v>
      </c>
      <c r="K120" s="28" t="n">
        <f aca="false">$K$8</f>
        <v>0.297938238782275</v>
      </c>
      <c r="L120" s="28" t="n">
        <f aca="false">SQRT(J120^2+K120^2)</f>
        <v>3.21167747490571</v>
      </c>
      <c r="M120" s="53" t="n">
        <f aca="false">IF(G120="","",MAX(0,G120-1.96*L120/100))</f>
        <v>0.56511348229363</v>
      </c>
      <c r="N120" s="53" t="n">
        <f aca="false">IF(G120="","",MIN(1,G120+1.96*L120/100))</f>
        <v>0.691011239309934</v>
      </c>
      <c r="O120" s="52" t="n">
        <f aca="false">ROUND(S120*W120,0)</f>
        <v>66</v>
      </c>
      <c r="P120" s="52" t="n">
        <f aca="false">IF(F120="","",ROUND(SQRT((F120*L120/100)^2+(G120*O120)^2),0))</f>
        <v>44</v>
      </c>
      <c r="R120" s="54" t="n">
        <v>11.5848591132793</v>
      </c>
      <c r="S120" s="55" t="n">
        <f aca="false">U120*V120*$F$5</f>
        <v>448.675647668394</v>
      </c>
      <c r="T120" s="56" t="n">
        <f aca="false">MAX(0,MIN(1,R120/100+$D$5))</f>
        <v>0.627842005651558</v>
      </c>
      <c r="U120" s="56" t="n">
        <v>0.437305699481865</v>
      </c>
      <c r="V120" s="55" t="n">
        <v>1026</v>
      </c>
      <c r="W120" s="56" t="n">
        <v>0.148097331980838</v>
      </c>
      <c r="X120" s="57" t="s">
        <v>129</v>
      </c>
      <c r="Y120" s="57" t="s">
        <v>130</v>
      </c>
    </row>
    <row r="121" customFormat="false" ht="15" hidden="false" customHeight="false" outlineLevel="0" collapsed="false">
      <c r="A121" s="25" t="s">
        <v>197</v>
      </c>
      <c r="B121" s="25" t="s">
        <v>199</v>
      </c>
      <c r="C121" s="25" t="s">
        <v>259</v>
      </c>
      <c r="D121" s="52" t="n">
        <f aca="false">ROUND(S121*T121,0)</f>
        <v>214</v>
      </c>
      <c r="E121" s="52" t="n">
        <f aca="false">ROUND(S121,0)-D121</f>
        <v>96</v>
      </c>
      <c r="F121" s="52" t="n">
        <f aca="false">IF(COUNTA(D121:E121)=0,"",SUM(D121:E121))</f>
        <v>310</v>
      </c>
      <c r="G121" s="53" t="n">
        <f aca="false">IF(OR(F121="",F121=0),"",D121/F121)</f>
        <v>0.690322580645161</v>
      </c>
      <c r="H121" s="53" t="n">
        <f aca="false">IF(OR(F121="",F121=0),"",E121/F121)</f>
        <v>0.309677419354839</v>
      </c>
      <c r="I121" s="25" t="s">
        <v>128</v>
      </c>
      <c r="J121" s="28" t="n">
        <v>3.1978281706008</v>
      </c>
      <c r="K121" s="28" t="n">
        <f aca="false">$K$8</f>
        <v>0.297938238782275</v>
      </c>
      <c r="L121" s="28" t="n">
        <f aca="false">SQRT(J121^2+K121^2)</f>
        <v>3.21167747490571</v>
      </c>
      <c r="M121" s="53" t="n">
        <f aca="false">IF(G121="","",MAX(0,G121-1.96*L121/100))</f>
        <v>0.627373702137009</v>
      </c>
      <c r="N121" s="53" t="n">
        <f aca="false">IF(G121="","",MIN(1,G121+1.96*L121/100))</f>
        <v>0.753271459153313</v>
      </c>
      <c r="O121" s="52" t="n">
        <f aca="false">ROUND(S121*W121,0)</f>
        <v>46</v>
      </c>
      <c r="P121" s="52" t="n">
        <f aca="false">IF(F121="","",ROUND(SQRT((F121*L121/100)^2+(G121*O121)^2),0))</f>
        <v>33</v>
      </c>
      <c r="R121" s="54" t="n">
        <v>17.8898577741811</v>
      </c>
      <c r="S121" s="55" t="n">
        <f aca="false">U121*V121*$F$5</f>
        <v>310.16656308266</v>
      </c>
      <c r="T121" s="56" t="n">
        <f aca="false">MAX(0,MIN(1,R121/100+$D$5))</f>
        <v>0.690891992260576</v>
      </c>
      <c r="U121" s="56" t="n">
        <v>0.187072715972654</v>
      </c>
      <c r="V121" s="55" t="n">
        <v>1658</v>
      </c>
      <c r="W121" s="56" t="n">
        <v>0.148097331980838</v>
      </c>
      <c r="X121" s="57" t="s">
        <v>129</v>
      </c>
      <c r="Y121" s="57" t="s">
        <v>130</v>
      </c>
    </row>
    <row r="122" customFormat="false" ht="15" hidden="false" customHeight="false" outlineLevel="0" collapsed="false">
      <c r="A122" s="25" t="s">
        <v>197</v>
      </c>
      <c r="B122" s="25" t="s">
        <v>260</v>
      </c>
      <c r="C122" s="25" t="s">
        <v>261</v>
      </c>
      <c r="D122" s="52" t="n">
        <f aca="false">ROUND(S122*T122,0)</f>
        <v>460</v>
      </c>
      <c r="E122" s="52" t="n">
        <f aca="false">ROUND(S122,0)-D122</f>
        <v>197</v>
      </c>
      <c r="F122" s="52" t="n">
        <f aca="false">IF(COUNTA(D122:E122)=0,"",SUM(D122:E122))</f>
        <v>657</v>
      </c>
      <c r="G122" s="53" t="n">
        <f aca="false">IF(OR(F122="",F122=0),"",D122/F122)</f>
        <v>0.700152207001522</v>
      </c>
      <c r="H122" s="53" t="n">
        <f aca="false">IF(OR(F122="",F122=0),"",E122/F122)</f>
        <v>0.299847792998478</v>
      </c>
      <c r="I122" s="25" t="s">
        <v>128</v>
      </c>
      <c r="J122" s="28" t="n">
        <v>2.22489971008846</v>
      </c>
      <c r="K122" s="28" t="n">
        <f aca="false">$K$8</f>
        <v>0.297938238782275</v>
      </c>
      <c r="L122" s="28" t="n">
        <f aca="false">SQRT(J122^2+K122^2)</f>
        <v>2.24475965619494</v>
      </c>
      <c r="M122" s="53" t="n">
        <f aca="false">IF(G122="","",MAX(0,G122-1.96*L122/100))</f>
        <v>0.656154917740101</v>
      </c>
      <c r="N122" s="53" t="n">
        <f aca="false">IF(G122="","",MIN(1,G122+1.96*L122/100))</f>
        <v>0.744149496262943</v>
      </c>
      <c r="O122" s="52" t="n">
        <f aca="false">ROUND(S122*W122,0)</f>
        <v>58</v>
      </c>
      <c r="P122" s="52" t="n">
        <f aca="false">IF(F122="","",ROUND(SQRT((F122*L122/100)^2+(G122*O122)^2),0))</f>
        <v>43</v>
      </c>
      <c r="R122" s="54" t="n">
        <v>18.7626834665742</v>
      </c>
      <c r="S122" s="55" t="n">
        <f aca="false">U122*V122*$F$5</f>
        <v>657.496995708155</v>
      </c>
      <c r="T122" s="56" t="n">
        <f aca="false">MAX(0,MIN(1,R122/100+$D$5))</f>
        <v>0.699620249184507</v>
      </c>
      <c r="U122" s="56" t="n">
        <v>0.542489270386266</v>
      </c>
      <c r="V122" s="55" t="n">
        <v>1212</v>
      </c>
      <c r="W122" s="56" t="n">
        <v>0.0887445098984521</v>
      </c>
      <c r="X122" s="57" t="s">
        <v>135</v>
      </c>
      <c r="Y122" s="57" t="s">
        <v>130</v>
      </c>
    </row>
    <row r="123" customFormat="false" ht="15" hidden="false" customHeight="false" outlineLevel="0" collapsed="false">
      <c r="A123" s="25" t="s">
        <v>197</v>
      </c>
      <c r="B123" s="25" t="s">
        <v>260</v>
      </c>
      <c r="C123" s="25" t="s">
        <v>262</v>
      </c>
      <c r="D123" s="52" t="n">
        <f aca="false">ROUND(S123*T123,0)</f>
        <v>306</v>
      </c>
      <c r="E123" s="52" t="n">
        <f aca="false">ROUND(S123,0)-D123</f>
        <v>160</v>
      </c>
      <c r="F123" s="52" t="n">
        <f aca="false">IF(COUNTA(D123:E123)=0,"",SUM(D123:E123))</f>
        <v>466</v>
      </c>
      <c r="G123" s="53" t="n">
        <f aca="false">IF(OR(F123="",F123=0),"",D123/F123)</f>
        <v>0.656652360515021</v>
      </c>
      <c r="H123" s="53" t="n">
        <f aca="false">IF(OR(F123="",F123=0),"",E123/F123)</f>
        <v>0.343347639484979</v>
      </c>
      <c r="I123" s="25" t="s">
        <v>128</v>
      </c>
      <c r="J123" s="28" t="n">
        <v>3.1978281706008</v>
      </c>
      <c r="K123" s="28" t="n">
        <f aca="false">$K$8</f>
        <v>0.297938238782275</v>
      </c>
      <c r="L123" s="28" t="n">
        <f aca="false">SQRT(J123^2+K123^2)</f>
        <v>3.21167747490571</v>
      </c>
      <c r="M123" s="53" t="n">
        <f aca="false">IF(G123="","",MAX(0,G123-1.96*L123/100))</f>
        <v>0.59370348200687</v>
      </c>
      <c r="N123" s="53" t="n">
        <f aca="false">IF(G123="","",MIN(1,G123+1.96*L123/100))</f>
        <v>0.719601239023173</v>
      </c>
      <c r="O123" s="52" t="n">
        <f aca="false">ROUND(S123*W123,0)</f>
        <v>69</v>
      </c>
      <c r="P123" s="52" t="n">
        <f aca="false">IF(F123="","",ROUND(SQRT((F123*L123/100)^2+(G123*O123)^2),0))</f>
        <v>48</v>
      </c>
      <c r="R123" s="54" t="n">
        <v>14.4874869522238</v>
      </c>
      <c r="S123" s="55" t="n">
        <f aca="false">U123*V123*$F$5</f>
        <v>465.633707865169</v>
      </c>
      <c r="T123" s="56" t="n">
        <f aca="false">MAX(0,MIN(1,R123/100+$D$5))</f>
        <v>0.656868284041002</v>
      </c>
      <c r="U123" s="56" t="n">
        <v>0.519101123595506</v>
      </c>
      <c r="V123" s="55" t="n">
        <v>897</v>
      </c>
      <c r="W123" s="56" t="n">
        <v>0.148097331980838</v>
      </c>
      <c r="X123" s="57" t="s">
        <v>129</v>
      </c>
      <c r="Y123" s="57" t="s">
        <v>130</v>
      </c>
    </row>
    <row r="124" customFormat="false" ht="15" hidden="false" customHeight="false" outlineLevel="0" collapsed="false">
      <c r="A124" s="25" t="s">
        <v>197</v>
      </c>
      <c r="B124" s="25" t="s">
        <v>260</v>
      </c>
      <c r="C124" s="25" t="s">
        <v>263</v>
      </c>
      <c r="D124" s="52" t="n">
        <f aca="false">ROUND(S124*T124,0)</f>
        <v>343</v>
      </c>
      <c r="E124" s="52" t="n">
        <f aca="false">ROUND(S124,0)-D124</f>
        <v>144</v>
      </c>
      <c r="F124" s="52" t="n">
        <f aca="false">IF(COUNTA(D124:E124)=0,"",SUM(D124:E124))</f>
        <v>487</v>
      </c>
      <c r="G124" s="53" t="n">
        <f aca="false">IF(OR(F124="",F124=0),"",D124/F124)</f>
        <v>0.704312114989733</v>
      </c>
      <c r="H124" s="53" t="n">
        <f aca="false">IF(OR(F124="",F124=0),"",E124/F124)</f>
        <v>0.295687885010267</v>
      </c>
      <c r="I124" s="25" t="s">
        <v>128</v>
      </c>
      <c r="J124" s="28" t="n">
        <v>3.1978281706008</v>
      </c>
      <c r="K124" s="28" t="n">
        <f aca="false">$K$8</f>
        <v>0.297938238782275</v>
      </c>
      <c r="L124" s="28" t="n">
        <f aca="false">SQRT(J124^2+K124^2)</f>
        <v>3.21167747490571</v>
      </c>
      <c r="M124" s="53" t="n">
        <f aca="false">IF(G124="","",MAX(0,G124-1.96*L124/100))</f>
        <v>0.641363236481581</v>
      </c>
      <c r="N124" s="53" t="n">
        <f aca="false">IF(G124="","",MIN(1,G124+1.96*L124/100))</f>
        <v>0.767260993497885</v>
      </c>
      <c r="O124" s="52" t="n">
        <f aca="false">ROUND(S124*W124,0)</f>
        <v>72</v>
      </c>
      <c r="P124" s="52" t="n">
        <f aca="false">IF(F124="","",ROUND(SQRT((F124*L124/100)^2+(G124*O124)^2),0))</f>
        <v>53</v>
      </c>
      <c r="R124" s="54" t="n">
        <v>19.3408490316248</v>
      </c>
      <c r="S124" s="55" t="n">
        <f aca="false">U124*V124*$F$5</f>
        <v>486.64</v>
      </c>
      <c r="T124" s="56" t="n">
        <f aca="false">MAX(0,MIN(1,R124/100+$D$5))</f>
        <v>0.705401904835013</v>
      </c>
      <c r="U124" s="56" t="n">
        <v>0.56</v>
      </c>
      <c r="V124" s="55" t="n">
        <v>869</v>
      </c>
      <c r="W124" s="56" t="n">
        <v>0.148097331980838</v>
      </c>
      <c r="X124" s="57" t="s">
        <v>129</v>
      </c>
      <c r="Y124" s="57" t="s">
        <v>130</v>
      </c>
    </row>
    <row r="125" customFormat="false" ht="15" hidden="false" customHeight="false" outlineLevel="0" collapsed="false">
      <c r="A125" s="25" t="s">
        <v>197</v>
      </c>
      <c r="B125" s="25" t="s">
        <v>260</v>
      </c>
      <c r="C125" s="25" t="s">
        <v>264</v>
      </c>
      <c r="D125" s="52" t="n">
        <f aca="false">ROUND(S125*T125,0)</f>
        <v>373</v>
      </c>
      <c r="E125" s="52" t="n">
        <f aca="false">ROUND(S125,0)-D125</f>
        <v>174</v>
      </c>
      <c r="F125" s="52" t="n">
        <f aca="false">IF(COUNTA(D125:E125)=0,"",SUM(D125:E125))</f>
        <v>547</v>
      </c>
      <c r="G125" s="53" t="n">
        <f aca="false">IF(OR(F125="",F125=0),"",D125/F125)</f>
        <v>0.681901279707496</v>
      </c>
      <c r="H125" s="53" t="n">
        <f aca="false">IF(OR(F125="",F125=0),"",E125/F125)</f>
        <v>0.318098720292505</v>
      </c>
      <c r="I125" s="25" t="s">
        <v>128</v>
      </c>
      <c r="J125" s="28" t="n">
        <v>3.1978281706008</v>
      </c>
      <c r="K125" s="28" t="n">
        <f aca="false">$K$8</f>
        <v>0.297938238782275</v>
      </c>
      <c r="L125" s="28" t="n">
        <f aca="false">SQRT(J125^2+K125^2)</f>
        <v>3.21167747490571</v>
      </c>
      <c r="M125" s="53" t="n">
        <f aca="false">IF(G125="","",MAX(0,G125-1.96*L125/100))</f>
        <v>0.618952401199344</v>
      </c>
      <c r="N125" s="53" t="n">
        <f aca="false">IF(G125="","",MIN(1,G125+1.96*L125/100))</f>
        <v>0.744850158215647</v>
      </c>
      <c r="O125" s="52" t="n">
        <f aca="false">ROUND(S125*W125,0)</f>
        <v>81</v>
      </c>
      <c r="P125" s="52" t="n">
        <f aca="false">IF(F125="","",ROUND(SQRT((F125*L125/100)^2+(G125*O125)^2),0))</f>
        <v>58</v>
      </c>
      <c r="R125" s="54" t="n">
        <v>17.0304397210019</v>
      </c>
      <c r="S125" s="55" t="n">
        <f aca="false">U125*V125*$F$5</f>
        <v>547.019495412844</v>
      </c>
      <c r="T125" s="56" t="n">
        <f aca="false">MAX(0,MIN(1,R125/100+$D$5))</f>
        <v>0.682297811728783</v>
      </c>
      <c r="U125" s="56" t="n">
        <v>0.666284403669725</v>
      </c>
      <c r="V125" s="55" t="n">
        <v>821</v>
      </c>
      <c r="W125" s="56" t="n">
        <v>0.148097331980838</v>
      </c>
      <c r="X125" s="57" t="s">
        <v>129</v>
      </c>
      <c r="Y125" s="57" t="s">
        <v>130</v>
      </c>
    </row>
    <row r="126" customFormat="false" ht="15" hidden="false" customHeight="false" outlineLevel="0" collapsed="false">
      <c r="A126" s="25" t="s">
        <v>197</v>
      </c>
      <c r="B126" s="25" t="s">
        <v>260</v>
      </c>
      <c r="C126" s="25" t="s">
        <v>265</v>
      </c>
      <c r="D126" s="52" t="n">
        <f aca="false">ROUND(S126*T126,0)</f>
        <v>569</v>
      </c>
      <c r="E126" s="52" t="n">
        <f aca="false">ROUND(S126,0)-D126</f>
        <v>329</v>
      </c>
      <c r="F126" s="52" t="n">
        <f aca="false">IF(COUNTA(D126:E126)=0,"",SUM(D126:E126))</f>
        <v>898</v>
      </c>
      <c r="G126" s="53" t="n">
        <f aca="false">IF(OR(F126="",F126=0),"",D126/F126)</f>
        <v>0.633630289532294</v>
      </c>
      <c r="H126" s="53" t="n">
        <f aca="false">IF(OR(F126="",F126=0),"",E126/F126)</f>
        <v>0.366369710467706</v>
      </c>
      <c r="I126" s="25" t="s">
        <v>128</v>
      </c>
      <c r="J126" s="28" t="n">
        <v>2.22489971008846</v>
      </c>
      <c r="K126" s="28" t="n">
        <f aca="false">$K$8</f>
        <v>0.297938238782275</v>
      </c>
      <c r="L126" s="28" t="n">
        <f aca="false">SQRT(J126^2+K126^2)</f>
        <v>2.24475965619494</v>
      </c>
      <c r="M126" s="53" t="n">
        <f aca="false">IF(G126="","",MAX(0,G126-1.96*L126/100))</f>
        <v>0.589633000270873</v>
      </c>
      <c r="N126" s="53" t="n">
        <f aca="false">IF(G126="","",MIN(1,G126+1.96*L126/100))</f>
        <v>0.677627578793715</v>
      </c>
      <c r="O126" s="52" t="n">
        <f aca="false">ROUND(S126*W126,0)</f>
        <v>80</v>
      </c>
      <c r="P126" s="52" t="n">
        <f aca="false">IF(F126="","",ROUND(SQRT((F126*L126/100)^2+(G126*O126)^2),0))</f>
        <v>55</v>
      </c>
      <c r="R126" s="54" t="n">
        <v>12.1376244983804</v>
      </c>
      <c r="S126" s="55" t="n">
        <f aca="false">U126*V126*$F$5</f>
        <v>898.212765957447</v>
      </c>
      <c r="T126" s="56" t="n">
        <f aca="false">MAX(0,MIN(1,R126/100+$D$5))</f>
        <v>0.633369659502569</v>
      </c>
      <c r="U126" s="56" t="n">
        <v>0.510638297872341</v>
      </c>
      <c r="V126" s="55" t="n">
        <v>1759</v>
      </c>
      <c r="W126" s="56" t="n">
        <v>0.0887445098984521</v>
      </c>
      <c r="X126" s="57" t="s">
        <v>135</v>
      </c>
      <c r="Y126" s="57" t="s">
        <v>130</v>
      </c>
    </row>
    <row r="127" customFormat="false" ht="15" hidden="false" customHeight="false" outlineLevel="0" collapsed="false">
      <c r="A127" s="25" t="s">
        <v>197</v>
      </c>
      <c r="B127" s="25" t="s">
        <v>260</v>
      </c>
      <c r="C127" s="25" t="s">
        <v>266</v>
      </c>
      <c r="D127" s="52" t="n">
        <f aca="false">ROUND(S127*T127,0)</f>
        <v>395</v>
      </c>
      <c r="E127" s="52" t="n">
        <f aca="false">ROUND(S127,0)-D127</f>
        <v>239</v>
      </c>
      <c r="F127" s="52" t="n">
        <f aca="false">IF(COUNTA(D127:E127)=0,"",SUM(D127:E127))</f>
        <v>634</v>
      </c>
      <c r="G127" s="53" t="n">
        <f aca="false">IF(OR(F127="",F127=0),"",D127/F127)</f>
        <v>0.623028391167192</v>
      </c>
      <c r="H127" s="53" t="n">
        <f aca="false">IF(OR(F127="",F127=0),"",E127/F127)</f>
        <v>0.376971608832808</v>
      </c>
      <c r="I127" s="25" t="s">
        <v>128</v>
      </c>
      <c r="J127" s="28" t="n">
        <v>2.22489971008846</v>
      </c>
      <c r="K127" s="28" t="n">
        <f aca="false">$K$8</f>
        <v>0.297938238782275</v>
      </c>
      <c r="L127" s="28" t="n">
        <f aca="false">SQRT(J127^2+K127^2)</f>
        <v>2.24475965619494</v>
      </c>
      <c r="M127" s="53" t="n">
        <f aca="false">IF(G127="","",MAX(0,G127-1.96*L127/100))</f>
        <v>0.579031101905772</v>
      </c>
      <c r="N127" s="53" t="n">
        <f aca="false">IF(G127="","",MIN(1,G127+1.96*L127/100))</f>
        <v>0.667025680428613</v>
      </c>
      <c r="O127" s="52" t="n">
        <f aca="false">ROUND(S127*W127,0)</f>
        <v>56</v>
      </c>
      <c r="P127" s="52" t="n">
        <f aca="false">IF(F127="","",ROUND(SQRT((F127*L127/100)^2+(G127*O127)^2),0))</f>
        <v>38</v>
      </c>
      <c r="R127" s="54" t="n">
        <v>11.0438947361676</v>
      </c>
      <c r="S127" s="55" t="n">
        <f aca="false">U127*V127*$F$5</f>
        <v>634.007858546169</v>
      </c>
      <c r="T127" s="56" t="n">
        <f aca="false">MAX(0,MIN(1,R127/100+$D$5))</f>
        <v>0.62243236188044</v>
      </c>
      <c r="U127" s="56" t="n">
        <v>0.609037328094303</v>
      </c>
      <c r="V127" s="55" t="n">
        <v>1041</v>
      </c>
      <c r="W127" s="56" t="n">
        <v>0.0887445098984521</v>
      </c>
      <c r="X127" s="57" t="s">
        <v>135</v>
      </c>
      <c r="Y127" s="57" t="s">
        <v>130</v>
      </c>
    </row>
    <row r="128" customFormat="false" ht="15" hidden="false" customHeight="false" outlineLevel="0" collapsed="false">
      <c r="A128" s="25" t="s">
        <v>197</v>
      </c>
      <c r="B128" s="25" t="s">
        <v>260</v>
      </c>
      <c r="C128" s="25" t="s">
        <v>267</v>
      </c>
      <c r="D128" s="52" t="n">
        <f aca="false">ROUND(S128*T128,0)</f>
        <v>439</v>
      </c>
      <c r="E128" s="52" t="n">
        <f aca="false">ROUND(S128,0)-D128</f>
        <v>288</v>
      </c>
      <c r="F128" s="52" t="n">
        <f aca="false">IF(COUNTA(D128:E128)=0,"",SUM(D128:E128))</f>
        <v>727</v>
      </c>
      <c r="G128" s="53" t="n">
        <f aca="false">IF(OR(F128="",F128=0),"",D128/F128)</f>
        <v>0.603851444291609</v>
      </c>
      <c r="H128" s="53" t="n">
        <f aca="false">IF(OR(F128="",F128=0),"",E128/F128)</f>
        <v>0.396148555708391</v>
      </c>
      <c r="I128" s="25" t="s">
        <v>128</v>
      </c>
      <c r="J128" s="28" t="n">
        <v>2.22489971008846</v>
      </c>
      <c r="K128" s="28" t="n">
        <f aca="false">$K$8</f>
        <v>0.297938238782275</v>
      </c>
      <c r="L128" s="28" t="n">
        <f aca="false">SQRT(J128^2+K128^2)</f>
        <v>2.24475965619494</v>
      </c>
      <c r="M128" s="53" t="n">
        <f aca="false">IF(G128="","",MAX(0,G128-1.96*L128/100))</f>
        <v>0.559854155030189</v>
      </c>
      <c r="N128" s="53" t="n">
        <f aca="false">IF(G128="","",MIN(1,G128+1.96*L128/100))</f>
        <v>0.64784873355303</v>
      </c>
      <c r="O128" s="52" t="n">
        <f aca="false">ROUND(S128*W128,0)</f>
        <v>65</v>
      </c>
      <c r="P128" s="52" t="n">
        <f aca="false">IF(F128="","",ROUND(SQRT((F128*L128/100)^2+(G128*O128)^2),0))</f>
        <v>43</v>
      </c>
      <c r="R128" s="54" t="n">
        <v>9.12686726298785</v>
      </c>
      <c r="S128" s="55" t="n">
        <f aca="false">U128*V128*$F$5</f>
        <v>727.46884272997</v>
      </c>
      <c r="T128" s="56" t="n">
        <f aca="false">MAX(0,MIN(1,R128/100+$D$5))</f>
        <v>0.603262087148643</v>
      </c>
      <c r="U128" s="56" t="n">
        <v>0.554896142433234</v>
      </c>
      <c r="V128" s="55" t="n">
        <v>1311</v>
      </c>
      <c r="W128" s="56" t="n">
        <v>0.0887445098984521</v>
      </c>
      <c r="X128" s="57" t="s">
        <v>135</v>
      </c>
      <c r="Y128" s="57" t="s">
        <v>130</v>
      </c>
    </row>
    <row r="129" customFormat="false" ht="15" hidden="false" customHeight="false" outlineLevel="0" collapsed="false">
      <c r="A129" s="25" t="s">
        <v>197</v>
      </c>
      <c r="B129" s="25" t="s">
        <v>260</v>
      </c>
      <c r="C129" s="25" t="s">
        <v>268</v>
      </c>
      <c r="D129" s="52" t="n">
        <f aca="false">ROUND(S129*T129,0)</f>
        <v>549</v>
      </c>
      <c r="E129" s="52" t="n">
        <f aca="false">ROUND(S129,0)-D129</f>
        <v>349</v>
      </c>
      <c r="F129" s="52" t="n">
        <f aca="false">IF(COUNTA(D129:E129)=0,"",SUM(D129:E129))</f>
        <v>898</v>
      </c>
      <c r="G129" s="53" t="n">
        <f aca="false">IF(OR(F129="",F129=0),"",D129/F129)</f>
        <v>0.611358574610245</v>
      </c>
      <c r="H129" s="53" t="n">
        <f aca="false">IF(OR(F129="",F129=0),"",E129/F129)</f>
        <v>0.388641425389755</v>
      </c>
      <c r="I129" s="25" t="s">
        <v>128</v>
      </c>
      <c r="J129" s="28" t="n">
        <v>2.22489971008846</v>
      </c>
      <c r="K129" s="28" t="n">
        <f aca="false">$K$8</f>
        <v>0.297938238782275</v>
      </c>
      <c r="L129" s="28" t="n">
        <f aca="false">SQRT(J129^2+K129^2)</f>
        <v>2.24475965619494</v>
      </c>
      <c r="M129" s="53" t="n">
        <f aca="false">IF(G129="","",MAX(0,G129-1.96*L129/100))</f>
        <v>0.567361285348824</v>
      </c>
      <c r="N129" s="53" t="n">
        <f aca="false">IF(G129="","",MIN(1,G129+1.96*L129/100))</f>
        <v>0.655355863871666</v>
      </c>
      <c r="O129" s="52" t="n">
        <f aca="false">ROUND(S129*W129,0)</f>
        <v>80</v>
      </c>
      <c r="P129" s="52" t="n">
        <f aca="false">IF(F129="","",ROUND(SQRT((F129*L129/100)^2+(G129*O129)^2),0))</f>
        <v>53</v>
      </c>
      <c r="R129" s="54" t="n">
        <v>9.93602703462931</v>
      </c>
      <c r="S129" s="55" t="n">
        <f aca="false">U129*V129*$F$5</f>
        <v>898.28</v>
      </c>
      <c r="T129" s="56" t="n">
        <f aca="false">MAX(0,MIN(1,R129/100+$D$5))</f>
        <v>0.611353684865058</v>
      </c>
      <c r="U129" s="56" t="n">
        <v>0.68</v>
      </c>
      <c r="V129" s="55" t="n">
        <v>1321</v>
      </c>
      <c r="W129" s="56" t="n">
        <v>0.0887445098984521</v>
      </c>
      <c r="X129" s="57" t="s">
        <v>135</v>
      </c>
      <c r="Y129" s="57" t="s">
        <v>130</v>
      </c>
    </row>
    <row r="130" customFormat="false" ht="15" hidden="false" customHeight="false" outlineLevel="0" collapsed="false">
      <c r="A130" s="25" t="s">
        <v>197</v>
      </c>
      <c r="B130" s="25" t="s">
        <v>260</v>
      </c>
      <c r="C130" s="25" t="s">
        <v>269</v>
      </c>
      <c r="D130" s="52" t="n">
        <f aca="false">ROUND(S130*T130,0)</f>
        <v>411</v>
      </c>
      <c r="E130" s="52" t="n">
        <f aca="false">ROUND(S130,0)-D130</f>
        <v>254</v>
      </c>
      <c r="F130" s="52" t="n">
        <f aca="false">IF(COUNTA(D130:E130)=0,"",SUM(D130:E130))</f>
        <v>665</v>
      </c>
      <c r="G130" s="53" t="n">
        <f aca="false">IF(OR(F130="",F130=0),"",D130/F130)</f>
        <v>0.618045112781955</v>
      </c>
      <c r="H130" s="53" t="n">
        <f aca="false">IF(OR(F130="",F130=0),"",E130/F130)</f>
        <v>0.381954887218045</v>
      </c>
      <c r="I130" s="25" t="s">
        <v>128</v>
      </c>
      <c r="J130" s="28" t="n">
        <v>2.22489971008846</v>
      </c>
      <c r="K130" s="28" t="n">
        <f aca="false">$K$8</f>
        <v>0.297938238782275</v>
      </c>
      <c r="L130" s="28" t="n">
        <f aca="false">SQRT(J130^2+K130^2)</f>
        <v>2.24475965619494</v>
      </c>
      <c r="M130" s="53" t="n">
        <f aca="false">IF(G130="","",MAX(0,G130-1.96*L130/100))</f>
        <v>0.574047823520534</v>
      </c>
      <c r="N130" s="53" t="n">
        <f aca="false">IF(G130="","",MIN(1,G130+1.96*L130/100))</f>
        <v>0.662042402043376</v>
      </c>
      <c r="O130" s="52" t="n">
        <f aca="false">ROUND(S130*W130,0)</f>
        <v>59</v>
      </c>
      <c r="P130" s="52" t="n">
        <f aca="false">IF(F130="","",ROUND(SQRT((F130*L130/100)^2+(G130*O130)^2),0))</f>
        <v>39</v>
      </c>
      <c r="R130" s="54" t="n">
        <v>10.6194368433463</v>
      </c>
      <c r="S130" s="55" t="n">
        <f aca="false">U130*V130*$F$5</f>
        <v>665.309142318568</v>
      </c>
      <c r="T130" s="56" t="n">
        <f aca="false">MAX(0,MIN(1,R130/100+$D$5))</f>
        <v>0.618187782952228</v>
      </c>
      <c r="U130" s="56" t="n">
        <v>0.61545711592837</v>
      </c>
      <c r="V130" s="55" t="n">
        <v>1081</v>
      </c>
      <c r="W130" s="56" t="n">
        <v>0.0887445098984521</v>
      </c>
      <c r="X130" s="57" t="s">
        <v>135</v>
      </c>
      <c r="Y130" s="57" t="s">
        <v>130</v>
      </c>
    </row>
    <row r="131" customFormat="false" ht="15" hidden="false" customHeight="false" outlineLevel="0" collapsed="false">
      <c r="A131" s="25" t="s">
        <v>197</v>
      </c>
      <c r="B131" s="25" t="s">
        <v>260</v>
      </c>
      <c r="C131" s="25" t="s">
        <v>270</v>
      </c>
      <c r="D131" s="52" t="n">
        <f aca="false">ROUND(S131*T131,0)</f>
        <v>331</v>
      </c>
      <c r="E131" s="52" t="n">
        <f aca="false">ROUND(S131,0)-D131</f>
        <v>249</v>
      </c>
      <c r="F131" s="52" t="n">
        <f aca="false">IF(COUNTA(D131:E131)=0,"",SUM(D131:E131))</f>
        <v>580</v>
      </c>
      <c r="G131" s="53" t="n">
        <f aca="false">IF(OR(F131="",F131=0),"",D131/F131)</f>
        <v>0.570689655172414</v>
      </c>
      <c r="H131" s="53" t="n">
        <f aca="false">IF(OR(F131="",F131=0),"",E131/F131)</f>
        <v>0.429310344827586</v>
      </c>
      <c r="I131" s="25" t="s">
        <v>128</v>
      </c>
      <c r="J131" s="28" t="n">
        <v>2.22489971008846</v>
      </c>
      <c r="K131" s="28" t="n">
        <f aca="false">$K$8</f>
        <v>0.297938238782275</v>
      </c>
      <c r="L131" s="28" t="n">
        <f aca="false">SQRT(J131^2+K131^2)</f>
        <v>2.24475965619494</v>
      </c>
      <c r="M131" s="53" t="n">
        <f aca="false">IF(G131="","",MAX(0,G131-1.96*L131/100))</f>
        <v>0.526692365910993</v>
      </c>
      <c r="N131" s="53" t="n">
        <f aca="false">IF(G131="","",MIN(1,G131+1.96*L131/100))</f>
        <v>0.614686944433835</v>
      </c>
      <c r="O131" s="52" t="n">
        <f aca="false">ROUND(S131*W131,0)</f>
        <v>51</v>
      </c>
      <c r="P131" s="52" t="n">
        <f aca="false">IF(F131="","",ROUND(SQRT((F131*L131/100)^2+(G131*O131)^2),0))</f>
        <v>32</v>
      </c>
      <c r="R131" s="54" t="n">
        <v>5.81624318548345</v>
      </c>
      <c r="S131" s="55" t="n">
        <f aca="false">U131*V131*$F$5</f>
        <v>580.019459459459</v>
      </c>
      <c r="T131" s="56" t="n">
        <f aca="false">MAX(0,MIN(1,R131/100+$D$5))</f>
        <v>0.570155846373599</v>
      </c>
      <c r="U131" s="56" t="n">
        <v>0.634594594594595</v>
      </c>
      <c r="V131" s="55" t="n">
        <v>914</v>
      </c>
      <c r="W131" s="56" t="n">
        <v>0.0887445098984521</v>
      </c>
      <c r="X131" s="57" t="s">
        <v>135</v>
      </c>
      <c r="Y131" s="57" t="s">
        <v>130</v>
      </c>
    </row>
    <row r="132" customFormat="false" ht="15" hidden="false" customHeight="false" outlineLevel="0" collapsed="false">
      <c r="A132" s="25" t="s">
        <v>197</v>
      </c>
      <c r="B132" s="25" t="s">
        <v>260</v>
      </c>
      <c r="C132" s="25" t="s">
        <v>271</v>
      </c>
      <c r="D132" s="52" t="n">
        <f aca="false">ROUND(S132*T132,0)</f>
        <v>416</v>
      </c>
      <c r="E132" s="52" t="n">
        <f aca="false">ROUND(S132,0)-D132</f>
        <v>246</v>
      </c>
      <c r="F132" s="52" t="n">
        <f aca="false">IF(COUNTA(D132:E132)=0,"",SUM(D132:E132))</f>
        <v>662</v>
      </c>
      <c r="G132" s="53" t="n">
        <f aca="false">IF(OR(F132="",F132=0),"",D132/F132)</f>
        <v>0.628398791540786</v>
      </c>
      <c r="H132" s="53" t="n">
        <f aca="false">IF(OR(F132="",F132=0),"",E132/F132)</f>
        <v>0.371601208459215</v>
      </c>
      <c r="I132" s="25" t="s">
        <v>128</v>
      </c>
      <c r="J132" s="28" t="n">
        <v>2.22489971008846</v>
      </c>
      <c r="K132" s="28" t="n">
        <f aca="false">$K$8</f>
        <v>0.297938238782275</v>
      </c>
      <c r="L132" s="28" t="n">
        <f aca="false">SQRT(J132^2+K132^2)</f>
        <v>2.24475965619494</v>
      </c>
      <c r="M132" s="53" t="n">
        <f aca="false">IF(G132="","",MAX(0,G132-1.96*L132/100))</f>
        <v>0.584401502279365</v>
      </c>
      <c r="N132" s="53" t="n">
        <f aca="false">IF(G132="","",MIN(1,G132+1.96*L132/100))</f>
        <v>0.672396080802206</v>
      </c>
      <c r="O132" s="52" t="n">
        <f aca="false">ROUND(S132*W132,0)</f>
        <v>59</v>
      </c>
      <c r="P132" s="52" t="n">
        <f aca="false">IF(F132="","",ROUND(SQRT((F132*L132/100)^2+(G132*O132)^2),0))</f>
        <v>40</v>
      </c>
      <c r="R132" s="54" t="n">
        <v>11.6421426433129</v>
      </c>
      <c r="S132" s="55" t="n">
        <f aca="false">U132*V132*$F$5</f>
        <v>662.03519510329</v>
      </c>
      <c r="T132" s="56" t="n">
        <f aca="false">MAX(0,MIN(1,R132/100+$D$5))</f>
        <v>0.628414840951894</v>
      </c>
      <c r="U132" s="56" t="n">
        <v>0.489671002295333</v>
      </c>
      <c r="V132" s="55" t="n">
        <v>1352</v>
      </c>
      <c r="W132" s="56" t="n">
        <v>0.0887445098984521</v>
      </c>
      <c r="X132" s="57" t="s">
        <v>135</v>
      </c>
      <c r="Y132" s="57" t="s">
        <v>130</v>
      </c>
    </row>
    <row r="133" customFormat="false" ht="15" hidden="false" customHeight="false" outlineLevel="0" collapsed="false">
      <c r="A133" s="25" t="s">
        <v>197</v>
      </c>
      <c r="B133" s="25" t="s">
        <v>260</v>
      </c>
      <c r="C133" s="25" t="s">
        <v>272</v>
      </c>
      <c r="D133" s="52" t="n">
        <f aca="false">ROUND(S133*T133,0)</f>
        <v>451</v>
      </c>
      <c r="E133" s="52" t="n">
        <f aca="false">ROUND(S133,0)-D133</f>
        <v>287</v>
      </c>
      <c r="F133" s="52" t="n">
        <f aca="false">IF(COUNTA(D133:E133)=0,"",SUM(D133:E133))</f>
        <v>738</v>
      </c>
      <c r="G133" s="53" t="n">
        <f aca="false">IF(OR(F133="",F133=0),"",D133/F133)</f>
        <v>0.611111111111111</v>
      </c>
      <c r="H133" s="53" t="n">
        <f aca="false">IF(OR(F133="",F133=0),"",E133/F133)</f>
        <v>0.388888888888889</v>
      </c>
      <c r="I133" s="25" t="s">
        <v>128</v>
      </c>
      <c r="J133" s="28" t="n">
        <v>2.22489971008846</v>
      </c>
      <c r="K133" s="28" t="n">
        <f aca="false">$K$8</f>
        <v>0.297938238782275</v>
      </c>
      <c r="L133" s="28" t="n">
        <f aca="false">SQRT(J133^2+K133^2)</f>
        <v>2.24475965619494</v>
      </c>
      <c r="M133" s="53" t="n">
        <f aca="false">IF(G133="","",MAX(0,G133-1.96*L133/100))</f>
        <v>0.56711382184969</v>
      </c>
      <c r="N133" s="53" t="n">
        <f aca="false">IF(G133="","",MIN(1,G133+1.96*L133/100))</f>
        <v>0.655108400372532</v>
      </c>
      <c r="O133" s="52" t="n">
        <f aca="false">ROUND(S133*W133,0)</f>
        <v>65</v>
      </c>
      <c r="P133" s="52" t="n">
        <f aca="false">IF(F133="","",ROUND(SQRT((F133*L133/100)^2+(G133*O133)^2),0))</f>
        <v>43</v>
      </c>
      <c r="R133" s="54" t="n">
        <v>9.97948959054993</v>
      </c>
      <c r="S133" s="55" t="n">
        <f aca="false">U133*V133*$F$5</f>
        <v>737.535483870968</v>
      </c>
      <c r="T133" s="56" t="n">
        <f aca="false">MAX(0,MIN(1,R133/100+$D$5))</f>
        <v>0.611788310424264</v>
      </c>
      <c r="U133" s="56" t="n">
        <v>0.561290322580645</v>
      </c>
      <c r="V133" s="55" t="n">
        <v>1314</v>
      </c>
      <c r="W133" s="56" t="n">
        <v>0.0887445098984521</v>
      </c>
      <c r="X133" s="57" t="s">
        <v>135</v>
      </c>
      <c r="Y133" s="57" t="s">
        <v>130</v>
      </c>
    </row>
    <row r="134" customFormat="false" ht="15" hidden="false" customHeight="false" outlineLevel="0" collapsed="false">
      <c r="A134" s="25" t="s">
        <v>197</v>
      </c>
      <c r="B134" s="25" t="s">
        <v>273</v>
      </c>
      <c r="C134" s="25" t="s">
        <v>274</v>
      </c>
      <c r="D134" s="52" t="n">
        <f aca="false">ROUND(S134*T134,0)</f>
        <v>385</v>
      </c>
      <c r="E134" s="52" t="n">
        <f aca="false">ROUND(S134,0)-D134</f>
        <v>300</v>
      </c>
      <c r="F134" s="52" t="n">
        <f aca="false">IF(COUNTA(D134:E134)=0,"",SUM(D134:E134))</f>
        <v>685</v>
      </c>
      <c r="G134" s="53" t="n">
        <f aca="false">IF(OR(F134="",F134=0),"",D134/F134)</f>
        <v>0.562043795620438</v>
      </c>
      <c r="H134" s="53" t="n">
        <f aca="false">IF(OR(F134="",F134=0),"",E134/F134)</f>
        <v>0.437956204379562</v>
      </c>
      <c r="I134" s="25" t="s">
        <v>128</v>
      </c>
      <c r="J134" s="28" t="n">
        <v>2.22489971008846</v>
      </c>
      <c r="K134" s="28" t="n">
        <f aca="false">$K$8</f>
        <v>0.297938238782275</v>
      </c>
      <c r="L134" s="28" t="n">
        <f aca="false">SQRT(J134^2+K134^2)</f>
        <v>2.24475965619494</v>
      </c>
      <c r="M134" s="53" t="n">
        <f aca="false">IF(G134="","",MAX(0,G134-1.96*L134/100))</f>
        <v>0.518046506359017</v>
      </c>
      <c r="N134" s="53" t="n">
        <f aca="false">IF(G134="","",MIN(1,G134+1.96*L134/100))</f>
        <v>0.606041084881859</v>
      </c>
      <c r="O134" s="52" t="n">
        <f aca="false">ROUND(S134*W134,0)</f>
        <v>61</v>
      </c>
      <c r="P134" s="52" t="n">
        <f aca="false">IF(F134="","",ROUND(SQRT((F134*L134/100)^2+(G134*O134)^2),0))</f>
        <v>38</v>
      </c>
      <c r="R134" s="54" t="n">
        <v>4.98425750388584</v>
      </c>
      <c r="S134" s="55" t="n">
        <f aca="false">U134*V134*$F$5</f>
        <v>685.017857142857</v>
      </c>
      <c r="T134" s="56" t="n">
        <f aca="false">MAX(0,MIN(1,R134/100+$D$5))</f>
        <v>0.561835989557623</v>
      </c>
      <c r="U134" s="56" t="n">
        <v>0.462225274725275</v>
      </c>
      <c r="V134" s="55" t="n">
        <v>1482</v>
      </c>
      <c r="W134" s="56" t="n">
        <v>0.0887445098984521</v>
      </c>
      <c r="X134" s="57" t="s">
        <v>135</v>
      </c>
      <c r="Y134" s="57" t="s">
        <v>130</v>
      </c>
    </row>
    <row r="135" customFormat="false" ht="15" hidden="false" customHeight="false" outlineLevel="0" collapsed="false">
      <c r="A135" s="25" t="s">
        <v>197</v>
      </c>
      <c r="B135" s="25" t="s">
        <v>273</v>
      </c>
      <c r="C135" s="25" t="s">
        <v>275</v>
      </c>
      <c r="D135" s="52" t="n">
        <f aca="false">ROUND(S135*T135,0)</f>
        <v>354</v>
      </c>
      <c r="E135" s="52" t="n">
        <f aca="false">ROUND(S135,0)-D135</f>
        <v>359</v>
      </c>
      <c r="F135" s="52" t="n">
        <f aca="false">IF(COUNTA(D135:E135)=0,"",SUM(D135:E135))</f>
        <v>713</v>
      </c>
      <c r="G135" s="53" t="n">
        <f aca="false">IF(OR(F135="",F135=0),"",D135/F135)</f>
        <v>0.496493688639551</v>
      </c>
      <c r="H135" s="53" t="n">
        <f aca="false">IF(OR(F135="",F135=0),"",E135/F135)</f>
        <v>0.503506311360449</v>
      </c>
      <c r="I135" s="25" t="s">
        <v>128</v>
      </c>
      <c r="J135" s="28" t="n">
        <v>2.22489971008846</v>
      </c>
      <c r="K135" s="28" t="n">
        <f aca="false">$K$8</f>
        <v>0.297938238782275</v>
      </c>
      <c r="L135" s="28" t="n">
        <f aca="false">SQRT(J135^2+K135^2)</f>
        <v>2.24475965619494</v>
      </c>
      <c r="M135" s="53" t="n">
        <f aca="false">IF(G135="","",MAX(0,G135-1.96*L135/100))</f>
        <v>0.45249639937813</v>
      </c>
      <c r="N135" s="53" t="n">
        <f aca="false">IF(G135="","",MIN(1,G135+1.96*L135/100))</f>
        <v>0.540490977900972</v>
      </c>
      <c r="O135" s="52" t="n">
        <f aca="false">ROUND(S135*W135,0)</f>
        <v>63</v>
      </c>
      <c r="P135" s="52" t="n">
        <f aca="false">IF(F135="","",ROUND(SQRT((F135*L135/100)^2+(G135*O135)^2),0))</f>
        <v>35</v>
      </c>
      <c r="R135" s="54" t="n">
        <v>-1.53506013844825</v>
      </c>
      <c r="S135" s="55" t="n">
        <f aca="false">U135*V135*$F$5</f>
        <v>712.774509803922</v>
      </c>
      <c r="T135" s="56" t="n">
        <f aca="false">MAX(0,MIN(1,R135/100+$D$5))</f>
        <v>0.496642813134282</v>
      </c>
      <c r="U135" s="56" t="n">
        <v>0.544934640522876</v>
      </c>
      <c r="V135" s="55" t="n">
        <v>1308</v>
      </c>
      <c r="W135" s="56" t="n">
        <v>0.0887445098984521</v>
      </c>
      <c r="X135" s="57" t="s">
        <v>135</v>
      </c>
      <c r="Y135" s="57" t="s">
        <v>130</v>
      </c>
    </row>
    <row r="136" customFormat="false" ht="15" hidden="false" customHeight="false" outlineLevel="0" collapsed="false">
      <c r="A136" s="25" t="s">
        <v>197</v>
      </c>
      <c r="B136" s="25" t="s">
        <v>273</v>
      </c>
      <c r="C136" s="25" t="s">
        <v>276</v>
      </c>
      <c r="D136" s="52" t="n">
        <f aca="false">ROUND(S136*T136,0)</f>
        <v>406</v>
      </c>
      <c r="E136" s="52" t="n">
        <f aca="false">ROUND(S136,0)-D136</f>
        <v>375</v>
      </c>
      <c r="F136" s="52" t="n">
        <f aca="false">IF(COUNTA(D136:E136)=0,"",SUM(D136:E136))</f>
        <v>781</v>
      </c>
      <c r="G136" s="53" t="n">
        <f aca="false">IF(OR(F136="",F136=0),"",D136/F136)</f>
        <v>0.519846350832266</v>
      </c>
      <c r="H136" s="53" t="n">
        <f aca="false">IF(OR(F136="",F136=0),"",E136/F136)</f>
        <v>0.480153649167734</v>
      </c>
      <c r="I136" s="25" t="s">
        <v>128</v>
      </c>
      <c r="J136" s="28" t="n">
        <v>2.22489971008846</v>
      </c>
      <c r="K136" s="28" t="n">
        <f aca="false">$K$8</f>
        <v>0.297938238782275</v>
      </c>
      <c r="L136" s="28" t="n">
        <f aca="false">SQRT(J136^2+K136^2)</f>
        <v>2.24475965619494</v>
      </c>
      <c r="M136" s="53" t="n">
        <f aca="false">IF(G136="","",MAX(0,G136-1.96*L136/100))</f>
        <v>0.475849061570846</v>
      </c>
      <c r="N136" s="53" t="n">
        <f aca="false">IF(G136="","",MIN(1,G136+1.96*L136/100))</f>
        <v>0.563843640093687</v>
      </c>
      <c r="O136" s="52" t="n">
        <f aca="false">ROUND(S136*W136,0)</f>
        <v>69</v>
      </c>
      <c r="P136" s="52" t="n">
        <f aca="false">IF(F136="","",ROUND(SQRT((F136*L136/100)^2+(G136*O136)^2),0))</f>
        <v>40</v>
      </c>
      <c r="R136" s="54" t="n">
        <v>0.761265462494864</v>
      </c>
      <c r="S136" s="55" t="n">
        <f aca="false">U136*V136*$F$5</f>
        <v>780.975243810953</v>
      </c>
      <c r="T136" s="56" t="n">
        <f aca="false">MAX(0,MIN(1,R136/100+$D$5))</f>
        <v>0.519606069143713</v>
      </c>
      <c r="U136" s="56" t="n">
        <v>0.577644411102776</v>
      </c>
      <c r="V136" s="55" t="n">
        <v>1352</v>
      </c>
      <c r="W136" s="56" t="n">
        <v>0.0887445098984521</v>
      </c>
      <c r="X136" s="57" t="s">
        <v>135</v>
      </c>
      <c r="Y136" s="57" t="s">
        <v>130</v>
      </c>
    </row>
    <row r="137" customFormat="false" ht="15" hidden="false" customHeight="false" outlineLevel="0" collapsed="false">
      <c r="A137" s="25" t="s">
        <v>197</v>
      </c>
      <c r="B137" s="25" t="s">
        <v>277</v>
      </c>
      <c r="C137" s="25" t="s">
        <v>277</v>
      </c>
      <c r="D137" s="52" t="n">
        <f aca="false">ROUND(S137*T137,0)</f>
        <v>631</v>
      </c>
      <c r="E137" s="52" t="n">
        <f aca="false">ROUND(S137,0)-D137</f>
        <v>639</v>
      </c>
      <c r="F137" s="52" t="n">
        <f aca="false">IF(COUNTA(D137:E137)=0,"",SUM(D137:E137))</f>
        <v>1270</v>
      </c>
      <c r="G137" s="53" t="n">
        <f aca="false">IF(OR(F137="",F137=0),"",D137/F137)</f>
        <v>0.496850393700787</v>
      </c>
      <c r="H137" s="53" t="n">
        <f aca="false">IF(OR(F137="",F137=0),"",E137/F137)</f>
        <v>0.503149606299213</v>
      </c>
      <c r="I137" s="25" t="s">
        <v>128</v>
      </c>
      <c r="J137" s="28" t="n">
        <v>2.08262589216041</v>
      </c>
      <c r="K137" s="28" t="n">
        <f aca="false">$K$8</f>
        <v>0.297938238782275</v>
      </c>
      <c r="L137" s="28" t="n">
        <f aca="false">SQRT(J137^2+K137^2)</f>
        <v>2.1038293183682</v>
      </c>
      <c r="M137" s="53" t="n">
        <f aca="false">IF(G137="","",MAX(0,G137-1.96*L137/100))</f>
        <v>0.455615339060771</v>
      </c>
      <c r="N137" s="53" t="n">
        <f aca="false">IF(G137="","",MIN(1,G137+1.96*L137/100))</f>
        <v>0.538085448340804</v>
      </c>
      <c r="O137" s="52" t="n">
        <f aca="false">ROUND(S137*W137,0)</f>
        <v>87</v>
      </c>
      <c r="P137" s="52" t="n">
        <f aca="false">IF(F137="","",ROUND(SQRT((F137*L137/100)^2+(G137*O137)^2),0))</f>
        <v>51</v>
      </c>
      <c r="R137" s="54" t="n">
        <v>-1.54220554574752</v>
      </c>
      <c r="S137" s="55" t="n">
        <f aca="false">U137*V137*$F$5</f>
        <v>1270.44031093837</v>
      </c>
      <c r="T137" s="56" t="n">
        <f aca="false">MAX(0,MIN(1,R137/100+$D$5))</f>
        <v>0.49657135906129</v>
      </c>
      <c r="U137" s="56" t="n">
        <v>0.676846196557468</v>
      </c>
      <c r="V137" s="55" t="n">
        <v>1877</v>
      </c>
      <c r="W137" s="56" t="n">
        <v>0.0684752145190268</v>
      </c>
      <c r="X137" s="57" t="s">
        <v>168</v>
      </c>
      <c r="Y137" s="57" t="s">
        <v>130</v>
      </c>
    </row>
    <row r="138" customFormat="false" ht="15" hidden="false" customHeight="false" outlineLevel="0" collapsed="false">
      <c r="A138" s="25" t="s">
        <v>197</v>
      </c>
      <c r="B138" s="25" t="s">
        <v>278</v>
      </c>
      <c r="C138" s="25" t="s">
        <v>279</v>
      </c>
      <c r="D138" s="52" t="n">
        <f aca="false">ROUND(S138*T138,0)</f>
        <v>294</v>
      </c>
      <c r="E138" s="52" t="n">
        <f aca="false">ROUND(S138,0)-D138</f>
        <v>281</v>
      </c>
      <c r="F138" s="52" t="n">
        <f aca="false">IF(COUNTA(D138:E138)=0,"",SUM(D138:E138))</f>
        <v>575</v>
      </c>
      <c r="G138" s="53" t="n">
        <f aca="false">IF(OR(F138="",F138=0),"",D138/F138)</f>
        <v>0.511304347826087</v>
      </c>
      <c r="H138" s="53" t="n">
        <f aca="false">IF(OR(F138="",F138=0),"",E138/F138)</f>
        <v>0.488695652173913</v>
      </c>
      <c r="I138" s="25" t="s">
        <v>128</v>
      </c>
      <c r="J138" s="28" t="n">
        <v>2.22489971008846</v>
      </c>
      <c r="K138" s="28" t="n">
        <f aca="false">$K$8</f>
        <v>0.297938238782275</v>
      </c>
      <c r="L138" s="28" t="n">
        <f aca="false">SQRT(J138^2+K138^2)</f>
        <v>2.24475965619494</v>
      </c>
      <c r="M138" s="53" t="n">
        <f aca="false">IF(G138="","",MAX(0,G138-1.96*L138/100))</f>
        <v>0.467307058564666</v>
      </c>
      <c r="N138" s="53" t="n">
        <f aca="false">IF(G138="","",MIN(1,G138+1.96*L138/100))</f>
        <v>0.555301637087508</v>
      </c>
      <c r="O138" s="52" t="n">
        <f aca="false">ROUND(S138*W138,0)</f>
        <v>51</v>
      </c>
      <c r="P138" s="52" t="n">
        <f aca="false">IF(F138="","",ROUND(SQRT((F138*L138/100)^2+(G138*O138)^2),0))</f>
        <v>29</v>
      </c>
      <c r="R138" s="54" t="n">
        <v>-0.115336829708955</v>
      </c>
      <c r="S138" s="55" t="n">
        <f aca="false">U138*V138*$F$5</f>
        <v>574.764397905759</v>
      </c>
      <c r="T138" s="56" t="n">
        <f aca="false">MAX(0,MIN(1,R138/100+$D$5))</f>
        <v>0.510840046221675</v>
      </c>
      <c r="U138" s="56" t="n">
        <v>0.575916230366492</v>
      </c>
      <c r="V138" s="55" t="n">
        <v>998</v>
      </c>
      <c r="W138" s="56" t="n">
        <v>0.0887445098984521</v>
      </c>
      <c r="X138" s="57" t="s">
        <v>135</v>
      </c>
      <c r="Y138" s="57" t="s">
        <v>130</v>
      </c>
    </row>
    <row r="139" customFormat="false" ht="15" hidden="false" customHeight="false" outlineLevel="0" collapsed="false">
      <c r="A139" s="25" t="s">
        <v>197</v>
      </c>
      <c r="B139" s="25" t="s">
        <v>278</v>
      </c>
      <c r="C139" s="25" t="s">
        <v>280</v>
      </c>
      <c r="D139" s="52" t="n">
        <f aca="false">ROUND(S139*T139,0)</f>
        <v>414</v>
      </c>
      <c r="E139" s="52" t="n">
        <f aca="false">ROUND(S139,0)-D139</f>
        <v>375</v>
      </c>
      <c r="F139" s="52" t="n">
        <f aca="false">IF(COUNTA(D139:E139)=0,"",SUM(D139:E139))</f>
        <v>789</v>
      </c>
      <c r="G139" s="53" t="n">
        <f aca="false">IF(OR(F139="",F139=0),"",D139/F139)</f>
        <v>0.524714828897338</v>
      </c>
      <c r="H139" s="53" t="n">
        <f aca="false">IF(OR(F139="",F139=0),"",E139/F139)</f>
        <v>0.475285171102662</v>
      </c>
      <c r="I139" s="25" t="s">
        <v>128</v>
      </c>
      <c r="J139" s="28" t="n">
        <v>2.22489971008846</v>
      </c>
      <c r="K139" s="28" t="n">
        <f aca="false">$K$8</f>
        <v>0.297938238782275</v>
      </c>
      <c r="L139" s="28" t="n">
        <f aca="false">SQRT(J139^2+K139^2)</f>
        <v>2.24475965619494</v>
      </c>
      <c r="M139" s="53" t="n">
        <f aca="false">IF(G139="","",MAX(0,G139-1.96*L139/100))</f>
        <v>0.480717539635918</v>
      </c>
      <c r="N139" s="53" t="n">
        <f aca="false">IF(G139="","",MIN(1,G139+1.96*L139/100))</f>
        <v>0.568712118158759</v>
      </c>
      <c r="O139" s="52" t="n">
        <f aca="false">ROUND(S139*W139,0)</f>
        <v>70</v>
      </c>
      <c r="P139" s="52" t="n">
        <f aca="false">IF(F139="","",ROUND(SQRT((F139*L139/100)^2+(G139*O139)^2),0))</f>
        <v>41</v>
      </c>
      <c r="R139" s="54" t="n">
        <v>1.25576542370633</v>
      </c>
      <c r="S139" s="55" t="n">
        <f aca="false">U139*V139*$F$5</f>
        <v>789.294258373206</v>
      </c>
      <c r="T139" s="56" t="n">
        <f aca="false">MAX(0,MIN(1,R139/100+$D$5))</f>
        <v>0.524551068755828</v>
      </c>
      <c r="U139" s="56" t="n">
        <v>0.595693779904306</v>
      </c>
      <c r="V139" s="55" t="n">
        <v>1325</v>
      </c>
      <c r="W139" s="56" t="n">
        <v>0.0887445098984521</v>
      </c>
      <c r="X139" s="57" t="s">
        <v>135</v>
      </c>
      <c r="Y139" s="57" t="s">
        <v>130</v>
      </c>
    </row>
    <row r="140" customFormat="false" ht="15" hidden="false" customHeight="false" outlineLevel="0" collapsed="false">
      <c r="A140" s="25" t="s">
        <v>197</v>
      </c>
      <c r="B140" s="25" t="s">
        <v>281</v>
      </c>
      <c r="C140" s="25" t="s">
        <v>282</v>
      </c>
      <c r="D140" s="52" t="n">
        <f aca="false">ROUND(S140*T140,0)</f>
        <v>444</v>
      </c>
      <c r="E140" s="52" t="n">
        <f aca="false">ROUND(S140,0)-D140</f>
        <v>372</v>
      </c>
      <c r="F140" s="52" t="n">
        <f aca="false">IF(COUNTA(D140:E140)=0,"",SUM(D140:E140))</f>
        <v>816</v>
      </c>
      <c r="G140" s="53" t="n">
        <f aca="false">IF(OR(F140="",F140=0),"",D140/F140)</f>
        <v>0.544117647058824</v>
      </c>
      <c r="H140" s="53" t="n">
        <f aca="false">IF(OR(F140="",F140=0),"",E140/F140)</f>
        <v>0.455882352941176</v>
      </c>
      <c r="I140" s="25" t="s">
        <v>128</v>
      </c>
      <c r="J140" s="28" t="n">
        <v>2.22489971008846</v>
      </c>
      <c r="K140" s="28" t="n">
        <f aca="false">$K$8</f>
        <v>0.297938238782275</v>
      </c>
      <c r="L140" s="28" t="n">
        <f aca="false">SQRT(J140^2+K140^2)</f>
        <v>2.24475965619494</v>
      </c>
      <c r="M140" s="53" t="n">
        <f aca="false">IF(G140="","",MAX(0,G140-1.96*L140/100))</f>
        <v>0.500120357797403</v>
      </c>
      <c r="N140" s="53" t="n">
        <f aca="false">IF(G140="","",MIN(1,G140+1.96*L140/100))</f>
        <v>0.588114936320244</v>
      </c>
      <c r="O140" s="52" t="n">
        <f aca="false">ROUND(S140*W140,0)</f>
        <v>72</v>
      </c>
      <c r="P140" s="52" t="n">
        <f aca="false">IF(F140="","",ROUND(SQRT((F140*L140/100)^2+(G140*O140)^2),0))</f>
        <v>43</v>
      </c>
      <c r="R140" s="54" t="n">
        <v>3.21866101877049</v>
      </c>
      <c r="S140" s="55" t="n">
        <f aca="false">U140*V140*$F$5</f>
        <v>816.283916083916</v>
      </c>
      <c r="T140" s="56" t="n">
        <f aca="false">MAX(0,MIN(1,R140/100+$D$5))</f>
        <v>0.54418002470647</v>
      </c>
      <c r="U140" s="56" t="n">
        <v>0.572027972027972</v>
      </c>
      <c r="V140" s="55" t="n">
        <v>1427</v>
      </c>
      <c r="W140" s="56" t="n">
        <v>0.0887445098984521</v>
      </c>
      <c r="X140" s="57" t="s">
        <v>135</v>
      </c>
      <c r="Y140" s="57" t="s">
        <v>130</v>
      </c>
    </row>
    <row r="141" customFormat="false" ht="15" hidden="false" customHeight="false" outlineLevel="0" collapsed="false">
      <c r="A141" s="25" t="s">
        <v>197</v>
      </c>
      <c r="B141" s="25" t="s">
        <v>281</v>
      </c>
      <c r="C141" s="25" t="s">
        <v>283</v>
      </c>
      <c r="D141" s="52" t="n">
        <f aca="false">ROUND(S141*T141,0)</f>
        <v>442</v>
      </c>
      <c r="E141" s="52" t="n">
        <f aca="false">ROUND(S141,0)-D141</f>
        <v>381</v>
      </c>
      <c r="F141" s="52" t="n">
        <f aca="false">IF(COUNTA(D141:E141)=0,"",SUM(D141:E141))</f>
        <v>823</v>
      </c>
      <c r="G141" s="53" t="n">
        <f aca="false">IF(OR(F141="",F141=0),"",D141/F141)</f>
        <v>0.537059538274605</v>
      </c>
      <c r="H141" s="53" t="n">
        <f aca="false">IF(OR(F141="",F141=0),"",E141/F141)</f>
        <v>0.462940461725395</v>
      </c>
      <c r="I141" s="25" t="s">
        <v>128</v>
      </c>
      <c r="J141" s="28" t="n">
        <v>2.22489971008846</v>
      </c>
      <c r="K141" s="28" t="n">
        <f aca="false">$K$8</f>
        <v>0.297938238782275</v>
      </c>
      <c r="L141" s="28" t="n">
        <f aca="false">SQRT(J141^2+K141^2)</f>
        <v>2.24475965619494</v>
      </c>
      <c r="M141" s="53" t="n">
        <f aca="false">IF(G141="","",MAX(0,G141-1.96*L141/100))</f>
        <v>0.493062249013184</v>
      </c>
      <c r="N141" s="53" t="n">
        <f aca="false">IF(G141="","",MIN(1,G141+1.96*L141/100))</f>
        <v>0.581056827536026</v>
      </c>
      <c r="O141" s="52" t="n">
        <f aca="false">ROUND(S141*W141,0)</f>
        <v>73</v>
      </c>
      <c r="P141" s="52" t="n">
        <f aca="false">IF(F141="","",ROUND(SQRT((F141*L141/100)^2+(G141*O141)^2),0))</f>
        <v>43</v>
      </c>
      <c r="R141" s="54" t="n">
        <v>2.51952829215655</v>
      </c>
      <c r="S141" s="55" t="n">
        <f aca="false">U141*V141*$F$5</f>
        <v>823.491577335375</v>
      </c>
      <c r="T141" s="56" t="n">
        <f aca="false">MAX(0,MIN(1,R141/100+$D$5))</f>
        <v>0.53718869744033</v>
      </c>
      <c r="U141" s="56" t="n">
        <v>0.616385911179173</v>
      </c>
      <c r="V141" s="55" t="n">
        <v>1336</v>
      </c>
      <c r="W141" s="56" t="n">
        <v>0.0887445098984521</v>
      </c>
      <c r="X141" s="57" t="s">
        <v>135</v>
      </c>
      <c r="Y141" s="57" t="s">
        <v>130</v>
      </c>
    </row>
    <row r="142" customFormat="false" ht="15" hidden="false" customHeight="false" outlineLevel="0" collapsed="false">
      <c r="A142" s="25" t="s">
        <v>197</v>
      </c>
      <c r="B142" s="25" t="s">
        <v>281</v>
      </c>
      <c r="C142" s="25" t="s">
        <v>284</v>
      </c>
      <c r="D142" s="52" t="n">
        <f aca="false">ROUND(S142*T142,0)</f>
        <v>634</v>
      </c>
      <c r="E142" s="52" t="n">
        <f aca="false">ROUND(S142,0)-D142</f>
        <v>597</v>
      </c>
      <c r="F142" s="52" t="n">
        <f aca="false">IF(COUNTA(D142:E142)=0,"",SUM(D142:E142))</f>
        <v>1231</v>
      </c>
      <c r="G142" s="53" t="n">
        <f aca="false">IF(OR(F142="",F142=0),"",D142/F142)</f>
        <v>0.515028432168968</v>
      </c>
      <c r="H142" s="53" t="n">
        <f aca="false">IF(OR(F142="",F142=0),"",E142/F142)</f>
        <v>0.484971567831032</v>
      </c>
      <c r="I142" s="25" t="s">
        <v>128</v>
      </c>
      <c r="J142" s="28" t="n">
        <v>2.08262589216041</v>
      </c>
      <c r="K142" s="28" t="n">
        <f aca="false">$K$8</f>
        <v>0.297938238782275</v>
      </c>
      <c r="L142" s="28" t="n">
        <f aca="false">SQRT(J142^2+K142^2)</f>
        <v>2.1038293183682</v>
      </c>
      <c r="M142" s="53" t="n">
        <f aca="false">IF(G142="","",MAX(0,G142-1.96*L142/100))</f>
        <v>0.473793377528952</v>
      </c>
      <c r="N142" s="53" t="n">
        <f aca="false">IF(G142="","",MIN(1,G142+1.96*L142/100))</f>
        <v>0.556263486808985</v>
      </c>
      <c r="O142" s="52" t="n">
        <f aca="false">ROUND(S142*W142,0)</f>
        <v>84</v>
      </c>
      <c r="P142" s="52" t="n">
        <f aca="false">IF(F142="","",ROUND(SQRT((F142*L142/100)^2+(G142*O142)^2),0))</f>
        <v>50</v>
      </c>
      <c r="R142" s="54" t="n">
        <v>0.33946493511052</v>
      </c>
      <c r="S142" s="55" t="n">
        <f aca="false">U142*V142*$F$5</f>
        <v>1230.51149425287</v>
      </c>
      <c r="T142" s="56" t="n">
        <f aca="false">MAX(0,MIN(1,R142/100+$D$5))</f>
        <v>0.51538806386987</v>
      </c>
      <c r="U142" s="56" t="n">
        <v>0.58735632183908</v>
      </c>
      <c r="V142" s="55" t="n">
        <v>2095</v>
      </c>
      <c r="W142" s="56" t="n">
        <v>0.0684752145190268</v>
      </c>
      <c r="X142" s="57" t="s">
        <v>168</v>
      </c>
      <c r="Y142" s="57" t="s">
        <v>130</v>
      </c>
    </row>
    <row r="143" customFormat="false" ht="15" hidden="false" customHeight="false" outlineLevel="0" collapsed="false">
      <c r="A143" s="25" t="s">
        <v>197</v>
      </c>
      <c r="B143" s="25" t="s">
        <v>281</v>
      </c>
      <c r="C143" s="25" t="s">
        <v>285</v>
      </c>
      <c r="D143" s="52" t="n">
        <f aca="false">ROUND(S143*T143,0)</f>
        <v>520</v>
      </c>
      <c r="E143" s="52" t="n">
        <f aca="false">ROUND(S143,0)-D143</f>
        <v>407</v>
      </c>
      <c r="F143" s="52" t="n">
        <f aca="false">IF(COUNTA(D143:E143)=0,"",SUM(D143:E143))</f>
        <v>927</v>
      </c>
      <c r="G143" s="53" t="n">
        <f aca="false">IF(OR(F143="",F143=0),"",D143/F143)</f>
        <v>0.560949298813377</v>
      </c>
      <c r="H143" s="53" t="n">
        <f aca="false">IF(OR(F143="",F143=0),"",E143/F143)</f>
        <v>0.439050701186624</v>
      </c>
      <c r="I143" s="25" t="s">
        <v>128</v>
      </c>
      <c r="J143" s="28" t="n">
        <v>2.22489971008846</v>
      </c>
      <c r="K143" s="28" t="n">
        <f aca="false">$K$8</f>
        <v>0.297938238782275</v>
      </c>
      <c r="L143" s="28" t="n">
        <f aca="false">SQRT(J143^2+K143^2)</f>
        <v>2.24475965619494</v>
      </c>
      <c r="M143" s="53" t="n">
        <f aca="false">IF(G143="","",MAX(0,G143-1.96*L143/100))</f>
        <v>0.516952009551956</v>
      </c>
      <c r="N143" s="53" t="n">
        <f aca="false">IF(G143="","",MIN(1,G143+1.96*L143/100))</f>
        <v>0.604946588074797</v>
      </c>
      <c r="O143" s="52" t="n">
        <f aca="false">ROUND(S143*W143,0)</f>
        <v>82</v>
      </c>
      <c r="P143" s="52" t="n">
        <f aca="false">IF(F143="","",ROUND(SQRT((F143*L143/100)^2+(G143*O143)^2),0))</f>
        <v>50</v>
      </c>
      <c r="R143" s="54" t="n">
        <v>4.89105490735996</v>
      </c>
      <c r="S143" s="55" t="n">
        <f aca="false">U143*V143*$F$5</f>
        <v>927.10447761194</v>
      </c>
      <c r="T143" s="56" t="n">
        <f aca="false">MAX(0,MIN(1,R143/100+$D$5))</f>
        <v>0.560903963592364</v>
      </c>
      <c r="U143" s="56" t="n">
        <v>0.546641791044776</v>
      </c>
      <c r="V143" s="55" t="n">
        <v>1696</v>
      </c>
      <c r="W143" s="56" t="n">
        <v>0.0887445098984521</v>
      </c>
      <c r="X143" s="57" t="s">
        <v>135</v>
      </c>
      <c r="Y143" s="57" t="s">
        <v>130</v>
      </c>
    </row>
    <row r="144" customFormat="false" ht="15" hidden="false" customHeight="false" outlineLevel="0" collapsed="false">
      <c r="A144" s="25" t="s">
        <v>197</v>
      </c>
      <c r="B144" s="25" t="s">
        <v>281</v>
      </c>
      <c r="C144" s="25" t="s">
        <v>286</v>
      </c>
      <c r="D144" s="52" t="n">
        <f aca="false">ROUND(S144*T144,0)</f>
        <v>294</v>
      </c>
      <c r="E144" s="52" t="n">
        <f aca="false">ROUND(S144,0)-D144</f>
        <v>277</v>
      </c>
      <c r="F144" s="52" t="n">
        <f aca="false">IF(COUNTA(D144:E144)=0,"",SUM(D144:E144))</f>
        <v>571</v>
      </c>
      <c r="G144" s="53" t="n">
        <f aca="false">IF(OR(F144="",F144=0),"",D144/F144)</f>
        <v>0.514886164623468</v>
      </c>
      <c r="H144" s="53" t="n">
        <f aca="false">IF(OR(F144="",F144=0),"",E144/F144)</f>
        <v>0.485113835376532</v>
      </c>
      <c r="I144" s="25" t="s">
        <v>128</v>
      </c>
      <c r="J144" s="28" t="n">
        <v>2.22489971008846</v>
      </c>
      <c r="K144" s="28" t="n">
        <f aca="false">$K$8</f>
        <v>0.297938238782275</v>
      </c>
      <c r="L144" s="28" t="n">
        <f aca="false">SQRT(J144^2+K144^2)</f>
        <v>2.24475965619494</v>
      </c>
      <c r="M144" s="53" t="n">
        <f aca="false">IF(G144="","",MAX(0,G144-1.96*L144/100))</f>
        <v>0.470888875362047</v>
      </c>
      <c r="N144" s="53" t="n">
        <f aca="false">IF(G144="","",MIN(1,G144+1.96*L144/100))</f>
        <v>0.558883453884888</v>
      </c>
      <c r="O144" s="52" t="n">
        <f aca="false">ROUND(S144*W144,0)</f>
        <v>51</v>
      </c>
      <c r="P144" s="52" t="n">
        <f aca="false">IF(F144="","",ROUND(SQRT((F144*L144/100)^2+(G144*O144)^2),0))</f>
        <v>29</v>
      </c>
      <c r="R144" s="54" t="n">
        <v>0.208829021886881</v>
      </c>
      <c r="S144" s="55" t="n">
        <f aca="false">U144*V144*$F$5</f>
        <v>571.471747700394</v>
      </c>
      <c r="T144" s="56" t="n">
        <f aca="false">MAX(0,MIN(1,R144/100+$D$5))</f>
        <v>0.514081704737634</v>
      </c>
      <c r="U144" s="56" t="n">
        <v>0.727989487516426</v>
      </c>
      <c r="V144" s="55" t="n">
        <v>785</v>
      </c>
      <c r="W144" s="56" t="n">
        <v>0.0887445098984521</v>
      </c>
      <c r="X144" s="57" t="s">
        <v>135</v>
      </c>
      <c r="Y144" s="57" t="s">
        <v>130</v>
      </c>
    </row>
    <row r="145" customFormat="false" ht="15" hidden="false" customHeight="false" outlineLevel="0" collapsed="false">
      <c r="A145" s="25" t="s">
        <v>197</v>
      </c>
      <c r="B145" s="25" t="s">
        <v>281</v>
      </c>
      <c r="C145" s="25" t="s">
        <v>287</v>
      </c>
      <c r="D145" s="52" t="n">
        <f aca="false">ROUND(S145*T145,0)</f>
        <v>572</v>
      </c>
      <c r="E145" s="52" t="n">
        <f aca="false">ROUND(S145,0)-D145</f>
        <v>433</v>
      </c>
      <c r="F145" s="52" t="n">
        <f aca="false">IF(COUNTA(D145:E145)=0,"",SUM(D145:E145))</f>
        <v>1005</v>
      </c>
      <c r="G145" s="53" t="n">
        <f aca="false">IF(OR(F145="",F145=0),"",D145/F145)</f>
        <v>0.569154228855721</v>
      </c>
      <c r="H145" s="53" t="n">
        <f aca="false">IF(OR(F145="",F145=0),"",E145/F145)</f>
        <v>0.430845771144279</v>
      </c>
      <c r="I145" s="25" t="s">
        <v>128</v>
      </c>
      <c r="J145" s="28" t="n">
        <v>2.08262589216041</v>
      </c>
      <c r="K145" s="28" t="n">
        <f aca="false">$K$8</f>
        <v>0.297938238782275</v>
      </c>
      <c r="L145" s="28" t="n">
        <f aca="false">SQRT(J145^2+K145^2)</f>
        <v>2.1038293183682</v>
      </c>
      <c r="M145" s="53" t="n">
        <f aca="false">IF(G145="","",MAX(0,G145-1.96*L145/100))</f>
        <v>0.527919174215705</v>
      </c>
      <c r="N145" s="53" t="n">
        <f aca="false">IF(G145="","",MIN(1,G145+1.96*L145/100))</f>
        <v>0.610389283495738</v>
      </c>
      <c r="O145" s="52" t="n">
        <f aca="false">ROUND(S145*W145,0)</f>
        <v>69</v>
      </c>
      <c r="P145" s="52" t="n">
        <f aca="false">IF(F145="","",ROUND(SQRT((F145*L145/100)^2+(G145*O145)^2),0))</f>
        <v>45</v>
      </c>
      <c r="R145" s="54" t="n">
        <v>5.73865232541721</v>
      </c>
      <c r="S145" s="55" t="n">
        <f aca="false">U145*V145*$F$5</f>
        <v>1004.53991291727</v>
      </c>
      <c r="T145" s="56" t="n">
        <f aca="false">MAX(0,MIN(1,R145/100+$D$5))</f>
        <v>0.569379937772937</v>
      </c>
      <c r="U145" s="56" t="n">
        <v>0.730043541364296</v>
      </c>
      <c r="V145" s="55" t="n">
        <v>1376</v>
      </c>
      <c r="W145" s="56" t="n">
        <v>0.0684752145190268</v>
      </c>
      <c r="X145" s="57" t="s">
        <v>168</v>
      </c>
      <c r="Y145" s="57" t="s">
        <v>130</v>
      </c>
    </row>
    <row r="146" customFormat="false" ht="15" hidden="false" customHeight="false" outlineLevel="0" collapsed="false">
      <c r="A146" s="25" t="s">
        <v>197</v>
      </c>
      <c r="B146" s="25" t="s">
        <v>288</v>
      </c>
      <c r="C146" s="25" t="s">
        <v>289</v>
      </c>
      <c r="D146" s="52" t="n">
        <f aca="false">ROUND(S146*T146,0)</f>
        <v>406</v>
      </c>
      <c r="E146" s="52" t="n">
        <f aca="false">ROUND(S146,0)-D146</f>
        <v>197</v>
      </c>
      <c r="F146" s="52" t="n">
        <f aca="false">IF(COUNTA(D146:E146)=0,"",SUM(D146:E146))</f>
        <v>603</v>
      </c>
      <c r="G146" s="53" t="n">
        <f aca="false">IF(OR(F146="",F146=0),"",D146/F146)</f>
        <v>0.673300165837479</v>
      </c>
      <c r="H146" s="53" t="n">
        <f aca="false">IF(OR(F146="",F146=0),"",E146/F146)</f>
        <v>0.326699834162521</v>
      </c>
      <c r="I146" s="25" t="s">
        <v>128</v>
      </c>
      <c r="J146" s="28" t="n">
        <v>2.22489971008846</v>
      </c>
      <c r="K146" s="28" t="n">
        <f aca="false">$K$8</f>
        <v>0.297938238782275</v>
      </c>
      <c r="L146" s="28" t="n">
        <f aca="false">SQRT(J146^2+K146^2)</f>
        <v>2.24475965619494</v>
      </c>
      <c r="M146" s="53" t="n">
        <f aca="false">IF(G146="","",MAX(0,G146-1.96*L146/100))</f>
        <v>0.629302876576059</v>
      </c>
      <c r="N146" s="53" t="n">
        <f aca="false">IF(G146="","",MIN(1,G146+1.96*L146/100))</f>
        <v>0.7172974550989</v>
      </c>
      <c r="O146" s="52" t="n">
        <f aca="false">ROUND(S146*W146,0)</f>
        <v>54</v>
      </c>
      <c r="P146" s="52" t="n">
        <f aca="false">IF(F146="","",ROUND(SQRT((F146*L146/100)^2+(G146*O146)^2),0))</f>
        <v>39</v>
      </c>
      <c r="R146" s="54" t="n">
        <v>16.084819900378</v>
      </c>
      <c r="S146" s="55" t="n">
        <f aca="false">U146*V146*$F$5</f>
        <v>603.200953137411</v>
      </c>
      <c r="T146" s="56" t="n">
        <f aca="false">MAX(0,MIN(1,R146/100+$D$5))</f>
        <v>0.672841613522544</v>
      </c>
      <c r="U146" s="56" t="n">
        <v>0.453534551231136</v>
      </c>
      <c r="V146" s="55" t="n">
        <v>1330</v>
      </c>
      <c r="W146" s="56" t="n">
        <v>0.0887445098984521</v>
      </c>
      <c r="X146" s="57" t="s">
        <v>135</v>
      </c>
      <c r="Y146" s="57" t="s">
        <v>130</v>
      </c>
    </row>
    <row r="147" customFormat="false" ht="15" hidden="false" customHeight="false" outlineLevel="0" collapsed="false">
      <c r="A147" s="25" t="s">
        <v>197</v>
      </c>
      <c r="B147" s="25" t="s">
        <v>288</v>
      </c>
      <c r="C147" s="25" t="s">
        <v>290</v>
      </c>
      <c r="D147" s="52" t="n">
        <f aca="false">ROUND(S147*T147,0)</f>
        <v>301</v>
      </c>
      <c r="E147" s="52" t="n">
        <f aca="false">ROUND(S147,0)-D147</f>
        <v>183</v>
      </c>
      <c r="F147" s="52" t="n">
        <f aca="false">IF(COUNTA(D147:E147)=0,"",SUM(D147:E147))</f>
        <v>484</v>
      </c>
      <c r="G147" s="53" t="n">
        <f aca="false">IF(OR(F147="",F147=0),"",D147/F147)</f>
        <v>0.621900826446281</v>
      </c>
      <c r="H147" s="53" t="n">
        <f aca="false">IF(OR(F147="",F147=0),"",E147/F147)</f>
        <v>0.378099173553719</v>
      </c>
      <c r="I147" s="25" t="s">
        <v>128</v>
      </c>
      <c r="J147" s="28" t="n">
        <v>3.1978281706008</v>
      </c>
      <c r="K147" s="28" t="n">
        <f aca="false">$K$8</f>
        <v>0.297938238782275</v>
      </c>
      <c r="L147" s="28" t="n">
        <f aca="false">SQRT(J147^2+K147^2)</f>
        <v>3.21167747490571</v>
      </c>
      <c r="M147" s="53" t="n">
        <f aca="false">IF(G147="","",MAX(0,G147-1.96*L147/100))</f>
        <v>0.558951947938129</v>
      </c>
      <c r="N147" s="53" t="n">
        <f aca="false">IF(G147="","",MIN(1,G147+1.96*L147/100))</f>
        <v>0.684849704954433</v>
      </c>
      <c r="O147" s="52" t="n">
        <f aca="false">ROUND(S147*W147,0)</f>
        <v>72</v>
      </c>
      <c r="P147" s="52" t="n">
        <f aca="false">IF(F147="","",ROUND(SQRT((F147*L147/100)^2+(G147*O147)^2),0))</f>
        <v>47</v>
      </c>
      <c r="R147" s="54" t="n">
        <v>10.9414911229324</v>
      </c>
      <c r="S147" s="55" t="n">
        <f aca="false">U147*V147*$F$5</f>
        <v>483.987301587302</v>
      </c>
      <c r="T147" s="56" t="n">
        <f aca="false">MAX(0,MIN(1,R147/100+$D$5))</f>
        <v>0.621408325748089</v>
      </c>
      <c r="U147" s="56" t="n">
        <v>0.499470899470899</v>
      </c>
      <c r="V147" s="55" t="n">
        <v>969</v>
      </c>
      <c r="W147" s="56" t="n">
        <v>0.148097331980838</v>
      </c>
      <c r="X147" s="57" t="s">
        <v>129</v>
      </c>
      <c r="Y147" s="57" t="s">
        <v>130</v>
      </c>
    </row>
    <row r="148" customFormat="false" ht="15" hidden="false" customHeight="false" outlineLevel="0" collapsed="false">
      <c r="A148" s="25" t="s">
        <v>197</v>
      </c>
      <c r="B148" s="25" t="s">
        <v>288</v>
      </c>
      <c r="C148" s="25" t="s">
        <v>291</v>
      </c>
      <c r="D148" s="52" t="n">
        <f aca="false">ROUND(S148*T148,0)</f>
        <v>332</v>
      </c>
      <c r="E148" s="52" t="n">
        <f aca="false">ROUND(S148,0)-D148</f>
        <v>183</v>
      </c>
      <c r="F148" s="52" t="n">
        <f aca="false">IF(COUNTA(D148:E148)=0,"",SUM(D148:E148))</f>
        <v>515</v>
      </c>
      <c r="G148" s="53" t="n">
        <f aca="false">IF(OR(F148="",F148=0),"",D148/F148)</f>
        <v>0.644660194174757</v>
      </c>
      <c r="H148" s="53" t="n">
        <f aca="false">IF(OR(F148="",F148=0),"",E148/F148)</f>
        <v>0.355339805825243</v>
      </c>
      <c r="I148" s="25" t="s">
        <v>128</v>
      </c>
      <c r="J148" s="28" t="n">
        <v>3.1978281706008</v>
      </c>
      <c r="K148" s="28" t="n">
        <f aca="false">$K$8</f>
        <v>0.297938238782275</v>
      </c>
      <c r="L148" s="28" t="n">
        <f aca="false">SQRT(J148^2+K148^2)</f>
        <v>3.21167747490571</v>
      </c>
      <c r="M148" s="53" t="n">
        <f aca="false">IF(G148="","",MAX(0,G148-1.96*L148/100))</f>
        <v>0.581711315666605</v>
      </c>
      <c r="N148" s="53" t="n">
        <f aca="false">IF(G148="","",MIN(1,G148+1.96*L148/100))</f>
        <v>0.707609072682909</v>
      </c>
      <c r="O148" s="52" t="n">
        <f aca="false">ROUND(S148*W148,0)</f>
        <v>76</v>
      </c>
      <c r="P148" s="52" t="n">
        <f aca="false">IF(F148="","",ROUND(SQRT((F148*L148/100)^2+(G148*O148)^2),0))</f>
        <v>52</v>
      </c>
      <c r="R148" s="54" t="n">
        <v>13.1719838511696</v>
      </c>
      <c r="S148" s="55" t="n">
        <f aca="false">U148*V148*$F$5</f>
        <v>515.312883435583</v>
      </c>
      <c r="T148" s="56" t="n">
        <f aca="false">MAX(0,MIN(1,R148/100+$D$5))</f>
        <v>0.643713253030461</v>
      </c>
      <c r="U148" s="56" t="n">
        <v>0.620858895705521</v>
      </c>
      <c r="V148" s="55" t="n">
        <v>830</v>
      </c>
      <c r="W148" s="56" t="n">
        <v>0.148097331980838</v>
      </c>
      <c r="X148" s="57" t="s">
        <v>129</v>
      </c>
      <c r="Y148" s="57" t="s">
        <v>130</v>
      </c>
    </row>
    <row r="149" customFormat="false" ht="15" hidden="false" customHeight="false" outlineLevel="0" collapsed="false">
      <c r="A149" s="25" t="s">
        <v>197</v>
      </c>
      <c r="B149" s="25" t="s">
        <v>292</v>
      </c>
      <c r="C149" s="25" t="s">
        <v>292</v>
      </c>
      <c r="D149" s="52" t="n">
        <f aca="false">ROUND(S149*T149,0)</f>
        <v>269</v>
      </c>
      <c r="E149" s="52" t="n">
        <f aca="false">ROUND(S149,0)-D149</f>
        <v>215</v>
      </c>
      <c r="F149" s="52" t="n">
        <f aca="false">IF(COUNTA(D149:E149)=0,"",SUM(D149:E149))</f>
        <v>484</v>
      </c>
      <c r="G149" s="53" t="n">
        <f aca="false">IF(OR(F149="",F149=0),"",D149/F149)</f>
        <v>0.555785123966942</v>
      </c>
      <c r="H149" s="53" t="n">
        <f aca="false">IF(OR(F149="",F149=0),"",E149/F149)</f>
        <v>0.444214876033058</v>
      </c>
      <c r="I149" s="25" t="s">
        <v>128</v>
      </c>
      <c r="J149" s="28" t="n">
        <v>3.1978281706008</v>
      </c>
      <c r="K149" s="28" t="n">
        <f aca="false">$K$8</f>
        <v>0.297938238782275</v>
      </c>
      <c r="L149" s="28" t="n">
        <f aca="false">SQRT(J149^2+K149^2)</f>
        <v>3.21167747490571</v>
      </c>
      <c r="M149" s="53" t="n">
        <f aca="false">IF(G149="","",MAX(0,G149-1.96*L149/100))</f>
        <v>0.49283624545879</v>
      </c>
      <c r="N149" s="53" t="n">
        <f aca="false">IF(G149="","",MIN(1,G149+1.96*L149/100))</f>
        <v>0.618734002475094</v>
      </c>
      <c r="O149" s="52" t="n">
        <f aca="false">ROUND(S149*W149,0)</f>
        <v>72</v>
      </c>
      <c r="P149" s="52" t="n">
        <f aca="false">IF(F149="","",ROUND(SQRT((F149*L149/100)^2+(G149*O149)^2),0))</f>
        <v>43</v>
      </c>
      <c r="R149" s="54" t="n">
        <v>4.34098843260882</v>
      </c>
      <c r="S149" s="55" t="n">
        <f aca="false">U149*V149*$F$5</f>
        <v>483.913480885312</v>
      </c>
      <c r="T149" s="56" t="n">
        <f aca="false">MAX(0,MIN(1,R149/100+$D$5))</f>
        <v>0.555403298844853</v>
      </c>
      <c r="U149" s="56" t="n">
        <v>0.469818913480885</v>
      </c>
      <c r="V149" s="55" t="n">
        <v>1030</v>
      </c>
      <c r="W149" s="56" t="n">
        <v>0.148097331980838</v>
      </c>
      <c r="X149" s="57" t="s">
        <v>129</v>
      </c>
      <c r="Y149" s="57" t="s">
        <v>130</v>
      </c>
    </row>
    <row r="150" customFormat="false" ht="15" hidden="false" customHeight="false" outlineLevel="0" collapsed="false">
      <c r="A150" s="25" t="s">
        <v>197</v>
      </c>
      <c r="B150" s="25" t="s">
        <v>293</v>
      </c>
      <c r="C150" s="25" t="s">
        <v>293</v>
      </c>
      <c r="D150" s="52" t="n">
        <f aca="false">ROUND(S150*T150,0)</f>
        <v>518</v>
      </c>
      <c r="E150" s="52" t="n">
        <f aca="false">ROUND(S150,0)-D150</f>
        <v>1139</v>
      </c>
      <c r="F150" s="52" t="n">
        <f aca="false">IF(COUNTA(D150:E150)=0,"",SUM(D150:E150))</f>
        <v>1657</v>
      </c>
      <c r="G150" s="53" t="n">
        <f aca="false">IF(OR(F150="",F150=0),"",D150/F150)</f>
        <v>0.312613156306578</v>
      </c>
      <c r="H150" s="53" t="n">
        <f aca="false">IF(OR(F150="",F150=0),"",E150/F150)</f>
        <v>0.687386843693422</v>
      </c>
      <c r="I150" s="25" t="s">
        <v>128</v>
      </c>
      <c r="J150" s="28" t="n">
        <v>2.08262589216041</v>
      </c>
      <c r="K150" s="28" t="n">
        <f aca="false">$K$8</f>
        <v>0.297938238782275</v>
      </c>
      <c r="L150" s="28" t="n">
        <f aca="false">SQRT(J150^2+K150^2)</f>
        <v>2.1038293183682</v>
      </c>
      <c r="M150" s="53" t="n">
        <f aca="false">IF(G150="","",MAX(0,G150-1.96*L150/100))</f>
        <v>0.271378101666561</v>
      </c>
      <c r="N150" s="53" t="n">
        <f aca="false">IF(G150="","",MIN(1,G150+1.96*L150/100))</f>
        <v>0.353848210946595</v>
      </c>
      <c r="O150" s="52" t="n">
        <f aca="false">ROUND(S150*W150,0)</f>
        <v>113</v>
      </c>
      <c r="P150" s="52" t="n">
        <f aca="false">IF(F150="","",ROUND(SQRT((F150*L150/100)^2+(G150*O150)^2),0))</f>
        <v>50</v>
      </c>
      <c r="R150" s="54" t="n">
        <v>-19.9314742048397</v>
      </c>
      <c r="S150" s="55" t="n">
        <f aca="false">U150*V150*$F$5</f>
        <v>1656.73758865248</v>
      </c>
      <c r="T150" s="56" t="n">
        <f aca="false">MAX(0,MIN(1,R150/100+$D$5))</f>
        <v>0.312678672470368</v>
      </c>
      <c r="U150" s="56" t="n">
        <v>0.66750104297038</v>
      </c>
      <c r="V150" s="55" t="n">
        <v>2482</v>
      </c>
      <c r="W150" s="56" t="n">
        <v>0.0684752145190268</v>
      </c>
      <c r="X150" s="57" t="s">
        <v>168</v>
      </c>
      <c r="Y150" s="57" t="s">
        <v>130</v>
      </c>
    </row>
    <row r="151" customFormat="false" ht="15" hidden="false" customHeight="false" outlineLevel="0" collapsed="false">
      <c r="A151" s="25" t="s">
        <v>197</v>
      </c>
      <c r="B151" s="25" t="s">
        <v>294</v>
      </c>
      <c r="C151" s="25" t="s">
        <v>295</v>
      </c>
      <c r="D151" s="52" t="n">
        <f aca="false">ROUND(S151*T151,0)</f>
        <v>773</v>
      </c>
      <c r="E151" s="52" t="n">
        <f aca="false">ROUND(S151,0)-D151</f>
        <v>767</v>
      </c>
      <c r="F151" s="52" t="n">
        <f aca="false">IF(COUNTA(D151:E151)=0,"",SUM(D151:E151))</f>
        <v>1540</v>
      </c>
      <c r="G151" s="53" t="n">
        <f aca="false">IF(OR(F151="",F151=0),"",D151/F151)</f>
        <v>0.501948051948052</v>
      </c>
      <c r="H151" s="53" t="n">
        <f aca="false">IF(OR(F151="",F151=0),"",E151/F151)</f>
        <v>0.498051948051948</v>
      </c>
      <c r="I151" s="25" t="s">
        <v>128</v>
      </c>
      <c r="J151" s="28" t="n">
        <v>2.08262589216041</v>
      </c>
      <c r="K151" s="28" t="n">
        <f aca="false">$K$8</f>
        <v>0.297938238782275</v>
      </c>
      <c r="L151" s="28" t="n">
        <f aca="false">SQRT(J151^2+K151^2)</f>
        <v>2.1038293183682</v>
      </c>
      <c r="M151" s="53" t="n">
        <f aca="false">IF(G151="","",MAX(0,G151-1.96*L151/100))</f>
        <v>0.460712997308035</v>
      </c>
      <c r="N151" s="53" t="n">
        <f aca="false">IF(G151="","",MIN(1,G151+1.96*L151/100))</f>
        <v>0.543183106588069</v>
      </c>
      <c r="O151" s="52" t="n">
        <f aca="false">ROUND(S151*W151,0)</f>
        <v>105</v>
      </c>
      <c r="P151" s="52" t="n">
        <f aca="false">IF(F151="","",ROUND(SQRT((F151*L151/100)^2+(G151*O151)^2),0))</f>
        <v>62</v>
      </c>
      <c r="R151" s="54" t="n">
        <v>-1.02255622328588</v>
      </c>
      <c r="S151" s="55" t="n">
        <f aca="false">U151*V151*$F$5</f>
        <v>1540.493339254</v>
      </c>
      <c r="T151" s="56" t="n">
        <f aca="false">MAX(0,MIN(1,R151/100+$D$5))</f>
        <v>0.501767852285906</v>
      </c>
      <c r="U151" s="56" t="n">
        <v>0.670071047957371</v>
      </c>
      <c r="V151" s="55" t="n">
        <v>2299</v>
      </c>
      <c r="W151" s="56" t="n">
        <v>0.0684752145190268</v>
      </c>
      <c r="X151" s="57" t="s">
        <v>168</v>
      </c>
      <c r="Y151" s="57" t="s">
        <v>130</v>
      </c>
    </row>
    <row r="152" customFormat="false" ht="15" hidden="false" customHeight="false" outlineLevel="0" collapsed="false">
      <c r="A152" s="25" t="s">
        <v>197</v>
      </c>
      <c r="B152" s="25" t="s">
        <v>294</v>
      </c>
      <c r="C152" s="25" t="s">
        <v>296</v>
      </c>
      <c r="D152" s="52" t="n">
        <f aca="false">ROUND(S152*T152,0)</f>
        <v>861</v>
      </c>
      <c r="E152" s="52" t="n">
        <f aca="false">ROUND(S152,0)-D152</f>
        <v>834</v>
      </c>
      <c r="F152" s="52" t="n">
        <f aca="false">IF(COUNTA(D152:E152)=0,"",SUM(D152:E152))</f>
        <v>1695</v>
      </c>
      <c r="G152" s="53" t="n">
        <f aca="false">IF(OR(F152="",F152=0),"",D152/F152)</f>
        <v>0.507964601769912</v>
      </c>
      <c r="H152" s="53" t="n">
        <f aca="false">IF(OR(F152="",F152=0),"",E152/F152)</f>
        <v>0.492035398230089</v>
      </c>
      <c r="I152" s="25" t="s">
        <v>128</v>
      </c>
      <c r="J152" s="28" t="n">
        <v>2.08262589216041</v>
      </c>
      <c r="K152" s="28" t="n">
        <f aca="false">$K$8</f>
        <v>0.297938238782275</v>
      </c>
      <c r="L152" s="28" t="n">
        <f aca="false">SQRT(J152^2+K152^2)</f>
        <v>2.1038293183682</v>
      </c>
      <c r="M152" s="53" t="n">
        <f aca="false">IF(G152="","",MAX(0,G152-1.96*L152/100))</f>
        <v>0.466729547129895</v>
      </c>
      <c r="N152" s="53" t="n">
        <f aca="false">IF(G152="","",MIN(1,G152+1.96*L152/100))</f>
        <v>0.549199656409928</v>
      </c>
      <c r="O152" s="52" t="n">
        <f aca="false">ROUND(S152*W152,0)</f>
        <v>116</v>
      </c>
      <c r="P152" s="52" t="n">
        <f aca="false">IF(F152="","",ROUND(SQRT((F152*L152/100)^2+(G152*O152)^2),0))</f>
        <v>69</v>
      </c>
      <c r="R152" s="54" t="n">
        <v>-0.399719964712954</v>
      </c>
      <c r="S152" s="55" t="n">
        <f aca="false">U152*V152*$F$5</f>
        <v>1695.44705882353</v>
      </c>
      <c r="T152" s="56" t="n">
        <f aca="false">MAX(0,MIN(1,R152/100+$D$5))</f>
        <v>0.507996214871635</v>
      </c>
      <c r="U152" s="56" t="n">
        <v>0.620588235294118</v>
      </c>
      <c r="V152" s="55" t="n">
        <v>2732</v>
      </c>
      <c r="W152" s="56" t="n">
        <v>0.0684752145190268</v>
      </c>
      <c r="X152" s="57" t="s">
        <v>168</v>
      </c>
      <c r="Y152" s="57" t="s">
        <v>130</v>
      </c>
    </row>
    <row r="153" customFormat="false" ht="15" hidden="false" customHeight="false" outlineLevel="0" collapsed="false">
      <c r="A153" s="25" t="s">
        <v>197</v>
      </c>
      <c r="B153" s="25" t="s">
        <v>294</v>
      </c>
      <c r="C153" s="25" t="s">
        <v>297</v>
      </c>
      <c r="D153" s="52" t="n">
        <f aca="false">ROUND(S153*T153,0)</f>
        <v>1502</v>
      </c>
      <c r="E153" s="52" t="n">
        <f aca="false">ROUND(S153,0)-D153</f>
        <v>1463</v>
      </c>
      <c r="F153" s="52" t="n">
        <f aca="false">IF(COUNTA(D153:E153)=0,"",SUM(D153:E153))</f>
        <v>2965</v>
      </c>
      <c r="G153" s="53" t="n">
        <f aca="false">IF(OR(F153="",F153=0),"",D153/F153)</f>
        <v>0.506576728499157</v>
      </c>
      <c r="H153" s="53" t="n">
        <f aca="false">IF(OR(F153="",F153=0),"",E153/F153)</f>
        <v>0.493423271500843</v>
      </c>
      <c r="I153" s="25" t="s">
        <v>128</v>
      </c>
      <c r="J153" s="28" t="n">
        <v>2.08262589216041</v>
      </c>
      <c r="K153" s="28" t="n">
        <f aca="false">$K$8</f>
        <v>0.297938238782275</v>
      </c>
      <c r="L153" s="28" t="n">
        <f aca="false">SQRT(J153^2+K153^2)</f>
        <v>2.1038293183682</v>
      </c>
      <c r="M153" s="53" t="n">
        <f aca="false">IF(G153="","",MAX(0,G153-1.96*L153/100))</f>
        <v>0.46534167385914</v>
      </c>
      <c r="N153" s="53" t="n">
        <f aca="false">IF(G153="","",MIN(1,G153+1.96*L153/100))</f>
        <v>0.547811783139174</v>
      </c>
      <c r="O153" s="52" t="n">
        <f aca="false">ROUND(S153*W153,0)</f>
        <v>203</v>
      </c>
      <c r="P153" s="52" t="n">
        <f aca="false">IF(F153="","",ROUND(SQRT((F153*L153/100)^2+(G153*O153)^2),0))</f>
        <v>120</v>
      </c>
      <c r="R153" s="54" t="n">
        <v>-0.554929940855181</v>
      </c>
      <c r="S153" s="55" t="n">
        <f aca="false">U153*V153*$F$5</f>
        <v>2965.37262012693</v>
      </c>
      <c r="T153" s="56" t="n">
        <f aca="false">MAX(0,MIN(1,R153/100+$D$5))</f>
        <v>0.506444115110213</v>
      </c>
      <c r="U153" s="56" t="n">
        <v>0.668177697189484</v>
      </c>
      <c r="V153" s="55" t="n">
        <v>4438</v>
      </c>
      <c r="W153" s="56" t="n">
        <v>0.0684752145190268</v>
      </c>
      <c r="X153" s="57" t="s">
        <v>168</v>
      </c>
      <c r="Y153" s="57" t="s">
        <v>130</v>
      </c>
    </row>
    <row r="154" customFormat="false" ht="15" hidden="false" customHeight="false" outlineLevel="0" collapsed="false">
      <c r="A154" s="25" t="s">
        <v>197</v>
      </c>
      <c r="B154" s="25" t="s">
        <v>294</v>
      </c>
      <c r="C154" s="25" t="s">
        <v>298</v>
      </c>
      <c r="D154" s="52" t="n">
        <f aca="false">ROUND(S154*T154,0)</f>
        <v>758</v>
      </c>
      <c r="E154" s="52" t="n">
        <f aca="false">ROUND(S154,0)-D154</f>
        <v>750</v>
      </c>
      <c r="F154" s="52" t="n">
        <f aca="false">IF(COUNTA(D154:E154)=0,"",SUM(D154:E154))</f>
        <v>1508</v>
      </c>
      <c r="G154" s="53" t="n">
        <f aca="false">IF(OR(F154="",F154=0),"",D154/F154)</f>
        <v>0.502652519893899</v>
      </c>
      <c r="H154" s="53" t="n">
        <f aca="false">IF(OR(F154="",F154=0),"",E154/F154)</f>
        <v>0.497347480106101</v>
      </c>
      <c r="I154" s="25" t="s">
        <v>128</v>
      </c>
      <c r="J154" s="28" t="n">
        <v>2.08262589216041</v>
      </c>
      <c r="K154" s="28" t="n">
        <f aca="false">$K$8</f>
        <v>0.297938238782275</v>
      </c>
      <c r="L154" s="28" t="n">
        <f aca="false">SQRT(J154^2+K154^2)</f>
        <v>2.1038293183682</v>
      </c>
      <c r="M154" s="53" t="n">
        <f aca="false">IF(G154="","",MAX(0,G154-1.96*L154/100))</f>
        <v>0.461417465253882</v>
      </c>
      <c r="N154" s="53" t="n">
        <f aca="false">IF(G154="","",MIN(1,G154+1.96*L154/100))</f>
        <v>0.543887574533916</v>
      </c>
      <c r="O154" s="52" t="n">
        <f aca="false">ROUND(S154*W154,0)</f>
        <v>103</v>
      </c>
      <c r="P154" s="52" t="n">
        <f aca="false">IF(F154="","",ROUND(SQRT((F154*L154/100)^2+(G154*O154)^2),0))</f>
        <v>61</v>
      </c>
      <c r="R154" s="54" t="n">
        <v>-0.937465844623963</v>
      </c>
      <c r="S154" s="55" t="n">
        <f aca="false">U154*V154*$F$5</f>
        <v>1507.62659380692</v>
      </c>
      <c r="T154" s="56" t="n">
        <f aca="false">MAX(0,MIN(1,R154/100+$D$5))</f>
        <v>0.502618756072525</v>
      </c>
      <c r="U154" s="56" t="n">
        <v>0.679417122040073</v>
      </c>
      <c r="V154" s="55" t="n">
        <v>2219</v>
      </c>
      <c r="W154" s="56" t="n">
        <v>0.0684752145190268</v>
      </c>
      <c r="X154" s="57" t="s">
        <v>168</v>
      </c>
      <c r="Y154" s="57" t="s">
        <v>130</v>
      </c>
    </row>
    <row r="155" customFormat="false" ht="15" hidden="false" customHeight="false" outlineLevel="0" collapsed="false">
      <c r="A155" s="25" t="s">
        <v>197</v>
      </c>
      <c r="B155" s="25" t="s">
        <v>294</v>
      </c>
      <c r="C155" s="25" t="s">
        <v>299</v>
      </c>
      <c r="D155" s="52" t="n">
        <f aca="false">ROUND(S155*T155,0)</f>
        <v>693</v>
      </c>
      <c r="E155" s="52" t="n">
        <f aca="false">ROUND(S155,0)-D155</f>
        <v>691</v>
      </c>
      <c r="F155" s="52" t="n">
        <f aca="false">IF(COUNTA(D155:E155)=0,"",SUM(D155:E155))</f>
        <v>1384</v>
      </c>
      <c r="G155" s="53" t="n">
        <f aca="false">IF(OR(F155="",F155=0),"",D155/F155)</f>
        <v>0.500722543352601</v>
      </c>
      <c r="H155" s="53" t="n">
        <f aca="false">IF(OR(F155="",F155=0),"",E155/F155)</f>
        <v>0.499277456647399</v>
      </c>
      <c r="I155" s="25" t="s">
        <v>128</v>
      </c>
      <c r="J155" s="28" t="n">
        <v>2.08262589216041</v>
      </c>
      <c r="K155" s="28" t="n">
        <f aca="false">$K$8</f>
        <v>0.297938238782275</v>
      </c>
      <c r="L155" s="28" t="n">
        <f aca="false">SQRT(J155^2+K155^2)</f>
        <v>2.1038293183682</v>
      </c>
      <c r="M155" s="53" t="n">
        <f aca="false">IF(G155="","",MAX(0,G155-1.96*L155/100))</f>
        <v>0.459487488712584</v>
      </c>
      <c r="N155" s="53" t="n">
        <f aca="false">IF(G155="","",MIN(1,G155+1.96*L155/100))</f>
        <v>0.541957597992618</v>
      </c>
      <c r="O155" s="52" t="n">
        <f aca="false">ROUND(S155*W155,0)</f>
        <v>95</v>
      </c>
      <c r="P155" s="52" t="n">
        <f aca="false">IF(F155="","",ROUND(SQRT((F155*L155/100)^2+(G155*O155)^2),0))</f>
        <v>56</v>
      </c>
      <c r="R155" s="54" t="n">
        <v>-1.11629083815893</v>
      </c>
      <c r="S155" s="55" t="n">
        <f aca="false">U155*V155*$F$5</f>
        <v>1383.95299145299</v>
      </c>
      <c r="T155" s="56" t="n">
        <f aca="false">MAX(0,MIN(1,R155/100+$D$5))</f>
        <v>0.500830506137175</v>
      </c>
      <c r="U155" s="56" t="n">
        <v>0.643399810066477</v>
      </c>
      <c r="V155" s="55" t="n">
        <v>2151</v>
      </c>
      <c r="W155" s="56" t="n">
        <v>0.0684752145190268</v>
      </c>
      <c r="X155" s="57" t="s">
        <v>168</v>
      </c>
      <c r="Y155" s="57" t="s">
        <v>130</v>
      </c>
    </row>
    <row r="156" customFormat="false" ht="15" hidden="false" customHeight="false" outlineLevel="0" collapsed="false">
      <c r="A156" s="25" t="s">
        <v>197</v>
      </c>
      <c r="B156" s="25" t="s">
        <v>294</v>
      </c>
      <c r="C156" s="25" t="s">
        <v>300</v>
      </c>
      <c r="D156" s="52" t="n">
        <f aca="false">ROUND(S156*T156,0)</f>
        <v>610</v>
      </c>
      <c r="E156" s="52" t="n">
        <f aca="false">ROUND(S156,0)-D156</f>
        <v>572</v>
      </c>
      <c r="F156" s="52" t="n">
        <f aca="false">IF(COUNTA(D156:E156)=0,"",SUM(D156:E156))</f>
        <v>1182</v>
      </c>
      <c r="G156" s="53" t="n">
        <f aca="false">IF(OR(F156="",F156=0),"",D156/F156)</f>
        <v>0.516074450084602</v>
      </c>
      <c r="H156" s="53" t="n">
        <f aca="false">IF(OR(F156="",F156=0),"",E156/F156)</f>
        <v>0.483925549915398</v>
      </c>
      <c r="I156" s="25" t="s">
        <v>128</v>
      </c>
      <c r="J156" s="28" t="n">
        <v>2.08262589216041</v>
      </c>
      <c r="K156" s="28" t="n">
        <f aca="false">$K$8</f>
        <v>0.297938238782275</v>
      </c>
      <c r="L156" s="28" t="n">
        <f aca="false">SQRT(J156^2+K156^2)</f>
        <v>2.1038293183682</v>
      </c>
      <c r="M156" s="53" t="n">
        <f aca="false">IF(G156="","",MAX(0,G156-1.96*L156/100))</f>
        <v>0.474839395444586</v>
      </c>
      <c r="N156" s="53" t="n">
        <f aca="false">IF(G156="","",MIN(1,G156+1.96*L156/100))</f>
        <v>0.557309504724619</v>
      </c>
      <c r="O156" s="52" t="n">
        <f aca="false">ROUND(S156*W156,0)</f>
        <v>81</v>
      </c>
      <c r="P156" s="52" t="n">
        <f aca="false">IF(F156="","",ROUND(SQRT((F156*L156/100)^2+(G156*O156)^2),0))</f>
        <v>49</v>
      </c>
      <c r="R156" s="54" t="n">
        <v>0.416906830979265</v>
      </c>
      <c r="S156" s="55" t="n">
        <f aca="false">U156*V156*$F$5</f>
        <v>1181.67359413203</v>
      </c>
      <c r="T156" s="56" t="n">
        <f aca="false">MAX(0,MIN(1,R156/100+$D$5))</f>
        <v>0.516162482828557</v>
      </c>
      <c r="U156" s="56" t="n">
        <v>0.737163814180929</v>
      </c>
      <c r="V156" s="55" t="n">
        <v>1603</v>
      </c>
      <c r="W156" s="56" t="n">
        <v>0.0684752145190268</v>
      </c>
      <c r="X156" s="57" t="s">
        <v>168</v>
      </c>
      <c r="Y156" s="57" t="s">
        <v>130</v>
      </c>
    </row>
    <row r="157" customFormat="false" ht="15" hidden="false" customHeight="false" outlineLevel="0" collapsed="false">
      <c r="A157" s="25" t="s">
        <v>197</v>
      </c>
      <c r="B157" s="25" t="s">
        <v>294</v>
      </c>
      <c r="C157" s="25" t="s">
        <v>301</v>
      </c>
      <c r="D157" s="52" t="n">
        <f aca="false">ROUND(S157*T157,0)</f>
        <v>1269</v>
      </c>
      <c r="E157" s="52" t="n">
        <f aca="false">ROUND(S157,0)-D157</f>
        <v>1233</v>
      </c>
      <c r="F157" s="52" t="n">
        <f aca="false">IF(COUNTA(D157:E157)=0,"",SUM(D157:E157))</f>
        <v>2502</v>
      </c>
      <c r="G157" s="53" t="n">
        <f aca="false">IF(OR(F157="",F157=0),"",D157/F157)</f>
        <v>0.507194244604317</v>
      </c>
      <c r="H157" s="53" t="n">
        <f aca="false">IF(OR(F157="",F157=0),"",E157/F157)</f>
        <v>0.492805755395683</v>
      </c>
      <c r="I157" s="25" t="s">
        <v>128</v>
      </c>
      <c r="J157" s="28" t="n">
        <v>2.08262589216041</v>
      </c>
      <c r="K157" s="28" t="n">
        <f aca="false">$K$8</f>
        <v>0.297938238782275</v>
      </c>
      <c r="L157" s="28" t="n">
        <f aca="false">SQRT(J157^2+K157^2)</f>
        <v>2.1038293183682</v>
      </c>
      <c r="M157" s="53" t="n">
        <f aca="false">IF(G157="","",MAX(0,G157-1.96*L157/100))</f>
        <v>0.4659591899643</v>
      </c>
      <c r="N157" s="53" t="n">
        <f aca="false">IF(G157="","",MIN(1,G157+1.96*L157/100))</f>
        <v>0.548429299244333</v>
      </c>
      <c r="O157" s="52" t="n">
        <f aca="false">ROUND(S157*W157,0)</f>
        <v>171</v>
      </c>
      <c r="P157" s="52" t="n">
        <f aca="false">IF(F157="","",ROUND(SQRT((F157*L157/100)^2+(G157*O157)^2),0))</f>
        <v>101</v>
      </c>
      <c r="R157" s="54" t="n">
        <v>-0.45948548705587</v>
      </c>
      <c r="S157" s="55" t="n">
        <f aca="false">U157*V157*$F$5</f>
        <v>2501.86532550992</v>
      </c>
      <c r="T157" s="56" t="n">
        <f aca="false">MAX(0,MIN(1,R157/100+$D$5))</f>
        <v>0.507398559648206</v>
      </c>
      <c r="U157" s="56" t="n">
        <v>0.618049734562727</v>
      </c>
      <c r="V157" s="55" t="n">
        <v>4048</v>
      </c>
      <c r="W157" s="56" t="n">
        <v>0.0684752145190268</v>
      </c>
      <c r="X157" s="57" t="s">
        <v>168</v>
      </c>
      <c r="Y157" s="57" t="s">
        <v>130</v>
      </c>
    </row>
    <row r="158" customFormat="false" ht="15" hidden="false" customHeight="false" outlineLevel="0" collapsed="false">
      <c r="A158" s="25" t="s">
        <v>197</v>
      </c>
      <c r="B158" s="25" t="s">
        <v>294</v>
      </c>
      <c r="C158" s="25" t="s">
        <v>302</v>
      </c>
      <c r="D158" s="52" t="n">
        <f aca="false">ROUND(S158*T158,0)</f>
        <v>693</v>
      </c>
      <c r="E158" s="52" t="n">
        <f aca="false">ROUND(S158,0)-D158</f>
        <v>620</v>
      </c>
      <c r="F158" s="52" t="n">
        <f aca="false">IF(COUNTA(D158:E158)=0,"",SUM(D158:E158))</f>
        <v>1313</v>
      </c>
      <c r="G158" s="53" t="n">
        <f aca="false">IF(OR(F158="",F158=0),"",D158/F158)</f>
        <v>0.527798933739528</v>
      </c>
      <c r="H158" s="53" t="n">
        <f aca="false">IF(OR(F158="",F158=0),"",E158/F158)</f>
        <v>0.472201066260472</v>
      </c>
      <c r="I158" s="25" t="s">
        <v>128</v>
      </c>
      <c r="J158" s="28" t="n">
        <v>2.08262589216041</v>
      </c>
      <c r="K158" s="28" t="n">
        <f aca="false">$K$8</f>
        <v>0.297938238782275</v>
      </c>
      <c r="L158" s="28" t="n">
        <f aca="false">SQRT(J158^2+K158^2)</f>
        <v>2.1038293183682</v>
      </c>
      <c r="M158" s="53" t="n">
        <f aca="false">IF(G158="","",MAX(0,G158-1.96*L158/100))</f>
        <v>0.486563879099511</v>
      </c>
      <c r="N158" s="53" t="n">
        <f aca="false">IF(G158="","",MIN(1,G158+1.96*L158/100))</f>
        <v>0.569033988379545</v>
      </c>
      <c r="O158" s="52" t="n">
        <f aca="false">ROUND(S158*W158,0)</f>
        <v>90</v>
      </c>
      <c r="P158" s="52" t="n">
        <f aca="false">IF(F158="","",ROUND(SQRT((F158*L158/100)^2+(G158*O158)^2),0))</f>
        <v>55</v>
      </c>
      <c r="R158" s="54" t="n">
        <v>1.59357034880275</v>
      </c>
      <c r="S158" s="55" t="n">
        <f aca="false">U158*V158*$F$5</f>
        <v>1312.71</v>
      </c>
      <c r="T158" s="56" t="n">
        <f aca="false">MAX(0,MIN(1,R158/100+$D$5))</f>
        <v>0.527929118006792</v>
      </c>
      <c r="U158" s="56" t="n">
        <v>0.658</v>
      </c>
      <c r="V158" s="55" t="n">
        <v>1995</v>
      </c>
      <c r="W158" s="56" t="n">
        <v>0.0684752145190268</v>
      </c>
      <c r="X158" s="57" t="s">
        <v>168</v>
      </c>
      <c r="Y158" s="57" t="s">
        <v>130</v>
      </c>
    </row>
    <row r="159" customFormat="false" ht="15" hidden="false" customHeight="false" outlineLevel="0" collapsed="false">
      <c r="A159" s="25" t="s">
        <v>197</v>
      </c>
      <c r="B159" s="25" t="s">
        <v>294</v>
      </c>
      <c r="C159" s="25" t="s">
        <v>303</v>
      </c>
      <c r="D159" s="52" t="n">
        <f aca="false">ROUND(S159*T159,0)</f>
        <v>692</v>
      </c>
      <c r="E159" s="52" t="n">
        <f aca="false">ROUND(S159,0)-D159</f>
        <v>650</v>
      </c>
      <c r="F159" s="52" t="n">
        <f aca="false">IF(COUNTA(D159:E159)=0,"",SUM(D159:E159))</f>
        <v>1342</v>
      </c>
      <c r="G159" s="53" t="n">
        <f aca="false">IF(OR(F159="",F159=0),"",D159/F159)</f>
        <v>0.515648286140089</v>
      </c>
      <c r="H159" s="53" t="n">
        <f aca="false">IF(OR(F159="",F159=0),"",E159/F159)</f>
        <v>0.484351713859911</v>
      </c>
      <c r="I159" s="25" t="s">
        <v>128</v>
      </c>
      <c r="J159" s="28" t="n">
        <v>2.08262589216041</v>
      </c>
      <c r="K159" s="28" t="n">
        <f aca="false">$K$8</f>
        <v>0.297938238782275</v>
      </c>
      <c r="L159" s="28" t="n">
        <f aca="false">SQRT(J159^2+K159^2)</f>
        <v>2.1038293183682</v>
      </c>
      <c r="M159" s="53" t="n">
        <f aca="false">IF(G159="","",MAX(0,G159-1.96*L159/100))</f>
        <v>0.474413231500073</v>
      </c>
      <c r="N159" s="53" t="n">
        <f aca="false">IF(G159="","",MIN(1,G159+1.96*L159/100))</f>
        <v>0.556883340780106</v>
      </c>
      <c r="O159" s="52" t="n">
        <f aca="false">ROUND(S159*W159,0)</f>
        <v>92</v>
      </c>
      <c r="P159" s="52" t="n">
        <f aca="false">IF(F159="","",ROUND(SQRT((F159*L159/100)^2+(G159*O159)^2),0))</f>
        <v>55</v>
      </c>
      <c r="R159" s="54" t="n">
        <v>0.361411407336951</v>
      </c>
      <c r="S159" s="55" t="n">
        <f aca="false">U159*V159*$F$5</f>
        <v>1342.44359673025</v>
      </c>
      <c r="T159" s="56" t="n">
        <f aca="false">MAX(0,MIN(1,R159/100+$D$5))</f>
        <v>0.515607528592134</v>
      </c>
      <c r="U159" s="56" t="n">
        <v>0.726430517711172</v>
      </c>
      <c r="V159" s="55" t="n">
        <v>1848</v>
      </c>
      <c r="W159" s="56" t="n">
        <v>0.0684752145190268</v>
      </c>
      <c r="X159" s="57" t="s">
        <v>168</v>
      </c>
      <c r="Y159" s="57" t="s">
        <v>130</v>
      </c>
    </row>
    <row r="160" customFormat="false" ht="15" hidden="false" customHeight="false" outlineLevel="0" collapsed="false">
      <c r="A160" s="25" t="s">
        <v>197</v>
      </c>
      <c r="B160" s="25" t="s">
        <v>294</v>
      </c>
      <c r="C160" s="25" t="s">
        <v>304</v>
      </c>
      <c r="D160" s="52" t="n">
        <f aca="false">ROUND(S160*T160,0)</f>
        <v>454</v>
      </c>
      <c r="E160" s="52" t="n">
        <f aca="false">ROUND(S160,0)-D160</f>
        <v>426</v>
      </c>
      <c r="F160" s="52" t="n">
        <f aca="false">IF(COUNTA(D160:E160)=0,"",SUM(D160:E160))</f>
        <v>880</v>
      </c>
      <c r="G160" s="53" t="n">
        <f aca="false">IF(OR(F160="",F160=0),"",D160/F160)</f>
        <v>0.515909090909091</v>
      </c>
      <c r="H160" s="53" t="n">
        <f aca="false">IF(OR(F160="",F160=0),"",E160/F160)</f>
        <v>0.484090909090909</v>
      </c>
      <c r="I160" s="25" t="s">
        <v>128</v>
      </c>
      <c r="J160" s="28" t="n">
        <v>2.22489971008846</v>
      </c>
      <c r="K160" s="28" t="n">
        <f aca="false">$K$8</f>
        <v>0.297938238782275</v>
      </c>
      <c r="L160" s="28" t="n">
        <f aca="false">SQRT(J160^2+K160^2)</f>
        <v>2.24475965619494</v>
      </c>
      <c r="M160" s="53" t="n">
        <f aca="false">IF(G160="","",MAX(0,G160-1.96*L160/100))</f>
        <v>0.47191180164767</v>
      </c>
      <c r="N160" s="53" t="n">
        <f aca="false">IF(G160="","",MIN(1,G160+1.96*L160/100))</f>
        <v>0.559906380170512</v>
      </c>
      <c r="O160" s="52" t="n">
        <f aca="false">ROUND(S160*W160,0)</f>
        <v>78</v>
      </c>
      <c r="P160" s="52" t="n">
        <f aca="false">IF(F160="","",ROUND(SQRT((F160*L160/100)^2+(G160*O160)^2),0))</f>
        <v>45</v>
      </c>
      <c r="R160" s="54" t="n">
        <v>0.388738137878376</v>
      </c>
      <c r="S160" s="55" t="n">
        <f aca="false">U160*V160*$F$5</f>
        <v>879.958115183246</v>
      </c>
      <c r="T160" s="56" t="n">
        <f aca="false">MAX(0,MIN(1,R160/100+$D$5))</f>
        <v>0.515880795897548</v>
      </c>
      <c r="U160" s="56" t="n">
        <v>0.668661181750187</v>
      </c>
      <c r="V160" s="55" t="n">
        <v>1316</v>
      </c>
      <c r="W160" s="56" t="n">
        <v>0.0887445098984521</v>
      </c>
      <c r="X160" s="57" t="s">
        <v>135</v>
      </c>
      <c r="Y160" s="57" t="s">
        <v>130</v>
      </c>
    </row>
    <row r="161" customFormat="false" ht="15" hidden="false" customHeight="false" outlineLevel="0" collapsed="false">
      <c r="A161" s="25" t="s">
        <v>197</v>
      </c>
      <c r="B161" s="25" t="s">
        <v>305</v>
      </c>
      <c r="C161" s="25" t="s">
        <v>305</v>
      </c>
      <c r="D161" s="52" t="n">
        <f aca="false">ROUND(S161*T161,0)</f>
        <v>841</v>
      </c>
      <c r="E161" s="52" t="n">
        <f aca="false">ROUND(S161,0)-D161</f>
        <v>1363</v>
      </c>
      <c r="F161" s="52" t="n">
        <f aca="false">IF(COUNTA(D161:E161)=0,"",SUM(D161:E161))</f>
        <v>2204</v>
      </c>
      <c r="G161" s="53" t="n">
        <f aca="false">IF(OR(F161="",F161=0),"",D161/F161)</f>
        <v>0.381578947368421</v>
      </c>
      <c r="H161" s="53" t="n">
        <f aca="false">IF(OR(F161="",F161=0),"",E161/F161)</f>
        <v>0.618421052631579</v>
      </c>
      <c r="I161" s="25" t="s">
        <v>128</v>
      </c>
      <c r="J161" s="28" t="n">
        <v>2.08262589216041</v>
      </c>
      <c r="K161" s="28" t="n">
        <f aca="false">$K$8</f>
        <v>0.297938238782275</v>
      </c>
      <c r="L161" s="28" t="n">
        <f aca="false">SQRT(J161^2+K161^2)</f>
        <v>2.1038293183682</v>
      </c>
      <c r="M161" s="53" t="n">
        <f aca="false">IF(G161="","",MAX(0,G161-1.96*L161/100))</f>
        <v>0.340343892728404</v>
      </c>
      <c r="N161" s="53" t="n">
        <f aca="false">IF(G161="","",MIN(1,G161+1.96*L161/100))</f>
        <v>0.422814002008438</v>
      </c>
      <c r="O161" s="52" t="n">
        <f aca="false">ROUND(S161*W161,0)</f>
        <v>151</v>
      </c>
      <c r="P161" s="52" t="n">
        <f aca="false">IF(F161="","",ROUND(SQRT((F161*L161/100)^2+(G161*O161)^2),0))</f>
        <v>74</v>
      </c>
      <c r="R161" s="54" t="n">
        <v>-13.0441754807912</v>
      </c>
      <c r="S161" s="55" t="n">
        <f aca="false">U161*V161*$F$5</f>
        <v>2204.10505319149</v>
      </c>
      <c r="T161" s="56" t="n">
        <f aca="false">MAX(0,MIN(1,R161/100+$D$5))</f>
        <v>0.381551659710853</v>
      </c>
      <c r="U161" s="56" t="n">
        <v>0.71841755319149</v>
      </c>
      <c r="V161" s="55" t="n">
        <v>3068</v>
      </c>
      <c r="W161" s="56" t="n">
        <v>0.0684752145190268</v>
      </c>
      <c r="X161" s="57" t="s">
        <v>168</v>
      </c>
      <c r="Y161" s="57" t="s">
        <v>130</v>
      </c>
    </row>
    <row r="162" customFormat="false" ht="15" hidden="false" customHeight="false" outlineLevel="0" collapsed="false">
      <c r="A162" s="25" t="s">
        <v>197</v>
      </c>
      <c r="B162" s="25" t="s">
        <v>306</v>
      </c>
      <c r="C162" s="25" t="s">
        <v>306</v>
      </c>
      <c r="D162" s="52" t="n">
        <f aca="false">ROUND(S162*T162,0)</f>
        <v>447</v>
      </c>
      <c r="E162" s="52" t="n">
        <f aca="false">ROUND(S162,0)-D162</f>
        <v>790</v>
      </c>
      <c r="F162" s="52" t="n">
        <f aca="false">IF(COUNTA(D162:E162)=0,"",SUM(D162:E162))</f>
        <v>1237</v>
      </c>
      <c r="G162" s="53" t="n">
        <f aca="false">IF(OR(F162="",F162=0),"",D162/F162)</f>
        <v>0.361358124494745</v>
      </c>
      <c r="H162" s="53" t="n">
        <f aca="false">IF(OR(F162="",F162=0),"",E162/F162)</f>
        <v>0.638641875505255</v>
      </c>
      <c r="I162" s="25" t="s">
        <v>128</v>
      </c>
      <c r="J162" s="28" t="n">
        <v>2.08262589216041</v>
      </c>
      <c r="K162" s="28" t="n">
        <f aca="false">$K$8</f>
        <v>0.297938238782275</v>
      </c>
      <c r="L162" s="28" t="n">
        <f aca="false">SQRT(J162^2+K162^2)</f>
        <v>2.1038293183682</v>
      </c>
      <c r="M162" s="53" t="n">
        <f aca="false">IF(G162="","",MAX(0,G162-1.96*L162/100))</f>
        <v>0.320123069854729</v>
      </c>
      <c r="N162" s="53" t="n">
        <f aca="false">IF(G162="","",MIN(1,G162+1.96*L162/100))</f>
        <v>0.402593179134762</v>
      </c>
      <c r="O162" s="52" t="n">
        <f aca="false">ROUND(S162*W162,0)</f>
        <v>85</v>
      </c>
      <c r="P162" s="52" t="n">
        <f aca="false">IF(F162="","",ROUND(SQRT((F162*L162/100)^2+(G162*O162)^2),0))</f>
        <v>40</v>
      </c>
      <c r="R162" s="54" t="n">
        <v>-15.0975576852061</v>
      </c>
      <c r="S162" s="55" t="n">
        <f aca="false">U162*V162*$F$5</f>
        <v>1236.97340124505</v>
      </c>
      <c r="T162" s="56" t="n">
        <f aca="false">MAX(0,MIN(1,R162/100+$D$5))</f>
        <v>0.361017837666703</v>
      </c>
      <c r="U162" s="56" t="n">
        <v>0.688737973967176</v>
      </c>
      <c r="V162" s="55" t="n">
        <v>1796</v>
      </c>
      <c r="W162" s="56" t="n">
        <v>0.0684752145190268</v>
      </c>
      <c r="X162" s="57" t="s">
        <v>168</v>
      </c>
      <c r="Y162" s="57" t="s">
        <v>130</v>
      </c>
    </row>
    <row r="163" customFormat="false" ht="15" hidden="false" customHeight="false" outlineLevel="0" collapsed="false">
      <c r="A163" s="25" t="s">
        <v>197</v>
      </c>
      <c r="B163" s="25" t="s">
        <v>307</v>
      </c>
      <c r="C163" s="25" t="s">
        <v>308</v>
      </c>
      <c r="D163" s="52" t="n">
        <f aca="false">ROUND(S163*T163,0)</f>
        <v>158</v>
      </c>
      <c r="E163" s="52" t="n">
        <f aca="false">ROUND(S163,0)-D163</f>
        <v>405</v>
      </c>
      <c r="F163" s="52" t="n">
        <f aca="false">IF(COUNTA(D163:E163)=0,"",SUM(D163:E163))</f>
        <v>563</v>
      </c>
      <c r="G163" s="53" t="n">
        <f aca="false">IF(OR(F163="",F163=0),"",D163/F163)</f>
        <v>0.280639431616341</v>
      </c>
      <c r="H163" s="53" t="n">
        <f aca="false">IF(OR(F163="",F163=0),"",E163/F163)</f>
        <v>0.719360568383659</v>
      </c>
      <c r="I163" s="25" t="s">
        <v>128</v>
      </c>
      <c r="J163" s="28" t="n">
        <v>3.1978281706008</v>
      </c>
      <c r="K163" s="28" t="n">
        <f aca="false">$K$8</f>
        <v>0.297938238782275</v>
      </c>
      <c r="L163" s="28" t="n">
        <f aca="false">SQRT(J163^2+K163^2)</f>
        <v>3.21167747490571</v>
      </c>
      <c r="M163" s="53" t="n">
        <f aca="false">IF(G163="","",MAX(0,G163-1.96*L163/100))</f>
        <v>0.217690553108189</v>
      </c>
      <c r="N163" s="53" t="n">
        <f aca="false">IF(G163="","",MIN(1,G163+1.96*L163/100))</f>
        <v>0.343588310124493</v>
      </c>
      <c r="O163" s="52" t="n">
        <f aca="false">ROUND(S163*W163,0)</f>
        <v>83</v>
      </c>
      <c r="P163" s="52" t="n">
        <f aca="false">IF(F163="","",ROUND(SQRT((F163*L163/100)^2+(G163*O163)^2),0))</f>
        <v>29</v>
      </c>
      <c r="R163" s="54" t="n">
        <v>-23.0707464145403</v>
      </c>
      <c r="S163" s="55" t="n">
        <f aca="false">U163*V163*$F$5</f>
        <v>562.682926829269</v>
      </c>
      <c r="T163" s="56" t="n">
        <f aca="false">MAX(0,MIN(1,R163/100+$D$5))</f>
        <v>0.281285950373362</v>
      </c>
      <c r="U163" s="56" t="n">
        <v>0.731707317073171</v>
      </c>
      <c r="V163" s="55" t="n">
        <v>769</v>
      </c>
      <c r="W163" s="56" t="n">
        <v>0.148097331980838</v>
      </c>
      <c r="X163" s="57" t="s">
        <v>129</v>
      </c>
      <c r="Y163" s="57" t="s">
        <v>130</v>
      </c>
    </row>
    <row r="164" customFormat="false" ht="15" hidden="false" customHeight="false" outlineLevel="0" collapsed="false">
      <c r="A164" s="25" t="s">
        <v>197</v>
      </c>
      <c r="B164" s="25" t="s">
        <v>307</v>
      </c>
      <c r="C164" s="25" t="s">
        <v>309</v>
      </c>
      <c r="D164" s="52" t="n">
        <f aca="false">ROUND(S164*T164,0)</f>
        <v>121</v>
      </c>
      <c r="E164" s="52" t="n">
        <f aca="false">ROUND(S164,0)-D164</f>
        <v>262</v>
      </c>
      <c r="F164" s="52" t="n">
        <f aca="false">IF(COUNTA(D164:E164)=0,"",SUM(D164:E164))</f>
        <v>383</v>
      </c>
      <c r="G164" s="53" t="n">
        <f aca="false">IF(OR(F164="",F164=0),"",D164/F164)</f>
        <v>0.315926892950392</v>
      </c>
      <c r="H164" s="53" t="n">
        <f aca="false">IF(OR(F164="",F164=0),"",E164/F164)</f>
        <v>0.684073107049608</v>
      </c>
      <c r="I164" s="25" t="s">
        <v>128</v>
      </c>
      <c r="J164" s="28" t="n">
        <v>3.1978281706008</v>
      </c>
      <c r="K164" s="28" t="n">
        <f aca="false">$K$8</f>
        <v>0.297938238782275</v>
      </c>
      <c r="L164" s="28" t="n">
        <f aca="false">SQRT(J164^2+K164^2)</f>
        <v>3.21167747490571</v>
      </c>
      <c r="M164" s="53" t="n">
        <f aca="false">IF(G164="","",MAX(0,G164-1.96*L164/100))</f>
        <v>0.25297801444224</v>
      </c>
      <c r="N164" s="53" t="n">
        <f aca="false">IF(G164="","",MIN(1,G164+1.96*L164/100))</f>
        <v>0.378875771458544</v>
      </c>
      <c r="O164" s="52" t="n">
        <f aca="false">ROUND(S164*W164,0)</f>
        <v>57</v>
      </c>
      <c r="P164" s="52" t="n">
        <f aca="false">IF(F164="","",ROUND(SQRT((F164*L164/100)^2+(G164*O164)^2),0))</f>
        <v>22</v>
      </c>
      <c r="R164" s="54" t="n">
        <v>-19.5846994816264</v>
      </c>
      <c r="S164" s="55" t="n">
        <f aca="false">U164*V164*$F$5</f>
        <v>382.588235294118</v>
      </c>
      <c r="T164" s="56" t="n">
        <f aca="false">MAX(0,MIN(1,R164/100+$D$5))</f>
        <v>0.316146419702501</v>
      </c>
      <c r="U164" s="56" t="n">
        <v>0.705882352941177</v>
      </c>
      <c r="V164" s="55" t="n">
        <v>542</v>
      </c>
      <c r="W164" s="56" t="n">
        <v>0.148097331980838</v>
      </c>
      <c r="X164" s="57" t="s">
        <v>129</v>
      </c>
      <c r="Y164" s="57" t="s">
        <v>130</v>
      </c>
    </row>
    <row r="165" customFormat="false" ht="15" hidden="false" customHeight="false" outlineLevel="0" collapsed="false">
      <c r="A165" s="25" t="s">
        <v>197</v>
      </c>
      <c r="B165" s="25" t="s">
        <v>307</v>
      </c>
      <c r="C165" s="25" t="s">
        <v>310</v>
      </c>
      <c r="D165" s="52" t="n">
        <f aca="false">ROUND(S165*T165,0)</f>
        <v>415</v>
      </c>
      <c r="E165" s="52" t="n">
        <f aca="false">ROUND(S165,0)-D165</f>
        <v>833</v>
      </c>
      <c r="F165" s="52" t="n">
        <f aca="false">IF(COUNTA(D165:E165)=0,"",SUM(D165:E165))</f>
        <v>1248</v>
      </c>
      <c r="G165" s="53" t="n">
        <f aca="false">IF(OR(F165="",F165=0),"",D165/F165)</f>
        <v>0.332532051282051</v>
      </c>
      <c r="H165" s="53" t="n">
        <f aca="false">IF(OR(F165="",F165=0),"",E165/F165)</f>
        <v>0.667467948717949</v>
      </c>
      <c r="I165" s="25" t="s">
        <v>128</v>
      </c>
      <c r="J165" s="28" t="n">
        <v>2.08262589216041</v>
      </c>
      <c r="K165" s="28" t="n">
        <f aca="false">$K$8</f>
        <v>0.297938238782275</v>
      </c>
      <c r="L165" s="28" t="n">
        <f aca="false">SQRT(J165^2+K165^2)</f>
        <v>2.1038293183682</v>
      </c>
      <c r="M165" s="53" t="n">
        <f aca="false">IF(G165="","",MAX(0,G165-1.96*L165/100))</f>
        <v>0.291296996642034</v>
      </c>
      <c r="N165" s="53" t="n">
        <f aca="false">IF(G165="","",MIN(1,G165+1.96*L165/100))</f>
        <v>0.373767105922068</v>
      </c>
      <c r="O165" s="52" t="n">
        <f aca="false">ROUND(S165*W165,0)</f>
        <v>85</v>
      </c>
      <c r="P165" s="52" t="n">
        <f aca="false">IF(F165="","",ROUND(SQRT((F165*L165/100)^2+(G165*O165)^2),0))</f>
        <v>39</v>
      </c>
      <c r="R165" s="54" t="n">
        <v>-17.9379582332441</v>
      </c>
      <c r="S165" s="55" t="n">
        <f aca="false">U165*V165*$F$5</f>
        <v>1248.26659471128</v>
      </c>
      <c r="T165" s="56" t="n">
        <f aca="false">MAX(0,MIN(1,R165/100+$D$5))</f>
        <v>0.332613832186324</v>
      </c>
      <c r="U165" s="56" t="n">
        <v>0.676200755531571</v>
      </c>
      <c r="V165" s="55" t="n">
        <v>1846</v>
      </c>
      <c r="W165" s="56" t="n">
        <v>0.0684752145190268</v>
      </c>
      <c r="X165" s="57" t="s">
        <v>168</v>
      </c>
      <c r="Y165" s="57" t="s">
        <v>130</v>
      </c>
    </row>
    <row r="166" customFormat="false" ht="15" hidden="false" customHeight="false" outlineLevel="0" collapsed="false">
      <c r="A166" s="25" t="s">
        <v>197</v>
      </c>
      <c r="B166" s="25" t="s">
        <v>311</v>
      </c>
      <c r="C166" s="25" t="s">
        <v>311</v>
      </c>
      <c r="D166" s="52" t="n">
        <f aca="false">ROUND(S166*T166,0)</f>
        <v>810</v>
      </c>
      <c r="E166" s="52" t="n">
        <f aca="false">ROUND(S166,0)-D166</f>
        <v>703</v>
      </c>
      <c r="F166" s="52" t="n">
        <f aca="false">IF(COUNTA(D166:E166)=0,"",SUM(D166:E166))</f>
        <v>1513</v>
      </c>
      <c r="G166" s="53" t="n">
        <f aca="false">IF(OR(F166="",F166=0),"",D166/F166)</f>
        <v>0.53536021150033</v>
      </c>
      <c r="H166" s="53" t="n">
        <f aca="false">IF(OR(F166="",F166=0),"",E166/F166)</f>
        <v>0.46463978849967</v>
      </c>
      <c r="I166" s="25" t="s">
        <v>128</v>
      </c>
      <c r="J166" s="28" t="n">
        <v>2.08262589216041</v>
      </c>
      <c r="K166" s="28" t="n">
        <f aca="false">$K$8</f>
        <v>0.297938238782275</v>
      </c>
      <c r="L166" s="28" t="n">
        <f aca="false">SQRT(J166^2+K166^2)</f>
        <v>2.1038293183682</v>
      </c>
      <c r="M166" s="53" t="n">
        <f aca="false">IF(G166="","",MAX(0,G166-1.96*L166/100))</f>
        <v>0.494125156860314</v>
      </c>
      <c r="N166" s="53" t="n">
        <f aca="false">IF(G166="","",MIN(1,G166+1.96*L166/100))</f>
        <v>0.576595266140347</v>
      </c>
      <c r="O166" s="52" t="n">
        <f aca="false">ROUND(S166*W166,0)</f>
        <v>104</v>
      </c>
      <c r="P166" s="52" t="n">
        <f aca="false">IF(F166="","",ROUND(SQRT((F166*L166/100)^2+(G166*O166)^2),0))</f>
        <v>64</v>
      </c>
      <c r="R166" s="54" t="n">
        <v>2.32914413322326</v>
      </c>
      <c r="S166" s="55" t="n">
        <f aca="false">U166*V166*$F$5</f>
        <v>1512.74151436031</v>
      </c>
      <c r="T166" s="56" t="n">
        <f aca="false">MAX(0,MIN(1,R166/100+$D$5))</f>
        <v>0.535284855850997</v>
      </c>
      <c r="U166" s="56" t="n">
        <v>0.616187989556136</v>
      </c>
      <c r="V166" s="55" t="n">
        <v>2455</v>
      </c>
      <c r="W166" s="56" t="n">
        <v>0.0684752145190268</v>
      </c>
      <c r="X166" s="57" t="s">
        <v>168</v>
      </c>
      <c r="Y166" s="57" t="s">
        <v>130</v>
      </c>
    </row>
    <row r="167" customFormat="false" ht="15" hidden="false" customHeight="false" outlineLevel="0" collapsed="false">
      <c r="A167" s="25" t="s">
        <v>197</v>
      </c>
      <c r="B167" s="25" t="s">
        <v>312</v>
      </c>
      <c r="C167" s="25" t="s">
        <v>313</v>
      </c>
      <c r="D167" s="52" t="n">
        <f aca="false">ROUND(S167*T167,0)</f>
        <v>798</v>
      </c>
      <c r="E167" s="52" t="n">
        <f aca="false">ROUND(S167,0)-D167</f>
        <v>1103</v>
      </c>
      <c r="F167" s="52" t="n">
        <f aca="false">IF(COUNTA(D167:E167)=0,"",SUM(D167:E167))</f>
        <v>1901</v>
      </c>
      <c r="G167" s="53" t="n">
        <f aca="false">IF(OR(F167="",F167=0),"",D167/F167)</f>
        <v>0.41977906365071</v>
      </c>
      <c r="H167" s="53" t="n">
        <f aca="false">IF(OR(F167="",F167=0),"",E167/F167)</f>
        <v>0.58022093634929</v>
      </c>
      <c r="I167" s="25" t="s">
        <v>128</v>
      </c>
      <c r="J167" s="28" t="n">
        <v>2.08262589216041</v>
      </c>
      <c r="K167" s="28" t="n">
        <f aca="false">$K$8</f>
        <v>0.297938238782275</v>
      </c>
      <c r="L167" s="28" t="n">
        <f aca="false">SQRT(J167^2+K167^2)</f>
        <v>2.1038293183682</v>
      </c>
      <c r="M167" s="53" t="n">
        <f aca="false">IF(G167="","",MAX(0,G167-1.96*L167/100))</f>
        <v>0.378544009010693</v>
      </c>
      <c r="N167" s="53" t="n">
        <f aca="false">IF(G167="","",MIN(1,G167+1.96*L167/100))</f>
        <v>0.461014118290727</v>
      </c>
      <c r="O167" s="52" t="n">
        <f aca="false">ROUND(S167*W167,0)</f>
        <v>130</v>
      </c>
      <c r="P167" s="52" t="n">
        <f aca="false">IF(F167="","",ROUND(SQRT((F167*L167/100)^2+(G167*O167)^2),0))</f>
        <v>68</v>
      </c>
      <c r="R167" s="54" t="n">
        <v>-9.20750418983954</v>
      </c>
      <c r="S167" s="55" t="n">
        <f aca="false">U167*V167*$F$5</f>
        <v>1901.09148856393</v>
      </c>
      <c r="T167" s="56" t="n">
        <f aca="false">MAX(0,MIN(1,R167/100+$D$5))</f>
        <v>0.419918372620369</v>
      </c>
      <c r="U167" s="56" t="n">
        <v>0.702287214098238</v>
      </c>
      <c r="V167" s="55" t="n">
        <v>2707</v>
      </c>
      <c r="W167" s="56" t="n">
        <v>0.0684752145190268</v>
      </c>
      <c r="X167" s="57" t="s">
        <v>168</v>
      </c>
      <c r="Y167" s="57" t="s">
        <v>130</v>
      </c>
    </row>
    <row r="168" customFormat="false" ht="15" hidden="false" customHeight="false" outlineLevel="0" collapsed="false">
      <c r="A168" s="25" t="s">
        <v>197</v>
      </c>
      <c r="B168" s="25" t="s">
        <v>312</v>
      </c>
      <c r="C168" s="25" t="s">
        <v>314</v>
      </c>
      <c r="D168" s="52" t="n">
        <f aca="false">ROUND(S168*T168,0)</f>
        <v>677</v>
      </c>
      <c r="E168" s="52" t="n">
        <f aca="false">ROUND(S168,0)-D168</f>
        <v>1003</v>
      </c>
      <c r="F168" s="52" t="n">
        <f aca="false">IF(COUNTA(D168:E168)=0,"",SUM(D168:E168))</f>
        <v>1680</v>
      </c>
      <c r="G168" s="53" t="n">
        <f aca="false">IF(OR(F168="",F168=0),"",D168/F168)</f>
        <v>0.402976190476191</v>
      </c>
      <c r="H168" s="53" t="n">
        <f aca="false">IF(OR(F168="",F168=0),"",E168/F168)</f>
        <v>0.59702380952381</v>
      </c>
      <c r="I168" s="25" t="s">
        <v>128</v>
      </c>
      <c r="J168" s="28" t="n">
        <v>2.08262589216041</v>
      </c>
      <c r="K168" s="28" t="n">
        <f aca="false">$K$8</f>
        <v>0.297938238782275</v>
      </c>
      <c r="L168" s="28" t="n">
        <f aca="false">SQRT(J168^2+K168^2)</f>
        <v>2.1038293183682</v>
      </c>
      <c r="M168" s="53" t="n">
        <f aca="false">IF(G168="","",MAX(0,G168-1.96*L168/100))</f>
        <v>0.361741135836174</v>
      </c>
      <c r="N168" s="53" t="n">
        <f aca="false">IF(G168="","",MIN(1,G168+1.96*L168/100))</f>
        <v>0.444211245116207</v>
      </c>
      <c r="O168" s="52" t="n">
        <f aca="false">ROUND(S168*W168,0)</f>
        <v>115</v>
      </c>
      <c r="P168" s="52" t="n">
        <f aca="false">IF(F168="","",ROUND(SQRT((F168*L168/100)^2+(G168*O168)^2),0))</f>
        <v>58</v>
      </c>
      <c r="R168" s="54" t="n">
        <v>-10.8997957546092</v>
      </c>
      <c r="S168" s="55" t="n">
        <f aca="false">U168*V168*$F$5</f>
        <v>1679.87969094923</v>
      </c>
      <c r="T168" s="56" t="n">
        <f aca="false">MAX(0,MIN(1,R168/100+$D$5))</f>
        <v>0.402995456972673</v>
      </c>
      <c r="U168" s="56" t="n">
        <v>0.613318616629875</v>
      </c>
      <c r="V168" s="55" t="n">
        <v>2739</v>
      </c>
      <c r="W168" s="56" t="n">
        <v>0.0684752145190268</v>
      </c>
      <c r="X168" s="57" t="s">
        <v>168</v>
      </c>
      <c r="Y168" s="57" t="s">
        <v>130</v>
      </c>
    </row>
    <row r="169" customFormat="false" ht="15" hidden="false" customHeight="false" outlineLevel="0" collapsed="false">
      <c r="A169" s="25" t="s">
        <v>197</v>
      </c>
      <c r="B169" s="25" t="s">
        <v>312</v>
      </c>
      <c r="C169" s="25" t="s">
        <v>315</v>
      </c>
      <c r="D169" s="52" t="n">
        <f aca="false">ROUND(S169*T169,0)</f>
        <v>357</v>
      </c>
      <c r="E169" s="52" t="n">
        <f aca="false">ROUND(S169,0)-D169</f>
        <v>542</v>
      </c>
      <c r="F169" s="52" t="n">
        <f aca="false">IF(COUNTA(D169:E169)=0,"",SUM(D169:E169))</f>
        <v>899</v>
      </c>
      <c r="G169" s="53" t="n">
        <f aca="false">IF(OR(F169="",F169=0),"",D169/F169)</f>
        <v>0.397107897664071</v>
      </c>
      <c r="H169" s="53" t="n">
        <f aca="false">IF(OR(F169="",F169=0),"",E169/F169)</f>
        <v>0.602892102335929</v>
      </c>
      <c r="I169" s="25" t="s">
        <v>128</v>
      </c>
      <c r="J169" s="28" t="n">
        <v>2.22489971008846</v>
      </c>
      <c r="K169" s="28" t="n">
        <f aca="false">$K$8</f>
        <v>0.297938238782275</v>
      </c>
      <c r="L169" s="28" t="n">
        <f aca="false">SQRT(J169^2+K169^2)</f>
        <v>2.24475965619494</v>
      </c>
      <c r="M169" s="53" t="n">
        <f aca="false">IF(G169="","",MAX(0,G169-1.96*L169/100))</f>
        <v>0.35311060840265</v>
      </c>
      <c r="N169" s="53" t="n">
        <f aca="false">IF(G169="","",MIN(1,G169+1.96*L169/100))</f>
        <v>0.441105186925492</v>
      </c>
      <c r="O169" s="52" t="n">
        <f aca="false">ROUND(S169*W169,0)</f>
        <v>80</v>
      </c>
      <c r="P169" s="52" t="n">
        <f aca="false">IF(F169="","",ROUND(SQRT((F169*L169/100)^2+(G169*O169)^2),0))</f>
        <v>38</v>
      </c>
      <c r="R169" s="54" t="n">
        <v>-11.4773853709368</v>
      </c>
      <c r="S169" s="55" t="n">
        <f aca="false">U169*V169*$F$5</f>
        <v>898.819587628866</v>
      </c>
      <c r="T169" s="56" t="n">
        <f aca="false">MAX(0,MIN(1,R169/100+$D$5))</f>
        <v>0.397219560809397</v>
      </c>
      <c r="U169" s="56" t="n">
        <v>0.654639175257732</v>
      </c>
      <c r="V169" s="55" t="n">
        <v>1373</v>
      </c>
      <c r="W169" s="56" t="n">
        <v>0.0887445098984521</v>
      </c>
      <c r="X169" s="57" t="s">
        <v>135</v>
      </c>
      <c r="Y169" s="57" t="s">
        <v>130</v>
      </c>
    </row>
    <row r="170" customFormat="false" ht="15" hidden="false" customHeight="false" outlineLevel="0" collapsed="false">
      <c r="A170" s="25" t="s">
        <v>197</v>
      </c>
      <c r="B170" s="25" t="s">
        <v>312</v>
      </c>
      <c r="C170" s="25" t="s">
        <v>316</v>
      </c>
      <c r="D170" s="52" t="n">
        <f aca="false">ROUND(S170*T170,0)</f>
        <v>537</v>
      </c>
      <c r="E170" s="52" t="n">
        <f aca="false">ROUND(S170,0)-D170</f>
        <v>790</v>
      </c>
      <c r="F170" s="52" t="n">
        <f aca="false">IF(COUNTA(D170:E170)=0,"",SUM(D170:E170))</f>
        <v>1327</v>
      </c>
      <c r="G170" s="53" t="n">
        <f aca="false">IF(OR(F170="",F170=0),"",D170/F170)</f>
        <v>0.404672192916353</v>
      </c>
      <c r="H170" s="53" t="n">
        <f aca="false">IF(OR(F170="",F170=0),"",E170/F170)</f>
        <v>0.595327807083647</v>
      </c>
      <c r="I170" s="25" t="s">
        <v>128</v>
      </c>
      <c r="J170" s="28" t="n">
        <v>2.08262589216041</v>
      </c>
      <c r="K170" s="28" t="n">
        <f aca="false">$K$8</f>
        <v>0.297938238782275</v>
      </c>
      <c r="L170" s="28" t="n">
        <f aca="false">SQRT(J170^2+K170^2)</f>
        <v>2.1038293183682</v>
      </c>
      <c r="M170" s="53" t="n">
        <f aca="false">IF(G170="","",MAX(0,G170-1.96*L170/100))</f>
        <v>0.363437138276336</v>
      </c>
      <c r="N170" s="53" t="n">
        <f aca="false">IF(G170="","",MIN(1,G170+1.96*L170/100))</f>
        <v>0.44590724755637</v>
      </c>
      <c r="O170" s="52" t="n">
        <f aca="false">ROUND(S170*W170,0)</f>
        <v>91</v>
      </c>
      <c r="P170" s="52" t="n">
        <f aca="false">IF(F170="","",ROUND(SQRT((F170*L170/100)^2+(G170*O170)^2),0))</f>
        <v>46</v>
      </c>
      <c r="R170" s="54" t="n">
        <v>-10.7091939142007</v>
      </c>
      <c r="S170" s="55" t="n">
        <f aca="false">U170*V170*$F$5</f>
        <v>1327.11285266458</v>
      </c>
      <c r="T170" s="56" t="n">
        <f aca="false">MAX(0,MIN(1,R170/100+$D$5))</f>
        <v>0.404901475376758</v>
      </c>
      <c r="U170" s="56" t="n">
        <v>0.668234064785789</v>
      </c>
      <c r="V170" s="55" t="n">
        <v>1986</v>
      </c>
      <c r="W170" s="56" t="n">
        <v>0.0684752145190268</v>
      </c>
      <c r="X170" s="57" t="s">
        <v>168</v>
      </c>
      <c r="Y170" s="57" t="s">
        <v>130</v>
      </c>
    </row>
    <row r="171" customFormat="false" ht="15" hidden="false" customHeight="false" outlineLevel="0" collapsed="false">
      <c r="A171" s="25" t="s">
        <v>197</v>
      </c>
      <c r="B171" s="25" t="s">
        <v>312</v>
      </c>
      <c r="C171" s="25" t="s">
        <v>317</v>
      </c>
      <c r="D171" s="52" t="n">
        <f aca="false">ROUND(S171*T171,0)</f>
        <v>457</v>
      </c>
      <c r="E171" s="52" t="n">
        <f aca="false">ROUND(S171,0)-D171</f>
        <v>714</v>
      </c>
      <c r="F171" s="52" t="n">
        <f aca="false">IF(COUNTA(D171:E171)=0,"",SUM(D171:E171))</f>
        <v>1171</v>
      </c>
      <c r="G171" s="53" t="n">
        <f aca="false">IF(OR(F171="",F171=0),"",D171/F171)</f>
        <v>0.390264730999146</v>
      </c>
      <c r="H171" s="53" t="n">
        <f aca="false">IF(OR(F171="",F171=0),"",E171/F171)</f>
        <v>0.609735269000854</v>
      </c>
      <c r="I171" s="25" t="s">
        <v>128</v>
      </c>
      <c r="J171" s="28" t="n">
        <v>2.08262589216041</v>
      </c>
      <c r="K171" s="28" t="n">
        <f aca="false">$K$8</f>
        <v>0.297938238782275</v>
      </c>
      <c r="L171" s="28" t="n">
        <f aca="false">SQRT(J171^2+K171^2)</f>
        <v>2.1038293183682</v>
      </c>
      <c r="M171" s="53" t="n">
        <f aca="false">IF(G171="","",MAX(0,G171-1.96*L171/100))</f>
        <v>0.349029676359129</v>
      </c>
      <c r="N171" s="53" t="n">
        <f aca="false">IF(G171="","",MIN(1,G171+1.96*L171/100))</f>
        <v>0.431499785639163</v>
      </c>
      <c r="O171" s="52" t="n">
        <f aca="false">ROUND(S171*W171,0)</f>
        <v>80</v>
      </c>
      <c r="P171" s="52" t="n">
        <f aca="false">IF(F171="","",ROUND(SQRT((F171*L171/100)^2+(G171*O171)^2),0))</f>
        <v>40</v>
      </c>
      <c r="R171" s="54" t="n">
        <v>-12.1816408065565</v>
      </c>
      <c r="S171" s="55" t="n">
        <f aca="false">U171*V171*$F$5</f>
        <v>1170.83890577508</v>
      </c>
      <c r="T171" s="56" t="n">
        <f aca="false">MAX(0,MIN(1,R171/100+$D$5))</f>
        <v>0.390177006453199</v>
      </c>
      <c r="U171" s="56" t="n">
        <v>0.716109422492401</v>
      </c>
      <c r="V171" s="55" t="n">
        <v>1635</v>
      </c>
      <c r="W171" s="56" t="n">
        <v>0.0684752145190268</v>
      </c>
      <c r="X171" s="57" t="s">
        <v>168</v>
      </c>
      <c r="Y171" s="57" t="s">
        <v>130</v>
      </c>
    </row>
    <row r="172" customFormat="false" ht="15" hidden="false" customHeight="false" outlineLevel="0" collapsed="false">
      <c r="A172" s="25" t="s">
        <v>197</v>
      </c>
      <c r="B172" s="25" t="s">
        <v>312</v>
      </c>
      <c r="C172" s="25" t="s">
        <v>318</v>
      </c>
      <c r="D172" s="52" t="n">
        <f aca="false">ROUND(S172*T172,0)</f>
        <v>389</v>
      </c>
      <c r="E172" s="52" t="n">
        <f aca="false">ROUND(S172,0)-D172</f>
        <v>524</v>
      </c>
      <c r="F172" s="52" t="n">
        <f aca="false">IF(COUNTA(D172:E172)=0,"",SUM(D172:E172))</f>
        <v>913</v>
      </c>
      <c r="G172" s="53" t="n">
        <f aca="false">IF(OR(F172="",F172=0),"",D172/F172)</f>
        <v>0.426067907995619</v>
      </c>
      <c r="H172" s="53" t="n">
        <f aca="false">IF(OR(F172="",F172=0),"",E172/F172)</f>
        <v>0.573932092004381</v>
      </c>
      <c r="I172" s="25" t="s">
        <v>128</v>
      </c>
      <c r="J172" s="28" t="n">
        <v>2.22489971008846</v>
      </c>
      <c r="K172" s="28" t="n">
        <f aca="false">$K$8</f>
        <v>0.297938238782275</v>
      </c>
      <c r="L172" s="28" t="n">
        <f aca="false">SQRT(J172^2+K172^2)</f>
        <v>2.24475965619494</v>
      </c>
      <c r="M172" s="53" t="n">
        <f aca="false">IF(G172="","",MAX(0,G172-1.96*L172/100))</f>
        <v>0.382070618734198</v>
      </c>
      <c r="N172" s="53" t="n">
        <f aca="false">IF(G172="","",MIN(1,G172+1.96*L172/100))</f>
        <v>0.47006519725704</v>
      </c>
      <c r="O172" s="52" t="n">
        <f aca="false">ROUND(S172*W172,0)</f>
        <v>81</v>
      </c>
      <c r="P172" s="52" t="n">
        <f aca="false">IF(F172="","",ROUND(SQRT((F172*L172/100)^2+(G172*O172)^2),0))</f>
        <v>40</v>
      </c>
      <c r="R172" s="54" t="n">
        <v>-8.60095026067642</v>
      </c>
      <c r="S172" s="55" t="n">
        <f aca="false">U172*V172*$F$5</f>
        <v>912.990356083086</v>
      </c>
      <c r="T172" s="56" t="n">
        <f aca="false">MAX(0,MIN(1,R172/100+$D$5))</f>
        <v>0.425983911912001</v>
      </c>
      <c r="U172" s="56" t="n">
        <v>0.61646884272997</v>
      </c>
      <c r="V172" s="55" t="n">
        <v>1481</v>
      </c>
      <c r="W172" s="56" t="n">
        <v>0.0887445098984521</v>
      </c>
      <c r="X172" s="57" t="s">
        <v>135</v>
      </c>
      <c r="Y172" s="57" t="s">
        <v>130</v>
      </c>
    </row>
    <row r="173" customFormat="false" ht="15" hidden="false" customHeight="false" outlineLevel="0" collapsed="false">
      <c r="A173" s="25" t="s">
        <v>197</v>
      </c>
      <c r="B173" s="25" t="s">
        <v>319</v>
      </c>
      <c r="C173" s="25" t="s">
        <v>320</v>
      </c>
      <c r="D173" s="52" t="n">
        <f aca="false">ROUND(S173*T173,0)</f>
        <v>514</v>
      </c>
      <c r="E173" s="52" t="n">
        <f aca="false">ROUND(S173,0)-D173</f>
        <v>505</v>
      </c>
      <c r="F173" s="52" t="n">
        <f aca="false">IF(COUNTA(D173:E173)=0,"",SUM(D173:E173))</f>
        <v>1019</v>
      </c>
      <c r="G173" s="53" t="n">
        <f aca="false">IF(OR(F173="",F173=0),"",D173/F173)</f>
        <v>0.50441609421001</v>
      </c>
      <c r="H173" s="53" t="n">
        <f aca="false">IF(OR(F173="",F173=0),"",E173/F173)</f>
        <v>0.49558390578999</v>
      </c>
      <c r="I173" s="25" t="s">
        <v>128</v>
      </c>
      <c r="J173" s="28" t="n">
        <v>2.08262589216041</v>
      </c>
      <c r="K173" s="28" t="n">
        <f aca="false">$K$8</f>
        <v>0.297938238782275</v>
      </c>
      <c r="L173" s="28" t="n">
        <f aca="false">SQRT(J173^2+K173^2)</f>
        <v>2.1038293183682</v>
      </c>
      <c r="M173" s="53" t="n">
        <f aca="false">IF(G173="","",MAX(0,G173-1.96*L173/100))</f>
        <v>0.463181039569993</v>
      </c>
      <c r="N173" s="53" t="n">
        <f aca="false">IF(G173="","",MIN(1,G173+1.96*L173/100))</f>
        <v>0.545651148850027</v>
      </c>
      <c r="O173" s="52" t="n">
        <f aca="false">ROUND(S173*W173,0)</f>
        <v>70</v>
      </c>
      <c r="P173" s="52" t="n">
        <f aca="false">IF(F173="","",ROUND(SQRT((F173*L173/100)^2+(G173*O173)^2),0))</f>
        <v>41</v>
      </c>
      <c r="R173" s="54" t="n">
        <v>-0.723150006755115</v>
      </c>
      <c r="S173" s="55" t="n">
        <f aca="false">U173*V173*$F$5</f>
        <v>1018.96641574986</v>
      </c>
      <c r="T173" s="56" t="n">
        <f aca="false">MAX(0,MIN(1,R173/100+$D$5))</f>
        <v>0.504761914451214</v>
      </c>
      <c r="U173" s="56" t="n">
        <v>0.581933989577302</v>
      </c>
      <c r="V173" s="55" t="n">
        <v>1751</v>
      </c>
      <c r="W173" s="56" t="n">
        <v>0.0684752145190268</v>
      </c>
      <c r="X173" s="57" t="s">
        <v>168</v>
      </c>
      <c r="Y173" s="57" t="s">
        <v>130</v>
      </c>
    </row>
    <row r="174" customFormat="false" ht="15" hidden="false" customHeight="false" outlineLevel="0" collapsed="false">
      <c r="A174" s="25" t="s">
        <v>197</v>
      </c>
      <c r="B174" s="25" t="s">
        <v>319</v>
      </c>
      <c r="C174" s="25" t="s">
        <v>321</v>
      </c>
      <c r="D174" s="52" t="n">
        <f aca="false">ROUND(S174*T174,0)</f>
        <v>627</v>
      </c>
      <c r="E174" s="52" t="n">
        <f aca="false">ROUND(S174,0)-D174</f>
        <v>604</v>
      </c>
      <c r="F174" s="52" t="n">
        <f aca="false">IF(COUNTA(D174:E174)=0,"",SUM(D174:E174))</f>
        <v>1231</v>
      </c>
      <c r="G174" s="53" t="n">
        <f aca="false">IF(OR(F174="",F174=0),"",D174/F174)</f>
        <v>0.509341998375305</v>
      </c>
      <c r="H174" s="53" t="n">
        <f aca="false">IF(OR(F174="",F174=0),"",E174/F174)</f>
        <v>0.490658001624695</v>
      </c>
      <c r="I174" s="25" t="s">
        <v>128</v>
      </c>
      <c r="J174" s="28" t="n">
        <v>2.08262589216041</v>
      </c>
      <c r="K174" s="28" t="n">
        <f aca="false">$K$8</f>
        <v>0.297938238782275</v>
      </c>
      <c r="L174" s="28" t="n">
        <f aca="false">SQRT(J174^2+K174^2)</f>
        <v>2.1038293183682</v>
      </c>
      <c r="M174" s="53" t="n">
        <f aca="false">IF(G174="","",MAX(0,G174-1.96*L174/100))</f>
        <v>0.468106943735288</v>
      </c>
      <c r="N174" s="53" t="n">
        <f aca="false">IF(G174="","",MIN(1,G174+1.96*L174/100))</f>
        <v>0.550577053015321</v>
      </c>
      <c r="O174" s="52" t="n">
        <f aca="false">ROUND(S174*W174,0)</f>
        <v>84</v>
      </c>
      <c r="P174" s="52" t="n">
        <f aca="false">IF(F174="","",ROUND(SQRT((F174*L174/100)^2+(G174*O174)^2),0))</f>
        <v>50</v>
      </c>
      <c r="R174" s="54" t="n">
        <v>-0.293477614253811</v>
      </c>
      <c r="S174" s="55" t="n">
        <f aca="false">U174*V174*$F$5</f>
        <v>1230.79069767442</v>
      </c>
      <c r="T174" s="56" t="n">
        <f aca="false">MAX(0,MIN(1,R174/100+$D$5))</f>
        <v>0.509058638376227</v>
      </c>
      <c r="U174" s="56" t="n">
        <v>0.609302325581395</v>
      </c>
      <c r="V174" s="55" t="n">
        <v>2020</v>
      </c>
      <c r="W174" s="56" t="n">
        <v>0.0684752145190268</v>
      </c>
      <c r="X174" s="57" t="s">
        <v>168</v>
      </c>
      <c r="Y174" s="57" t="s">
        <v>130</v>
      </c>
    </row>
    <row r="175" customFormat="false" ht="15" hidden="false" customHeight="false" outlineLevel="0" collapsed="false">
      <c r="A175" s="25" t="s">
        <v>197</v>
      </c>
      <c r="B175" s="25" t="s">
        <v>319</v>
      </c>
      <c r="C175" s="25" t="s">
        <v>322</v>
      </c>
      <c r="D175" s="52" t="n">
        <f aca="false">ROUND(S175*T175,0)</f>
        <v>280</v>
      </c>
      <c r="E175" s="52" t="n">
        <f aca="false">ROUND(S175,0)-D175</f>
        <v>274</v>
      </c>
      <c r="F175" s="52" t="n">
        <f aca="false">IF(COUNTA(D175:E175)=0,"",SUM(D175:E175))</f>
        <v>554</v>
      </c>
      <c r="G175" s="53" t="n">
        <f aca="false">IF(OR(F175="",F175=0),"",D175/F175)</f>
        <v>0.505415162454874</v>
      </c>
      <c r="H175" s="53" t="n">
        <f aca="false">IF(OR(F175="",F175=0),"",E175/F175)</f>
        <v>0.494584837545126</v>
      </c>
      <c r="I175" s="25" t="s">
        <v>128</v>
      </c>
      <c r="J175" s="28" t="n">
        <v>3.1978281706008</v>
      </c>
      <c r="K175" s="28" t="n">
        <f aca="false">$K$8</f>
        <v>0.297938238782275</v>
      </c>
      <c r="L175" s="28" t="n">
        <f aca="false">SQRT(J175^2+K175^2)</f>
        <v>3.21167747490571</v>
      </c>
      <c r="M175" s="53" t="n">
        <f aca="false">IF(G175="","",MAX(0,G175-1.96*L175/100))</f>
        <v>0.442466283946722</v>
      </c>
      <c r="N175" s="53" t="n">
        <f aca="false">IF(G175="","",MIN(1,G175+1.96*L175/100))</f>
        <v>0.568364040963026</v>
      </c>
      <c r="O175" s="52" t="n">
        <f aca="false">ROUND(S175*W175,0)</f>
        <v>82</v>
      </c>
      <c r="P175" s="52" t="n">
        <f aca="false">IF(F175="","",ROUND(SQRT((F175*L175/100)^2+(G175*O175)^2),0))</f>
        <v>45</v>
      </c>
      <c r="R175" s="54" t="n">
        <v>-0.576003040135308</v>
      </c>
      <c r="S175" s="55" t="n">
        <f aca="false">U175*V175*$F$5</f>
        <v>553.927710843374</v>
      </c>
      <c r="T175" s="56" t="n">
        <f aca="false">MAX(0,MIN(1,R175/100+$D$5))</f>
        <v>0.506233384117412</v>
      </c>
      <c r="U175" s="56" t="n">
        <v>0.674698795180723</v>
      </c>
      <c r="V175" s="55" t="n">
        <v>821</v>
      </c>
      <c r="W175" s="56" t="n">
        <v>0.148097331980838</v>
      </c>
      <c r="X175" s="57" t="s">
        <v>129</v>
      </c>
      <c r="Y175" s="57" t="s">
        <v>130</v>
      </c>
    </row>
    <row r="176" customFormat="false" ht="15" hidden="false" customHeight="false" outlineLevel="0" collapsed="false">
      <c r="A176" s="25" t="s">
        <v>197</v>
      </c>
      <c r="B176" s="25" t="s">
        <v>319</v>
      </c>
      <c r="C176" s="25" t="s">
        <v>323</v>
      </c>
      <c r="D176" s="52" t="n">
        <f aca="false">ROUND(S176*T176,0)</f>
        <v>329</v>
      </c>
      <c r="E176" s="52" t="n">
        <f aca="false">ROUND(S176,0)-D176</f>
        <v>309</v>
      </c>
      <c r="F176" s="52" t="n">
        <f aca="false">IF(COUNTA(D176:E176)=0,"",SUM(D176:E176))</f>
        <v>638</v>
      </c>
      <c r="G176" s="53" t="n">
        <f aca="false">IF(OR(F176="",F176=0),"",D176/F176)</f>
        <v>0.515673981191223</v>
      </c>
      <c r="H176" s="53" t="n">
        <f aca="false">IF(OR(F176="",F176=0),"",E176/F176)</f>
        <v>0.484326018808777</v>
      </c>
      <c r="I176" s="25" t="s">
        <v>128</v>
      </c>
      <c r="J176" s="28" t="n">
        <v>2.22489971008846</v>
      </c>
      <c r="K176" s="28" t="n">
        <f aca="false">$K$8</f>
        <v>0.297938238782275</v>
      </c>
      <c r="L176" s="28" t="n">
        <f aca="false">SQRT(J176^2+K176^2)</f>
        <v>2.24475965619494</v>
      </c>
      <c r="M176" s="53" t="n">
        <f aca="false">IF(G176="","",MAX(0,G176-1.96*L176/100))</f>
        <v>0.471676691929802</v>
      </c>
      <c r="N176" s="53" t="n">
        <f aca="false">IF(G176="","",MIN(1,G176+1.96*L176/100))</f>
        <v>0.559671270452643</v>
      </c>
      <c r="O176" s="52" t="n">
        <f aca="false">ROUND(S176*W176,0)</f>
        <v>57</v>
      </c>
      <c r="P176" s="52" t="n">
        <f aca="false">IF(F176="","",ROUND(SQRT((F176*L176/100)^2+(G176*O176)^2),0))</f>
        <v>33</v>
      </c>
      <c r="R176" s="54" t="n">
        <v>0.430597318258951</v>
      </c>
      <c r="S176" s="55" t="n">
        <f aca="false">U176*V176*$F$5</f>
        <v>638.017946161515</v>
      </c>
      <c r="T176" s="56" t="n">
        <f aca="false">MAX(0,MIN(1,R176/100+$D$5))</f>
        <v>0.516299387701354</v>
      </c>
      <c r="U176" s="56" t="n">
        <v>0.626121635094716</v>
      </c>
      <c r="V176" s="55" t="n">
        <v>1019</v>
      </c>
      <c r="W176" s="56" t="n">
        <v>0.0887445098984521</v>
      </c>
      <c r="X176" s="57" t="s">
        <v>135</v>
      </c>
      <c r="Y176" s="57" t="s">
        <v>130</v>
      </c>
    </row>
    <row r="177" customFormat="false" ht="15" hidden="false" customHeight="false" outlineLevel="0" collapsed="false">
      <c r="A177" s="25" t="s">
        <v>197</v>
      </c>
      <c r="B177" s="25" t="s">
        <v>319</v>
      </c>
      <c r="C177" s="25" t="s">
        <v>324</v>
      </c>
      <c r="D177" s="52" t="n">
        <f aca="false">ROUND(S177*T177,0)</f>
        <v>426</v>
      </c>
      <c r="E177" s="52" t="n">
        <f aca="false">ROUND(S177,0)-D177</f>
        <v>430</v>
      </c>
      <c r="F177" s="52" t="n">
        <f aca="false">IF(COUNTA(D177:E177)=0,"",SUM(D177:E177))</f>
        <v>856</v>
      </c>
      <c r="G177" s="53" t="n">
        <f aca="false">IF(OR(F177="",F177=0),"",D177/F177)</f>
        <v>0.497663551401869</v>
      </c>
      <c r="H177" s="53" t="n">
        <f aca="false">IF(OR(F177="",F177=0),"",E177/F177)</f>
        <v>0.502336448598131</v>
      </c>
      <c r="I177" s="25" t="s">
        <v>128</v>
      </c>
      <c r="J177" s="28" t="n">
        <v>2.22489971008846</v>
      </c>
      <c r="K177" s="28" t="n">
        <f aca="false">$K$8</f>
        <v>0.297938238782275</v>
      </c>
      <c r="L177" s="28" t="n">
        <f aca="false">SQRT(J177^2+K177^2)</f>
        <v>2.24475965619494</v>
      </c>
      <c r="M177" s="53" t="n">
        <f aca="false">IF(G177="","",MAX(0,G177-1.96*L177/100))</f>
        <v>0.453666262140448</v>
      </c>
      <c r="N177" s="53" t="n">
        <f aca="false">IF(G177="","",MIN(1,G177+1.96*L177/100))</f>
        <v>0.54166084066329</v>
      </c>
      <c r="O177" s="52" t="n">
        <f aca="false">ROUND(S177*W177,0)</f>
        <v>76</v>
      </c>
      <c r="P177" s="52" t="n">
        <f aca="false">IF(F177="","",ROUND(SQRT((F177*L177/100)^2+(G177*O177)^2),0))</f>
        <v>42</v>
      </c>
      <c r="R177" s="54" t="n">
        <v>-1.36073063498424</v>
      </c>
      <c r="S177" s="55" t="n">
        <f aca="false">U177*V177*$F$5</f>
        <v>855.646785437645</v>
      </c>
      <c r="T177" s="56" t="n">
        <f aca="false">MAX(0,MIN(1,R177/100+$D$5))</f>
        <v>0.498386108168922</v>
      </c>
      <c r="U177" s="56" t="n">
        <v>0.66847405112316</v>
      </c>
      <c r="V177" s="55" t="n">
        <v>1280</v>
      </c>
      <c r="W177" s="56" t="n">
        <v>0.0887445098984521</v>
      </c>
      <c r="X177" s="57" t="s">
        <v>135</v>
      </c>
      <c r="Y177" s="57" t="s">
        <v>130</v>
      </c>
    </row>
    <row r="178" customFormat="false" ht="15" hidden="false" customHeight="false" outlineLevel="0" collapsed="false">
      <c r="A178" s="25" t="s">
        <v>197</v>
      </c>
      <c r="B178" s="25" t="s">
        <v>319</v>
      </c>
      <c r="C178" s="25" t="s">
        <v>325</v>
      </c>
      <c r="D178" s="52" t="n">
        <f aca="false">ROUND(S178*T178,0)</f>
        <v>275</v>
      </c>
      <c r="E178" s="52" t="n">
        <f aca="false">ROUND(S178,0)-D178</f>
        <v>292</v>
      </c>
      <c r="F178" s="52" t="n">
        <f aca="false">IF(COUNTA(D178:E178)=0,"",SUM(D178:E178))</f>
        <v>567</v>
      </c>
      <c r="G178" s="53" t="n">
        <f aca="false">IF(OR(F178="",F178=0),"",D178/F178)</f>
        <v>0.485008818342152</v>
      </c>
      <c r="H178" s="53" t="n">
        <f aca="false">IF(OR(F178="",F178=0),"",E178/F178)</f>
        <v>0.514991181657848</v>
      </c>
      <c r="I178" s="25" t="s">
        <v>128</v>
      </c>
      <c r="J178" s="28" t="n">
        <v>3.1978281706008</v>
      </c>
      <c r="K178" s="28" t="n">
        <f aca="false">$K$8</f>
        <v>0.297938238782275</v>
      </c>
      <c r="L178" s="28" t="n">
        <f aca="false">SQRT(J178^2+K178^2)</f>
        <v>3.21167747490571</v>
      </c>
      <c r="M178" s="53" t="n">
        <f aca="false">IF(G178="","",MAX(0,G178-1.96*L178/100))</f>
        <v>0.422059939834</v>
      </c>
      <c r="N178" s="53" t="n">
        <f aca="false">IF(G178="","",MIN(1,G178+1.96*L178/100))</f>
        <v>0.547957696850304</v>
      </c>
      <c r="O178" s="52" t="n">
        <f aca="false">ROUND(S178*W178,0)</f>
        <v>84</v>
      </c>
      <c r="P178" s="52" t="n">
        <f aca="false">IF(F178="","",ROUND(SQRT((F178*L178/100)^2+(G178*O178)^2),0))</f>
        <v>45</v>
      </c>
      <c r="R178" s="54" t="n">
        <v>-2.73119227927224</v>
      </c>
      <c r="S178" s="55" t="n">
        <f aca="false">U178*V178*$F$5</f>
        <v>566.944444444444</v>
      </c>
      <c r="T178" s="56" t="n">
        <f aca="false">MAX(0,MIN(1,R178/100+$D$5))</f>
        <v>0.484681491726042</v>
      </c>
      <c r="U178" s="56" t="n">
        <v>0.722222222222222</v>
      </c>
      <c r="V178" s="55" t="n">
        <v>785</v>
      </c>
      <c r="W178" s="56" t="n">
        <v>0.148097331980838</v>
      </c>
      <c r="X178" s="57" t="s">
        <v>129</v>
      </c>
      <c r="Y178" s="57" t="s">
        <v>130</v>
      </c>
    </row>
    <row r="179" customFormat="false" ht="15" hidden="false" customHeight="false" outlineLevel="0" collapsed="false">
      <c r="A179" s="25" t="s">
        <v>197</v>
      </c>
      <c r="B179" s="25" t="s">
        <v>319</v>
      </c>
      <c r="C179" s="25" t="s">
        <v>326</v>
      </c>
      <c r="D179" s="52" t="n">
        <f aca="false">ROUND(S179*T179,0)</f>
        <v>348</v>
      </c>
      <c r="E179" s="52" t="n">
        <f aca="false">ROUND(S179,0)-D179</f>
        <v>311</v>
      </c>
      <c r="F179" s="52" t="n">
        <f aca="false">IF(COUNTA(D179:E179)=0,"",SUM(D179:E179))</f>
        <v>659</v>
      </c>
      <c r="G179" s="53" t="n">
        <f aca="false">IF(OR(F179="",F179=0),"",D179/F179)</f>
        <v>0.528072837632777</v>
      </c>
      <c r="H179" s="53" t="n">
        <f aca="false">IF(OR(F179="",F179=0),"",E179/F179)</f>
        <v>0.471927162367223</v>
      </c>
      <c r="I179" s="25" t="s">
        <v>128</v>
      </c>
      <c r="J179" s="28" t="n">
        <v>2.22489971008846</v>
      </c>
      <c r="K179" s="28" t="n">
        <f aca="false">$K$8</f>
        <v>0.297938238782275</v>
      </c>
      <c r="L179" s="28" t="n">
        <f aca="false">SQRT(J179^2+K179^2)</f>
        <v>2.24475965619494</v>
      </c>
      <c r="M179" s="53" t="n">
        <f aca="false">IF(G179="","",MAX(0,G179-1.96*L179/100))</f>
        <v>0.484075548371356</v>
      </c>
      <c r="N179" s="53" t="n">
        <f aca="false">IF(G179="","",MIN(1,G179+1.96*L179/100))</f>
        <v>0.572070126894198</v>
      </c>
      <c r="O179" s="52" t="n">
        <f aca="false">ROUND(S179*W179,0)</f>
        <v>59</v>
      </c>
      <c r="P179" s="52" t="n">
        <f aca="false">IF(F179="","",ROUND(SQRT((F179*L179/100)^2+(G179*O179)^2),0))</f>
        <v>34</v>
      </c>
      <c r="R179" s="54" t="n">
        <v>1.60865727697234</v>
      </c>
      <c r="S179" s="55" t="n">
        <f aca="false">U179*V179*$F$5</f>
        <v>659.344556677891</v>
      </c>
      <c r="T179" s="56" t="n">
        <f aca="false">MAX(0,MIN(1,R179/100+$D$5))</f>
        <v>0.528079987288488</v>
      </c>
      <c r="U179" s="56" t="n">
        <v>0.72615039281706</v>
      </c>
      <c r="V179" s="55" t="n">
        <v>908</v>
      </c>
      <c r="W179" s="56" t="n">
        <v>0.0887445098984521</v>
      </c>
      <c r="X179" s="57" t="s">
        <v>135</v>
      </c>
      <c r="Y179" s="57" t="s">
        <v>130</v>
      </c>
    </row>
    <row r="180" customFormat="false" ht="15" hidden="false" customHeight="false" outlineLevel="0" collapsed="false">
      <c r="A180" s="25" t="s">
        <v>197</v>
      </c>
      <c r="B180" s="25" t="s">
        <v>319</v>
      </c>
      <c r="C180" s="25" t="s">
        <v>327</v>
      </c>
      <c r="D180" s="52" t="n">
        <f aca="false">ROUND(S180*T180,0)</f>
        <v>461</v>
      </c>
      <c r="E180" s="52" t="n">
        <f aca="false">ROUND(S180,0)-D180</f>
        <v>439</v>
      </c>
      <c r="F180" s="52" t="n">
        <f aca="false">IF(COUNTA(D180:E180)=0,"",SUM(D180:E180))</f>
        <v>900</v>
      </c>
      <c r="G180" s="53" t="n">
        <f aca="false">IF(OR(F180="",F180=0),"",D180/F180)</f>
        <v>0.512222222222222</v>
      </c>
      <c r="H180" s="53" t="n">
        <f aca="false">IF(OR(F180="",F180=0),"",E180/F180)</f>
        <v>0.487777777777778</v>
      </c>
      <c r="I180" s="25" t="s">
        <v>128</v>
      </c>
      <c r="J180" s="28" t="n">
        <v>2.22489971008846</v>
      </c>
      <c r="K180" s="28" t="n">
        <f aca="false">$K$8</f>
        <v>0.297938238782275</v>
      </c>
      <c r="L180" s="28" t="n">
        <f aca="false">SQRT(J180^2+K180^2)</f>
        <v>2.24475965619494</v>
      </c>
      <c r="M180" s="53" t="n">
        <f aca="false">IF(G180="","",MAX(0,G180-1.96*L180/100))</f>
        <v>0.468224932960802</v>
      </c>
      <c r="N180" s="53" t="n">
        <f aca="false">IF(G180="","",MIN(1,G180+1.96*L180/100))</f>
        <v>0.556219511483643</v>
      </c>
      <c r="O180" s="52" t="n">
        <f aca="false">ROUND(S180*W180,0)</f>
        <v>80</v>
      </c>
      <c r="P180" s="52" t="n">
        <f aca="false">IF(F180="","",ROUND(SQRT((F180*L180/100)^2+(G180*O180)^2),0))</f>
        <v>46</v>
      </c>
      <c r="R180" s="54" t="n">
        <v>0.0630667654645322</v>
      </c>
      <c r="S180" s="55" t="n">
        <f aca="false">U180*V180*$F$5</f>
        <v>900.130434782609</v>
      </c>
      <c r="T180" s="56" t="n">
        <f aca="false">MAX(0,MIN(1,R180/100+$D$5))</f>
        <v>0.51262408217341</v>
      </c>
      <c r="U180" s="56" t="n">
        <v>0.707093821510297</v>
      </c>
      <c r="V180" s="55" t="n">
        <v>1273</v>
      </c>
      <c r="W180" s="56" t="n">
        <v>0.0887445098984521</v>
      </c>
      <c r="X180" s="57" t="s">
        <v>135</v>
      </c>
      <c r="Y180" s="57" t="s">
        <v>130</v>
      </c>
    </row>
    <row r="181" customFormat="false" ht="15" hidden="false" customHeight="false" outlineLevel="0" collapsed="false">
      <c r="A181" s="25" t="s">
        <v>197</v>
      </c>
      <c r="B181" s="25" t="s">
        <v>328</v>
      </c>
      <c r="C181" s="25" t="s">
        <v>329</v>
      </c>
      <c r="D181" s="52" t="n">
        <f aca="false">ROUND(S181*T181,0)</f>
        <v>174</v>
      </c>
      <c r="E181" s="52" t="n">
        <f aca="false">ROUND(S181,0)-D181</f>
        <v>217</v>
      </c>
      <c r="F181" s="52" t="n">
        <f aca="false">IF(COUNTA(D181:E181)=0,"",SUM(D181:E181))</f>
        <v>391</v>
      </c>
      <c r="G181" s="53" t="n">
        <f aca="false">IF(OR(F181="",F181=0),"",D181/F181)</f>
        <v>0.445012787723785</v>
      </c>
      <c r="H181" s="53" t="n">
        <f aca="false">IF(OR(F181="",F181=0),"",E181/F181)</f>
        <v>0.554987212276215</v>
      </c>
      <c r="I181" s="25" t="s">
        <v>128</v>
      </c>
      <c r="J181" s="28" t="n">
        <v>3.1978281706008</v>
      </c>
      <c r="K181" s="28" t="n">
        <f aca="false">$K$8</f>
        <v>0.297938238782275</v>
      </c>
      <c r="L181" s="28" t="n">
        <f aca="false">SQRT(J181^2+K181^2)</f>
        <v>3.21167747490571</v>
      </c>
      <c r="M181" s="53" t="n">
        <f aca="false">IF(G181="","",MAX(0,G181-1.96*L181/100))</f>
        <v>0.382063909215633</v>
      </c>
      <c r="N181" s="53" t="n">
        <f aca="false">IF(G181="","",MIN(1,G181+1.96*L181/100))</f>
        <v>0.507961666231937</v>
      </c>
      <c r="O181" s="52" t="n">
        <f aca="false">ROUND(S181*W181,0)</f>
        <v>58</v>
      </c>
      <c r="P181" s="52" t="n">
        <f aca="false">IF(F181="","",ROUND(SQRT((F181*L181/100)^2+(G181*O181)^2),0))</f>
        <v>29</v>
      </c>
      <c r="R181" s="54" t="n">
        <v>-6.74857341774626</v>
      </c>
      <c r="S181" s="55" t="n">
        <f aca="false">U181*V181*$F$5</f>
        <v>390.71668667467</v>
      </c>
      <c r="T181" s="56" t="n">
        <f aca="false">MAX(0,MIN(1,R181/100+$D$5))</f>
        <v>0.444507680341302</v>
      </c>
      <c r="U181" s="56" t="n">
        <v>0.464585834333733</v>
      </c>
      <c r="V181" s="55" t="n">
        <v>841</v>
      </c>
      <c r="W181" s="56" t="n">
        <v>0.148097331980838</v>
      </c>
      <c r="X181" s="57" t="s">
        <v>129</v>
      </c>
      <c r="Y181" s="57" t="s">
        <v>130</v>
      </c>
    </row>
    <row r="182" customFormat="false" ht="15" hidden="false" customHeight="false" outlineLevel="0" collapsed="false">
      <c r="A182" s="25" t="s">
        <v>197</v>
      </c>
      <c r="B182" s="25" t="s">
        <v>328</v>
      </c>
      <c r="C182" s="25" t="s">
        <v>330</v>
      </c>
      <c r="D182" s="52" t="n">
        <f aca="false">ROUND(S182*T182,0)</f>
        <v>132</v>
      </c>
      <c r="E182" s="52" t="n">
        <f aca="false">ROUND(S182,0)-D182</f>
        <v>184</v>
      </c>
      <c r="F182" s="52" t="n">
        <f aca="false">IF(COUNTA(D182:E182)=0,"",SUM(D182:E182))</f>
        <v>316</v>
      </c>
      <c r="G182" s="53" t="n">
        <f aca="false">IF(OR(F182="",F182=0),"",D182/F182)</f>
        <v>0.417721518987342</v>
      </c>
      <c r="H182" s="53" t="n">
        <f aca="false">IF(OR(F182="",F182=0),"",E182/F182)</f>
        <v>0.582278481012658</v>
      </c>
      <c r="I182" s="25" t="s">
        <v>128</v>
      </c>
      <c r="J182" s="28" t="n">
        <v>3.1978281706008</v>
      </c>
      <c r="K182" s="28" t="n">
        <f aca="false">$K$8</f>
        <v>0.297938238782275</v>
      </c>
      <c r="L182" s="28" t="n">
        <f aca="false">SQRT(J182^2+K182^2)</f>
        <v>3.21167747490571</v>
      </c>
      <c r="M182" s="53" t="n">
        <f aca="false">IF(G182="","",MAX(0,G182-1.96*L182/100))</f>
        <v>0.35477264047919</v>
      </c>
      <c r="N182" s="53" t="n">
        <f aca="false">IF(G182="","",MIN(1,G182+1.96*L182/100))</f>
        <v>0.480670397495494</v>
      </c>
      <c r="O182" s="52" t="n">
        <f aca="false">ROUND(S182*W182,0)</f>
        <v>47</v>
      </c>
      <c r="P182" s="52" t="n">
        <f aca="false">IF(F182="","",ROUND(SQRT((F182*L182/100)^2+(G182*O182)^2),0))</f>
        <v>22</v>
      </c>
      <c r="R182" s="54" t="n">
        <v>-9.40718652661984</v>
      </c>
      <c r="S182" s="55" t="n">
        <f aca="false">U182*V182*$F$5</f>
        <v>316.23569023569</v>
      </c>
      <c r="T182" s="56" t="n">
        <f aca="false">MAX(0,MIN(1,R182/100+$D$5))</f>
        <v>0.417921549252566</v>
      </c>
      <c r="U182" s="56" t="n">
        <v>0.508417508417508</v>
      </c>
      <c r="V182" s="55" t="n">
        <v>622</v>
      </c>
      <c r="W182" s="56" t="n">
        <v>0.148097331980838</v>
      </c>
      <c r="X182" s="57" t="s">
        <v>129</v>
      </c>
      <c r="Y182" s="57" t="s">
        <v>130</v>
      </c>
    </row>
    <row r="183" customFormat="false" ht="15" hidden="false" customHeight="false" outlineLevel="0" collapsed="false">
      <c r="A183" s="25" t="s">
        <v>197</v>
      </c>
      <c r="B183" s="25" t="s">
        <v>328</v>
      </c>
      <c r="C183" s="25" t="s">
        <v>331</v>
      </c>
      <c r="D183" s="52" t="n">
        <f aca="false">ROUND(S183*T183,0)</f>
        <v>288</v>
      </c>
      <c r="E183" s="52" t="n">
        <f aca="false">ROUND(S183,0)-D183</f>
        <v>396</v>
      </c>
      <c r="F183" s="52" t="n">
        <f aca="false">IF(COUNTA(D183:E183)=0,"",SUM(D183:E183))</f>
        <v>684</v>
      </c>
      <c r="G183" s="53" t="n">
        <f aca="false">IF(OR(F183="",F183=0),"",D183/F183)</f>
        <v>0.421052631578947</v>
      </c>
      <c r="H183" s="53" t="n">
        <f aca="false">IF(OR(F183="",F183=0),"",E183/F183)</f>
        <v>0.578947368421053</v>
      </c>
      <c r="I183" s="25" t="s">
        <v>128</v>
      </c>
      <c r="J183" s="28" t="n">
        <v>2.22489971008846</v>
      </c>
      <c r="K183" s="28" t="n">
        <f aca="false">$K$8</f>
        <v>0.297938238782275</v>
      </c>
      <c r="L183" s="28" t="n">
        <f aca="false">SQRT(J183^2+K183^2)</f>
        <v>2.24475965619494</v>
      </c>
      <c r="M183" s="53" t="n">
        <f aca="false">IF(G183="","",MAX(0,G183-1.96*L183/100))</f>
        <v>0.377055342317527</v>
      </c>
      <c r="N183" s="53" t="n">
        <f aca="false">IF(G183="","",MIN(1,G183+1.96*L183/100))</f>
        <v>0.465049920840368</v>
      </c>
      <c r="O183" s="52" t="n">
        <f aca="false">ROUND(S183*W183,0)</f>
        <v>61</v>
      </c>
      <c r="P183" s="52" t="n">
        <f aca="false">IF(F183="","",ROUND(SQRT((F183*L183/100)^2+(G183*O183)^2),0))</f>
        <v>30</v>
      </c>
      <c r="R183" s="54" t="n">
        <v>-9.08299261294976</v>
      </c>
      <c r="S183" s="55" t="n">
        <f aca="false">U183*V183*$F$5</f>
        <v>684.341030195382</v>
      </c>
      <c r="T183" s="56" t="n">
        <f aca="false">MAX(0,MIN(1,R183/100+$D$5))</f>
        <v>0.421163488389267</v>
      </c>
      <c r="U183" s="56" t="n">
        <v>0.587921847246892</v>
      </c>
      <c r="V183" s="55" t="n">
        <v>1164</v>
      </c>
      <c r="W183" s="56" t="n">
        <v>0.0887445098984521</v>
      </c>
      <c r="X183" s="57" t="s">
        <v>135</v>
      </c>
      <c r="Y183" s="57" t="s">
        <v>130</v>
      </c>
    </row>
    <row r="184" customFormat="false" ht="15" hidden="false" customHeight="false" outlineLevel="0" collapsed="false">
      <c r="A184" s="25" t="s">
        <v>197</v>
      </c>
      <c r="B184" s="25" t="s">
        <v>332</v>
      </c>
      <c r="C184" s="25" t="s">
        <v>333</v>
      </c>
      <c r="D184" s="52" t="n">
        <f aca="false">ROUND(S184*T184,0)</f>
        <v>722</v>
      </c>
      <c r="E184" s="52" t="n">
        <f aca="false">ROUND(S184,0)-D184</f>
        <v>697</v>
      </c>
      <c r="F184" s="52" t="n">
        <f aca="false">IF(COUNTA(D184:E184)=0,"",SUM(D184:E184))</f>
        <v>1419</v>
      </c>
      <c r="G184" s="53" t="n">
        <f aca="false">IF(OR(F184="",F184=0),"",D184/F184)</f>
        <v>0.508809020436927</v>
      </c>
      <c r="H184" s="53" t="n">
        <f aca="false">IF(OR(F184="",F184=0),"",E184/F184)</f>
        <v>0.491190979563073</v>
      </c>
      <c r="I184" s="25" t="s">
        <v>128</v>
      </c>
      <c r="J184" s="28" t="n">
        <v>2.08262589216041</v>
      </c>
      <c r="K184" s="28" t="n">
        <f aca="false">$K$8</f>
        <v>0.297938238782275</v>
      </c>
      <c r="L184" s="28" t="n">
        <f aca="false">SQRT(J184^2+K184^2)</f>
        <v>2.1038293183682</v>
      </c>
      <c r="M184" s="53" t="n">
        <f aca="false">IF(G184="","",MAX(0,G184-1.96*L184/100))</f>
        <v>0.467573965796911</v>
      </c>
      <c r="N184" s="53" t="n">
        <f aca="false">IF(G184="","",MIN(1,G184+1.96*L184/100))</f>
        <v>0.550044075076944</v>
      </c>
      <c r="O184" s="52" t="n">
        <f aca="false">ROUND(S184*W184,0)</f>
        <v>97</v>
      </c>
      <c r="P184" s="52" t="n">
        <f aca="false">IF(F184="","",ROUND(SQRT((F184*L184/100)^2+(G184*O184)^2),0))</f>
        <v>58</v>
      </c>
      <c r="R184" s="54" t="n">
        <v>-0.315964599580164</v>
      </c>
      <c r="S184" s="55" t="n">
        <f aca="false">U184*V184*$F$5</f>
        <v>1418.72759856631</v>
      </c>
      <c r="T184" s="56" t="n">
        <f aca="false">MAX(0,MIN(1,R184/100+$D$5))</f>
        <v>0.508833768522963</v>
      </c>
      <c r="U184" s="56" t="n">
        <v>0.636200716845878</v>
      </c>
      <c r="V184" s="55" t="n">
        <v>2230</v>
      </c>
      <c r="W184" s="56" t="n">
        <v>0.0684752145190268</v>
      </c>
      <c r="X184" s="57" t="s">
        <v>168</v>
      </c>
      <c r="Y184" s="57" t="s">
        <v>130</v>
      </c>
    </row>
    <row r="185" customFormat="false" ht="15" hidden="false" customHeight="false" outlineLevel="0" collapsed="false">
      <c r="A185" s="25" t="s">
        <v>197</v>
      </c>
      <c r="B185" s="25" t="s">
        <v>332</v>
      </c>
      <c r="C185" s="25" t="s">
        <v>334</v>
      </c>
      <c r="D185" s="52" t="n">
        <f aca="false">ROUND(S185*T185,0)</f>
        <v>343</v>
      </c>
      <c r="E185" s="52" t="n">
        <f aca="false">ROUND(S185,0)-D185</f>
        <v>318</v>
      </c>
      <c r="F185" s="52" t="n">
        <f aca="false">IF(COUNTA(D185:E185)=0,"",SUM(D185:E185))</f>
        <v>661</v>
      </c>
      <c r="G185" s="53" t="n">
        <f aca="false">IF(OR(F185="",F185=0),"",D185/F185)</f>
        <v>0.518910741301059</v>
      </c>
      <c r="H185" s="53" t="n">
        <f aca="false">IF(OR(F185="",F185=0),"",E185/F185)</f>
        <v>0.481089258698941</v>
      </c>
      <c r="I185" s="25" t="s">
        <v>128</v>
      </c>
      <c r="J185" s="28" t="n">
        <v>2.22489971008846</v>
      </c>
      <c r="K185" s="28" t="n">
        <f aca="false">$K$8</f>
        <v>0.297938238782275</v>
      </c>
      <c r="L185" s="28" t="n">
        <f aca="false">SQRT(J185^2+K185^2)</f>
        <v>2.24475965619494</v>
      </c>
      <c r="M185" s="53" t="n">
        <f aca="false">IF(G185="","",MAX(0,G185-1.96*L185/100))</f>
        <v>0.474913452039638</v>
      </c>
      <c r="N185" s="53" t="n">
        <f aca="false">IF(G185="","",MIN(1,G185+1.96*L185/100))</f>
        <v>0.56290803056248</v>
      </c>
      <c r="O185" s="52" t="n">
        <f aca="false">ROUND(S185*W185,0)</f>
        <v>59</v>
      </c>
      <c r="P185" s="52" t="n">
        <f aca="false">IF(F185="","",ROUND(SQRT((F185*L185/100)^2+(G185*O185)^2),0))</f>
        <v>34</v>
      </c>
      <c r="R185" s="54" t="n">
        <v>0.740026203263595</v>
      </c>
      <c r="S185" s="55" t="n">
        <f aca="false">U185*V185*$F$5</f>
        <v>660.903056768559</v>
      </c>
      <c r="T185" s="56" t="n">
        <f aca="false">MAX(0,MIN(1,R185/100+$D$5))</f>
        <v>0.519393676551401</v>
      </c>
      <c r="U185" s="56" t="n">
        <v>0.566812227074236</v>
      </c>
      <c r="V185" s="55" t="n">
        <v>1166</v>
      </c>
      <c r="W185" s="56" t="n">
        <v>0.0887445098984521</v>
      </c>
      <c r="X185" s="57" t="s">
        <v>135</v>
      </c>
      <c r="Y185" s="57" t="s">
        <v>130</v>
      </c>
    </row>
    <row r="186" customFormat="false" ht="15" hidden="false" customHeight="false" outlineLevel="0" collapsed="false">
      <c r="A186" s="25" t="s">
        <v>197</v>
      </c>
      <c r="B186" s="25" t="s">
        <v>332</v>
      </c>
      <c r="C186" s="25" t="s">
        <v>335</v>
      </c>
      <c r="D186" s="52" t="n">
        <f aca="false">ROUND(S186*T186,0)</f>
        <v>944</v>
      </c>
      <c r="E186" s="52" t="n">
        <f aca="false">ROUND(S186,0)-D186</f>
        <v>735</v>
      </c>
      <c r="F186" s="52" t="n">
        <f aca="false">IF(COUNTA(D186:E186)=0,"",SUM(D186:E186))</f>
        <v>1679</v>
      </c>
      <c r="G186" s="53" t="n">
        <f aca="false">IF(OR(F186="",F186=0),"",D186/F186)</f>
        <v>0.56223942823109</v>
      </c>
      <c r="H186" s="53" t="n">
        <f aca="false">IF(OR(F186="",F186=0),"",E186/F186)</f>
        <v>0.43776057176891</v>
      </c>
      <c r="I186" s="25" t="s">
        <v>128</v>
      </c>
      <c r="J186" s="28" t="n">
        <v>2.08262589216041</v>
      </c>
      <c r="K186" s="28" t="n">
        <f aca="false">$K$8</f>
        <v>0.297938238782275</v>
      </c>
      <c r="L186" s="28" t="n">
        <f aca="false">SQRT(J186^2+K186^2)</f>
        <v>2.1038293183682</v>
      </c>
      <c r="M186" s="53" t="n">
        <f aca="false">IF(G186="","",MAX(0,G186-1.96*L186/100))</f>
        <v>0.521004373591073</v>
      </c>
      <c r="N186" s="53" t="n">
        <f aca="false">IF(G186="","",MIN(1,G186+1.96*L186/100))</f>
        <v>0.603474482871107</v>
      </c>
      <c r="O186" s="52" t="n">
        <f aca="false">ROUND(S186*W186,0)</f>
        <v>115</v>
      </c>
      <c r="P186" s="52" t="n">
        <f aca="false">IF(F186="","",ROUND(SQRT((F186*L186/100)^2+(G186*O186)^2),0))</f>
        <v>74</v>
      </c>
      <c r="R186" s="54" t="n">
        <v>5.05621665315218</v>
      </c>
      <c r="S186" s="55" t="n">
        <f aca="false">U186*V186*$F$5</f>
        <v>1678.57188498403</v>
      </c>
      <c r="T186" s="56" t="n">
        <f aca="false">MAX(0,MIN(1,R186/100+$D$5))</f>
        <v>0.562555581050287</v>
      </c>
      <c r="U186" s="56" t="n">
        <v>0.625399361022364</v>
      </c>
      <c r="V186" s="55" t="n">
        <v>2684</v>
      </c>
      <c r="W186" s="56" t="n">
        <v>0.0684752145190268</v>
      </c>
      <c r="X186" s="57" t="s">
        <v>168</v>
      </c>
      <c r="Y186" s="57" t="s">
        <v>130</v>
      </c>
    </row>
    <row r="187" customFormat="false" ht="15" hidden="false" customHeight="false" outlineLevel="0" collapsed="false">
      <c r="A187" s="25" t="s">
        <v>197</v>
      </c>
      <c r="B187" s="25" t="s">
        <v>332</v>
      </c>
      <c r="C187" s="25" t="s">
        <v>336</v>
      </c>
      <c r="D187" s="52" t="n">
        <f aca="false">ROUND(S187*T187,0)</f>
        <v>433</v>
      </c>
      <c r="E187" s="52" t="n">
        <f aca="false">ROUND(S187,0)-D187</f>
        <v>435</v>
      </c>
      <c r="F187" s="52" t="n">
        <f aca="false">IF(COUNTA(D187:E187)=0,"",SUM(D187:E187))</f>
        <v>868</v>
      </c>
      <c r="G187" s="53" t="n">
        <f aca="false">IF(OR(F187="",F187=0),"",D187/F187)</f>
        <v>0.498847926267281</v>
      </c>
      <c r="H187" s="53" t="n">
        <f aca="false">IF(OR(F187="",F187=0),"",E187/F187)</f>
        <v>0.501152073732719</v>
      </c>
      <c r="I187" s="25" t="s">
        <v>128</v>
      </c>
      <c r="J187" s="28" t="n">
        <v>2.22489971008846</v>
      </c>
      <c r="K187" s="28" t="n">
        <f aca="false">$K$8</f>
        <v>0.297938238782275</v>
      </c>
      <c r="L187" s="28" t="n">
        <f aca="false">SQRT(J187^2+K187^2)</f>
        <v>2.24475965619494</v>
      </c>
      <c r="M187" s="53" t="n">
        <f aca="false">IF(G187="","",MAX(0,G187-1.96*L187/100))</f>
        <v>0.45485063700586</v>
      </c>
      <c r="N187" s="53" t="n">
        <f aca="false">IF(G187="","",MIN(1,G187+1.96*L187/100))</f>
        <v>0.542845215528702</v>
      </c>
      <c r="O187" s="52" t="n">
        <f aca="false">ROUND(S187*W187,0)</f>
        <v>77</v>
      </c>
      <c r="P187" s="52" t="n">
        <f aca="false">IF(F187="","",ROUND(SQRT((F187*L187/100)^2+(G187*O187)^2),0))</f>
        <v>43</v>
      </c>
      <c r="R187" s="54" t="n">
        <v>-1.38509848729529</v>
      </c>
      <c r="S187" s="55" t="n">
        <f aca="false">U187*V187*$F$5</f>
        <v>868.364696734059</v>
      </c>
      <c r="T187" s="56" t="n">
        <f aca="false">MAX(0,MIN(1,R187/100+$D$5))</f>
        <v>0.498142429645812</v>
      </c>
      <c r="U187" s="56" t="n">
        <v>0.669517884914464</v>
      </c>
      <c r="V187" s="55" t="n">
        <v>1297</v>
      </c>
      <c r="W187" s="56" t="n">
        <v>0.0887445098984521</v>
      </c>
      <c r="X187" s="57" t="s">
        <v>135</v>
      </c>
      <c r="Y187" s="57" t="s">
        <v>130</v>
      </c>
    </row>
    <row r="188" customFormat="false" ht="15" hidden="false" customHeight="false" outlineLevel="0" collapsed="false">
      <c r="A188" s="25" t="s">
        <v>197</v>
      </c>
      <c r="B188" s="25" t="s">
        <v>332</v>
      </c>
      <c r="C188" s="25" t="s">
        <v>337</v>
      </c>
      <c r="D188" s="52" t="n">
        <f aca="false">ROUND(S188*T188,0)</f>
        <v>881</v>
      </c>
      <c r="E188" s="52" t="n">
        <f aca="false">ROUND(S188,0)-D188</f>
        <v>608</v>
      </c>
      <c r="F188" s="52" t="n">
        <f aca="false">IF(COUNTA(D188:E188)=0,"",SUM(D188:E188))</f>
        <v>1489</v>
      </c>
      <c r="G188" s="53" t="n">
        <f aca="false">IF(OR(F188="",F188=0),"",D188/F188)</f>
        <v>0.591672263263936</v>
      </c>
      <c r="H188" s="53" t="n">
        <f aca="false">IF(OR(F188="",F188=0),"",E188/F188)</f>
        <v>0.408327736736065</v>
      </c>
      <c r="I188" s="25" t="s">
        <v>128</v>
      </c>
      <c r="J188" s="28" t="n">
        <v>2.08262589216041</v>
      </c>
      <c r="K188" s="28" t="n">
        <f aca="false">$K$8</f>
        <v>0.297938238782275</v>
      </c>
      <c r="L188" s="28" t="n">
        <f aca="false">SQRT(J188^2+K188^2)</f>
        <v>2.1038293183682</v>
      </c>
      <c r="M188" s="53" t="n">
        <f aca="false">IF(G188="","",MAX(0,G188-1.96*L188/100))</f>
        <v>0.550437208623919</v>
      </c>
      <c r="N188" s="53" t="n">
        <f aca="false">IF(G188="","",MIN(1,G188+1.96*L188/100))</f>
        <v>0.632907317903952</v>
      </c>
      <c r="O188" s="52" t="n">
        <f aca="false">ROUND(S188*W188,0)</f>
        <v>102</v>
      </c>
      <c r="P188" s="52" t="n">
        <f aca="false">IF(F188="","",ROUND(SQRT((F188*L188/100)^2+(G188*O188)^2),0))</f>
        <v>68</v>
      </c>
      <c r="R188" s="54" t="n">
        <v>7.95421855860262</v>
      </c>
      <c r="S188" s="55" t="n">
        <f aca="false">U188*V188*$F$5</f>
        <v>1488.84887459807</v>
      </c>
      <c r="T188" s="56" t="n">
        <f aca="false">MAX(0,MIN(1,R188/100+$D$5))</f>
        <v>0.591535600104791</v>
      </c>
      <c r="U188" s="56" t="n">
        <v>0.650436380339917</v>
      </c>
      <c r="V188" s="55" t="n">
        <v>2289</v>
      </c>
      <c r="W188" s="56" t="n">
        <v>0.0684752145190268</v>
      </c>
      <c r="X188" s="57" t="s">
        <v>168</v>
      </c>
      <c r="Y188" s="57" t="s">
        <v>130</v>
      </c>
    </row>
    <row r="189" customFormat="false" ht="15" hidden="false" customHeight="false" outlineLevel="0" collapsed="false">
      <c r="A189" s="25" t="s">
        <v>197</v>
      </c>
      <c r="B189" s="25" t="s">
        <v>332</v>
      </c>
      <c r="C189" s="25" t="s">
        <v>338</v>
      </c>
      <c r="D189" s="52" t="n">
        <f aca="false">ROUND(S189*T189,0)</f>
        <v>879</v>
      </c>
      <c r="E189" s="52" t="n">
        <f aca="false">ROUND(S189,0)-D189</f>
        <v>601</v>
      </c>
      <c r="F189" s="52" t="n">
        <f aca="false">IF(COUNTA(D189:E189)=0,"",SUM(D189:E189))</f>
        <v>1480</v>
      </c>
      <c r="G189" s="53" t="n">
        <f aca="false">IF(OR(F189="",F189=0),"",D189/F189)</f>
        <v>0.593918918918919</v>
      </c>
      <c r="H189" s="53" t="n">
        <f aca="false">IF(OR(F189="",F189=0),"",E189/F189)</f>
        <v>0.406081081081081</v>
      </c>
      <c r="I189" s="25" t="s">
        <v>128</v>
      </c>
      <c r="J189" s="28" t="n">
        <v>2.08262589216041</v>
      </c>
      <c r="K189" s="28" t="n">
        <f aca="false">$K$8</f>
        <v>0.297938238782275</v>
      </c>
      <c r="L189" s="28" t="n">
        <f aca="false">SQRT(J189^2+K189^2)</f>
        <v>2.1038293183682</v>
      </c>
      <c r="M189" s="53" t="n">
        <f aca="false">IF(G189="","",MAX(0,G189-1.96*L189/100))</f>
        <v>0.552683864278902</v>
      </c>
      <c r="N189" s="53" t="n">
        <f aca="false">IF(G189="","",MIN(1,G189+1.96*L189/100))</f>
        <v>0.635153973558936</v>
      </c>
      <c r="O189" s="52" t="n">
        <f aca="false">ROUND(S189*W189,0)</f>
        <v>101</v>
      </c>
      <c r="P189" s="52" t="n">
        <f aca="false">IF(F189="","",ROUND(SQRT((F189*L189/100)^2+(G189*O189)^2),0))</f>
        <v>68</v>
      </c>
      <c r="R189" s="54" t="n">
        <v>8.20082512187176</v>
      </c>
      <c r="S189" s="55" t="n">
        <f aca="false">U189*V189*$F$5</f>
        <v>1480.29868819374</v>
      </c>
      <c r="T189" s="56" t="n">
        <f aca="false">MAX(0,MIN(1,R189/100+$D$5))</f>
        <v>0.594001665737482</v>
      </c>
      <c r="U189" s="56" t="n">
        <v>0.714429868819374</v>
      </c>
      <c r="V189" s="55" t="n">
        <v>2072</v>
      </c>
      <c r="W189" s="56" t="n">
        <v>0.0684752145190268</v>
      </c>
      <c r="X189" s="57" t="s">
        <v>168</v>
      </c>
      <c r="Y189" s="57" t="s">
        <v>130</v>
      </c>
    </row>
    <row r="190" customFormat="false" ht="15" hidden="false" customHeight="false" outlineLevel="0" collapsed="false">
      <c r="A190" s="25" t="s">
        <v>197</v>
      </c>
      <c r="B190" s="25" t="s">
        <v>332</v>
      </c>
      <c r="C190" s="25" t="s">
        <v>339</v>
      </c>
      <c r="D190" s="52" t="n">
        <f aca="false">ROUND(S190*T190,0)</f>
        <v>405</v>
      </c>
      <c r="E190" s="52" t="n">
        <f aca="false">ROUND(S190,0)-D190</f>
        <v>371</v>
      </c>
      <c r="F190" s="52" t="n">
        <f aca="false">IF(COUNTA(D190:E190)=0,"",SUM(D190:E190))</f>
        <v>776</v>
      </c>
      <c r="G190" s="53" t="n">
        <f aca="false">IF(OR(F190="",F190=0),"",D190/F190)</f>
        <v>0.521907216494845</v>
      </c>
      <c r="H190" s="53" t="n">
        <f aca="false">IF(OR(F190="",F190=0),"",E190/F190)</f>
        <v>0.478092783505155</v>
      </c>
      <c r="I190" s="25" t="s">
        <v>128</v>
      </c>
      <c r="J190" s="28" t="n">
        <v>2.22489971008846</v>
      </c>
      <c r="K190" s="28" t="n">
        <f aca="false">$K$8</f>
        <v>0.297938238782275</v>
      </c>
      <c r="L190" s="28" t="n">
        <f aca="false">SQRT(J190^2+K190^2)</f>
        <v>2.24475965619494</v>
      </c>
      <c r="M190" s="53" t="n">
        <f aca="false">IF(G190="","",MAX(0,G190-1.96*L190/100))</f>
        <v>0.477909927233425</v>
      </c>
      <c r="N190" s="53" t="n">
        <f aca="false">IF(G190="","",MIN(1,G190+1.96*L190/100))</f>
        <v>0.565904505756266</v>
      </c>
      <c r="O190" s="52" t="n">
        <f aca="false">ROUND(S190*W190,0)</f>
        <v>69</v>
      </c>
      <c r="P190" s="52" t="n">
        <f aca="false">IF(F190="","",ROUND(SQRT((F190*L190/100)^2+(G190*O190)^2),0))</f>
        <v>40</v>
      </c>
      <c r="R190" s="54" t="n">
        <v>1.02676657061917</v>
      </c>
      <c r="S190" s="55" t="n">
        <f aca="false">U190*V190*$F$5</f>
        <v>775.595171773445</v>
      </c>
      <c r="T190" s="56" t="n">
        <f aca="false">MAX(0,MIN(1,R190/100+$D$5))</f>
        <v>0.522261080224956</v>
      </c>
      <c r="U190" s="56" t="n">
        <v>0.70380687093779</v>
      </c>
      <c r="V190" s="55" t="n">
        <v>1102</v>
      </c>
      <c r="W190" s="56" t="n">
        <v>0.0887445098984521</v>
      </c>
      <c r="X190" s="57" t="s">
        <v>135</v>
      </c>
      <c r="Y190" s="57" t="s">
        <v>130</v>
      </c>
    </row>
    <row r="191" customFormat="false" ht="15" hidden="false" customHeight="false" outlineLevel="0" collapsed="false">
      <c r="A191" s="25" t="s">
        <v>197</v>
      </c>
      <c r="B191" s="25" t="s">
        <v>332</v>
      </c>
      <c r="C191" s="25" t="s">
        <v>340</v>
      </c>
      <c r="D191" s="52" t="n">
        <f aca="false">ROUND(S191*T191,0)</f>
        <v>1086</v>
      </c>
      <c r="E191" s="52" t="n">
        <f aca="false">ROUND(S191,0)-D191</f>
        <v>1029</v>
      </c>
      <c r="F191" s="52" t="n">
        <f aca="false">IF(COUNTA(D191:E191)=0,"",SUM(D191:E191))</f>
        <v>2115</v>
      </c>
      <c r="G191" s="53" t="n">
        <f aca="false">IF(OR(F191="",F191=0),"",D191/F191)</f>
        <v>0.513475177304965</v>
      </c>
      <c r="H191" s="53" t="n">
        <f aca="false">IF(OR(F191="",F191=0),"",E191/F191)</f>
        <v>0.486524822695035</v>
      </c>
      <c r="I191" s="25" t="s">
        <v>128</v>
      </c>
      <c r="J191" s="28" t="n">
        <v>2.08262589216041</v>
      </c>
      <c r="K191" s="28" t="n">
        <f aca="false">$K$8</f>
        <v>0.297938238782275</v>
      </c>
      <c r="L191" s="28" t="n">
        <f aca="false">SQRT(J191^2+K191^2)</f>
        <v>2.1038293183682</v>
      </c>
      <c r="M191" s="53" t="n">
        <f aca="false">IF(G191="","",MAX(0,G191-1.96*L191/100))</f>
        <v>0.472240122664948</v>
      </c>
      <c r="N191" s="53" t="n">
        <f aca="false">IF(G191="","",MIN(1,G191+1.96*L191/100))</f>
        <v>0.554710231944981</v>
      </c>
      <c r="O191" s="52" t="n">
        <f aca="false">ROUND(S191*W191,0)</f>
        <v>145</v>
      </c>
      <c r="P191" s="52" t="n">
        <f aca="false">IF(F191="","",ROUND(SQRT((F191*L191/100)^2+(G191*O191)^2),0))</f>
        <v>87</v>
      </c>
      <c r="R191" s="54" t="n">
        <v>0.158170216447261</v>
      </c>
      <c r="S191" s="55" t="n">
        <f aca="false">U191*V191*$F$5</f>
        <v>2115.3476992871</v>
      </c>
      <c r="T191" s="56" t="n">
        <f aca="false">MAX(0,MIN(1,R191/100+$D$5))</f>
        <v>0.513575116683237</v>
      </c>
      <c r="U191" s="56" t="n">
        <v>0.658781594296824</v>
      </c>
      <c r="V191" s="55" t="n">
        <v>3211</v>
      </c>
      <c r="W191" s="56" t="n">
        <v>0.0684752145190268</v>
      </c>
      <c r="X191" s="57" t="s">
        <v>168</v>
      </c>
      <c r="Y191" s="57" t="s">
        <v>130</v>
      </c>
    </row>
    <row r="192" customFormat="false" ht="15" hidden="false" customHeight="false" outlineLevel="0" collapsed="false">
      <c r="A192" s="25" t="s">
        <v>197</v>
      </c>
      <c r="B192" s="25" t="s">
        <v>341</v>
      </c>
      <c r="C192" s="25" t="s">
        <v>342</v>
      </c>
      <c r="D192" s="52" t="n">
        <f aca="false">ROUND(S192*T192,0)</f>
        <v>769</v>
      </c>
      <c r="E192" s="52" t="n">
        <f aca="false">ROUND(S192,0)-D192</f>
        <v>729</v>
      </c>
      <c r="F192" s="52" t="n">
        <f aca="false">IF(COUNTA(D192:E192)=0,"",SUM(D192:E192))</f>
        <v>1498</v>
      </c>
      <c r="G192" s="53" t="n">
        <f aca="false">IF(OR(F192="",F192=0),"",D192/F192)</f>
        <v>0.513351134846462</v>
      </c>
      <c r="H192" s="53" t="n">
        <f aca="false">IF(OR(F192="",F192=0),"",E192/F192)</f>
        <v>0.486648865153538</v>
      </c>
      <c r="I192" s="25" t="s">
        <v>128</v>
      </c>
      <c r="J192" s="28" t="n">
        <v>2.08262589216041</v>
      </c>
      <c r="K192" s="28" t="n">
        <f aca="false">$K$8</f>
        <v>0.297938238782275</v>
      </c>
      <c r="L192" s="28" t="n">
        <f aca="false">SQRT(J192^2+K192^2)</f>
        <v>2.1038293183682</v>
      </c>
      <c r="M192" s="53" t="n">
        <f aca="false">IF(G192="","",MAX(0,G192-1.96*L192/100))</f>
        <v>0.472116080206445</v>
      </c>
      <c r="N192" s="53" t="n">
        <f aca="false">IF(G192="","",MIN(1,G192+1.96*L192/100))</f>
        <v>0.554586189486479</v>
      </c>
      <c r="O192" s="52" t="n">
        <f aca="false">ROUND(S192*W192,0)</f>
        <v>103</v>
      </c>
      <c r="P192" s="52" t="n">
        <f aca="false">IF(F192="","",ROUND(SQRT((F192*L192/100)^2+(G192*O192)^2),0))</f>
        <v>62</v>
      </c>
      <c r="R192" s="54" t="n">
        <v>0.131287730398572</v>
      </c>
      <c r="S192" s="55" t="n">
        <f aca="false">U192*V192*$F$5</f>
        <v>1497.74778574441</v>
      </c>
      <c r="T192" s="56" t="n">
        <f aca="false">MAX(0,MIN(1,R192/100+$D$5))</f>
        <v>0.51330629182275</v>
      </c>
      <c r="U192" s="56" t="n">
        <v>0.638970898355124</v>
      </c>
      <c r="V192" s="55" t="n">
        <v>2344</v>
      </c>
      <c r="W192" s="56" t="n">
        <v>0.0684752145190268</v>
      </c>
      <c r="X192" s="57" t="s">
        <v>168</v>
      </c>
      <c r="Y192" s="57" t="s">
        <v>130</v>
      </c>
    </row>
    <row r="193" customFormat="false" ht="15" hidden="false" customHeight="false" outlineLevel="0" collapsed="false">
      <c r="A193" s="25" t="s">
        <v>197</v>
      </c>
      <c r="B193" s="25" t="s">
        <v>341</v>
      </c>
      <c r="C193" s="25" t="s">
        <v>343</v>
      </c>
      <c r="D193" s="52" t="n">
        <f aca="false">ROUND(S193*T193,0)</f>
        <v>1044</v>
      </c>
      <c r="E193" s="52" t="n">
        <f aca="false">ROUND(S193,0)-D193</f>
        <v>998</v>
      </c>
      <c r="F193" s="52" t="n">
        <f aca="false">IF(COUNTA(D193:E193)=0,"",SUM(D193:E193))</f>
        <v>2042</v>
      </c>
      <c r="G193" s="53" t="n">
        <f aca="false">IF(OR(F193="",F193=0),"",D193/F193)</f>
        <v>0.51126346718903</v>
      </c>
      <c r="H193" s="53" t="n">
        <f aca="false">IF(OR(F193="",F193=0),"",E193/F193)</f>
        <v>0.48873653281097</v>
      </c>
      <c r="I193" s="25" t="s">
        <v>128</v>
      </c>
      <c r="J193" s="28" t="n">
        <v>2.08262589216041</v>
      </c>
      <c r="K193" s="28" t="n">
        <f aca="false">$K$8</f>
        <v>0.297938238782275</v>
      </c>
      <c r="L193" s="28" t="n">
        <f aca="false">SQRT(J193^2+K193^2)</f>
        <v>2.1038293183682</v>
      </c>
      <c r="M193" s="53" t="n">
        <f aca="false">IF(G193="","",MAX(0,G193-1.96*L193/100))</f>
        <v>0.470028412549014</v>
      </c>
      <c r="N193" s="53" t="n">
        <f aca="false">IF(G193="","",MIN(1,G193+1.96*L193/100))</f>
        <v>0.552498521829047</v>
      </c>
      <c r="O193" s="52" t="n">
        <f aca="false">ROUND(S193*W193,0)</f>
        <v>140</v>
      </c>
      <c r="P193" s="52" t="n">
        <f aca="false">IF(F193="","",ROUND(SQRT((F193*L193/100)^2+(G193*O193)^2),0))</f>
        <v>83</v>
      </c>
      <c r="R193" s="54" t="n">
        <v>-0.0647717124579049</v>
      </c>
      <c r="S193" s="55" t="n">
        <f aca="false">U193*V193*$F$5</f>
        <v>2042.15796344647</v>
      </c>
      <c r="T193" s="56" t="n">
        <f aca="false">MAX(0,MIN(1,R193/100+$D$5))</f>
        <v>0.511345697394186</v>
      </c>
      <c r="U193" s="56" t="n">
        <v>0.682767624020887</v>
      </c>
      <c r="V193" s="55" t="n">
        <v>2991</v>
      </c>
      <c r="W193" s="56" t="n">
        <v>0.0684752145190268</v>
      </c>
      <c r="X193" s="57" t="s">
        <v>168</v>
      </c>
      <c r="Y193" s="57" t="s">
        <v>130</v>
      </c>
    </row>
    <row r="194" customFormat="false" ht="15" hidden="false" customHeight="false" outlineLevel="0" collapsed="false">
      <c r="A194" s="25" t="s">
        <v>197</v>
      </c>
      <c r="B194" s="25" t="s">
        <v>341</v>
      </c>
      <c r="C194" s="25" t="s">
        <v>344</v>
      </c>
      <c r="D194" s="52" t="n">
        <f aca="false">ROUND(S194*T194,0)</f>
        <v>810</v>
      </c>
      <c r="E194" s="52" t="n">
        <f aca="false">ROUND(S194,0)-D194</f>
        <v>880</v>
      </c>
      <c r="F194" s="52" t="n">
        <f aca="false">IF(COUNTA(D194:E194)=0,"",SUM(D194:E194))</f>
        <v>1690</v>
      </c>
      <c r="G194" s="53" t="n">
        <f aca="false">IF(OR(F194="",F194=0),"",D194/F194)</f>
        <v>0.479289940828402</v>
      </c>
      <c r="H194" s="53" t="n">
        <f aca="false">IF(OR(F194="",F194=0),"",E194/F194)</f>
        <v>0.520710059171598</v>
      </c>
      <c r="I194" s="25" t="s">
        <v>128</v>
      </c>
      <c r="J194" s="28" t="n">
        <v>2.08262589216041</v>
      </c>
      <c r="K194" s="28" t="n">
        <f aca="false">$K$8</f>
        <v>0.297938238782275</v>
      </c>
      <c r="L194" s="28" t="n">
        <f aca="false">SQRT(J194^2+K194^2)</f>
        <v>2.1038293183682</v>
      </c>
      <c r="M194" s="53" t="n">
        <f aca="false">IF(G194="","",MAX(0,G194-1.96*L194/100))</f>
        <v>0.438054886188386</v>
      </c>
      <c r="N194" s="53" t="n">
        <f aca="false">IF(G194="","",MIN(1,G194+1.96*L194/100))</f>
        <v>0.520524995468419</v>
      </c>
      <c r="O194" s="52" t="n">
        <f aca="false">ROUND(S194*W194,0)</f>
        <v>116</v>
      </c>
      <c r="P194" s="52" t="n">
        <f aca="false">IF(F194="","",ROUND(SQRT((F194*L194/100)^2+(G194*O194)^2),0))</f>
        <v>66</v>
      </c>
      <c r="R194" s="54" t="n">
        <v>-3.28827035524745</v>
      </c>
      <c r="S194" s="55" t="n">
        <f aca="false">U194*V194*$F$5</f>
        <v>1690.06787762906</v>
      </c>
      <c r="T194" s="56" t="n">
        <f aca="false">MAX(0,MIN(1,R194/100+$D$5))</f>
        <v>0.47911071096629</v>
      </c>
      <c r="U194" s="56" t="n">
        <v>0.651529636711281</v>
      </c>
      <c r="V194" s="55" t="n">
        <v>2594</v>
      </c>
      <c r="W194" s="56" t="n">
        <v>0.0684752145190268</v>
      </c>
      <c r="X194" s="57" t="s">
        <v>168</v>
      </c>
      <c r="Y194" s="57" t="s">
        <v>130</v>
      </c>
    </row>
    <row r="195" customFormat="false" ht="15" hidden="false" customHeight="false" outlineLevel="0" collapsed="false">
      <c r="A195" s="25" t="s">
        <v>197</v>
      </c>
      <c r="B195" s="25" t="s">
        <v>341</v>
      </c>
      <c r="C195" s="25" t="s">
        <v>345</v>
      </c>
      <c r="D195" s="52" t="n">
        <f aca="false">ROUND(S195*T195,0)</f>
        <v>618</v>
      </c>
      <c r="E195" s="52" t="n">
        <f aca="false">ROUND(S195,0)-D195</f>
        <v>528</v>
      </c>
      <c r="F195" s="52" t="n">
        <f aca="false">IF(COUNTA(D195:E195)=0,"",SUM(D195:E195))</f>
        <v>1146</v>
      </c>
      <c r="G195" s="53" t="n">
        <f aca="false">IF(OR(F195="",F195=0),"",D195/F195)</f>
        <v>0.539267015706806</v>
      </c>
      <c r="H195" s="53" t="n">
        <f aca="false">IF(OR(F195="",F195=0),"",E195/F195)</f>
        <v>0.460732984293194</v>
      </c>
      <c r="I195" s="25" t="s">
        <v>128</v>
      </c>
      <c r="J195" s="28" t="n">
        <v>2.08262589216041</v>
      </c>
      <c r="K195" s="28" t="n">
        <f aca="false">$K$8</f>
        <v>0.297938238782275</v>
      </c>
      <c r="L195" s="28" t="n">
        <f aca="false">SQRT(J195^2+K195^2)</f>
        <v>2.1038293183682</v>
      </c>
      <c r="M195" s="53" t="n">
        <f aca="false">IF(G195="","",MAX(0,G195-1.96*L195/100))</f>
        <v>0.498031961066789</v>
      </c>
      <c r="N195" s="53" t="n">
        <f aca="false">IF(G195="","",MIN(1,G195+1.96*L195/100))</f>
        <v>0.580502070346823</v>
      </c>
      <c r="O195" s="52" t="n">
        <f aca="false">ROUND(S195*W195,0)</f>
        <v>78</v>
      </c>
      <c r="P195" s="52" t="n">
        <f aca="false">IF(F195="","",ROUND(SQRT((F195*L195/100)^2+(G195*O195)^2),0))</f>
        <v>48</v>
      </c>
      <c r="R195" s="54" t="n">
        <v>2.73771366445947</v>
      </c>
      <c r="S195" s="55" t="n">
        <f aca="false">U195*V195*$F$5</f>
        <v>1145.8001397624</v>
      </c>
      <c r="T195" s="56" t="n">
        <f aca="false">MAX(0,MIN(1,R195/100+$D$5))</f>
        <v>0.539370551163359</v>
      </c>
      <c r="U195" s="56" t="n">
        <v>0.640111809923131</v>
      </c>
      <c r="V195" s="55" t="n">
        <v>1790</v>
      </c>
      <c r="W195" s="56" t="n">
        <v>0.0684752145190268</v>
      </c>
      <c r="X195" s="57" t="s">
        <v>168</v>
      </c>
      <c r="Y195" s="57" t="s">
        <v>130</v>
      </c>
    </row>
    <row r="196" customFormat="false" ht="15" hidden="false" customHeight="false" outlineLevel="0" collapsed="false">
      <c r="A196" s="25" t="s">
        <v>197</v>
      </c>
      <c r="B196" s="25" t="s">
        <v>341</v>
      </c>
      <c r="C196" s="25" t="s">
        <v>346</v>
      </c>
      <c r="D196" s="52" t="n">
        <f aca="false">ROUND(S196*T196,0)</f>
        <v>1449</v>
      </c>
      <c r="E196" s="52" t="n">
        <f aca="false">ROUND(S196,0)-D196</f>
        <v>1271</v>
      </c>
      <c r="F196" s="52" t="n">
        <f aca="false">IF(COUNTA(D196:E196)=0,"",SUM(D196:E196))</f>
        <v>2720</v>
      </c>
      <c r="G196" s="53" t="n">
        <f aca="false">IF(OR(F196="",F196=0),"",D196/F196)</f>
        <v>0.532720588235294</v>
      </c>
      <c r="H196" s="53" t="n">
        <f aca="false">IF(OR(F196="",F196=0),"",E196/F196)</f>
        <v>0.467279411764706</v>
      </c>
      <c r="I196" s="25" t="s">
        <v>128</v>
      </c>
      <c r="J196" s="28" t="n">
        <v>2.08262589216041</v>
      </c>
      <c r="K196" s="28" t="n">
        <f aca="false">$K$8</f>
        <v>0.297938238782275</v>
      </c>
      <c r="L196" s="28" t="n">
        <f aca="false">SQRT(J196^2+K196^2)</f>
        <v>2.1038293183682</v>
      </c>
      <c r="M196" s="53" t="n">
        <f aca="false">IF(G196="","",MAX(0,G196-1.96*L196/100))</f>
        <v>0.491485533595277</v>
      </c>
      <c r="N196" s="53" t="n">
        <f aca="false">IF(G196="","",MIN(1,G196+1.96*L196/100))</f>
        <v>0.573955642875311</v>
      </c>
      <c r="O196" s="52" t="n">
        <f aca="false">ROUND(S196*W196,0)</f>
        <v>186</v>
      </c>
      <c r="P196" s="52" t="n">
        <f aca="false">IF(F196="","",ROUND(SQRT((F196*L196/100)^2+(G196*O196)^2),0))</f>
        <v>114</v>
      </c>
      <c r="R196" s="54" t="n">
        <v>2.07240556013743</v>
      </c>
      <c r="S196" s="55" t="n">
        <f aca="false">U196*V196*$F$5</f>
        <v>2719.88153310105</v>
      </c>
      <c r="T196" s="56" t="n">
        <f aca="false">MAX(0,MIN(1,R196/100+$D$5))</f>
        <v>0.532717470120139</v>
      </c>
      <c r="U196" s="56" t="n">
        <v>0.592566782810685</v>
      </c>
      <c r="V196" s="55" t="n">
        <v>4590</v>
      </c>
      <c r="W196" s="56" t="n">
        <v>0.0684752145190268</v>
      </c>
      <c r="X196" s="57" t="s">
        <v>168</v>
      </c>
      <c r="Y196" s="57" t="s">
        <v>130</v>
      </c>
    </row>
    <row r="197" customFormat="false" ht="15" hidden="false" customHeight="false" outlineLevel="0" collapsed="false">
      <c r="A197" s="25" t="s">
        <v>197</v>
      </c>
      <c r="B197" s="25" t="s">
        <v>341</v>
      </c>
      <c r="C197" s="25" t="s">
        <v>347</v>
      </c>
      <c r="D197" s="52" t="n">
        <f aca="false">ROUND(S197*T197,0)</f>
        <v>508</v>
      </c>
      <c r="E197" s="52" t="n">
        <f aca="false">ROUND(S197,0)-D197</f>
        <v>461</v>
      </c>
      <c r="F197" s="52" t="n">
        <f aca="false">IF(COUNTA(D197:E197)=0,"",SUM(D197:E197))</f>
        <v>969</v>
      </c>
      <c r="G197" s="53" t="n">
        <f aca="false">IF(OR(F197="",F197=0),"",D197/F197)</f>
        <v>0.524251805985552</v>
      </c>
      <c r="H197" s="53" t="n">
        <f aca="false">IF(OR(F197="",F197=0),"",E197/F197)</f>
        <v>0.475748194014448</v>
      </c>
      <c r="I197" s="25" t="s">
        <v>128</v>
      </c>
      <c r="J197" s="28" t="n">
        <v>2.08262589216041</v>
      </c>
      <c r="K197" s="28" t="n">
        <f aca="false">$K$8</f>
        <v>0.297938238782275</v>
      </c>
      <c r="L197" s="28" t="n">
        <f aca="false">SQRT(J197^2+K197^2)</f>
        <v>2.1038293183682</v>
      </c>
      <c r="M197" s="53" t="n">
        <f aca="false">IF(G197="","",MAX(0,G197-1.96*L197/100))</f>
        <v>0.483016751345535</v>
      </c>
      <c r="N197" s="53" t="n">
        <f aca="false">IF(G197="","",MIN(1,G197+1.96*L197/100))</f>
        <v>0.565486860625569</v>
      </c>
      <c r="O197" s="52" t="n">
        <f aca="false">ROUND(S197*W197,0)</f>
        <v>66</v>
      </c>
      <c r="P197" s="52" t="n">
        <f aca="false">IF(F197="","",ROUND(SQRT((F197*L197/100)^2+(G197*O197)^2),0))</f>
        <v>40</v>
      </c>
      <c r="R197" s="54" t="n">
        <v>1.25733618837956</v>
      </c>
      <c r="S197" s="55" t="n">
        <f aca="false">U197*V197*$F$5</f>
        <v>969.162629757786</v>
      </c>
      <c r="T197" s="56" t="n">
        <f aca="false">MAX(0,MIN(1,R197/100+$D$5))</f>
        <v>0.52456677640256</v>
      </c>
      <c r="U197" s="56" t="n">
        <v>0.54325259515571</v>
      </c>
      <c r="V197" s="55" t="n">
        <v>1784</v>
      </c>
      <c r="W197" s="56" t="n">
        <v>0.0684752145190268</v>
      </c>
      <c r="X197" s="57" t="s">
        <v>168</v>
      </c>
      <c r="Y197" s="57" t="s">
        <v>130</v>
      </c>
    </row>
    <row r="198" customFormat="false" ht="15" hidden="false" customHeight="false" outlineLevel="0" collapsed="false">
      <c r="A198" s="25" t="s">
        <v>197</v>
      </c>
      <c r="B198" s="25" t="s">
        <v>341</v>
      </c>
      <c r="C198" s="25" t="s">
        <v>348</v>
      </c>
      <c r="D198" s="52" t="n">
        <f aca="false">ROUND(S198*T198,0)</f>
        <v>510</v>
      </c>
      <c r="E198" s="52" t="n">
        <f aca="false">ROUND(S198,0)-D198</f>
        <v>420</v>
      </c>
      <c r="F198" s="52" t="n">
        <f aca="false">IF(COUNTA(D198:E198)=0,"",SUM(D198:E198))</f>
        <v>930</v>
      </c>
      <c r="G198" s="53" t="n">
        <f aca="false">IF(OR(F198="",F198=0),"",D198/F198)</f>
        <v>0.548387096774194</v>
      </c>
      <c r="H198" s="53" t="n">
        <f aca="false">IF(OR(F198="",F198=0),"",E198/F198)</f>
        <v>0.451612903225806</v>
      </c>
      <c r="I198" s="25" t="s">
        <v>128</v>
      </c>
      <c r="J198" s="28" t="n">
        <v>2.22489971008846</v>
      </c>
      <c r="K198" s="28" t="n">
        <f aca="false">$K$8</f>
        <v>0.297938238782275</v>
      </c>
      <c r="L198" s="28" t="n">
        <f aca="false">SQRT(J198^2+K198^2)</f>
        <v>2.24475965619494</v>
      </c>
      <c r="M198" s="53" t="n">
        <f aca="false">IF(G198="","",MAX(0,G198-1.96*L198/100))</f>
        <v>0.504389807512773</v>
      </c>
      <c r="N198" s="53" t="n">
        <f aca="false">IF(G198="","",MIN(1,G198+1.96*L198/100))</f>
        <v>0.592384386035614</v>
      </c>
      <c r="O198" s="52" t="n">
        <f aca="false">ROUND(S198*W198,0)</f>
        <v>83</v>
      </c>
      <c r="P198" s="52" t="n">
        <f aca="false">IF(F198="","",ROUND(SQRT((F198*L198/100)^2+(G198*O198)^2),0))</f>
        <v>50</v>
      </c>
      <c r="R198" s="54" t="n">
        <v>3.69939512652423</v>
      </c>
      <c r="S198" s="55" t="n">
        <f aca="false">U198*V198*$F$5</f>
        <v>929.805201992252</v>
      </c>
      <c r="T198" s="56" t="n">
        <f aca="false">MAX(0,MIN(1,R198/100+$D$5))</f>
        <v>0.548987365784007</v>
      </c>
      <c r="U198" s="56" t="n">
        <v>0.496956281128943</v>
      </c>
      <c r="V198" s="55" t="n">
        <v>1871</v>
      </c>
      <c r="W198" s="56" t="n">
        <v>0.0887445098984521</v>
      </c>
      <c r="X198" s="57" t="s">
        <v>135</v>
      </c>
      <c r="Y198" s="57" t="s">
        <v>130</v>
      </c>
    </row>
    <row r="199" customFormat="false" ht="15" hidden="false" customHeight="false" outlineLevel="0" collapsed="false">
      <c r="A199" s="25" t="s">
        <v>197</v>
      </c>
      <c r="B199" s="25" t="s">
        <v>341</v>
      </c>
      <c r="C199" s="25" t="s">
        <v>349</v>
      </c>
      <c r="D199" s="52" t="n">
        <f aca="false">ROUND(S199*T199,0)</f>
        <v>547</v>
      </c>
      <c r="E199" s="52" t="n">
        <f aca="false">ROUND(S199,0)-D199</f>
        <v>497</v>
      </c>
      <c r="F199" s="52" t="n">
        <f aca="false">IF(COUNTA(D199:E199)=0,"",SUM(D199:E199))</f>
        <v>1044</v>
      </c>
      <c r="G199" s="53" t="n">
        <f aca="false">IF(OR(F199="",F199=0),"",D199/F199)</f>
        <v>0.523946360153257</v>
      </c>
      <c r="H199" s="53" t="n">
        <f aca="false">IF(OR(F199="",F199=0),"",E199/F199)</f>
        <v>0.476053639846743</v>
      </c>
      <c r="I199" s="25" t="s">
        <v>128</v>
      </c>
      <c r="J199" s="28" t="n">
        <v>2.08262589216041</v>
      </c>
      <c r="K199" s="28" t="n">
        <f aca="false">$K$8</f>
        <v>0.297938238782275</v>
      </c>
      <c r="L199" s="28" t="n">
        <f aca="false">SQRT(J199^2+K199^2)</f>
        <v>2.1038293183682</v>
      </c>
      <c r="M199" s="53" t="n">
        <f aca="false">IF(G199="","",MAX(0,G199-1.96*L199/100))</f>
        <v>0.48271130551324</v>
      </c>
      <c r="N199" s="53" t="n">
        <f aca="false">IF(G199="","",MIN(1,G199+1.96*L199/100))</f>
        <v>0.565181414793273</v>
      </c>
      <c r="O199" s="52" t="n">
        <f aca="false">ROUND(S199*W199,0)</f>
        <v>71</v>
      </c>
      <c r="P199" s="52" t="n">
        <f aca="false">IF(F199="","",ROUND(SQRT((F199*L199/100)^2+(G199*O199)^2),0))</f>
        <v>43</v>
      </c>
      <c r="R199" s="54" t="n">
        <v>1.17008265030472</v>
      </c>
      <c r="S199" s="55" t="n">
        <f aca="false">U199*V199*$F$5</f>
        <v>1044.14424242424</v>
      </c>
      <c r="T199" s="56" t="n">
        <f aca="false">MAX(0,MIN(1,R199/100+$D$5))</f>
        <v>0.523694241021812</v>
      </c>
      <c r="U199" s="56" t="n">
        <v>0.59939393939394</v>
      </c>
      <c r="V199" s="55" t="n">
        <v>1742</v>
      </c>
      <c r="W199" s="56" t="n">
        <v>0.0684752145190268</v>
      </c>
      <c r="X199" s="57" t="s">
        <v>168</v>
      </c>
      <c r="Y199" s="57" t="s">
        <v>130</v>
      </c>
    </row>
    <row r="200" customFormat="false" ht="15" hidden="false" customHeight="false" outlineLevel="0" collapsed="false">
      <c r="A200" s="25" t="s">
        <v>197</v>
      </c>
      <c r="B200" s="25" t="s">
        <v>350</v>
      </c>
      <c r="C200" s="25" t="s">
        <v>351</v>
      </c>
      <c r="D200" s="52" t="n">
        <f aca="false">ROUND(S200*T200,0)</f>
        <v>1232</v>
      </c>
      <c r="E200" s="52" t="n">
        <f aca="false">ROUND(S200,0)-D200</f>
        <v>1401</v>
      </c>
      <c r="F200" s="52" t="n">
        <f aca="false">IF(COUNTA(D200:E200)=0,"",SUM(D200:E200))</f>
        <v>2633</v>
      </c>
      <c r="G200" s="53" t="n">
        <f aca="false">IF(OR(F200="",F200=0),"",D200/F200)</f>
        <v>0.467907330041777</v>
      </c>
      <c r="H200" s="53" t="n">
        <f aca="false">IF(OR(F200="",F200=0),"",E200/F200)</f>
        <v>0.532092669958223</v>
      </c>
      <c r="I200" s="25" t="s">
        <v>128</v>
      </c>
      <c r="J200" s="28" t="n">
        <v>2.08262589216041</v>
      </c>
      <c r="K200" s="28" t="n">
        <f aca="false">$K$8</f>
        <v>0.297938238782275</v>
      </c>
      <c r="L200" s="28" t="n">
        <f aca="false">SQRT(J200^2+K200^2)</f>
        <v>2.1038293183682</v>
      </c>
      <c r="M200" s="53" t="n">
        <f aca="false">IF(G200="","",MAX(0,G200-1.96*L200/100))</f>
        <v>0.426672275401761</v>
      </c>
      <c r="N200" s="53" t="n">
        <f aca="false">IF(G200="","",MIN(1,G200+1.96*L200/100))</f>
        <v>0.509142384681794</v>
      </c>
      <c r="O200" s="52" t="n">
        <f aca="false">ROUND(S200*W200,0)</f>
        <v>180</v>
      </c>
      <c r="P200" s="52" t="n">
        <f aca="false">IF(F200="","",ROUND(SQRT((F200*L200/100)^2+(G200*O200)^2),0))</f>
        <v>101</v>
      </c>
      <c r="R200" s="54" t="n">
        <v>-4.40350912938397</v>
      </c>
      <c r="S200" s="55" t="n">
        <f aca="false">U200*V200*$F$5</f>
        <v>2632.829612885</v>
      </c>
      <c r="T200" s="56" t="n">
        <f aca="false">MAX(0,MIN(1,R200/100+$D$5))</f>
        <v>0.467958323224925</v>
      </c>
      <c r="U200" s="56" t="n">
        <v>0.704718847131958</v>
      </c>
      <c r="V200" s="55" t="n">
        <v>3736</v>
      </c>
      <c r="W200" s="56" t="n">
        <v>0.0684752145190268</v>
      </c>
      <c r="X200" s="57" t="s">
        <v>168</v>
      </c>
      <c r="Y200" s="57" t="s">
        <v>130</v>
      </c>
    </row>
    <row r="201" customFormat="false" ht="15" hidden="false" customHeight="false" outlineLevel="0" collapsed="false">
      <c r="A201" s="25" t="s">
        <v>197</v>
      </c>
      <c r="B201" s="25" t="s">
        <v>350</v>
      </c>
      <c r="C201" s="25" t="s">
        <v>352</v>
      </c>
      <c r="D201" s="52" t="n">
        <f aca="false">ROUND(S201*T201,0)</f>
        <v>772</v>
      </c>
      <c r="E201" s="52" t="n">
        <f aca="false">ROUND(S201,0)-D201</f>
        <v>1207</v>
      </c>
      <c r="F201" s="52" t="n">
        <f aca="false">IF(COUNTA(D201:E201)=0,"",SUM(D201:E201))</f>
        <v>1979</v>
      </c>
      <c r="G201" s="53" t="n">
        <f aca="false">IF(OR(F201="",F201=0),"",D201/F201)</f>
        <v>0.390096008084891</v>
      </c>
      <c r="H201" s="53" t="n">
        <f aca="false">IF(OR(F201="",F201=0),"",E201/F201)</f>
        <v>0.609903991915109</v>
      </c>
      <c r="I201" s="25" t="s">
        <v>128</v>
      </c>
      <c r="J201" s="28" t="n">
        <v>2.08262589216041</v>
      </c>
      <c r="K201" s="28" t="n">
        <f aca="false">$K$8</f>
        <v>0.297938238782275</v>
      </c>
      <c r="L201" s="28" t="n">
        <f aca="false">SQRT(J201^2+K201^2)</f>
        <v>2.1038293183682</v>
      </c>
      <c r="M201" s="53" t="n">
        <f aca="false">IF(G201="","",MAX(0,G201-1.96*L201/100))</f>
        <v>0.348860953444875</v>
      </c>
      <c r="N201" s="53" t="n">
        <f aca="false">IF(G201="","",MIN(1,G201+1.96*L201/100))</f>
        <v>0.431331062724908</v>
      </c>
      <c r="O201" s="52" t="n">
        <f aca="false">ROUND(S201*W201,0)</f>
        <v>136</v>
      </c>
      <c r="P201" s="52" t="n">
        <f aca="false">IF(F201="","",ROUND(SQRT((F201*L201/100)^2+(G201*O201)^2),0))</f>
        <v>67</v>
      </c>
      <c r="R201" s="54" t="n">
        <v>-12.2023176281466</v>
      </c>
      <c r="S201" s="55" t="n">
        <f aca="false">U201*V201*$F$5</f>
        <v>1979.37527114968</v>
      </c>
      <c r="T201" s="56" t="n">
        <f aca="false">MAX(0,MIN(1,R201/100+$D$5))</f>
        <v>0.389970238237299</v>
      </c>
      <c r="U201" s="56" t="n">
        <v>0.718727404193782</v>
      </c>
      <c r="V201" s="55" t="n">
        <v>2754</v>
      </c>
      <c r="W201" s="56" t="n">
        <v>0.0684752145190268</v>
      </c>
      <c r="X201" s="57" t="s">
        <v>168</v>
      </c>
      <c r="Y201" s="57" t="s">
        <v>130</v>
      </c>
    </row>
    <row r="202" customFormat="false" ht="15" hidden="false" customHeight="false" outlineLevel="0" collapsed="false">
      <c r="A202" s="25" t="s">
        <v>197</v>
      </c>
      <c r="B202" s="25" t="s">
        <v>353</v>
      </c>
      <c r="C202" s="25" t="s">
        <v>354</v>
      </c>
      <c r="D202" s="52" t="n">
        <f aca="false">ROUND(S202*T202,0)</f>
        <v>887</v>
      </c>
      <c r="E202" s="52" t="n">
        <f aca="false">ROUND(S202,0)-D202</f>
        <v>882</v>
      </c>
      <c r="F202" s="52" t="n">
        <f aca="false">IF(COUNTA(D202:E202)=0,"",SUM(D202:E202))</f>
        <v>1769</v>
      </c>
      <c r="G202" s="53" t="n">
        <f aca="false">IF(OR(F202="",F202=0),"",D202/F202)</f>
        <v>0.501413227812323</v>
      </c>
      <c r="H202" s="53" t="n">
        <f aca="false">IF(OR(F202="",F202=0),"",E202/F202)</f>
        <v>0.498586772187677</v>
      </c>
      <c r="I202" s="25" t="s">
        <v>128</v>
      </c>
      <c r="J202" s="28" t="n">
        <v>2.08262589216041</v>
      </c>
      <c r="K202" s="28" t="n">
        <f aca="false">$K$8</f>
        <v>0.297938238782275</v>
      </c>
      <c r="L202" s="28" t="n">
        <f aca="false">SQRT(J202^2+K202^2)</f>
        <v>2.1038293183682</v>
      </c>
      <c r="M202" s="53" t="n">
        <f aca="false">IF(G202="","",MAX(0,G202-1.96*L202/100))</f>
        <v>0.460178173172307</v>
      </c>
      <c r="N202" s="53" t="n">
        <f aca="false">IF(G202="","",MIN(1,G202+1.96*L202/100))</f>
        <v>0.54264828245234</v>
      </c>
      <c r="O202" s="52" t="n">
        <f aca="false">ROUND(S202*W202,0)</f>
        <v>121</v>
      </c>
      <c r="P202" s="52" t="n">
        <f aca="false">IF(F202="","",ROUND(SQRT((F202*L202/100)^2+(G202*O202)^2),0))</f>
        <v>71</v>
      </c>
      <c r="R202" s="54" t="n">
        <v>-1.07669414664791</v>
      </c>
      <c r="S202" s="55" t="n">
        <f aca="false">U202*V202*$F$5</f>
        <v>1769.05616020897</v>
      </c>
      <c r="T202" s="56" t="n">
        <f aca="false">MAX(0,MIN(1,R202/100+$D$5))</f>
        <v>0.501226473052286</v>
      </c>
      <c r="U202" s="56" t="n">
        <v>0.760557248585111</v>
      </c>
      <c r="V202" s="55" t="n">
        <v>2326</v>
      </c>
      <c r="W202" s="56" t="n">
        <v>0.0684752145190268</v>
      </c>
      <c r="X202" s="57" t="s">
        <v>168</v>
      </c>
      <c r="Y202" s="57" t="s">
        <v>130</v>
      </c>
    </row>
    <row r="203" customFormat="false" ht="15" hidden="false" customHeight="false" outlineLevel="0" collapsed="false">
      <c r="A203" s="25" t="s">
        <v>197</v>
      </c>
      <c r="B203" s="25" t="s">
        <v>353</v>
      </c>
      <c r="C203" s="25" t="s">
        <v>355</v>
      </c>
      <c r="D203" s="52" t="n">
        <f aca="false">ROUND(S203*T203,0)</f>
        <v>633</v>
      </c>
      <c r="E203" s="52" t="n">
        <f aca="false">ROUND(S203,0)-D203</f>
        <v>672</v>
      </c>
      <c r="F203" s="52" t="n">
        <f aca="false">IF(COUNTA(D203:E203)=0,"",SUM(D203:E203))</f>
        <v>1305</v>
      </c>
      <c r="G203" s="53" t="n">
        <f aca="false">IF(OR(F203="",F203=0),"",D203/F203)</f>
        <v>0.485057471264368</v>
      </c>
      <c r="H203" s="53" t="n">
        <f aca="false">IF(OR(F203="",F203=0),"",E203/F203)</f>
        <v>0.514942528735632</v>
      </c>
      <c r="I203" s="25" t="s">
        <v>128</v>
      </c>
      <c r="J203" s="28" t="n">
        <v>2.08262589216041</v>
      </c>
      <c r="K203" s="28" t="n">
        <f aca="false">$K$8</f>
        <v>0.297938238782275</v>
      </c>
      <c r="L203" s="28" t="n">
        <f aca="false">SQRT(J203^2+K203^2)</f>
        <v>2.1038293183682</v>
      </c>
      <c r="M203" s="53" t="n">
        <f aca="false">IF(G203="","",MAX(0,G203-1.96*L203/100))</f>
        <v>0.443822416624351</v>
      </c>
      <c r="N203" s="53" t="n">
        <f aca="false">IF(G203="","",MIN(1,G203+1.96*L203/100))</f>
        <v>0.526292525904385</v>
      </c>
      <c r="O203" s="52" t="n">
        <f aca="false">ROUND(S203*W203,0)</f>
        <v>89</v>
      </c>
      <c r="P203" s="52" t="n">
        <f aca="false">IF(F203="","",ROUND(SQRT((F203*L203/100)^2+(G203*O203)^2),0))</f>
        <v>51</v>
      </c>
      <c r="R203" s="54" t="n">
        <v>-2.66998841222515</v>
      </c>
      <c r="S203" s="55" t="n">
        <f aca="false">U203*V203*$F$5</f>
        <v>1304.62964959569</v>
      </c>
      <c r="T203" s="56" t="n">
        <f aca="false">MAX(0,MIN(1,R203/100+$D$5))</f>
        <v>0.485293530396513</v>
      </c>
      <c r="U203" s="56" t="n">
        <v>0.666307277628032</v>
      </c>
      <c r="V203" s="55" t="n">
        <v>1958</v>
      </c>
      <c r="W203" s="56" t="n">
        <v>0.0684752145190268</v>
      </c>
      <c r="X203" s="57" t="s">
        <v>168</v>
      </c>
      <c r="Y203" s="57" t="s">
        <v>130</v>
      </c>
    </row>
    <row r="204" customFormat="false" ht="15" hidden="false" customHeight="false" outlineLevel="0" collapsed="false">
      <c r="A204" s="25" t="s">
        <v>197</v>
      </c>
      <c r="B204" s="25" t="s">
        <v>353</v>
      </c>
      <c r="C204" s="25" t="s">
        <v>356</v>
      </c>
      <c r="D204" s="52" t="n">
        <f aca="false">ROUND(S204*T204,0)</f>
        <v>637</v>
      </c>
      <c r="E204" s="52" t="n">
        <f aca="false">ROUND(S204,0)-D204</f>
        <v>677</v>
      </c>
      <c r="F204" s="52" t="n">
        <f aca="false">IF(COUNTA(D204:E204)=0,"",SUM(D204:E204))</f>
        <v>1314</v>
      </c>
      <c r="G204" s="53" t="n">
        <f aca="false">IF(OR(F204="",F204=0),"",D204/F204)</f>
        <v>0.484779299847793</v>
      </c>
      <c r="H204" s="53" t="n">
        <f aca="false">IF(OR(F204="",F204=0),"",E204/F204)</f>
        <v>0.515220700152207</v>
      </c>
      <c r="I204" s="25" t="s">
        <v>128</v>
      </c>
      <c r="J204" s="28" t="n">
        <v>2.08262589216041</v>
      </c>
      <c r="K204" s="28" t="n">
        <f aca="false">$K$8</f>
        <v>0.297938238782275</v>
      </c>
      <c r="L204" s="28" t="n">
        <f aca="false">SQRT(J204^2+K204^2)</f>
        <v>2.1038293183682</v>
      </c>
      <c r="M204" s="53" t="n">
        <f aca="false">IF(G204="","",MAX(0,G204-1.96*L204/100))</f>
        <v>0.443544245207776</v>
      </c>
      <c r="N204" s="53" t="n">
        <f aca="false">IF(G204="","",MIN(1,G204+1.96*L204/100))</f>
        <v>0.52601435448781</v>
      </c>
      <c r="O204" s="52" t="n">
        <f aca="false">ROUND(S204*W204,0)</f>
        <v>90</v>
      </c>
      <c r="P204" s="52" t="n">
        <f aca="false">IF(F204="","",ROUND(SQRT((F204*L204/100)^2+(G204*O204)^2),0))</f>
        <v>52</v>
      </c>
      <c r="R204" s="54" t="n">
        <v>-2.72748120221248</v>
      </c>
      <c r="S204" s="55" t="n">
        <f aca="false">U204*V204*$F$5</f>
        <v>1313.96987951807</v>
      </c>
      <c r="T204" s="56" t="n">
        <f aca="false">MAX(0,MIN(1,R204/100+$D$5))</f>
        <v>0.48471860249664</v>
      </c>
      <c r="U204" s="56" t="n">
        <v>0.756024096385542</v>
      </c>
      <c r="V204" s="55" t="n">
        <v>1738</v>
      </c>
      <c r="W204" s="56" t="n">
        <v>0.0684752145190268</v>
      </c>
      <c r="X204" s="57" t="s">
        <v>168</v>
      </c>
      <c r="Y204" s="57" t="s">
        <v>130</v>
      </c>
    </row>
    <row r="205" customFormat="false" ht="15" hidden="false" customHeight="false" outlineLevel="0" collapsed="false">
      <c r="A205" s="25" t="s">
        <v>197</v>
      </c>
      <c r="B205" s="25" t="s">
        <v>353</v>
      </c>
      <c r="C205" s="25" t="s">
        <v>357</v>
      </c>
      <c r="D205" s="52" t="n">
        <f aca="false">ROUND(S205*T205,0)</f>
        <v>1389</v>
      </c>
      <c r="E205" s="52" t="n">
        <f aca="false">ROUND(S205,0)-D205</f>
        <v>1455</v>
      </c>
      <c r="F205" s="52" t="n">
        <f aca="false">IF(COUNTA(D205:E205)=0,"",SUM(D205:E205))</f>
        <v>2844</v>
      </c>
      <c r="G205" s="53" t="n">
        <f aca="false">IF(OR(F205="",F205=0),"",D205/F205)</f>
        <v>0.488396624472574</v>
      </c>
      <c r="H205" s="53" t="n">
        <f aca="false">IF(OR(F205="",F205=0),"",E205/F205)</f>
        <v>0.511603375527426</v>
      </c>
      <c r="I205" s="25" t="s">
        <v>128</v>
      </c>
      <c r="J205" s="28" t="n">
        <v>2.08262589216041</v>
      </c>
      <c r="K205" s="28" t="n">
        <f aca="false">$K$8</f>
        <v>0.297938238782275</v>
      </c>
      <c r="L205" s="28" t="n">
        <f aca="false">SQRT(J205^2+K205^2)</f>
        <v>2.1038293183682</v>
      </c>
      <c r="M205" s="53" t="n">
        <f aca="false">IF(G205="","",MAX(0,G205-1.96*L205/100))</f>
        <v>0.447161569832557</v>
      </c>
      <c r="N205" s="53" t="n">
        <f aca="false">IF(G205="","",MIN(1,G205+1.96*L205/100))</f>
        <v>0.529631679112591</v>
      </c>
      <c r="O205" s="52" t="n">
        <f aca="false">ROUND(S205*W205,0)</f>
        <v>195</v>
      </c>
      <c r="P205" s="52" t="n">
        <f aca="false">IF(F205="","",ROUND(SQRT((F205*L205/100)^2+(G205*O205)^2),0))</f>
        <v>112</v>
      </c>
      <c r="R205" s="54" t="n">
        <v>-2.37774394818739</v>
      </c>
      <c r="S205" s="55" t="n">
        <f aca="false">U205*V205*$F$5</f>
        <v>2844.46927374302</v>
      </c>
      <c r="T205" s="56" t="n">
        <f aca="false">MAX(0,MIN(1,R205/100+$D$5))</f>
        <v>0.488215975036891</v>
      </c>
      <c r="U205" s="56" t="n">
        <v>0.670391061452514</v>
      </c>
      <c r="V205" s="55" t="n">
        <v>4243</v>
      </c>
      <c r="W205" s="56" t="n">
        <v>0.0684752145190268</v>
      </c>
      <c r="X205" s="57" t="s">
        <v>168</v>
      </c>
      <c r="Y205" s="57" t="s">
        <v>130</v>
      </c>
    </row>
    <row r="206" customFormat="false" ht="15" hidden="false" customHeight="false" outlineLevel="0" collapsed="false">
      <c r="A206" s="25" t="s">
        <v>197</v>
      </c>
      <c r="B206" s="25" t="s">
        <v>353</v>
      </c>
      <c r="C206" s="25" t="s">
        <v>358</v>
      </c>
      <c r="D206" s="52" t="n">
        <f aca="false">ROUND(S206*T206,0)</f>
        <v>562</v>
      </c>
      <c r="E206" s="52" t="n">
        <f aca="false">ROUND(S206,0)-D206</f>
        <v>534</v>
      </c>
      <c r="F206" s="52" t="n">
        <f aca="false">IF(COUNTA(D206:E206)=0,"",SUM(D206:E206))</f>
        <v>1096</v>
      </c>
      <c r="G206" s="53" t="n">
        <f aca="false">IF(OR(F206="",F206=0),"",D206/F206)</f>
        <v>0.512773722627737</v>
      </c>
      <c r="H206" s="53" t="n">
        <f aca="false">IF(OR(F206="",F206=0),"",E206/F206)</f>
        <v>0.487226277372263</v>
      </c>
      <c r="I206" s="25" t="s">
        <v>128</v>
      </c>
      <c r="J206" s="28" t="n">
        <v>2.08262589216041</v>
      </c>
      <c r="K206" s="28" t="n">
        <f aca="false">$K$8</f>
        <v>0.297938238782275</v>
      </c>
      <c r="L206" s="28" t="n">
        <f aca="false">SQRT(J206^2+K206^2)</f>
        <v>2.1038293183682</v>
      </c>
      <c r="M206" s="53" t="n">
        <f aca="false">IF(G206="","",MAX(0,G206-1.96*L206/100))</f>
        <v>0.47153866798772</v>
      </c>
      <c r="N206" s="53" t="n">
        <f aca="false">IF(G206="","",MIN(1,G206+1.96*L206/100))</f>
        <v>0.554008777267754</v>
      </c>
      <c r="O206" s="52" t="n">
        <f aca="false">ROUND(S206*W206,0)</f>
        <v>75</v>
      </c>
      <c r="P206" s="52" t="n">
        <f aca="false">IF(F206="","",ROUND(SQRT((F206*L206/100)^2+(G206*O206)^2),0))</f>
        <v>45</v>
      </c>
      <c r="R206" s="54" t="n">
        <v>0.123856339705068</v>
      </c>
      <c r="S206" s="55" t="n">
        <f aca="false">U206*V206*$F$5</f>
        <v>1095.71313506815</v>
      </c>
      <c r="T206" s="56" t="n">
        <f aca="false">MAX(0,MIN(1,R206/100+$D$5))</f>
        <v>0.513231977915815</v>
      </c>
      <c r="U206" s="56" t="n">
        <v>0.668525402726146</v>
      </c>
      <c r="V206" s="55" t="n">
        <v>1639</v>
      </c>
      <c r="W206" s="56" t="n">
        <v>0.0684752145190268</v>
      </c>
      <c r="X206" s="57" t="s">
        <v>168</v>
      </c>
      <c r="Y206" s="57" t="s">
        <v>130</v>
      </c>
    </row>
    <row r="207" customFormat="false" ht="15" hidden="false" customHeight="false" outlineLevel="0" collapsed="false">
      <c r="A207" s="25" t="s">
        <v>197</v>
      </c>
      <c r="B207" s="25" t="s">
        <v>353</v>
      </c>
      <c r="C207" s="25" t="s">
        <v>359</v>
      </c>
      <c r="D207" s="52" t="n">
        <f aca="false">ROUND(S207*T207,0)</f>
        <v>536</v>
      </c>
      <c r="E207" s="52" t="n">
        <f aca="false">ROUND(S207,0)-D207</f>
        <v>488</v>
      </c>
      <c r="F207" s="52" t="n">
        <f aca="false">IF(COUNTA(D207:E207)=0,"",SUM(D207:E207))</f>
        <v>1024</v>
      </c>
      <c r="G207" s="53" t="n">
        <f aca="false">IF(OR(F207="",F207=0),"",D207/F207)</f>
        <v>0.5234375</v>
      </c>
      <c r="H207" s="53" t="n">
        <f aca="false">IF(OR(F207="",F207=0),"",E207/F207)</f>
        <v>0.4765625</v>
      </c>
      <c r="I207" s="25" t="s">
        <v>128</v>
      </c>
      <c r="J207" s="28" t="n">
        <v>2.08262589216041</v>
      </c>
      <c r="K207" s="28" t="n">
        <f aca="false">$K$8</f>
        <v>0.297938238782275</v>
      </c>
      <c r="L207" s="28" t="n">
        <f aca="false">SQRT(J207^2+K207^2)</f>
        <v>2.1038293183682</v>
      </c>
      <c r="M207" s="53" t="n">
        <f aca="false">IF(G207="","",MAX(0,G207-1.96*L207/100))</f>
        <v>0.482202445359983</v>
      </c>
      <c r="N207" s="53" t="n">
        <f aca="false">IF(G207="","",MIN(1,G207+1.96*L207/100))</f>
        <v>0.564672554640017</v>
      </c>
      <c r="O207" s="52" t="n">
        <f aca="false">ROUND(S207*W207,0)</f>
        <v>70</v>
      </c>
      <c r="P207" s="52" t="n">
        <f aca="false">IF(F207="","",ROUND(SQRT((F207*L207/100)^2+(G207*O207)^2),0))</f>
        <v>43</v>
      </c>
      <c r="R207" s="54" t="n">
        <v>1.18154166798396</v>
      </c>
      <c r="S207" s="55" t="n">
        <f aca="false">U207*V207*$F$5</f>
        <v>1023.63518138262</v>
      </c>
      <c r="T207" s="56" t="n">
        <f aca="false">MAX(0,MIN(1,R207/100+$D$5))</f>
        <v>0.523808831198604</v>
      </c>
      <c r="U207" s="56" t="n">
        <v>0.731690622861054</v>
      </c>
      <c r="V207" s="55" t="n">
        <v>1399</v>
      </c>
      <c r="W207" s="56" t="n">
        <v>0.0684752145190268</v>
      </c>
      <c r="X207" s="57" t="s">
        <v>168</v>
      </c>
      <c r="Y207" s="57" t="s">
        <v>130</v>
      </c>
    </row>
    <row r="208" customFormat="false" ht="15" hidden="false" customHeight="false" outlineLevel="0" collapsed="false">
      <c r="A208" s="25" t="s">
        <v>197</v>
      </c>
      <c r="B208" s="25" t="s">
        <v>360</v>
      </c>
      <c r="C208" s="25" t="s">
        <v>361</v>
      </c>
      <c r="D208" s="52" t="n">
        <f aca="false">ROUND(S208*T208,0)</f>
        <v>196</v>
      </c>
      <c r="E208" s="52" t="n">
        <f aca="false">ROUND(S208,0)-D208</f>
        <v>408</v>
      </c>
      <c r="F208" s="52" t="n">
        <f aca="false">IF(COUNTA(D208:E208)=0,"",SUM(D208:E208))</f>
        <v>604</v>
      </c>
      <c r="G208" s="53" t="n">
        <f aca="false">IF(OR(F208="",F208=0),"",D208/F208)</f>
        <v>0.324503311258278</v>
      </c>
      <c r="H208" s="53" t="n">
        <f aca="false">IF(OR(F208="",F208=0),"",E208/F208)</f>
        <v>0.675496688741722</v>
      </c>
      <c r="I208" s="25" t="s">
        <v>128</v>
      </c>
      <c r="J208" s="28" t="n">
        <v>2.22489971008846</v>
      </c>
      <c r="K208" s="28" t="n">
        <f aca="false">$K$8</f>
        <v>0.297938238782275</v>
      </c>
      <c r="L208" s="28" t="n">
        <f aca="false">SQRT(J208^2+K208^2)</f>
        <v>2.24475965619494</v>
      </c>
      <c r="M208" s="53" t="n">
        <f aca="false">IF(G208="","",MAX(0,G208-1.96*L208/100))</f>
        <v>0.280506021996857</v>
      </c>
      <c r="N208" s="53" t="n">
        <f aca="false">IF(G208="","",MIN(1,G208+1.96*L208/100))</f>
        <v>0.368500600519699</v>
      </c>
      <c r="O208" s="52" t="n">
        <f aca="false">ROUND(S208*W208,0)</f>
        <v>54</v>
      </c>
      <c r="P208" s="52" t="n">
        <f aca="false">IF(F208="","",ROUND(SQRT((F208*L208/100)^2+(G208*O208)^2),0))</f>
        <v>22</v>
      </c>
      <c r="R208" s="54" t="n">
        <v>-18.7640041902932</v>
      </c>
      <c r="S208" s="55" t="n">
        <f aca="false">U208*V208*$F$5</f>
        <v>604.352941176471</v>
      </c>
      <c r="T208" s="56" t="n">
        <f aca="false">MAX(0,MIN(1,R208/100+$D$5))</f>
        <v>0.324353372615832</v>
      </c>
      <c r="U208" s="56" t="n">
        <v>0.647058823529412</v>
      </c>
      <c r="V208" s="55" t="n">
        <v>934</v>
      </c>
      <c r="W208" s="56" t="n">
        <v>0.0887445098984521</v>
      </c>
      <c r="X208" s="57" t="s">
        <v>135</v>
      </c>
      <c r="Y208" s="57" t="s">
        <v>130</v>
      </c>
    </row>
    <row r="209" customFormat="false" ht="15" hidden="false" customHeight="false" outlineLevel="0" collapsed="false">
      <c r="A209" s="25" t="s">
        <v>197</v>
      </c>
      <c r="B209" s="25" t="s">
        <v>360</v>
      </c>
      <c r="C209" s="25" t="s">
        <v>362</v>
      </c>
      <c r="D209" s="52" t="n">
        <f aca="false">ROUND(S209*T209,0)</f>
        <v>669</v>
      </c>
      <c r="E209" s="52" t="n">
        <f aca="false">ROUND(S209,0)-D209</f>
        <v>1288</v>
      </c>
      <c r="F209" s="52" t="n">
        <f aca="false">IF(COUNTA(D209:E209)=0,"",SUM(D209:E209))</f>
        <v>1957</v>
      </c>
      <c r="G209" s="53" t="n">
        <f aca="false">IF(OR(F209="",F209=0),"",D209/F209)</f>
        <v>0.341849770056209</v>
      </c>
      <c r="H209" s="53" t="n">
        <f aca="false">IF(OR(F209="",F209=0),"",E209/F209)</f>
        <v>0.658150229943792</v>
      </c>
      <c r="I209" s="25" t="s">
        <v>128</v>
      </c>
      <c r="J209" s="28" t="n">
        <v>2.08262589216041</v>
      </c>
      <c r="K209" s="28" t="n">
        <f aca="false">$K$8</f>
        <v>0.297938238782275</v>
      </c>
      <c r="L209" s="28" t="n">
        <f aca="false">SQRT(J209^2+K209^2)</f>
        <v>2.1038293183682</v>
      </c>
      <c r="M209" s="53" t="n">
        <f aca="false">IF(G209="","",MAX(0,G209-1.96*L209/100))</f>
        <v>0.300614715416192</v>
      </c>
      <c r="N209" s="53" t="n">
        <f aca="false">IF(G209="","",MIN(1,G209+1.96*L209/100))</f>
        <v>0.383084824696225</v>
      </c>
      <c r="O209" s="52" t="n">
        <f aca="false">ROUND(S209*W209,0)</f>
        <v>134</v>
      </c>
      <c r="P209" s="52" t="n">
        <f aca="false">IF(F209="","",ROUND(SQRT((F209*L209/100)^2+(G209*O209)^2),0))</f>
        <v>62</v>
      </c>
      <c r="R209" s="54" t="n">
        <v>-17.0309273712682</v>
      </c>
      <c r="S209" s="55" t="n">
        <f aca="false">U209*V209*$F$5</f>
        <v>1956.62307176392</v>
      </c>
      <c r="T209" s="56" t="n">
        <f aca="false">MAX(0,MIN(1,R209/100+$D$5))</f>
        <v>0.341684140806082</v>
      </c>
      <c r="U209" s="56" t="n">
        <v>0.641515761234071</v>
      </c>
      <c r="V209" s="55" t="n">
        <v>3050</v>
      </c>
      <c r="W209" s="56" t="n">
        <v>0.0684752145190268</v>
      </c>
      <c r="X209" s="57" t="s">
        <v>168</v>
      </c>
      <c r="Y209" s="57" t="s">
        <v>130</v>
      </c>
    </row>
    <row r="210" customFormat="false" ht="15" hidden="false" customHeight="false" outlineLevel="0" collapsed="false">
      <c r="A210" s="25" t="s">
        <v>197</v>
      </c>
      <c r="B210" s="25" t="s">
        <v>360</v>
      </c>
      <c r="C210" s="25" t="s">
        <v>363</v>
      </c>
      <c r="D210" s="52" t="n">
        <f aca="false">ROUND(S210*T210,0)</f>
        <v>156</v>
      </c>
      <c r="E210" s="52" t="n">
        <f aca="false">ROUND(S210,0)-D210</f>
        <v>386</v>
      </c>
      <c r="F210" s="52" t="n">
        <f aca="false">IF(COUNTA(D210:E210)=0,"",SUM(D210:E210))</f>
        <v>542</v>
      </c>
      <c r="G210" s="53" t="n">
        <f aca="false">IF(OR(F210="",F210=0),"",D210/F210)</f>
        <v>0.287822878228782</v>
      </c>
      <c r="H210" s="53" t="n">
        <f aca="false">IF(OR(F210="",F210=0),"",E210/F210)</f>
        <v>0.712177121771218</v>
      </c>
      <c r="I210" s="25" t="s">
        <v>128</v>
      </c>
      <c r="J210" s="28" t="n">
        <v>3.1978281706008</v>
      </c>
      <c r="K210" s="28" t="n">
        <f aca="false">$K$8</f>
        <v>0.297938238782275</v>
      </c>
      <c r="L210" s="28" t="n">
        <f aca="false">SQRT(J210^2+K210^2)</f>
        <v>3.21167747490571</v>
      </c>
      <c r="M210" s="53" t="n">
        <f aca="false">IF(G210="","",MAX(0,G210-1.96*L210/100))</f>
        <v>0.22487399972063</v>
      </c>
      <c r="N210" s="53" t="n">
        <f aca="false">IF(G210="","",MIN(1,G210+1.96*L210/100))</f>
        <v>0.350771756736934</v>
      </c>
      <c r="O210" s="52" t="n">
        <f aca="false">ROUND(S210*W210,0)</f>
        <v>80</v>
      </c>
      <c r="P210" s="52" t="n">
        <f aca="false">IF(F210="","",ROUND(SQRT((F210*L210/100)^2+(G210*O210)^2),0))</f>
        <v>29</v>
      </c>
      <c r="R210" s="54" t="n">
        <v>-22.4127590335632</v>
      </c>
      <c r="S210" s="55" t="n">
        <f aca="false">U210*V210*$F$5</f>
        <v>542.370466321243</v>
      </c>
      <c r="T210" s="56" t="n">
        <f aca="false">MAX(0,MIN(1,R210/100+$D$5))</f>
        <v>0.287865824183133</v>
      </c>
      <c r="U210" s="56" t="n">
        <v>0.660621761658031</v>
      </c>
      <c r="V210" s="55" t="n">
        <v>821</v>
      </c>
      <c r="W210" s="56" t="n">
        <v>0.148097331980838</v>
      </c>
      <c r="X210" s="57" t="s">
        <v>129</v>
      </c>
      <c r="Y210" s="57" t="s">
        <v>130</v>
      </c>
    </row>
    <row r="211" customFormat="false" ht="15" hidden="false" customHeight="false" outlineLevel="0" collapsed="false">
      <c r="A211" s="25" t="s">
        <v>197</v>
      </c>
      <c r="B211" s="25" t="s">
        <v>364</v>
      </c>
      <c r="C211" s="25" t="s">
        <v>364</v>
      </c>
      <c r="D211" s="52" t="n">
        <f aca="false">ROUND(S211*T211,0)</f>
        <v>962</v>
      </c>
      <c r="E211" s="52" t="n">
        <f aca="false">ROUND(S211,0)-D211</f>
        <v>1778</v>
      </c>
      <c r="F211" s="52" t="n">
        <f aca="false">IF(COUNTA(D211:E211)=0,"",SUM(D211:E211))</f>
        <v>2740</v>
      </c>
      <c r="G211" s="53" t="n">
        <f aca="false">IF(OR(F211="",F211=0),"",D211/F211)</f>
        <v>0.351094890510949</v>
      </c>
      <c r="H211" s="53" t="n">
        <f aca="false">IF(OR(F211="",F211=0),"",E211/F211)</f>
        <v>0.648905109489051</v>
      </c>
      <c r="I211" s="25" t="s">
        <v>128</v>
      </c>
      <c r="J211" s="28" t="n">
        <v>2.08262589216041</v>
      </c>
      <c r="K211" s="28" t="n">
        <f aca="false">$K$8</f>
        <v>0.297938238782275</v>
      </c>
      <c r="L211" s="28" t="n">
        <f aca="false">SQRT(J211^2+K211^2)</f>
        <v>2.1038293183682</v>
      </c>
      <c r="M211" s="53" t="n">
        <f aca="false">IF(G211="","",MAX(0,G211-1.96*L211/100))</f>
        <v>0.309859835870932</v>
      </c>
      <c r="N211" s="53" t="n">
        <f aca="false">IF(G211="","",MIN(1,G211+1.96*L211/100))</f>
        <v>0.392329945150966</v>
      </c>
      <c r="O211" s="52" t="n">
        <f aca="false">ROUND(S211*W211,0)</f>
        <v>188</v>
      </c>
      <c r="P211" s="52" t="n">
        <f aca="false">IF(F211="","",ROUND(SQRT((F211*L211/100)^2+(G211*O211)^2),0))</f>
        <v>88</v>
      </c>
      <c r="R211" s="54" t="n">
        <v>-16.0954986339187</v>
      </c>
      <c r="S211" s="55" t="n">
        <f aca="false">U211*V211*$F$5</f>
        <v>2739.5017118778</v>
      </c>
      <c r="T211" s="56" t="n">
        <f aca="false">MAX(0,MIN(1,R211/100+$D$5))</f>
        <v>0.351038428179578</v>
      </c>
      <c r="U211" s="56" t="n">
        <v>0.708980774295497</v>
      </c>
      <c r="V211" s="55" t="n">
        <v>3864</v>
      </c>
      <c r="W211" s="56" t="n">
        <v>0.0684752145190268</v>
      </c>
      <c r="X211" s="57" t="s">
        <v>168</v>
      </c>
      <c r="Y211" s="57" t="s">
        <v>130</v>
      </c>
    </row>
    <row r="212" customFormat="false" ht="15" hidden="false" customHeight="false" outlineLevel="0" collapsed="false">
      <c r="A212" s="25" t="s">
        <v>197</v>
      </c>
      <c r="B212" s="25" t="s">
        <v>365</v>
      </c>
      <c r="C212" s="25" t="s">
        <v>366</v>
      </c>
      <c r="D212" s="52" t="n">
        <f aca="false">ROUND(S212*T212,0)</f>
        <v>659</v>
      </c>
      <c r="E212" s="52" t="n">
        <f aca="false">ROUND(S212,0)-D212</f>
        <v>711</v>
      </c>
      <c r="F212" s="52" t="n">
        <f aca="false">IF(COUNTA(D212:E212)=0,"",SUM(D212:E212))</f>
        <v>1370</v>
      </c>
      <c r="G212" s="53" t="n">
        <f aca="false">IF(OR(F212="",F212=0),"",D212/F212)</f>
        <v>0.481021897810219</v>
      </c>
      <c r="H212" s="53" t="n">
        <f aca="false">IF(OR(F212="",F212=0),"",E212/F212)</f>
        <v>0.518978102189781</v>
      </c>
      <c r="I212" s="25" t="s">
        <v>128</v>
      </c>
      <c r="J212" s="28" t="n">
        <v>2.08262589216041</v>
      </c>
      <c r="K212" s="28" t="n">
        <f aca="false">$K$8</f>
        <v>0.297938238782275</v>
      </c>
      <c r="L212" s="28" t="n">
        <f aca="false">SQRT(J212^2+K212^2)</f>
        <v>2.1038293183682</v>
      </c>
      <c r="M212" s="53" t="n">
        <f aca="false">IF(G212="","",MAX(0,G212-1.96*L212/100))</f>
        <v>0.439786843170202</v>
      </c>
      <c r="N212" s="53" t="n">
        <f aca="false">IF(G212="","",MIN(1,G212+1.96*L212/100))</f>
        <v>0.522256952450236</v>
      </c>
      <c r="O212" s="52" t="n">
        <f aca="false">ROUND(S212*W212,0)</f>
        <v>94</v>
      </c>
      <c r="P212" s="52" t="n">
        <f aca="false">IF(F212="","",ROUND(SQRT((F212*L212/100)^2+(G212*O212)^2),0))</f>
        <v>54</v>
      </c>
      <c r="R212" s="54" t="n">
        <v>-3.10969253382195</v>
      </c>
      <c r="S212" s="55" t="n">
        <f aca="false">U212*V212*$F$5</f>
        <v>1370.10933470861</v>
      </c>
      <c r="T212" s="56" t="n">
        <f aca="false">MAX(0,MIN(1,R212/100+$D$5))</f>
        <v>0.480896489180545</v>
      </c>
      <c r="U212" s="56" t="n">
        <v>0.670964414646725</v>
      </c>
      <c r="V212" s="55" t="n">
        <v>2042</v>
      </c>
      <c r="W212" s="56" t="n">
        <v>0.0684752145190268</v>
      </c>
      <c r="X212" s="57" t="s">
        <v>168</v>
      </c>
      <c r="Y212" s="57" t="s">
        <v>130</v>
      </c>
    </row>
    <row r="213" customFormat="false" ht="15" hidden="false" customHeight="false" outlineLevel="0" collapsed="false">
      <c r="A213" s="25" t="s">
        <v>197</v>
      </c>
      <c r="B213" s="25" t="s">
        <v>365</v>
      </c>
      <c r="C213" s="25" t="s">
        <v>367</v>
      </c>
      <c r="D213" s="52" t="n">
        <f aca="false">ROUND(S213*T213,0)</f>
        <v>475</v>
      </c>
      <c r="E213" s="52" t="n">
        <f aca="false">ROUND(S213,0)-D213</f>
        <v>501</v>
      </c>
      <c r="F213" s="52" t="n">
        <f aca="false">IF(COUNTA(D213:E213)=0,"",SUM(D213:E213))</f>
        <v>976</v>
      </c>
      <c r="G213" s="53" t="n">
        <f aca="false">IF(OR(F213="",F213=0),"",D213/F213)</f>
        <v>0.486680327868852</v>
      </c>
      <c r="H213" s="53" t="n">
        <f aca="false">IF(OR(F213="",F213=0),"",E213/F213)</f>
        <v>0.513319672131148</v>
      </c>
      <c r="I213" s="25" t="s">
        <v>128</v>
      </c>
      <c r="J213" s="28" t="n">
        <v>2.08262589216041</v>
      </c>
      <c r="K213" s="28" t="n">
        <f aca="false">$K$8</f>
        <v>0.297938238782275</v>
      </c>
      <c r="L213" s="28" t="n">
        <f aca="false">SQRT(J213^2+K213^2)</f>
        <v>2.1038293183682</v>
      </c>
      <c r="M213" s="53" t="n">
        <f aca="false">IF(G213="","",MAX(0,G213-1.96*L213/100))</f>
        <v>0.445445273228836</v>
      </c>
      <c r="N213" s="53" t="n">
        <f aca="false">IF(G213="","",MIN(1,G213+1.96*L213/100))</f>
        <v>0.527915382508869</v>
      </c>
      <c r="O213" s="52" t="n">
        <f aca="false">ROUND(S213*W213,0)</f>
        <v>67</v>
      </c>
      <c r="P213" s="52" t="n">
        <f aca="false">IF(F213="","",ROUND(SQRT((F213*L213/100)^2+(G213*O213)^2),0))</f>
        <v>39</v>
      </c>
      <c r="R213" s="54" t="n">
        <v>-2.4908586631555</v>
      </c>
      <c r="S213" s="55" t="n">
        <f aca="false">U213*V213*$F$5</f>
        <v>975.592154420922</v>
      </c>
      <c r="T213" s="56" t="n">
        <f aca="false">MAX(0,MIN(1,R213/100+$D$5))</f>
        <v>0.48708482788721</v>
      </c>
      <c r="U213" s="56" t="n">
        <v>0.599626400996264</v>
      </c>
      <c r="V213" s="55" t="n">
        <v>1627</v>
      </c>
      <c r="W213" s="56" t="n">
        <v>0.0684752145190268</v>
      </c>
      <c r="X213" s="57" t="s">
        <v>168</v>
      </c>
      <c r="Y213" s="57" t="s">
        <v>130</v>
      </c>
    </row>
    <row r="214" customFormat="false" ht="15" hidden="false" customHeight="false" outlineLevel="0" collapsed="false">
      <c r="A214" s="25" t="s">
        <v>197</v>
      </c>
      <c r="B214" s="25" t="s">
        <v>365</v>
      </c>
      <c r="C214" s="25" t="s">
        <v>368</v>
      </c>
      <c r="D214" s="52" t="n">
        <f aca="false">ROUND(S214*T214,0)</f>
        <v>527</v>
      </c>
      <c r="E214" s="52" t="n">
        <f aca="false">ROUND(S214,0)-D214</f>
        <v>410</v>
      </c>
      <c r="F214" s="52" t="n">
        <f aca="false">IF(COUNTA(D214:E214)=0,"",SUM(D214:E214))</f>
        <v>937</v>
      </c>
      <c r="G214" s="53" t="n">
        <f aca="false">IF(OR(F214="",F214=0),"",D214/F214)</f>
        <v>0.562433297758805</v>
      </c>
      <c r="H214" s="53" t="n">
        <f aca="false">IF(OR(F214="",F214=0),"",E214/F214)</f>
        <v>0.437566702241195</v>
      </c>
      <c r="I214" s="25" t="s">
        <v>128</v>
      </c>
      <c r="J214" s="28" t="n">
        <v>2.08262589216041</v>
      </c>
      <c r="K214" s="28" t="n">
        <f aca="false">$K$8</f>
        <v>0.297938238782275</v>
      </c>
      <c r="L214" s="28" t="n">
        <f aca="false">SQRT(J214^2+K214^2)</f>
        <v>2.1038293183682</v>
      </c>
      <c r="M214" s="53" t="n">
        <f aca="false">IF(G214="","",MAX(0,G214-1.96*L214/100))</f>
        <v>0.521198243118788</v>
      </c>
      <c r="N214" s="53" t="n">
        <f aca="false">IF(G214="","",MIN(1,G214+1.96*L214/100))</f>
        <v>0.603668352398821</v>
      </c>
      <c r="O214" s="52" t="n">
        <f aca="false">ROUND(S214*W214,0)</f>
        <v>64</v>
      </c>
      <c r="P214" s="52" t="n">
        <f aca="false">IF(F214="","",ROUND(SQRT((F214*L214/100)^2+(G214*O214)^2),0))</f>
        <v>41</v>
      </c>
      <c r="R214" s="54" t="n">
        <v>5.0185707997555</v>
      </c>
      <c r="S214" s="55" t="n">
        <f aca="false">U214*V214*$F$5</f>
        <v>936.993243243243</v>
      </c>
      <c r="T214" s="56" t="n">
        <f aca="false">MAX(0,MIN(1,R214/100+$D$5))</f>
        <v>0.56217912251632</v>
      </c>
      <c r="U214" s="56" t="n">
        <v>0.506756756756757</v>
      </c>
      <c r="V214" s="55" t="n">
        <v>1849</v>
      </c>
      <c r="W214" s="56" t="n">
        <v>0.0684752145190268</v>
      </c>
      <c r="X214" s="57" t="s">
        <v>168</v>
      </c>
      <c r="Y214" s="57" t="s">
        <v>130</v>
      </c>
    </row>
    <row r="215" customFormat="false" ht="15" hidden="false" customHeight="false" outlineLevel="0" collapsed="false">
      <c r="A215" s="25" t="s">
        <v>197</v>
      </c>
      <c r="B215" s="25" t="s">
        <v>365</v>
      </c>
      <c r="C215" s="25" t="s">
        <v>369</v>
      </c>
      <c r="D215" s="52" t="n">
        <f aca="false">ROUND(S215*T215,0)</f>
        <v>595</v>
      </c>
      <c r="E215" s="52" t="n">
        <f aca="false">ROUND(S215,0)-D215</f>
        <v>409</v>
      </c>
      <c r="F215" s="52" t="n">
        <f aca="false">IF(COUNTA(D215:E215)=0,"",SUM(D215:E215))</f>
        <v>1004</v>
      </c>
      <c r="G215" s="53" t="n">
        <f aca="false">IF(OR(F215="",F215=0),"",D215/F215)</f>
        <v>0.592629482071713</v>
      </c>
      <c r="H215" s="53" t="n">
        <f aca="false">IF(OR(F215="",F215=0),"",E215/F215)</f>
        <v>0.407370517928287</v>
      </c>
      <c r="I215" s="25" t="s">
        <v>128</v>
      </c>
      <c r="J215" s="28" t="n">
        <v>2.08262589216041</v>
      </c>
      <c r="K215" s="28" t="n">
        <f aca="false">$K$8</f>
        <v>0.297938238782275</v>
      </c>
      <c r="L215" s="28" t="n">
        <f aca="false">SQRT(J215^2+K215^2)</f>
        <v>2.1038293183682</v>
      </c>
      <c r="M215" s="53" t="n">
        <f aca="false">IF(G215="","",MAX(0,G215-1.96*L215/100))</f>
        <v>0.551394427431696</v>
      </c>
      <c r="N215" s="53" t="n">
        <f aca="false">IF(G215="","",MIN(1,G215+1.96*L215/100))</f>
        <v>0.63386453671173</v>
      </c>
      <c r="O215" s="52" t="n">
        <f aca="false">ROUND(S215*W215,0)</f>
        <v>69</v>
      </c>
      <c r="P215" s="52" t="n">
        <f aca="false">IF(F215="","",ROUND(SQRT((F215*L215/100)^2+(G215*O215)^2),0))</f>
        <v>46</v>
      </c>
      <c r="R215" s="54" t="n">
        <v>8.10143188227986</v>
      </c>
      <c r="S215" s="55" t="n">
        <f aca="false">U215*V215*$F$5</f>
        <v>1003.94947569113</v>
      </c>
      <c r="T215" s="56" t="n">
        <f aca="false">MAX(0,MIN(1,R215/100+$D$5))</f>
        <v>0.593007733341563</v>
      </c>
      <c r="U215" s="56" t="n">
        <v>0.473784556720686</v>
      </c>
      <c r="V215" s="55" t="n">
        <v>2119</v>
      </c>
      <c r="W215" s="56" t="n">
        <v>0.0684752145190268</v>
      </c>
      <c r="X215" s="57" t="s">
        <v>168</v>
      </c>
      <c r="Y215" s="57" t="s">
        <v>130</v>
      </c>
    </row>
    <row r="216" customFormat="false" ht="15" hidden="false" customHeight="false" outlineLevel="0" collapsed="false">
      <c r="A216" s="25" t="s">
        <v>197</v>
      </c>
      <c r="B216" s="25" t="s">
        <v>365</v>
      </c>
      <c r="C216" s="25" t="s">
        <v>370</v>
      </c>
      <c r="D216" s="52" t="n">
        <f aca="false">ROUND(S216*T216,0)</f>
        <v>221</v>
      </c>
      <c r="E216" s="52" t="n">
        <f aca="false">ROUND(S216,0)-D216</f>
        <v>178</v>
      </c>
      <c r="F216" s="52" t="n">
        <f aca="false">IF(COUNTA(D216:E216)=0,"",SUM(D216:E216))</f>
        <v>399</v>
      </c>
      <c r="G216" s="53" t="n">
        <f aca="false">IF(OR(F216="",F216=0),"",D216/F216)</f>
        <v>0.553884711779449</v>
      </c>
      <c r="H216" s="53" t="n">
        <f aca="false">IF(OR(F216="",F216=0),"",E216/F216)</f>
        <v>0.446115288220551</v>
      </c>
      <c r="I216" s="25" t="s">
        <v>128</v>
      </c>
      <c r="J216" s="28" t="n">
        <v>3.1978281706008</v>
      </c>
      <c r="K216" s="28" t="n">
        <f aca="false">$K$8</f>
        <v>0.297938238782275</v>
      </c>
      <c r="L216" s="28" t="n">
        <f aca="false">SQRT(J216^2+K216^2)</f>
        <v>3.21167747490571</v>
      </c>
      <c r="M216" s="53" t="n">
        <f aca="false">IF(G216="","",MAX(0,G216-1.96*L216/100))</f>
        <v>0.490935833271297</v>
      </c>
      <c r="N216" s="53" t="n">
        <f aca="false">IF(G216="","",MIN(1,G216+1.96*L216/100))</f>
        <v>0.616833590287601</v>
      </c>
      <c r="O216" s="52" t="n">
        <f aca="false">ROUND(S216*W216,0)</f>
        <v>59</v>
      </c>
      <c r="P216" s="52" t="n">
        <f aca="false">IF(F216="","",ROUND(SQRT((F216*L216/100)^2+(G216*O216)^2),0))</f>
        <v>35</v>
      </c>
      <c r="R216" s="54" t="n">
        <v>4.15186808098502</v>
      </c>
      <c r="S216" s="55" t="n">
        <f aca="false">U216*V216*$F$5</f>
        <v>398.675306957708</v>
      </c>
      <c r="T216" s="56" t="n">
        <f aca="false">MAX(0,MIN(1,R216/100+$D$5))</f>
        <v>0.553512095328615</v>
      </c>
      <c r="U216" s="56" t="n">
        <v>0.522510231923602</v>
      </c>
      <c r="V216" s="55" t="n">
        <v>763</v>
      </c>
      <c r="W216" s="56" t="n">
        <v>0.148097331980838</v>
      </c>
      <c r="X216" s="57" t="s">
        <v>129</v>
      </c>
      <c r="Y216" s="57" t="s">
        <v>130</v>
      </c>
    </row>
    <row r="217" customFormat="false" ht="15" hidden="false" customHeight="false" outlineLevel="0" collapsed="false">
      <c r="A217" s="25" t="s">
        <v>197</v>
      </c>
      <c r="B217" s="25" t="s">
        <v>365</v>
      </c>
      <c r="C217" s="25" t="s">
        <v>371</v>
      </c>
      <c r="D217" s="52" t="n">
        <f aca="false">ROUND(S217*T217,0)</f>
        <v>314</v>
      </c>
      <c r="E217" s="52" t="n">
        <f aca="false">ROUND(S217,0)-D217</f>
        <v>206</v>
      </c>
      <c r="F217" s="52" t="n">
        <f aca="false">IF(COUNTA(D217:E217)=0,"",SUM(D217:E217))</f>
        <v>520</v>
      </c>
      <c r="G217" s="53" t="n">
        <f aca="false">IF(OR(F217="",F217=0),"",D217/F217)</f>
        <v>0.603846153846154</v>
      </c>
      <c r="H217" s="53" t="n">
        <f aca="false">IF(OR(F217="",F217=0),"",E217/F217)</f>
        <v>0.396153846153846</v>
      </c>
      <c r="I217" s="25" t="s">
        <v>128</v>
      </c>
      <c r="J217" s="28" t="n">
        <v>3.1978281706008</v>
      </c>
      <c r="K217" s="28" t="n">
        <f aca="false">$K$8</f>
        <v>0.297938238782275</v>
      </c>
      <c r="L217" s="28" t="n">
        <f aca="false">SQRT(J217^2+K217^2)</f>
        <v>3.21167747490571</v>
      </c>
      <c r="M217" s="53" t="n">
        <f aca="false">IF(G217="","",MAX(0,G217-1.96*L217/100))</f>
        <v>0.540897275338002</v>
      </c>
      <c r="N217" s="53" t="n">
        <f aca="false">IF(G217="","",MIN(1,G217+1.96*L217/100))</f>
        <v>0.666795032354306</v>
      </c>
      <c r="O217" s="52" t="n">
        <f aca="false">ROUND(S217*W217,0)</f>
        <v>77</v>
      </c>
      <c r="P217" s="52" t="n">
        <f aca="false">IF(F217="","",ROUND(SQRT((F217*L217/100)^2+(G217*O217)^2),0))</f>
        <v>49</v>
      </c>
      <c r="R217" s="54" t="n">
        <v>9.24346554470844</v>
      </c>
      <c r="S217" s="55" t="n">
        <f aca="false">U217*V217*$F$5</f>
        <v>520.227272727273</v>
      </c>
      <c r="T217" s="56" t="n">
        <f aca="false">MAX(0,MIN(1,R217/100+$D$5))</f>
        <v>0.604428069965849</v>
      </c>
      <c r="U217" s="56" t="n">
        <v>0.367132867132867</v>
      </c>
      <c r="V217" s="55" t="n">
        <v>1417</v>
      </c>
      <c r="W217" s="56" t="n">
        <v>0.148097331980838</v>
      </c>
      <c r="X217" s="57" t="s">
        <v>129</v>
      </c>
      <c r="Y217" s="57" t="s">
        <v>130</v>
      </c>
    </row>
    <row r="218" customFormat="false" ht="15" hidden="false" customHeight="false" outlineLevel="0" collapsed="false">
      <c r="A218" s="25" t="s">
        <v>197</v>
      </c>
      <c r="B218" s="25" t="s">
        <v>365</v>
      </c>
      <c r="C218" s="25" t="s">
        <v>372</v>
      </c>
      <c r="D218" s="52" t="n">
        <f aca="false">ROUND(S218*T218,0)</f>
        <v>381</v>
      </c>
      <c r="E218" s="52" t="n">
        <f aca="false">ROUND(S218,0)-D218</f>
        <v>306</v>
      </c>
      <c r="F218" s="52" t="n">
        <f aca="false">IF(COUNTA(D218:E218)=0,"",SUM(D218:E218))</f>
        <v>687</v>
      </c>
      <c r="G218" s="53" t="n">
        <f aca="false">IF(OR(F218="",F218=0),"",D218/F218)</f>
        <v>0.554585152838428</v>
      </c>
      <c r="H218" s="53" t="n">
        <f aca="false">IF(OR(F218="",F218=0),"",E218/F218)</f>
        <v>0.445414847161572</v>
      </c>
      <c r="I218" s="25" t="s">
        <v>128</v>
      </c>
      <c r="J218" s="28" t="n">
        <v>2.22489971008846</v>
      </c>
      <c r="K218" s="28" t="n">
        <f aca="false">$K$8</f>
        <v>0.297938238782275</v>
      </c>
      <c r="L218" s="28" t="n">
        <f aca="false">SQRT(J218^2+K218^2)</f>
        <v>2.24475965619494</v>
      </c>
      <c r="M218" s="53" t="n">
        <f aca="false">IF(G218="","",MAX(0,G218-1.96*L218/100))</f>
        <v>0.510587863577007</v>
      </c>
      <c r="N218" s="53" t="n">
        <f aca="false">IF(G218="","",MIN(1,G218+1.96*L218/100))</f>
        <v>0.598582442099849</v>
      </c>
      <c r="O218" s="52" t="n">
        <f aca="false">ROUND(S218*W218,0)</f>
        <v>61</v>
      </c>
      <c r="P218" s="52" t="n">
        <f aca="false">IF(F218="","",ROUND(SQRT((F218*L218/100)^2+(G218*O218)^2),0))</f>
        <v>37</v>
      </c>
      <c r="R218" s="54" t="n">
        <v>4.27922959839623</v>
      </c>
      <c r="S218" s="55" t="n">
        <f aca="false">U218*V218*$F$5</f>
        <v>687.489614243323</v>
      </c>
      <c r="T218" s="56" t="n">
        <f aca="false">MAX(0,MIN(1,R218/100+$D$5))</f>
        <v>0.554785710502727</v>
      </c>
      <c r="U218" s="56" t="n">
        <v>0.510385756676558</v>
      </c>
      <c r="V218" s="55" t="n">
        <v>1347</v>
      </c>
      <c r="W218" s="56" t="n">
        <v>0.0887445098984521</v>
      </c>
      <c r="X218" s="57" t="s">
        <v>135</v>
      </c>
      <c r="Y218" s="57" t="s">
        <v>130</v>
      </c>
    </row>
    <row r="219" customFormat="false" ht="15" hidden="false" customHeight="false" outlineLevel="0" collapsed="false">
      <c r="A219" s="25" t="s">
        <v>197</v>
      </c>
      <c r="B219" s="25" t="s">
        <v>365</v>
      </c>
      <c r="C219" s="25" t="s">
        <v>373</v>
      </c>
      <c r="D219" s="52" t="n">
        <f aca="false">ROUND(S219*T219,0)</f>
        <v>219</v>
      </c>
      <c r="E219" s="52" t="n">
        <f aca="false">ROUND(S219,0)-D219</f>
        <v>231</v>
      </c>
      <c r="F219" s="52" t="n">
        <f aca="false">IF(COUNTA(D219:E219)=0,"",SUM(D219:E219))</f>
        <v>450</v>
      </c>
      <c r="G219" s="53" t="n">
        <f aca="false">IF(OR(F219="",F219=0),"",D219/F219)</f>
        <v>0.486666666666667</v>
      </c>
      <c r="H219" s="53" t="n">
        <f aca="false">IF(OR(F219="",F219=0),"",E219/F219)</f>
        <v>0.513333333333333</v>
      </c>
      <c r="I219" s="25" t="s">
        <v>128</v>
      </c>
      <c r="J219" s="28" t="n">
        <v>3.1978281706008</v>
      </c>
      <c r="K219" s="28" t="n">
        <f aca="false">$K$8</f>
        <v>0.297938238782275</v>
      </c>
      <c r="L219" s="28" t="n">
        <f aca="false">SQRT(J219^2+K219^2)</f>
        <v>3.21167747490571</v>
      </c>
      <c r="M219" s="53" t="n">
        <f aca="false">IF(G219="","",MAX(0,G219-1.96*L219/100))</f>
        <v>0.423717788158515</v>
      </c>
      <c r="N219" s="53" t="n">
        <f aca="false">IF(G219="","",MIN(1,G219+1.96*L219/100))</f>
        <v>0.549615545174819</v>
      </c>
      <c r="O219" s="52" t="n">
        <f aca="false">ROUND(S219*W219,0)</f>
        <v>67</v>
      </c>
      <c r="P219" s="52" t="n">
        <f aca="false">IF(F219="","",ROUND(SQRT((F219*L219/100)^2+(G219*O219)^2),0))</f>
        <v>36</v>
      </c>
      <c r="R219" s="54" t="n">
        <v>-2.45200671400191</v>
      </c>
      <c r="S219" s="55" t="n">
        <f aca="false">U219*V219*$F$5</f>
        <v>449.830708661417</v>
      </c>
      <c r="T219" s="56" t="n">
        <f aca="false">MAX(0,MIN(1,R219/100+$D$5))</f>
        <v>0.487473347378746</v>
      </c>
      <c r="U219" s="56" t="n">
        <v>0.562992125984252</v>
      </c>
      <c r="V219" s="55" t="n">
        <v>799</v>
      </c>
      <c r="W219" s="56" t="n">
        <v>0.148097331980838</v>
      </c>
      <c r="X219" s="57" t="s">
        <v>129</v>
      </c>
      <c r="Y219" s="57" t="s">
        <v>130</v>
      </c>
    </row>
    <row r="220" customFormat="false" ht="15" hidden="false" customHeight="false" outlineLevel="0" collapsed="false">
      <c r="A220" s="25" t="s">
        <v>197</v>
      </c>
      <c r="B220" s="25" t="s">
        <v>365</v>
      </c>
      <c r="C220" s="25" t="s">
        <v>374</v>
      </c>
      <c r="D220" s="52" t="n">
        <f aca="false">ROUND(S220*T220,0)</f>
        <v>416</v>
      </c>
      <c r="E220" s="52" t="n">
        <f aca="false">ROUND(S220,0)-D220</f>
        <v>367</v>
      </c>
      <c r="F220" s="52" t="n">
        <f aca="false">IF(COUNTA(D220:E220)=0,"",SUM(D220:E220))</f>
        <v>783</v>
      </c>
      <c r="G220" s="53" t="n">
        <f aca="false">IF(OR(F220="",F220=0),"",D220/F220)</f>
        <v>0.531289910600255</v>
      </c>
      <c r="H220" s="53" t="n">
        <f aca="false">IF(OR(F220="",F220=0),"",E220/F220)</f>
        <v>0.468710089399745</v>
      </c>
      <c r="I220" s="25" t="s">
        <v>128</v>
      </c>
      <c r="J220" s="28" t="n">
        <v>2.22489971008846</v>
      </c>
      <c r="K220" s="28" t="n">
        <f aca="false">$K$8</f>
        <v>0.297938238782275</v>
      </c>
      <c r="L220" s="28" t="n">
        <f aca="false">SQRT(J220^2+K220^2)</f>
        <v>2.24475965619494</v>
      </c>
      <c r="M220" s="53" t="n">
        <f aca="false">IF(G220="","",MAX(0,G220-1.96*L220/100))</f>
        <v>0.487292621338835</v>
      </c>
      <c r="N220" s="53" t="n">
        <f aca="false">IF(G220="","",MIN(1,G220+1.96*L220/100))</f>
        <v>0.575287199861676</v>
      </c>
      <c r="O220" s="52" t="n">
        <f aca="false">ROUND(S220*W220,0)</f>
        <v>69</v>
      </c>
      <c r="P220" s="52" t="n">
        <f aca="false">IF(F220="","",ROUND(SQRT((F220*L220/100)^2+(G220*O220)^2),0))</f>
        <v>41</v>
      </c>
      <c r="R220" s="54" t="n">
        <v>1.92993497524841</v>
      </c>
      <c r="S220" s="55" t="n">
        <f aca="false">U220*V220*$F$5</f>
        <v>782.513274336283</v>
      </c>
      <c r="T220" s="56" t="n">
        <f aca="false">MAX(0,MIN(1,R220/100+$D$5))</f>
        <v>0.531292764271249</v>
      </c>
      <c r="U220" s="56" t="n">
        <v>0.495575221238938</v>
      </c>
      <c r="V220" s="55" t="n">
        <v>1579</v>
      </c>
      <c r="W220" s="56" t="n">
        <v>0.0887445098984521</v>
      </c>
      <c r="X220" s="57" t="s">
        <v>135</v>
      </c>
      <c r="Y220" s="57" t="s">
        <v>130</v>
      </c>
    </row>
    <row r="221" customFormat="false" ht="15" hidden="false" customHeight="false" outlineLevel="0" collapsed="false">
      <c r="A221" s="25" t="s">
        <v>197</v>
      </c>
      <c r="B221" s="25" t="s">
        <v>365</v>
      </c>
      <c r="C221" s="25" t="s">
        <v>375</v>
      </c>
      <c r="D221" s="52" t="n">
        <f aca="false">ROUND(S221*T221,0)</f>
        <v>673</v>
      </c>
      <c r="E221" s="52" t="n">
        <f aca="false">ROUND(S221,0)-D221</f>
        <v>722</v>
      </c>
      <c r="F221" s="52" t="n">
        <f aca="false">IF(COUNTA(D221:E221)=0,"",SUM(D221:E221))</f>
        <v>1395</v>
      </c>
      <c r="G221" s="53" t="n">
        <f aca="false">IF(OR(F221="",F221=0),"",D221/F221)</f>
        <v>0.482437275985663</v>
      </c>
      <c r="H221" s="53" t="n">
        <f aca="false">IF(OR(F221="",F221=0),"",E221/F221)</f>
        <v>0.517562724014337</v>
      </c>
      <c r="I221" s="25" t="s">
        <v>128</v>
      </c>
      <c r="J221" s="28" t="n">
        <v>2.08262589216041</v>
      </c>
      <c r="K221" s="28" t="n">
        <f aca="false">$K$8</f>
        <v>0.297938238782275</v>
      </c>
      <c r="L221" s="28" t="n">
        <f aca="false">SQRT(J221^2+K221^2)</f>
        <v>2.1038293183682</v>
      </c>
      <c r="M221" s="53" t="n">
        <f aca="false">IF(G221="","",MAX(0,G221-1.96*L221/100))</f>
        <v>0.441202221345646</v>
      </c>
      <c r="N221" s="53" t="n">
        <f aca="false">IF(G221="","",MIN(1,G221+1.96*L221/100))</f>
        <v>0.52367233062568</v>
      </c>
      <c r="O221" s="52" t="n">
        <f aca="false">ROUND(S221*W221,0)</f>
        <v>96</v>
      </c>
      <c r="P221" s="52" t="n">
        <f aca="false">IF(F221="","",ROUND(SQRT((F221*L221/100)^2+(G221*O221)^2),0))</f>
        <v>55</v>
      </c>
      <c r="R221" s="54" t="n">
        <v>-2.94966983416349</v>
      </c>
      <c r="S221" s="55" t="n">
        <f aca="false">U221*V221*$F$5</f>
        <v>1394.83442469598</v>
      </c>
      <c r="T221" s="56" t="n">
        <f aca="false">MAX(0,MIN(1,R221/100+$D$5))</f>
        <v>0.48249671617713</v>
      </c>
      <c r="U221" s="56" t="n">
        <v>0.642188961646399</v>
      </c>
      <c r="V221" s="55" t="n">
        <v>2172</v>
      </c>
      <c r="W221" s="56" t="n">
        <v>0.0684752145190268</v>
      </c>
      <c r="X221" s="57" t="s">
        <v>168</v>
      </c>
      <c r="Y221" s="57" t="s">
        <v>130</v>
      </c>
    </row>
    <row r="222" customFormat="false" ht="15" hidden="false" customHeight="false" outlineLevel="0" collapsed="false">
      <c r="A222" s="25" t="s">
        <v>197</v>
      </c>
      <c r="B222" s="25" t="s">
        <v>365</v>
      </c>
      <c r="C222" s="25" t="s">
        <v>376</v>
      </c>
      <c r="D222" s="52" t="n">
        <f aca="false">ROUND(S222*T222,0)</f>
        <v>568</v>
      </c>
      <c r="E222" s="52" t="n">
        <f aca="false">ROUND(S222,0)-D222</f>
        <v>564</v>
      </c>
      <c r="F222" s="52" t="n">
        <f aca="false">IF(COUNTA(D222:E222)=0,"",SUM(D222:E222))</f>
        <v>1132</v>
      </c>
      <c r="G222" s="53" t="n">
        <f aca="false">IF(OR(F222="",F222=0),"",D222/F222)</f>
        <v>0.501766784452297</v>
      </c>
      <c r="H222" s="53" t="n">
        <f aca="false">IF(OR(F222="",F222=0),"",E222/F222)</f>
        <v>0.498233215547703</v>
      </c>
      <c r="I222" s="25" t="s">
        <v>128</v>
      </c>
      <c r="J222" s="28" t="n">
        <v>2.08262589216041</v>
      </c>
      <c r="K222" s="28" t="n">
        <f aca="false">$K$8</f>
        <v>0.297938238782275</v>
      </c>
      <c r="L222" s="28" t="n">
        <f aca="false">SQRT(J222^2+K222^2)</f>
        <v>2.1038293183682</v>
      </c>
      <c r="M222" s="53" t="n">
        <f aca="false">IF(G222="","",MAX(0,G222-1.96*L222/100))</f>
        <v>0.46053172981228</v>
      </c>
      <c r="N222" s="53" t="n">
        <f aca="false">IF(G222="","",MIN(1,G222+1.96*L222/100))</f>
        <v>0.543001839092314</v>
      </c>
      <c r="O222" s="52" t="n">
        <f aca="false">ROUND(S222*W222,0)</f>
        <v>78</v>
      </c>
      <c r="P222" s="52" t="n">
        <f aca="false">IF(F222="","",ROUND(SQRT((F222*L222/100)^2+(G222*O222)^2),0))</f>
        <v>46</v>
      </c>
      <c r="R222" s="54" t="n">
        <v>-0.996374412427806</v>
      </c>
      <c r="S222" s="55" t="n">
        <f aca="false">U222*V222*$F$5</f>
        <v>1132.25997719498</v>
      </c>
      <c r="T222" s="56" t="n">
        <f aca="false">MAX(0,MIN(1,R222/100+$D$5))</f>
        <v>0.502029670394487</v>
      </c>
      <c r="U222" s="56" t="n">
        <v>0.652223489167617</v>
      </c>
      <c r="V222" s="55" t="n">
        <v>1736</v>
      </c>
      <c r="W222" s="56" t="n">
        <v>0.0684752145190268</v>
      </c>
      <c r="X222" s="57" t="s">
        <v>168</v>
      </c>
      <c r="Y222" s="57" t="s">
        <v>130</v>
      </c>
    </row>
    <row r="223" customFormat="false" ht="15" hidden="false" customHeight="false" outlineLevel="0" collapsed="false">
      <c r="A223" s="25" t="s">
        <v>197</v>
      </c>
      <c r="B223" s="25" t="s">
        <v>365</v>
      </c>
      <c r="C223" s="25" t="s">
        <v>377</v>
      </c>
      <c r="D223" s="52" t="n">
        <f aca="false">ROUND(S223*T223,0)</f>
        <v>449</v>
      </c>
      <c r="E223" s="52" t="n">
        <f aca="false">ROUND(S223,0)-D223</f>
        <v>406</v>
      </c>
      <c r="F223" s="52" t="n">
        <f aca="false">IF(COUNTA(D223:E223)=0,"",SUM(D223:E223))</f>
        <v>855</v>
      </c>
      <c r="G223" s="53" t="n">
        <f aca="false">IF(OR(F223="",F223=0),"",D223/F223)</f>
        <v>0.525146198830409</v>
      </c>
      <c r="H223" s="53" t="n">
        <f aca="false">IF(OR(F223="",F223=0),"",E223/F223)</f>
        <v>0.474853801169591</v>
      </c>
      <c r="I223" s="25" t="s">
        <v>128</v>
      </c>
      <c r="J223" s="28" t="n">
        <v>2.22489971008846</v>
      </c>
      <c r="K223" s="28" t="n">
        <f aca="false">$K$8</f>
        <v>0.297938238782275</v>
      </c>
      <c r="L223" s="28" t="n">
        <f aca="false">SQRT(J223^2+K223^2)</f>
        <v>2.24475965619494</v>
      </c>
      <c r="M223" s="53" t="n">
        <f aca="false">IF(G223="","",MAX(0,G223-1.96*L223/100))</f>
        <v>0.481148909568989</v>
      </c>
      <c r="N223" s="53" t="n">
        <f aca="false">IF(G223="","",MIN(1,G223+1.96*L223/100))</f>
        <v>0.56914348809183</v>
      </c>
      <c r="O223" s="52" t="n">
        <f aca="false">ROUND(S223*W223,0)</f>
        <v>76</v>
      </c>
      <c r="P223" s="52" t="n">
        <f aca="false">IF(F223="","",ROUND(SQRT((F223*L223/100)^2+(G223*O223)^2),0))</f>
        <v>44</v>
      </c>
      <c r="R223" s="54" t="n">
        <v>1.2648818225405</v>
      </c>
      <c r="S223" s="55" t="n">
        <f aca="false">U223*V223*$F$5</f>
        <v>855.159618008186</v>
      </c>
      <c r="T223" s="56" t="n">
        <f aca="false">MAX(0,MIN(1,R223/100+$D$5))</f>
        <v>0.52464223274417</v>
      </c>
      <c r="U223" s="56" t="n">
        <v>0.589358799454298</v>
      </c>
      <c r="V223" s="55" t="n">
        <v>1451</v>
      </c>
      <c r="W223" s="56" t="n">
        <v>0.0887445098984521</v>
      </c>
      <c r="X223" s="57" t="s">
        <v>135</v>
      </c>
      <c r="Y223" s="57" t="s">
        <v>130</v>
      </c>
    </row>
    <row r="224" customFormat="false" ht="15" hidden="false" customHeight="false" outlineLevel="0" collapsed="false">
      <c r="A224" s="25" t="s">
        <v>378</v>
      </c>
      <c r="B224" s="25" t="s">
        <v>379</v>
      </c>
      <c r="C224" s="25" t="s">
        <v>380</v>
      </c>
      <c r="D224" s="52" t="n">
        <f aca="false">ROUND(S224*T224,0)</f>
        <v>372</v>
      </c>
      <c r="E224" s="52" t="n">
        <f aca="false">ROUND(S224,0)-D224</f>
        <v>862</v>
      </c>
      <c r="F224" s="52" t="n">
        <f aca="false">IF(COUNTA(D224:E224)=0,"",SUM(D224:E224))</f>
        <v>1234</v>
      </c>
      <c r="G224" s="53" t="n">
        <f aca="false">IF(OR(F224="",F224=0),"",D224/F224)</f>
        <v>0.301458670988655</v>
      </c>
      <c r="H224" s="53" t="n">
        <f aca="false">IF(OR(F224="",F224=0),"",E224/F224)</f>
        <v>0.698541329011345</v>
      </c>
      <c r="I224" s="25" t="s">
        <v>128</v>
      </c>
      <c r="J224" s="28" t="n">
        <v>2.08262589216041</v>
      </c>
      <c r="K224" s="28" t="n">
        <f aca="false">$K$8</f>
        <v>0.297938238782275</v>
      </c>
      <c r="L224" s="28" t="n">
        <f aca="false">SQRT(J224^2+K224^2)</f>
        <v>2.1038293183682</v>
      </c>
      <c r="M224" s="53" t="n">
        <f aca="false">IF(G224="","",MAX(0,G224-1.96*L224/100))</f>
        <v>0.260223616348638</v>
      </c>
      <c r="N224" s="53" t="n">
        <f aca="false">IF(G224="","",MIN(1,G224+1.96*L224/100))</f>
        <v>0.342693725628672</v>
      </c>
      <c r="O224" s="52" t="n">
        <f aca="false">ROUND(S224*W224,0)</f>
        <v>85</v>
      </c>
      <c r="P224" s="52" t="n">
        <f aca="false">IF(F224="","",ROUND(SQRT((F224*L224/100)^2+(G224*O224)^2),0))</f>
        <v>36</v>
      </c>
      <c r="R224" s="54" t="n">
        <v>-21.0988302305673</v>
      </c>
      <c r="S224" s="55" t="n">
        <f aca="false">U224*V224*$F$5</f>
        <v>1234.45226917058</v>
      </c>
      <c r="T224" s="56" t="n">
        <f aca="false">MAX(0,MIN(1,R224/100+$D$5))</f>
        <v>0.301005112213091</v>
      </c>
      <c r="U224" s="56" t="n">
        <v>0.618153364632238</v>
      </c>
      <c r="V224" s="55" t="n">
        <v>1997</v>
      </c>
      <c r="W224" s="56" t="n">
        <v>0.0684752145190268</v>
      </c>
      <c r="X224" s="57" t="s">
        <v>168</v>
      </c>
      <c r="Y224" s="57" t="s">
        <v>130</v>
      </c>
    </row>
    <row r="225" customFormat="false" ht="15" hidden="false" customHeight="false" outlineLevel="0" collapsed="false">
      <c r="A225" s="25" t="s">
        <v>378</v>
      </c>
      <c r="B225" s="25" t="s">
        <v>381</v>
      </c>
      <c r="C225" s="25" t="s">
        <v>382</v>
      </c>
      <c r="D225" s="52" t="n">
        <f aca="false">ROUND(S225*T225,0)</f>
        <v>1070</v>
      </c>
      <c r="E225" s="52" t="n">
        <f aca="false">ROUND(S225,0)-D225</f>
        <v>2080</v>
      </c>
      <c r="F225" s="52" t="n">
        <f aca="false">IF(COUNTA(D225:E225)=0,"",SUM(D225:E225))</f>
        <v>3150</v>
      </c>
      <c r="G225" s="53" t="n">
        <f aca="false">IF(OR(F225="",F225=0),"",D225/F225)</f>
        <v>0.33968253968254</v>
      </c>
      <c r="H225" s="53" t="n">
        <f aca="false">IF(OR(F225="",F225=0),"",E225/F225)</f>
        <v>0.66031746031746</v>
      </c>
      <c r="I225" s="25" t="s">
        <v>128</v>
      </c>
      <c r="J225" s="28" t="n">
        <v>2.08262589216041</v>
      </c>
      <c r="K225" s="28" t="n">
        <f aca="false">$K$8</f>
        <v>0.297938238782275</v>
      </c>
      <c r="L225" s="28" t="n">
        <f aca="false">SQRT(J225^2+K225^2)</f>
        <v>2.1038293183682</v>
      </c>
      <c r="M225" s="53" t="n">
        <f aca="false">IF(G225="","",MAX(0,G225-1.96*L225/100))</f>
        <v>0.298447485042523</v>
      </c>
      <c r="N225" s="53" t="n">
        <f aca="false">IF(G225="","",MIN(1,G225+1.96*L225/100))</f>
        <v>0.380917594322557</v>
      </c>
      <c r="O225" s="52" t="n">
        <f aca="false">ROUND(S225*W225,0)</f>
        <v>216</v>
      </c>
      <c r="P225" s="52" t="n">
        <f aca="false">IF(F225="","",ROUND(SQRT((F225*L225/100)^2+(G225*O225)^2),0))</f>
        <v>99</v>
      </c>
      <c r="R225" s="54" t="n">
        <v>-17.249861100793</v>
      </c>
      <c r="S225" s="55" t="n">
        <f aca="false">U225*V225*$F$5</f>
        <v>3150.44851429639</v>
      </c>
      <c r="T225" s="56" t="n">
        <f aca="false">MAX(0,MIN(1,R225/100+$D$5))</f>
        <v>0.339494803510835</v>
      </c>
      <c r="U225" s="56" t="n">
        <v>0.56157727527565</v>
      </c>
      <c r="V225" s="55" t="n">
        <v>5610</v>
      </c>
      <c r="W225" s="56" t="n">
        <v>0.0684752145190268</v>
      </c>
      <c r="X225" s="57" t="s">
        <v>168</v>
      </c>
      <c r="Y225" s="57" t="s">
        <v>130</v>
      </c>
    </row>
    <row r="226" customFormat="false" ht="15" hidden="false" customHeight="false" outlineLevel="0" collapsed="false">
      <c r="A226" s="25" t="s">
        <v>378</v>
      </c>
      <c r="B226" s="25" t="s">
        <v>383</v>
      </c>
      <c r="C226" s="25" t="s">
        <v>384</v>
      </c>
      <c r="D226" s="52" t="n">
        <f aca="false">ROUND(S226*T226,0)</f>
        <v>404</v>
      </c>
      <c r="E226" s="52" t="n">
        <f aca="false">ROUND(S226,0)-D226</f>
        <v>767</v>
      </c>
      <c r="F226" s="52" t="n">
        <f aca="false">IF(COUNTA(D226:E226)=0,"",SUM(D226:E226))</f>
        <v>1171</v>
      </c>
      <c r="G226" s="53" t="n">
        <f aca="false">IF(OR(F226="",F226=0),"",D226/F226)</f>
        <v>0.345004269854825</v>
      </c>
      <c r="H226" s="53" t="n">
        <f aca="false">IF(OR(F226="",F226=0),"",E226/F226)</f>
        <v>0.654995730145175</v>
      </c>
      <c r="I226" s="25" t="s">
        <v>128</v>
      </c>
      <c r="J226" s="28" t="n">
        <v>2.08262589216041</v>
      </c>
      <c r="K226" s="28" t="n">
        <f aca="false">$K$8</f>
        <v>0.297938238782275</v>
      </c>
      <c r="L226" s="28" t="n">
        <f aca="false">SQRT(J226^2+K226^2)</f>
        <v>2.1038293183682</v>
      </c>
      <c r="M226" s="53" t="n">
        <f aca="false">IF(G226="","",MAX(0,G226-1.96*L226/100))</f>
        <v>0.303769215214808</v>
      </c>
      <c r="N226" s="53" t="n">
        <f aca="false">IF(G226="","",MIN(1,G226+1.96*L226/100))</f>
        <v>0.386239324494842</v>
      </c>
      <c r="O226" s="52" t="n">
        <f aca="false">ROUND(S226*W226,0)</f>
        <v>80</v>
      </c>
      <c r="P226" s="52" t="n">
        <f aca="false">IF(F226="","",ROUND(SQRT((F226*L226/100)^2+(G226*O226)^2),0))</f>
        <v>37</v>
      </c>
      <c r="R226" s="54" t="n">
        <v>-16.6835595237635</v>
      </c>
      <c r="S226" s="55" t="n">
        <f aca="false">U226*V226*$F$5</f>
        <v>1170.82273494654</v>
      </c>
      <c r="T226" s="56" t="n">
        <f aca="false">MAX(0,MIN(1,R226/100+$D$5))</f>
        <v>0.34515781928113</v>
      </c>
      <c r="U226" s="56" t="n">
        <v>0.625773776027012</v>
      </c>
      <c r="V226" s="55" t="n">
        <v>1871</v>
      </c>
      <c r="W226" s="56" t="n">
        <v>0.0684752145190268</v>
      </c>
      <c r="X226" s="57" t="s">
        <v>168</v>
      </c>
      <c r="Y226" s="57" t="s">
        <v>130</v>
      </c>
    </row>
    <row r="227" customFormat="false" ht="15" hidden="false" customHeight="false" outlineLevel="0" collapsed="false">
      <c r="A227" s="25" t="s">
        <v>385</v>
      </c>
      <c r="B227" s="25" t="s">
        <v>386</v>
      </c>
      <c r="C227" s="25" t="s">
        <v>387</v>
      </c>
      <c r="D227" s="52" t="n">
        <f aca="false">ROUND(S227*T227,0)</f>
        <v>590</v>
      </c>
      <c r="E227" s="52" t="n">
        <f aca="false">ROUND(S227,0)-D227</f>
        <v>814</v>
      </c>
      <c r="F227" s="52" t="n">
        <f aca="false">IF(COUNTA(D227:E227)=0,"",SUM(D227:E227))</f>
        <v>1404</v>
      </c>
      <c r="G227" s="53" t="n">
        <f aca="false">IF(OR(F227="",F227=0),"",D227/F227)</f>
        <v>0.42022792022792</v>
      </c>
      <c r="H227" s="53" t="n">
        <f aca="false">IF(OR(F227="",F227=0),"",E227/F227)</f>
        <v>0.57977207977208</v>
      </c>
      <c r="I227" s="25" t="s">
        <v>128</v>
      </c>
      <c r="J227" s="28" t="n">
        <v>2.08262589216041</v>
      </c>
      <c r="K227" s="28" t="n">
        <f aca="false">$K$8</f>
        <v>0.297938238782275</v>
      </c>
      <c r="L227" s="28" t="n">
        <f aca="false">SQRT(J227^2+K227^2)</f>
        <v>2.1038293183682</v>
      </c>
      <c r="M227" s="53" t="n">
        <f aca="false">IF(G227="","",MAX(0,G227-1.96*L227/100))</f>
        <v>0.378992865587903</v>
      </c>
      <c r="N227" s="53" t="n">
        <f aca="false">IF(G227="","",MIN(1,G227+1.96*L227/100))</f>
        <v>0.461462974867937</v>
      </c>
      <c r="O227" s="52" t="n">
        <f aca="false">ROUND(S227*W227,0)</f>
        <v>96</v>
      </c>
      <c r="P227" s="52" t="n">
        <f aca="false">IF(F227="","",ROUND(SQRT((F227*L227/100)^2+(G227*O227)^2),0))</f>
        <v>50</v>
      </c>
      <c r="R227" s="54" t="n">
        <v>-9.14057501220815</v>
      </c>
      <c r="S227" s="55" t="n">
        <f aca="false">U227*V227*$F$5</f>
        <v>1403.51261829653</v>
      </c>
      <c r="T227" s="56" t="n">
        <f aca="false">MAX(0,MIN(1,R227/100+$D$5))</f>
        <v>0.420587664396683</v>
      </c>
      <c r="U227" s="56" t="n">
        <v>0.669295478443743</v>
      </c>
      <c r="V227" s="55" t="n">
        <v>2097</v>
      </c>
      <c r="W227" s="56" t="n">
        <v>0.0684752145190268</v>
      </c>
      <c r="X227" s="57" t="s">
        <v>168</v>
      </c>
      <c r="Y227" s="57" t="s">
        <v>130</v>
      </c>
    </row>
    <row r="228" customFormat="false" ht="15" hidden="false" customHeight="false" outlineLevel="0" collapsed="false">
      <c r="A228" s="25" t="s">
        <v>385</v>
      </c>
      <c r="B228" s="25" t="s">
        <v>386</v>
      </c>
      <c r="C228" s="25" t="s">
        <v>388</v>
      </c>
      <c r="D228" s="52" t="n">
        <f aca="false">ROUND(S228*T228,0)</f>
        <v>605</v>
      </c>
      <c r="E228" s="52" t="n">
        <f aca="false">ROUND(S228,0)-D228</f>
        <v>708</v>
      </c>
      <c r="F228" s="52" t="n">
        <f aca="false">IF(COUNTA(D228:E228)=0,"",SUM(D228:E228))</f>
        <v>1313</v>
      </c>
      <c r="G228" s="53" t="n">
        <f aca="false">IF(OR(F228="",F228=0),"",D228/F228)</f>
        <v>0.460776846915461</v>
      </c>
      <c r="H228" s="53" t="n">
        <f aca="false">IF(OR(F228="",F228=0),"",E228/F228)</f>
        <v>0.539223153084539</v>
      </c>
      <c r="I228" s="25" t="s">
        <v>128</v>
      </c>
      <c r="J228" s="28" t="n">
        <v>2.08262589216041</v>
      </c>
      <c r="K228" s="28" t="n">
        <f aca="false">$K$8</f>
        <v>0.297938238782275</v>
      </c>
      <c r="L228" s="28" t="n">
        <f aca="false">SQRT(J228^2+K228^2)</f>
        <v>2.1038293183682</v>
      </c>
      <c r="M228" s="53" t="n">
        <f aca="false">IF(G228="","",MAX(0,G228-1.96*L228/100))</f>
        <v>0.419541792275444</v>
      </c>
      <c r="N228" s="53" t="n">
        <f aca="false">IF(G228="","",MIN(1,G228+1.96*L228/100))</f>
        <v>0.502011901555478</v>
      </c>
      <c r="O228" s="52" t="n">
        <f aca="false">ROUND(S228*W228,0)</f>
        <v>90</v>
      </c>
      <c r="P228" s="52" t="n">
        <f aca="false">IF(F228="","",ROUND(SQRT((F228*L228/100)^2+(G228*O228)^2),0))</f>
        <v>50</v>
      </c>
      <c r="R228" s="54" t="n">
        <v>-5.12823807071552</v>
      </c>
      <c r="S228" s="55" t="n">
        <f aca="false">U228*V228*$F$5</f>
        <v>1312.76307554761</v>
      </c>
      <c r="T228" s="56" t="n">
        <f aca="false">MAX(0,MIN(1,R228/100+$D$5))</f>
        <v>0.46071103381161</v>
      </c>
      <c r="U228" s="56" t="n">
        <v>0.593205185516316</v>
      </c>
      <c r="V228" s="55" t="n">
        <v>2213</v>
      </c>
      <c r="W228" s="56" t="n">
        <v>0.0684752145190268</v>
      </c>
      <c r="X228" s="57" t="s">
        <v>168</v>
      </c>
      <c r="Y228" s="57" t="s">
        <v>130</v>
      </c>
    </row>
    <row r="229" customFormat="false" ht="15" hidden="false" customHeight="false" outlineLevel="0" collapsed="false">
      <c r="A229" s="25" t="s">
        <v>385</v>
      </c>
      <c r="B229" s="25" t="s">
        <v>389</v>
      </c>
      <c r="C229" s="25" t="s">
        <v>390</v>
      </c>
      <c r="D229" s="52" t="n">
        <f aca="false">ROUND(S229*T229,0)</f>
        <v>631</v>
      </c>
      <c r="E229" s="52" t="n">
        <f aca="false">ROUND(S229,0)-D229</f>
        <v>903</v>
      </c>
      <c r="F229" s="52" t="n">
        <f aca="false">IF(COUNTA(D229:E229)=0,"",SUM(D229:E229))</f>
        <v>1534</v>
      </c>
      <c r="G229" s="53" t="n">
        <f aca="false">IF(OR(F229="",F229=0),"",D229/F229)</f>
        <v>0.411342894393742</v>
      </c>
      <c r="H229" s="53" t="n">
        <f aca="false">IF(OR(F229="",F229=0),"",E229/F229)</f>
        <v>0.588657105606258</v>
      </c>
      <c r="I229" s="25" t="s">
        <v>231</v>
      </c>
      <c r="J229" s="28" t="n">
        <v>2.08262589216041</v>
      </c>
      <c r="K229" s="28" t="n">
        <f aca="false">$K$8</f>
        <v>0.297938238782275</v>
      </c>
      <c r="L229" s="28" t="n">
        <f aca="false">SQRT(J229^2+K229^2)</f>
        <v>2.1038293183682</v>
      </c>
      <c r="M229" s="53" t="n">
        <f aca="false">IF(G229="","",MAX(0,G229-1.96*L229/100))</f>
        <v>0.370107839753725</v>
      </c>
      <c r="N229" s="53" t="n">
        <f aca="false">IF(G229="","",MIN(1,G229+1.96*L229/100))</f>
        <v>0.452577949033759</v>
      </c>
      <c r="O229" s="52" t="n">
        <f aca="false">ROUND(S229*W229,0)</f>
        <v>105</v>
      </c>
      <c r="P229" s="52" t="n">
        <f aca="false">IF(F229="","",ROUND(SQRT((F229*L229/100)^2+(G229*O229)^2),0))</f>
        <v>54</v>
      </c>
      <c r="R229" s="54" t="n">
        <v>-10.0577022397769</v>
      </c>
      <c r="S229" s="55" t="n">
        <f aca="false">U229*V229*$F$5</f>
        <v>1533.89973598051</v>
      </c>
      <c r="T229" s="56" t="n">
        <f aca="false">MAX(0,MIN(1,R229/100+$D$5))</f>
        <v>0.411416392120996</v>
      </c>
      <c r="U229" s="56" t="n">
        <v>0.872029412154921</v>
      </c>
      <c r="V229" s="55" t="n">
        <v>1759</v>
      </c>
      <c r="W229" s="56" t="n">
        <v>0.0684752145190268</v>
      </c>
      <c r="X229" s="57" t="s">
        <v>168</v>
      </c>
      <c r="Y229" s="57" t="s">
        <v>130</v>
      </c>
    </row>
    <row r="230" customFormat="false" ht="15" hidden="false" customHeight="false" outlineLevel="0" collapsed="false">
      <c r="A230" s="25" t="s">
        <v>385</v>
      </c>
      <c r="B230" s="25" t="s">
        <v>389</v>
      </c>
      <c r="C230" s="25" t="s">
        <v>391</v>
      </c>
      <c r="D230" s="52" t="n">
        <f aca="false">ROUND(S230*T230,0)</f>
        <v>655</v>
      </c>
      <c r="E230" s="52" t="n">
        <f aca="false">ROUND(S230,0)-D230</f>
        <v>917</v>
      </c>
      <c r="F230" s="52" t="n">
        <f aca="false">IF(COUNTA(D230:E230)=0,"",SUM(D230:E230))</f>
        <v>1572</v>
      </c>
      <c r="G230" s="53" t="n">
        <f aca="false">IF(OR(F230="",F230=0),"",D230/F230)</f>
        <v>0.416666666666667</v>
      </c>
      <c r="H230" s="53" t="n">
        <f aca="false">IF(OR(F230="",F230=0),"",E230/F230)</f>
        <v>0.583333333333333</v>
      </c>
      <c r="I230" s="25" t="s">
        <v>231</v>
      </c>
      <c r="J230" s="28" t="n">
        <v>2.08262589216041</v>
      </c>
      <c r="K230" s="28" t="n">
        <f aca="false">$K$8</f>
        <v>0.297938238782275</v>
      </c>
      <c r="L230" s="28" t="n">
        <f aca="false">SQRT(J230^2+K230^2)</f>
        <v>2.1038293183682</v>
      </c>
      <c r="M230" s="53" t="n">
        <f aca="false">IF(G230="","",MAX(0,G230-1.96*L230/100))</f>
        <v>0.37543161202665</v>
      </c>
      <c r="N230" s="53" t="n">
        <f aca="false">IF(G230="","",MIN(1,G230+1.96*L230/100))</f>
        <v>0.457901721306684</v>
      </c>
      <c r="O230" s="52" t="n">
        <f aca="false">ROUND(S230*W230,0)</f>
        <v>108</v>
      </c>
      <c r="P230" s="52" t="n">
        <f aca="false">IF(F230="","",ROUND(SQRT((F230*L230/100)^2+(G230*O230)^2),0))</f>
        <v>56</v>
      </c>
      <c r="R230" s="54" t="n">
        <v>-9.53532319963914</v>
      </c>
      <c r="S230" s="55" t="n">
        <f aca="false">U230*V230*$F$5</f>
        <v>1572.45918367347</v>
      </c>
      <c r="T230" s="56" t="n">
        <f aca="false">MAX(0,MIN(1,R230/100+$D$5))</f>
        <v>0.416640182522373</v>
      </c>
      <c r="U230" s="56" t="n">
        <v>0.939342403628118</v>
      </c>
      <c r="V230" s="55" t="n">
        <v>1674</v>
      </c>
      <c r="W230" s="56" t="n">
        <v>0.0684752145190268</v>
      </c>
      <c r="X230" s="57" t="s">
        <v>168</v>
      </c>
      <c r="Y230" s="57" t="s">
        <v>130</v>
      </c>
    </row>
    <row r="231" customFormat="false" ht="15" hidden="false" customHeight="false" outlineLevel="0" collapsed="false">
      <c r="A231" s="25" t="s">
        <v>385</v>
      </c>
      <c r="B231" s="25" t="s">
        <v>392</v>
      </c>
      <c r="C231" s="25" t="s">
        <v>393</v>
      </c>
      <c r="D231" s="52" t="n">
        <f aca="false">ROUND(S231*T231,0)</f>
        <v>475</v>
      </c>
      <c r="E231" s="52" t="n">
        <f aca="false">ROUND(S231,0)-D231</f>
        <v>541</v>
      </c>
      <c r="F231" s="52" t="n">
        <f aca="false">IF(COUNTA(D231:E231)=0,"",SUM(D231:E231))</f>
        <v>1016</v>
      </c>
      <c r="G231" s="53" t="n">
        <f aca="false">IF(OR(F231="",F231=0),"",D231/F231)</f>
        <v>0.46751968503937</v>
      </c>
      <c r="H231" s="53" t="n">
        <f aca="false">IF(OR(F231="",F231=0),"",E231/F231)</f>
        <v>0.53248031496063</v>
      </c>
      <c r="I231" s="25" t="s">
        <v>128</v>
      </c>
      <c r="J231" s="28" t="n">
        <v>2.08262589216041</v>
      </c>
      <c r="K231" s="28" t="n">
        <f aca="false">$K$8</f>
        <v>0.297938238782275</v>
      </c>
      <c r="L231" s="28" t="n">
        <f aca="false">SQRT(J231^2+K231^2)</f>
        <v>2.1038293183682</v>
      </c>
      <c r="M231" s="53" t="n">
        <f aca="false">IF(G231="","",MAX(0,G231-1.96*L231/100))</f>
        <v>0.426284630399353</v>
      </c>
      <c r="N231" s="53" t="n">
        <f aca="false">IF(G231="","",MIN(1,G231+1.96*L231/100))</f>
        <v>0.508754739679387</v>
      </c>
      <c r="O231" s="52" t="n">
        <f aca="false">ROUND(S231*W231,0)</f>
        <v>70</v>
      </c>
      <c r="P231" s="52" t="n">
        <f aca="false">IF(F231="","",ROUND(SQRT((F231*L231/100)^2+(G231*O231)^2),0))</f>
        <v>39</v>
      </c>
      <c r="R231" s="54" t="n">
        <v>-4.40085345277134</v>
      </c>
      <c r="S231" s="55" t="n">
        <f aca="false">U231*V231*$F$5</f>
        <v>1015.97556912826</v>
      </c>
      <c r="T231" s="56" t="n">
        <f aca="false">MAX(0,MIN(1,R231/100+$D$5))</f>
        <v>0.467984879991051</v>
      </c>
      <c r="U231" s="56" t="n">
        <v>0.529705719044975</v>
      </c>
      <c r="V231" s="55" t="n">
        <v>1918</v>
      </c>
      <c r="W231" s="56" t="n">
        <v>0.0684752145190268</v>
      </c>
      <c r="X231" s="57" t="s">
        <v>168</v>
      </c>
      <c r="Y231" s="57" t="s">
        <v>130</v>
      </c>
    </row>
    <row r="232" customFormat="false" ht="15" hidden="false" customHeight="false" outlineLevel="0" collapsed="false">
      <c r="A232" s="25" t="s">
        <v>385</v>
      </c>
      <c r="B232" s="25" t="s">
        <v>260</v>
      </c>
      <c r="C232" s="25" t="s">
        <v>394</v>
      </c>
      <c r="D232" s="52" t="n">
        <f aca="false">ROUND(S232*T232,0)</f>
        <v>624</v>
      </c>
      <c r="E232" s="52" t="n">
        <f aca="false">ROUND(S232,0)-D232</f>
        <v>363</v>
      </c>
      <c r="F232" s="52" t="n">
        <f aca="false">IF(COUNTA(D232:E232)=0,"",SUM(D232:E232))</f>
        <v>987</v>
      </c>
      <c r="G232" s="53" t="n">
        <f aca="false">IF(OR(F232="",F232=0),"",D232/F232)</f>
        <v>0.632218844984802</v>
      </c>
      <c r="H232" s="53" t="n">
        <f aca="false">IF(OR(F232="",F232=0),"",E232/F232)</f>
        <v>0.367781155015198</v>
      </c>
      <c r="I232" s="25" t="s">
        <v>128</v>
      </c>
      <c r="J232" s="28" t="n">
        <v>2.08262589216041</v>
      </c>
      <c r="K232" s="28" t="n">
        <f aca="false">$K$8</f>
        <v>0.297938238782275</v>
      </c>
      <c r="L232" s="28" t="n">
        <f aca="false">SQRT(J232^2+K232^2)</f>
        <v>2.1038293183682</v>
      </c>
      <c r="M232" s="53" t="n">
        <f aca="false">IF(G232="","",MAX(0,G232-1.96*L232/100))</f>
        <v>0.590983790344786</v>
      </c>
      <c r="N232" s="53" t="n">
        <f aca="false">IF(G232="","",MIN(1,G232+1.96*L232/100))</f>
        <v>0.673453899624819</v>
      </c>
      <c r="O232" s="52" t="n">
        <f aca="false">ROUND(S232*W232,0)</f>
        <v>68</v>
      </c>
      <c r="P232" s="52" t="n">
        <f aca="false">IF(F232="","",ROUND(SQRT((F232*L232/100)^2+(G232*O232)^2),0))</f>
        <v>48</v>
      </c>
      <c r="R232" s="54" t="n">
        <v>12.0138473125627</v>
      </c>
      <c r="S232" s="55" t="n">
        <f aca="false">U232*V232*$F$5</f>
        <v>986.587092297016</v>
      </c>
      <c r="T232" s="56" t="n">
        <f aca="false">MAX(0,MIN(1,R232/100+$D$5))</f>
        <v>0.632131887644392</v>
      </c>
      <c r="U232" s="56" t="n">
        <v>0.664816099930604</v>
      </c>
      <c r="V232" s="55" t="n">
        <v>1484</v>
      </c>
      <c r="W232" s="56" t="n">
        <v>0.0684752145190268</v>
      </c>
      <c r="X232" s="57" t="s">
        <v>168</v>
      </c>
      <c r="Y232" s="57" t="s">
        <v>130</v>
      </c>
    </row>
    <row r="233" customFormat="false" ht="15" hidden="false" customHeight="false" outlineLevel="0" collapsed="false">
      <c r="A233" s="25" t="s">
        <v>385</v>
      </c>
      <c r="B233" s="25" t="s">
        <v>260</v>
      </c>
      <c r="C233" s="25" t="s">
        <v>395</v>
      </c>
      <c r="D233" s="52" t="n">
        <f aca="false">ROUND(S233*T233,0)</f>
        <v>856</v>
      </c>
      <c r="E233" s="52" t="n">
        <f aca="false">ROUND(S233,0)-D233</f>
        <v>569</v>
      </c>
      <c r="F233" s="52" t="n">
        <f aca="false">IF(COUNTA(D233:E233)=0,"",SUM(D233:E233))</f>
        <v>1425</v>
      </c>
      <c r="G233" s="53" t="n">
        <f aca="false">IF(OR(F233="",F233=0),"",D233/F233)</f>
        <v>0.600701754385965</v>
      </c>
      <c r="H233" s="53" t="n">
        <f aca="false">IF(OR(F233="",F233=0),"",E233/F233)</f>
        <v>0.399298245614035</v>
      </c>
      <c r="I233" s="25" t="s">
        <v>128</v>
      </c>
      <c r="J233" s="28" t="n">
        <v>2.08262589216041</v>
      </c>
      <c r="K233" s="28" t="n">
        <f aca="false">$K$8</f>
        <v>0.297938238782275</v>
      </c>
      <c r="L233" s="28" t="n">
        <f aca="false">SQRT(J233^2+K233^2)</f>
        <v>2.1038293183682</v>
      </c>
      <c r="M233" s="53" t="n">
        <f aca="false">IF(G233="","",MAX(0,G233-1.96*L233/100))</f>
        <v>0.559466699745948</v>
      </c>
      <c r="N233" s="53" t="n">
        <f aca="false">IF(G233="","",MIN(1,G233+1.96*L233/100))</f>
        <v>0.641936809025982</v>
      </c>
      <c r="O233" s="52" t="n">
        <f aca="false">ROUND(S233*W233,0)</f>
        <v>98</v>
      </c>
      <c r="P233" s="52" t="n">
        <f aca="false">IF(F233="","",ROUND(SQRT((F233*L233/100)^2+(G233*O233)^2),0))</f>
        <v>66</v>
      </c>
      <c r="R233" s="54" t="n">
        <v>8.8658982027965</v>
      </c>
      <c r="S233" s="55" t="n">
        <f aca="false">U233*V233*$F$5</f>
        <v>1424.50747808149</v>
      </c>
      <c r="T233" s="56" t="n">
        <f aca="false">MAX(0,MIN(1,R233/100+$D$5))</f>
        <v>0.60065239654673</v>
      </c>
      <c r="U233" s="56" t="n">
        <v>0.715832903558535</v>
      </c>
      <c r="V233" s="55" t="n">
        <v>1990</v>
      </c>
      <c r="W233" s="56" t="n">
        <v>0.0684752145190268</v>
      </c>
      <c r="X233" s="57" t="s">
        <v>168</v>
      </c>
      <c r="Y233" s="57" t="s">
        <v>130</v>
      </c>
    </row>
    <row r="234" customFormat="false" ht="15" hidden="false" customHeight="false" outlineLevel="0" collapsed="false">
      <c r="A234" s="25" t="s">
        <v>385</v>
      </c>
      <c r="B234" s="25" t="s">
        <v>260</v>
      </c>
      <c r="C234" s="25" t="s">
        <v>396</v>
      </c>
      <c r="D234" s="52" t="n">
        <f aca="false">ROUND(S234*T234,0)</f>
        <v>615</v>
      </c>
      <c r="E234" s="52" t="n">
        <f aca="false">ROUND(S234,0)-D234</f>
        <v>343</v>
      </c>
      <c r="F234" s="52" t="n">
        <f aca="false">IF(COUNTA(D234:E234)=0,"",SUM(D234:E234))</f>
        <v>958</v>
      </c>
      <c r="G234" s="53" t="n">
        <f aca="false">IF(OR(F234="",F234=0),"",D234/F234)</f>
        <v>0.6419624217119</v>
      </c>
      <c r="H234" s="53" t="n">
        <f aca="false">IF(OR(F234="",F234=0),"",E234/F234)</f>
        <v>0.3580375782881</v>
      </c>
      <c r="I234" s="25" t="s">
        <v>128</v>
      </c>
      <c r="J234" s="28" t="n">
        <v>2.08262589216041</v>
      </c>
      <c r="K234" s="28" t="n">
        <f aca="false">$K$8</f>
        <v>0.297938238782275</v>
      </c>
      <c r="L234" s="28" t="n">
        <f aca="false">SQRT(J234^2+K234^2)</f>
        <v>2.1038293183682</v>
      </c>
      <c r="M234" s="53" t="n">
        <f aca="false">IF(G234="","",MAX(0,G234-1.96*L234/100))</f>
        <v>0.600727367071883</v>
      </c>
      <c r="N234" s="53" t="n">
        <f aca="false">IF(G234="","",MIN(1,G234+1.96*L234/100))</f>
        <v>0.683197476351917</v>
      </c>
      <c r="O234" s="52" t="n">
        <f aca="false">ROUND(S234*W234,0)</f>
        <v>66</v>
      </c>
      <c r="P234" s="52" t="n">
        <f aca="false">IF(F234="","",ROUND(SQRT((F234*L234/100)^2+(G234*O234)^2),0))</f>
        <v>47</v>
      </c>
      <c r="R234" s="54" t="n">
        <v>13.0111377024896</v>
      </c>
      <c r="S234" s="55" t="n">
        <f aca="false">U234*V234*$F$5</f>
        <v>957.929752066116</v>
      </c>
      <c r="T234" s="56" t="n">
        <f aca="false">MAX(0,MIN(1,R234/100+$D$5))</f>
        <v>0.642104791543661</v>
      </c>
      <c r="U234" s="56" t="n">
        <v>0.641184573002755</v>
      </c>
      <c r="V234" s="55" t="n">
        <v>1494</v>
      </c>
      <c r="W234" s="56" t="n">
        <v>0.0684752145190268</v>
      </c>
      <c r="X234" s="57" t="s">
        <v>168</v>
      </c>
      <c r="Y234" s="57" t="s">
        <v>130</v>
      </c>
    </row>
    <row r="235" customFormat="false" ht="15" hidden="false" customHeight="false" outlineLevel="0" collapsed="false">
      <c r="A235" s="25" t="s">
        <v>385</v>
      </c>
      <c r="B235" s="25" t="s">
        <v>260</v>
      </c>
      <c r="C235" s="25" t="s">
        <v>397</v>
      </c>
      <c r="D235" s="52" t="n">
        <f aca="false">ROUND(S235*T235,0)</f>
        <v>470</v>
      </c>
      <c r="E235" s="52" t="n">
        <f aca="false">ROUND(S235,0)-D235</f>
        <v>261</v>
      </c>
      <c r="F235" s="52" t="n">
        <f aca="false">IF(COUNTA(D235:E235)=0,"",SUM(D235:E235))</f>
        <v>731</v>
      </c>
      <c r="G235" s="53" t="n">
        <f aca="false">IF(OR(F235="",F235=0),"",D235/F235)</f>
        <v>0.642954856361149</v>
      </c>
      <c r="H235" s="53" t="n">
        <f aca="false">IF(OR(F235="",F235=0),"",E235/F235)</f>
        <v>0.357045143638851</v>
      </c>
      <c r="I235" s="25" t="s">
        <v>128</v>
      </c>
      <c r="J235" s="28" t="n">
        <v>2.22489971008846</v>
      </c>
      <c r="K235" s="28" t="n">
        <f aca="false">$K$8</f>
        <v>0.297938238782275</v>
      </c>
      <c r="L235" s="28" t="n">
        <f aca="false">SQRT(J235^2+K235^2)</f>
        <v>2.24475965619494</v>
      </c>
      <c r="M235" s="53" t="n">
        <f aca="false">IF(G235="","",MAX(0,G235-1.96*L235/100))</f>
        <v>0.598957567099728</v>
      </c>
      <c r="N235" s="53" t="n">
        <f aca="false">IF(G235="","",MIN(1,G235+1.96*L235/100))</f>
        <v>0.68695214562257</v>
      </c>
      <c r="O235" s="52" t="n">
        <f aca="false">ROUND(S235*W235,0)</f>
        <v>65</v>
      </c>
      <c r="P235" s="52" t="n">
        <f aca="false">IF(F235="","",ROUND(SQRT((F235*L235/100)^2+(G235*O235)^2),0))</f>
        <v>45</v>
      </c>
      <c r="R235" s="54" t="n">
        <v>13.0944479765717</v>
      </c>
      <c r="S235" s="55" t="n">
        <f aca="false">U235*V235*$F$5</f>
        <v>730.770032051282</v>
      </c>
      <c r="T235" s="56" t="n">
        <f aca="false">MAX(0,MIN(1,R235/100+$D$5))</f>
        <v>0.642937894284481</v>
      </c>
      <c r="U235" s="56" t="n">
        <v>0.561698717948718</v>
      </c>
      <c r="V235" s="55" t="n">
        <v>1301</v>
      </c>
      <c r="W235" s="56" t="n">
        <v>0.0887445098984521</v>
      </c>
      <c r="X235" s="57" t="s">
        <v>135</v>
      </c>
      <c r="Y235" s="57" t="s">
        <v>130</v>
      </c>
    </row>
    <row r="236" customFormat="false" ht="15" hidden="false" customHeight="false" outlineLevel="0" collapsed="false">
      <c r="A236" s="25" t="s">
        <v>385</v>
      </c>
      <c r="B236" s="25" t="s">
        <v>260</v>
      </c>
      <c r="C236" s="25" t="s">
        <v>398</v>
      </c>
      <c r="D236" s="52" t="n">
        <f aca="false">ROUND(S236*T236,0)</f>
        <v>602</v>
      </c>
      <c r="E236" s="52" t="n">
        <f aca="false">ROUND(S236,0)-D236</f>
        <v>381</v>
      </c>
      <c r="F236" s="52" t="n">
        <f aca="false">IF(COUNTA(D236:E236)=0,"",SUM(D236:E236))</f>
        <v>983</v>
      </c>
      <c r="G236" s="53" t="n">
        <f aca="false">IF(OR(F236="",F236=0),"",D236/F236)</f>
        <v>0.612410986775178</v>
      </c>
      <c r="H236" s="53" t="n">
        <f aca="false">IF(OR(F236="",F236=0),"",E236/F236)</f>
        <v>0.387589013224822</v>
      </c>
      <c r="I236" s="25" t="s">
        <v>128</v>
      </c>
      <c r="J236" s="28" t="n">
        <v>2.08262589216041</v>
      </c>
      <c r="K236" s="28" t="n">
        <f aca="false">$K$8</f>
        <v>0.297938238782275</v>
      </c>
      <c r="L236" s="28" t="n">
        <f aca="false">SQRT(J236^2+K236^2)</f>
        <v>2.1038293183682</v>
      </c>
      <c r="M236" s="53" t="n">
        <f aca="false">IF(G236="","",MAX(0,G236-1.96*L236/100))</f>
        <v>0.571175932135161</v>
      </c>
      <c r="N236" s="53" t="n">
        <f aca="false">IF(G236="","",MIN(1,G236+1.96*L236/100))</f>
        <v>0.653646041415195</v>
      </c>
      <c r="O236" s="52" t="n">
        <f aca="false">ROUND(S236*W236,0)</f>
        <v>67</v>
      </c>
      <c r="P236" s="52" t="n">
        <f aca="false">IF(F236="","",ROUND(SQRT((F236*L236/100)^2+(G236*O236)^2),0))</f>
        <v>46</v>
      </c>
      <c r="R236" s="54" t="n">
        <v>10.0186928000871</v>
      </c>
      <c r="S236" s="55" t="n">
        <f aca="false">U236*V236*$F$5</f>
        <v>983.008610086101</v>
      </c>
      <c r="T236" s="56" t="n">
        <f aca="false">MAX(0,MIN(1,R236/100+$D$5))</f>
        <v>0.612180342519636</v>
      </c>
      <c r="U236" s="56" t="n">
        <v>0.600861008610086</v>
      </c>
      <c r="V236" s="55" t="n">
        <v>1636</v>
      </c>
      <c r="W236" s="56" t="n">
        <v>0.0684752145190268</v>
      </c>
      <c r="X236" s="57" t="s">
        <v>168</v>
      </c>
      <c r="Y236" s="57" t="s">
        <v>130</v>
      </c>
    </row>
    <row r="237" customFormat="false" ht="15" hidden="false" customHeight="false" outlineLevel="0" collapsed="false">
      <c r="A237" s="25" t="s">
        <v>385</v>
      </c>
      <c r="B237" s="25" t="s">
        <v>260</v>
      </c>
      <c r="C237" s="25" t="s">
        <v>399</v>
      </c>
      <c r="D237" s="52" t="n">
        <f aca="false">ROUND(S237*T237,0)</f>
        <v>749</v>
      </c>
      <c r="E237" s="52" t="n">
        <f aca="false">ROUND(S237,0)-D237</f>
        <v>437</v>
      </c>
      <c r="F237" s="52" t="n">
        <f aca="false">IF(COUNTA(D237:E237)=0,"",SUM(D237:E237))</f>
        <v>1186</v>
      </c>
      <c r="G237" s="53" t="n">
        <f aca="false">IF(OR(F237="",F237=0),"",D237/F237)</f>
        <v>0.631534569983137</v>
      </c>
      <c r="H237" s="53" t="n">
        <f aca="false">IF(OR(F237="",F237=0),"",E237/F237)</f>
        <v>0.368465430016863</v>
      </c>
      <c r="I237" s="25" t="s">
        <v>128</v>
      </c>
      <c r="J237" s="28" t="n">
        <v>2.08262589216041</v>
      </c>
      <c r="K237" s="28" t="n">
        <f aca="false">$K$8</f>
        <v>0.297938238782275</v>
      </c>
      <c r="L237" s="28" t="n">
        <f aca="false">SQRT(J237^2+K237^2)</f>
        <v>2.1038293183682</v>
      </c>
      <c r="M237" s="53" t="n">
        <f aca="false">IF(G237="","",MAX(0,G237-1.96*L237/100))</f>
        <v>0.59029951534312</v>
      </c>
      <c r="N237" s="53" t="n">
        <f aca="false">IF(G237="","",MIN(1,G237+1.96*L237/100))</f>
        <v>0.672769624623153</v>
      </c>
      <c r="O237" s="52" t="n">
        <f aca="false">ROUND(S237*W237,0)</f>
        <v>81</v>
      </c>
      <c r="P237" s="52" t="n">
        <f aca="false">IF(F237="","",ROUND(SQRT((F237*L237/100)^2+(G237*O237)^2),0))</f>
        <v>57</v>
      </c>
      <c r="R237" s="54" t="n">
        <v>12.0068272539039</v>
      </c>
      <c r="S237" s="55" t="n">
        <f aca="false">U237*V237*$F$5</f>
        <v>1185.78507842306</v>
      </c>
      <c r="T237" s="56" t="n">
        <f aca="false">MAX(0,MIN(1,R237/100+$D$5))</f>
        <v>0.632061687057803</v>
      </c>
      <c r="U237" s="56" t="n">
        <v>0.508266214497669</v>
      </c>
      <c r="V237" s="55" t="n">
        <v>2333</v>
      </c>
      <c r="W237" s="56" t="n">
        <v>0.0684752145190268</v>
      </c>
      <c r="X237" s="57" t="s">
        <v>168</v>
      </c>
      <c r="Y237" s="57" t="s">
        <v>130</v>
      </c>
    </row>
    <row r="238" customFormat="false" ht="15" hidden="false" customHeight="false" outlineLevel="0" collapsed="false">
      <c r="A238" s="25" t="s">
        <v>385</v>
      </c>
      <c r="B238" s="25" t="s">
        <v>260</v>
      </c>
      <c r="C238" s="25" t="s">
        <v>400</v>
      </c>
      <c r="D238" s="52" t="n">
        <f aca="false">ROUND(S238*T238,0)</f>
        <v>589</v>
      </c>
      <c r="E238" s="52" t="n">
        <f aca="false">ROUND(S238,0)-D238</f>
        <v>416</v>
      </c>
      <c r="F238" s="52" t="n">
        <f aca="false">IF(COUNTA(D238:E238)=0,"",SUM(D238:E238))</f>
        <v>1005</v>
      </c>
      <c r="G238" s="53" t="n">
        <f aca="false">IF(OR(F238="",F238=0),"",D238/F238)</f>
        <v>0.586069651741294</v>
      </c>
      <c r="H238" s="53" t="n">
        <f aca="false">IF(OR(F238="",F238=0),"",E238/F238)</f>
        <v>0.413930348258706</v>
      </c>
      <c r="I238" s="25" t="s">
        <v>128</v>
      </c>
      <c r="J238" s="28" t="n">
        <v>2.08262589216041</v>
      </c>
      <c r="K238" s="28" t="n">
        <f aca="false">$K$8</f>
        <v>0.297938238782275</v>
      </c>
      <c r="L238" s="28" t="n">
        <f aca="false">SQRT(J238^2+K238^2)</f>
        <v>2.1038293183682</v>
      </c>
      <c r="M238" s="53" t="n">
        <f aca="false">IF(G238="","",MAX(0,G238-1.96*L238/100))</f>
        <v>0.544834597101277</v>
      </c>
      <c r="N238" s="53" t="n">
        <f aca="false">IF(G238="","",MIN(1,G238+1.96*L238/100))</f>
        <v>0.62730470638131</v>
      </c>
      <c r="O238" s="52" t="n">
        <f aca="false">ROUND(S238*W238,0)</f>
        <v>69</v>
      </c>
      <c r="P238" s="52" t="n">
        <f aca="false">IF(F238="","",ROUND(SQRT((F238*L238/100)^2+(G238*O238)^2),0))</f>
        <v>46</v>
      </c>
      <c r="R238" s="54" t="n">
        <v>7.4376665307174</v>
      </c>
      <c r="S238" s="55" t="n">
        <f aca="false">U238*V238*$F$5</f>
        <v>1004.54761904762</v>
      </c>
      <c r="T238" s="56" t="n">
        <f aca="false">MAX(0,MIN(1,R238/100+$D$5))</f>
        <v>0.586370079825939</v>
      </c>
      <c r="U238" s="56" t="n">
        <v>0.738095238095238</v>
      </c>
      <c r="V238" s="55" t="n">
        <v>1361</v>
      </c>
      <c r="W238" s="56" t="n">
        <v>0.0684752145190268</v>
      </c>
      <c r="X238" s="57" t="s">
        <v>168</v>
      </c>
      <c r="Y238" s="57" t="s">
        <v>130</v>
      </c>
    </row>
    <row r="239" customFormat="false" ht="15" hidden="false" customHeight="false" outlineLevel="0" collapsed="false">
      <c r="A239" s="25" t="s">
        <v>385</v>
      </c>
      <c r="B239" s="25" t="s">
        <v>260</v>
      </c>
      <c r="C239" s="25" t="s">
        <v>401</v>
      </c>
      <c r="D239" s="52" t="n">
        <f aca="false">ROUND(S239*T239,0)</f>
        <v>445</v>
      </c>
      <c r="E239" s="52" t="n">
        <f aca="false">ROUND(S239,0)-D239</f>
        <v>253</v>
      </c>
      <c r="F239" s="52" t="n">
        <f aca="false">IF(COUNTA(D239:E239)=0,"",SUM(D239:E239))</f>
        <v>698</v>
      </c>
      <c r="G239" s="53" t="n">
        <f aca="false">IF(OR(F239="",F239=0),"",D239/F239)</f>
        <v>0.637535816618911</v>
      </c>
      <c r="H239" s="53" t="n">
        <f aca="false">IF(OR(F239="",F239=0),"",E239/F239)</f>
        <v>0.362464183381089</v>
      </c>
      <c r="I239" s="25" t="s">
        <v>128</v>
      </c>
      <c r="J239" s="28" t="n">
        <v>2.22489971008846</v>
      </c>
      <c r="K239" s="28" t="n">
        <f aca="false">$K$8</f>
        <v>0.297938238782275</v>
      </c>
      <c r="L239" s="28" t="n">
        <f aca="false">SQRT(J239^2+K239^2)</f>
        <v>2.24475965619494</v>
      </c>
      <c r="M239" s="53" t="n">
        <f aca="false">IF(G239="","",MAX(0,G239-1.96*L239/100))</f>
        <v>0.59353852735749</v>
      </c>
      <c r="N239" s="53" t="n">
        <f aca="false">IF(G239="","",MIN(1,G239+1.96*L239/100))</f>
        <v>0.681533105880332</v>
      </c>
      <c r="O239" s="52" t="n">
        <f aca="false">ROUND(S239*W239,0)</f>
        <v>62</v>
      </c>
      <c r="P239" s="52" t="n">
        <f aca="false">IF(F239="","",ROUND(SQRT((F239*L239/100)^2+(G239*O239)^2),0))</f>
        <v>43</v>
      </c>
      <c r="R239" s="54" t="n">
        <v>12.6444771123466</v>
      </c>
      <c r="S239" s="55" t="n">
        <f aca="false">U239*V239*$F$5</f>
        <v>697.629411764706</v>
      </c>
      <c r="T239" s="56" t="n">
        <f aca="false">MAX(0,MIN(1,R239/100+$D$5))</f>
        <v>0.638438185642231</v>
      </c>
      <c r="U239" s="56" t="n">
        <v>0.685294117647059</v>
      </c>
      <c r="V239" s="55" t="n">
        <v>1018</v>
      </c>
      <c r="W239" s="56" t="n">
        <v>0.0887445098984521</v>
      </c>
      <c r="X239" s="57" t="s">
        <v>135</v>
      </c>
      <c r="Y239" s="57" t="s">
        <v>130</v>
      </c>
    </row>
    <row r="240" customFormat="false" ht="15" hidden="false" customHeight="false" outlineLevel="0" collapsed="false">
      <c r="A240" s="25" t="s">
        <v>385</v>
      </c>
      <c r="B240" s="25" t="s">
        <v>260</v>
      </c>
      <c r="C240" s="25" t="s">
        <v>402</v>
      </c>
      <c r="D240" s="52" t="n">
        <f aca="false">ROUND(S240*T240,0)</f>
        <v>571</v>
      </c>
      <c r="E240" s="52" t="n">
        <f aca="false">ROUND(S240,0)-D240</f>
        <v>292</v>
      </c>
      <c r="F240" s="52" t="n">
        <f aca="false">IF(COUNTA(D240:E240)=0,"",SUM(D240:E240))</f>
        <v>863</v>
      </c>
      <c r="G240" s="53" t="n">
        <f aca="false">IF(OR(F240="",F240=0),"",D240/F240)</f>
        <v>0.661645422943221</v>
      </c>
      <c r="H240" s="53" t="n">
        <f aca="false">IF(OR(F240="",F240=0),"",E240/F240)</f>
        <v>0.338354577056779</v>
      </c>
      <c r="I240" s="25" t="s">
        <v>128</v>
      </c>
      <c r="J240" s="28" t="n">
        <v>2.22489971008846</v>
      </c>
      <c r="K240" s="28" t="n">
        <f aca="false">$K$8</f>
        <v>0.297938238782275</v>
      </c>
      <c r="L240" s="28" t="n">
        <f aca="false">SQRT(J240^2+K240^2)</f>
        <v>2.24475965619494</v>
      </c>
      <c r="M240" s="53" t="n">
        <f aca="false">IF(G240="","",MAX(0,G240-1.96*L240/100))</f>
        <v>0.617648133681801</v>
      </c>
      <c r="N240" s="53" t="n">
        <f aca="false">IF(G240="","",MIN(1,G240+1.96*L240/100))</f>
        <v>0.705642712204642</v>
      </c>
      <c r="O240" s="52" t="n">
        <f aca="false">ROUND(S240*W240,0)</f>
        <v>77</v>
      </c>
      <c r="P240" s="52" t="n">
        <f aca="false">IF(F240="","",ROUND(SQRT((F240*L240/100)^2+(G240*O240)^2),0))</f>
        <v>55</v>
      </c>
      <c r="R240" s="54" t="n">
        <v>14.9560185086219</v>
      </c>
      <c r="S240" s="55" t="n">
        <f aca="false">U240*V240*$F$5</f>
        <v>863.161290322581</v>
      </c>
      <c r="T240" s="56" t="n">
        <f aca="false">MAX(0,MIN(1,R240/100+$D$5))</f>
        <v>0.661553599604984</v>
      </c>
      <c r="U240" s="56" t="n">
        <v>0.551893408134642</v>
      </c>
      <c r="V240" s="55" t="n">
        <v>1564</v>
      </c>
      <c r="W240" s="56" t="n">
        <v>0.0887445098984521</v>
      </c>
      <c r="X240" s="57" t="s">
        <v>135</v>
      </c>
      <c r="Y240" s="57" t="s">
        <v>130</v>
      </c>
    </row>
    <row r="241" customFormat="false" ht="15" hidden="false" customHeight="false" outlineLevel="0" collapsed="false">
      <c r="A241" s="25" t="s">
        <v>385</v>
      </c>
      <c r="B241" s="25" t="s">
        <v>260</v>
      </c>
      <c r="C241" s="25" t="s">
        <v>403</v>
      </c>
      <c r="D241" s="52" t="n">
        <f aca="false">ROUND(S241*T241,0)</f>
        <v>709</v>
      </c>
      <c r="E241" s="52" t="n">
        <f aca="false">ROUND(S241,0)-D241</f>
        <v>422</v>
      </c>
      <c r="F241" s="52" t="n">
        <f aca="false">IF(COUNTA(D241:E241)=0,"",SUM(D241:E241))</f>
        <v>1131</v>
      </c>
      <c r="G241" s="53" t="n">
        <f aca="false">IF(OR(F241="",F241=0),"",D241/F241)</f>
        <v>0.626878868258179</v>
      </c>
      <c r="H241" s="53" t="n">
        <f aca="false">IF(OR(F241="",F241=0),"",E241/F241)</f>
        <v>0.373121131741821</v>
      </c>
      <c r="I241" s="25" t="s">
        <v>128</v>
      </c>
      <c r="J241" s="28" t="n">
        <v>2.08262589216041</v>
      </c>
      <c r="K241" s="28" t="n">
        <f aca="false">$K$8</f>
        <v>0.297938238782275</v>
      </c>
      <c r="L241" s="28" t="n">
        <f aca="false">SQRT(J241^2+K241^2)</f>
        <v>2.1038293183682</v>
      </c>
      <c r="M241" s="53" t="n">
        <f aca="false">IF(G241="","",MAX(0,G241-1.96*L241/100))</f>
        <v>0.585643813618162</v>
      </c>
      <c r="N241" s="53" t="n">
        <f aca="false">IF(G241="","",MIN(1,G241+1.96*L241/100))</f>
        <v>0.668113922898195</v>
      </c>
      <c r="O241" s="52" t="n">
        <f aca="false">ROUND(S241*W241,0)</f>
        <v>77</v>
      </c>
      <c r="P241" s="52" t="n">
        <f aca="false">IF(F241="","",ROUND(SQRT((F241*L241/100)^2+(G241*O241)^2),0))</f>
        <v>54</v>
      </c>
      <c r="R241" s="54" t="n">
        <v>11.4492741969504</v>
      </c>
      <c r="S241" s="55" t="n">
        <f aca="false">U241*V241*$F$5</f>
        <v>1131.04550209205</v>
      </c>
      <c r="T241" s="56" t="n">
        <f aca="false">MAX(0,MIN(1,R241/100+$D$5))</f>
        <v>0.626486156488268</v>
      </c>
      <c r="U241" s="56" t="n">
        <v>0.582112970711297</v>
      </c>
      <c r="V241" s="55" t="n">
        <v>1943</v>
      </c>
      <c r="W241" s="56" t="n">
        <v>0.0684752145190268</v>
      </c>
      <c r="X241" s="57" t="s">
        <v>168</v>
      </c>
      <c r="Y241" s="57" t="s">
        <v>130</v>
      </c>
    </row>
    <row r="242" customFormat="false" ht="15" hidden="false" customHeight="false" outlineLevel="0" collapsed="false">
      <c r="A242" s="25" t="s">
        <v>385</v>
      </c>
      <c r="B242" s="25" t="s">
        <v>260</v>
      </c>
      <c r="C242" s="25" t="s">
        <v>404</v>
      </c>
      <c r="D242" s="52" t="n">
        <f aca="false">ROUND(S242*T242,0)</f>
        <v>504</v>
      </c>
      <c r="E242" s="52" t="n">
        <f aca="false">ROUND(S242,0)-D242</f>
        <v>236</v>
      </c>
      <c r="F242" s="52" t="n">
        <f aca="false">IF(COUNTA(D242:E242)=0,"",SUM(D242:E242))</f>
        <v>740</v>
      </c>
      <c r="G242" s="53" t="n">
        <f aca="false">IF(OR(F242="",F242=0),"",D242/F242)</f>
        <v>0.681081081081081</v>
      </c>
      <c r="H242" s="53" t="n">
        <f aca="false">IF(OR(F242="",F242=0),"",E242/F242)</f>
        <v>0.318918918918919</v>
      </c>
      <c r="I242" s="25" t="s">
        <v>128</v>
      </c>
      <c r="J242" s="28" t="n">
        <v>2.22489971008846</v>
      </c>
      <c r="K242" s="28" t="n">
        <f aca="false">$K$8</f>
        <v>0.297938238782275</v>
      </c>
      <c r="L242" s="28" t="n">
        <f aca="false">SQRT(J242^2+K242^2)</f>
        <v>2.24475965619494</v>
      </c>
      <c r="M242" s="53" t="n">
        <f aca="false">IF(G242="","",MAX(0,G242-1.96*L242/100))</f>
        <v>0.63708379181966</v>
      </c>
      <c r="N242" s="53" t="n">
        <f aca="false">IF(G242="","",MIN(1,G242+1.96*L242/100))</f>
        <v>0.725078370342502</v>
      </c>
      <c r="O242" s="52" t="n">
        <f aca="false">ROUND(S242*W242,0)</f>
        <v>66</v>
      </c>
      <c r="P242" s="52" t="n">
        <f aca="false">IF(F242="","",ROUND(SQRT((F242*L242/100)^2+(G242*O242)^2),0))</f>
        <v>48</v>
      </c>
      <c r="R242" s="54" t="n">
        <v>16.9589084637388</v>
      </c>
      <c r="S242" s="55" t="n">
        <f aca="false">U242*V242*$F$5</f>
        <v>740.0329218107</v>
      </c>
      <c r="T242" s="56" t="n">
        <f aca="false">MAX(0,MIN(1,R242/100+$D$5))</f>
        <v>0.681582499156153</v>
      </c>
      <c r="U242" s="56" t="n">
        <v>0.303292181069959</v>
      </c>
      <c r="V242" s="55" t="n">
        <v>2440</v>
      </c>
      <c r="W242" s="56" t="n">
        <v>0.0887445098984521</v>
      </c>
      <c r="X242" s="57" t="s">
        <v>135</v>
      </c>
      <c r="Y242" s="57" t="s">
        <v>130</v>
      </c>
    </row>
    <row r="243" customFormat="false" ht="15" hidden="false" customHeight="false" outlineLevel="0" collapsed="false">
      <c r="A243" s="25" t="s">
        <v>385</v>
      </c>
      <c r="B243" s="25" t="s">
        <v>260</v>
      </c>
      <c r="C243" s="25" t="s">
        <v>405</v>
      </c>
      <c r="D243" s="52" t="n">
        <f aca="false">ROUND(S243*T243,0)</f>
        <v>545</v>
      </c>
      <c r="E243" s="52" t="n">
        <f aca="false">ROUND(S243,0)-D243</f>
        <v>326</v>
      </c>
      <c r="F243" s="52" t="n">
        <f aca="false">IF(COUNTA(D243:E243)=0,"",SUM(D243:E243))</f>
        <v>871</v>
      </c>
      <c r="G243" s="53" t="n">
        <f aca="false">IF(OR(F243="",F243=0),"",D243/F243)</f>
        <v>0.625717566016074</v>
      </c>
      <c r="H243" s="53" t="n">
        <f aca="false">IF(OR(F243="",F243=0),"",E243/F243)</f>
        <v>0.374282433983927</v>
      </c>
      <c r="I243" s="25" t="s">
        <v>128</v>
      </c>
      <c r="J243" s="28" t="n">
        <v>2.22489971008846</v>
      </c>
      <c r="K243" s="28" t="n">
        <f aca="false">$K$8</f>
        <v>0.297938238782275</v>
      </c>
      <c r="L243" s="28" t="n">
        <f aca="false">SQRT(J243^2+K243^2)</f>
        <v>2.24475965619494</v>
      </c>
      <c r="M243" s="53" t="n">
        <f aca="false">IF(G243="","",MAX(0,G243-1.96*L243/100))</f>
        <v>0.581720276754653</v>
      </c>
      <c r="N243" s="53" t="n">
        <f aca="false">IF(G243="","",MIN(1,G243+1.96*L243/100))</f>
        <v>0.669714855277494</v>
      </c>
      <c r="O243" s="52" t="n">
        <f aca="false">ROUND(S243*W243,0)</f>
        <v>77</v>
      </c>
      <c r="P243" s="52" t="n">
        <f aca="false">IF(F243="","",ROUND(SQRT((F243*L243/100)^2+(G243*O243)^2),0))</f>
        <v>52</v>
      </c>
      <c r="R243" s="54" t="n">
        <v>11.427859873464</v>
      </c>
      <c r="S243" s="55" t="n">
        <f aca="false">U243*V243*$F$5</f>
        <v>870.802226935313</v>
      </c>
      <c r="T243" s="56" t="n">
        <f aca="false">MAX(0,MIN(1,R243/100+$D$5))</f>
        <v>0.626272013253405</v>
      </c>
      <c r="U243" s="56" t="n">
        <v>0.449098621420997</v>
      </c>
      <c r="V243" s="55" t="n">
        <v>1939</v>
      </c>
      <c r="W243" s="56" t="n">
        <v>0.0887445098984521</v>
      </c>
      <c r="X243" s="57" t="s">
        <v>135</v>
      </c>
      <c r="Y243" s="57" t="s">
        <v>130</v>
      </c>
    </row>
    <row r="244" customFormat="false" ht="15" hidden="false" customHeight="false" outlineLevel="0" collapsed="false">
      <c r="A244" s="25" t="s">
        <v>385</v>
      </c>
      <c r="B244" s="25" t="s">
        <v>260</v>
      </c>
      <c r="C244" s="25" t="s">
        <v>406</v>
      </c>
      <c r="D244" s="52" t="n">
        <f aca="false">ROUND(S244*T244,0)</f>
        <v>153</v>
      </c>
      <c r="E244" s="52" t="n">
        <f aca="false">ROUND(S244,0)-D244</f>
        <v>62</v>
      </c>
      <c r="F244" s="52" t="n">
        <f aca="false">IF(COUNTA(D244:E244)=0,"",SUM(D244:E244))</f>
        <v>215</v>
      </c>
      <c r="G244" s="53" t="n">
        <f aca="false">IF(OR(F244="",F244=0),"",D244/F244)</f>
        <v>0.711627906976744</v>
      </c>
      <c r="H244" s="53" t="n">
        <f aca="false">IF(OR(F244="",F244=0),"",E244/F244)</f>
        <v>0.288372093023256</v>
      </c>
      <c r="I244" s="25" t="s">
        <v>128</v>
      </c>
      <c r="J244" s="28" t="n">
        <v>3.1978281706008</v>
      </c>
      <c r="K244" s="28" t="n">
        <f aca="false">$K$8</f>
        <v>0.297938238782275</v>
      </c>
      <c r="L244" s="28" t="n">
        <f aca="false">SQRT(J244^2+K244^2)</f>
        <v>3.21167747490571</v>
      </c>
      <c r="M244" s="53" t="n">
        <f aca="false">IF(G244="","",MAX(0,G244-1.96*L244/100))</f>
        <v>0.648679028468592</v>
      </c>
      <c r="N244" s="53" t="n">
        <f aca="false">IF(G244="","",MIN(1,G244+1.96*L244/100))</f>
        <v>0.774576785484896</v>
      </c>
      <c r="O244" s="52" t="n">
        <f aca="false">ROUND(S244*W244,0)</f>
        <v>32</v>
      </c>
      <c r="P244" s="52" t="n">
        <f aca="false">IF(F244="","",ROUND(SQRT((F244*L244/100)^2+(G244*O244)^2),0))</f>
        <v>24</v>
      </c>
      <c r="R244" s="54" t="n">
        <v>19.8602261892935</v>
      </c>
      <c r="S244" s="55" t="n">
        <f aca="false">U244*V244*$F$5</f>
        <v>215.348525469169</v>
      </c>
      <c r="T244" s="56" t="n">
        <f aca="false">MAX(0,MIN(1,R244/100+$D$5))</f>
        <v>0.710595676411699</v>
      </c>
      <c r="U244" s="56" t="n">
        <v>0.281501340482574</v>
      </c>
      <c r="V244" s="55" t="n">
        <v>765</v>
      </c>
      <c r="W244" s="56" t="n">
        <v>0.148097331980838</v>
      </c>
      <c r="X244" s="57" t="s">
        <v>129</v>
      </c>
      <c r="Y244" s="57" t="s">
        <v>130</v>
      </c>
    </row>
    <row r="245" customFormat="false" ht="15" hidden="false" customHeight="false" outlineLevel="0" collapsed="false">
      <c r="A245" s="25" t="s">
        <v>385</v>
      </c>
      <c r="B245" s="25" t="s">
        <v>260</v>
      </c>
      <c r="C245" s="25" t="s">
        <v>407</v>
      </c>
      <c r="D245" s="52" t="n">
        <f aca="false">ROUND(S245*T245,0)</f>
        <v>316</v>
      </c>
      <c r="E245" s="52" t="n">
        <f aca="false">ROUND(S245,0)-D245</f>
        <v>125</v>
      </c>
      <c r="F245" s="52" t="n">
        <f aca="false">IF(COUNTA(D245:E245)=0,"",SUM(D245:E245))</f>
        <v>441</v>
      </c>
      <c r="G245" s="53" t="n">
        <f aca="false">IF(OR(F245="",F245=0),"",D245/F245)</f>
        <v>0.71655328798186</v>
      </c>
      <c r="H245" s="53" t="n">
        <f aca="false">IF(OR(F245="",F245=0),"",E245/F245)</f>
        <v>0.283446712018141</v>
      </c>
      <c r="I245" s="25" t="s">
        <v>128</v>
      </c>
      <c r="J245" s="28" t="n">
        <v>3.1978281706008</v>
      </c>
      <c r="K245" s="28" t="n">
        <f aca="false">$K$8</f>
        <v>0.297938238782275</v>
      </c>
      <c r="L245" s="28" t="n">
        <f aca="false">SQRT(J245^2+K245^2)</f>
        <v>3.21167747490571</v>
      </c>
      <c r="M245" s="53" t="n">
        <f aca="false">IF(G245="","",MAX(0,G245-1.96*L245/100))</f>
        <v>0.653604409473708</v>
      </c>
      <c r="N245" s="53" t="n">
        <f aca="false">IF(G245="","",MIN(1,G245+1.96*L245/100))</f>
        <v>0.779502166490011</v>
      </c>
      <c r="O245" s="52" t="n">
        <f aca="false">ROUND(S245*W245,0)</f>
        <v>65</v>
      </c>
      <c r="P245" s="52" t="n">
        <f aca="false">IF(F245="","",ROUND(SQRT((F245*L245/100)^2+(G245*O245)^2),0))</f>
        <v>49</v>
      </c>
      <c r="R245" s="54" t="n">
        <v>20.4729348767048</v>
      </c>
      <c r="S245" s="55" t="n">
        <f aca="false">U245*V245*$F$5</f>
        <v>440.805484147387</v>
      </c>
      <c r="T245" s="56" t="n">
        <f aca="false">MAX(0,MIN(1,R245/100+$D$5))</f>
        <v>0.716722763285813</v>
      </c>
      <c r="U245" s="56" t="n">
        <v>0.381319622964867</v>
      </c>
      <c r="V245" s="55" t="n">
        <v>1156</v>
      </c>
      <c r="W245" s="56" t="n">
        <v>0.148097331980838</v>
      </c>
      <c r="X245" s="57" t="s">
        <v>129</v>
      </c>
      <c r="Y245" s="57" t="s">
        <v>130</v>
      </c>
    </row>
    <row r="246" customFormat="false" ht="15" hidden="false" customHeight="false" outlineLevel="0" collapsed="false">
      <c r="A246" s="25" t="s">
        <v>385</v>
      </c>
      <c r="B246" s="25" t="s">
        <v>260</v>
      </c>
      <c r="C246" s="25" t="s">
        <v>408</v>
      </c>
      <c r="D246" s="52" t="n">
        <f aca="false">ROUND(S246*T246,0)</f>
        <v>265</v>
      </c>
      <c r="E246" s="52" t="n">
        <f aca="false">ROUND(S246,0)-D246</f>
        <v>103</v>
      </c>
      <c r="F246" s="52" t="n">
        <f aca="false">IF(COUNTA(D246:E246)=0,"",SUM(D246:E246))</f>
        <v>368</v>
      </c>
      <c r="G246" s="53" t="n">
        <f aca="false">IF(OR(F246="",F246=0),"",D246/F246)</f>
        <v>0.720108695652174</v>
      </c>
      <c r="H246" s="53" t="n">
        <f aca="false">IF(OR(F246="",F246=0),"",E246/F246)</f>
        <v>0.279891304347826</v>
      </c>
      <c r="I246" s="25" t="s">
        <v>128</v>
      </c>
      <c r="J246" s="28" t="n">
        <v>3.1978281706008</v>
      </c>
      <c r="K246" s="28" t="n">
        <f aca="false">$K$8</f>
        <v>0.297938238782275</v>
      </c>
      <c r="L246" s="28" t="n">
        <f aca="false">SQRT(J246^2+K246^2)</f>
        <v>3.21167747490571</v>
      </c>
      <c r="M246" s="53" t="n">
        <f aca="false">IF(G246="","",MAX(0,G246-1.96*L246/100))</f>
        <v>0.657159817144022</v>
      </c>
      <c r="N246" s="53" t="n">
        <f aca="false">IF(G246="","",MIN(1,G246+1.96*L246/100))</f>
        <v>0.783057574160326</v>
      </c>
      <c r="O246" s="52" t="n">
        <f aca="false">ROUND(S246*W246,0)</f>
        <v>54</v>
      </c>
      <c r="P246" s="52" t="n">
        <f aca="false">IF(F246="","",ROUND(SQRT((F246*L246/100)^2+(G246*O246)^2),0))</f>
        <v>41</v>
      </c>
      <c r="R246" s="54" t="n">
        <v>20.9672932413822</v>
      </c>
      <c r="S246" s="55" t="n">
        <f aca="false">U246*V246*$F$5</f>
        <v>367.804159445407</v>
      </c>
      <c r="T246" s="56" t="n">
        <f aca="false">MAX(0,MIN(1,R246/100+$D$5))</f>
        <v>0.721666346932586</v>
      </c>
      <c r="U246" s="56" t="n">
        <v>0.306759098786828</v>
      </c>
      <c r="V246" s="55" t="n">
        <v>1199</v>
      </c>
      <c r="W246" s="56" t="n">
        <v>0.148097331980838</v>
      </c>
      <c r="X246" s="57" t="s">
        <v>129</v>
      </c>
      <c r="Y246" s="57" t="s">
        <v>130</v>
      </c>
    </row>
    <row r="247" customFormat="false" ht="15" hidden="false" customHeight="false" outlineLevel="0" collapsed="false">
      <c r="A247" s="25" t="s">
        <v>385</v>
      </c>
      <c r="B247" s="25" t="s">
        <v>260</v>
      </c>
      <c r="C247" s="25" t="s">
        <v>409</v>
      </c>
      <c r="D247" s="52" t="n">
        <f aca="false">ROUND(S247*T247,0)</f>
        <v>348</v>
      </c>
      <c r="E247" s="52" t="n">
        <f aca="false">ROUND(S247,0)-D247</f>
        <v>126</v>
      </c>
      <c r="F247" s="52" t="n">
        <f aca="false">IF(COUNTA(D247:E247)=0,"",SUM(D247:E247))</f>
        <v>474</v>
      </c>
      <c r="G247" s="53" t="n">
        <f aca="false">IF(OR(F247="",F247=0),"",D247/F247)</f>
        <v>0.734177215189873</v>
      </c>
      <c r="H247" s="53" t="n">
        <f aca="false">IF(OR(F247="",F247=0),"",E247/F247)</f>
        <v>0.265822784810127</v>
      </c>
      <c r="I247" s="25" t="s">
        <v>128</v>
      </c>
      <c r="J247" s="28" t="n">
        <v>3.1978281706008</v>
      </c>
      <c r="K247" s="28" t="n">
        <f aca="false">$K$8</f>
        <v>0.297938238782275</v>
      </c>
      <c r="L247" s="28" t="n">
        <f aca="false">SQRT(J247^2+K247^2)</f>
        <v>3.21167747490571</v>
      </c>
      <c r="M247" s="53" t="n">
        <f aca="false">IF(G247="","",MAX(0,G247-1.96*L247/100))</f>
        <v>0.671228336681722</v>
      </c>
      <c r="N247" s="53" t="n">
        <f aca="false">IF(G247="","",MIN(1,G247+1.96*L247/100))</f>
        <v>0.797126093698025</v>
      </c>
      <c r="O247" s="52" t="n">
        <f aca="false">ROUND(S247*W247,0)</f>
        <v>70</v>
      </c>
      <c r="P247" s="52" t="n">
        <f aca="false">IF(F247="","",ROUND(SQRT((F247*L247/100)^2+(G247*O247)^2),0))</f>
        <v>54</v>
      </c>
      <c r="R247" s="54" t="n">
        <v>22.3564282156493</v>
      </c>
      <c r="S247" s="55" t="n">
        <f aca="false">U247*V247*$F$5</f>
        <v>473.687539936102</v>
      </c>
      <c r="T247" s="56" t="n">
        <f aca="false">MAX(0,MIN(1,R247/100+$D$5))</f>
        <v>0.735557696675258</v>
      </c>
      <c r="U247" s="56" t="n">
        <v>0.281789137380192</v>
      </c>
      <c r="V247" s="55" t="n">
        <v>1681</v>
      </c>
      <c r="W247" s="56" t="n">
        <v>0.148097331980838</v>
      </c>
      <c r="X247" s="57" t="s">
        <v>129</v>
      </c>
      <c r="Y247" s="57" t="s">
        <v>130</v>
      </c>
    </row>
    <row r="248" customFormat="false" ht="15" hidden="false" customHeight="false" outlineLevel="0" collapsed="false">
      <c r="A248" s="25" t="s">
        <v>385</v>
      </c>
      <c r="B248" s="25" t="s">
        <v>260</v>
      </c>
      <c r="C248" s="25" t="s">
        <v>410</v>
      </c>
      <c r="D248" s="52" t="n">
        <f aca="false">ROUND(S248*T248,0)</f>
        <v>647</v>
      </c>
      <c r="E248" s="52" t="n">
        <f aca="false">ROUND(S248,0)-D248</f>
        <v>189</v>
      </c>
      <c r="F248" s="52" t="n">
        <f aca="false">IF(COUNTA(D248:E248)=0,"",SUM(D248:E248))</f>
        <v>836</v>
      </c>
      <c r="G248" s="53" t="n">
        <f aca="false">IF(OR(F248="",F248=0),"",D248/F248)</f>
        <v>0.773923444976077</v>
      </c>
      <c r="H248" s="53" t="n">
        <f aca="false">IF(OR(F248="",F248=0),"",E248/F248)</f>
        <v>0.226076555023923</v>
      </c>
      <c r="I248" s="25" t="s">
        <v>128</v>
      </c>
      <c r="J248" s="28" t="n">
        <v>2.22489971008846</v>
      </c>
      <c r="K248" s="28" t="n">
        <f aca="false">$K$8</f>
        <v>0.297938238782275</v>
      </c>
      <c r="L248" s="28" t="n">
        <f aca="false">SQRT(J248^2+K248^2)</f>
        <v>2.24475965619494</v>
      </c>
      <c r="M248" s="53" t="n">
        <f aca="false">IF(G248="","",MAX(0,G248-1.96*L248/100))</f>
        <v>0.729926155714656</v>
      </c>
      <c r="N248" s="53" t="n">
        <f aca="false">IF(G248="","",MIN(1,G248+1.96*L248/100))</f>
        <v>0.817920734237497</v>
      </c>
      <c r="O248" s="52" t="n">
        <f aca="false">ROUND(S248*W248,0)</f>
        <v>74</v>
      </c>
      <c r="P248" s="52" t="n">
        <f aca="false">IF(F248="","",ROUND(SQRT((F248*L248/100)^2+(G248*O248)^2),0))</f>
        <v>60</v>
      </c>
      <c r="R248" s="54" t="n">
        <v>26.2596945467534</v>
      </c>
      <c r="S248" s="55" t="n">
        <f aca="false">U248*V248*$F$5</f>
        <v>835.622727272728</v>
      </c>
      <c r="T248" s="56" t="n">
        <f aca="false">MAX(0,MIN(1,R248/100+$D$5))</f>
        <v>0.774590359986299</v>
      </c>
      <c r="U248" s="56" t="n">
        <v>0.224147727272727</v>
      </c>
      <c r="V248" s="55" t="n">
        <v>3728</v>
      </c>
      <c r="W248" s="56" t="n">
        <v>0.0887445098984521</v>
      </c>
      <c r="X248" s="57" t="s">
        <v>135</v>
      </c>
      <c r="Y248" s="57" t="s">
        <v>130</v>
      </c>
    </row>
    <row r="249" customFormat="false" ht="15" hidden="false" customHeight="false" outlineLevel="0" collapsed="false">
      <c r="A249" s="25" t="s">
        <v>385</v>
      </c>
      <c r="B249" s="25" t="s">
        <v>260</v>
      </c>
      <c r="C249" s="25" t="s">
        <v>411</v>
      </c>
      <c r="D249" s="52" t="n">
        <f aca="false">ROUND(S249*T249,0)</f>
        <v>371</v>
      </c>
      <c r="E249" s="52" t="n">
        <f aca="false">ROUND(S249,0)-D249</f>
        <v>137</v>
      </c>
      <c r="F249" s="52" t="n">
        <f aca="false">IF(COUNTA(D249:E249)=0,"",SUM(D249:E249))</f>
        <v>508</v>
      </c>
      <c r="G249" s="53" t="n">
        <f aca="false">IF(OR(F249="",F249=0),"",D249/F249)</f>
        <v>0.730314960629921</v>
      </c>
      <c r="H249" s="53" t="n">
        <f aca="false">IF(OR(F249="",F249=0),"",E249/F249)</f>
        <v>0.269685039370079</v>
      </c>
      <c r="I249" s="25" t="s">
        <v>128</v>
      </c>
      <c r="J249" s="28" t="n">
        <v>3.1978281706008</v>
      </c>
      <c r="K249" s="28" t="n">
        <f aca="false">$K$8</f>
        <v>0.297938238782275</v>
      </c>
      <c r="L249" s="28" t="n">
        <f aca="false">SQRT(J249^2+K249^2)</f>
        <v>3.21167747490571</v>
      </c>
      <c r="M249" s="53" t="n">
        <f aca="false">IF(G249="","",MAX(0,G249-1.96*L249/100))</f>
        <v>0.667366082121769</v>
      </c>
      <c r="N249" s="53" t="n">
        <f aca="false">IF(G249="","",MIN(1,G249+1.96*L249/100))</f>
        <v>0.793263839138073</v>
      </c>
      <c r="O249" s="52" t="n">
        <f aca="false">ROUND(S249*W249,0)</f>
        <v>75</v>
      </c>
      <c r="P249" s="52" t="n">
        <f aca="false">IF(F249="","",ROUND(SQRT((F249*L249/100)^2+(G249*O249)^2),0))</f>
        <v>57</v>
      </c>
      <c r="R249" s="54" t="n">
        <v>21.8505238235772</v>
      </c>
      <c r="S249" s="55" t="n">
        <f aca="false">U249*V249*$F$5</f>
        <v>507.768014059754</v>
      </c>
      <c r="T249" s="56" t="n">
        <f aca="false">MAX(0,MIN(1,R249/100+$D$5))</f>
        <v>0.730498652754537</v>
      </c>
      <c r="U249" s="56" t="n">
        <v>0.272993555946104</v>
      </c>
      <c r="V249" s="55" t="n">
        <v>1860</v>
      </c>
      <c r="W249" s="56" t="n">
        <v>0.148097331980838</v>
      </c>
      <c r="X249" s="57" t="s">
        <v>129</v>
      </c>
      <c r="Y249" s="57" t="s">
        <v>130</v>
      </c>
    </row>
    <row r="250" customFormat="false" ht="15" hidden="false" customHeight="false" outlineLevel="0" collapsed="false">
      <c r="A250" s="25" t="s">
        <v>385</v>
      </c>
      <c r="B250" s="25" t="s">
        <v>260</v>
      </c>
      <c r="C250" s="25" t="s">
        <v>412</v>
      </c>
      <c r="D250" s="52" t="n">
        <f aca="false">ROUND(S250*T250,0)</f>
        <v>355</v>
      </c>
      <c r="E250" s="52" t="n">
        <f aca="false">ROUND(S250,0)-D250</f>
        <v>144</v>
      </c>
      <c r="F250" s="52" t="n">
        <f aca="false">IF(COUNTA(D250:E250)=0,"",SUM(D250:E250))</f>
        <v>499</v>
      </c>
      <c r="G250" s="53" t="n">
        <f aca="false">IF(OR(F250="",F250=0),"",D250/F250)</f>
        <v>0.711422845691383</v>
      </c>
      <c r="H250" s="53" t="n">
        <f aca="false">IF(OR(F250="",F250=0),"",E250/F250)</f>
        <v>0.288577154308617</v>
      </c>
      <c r="I250" s="25" t="s">
        <v>128</v>
      </c>
      <c r="J250" s="28" t="n">
        <v>3.1978281706008</v>
      </c>
      <c r="K250" s="28" t="n">
        <f aca="false">$K$8</f>
        <v>0.297938238782275</v>
      </c>
      <c r="L250" s="28" t="n">
        <f aca="false">SQRT(J250^2+K250^2)</f>
        <v>3.21167747490571</v>
      </c>
      <c r="M250" s="53" t="n">
        <f aca="false">IF(G250="","",MAX(0,G250-1.96*L250/100))</f>
        <v>0.648473967183231</v>
      </c>
      <c r="N250" s="53" t="n">
        <f aca="false">IF(G250="","",MIN(1,G250+1.96*L250/100))</f>
        <v>0.774371724199535</v>
      </c>
      <c r="O250" s="52" t="n">
        <f aca="false">ROUND(S250*W250,0)</f>
        <v>74</v>
      </c>
      <c r="P250" s="52" t="n">
        <f aca="false">IF(F250="","",ROUND(SQRT((F250*L250/100)^2+(G250*O250)^2),0))</f>
        <v>55</v>
      </c>
      <c r="R250" s="54" t="n">
        <v>20.0481875037907</v>
      </c>
      <c r="S250" s="55" t="n">
        <f aca="false">U250*V250*$F$5</f>
        <v>498.871436256052</v>
      </c>
      <c r="T250" s="56" t="n">
        <f aca="false">MAX(0,MIN(1,R250/100+$D$5))</f>
        <v>0.712475289556672</v>
      </c>
      <c r="U250" s="56" t="n">
        <v>0.267348036578806</v>
      </c>
      <c r="V250" s="55" t="n">
        <v>1866</v>
      </c>
      <c r="W250" s="56" t="n">
        <v>0.148097331980838</v>
      </c>
      <c r="X250" s="57" t="s">
        <v>129</v>
      </c>
      <c r="Y250" s="57" t="s">
        <v>130</v>
      </c>
    </row>
    <row r="251" customFormat="false" ht="15" hidden="false" customHeight="false" outlineLevel="0" collapsed="false">
      <c r="A251" s="25" t="s">
        <v>385</v>
      </c>
      <c r="B251" s="25" t="s">
        <v>260</v>
      </c>
      <c r="C251" s="25" t="s">
        <v>413</v>
      </c>
      <c r="D251" s="52" t="n">
        <f aca="false">ROUND(S251*T251,0)</f>
        <v>384</v>
      </c>
      <c r="E251" s="52" t="n">
        <f aca="false">ROUND(S251,0)-D251</f>
        <v>150</v>
      </c>
      <c r="F251" s="52" t="n">
        <f aca="false">IF(COUNTA(D251:E251)=0,"",SUM(D251:E251))</f>
        <v>534</v>
      </c>
      <c r="G251" s="53" t="n">
        <f aca="false">IF(OR(F251="",F251=0),"",D251/F251)</f>
        <v>0.719101123595506</v>
      </c>
      <c r="H251" s="53" t="n">
        <f aca="false">IF(OR(F251="",F251=0),"",E251/F251)</f>
        <v>0.280898876404494</v>
      </c>
      <c r="I251" s="25" t="s">
        <v>128</v>
      </c>
      <c r="J251" s="28" t="n">
        <v>3.1978281706008</v>
      </c>
      <c r="K251" s="28" t="n">
        <f aca="false">$K$8</f>
        <v>0.297938238782275</v>
      </c>
      <c r="L251" s="28" t="n">
        <f aca="false">SQRT(J251^2+K251^2)</f>
        <v>3.21167747490571</v>
      </c>
      <c r="M251" s="53" t="n">
        <f aca="false">IF(G251="","",MAX(0,G251-1.96*L251/100))</f>
        <v>0.656152245087354</v>
      </c>
      <c r="N251" s="53" t="n">
        <f aca="false">IF(G251="","",MIN(1,G251+1.96*L251/100))</f>
        <v>0.782050002103658</v>
      </c>
      <c r="O251" s="52" t="n">
        <f aca="false">ROUND(S251*W251,0)</f>
        <v>79</v>
      </c>
      <c r="P251" s="52" t="n">
        <f aca="false">IF(F251="","",ROUND(SQRT((F251*L251/100)^2+(G251*O251)^2),0))</f>
        <v>59</v>
      </c>
      <c r="R251" s="54" t="n">
        <v>20.634613941089</v>
      </c>
      <c r="S251" s="55" t="n">
        <f aca="false">U251*V251*$F$5</f>
        <v>533.985148514852</v>
      </c>
      <c r="T251" s="56" t="n">
        <f aca="false">MAX(0,MIN(1,R251/100+$D$5))</f>
        <v>0.718339553929655</v>
      </c>
      <c r="U251" s="56" t="n">
        <v>0.698019801980198</v>
      </c>
      <c r="V251" s="55" t="n">
        <v>765</v>
      </c>
      <c r="W251" s="56" t="n">
        <v>0.148097331980838</v>
      </c>
      <c r="X251" s="57" t="s">
        <v>129</v>
      </c>
      <c r="Y251" s="57" t="s">
        <v>130</v>
      </c>
    </row>
    <row r="252" customFormat="false" ht="15" hidden="false" customHeight="false" outlineLevel="0" collapsed="false">
      <c r="A252" s="25" t="s">
        <v>385</v>
      </c>
      <c r="B252" s="25" t="s">
        <v>260</v>
      </c>
      <c r="C252" s="25" t="s">
        <v>414</v>
      </c>
      <c r="D252" s="52" t="n">
        <f aca="false">ROUND(S252*T252,0)</f>
        <v>567</v>
      </c>
      <c r="E252" s="52" t="n">
        <f aca="false">ROUND(S252,0)-D252</f>
        <v>231</v>
      </c>
      <c r="F252" s="52" t="n">
        <f aca="false">IF(COUNTA(D252:E252)=0,"",SUM(D252:E252))</f>
        <v>798</v>
      </c>
      <c r="G252" s="53" t="n">
        <f aca="false">IF(OR(F252="",F252=0),"",D252/F252)</f>
        <v>0.710526315789474</v>
      </c>
      <c r="H252" s="53" t="n">
        <f aca="false">IF(OR(F252="",F252=0),"",E252/F252)</f>
        <v>0.289473684210526</v>
      </c>
      <c r="I252" s="25" t="s">
        <v>128</v>
      </c>
      <c r="J252" s="28" t="n">
        <v>2.22489971008846</v>
      </c>
      <c r="K252" s="28" t="n">
        <f aca="false">$K$8</f>
        <v>0.297938238782275</v>
      </c>
      <c r="L252" s="28" t="n">
        <f aca="false">SQRT(J252^2+K252^2)</f>
        <v>2.24475965619494</v>
      </c>
      <c r="M252" s="53" t="n">
        <f aca="false">IF(G252="","",MAX(0,G252-1.96*L252/100))</f>
        <v>0.666529026528053</v>
      </c>
      <c r="N252" s="53" t="n">
        <f aca="false">IF(G252="","",MIN(1,G252+1.96*L252/100))</f>
        <v>0.754523605050894</v>
      </c>
      <c r="O252" s="52" t="n">
        <f aca="false">ROUND(S252*W252,0)</f>
        <v>71</v>
      </c>
      <c r="P252" s="52" t="n">
        <f aca="false">IF(F252="","",ROUND(SQRT((F252*L252/100)^2+(G252*O252)^2),0))</f>
        <v>54</v>
      </c>
      <c r="R252" s="54" t="n">
        <v>19.8183172944906</v>
      </c>
      <c r="S252" s="55" t="n">
        <f aca="false">U252*V252*$F$5</f>
        <v>798.341340075854</v>
      </c>
      <c r="T252" s="56" t="n">
        <f aca="false">MAX(0,MIN(1,R252/100+$D$5))</f>
        <v>0.710176587463671</v>
      </c>
      <c r="U252" s="56" t="n">
        <v>0.465233881163085</v>
      </c>
      <c r="V252" s="55" t="n">
        <v>1716</v>
      </c>
      <c r="W252" s="56" t="n">
        <v>0.0887445098984521</v>
      </c>
      <c r="X252" s="57" t="s">
        <v>135</v>
      </c>
      <c r="Y252" s="57" t="s">
        <v>130</v>
      </c>
    </row>
    <row r="253" customFormat="false" ht="15" hidden="false" customHeight="false" outlineLevel="0" collapsed="false">
      <c r="A253" s="25" t="s">
        <v>385</v>
      </c>
      <c r="B253" s="25" t="s">
        <v>260</v>
      </c>
      <c r="C253" s="25" t="s">
        <v>415</v>
      </c>
      <c r="D253" s="52" t="n">
        <f aca="false">ROUND(S253*T253,0)</f>
        <v>463</v>
      </c>
      <c r="E253" s="52" t="n">
        <f aca="false">ROUND(S253,0)-D253</f>
        <v>219</v>
      </c>
      <c r="F253" s="52" t="n">
        <f aca="false">IF(COUNTA(D253:E253)=0,"",SUM(D253:E253))</f>
        <v>682</v>
      </c>
      <c r="G253" s="53" t="n">
        <f aca="false">IF(OR(F253="",F253=0),"",D253/F253)</f>
        <v>0.678885630498534</v>
      </c>
      <c r="H253" s="53" t="n">
        <f aca="false">IF(OR(F253="",F253=0),"",E253/F253)</f>
        <v>0.321114369501466</v>
      </c>
      <c r="I253" s="25" t="s">
        <v>128</v>
      </c>
      <c r="J253" s="28" t="n">
        <v>2.22489971008846</v>
      </c>
      <c r="K253" s="28" t="n">
        <f aca="false">$K$8</f>
        <v>0.297938238782275</v>
      </c>
      <c r="L253" s="28" t="n">
        <f aca="false">SQRT(J253^2+K253^2)</f>
        <v>2.24475965619494</v>
      </c>
      <c r="M253" s="53" t="n">
        <f aca="false">IF(G253="","",MAX(0,G253-1.96*L253/100))</f>
        <v>0.634888341237113</v>
      </c>
      <c r="N253" s="53" t="n">
        <f aca="false">IF(G253="","",MIN(1,G253+1.96*L253/100))</f>
        <v>0.722882919759954</v>
      </c>
      <c r="O253" s="52" t="n">
        <f aca="false">ROUND(S253*W253,0)</f>
        <v>61</v>
      </c>
      <c r="P253" s="52" t="n">
        <f aca="false">IF(F253="","",ROUND(SQRT((F253*L253/100)^2+(G253*O253)^2),0))</f>
        <v>44</v>
      </c>
      <c r="R253" s="54" t="n">
        <v>16.663130862161</v>
      </c>
      <c r="S253" s="55" t="n">
        <f aca="false">U253*V253*$F$5</f>
        <v>682.091267235719</v>
      </c>
      <c r="T253" s="56" t="n">
        <f aca="false">MAX(0,MIN(1,R253/100+$D$5))</f>
        <v>0.678624723140374</v>
      </c>
      <c r="U253" s="56" t="n">
        <v>0.443204202232436</v>
      </c>
      <c r="V253" s="55" t="n">
        <v>1539</v>
      </c>
      <c r="W253" s="56" t="n">
        <v>0.0887445098984521</v>
      </c>
      <c r="X253" s="57" t="s">
        <v>135</v>
      </c>
      <c r="Y253" s="57" t="s">
        <v>130</v>
      </c>
    </row>
    <row r="254" customFormat="false" ht="15" hidden="false" customHeight="false" outlineLevel="0" collapsed="false">
      <c r="A254" s="25" t="s">
        <v>385</v>
      </c>
      <c r="B254" s="25" t="s">
        <v>260</v>
      </c>
      <c r="C254" s="25" t="s">
        <v>416</v>
      </c>
      <c r="D254" s="52" t="n">
        <f aca="false">ROUND(S254*T254,0)</f>
        <v>533</v>
      </c>
      <c r="E254" s="52" t="n">
        <f aca="false">ROUND(S254,0)-D254</f>
        <v>252</v>
      </c>
      <c r="F254" s="52" t="n">
        <f aca="false">IF(COUNTA(D254:E254)=0,"",SUM(D254:E254))</f>
        <v>785</v>
      </c>
      <c r="G254" s="53" t="n">
        <f aca="false">IF(OR(F254="",F254=0),"",D254/F254)</f>
        <v>0.678980891719745</v>
      </c>
      <c r="H254" s="53" t="n">
        <f aca="false">IF(OR(F254="",F254=0),"",E254/F254)</f>
        <v>0.321019108280255</v>
      </c>
      <c r="I254" s="25" t="s">
        <v>128</v>
      </c>
      <c r="J254" s="28" t="n">
        <v>2.22489971008846</v>
      </c>
      <c r="K254" s="28" t="n">
        <f aca="false">$K$8</f>
        <v>0.297938238782275</v>
      </c>
      <c r="L254" s="28" t="n">
        <f aca="false">SQRT(J254^2+K254^2)</f>
        <v>2.24475965619494</v>
      </c>
      <c r="M254" s="53" t="n">
        <f aca="false">IF(G254="","",MAX(0,G254-1.96*L254/100))</f>
        <v>0.634983602458324</v>
      </c>
      <c r="N254" s="53" t="n">
        <f aca="false">IF(G254="","",MIN(1,G254+1.96*L254/100))</f>
        <v>0.722978180981166</v>
      </c>
      <c r="O254" s="52" t="n">
        <f aca="false">ROUND(S254*W254,0)</f>
        <v>70</v>
      </c>
      <c r="P254" s="52" t="n">
        <f aca="false">IF(F254="","",ROUND(SQRT((F254*L254/100)^2+(G254*O254)^2),0))</f>
        <v>51</v>
      </c>
      <c r="R254" s="54" t="n">
        <v>16.6971829616327</v>
      </c>
      <c r="S254" s="55" t="n">
        <f aca="false">U254*V254*$F$5</f>
        <v>785.450874831763</v>
      </c>
      <c r="T254" s="56" t="n">
        <f aca="false">MAX(0,MIN(1,R254/100+$D$5))</f>
        <v>0.678965244135092</v>
      </c>
      <c r="U254" s="56" t="n">
        <v>0.534320323014805</v>
      </c>
      <c r="V254" s="55" t="n">
        <v>1470</v>
      </c>
      <c r="W254" s="56" t="n">
        <v>0.0887445098984521</v>
      </c>
      <c r="X254" s="57" t="s">
        <v>135</v>
      </c>
      <c r="Y254" s="57" t="s">
        <v>130</v>
      </c>
    </row>
    <row r="255" customFormat="false" ht="15" hidden="false" customHeight="false" outlineLevel="0" collapsed="false">
      <c r="A255" s="25" t="s">
        <v>385</v>
      </c>
      <c r="B255" s="25" t="s">
        <v>260</v>
      </c>
      <c r="C255" s="25" t="s">
        <v>417</v>
      </c>
      <c r="D255" s="52" t="n">
        <f aca="false">ROUND(S255*T255,0)</f>
        <v>937</v>
      </c>
      <c r="E255" s="52" t="n">
        <f aca="false">ROUND(S255,0)-D255</f>
        <v>491</v>
      </c>
      <c r="F255" s="52" t="n">
        <f aca="false">IF(COUNTA(D255:E255)=0,"",SUM(D255:E255))</f>
        <v>1428</v>
      </c>
      <c r="G255" s="53" t="n">
        <f aca="false">IF(OR(F255="",F255=0),"",D255/F255)</f>
        <v>0.656162464985994</v>
      </c>
      <c r="H255" s="53" t="n">
        <f aca="false">IF(OR(F255="",F255=0),"",E255/F255)</f>
        <v>0.343837535014006</v>
      </c>
      <c r="I255" s="25" t="s">
        <v>231</v>
      </c>
      <c r="J255" s="28" t="n">
        <v>2.08262589216041</v>
      </c>
      <c r="K255" s="28" t="n">
        <f aca="false">$K$8</f>
        <v>0.297938238782275</v>
      </c>
      <c r="L255" s="28" t="n">
        <f aca="false">SQRT(J255^2+K255^2)</f>
        <v>2.1038293183682</v>
      </c>
      <c r="M255" s="53" t="n">
        <f aca="false">IF(G255="","",MAX(0,G255-1.96*L255/100))</f>
        <v>0.614927410345978</v>
      </c>
      <c r="N255" s="53" t="n">
        <f aca="false">IF(G255="","",MIN(1,G255+1.96*L255/100))</f>
        <v>0.697397519626011</v>
      </c>
      <c r="O255" s="52" t="n">
        <f aca="false">ROUND(S255*W255,0)</f>
        <v>98</v>
      </c>
      <c r="P255" s="52" t="n">
        <f aca="false">IF(F255="","",ROUND(SQRT((F255*L255/100)^2+(G255*O255)^2),0))</f>
        <v>71</v>
      </c>
      <c r="R255" s="54" t="n">
        <v>14.3867716131064</v>
      </c>
      <c r="S255" s="55" t="n">
        <f aca="false">U255*V255*$F$5</f>
        <v>1428.36591156443</v>
      </c>
      <c r="T255" s="56" t="n">
        <f aca="false">MAX(0,MIN(1,R255/100+$D$5))</f>
        <v>0.655861130649829</v>
      </c>
      <c r="U255" s="56" t="n">
        <v>0.904029057952171</v>
      </c>
      <c r="V255" s="55" t="n">
        <v>1580</v>
      </c>
      <c r="W255" s="56" t="n">
        <v>0.0684752145190268</v>
      </c>
      <c r="X255" s="57" t="s">
        <v>168</v>
      </c>
      <c r="Y255" s="57" t="s">
        <v>130</v>
      </c>
    </row>
    <row r="256" customFormat="false" ht="15" hidden="false" customHeight="false" outlineLevel="0" collapsed="false">
      <c r="A256" s="25" t="s">
        <v>385</v>
      </c>
      <c r="B256" s="25" t="s">
        <v>418</v>
      </c>
      <c r="C256" s="25" t="s">
        <v>419</v>
      </c>
      <c r="D256" s="52" t="n">
        <f aca="false">ROUND(S256*T256,0)</f>
        <v>385</v>
      </c>
      <c r="E256" s="52" t="n">
        <f aca="false">ROUND(S256,0)-D256</f>
        <v>334</v>
      </c>
      <c r="F256" s="52" t="n">
        <f aca="false">IF(COUNTA(D256:E256)=0,"",SUM(D256:E256))</f>
        <v>719</v>
      </c>
      <c r="G256" s="53" t="n">
        <f aca="false">IF(OR(F256="",F256=0),"",D256/F256)</f>
        <v>0.535465924895688</v>
      </c>
      <c r="H256" s="53" t="n">
        <f aca="false">IF(OR(F256="",F256=0),"",E256/F256)</f>
        <v>0.464534075104312</v>
      </c>
      <c r="I256" s="25" t="s">
        <v>128</v>
      </c>
      <c r="J256" s="28" t="n">
        <v>2.22489971008846</v>
      </c>
      <c r="K256" s="28" t="n">
        <f aca="false">$K$8</f>
        <v>0.297938238782275</v>
      </c>
      <c r="L256" s="28" t="n">
        <f aca="false">SQRT(J256^2+K256^2)</f>
        <v>2.24475965619494</v>
      </c>
      <c r="M256" s="53" t="n">
        <f aca="false">IF(G256="","",MAX(0,G256-1.96*L256/100))</f>
        <v>0.491468635634268</v>
      </c>
      <c r="N256" s="53" t="n">
        <f aca="false">IF(G256="","",MIN(1,G256+1.96*L256/100))</f>
        <v>0.579463214157109</v>
      </c>
      <c r="O256" s="52" t="n">
        <f aca="false">ROUND(S256*W256,0)</f>
        <v>64</v>
      </c>
      <c r="P256" s="52" t="n">
        <f aca="false">IF(F256="","",ROUND(SQRT((F256*L256/100)^2+(G256*O256)^2),0))</f>
        <v>38</v>
      </c>
      <c r="R256" s="54" t="n">
        <v>2.40174609985459</v>
      </c>
      <c r="S256" s="55" t="n">
        <f aca="false">U256*V256*$F$5</f>
        <v>718.755218216319</v>
      </c>
      <c r="T256" s="56" t="n">
        <f aca="false">MAX(0,MIN(1,R256/100+$D$5))</f>
        <v>0.536010875517311</v>
      </c>
      <c r="U256" s="56" t="n">
        <v>0.675521821631879</v>
      </c>
      <c r="V256" s="55" t="n">
        <v>1064</v>
      </c>
      <c r="W256" s="56" t="n">
        <v>0.0887445098984521</v>
      </c>
      <c r="X256" s="57" t="s">
        <v>135</v>
      </c>
      <c r="Y256" s="57" t="s">
        <v>130</v>
      </c>
    </row>
    <row r="257" customFormat="false" ht="15" hidden="false" customHeight="false" outlineLevel="0" collapsed="false">
      <c r="A257" s="25" t="s">
        <v>385</v>
      </c>
      <c r="B257" s="25" t="s">
        <v>418</v>
      </c>
      <c r="C257" s="25" t="s">
        <v>420</v>
      </c>
      <c r="D257" s="52" t="n">
        <f aca="false">ROUND(S257*T257,0)</f>
        <v>496</v>
      </c>
      <c r="E257" s="52" t="n">
        <f aca="false">ROUND(S257,0)-D257</f>
        <v>433</v>
      </c>
      <c r="F257" s="52" t="n">
        <f aca="false">IF(COUNTA(D257:E257)=0,"",SUM(D257:E257))</f>
        <v>929</v>
      </c>
      <c r="G257" s="53" t="n">
        <f aca="false">IF(OR(F257="",F257=0),"",D257/F257)</f>
        <v>0.533907427341227</v>
      </c>
      <c r="H257" s="53" t="n">
        <f aca="false">IF(OR(F257="",F257=0),"",E257/F257)</f>
        <v>0.466092572658773</v>
      </c>
      <c r="I257" s="25" t="s">
        <v>128</v>
      </c>
      <c r="J257" s="28" t="n">
        <v>2.22489971008846</v>
      </c>
      <c r="K257" s="28" t="n">
        <f aca="false">$K$8</f>
        <v>0.297938238782275</v>
      </c>
      <c r="L257" s="28" t="n">
        <f aca="false">SQRT(J257^2+K257^2)</f>
        <v>2.24475965619494</v>
      </c>
      <c r="M257" s="53" t="n">
        <f aca="false">IF(G257="","",MAX(0,G257-1.96*L257/100))</f>
        <v>0.489910138079806</v>
      </c>
      <c r="N257" s="53" t="n">
        <f aca="false">IF(G257="","",MIN(1,G257+1.96*L257/100))</f>
        <v>0.577904716602648</v>
      </c>
      <c r="O257" s="52" t="n">
        <f aca="false">ROUND(S257*W257,0)</f>
        <v>82</v>
      </c>
      <c r="P257" s="52" t="n">
        <f aca="false">IF(F257="","",ROUND(SQRT((F257*L257/100)^2+(G257*O257)^2),0))</f>
        <v>48</v>
      </c>
      <c r="R257" s="54" t="n">
        <v>2.21514201851493</v>
      </c>
      <c r="S257" s="55" t="n">
        <f aca="false">U257*V257*$F$5</f>
        <v>929.064439140811</v>
      </c>
      <c r="T257" s="56" t="n">
        <f aca="false">MAX(0,MIN(1,R257/100+$D$5))</f>
        <v>0.534144834703914</v>
      </c>
      <c r="U257" s="56" t="n">
        <v>0.720763723150358</v>
      </c>
      <c r="V257" s="55" t="n">
        <v>1289</v>
      </c>
      <c r="W257" s="56" t="n">
        <v>0.0887445098984521</v>
      </c>
      <c r="X257" s="57" t="s">
        <v>135</v>
      </c>
      <c r="Y257" s="57" t="s">
        <v>130</v>
      </c>
    </row>
    <row r="258" customFormat="false" ht="15" hidden="false" customHeight="false" outlineLevel="0" collapsed="false">
      <c r="A258" s="25" t="s">
        <v>385</v>
      </c>
      <c r="B258" s="25" t="s">
        <v>418</v>
      </c>
      <c r="C258" s="25" t="s">
        <v>421</v>
      </c>
      <c r="D258" s="52" t="n">
        <f aca="false">ROUND(S258*T258,0)</f>
        <v>544</v>
      </c>
      <c r="E258" s="52" t="n">
        <f aca="false">ROUND(S258,0)-D258</f>
        <v>446</v>
      </c>
      <c r="F258" s="52" t="n">
        <f aca="false">IF(COUNTA(D258:E258)=0,"",SUM(D258:E258))</f>
        <v>990</v>
      </c>
      <c r="G258" s="53" t="n">
        <f aca="false">IF(OR(F258="",F258=0),"",D258/F258)</f>
        <v>0.54949494949495</v>
      </c>
      <c r="H258" s="53" t="n">
        <f aca="false">IF(OR(F258="",F258=0),"",E258/F258)</f>
        <v>0.450505050505051</v>
      </c>
      <c r="I258" s="25" t="s">
        <v>128</v>
      </c>
      <c r="J258" s="28" t="n">
        <v>2.08262589216041</v>
      </c>
      <c r="K258" s="28" t="n">
        <f aca="false">$K$8</f>
        <v>0.297938238782275</v>
      </c>
      <c r="L258" s="28" t="n">
        <f aca="false">SQRT(J258^2+K258^2)</f>
        <v>2.1038293183682</v>
      </c>
      <c r="M258" s="53" t="n">
        <f aca="false">IF(G258="","",MAX(0,G258-1.96*L258/100))</f>
        <v>0.508259894854933</v>
      </c>
      <c r="N258" s="53" t="n">
        <f aca="false">IF(G258="","",MIN(1,G258+1.96*L258/100))</f>
        <v>0.590730004134966</v>
      </c>
      <c r="O258" s="52" t="n">
        <f aca="false">ROUND(S258*W258,0)</f>
        <v>68</v>
      </c>
      <c r="P258" s="52" t="n">
        <f aca="false">IF(F258="","",ROUND(SQRT((F258*L258/100)^2+(G258*O258)^2),0))</f>
        <v>43</v>
      </c>
      <c r="R258" s="54" t="n">
        <v>3.77093039849994</v>
      </c>
      <c r="S258" s="55" t="n">
        <f aca="false">U258*V258*$F$5</f>
        <v>990.257425742575</v>
      </c>
      <c r="T258" s="56" t="n">
        <f aca="false">MAX(0,MIN(1,R258/100+$D$5))</f>
        <v>0.549702718503764</v>
      </c>
      <c r="U258" s="56" t="n">
        <v>0.601980198019802</v>
      </c>
      <c r="V258" s="55" t="n">
        <v>1645</v>
      </c>
      <c r="W258" s="56" t="n">
        <v>0.0684752145190268</v>
      </c>
      <c r="X258" s="57" t="s">
        <v>168</v>
      </c>
      <c r="Y258" s="57" t="s">
        <v>130</v>
      </c>
    </row>
    <row r="259" customFormat="false" ht="15" hidden="false" customHeight="false" outlineLevel="0" collapsed="false">
      <c r="A259" s="25" t="s">
        <v>385</v>
      </c>
      <c r="B259" s="25" t="s">
        <v>418</v>
      </c>
      <c r="C259" s="25" t="s">
        <v>422</v>
      </c>
      <c r="D259" s="52" t="n">
        <f aca="false">ROUND(S259*T259,0)</f>
        <v>262</v>
      </c>
      <c r="E259" s="52" t="n">
        <f aca="false">ROUND(S259,0)-D259</f>
        <v>252</v>
      </c>
      <c r="F259" s="52" t="n">
        <f aca="false">IF(COUNTA(D259:E259)=0,"",SUM(D259:E259))</f>
        <v>514</v>
      </c>
      <c r="G259" s="53" t="n">
        <f aca="false">IF(OR(F259="",F259=0),"",D259/F259)</f>
        <v>0.509727626459144</v>
      </c>
      <c r="H259" s="53" t="n">
        <f aca="false">IF(OR(F259="",F259=0),"",E259/F259)</f>
        <v>0.490272373540856</v>
      </c>
      <c r="I259" s="25" t="s">
        <v>128</v>
      </c>
      <c r="J259" s="28" t="n">
        <v>3.1978281706008</v>
      </c>
      <c r="K259" s="28" t="n">
        <f aca="false">$K$8</f>
        <v>0.297938238782275</v>
      </c>
      <c r="L259" s="28" t="n">
        <f aca="false">SQRT(J259^2+K259^2)</f>
        <v>3.21167747490571</v>
      </c>
      <c r="M259" s="53" t="n">
        <f aca="false">IF(G259="","",MAX(0,G259-1.96*L259/100))</f>
        <v>0.446778747950992</v>
      </c>
      <c r="N259" s="53" t="n">
        <f aca="false">IF(G259="","",MIN(1,G259+1.96*L259/100))</f>
        <v>0.572676504967296</v>
      </c>
      <c r="O259" s="52" t="n">
        <f aca="false">ROUND(S259*W259,0)</f>
        <v>76</v>
      </c>
      <c r="P259" s="52" t="n">
        <f aca="false">IF(F259="","",ROUND(SQRT((F259*L259/100)^2+(G259*O259)^2),0))</f>
        <v>42</v>
      </c>
      <c r="R259" s="54" t="n">
        <v>-0.128490542730528</v>
      </c>
      <c r="S259" s="55" t="n">
        <f aca="false">U259*V259*$F$5</f>
        <v>513.768181818182</v>
      </c>
      <c r="T259" s="56" t="n">
        <f aca="false">MAX(0,MIN(1,R259/100+$D$5))</f>
        <v>0.510708509091459</v>
      </c>
      <c r="U259" s="56" t="n">
        <v>0.547727272727273</v>
      </c>
      <c r="V259" s="55" t="n">
        <v>938</v>
      </c>
      <c r="W259" s="56" t="n">
        <v>0.148097331980838</v>
      </c>
      <c r="X259" s="57" t="s">
        <v>129</v>
      </c>
      <c r="Y259" s="57" t="s">
        <v>130</v>
      </c>
    </row>
    <row r="260" customFormat="false" ht="15" hidden="false" customHeight="false" outlineLevel="0" collapsed="false">
      <c r="A260" s="25" t="s">
        <v>385</v>
      </c>
      <c r="B260" s="25" t="s">
        <v>418</v>
      </c>
      <c r="C260" s="25" t="s">
        <v>423</v>
      </c>
      <c r="D260" s="52" t="n">
        <f aca="false">ROUND(S260*T260,0)</f>
        <v>445</v>
      </c>
      <c r="E260" s="52" t="n">
        <f aca="false">ROUND(S260,0)-D260</f>
        <v>347</v>
      </c>
      <c r="F260" s="52" t="n">
        <f aca="false">IF(COUNTA(D260:E260)=0,"",SUM(D260:E260))</f>
        <v>792</v>
      </c>
      <c r="G260" s="53" t="n">
        <f aca="false">IF(OR(F260="",F260=0),"",D260/F260)</f>
        <v>0.561868686868687</v>
      </c>
      <c r="H260" s="53" t="n">
        <f aca="false">IF(OR(F260="",F260=0),"",E260/F260)</f>
        <v>0.438131313131313</v>
      </c>
      <c r="I260" s="25" t="s">
        <v>128</v>
      </c>
      <c r="J260" s="28" t="n">
        <v>2.22489971008846</v>
      </c>
      <c r="K260" s="28" t="n">
        <f aca="false">$K$8</f>
        <v>0.297938238782275</v>
      </c>
      <c r="L260" s="28" t="n">
        <f aca="false">SQRT(J260^2+K260^2)</f>
        <v>2.24475965619494</v>
      </c>
      <c r="M260" s="53" t="n">
        <f aca="false">IF(G260="","",MAX(0,G260-1.96*L260/100))</f>
        <v>0.517871397607266</v>
      </c>
      <c r="N260" s="53" t="n">
        <f aca="false">IF(G260="","",MIN(1,G260+1.96*L260/100))</f>
        <v>0.605865976130108</v>
      </c>
      <c r="O260" s="52" t="n">
        <f aca="false">ROUND(S260*W260,0)</f>
        <v>70</v>
      </c>
      <c r="P260" s="52" t="n">
        <f aca="false">IF(F260="","",ROUND(SQRT((F260*L260/100)^2+(G260*O260)^2),0))</f>
        <v>43</v>
      </c>
      <c r="R260" s="54" t="n">
        <v>5.00637727895407</v>
      </c>
      <c r="S260" s="55" t="n">
        <f aca="false">U260*V260*$F$5</f>
        <v>792.466367713005</v>
      </c>
      <c r="T260" s="56" t="n">
        <f aca="false">MAX(0,MIN(1,R260/100+$D$5))</f>
        <v>0.562057187308305</v>
      </c>
      <c r="U260" s="56" t="n">
        <v>0.56203288490284</v>
      </c>
      <c r="V260" s="55" t="n">
        <v>1410</v>
      </c>
      <c r="W260" s="56" t="n">
        <v>0.0887445098984521</v>
      </c>
      <c r="X260" s="57" t="s">
        <v>135</v>
      </c>
      <c r="Y260" s="57" t="s">
        <v>130</v>
      </c>
    </row>
    <row r="261" customFormat="false" ht="15" hidden="false" customHeight="false" outlineLevel="0" collapsed="false">
      <c r="A261" s="25" t="s">
        <v>385</v>
      </c>
      <c r="B261" s="25" t="s">
        <v>418</v>
      </c>
      <c r="C261" s="25" t="s">
        <v>424</v>
      </c>
      <c r="D261" s="52" t="n">
        <f aca="false">ROUND(S261*T261,0)</f>
        <v>449</v>
      </c>
      <c r="E261" s="52" t="n">
        <f aca="false">ROUND(S261,0)-D261</f>
        <v>391</v>
      </c>
      <c r="F261" s="52" t="n">
        <f aca="false">IF(COUNTA(D261:E261)=0,"",SUM(D261:E261))</f>
        <v>840</v>
      </c>
      <c r="G261" s="53" t="n">
        <f aca="false">IF(OR(F261="",F261=0),"",D261/F261)</f>
        <v>0.53452380952381</v>
      </c>
      <c r="H261" s="53" t="n">
        <f aca="false">IF(OR(F261="",F261=0),"",E261/F261)</f>
        <v>0.465476190476191</v>
      </c>
      <c r="I261" s="25" t="s">
        <v>128</v>
      </c>
      <c r="J261" s="28" t="n">
        <v>2.22489971008846</v>
      </c>
      <c r="K261" s="28" t="n">
        <f aca="false">$K$8</f>
        <v>0.297938238782275</v>
      </c>
      <c r="L261" s="28" t="n">
        <f aca="false">SQRT(J261^2+K261^2)</f>
        <v>2.24475965619494</v>
      </c>
      <c r="M261" s="53" t="n">
        <f aca="false">IF(G261="","",MAX(0,G261-1.96*L261/100))</f>
        <v>0.490526520262389</v>
      </c>
      <c r="N261" s="53" t="n">
        <f aca="false">IF(G261="","",MIN(1,G261+1.96*L261/100))</f>
        <v>0.57852109878523</v>
      </c>
      <c r="O261" s="52" t="n">
        <f aca="false">ROUND(S261*W261,0)</f>
        <v>75</v>
      </c>
      <c r="P261" s="52" t="n">
        <f aca="false">IF(F261="","",ROUND(SQRT((F261*L261/100)^2+(G261*O261)^2),0))</f>
        <v>44</v>
      </c>
      <c r="R261" s="54" t="n">
        <v>2.30885483329004</v>
      </c>
      <c r="S261" s="55" t="n">
        <f aca="false">U261*V261*$F$5</f>
        <v>839.707716289945</v>
      </c>
      <c r="T261" s="56" t="n">
        <f aca="false">MAX(0,MIN(1,R261/100+$D$5))</f>
        <v>0.535081962851665</v>
      </c>
      <c r="U261" s="56" t="n">
        <v>0.624318004676539</v>
      </c>
      <c r="V261" s="55" t="n">
        <v>1345</v>
      </c>
      <c r="W261" s="56" t="n">
        <v>0.0887445098984521</v>
      </c>
      <c r="X261" s="57" t="s">
        <v>135</v>
      </c>
      <c r="Y261" s="57" t="s">
        <v>130</v>
      </c>
    </row>
    <row r="262" customFormat="false" ht="15" hidden="false" customHeight="false" outlineLevel="0" collapsed="false">
      <c r="A262" s="25" t="s">
        <v>385</v>
      </c>
      <c r="B262" s="25" t="s">
        <v>418</v>
      </c>
      <c r="C262" s="25" t="s">
        <v>425</v>
      </c>
      <c r="D262" s="52" t="n">
        <f aca="false">ROUND(S262*T262,0)</f>
        <v>284</v>
      </c>
      <c r="E262" s="52" t="n">
        <f aca="false">ROUND(S262,0)-D262</f>
        <v>230</v>
      </c>
      <c r="F262" s="52" t="n">
        <f aca="false">IF(COUNTA(D262:E262)=0,"",SUM(D262:E262))</f>
        <v>514</v>
      </c>
      <c r="G262" s="53" t="n">
        <f aca="false">IF(OR(F262="",F262=0),"",D262/F262)</f>
        <v>0.552529182879378</v>
      </c>
      <c r="H262" s="53" t="n">
        <f aca="false">IF(OR(F262="",F262=0),"",E262/F262)</f>
        <v>0.447470817120623</v>
      </c>
      <c r="I262" s="25" t="s">
        <v>128</v>
      </c>
      <c r="J262" s="28" t="n">
        <v>3.1978281706008</v>
      </c>
      <c r="K262" s="28" t="n">
        <f aca="false">$K$8</f>
        <v>0.297938238782275</v>
      </c>
      <c r="L262" s="28" t="n">
        <f aca="false">SQRT(J262^2+K262^2)</f>
        <v>3.21167747490571</v>
      </c>
      <c r="M262" s="53" t="n">
        <f aca="false">IF(G262="","",MAX(0,G262-1.96*L262/100))</f>
        <v>0.489580304371226</v>
      </c>
      <c r="N262" s="53" t="n">
        <f aca="false">IF(G262="","",MIN(1,G262+1.96*L262/100))</f>
        <v>0.615478061387529</v>
      </c>
      <c r="O262" s="52" t="n">
        <f aca="false">ROUND(S262*W262,0)</f>
        <v>76</v>
      </c>
      <c r="P262" s="52" t="n">
        <f aca="false">IF(F262="","",ROUND(SQRT((F262*L262/100)^2+(G262*O262)^2),0))</f>
        <v>45</v>
      </c>
      <c r="R262" s="54" t="n">
        <v>3.95229004391838</v>
      </c>
      <c r="S262" s="55" t="n">
        <f aca="false">U262*V262*$F$5</f>
        <v>514.18359375</v>
      </c>
      <c r="T262" s="56" t="n">
        <f aca="false">MAX(0,MIN(1,R262/100+$D$5))</f>
        <v>0.551516314957948</v>
      </c>
      <c r="U262" s="56" t="n">
        <v>0.641927083333333</v>
      </c>
      <c r="V262" s="55" t="n">
        <v>801</v>
      </c>
      <c r="W262" s="56" t="n">
        <v>0.148097331980838</v>
      </c>
      <c r="X262" s="57" t="s">
        <v>129</v>
      </c>
      <c r="Y262" s="57" t="s">
        <v>130</v>
      </c>
    </row>
    <row r="263" customFormat="false" ht="15" hidden="false" customHeight="false" outlineLevel="0" collapsed="false">
      <c r="A263" s="25" t="s">
        <v>385</v>
      </c>
      <c r="B263" s="25" t="s">
        <v>418</v>
      </c>
      <c r="C263" s="25" t="s">
        <v>426</v>
      </c>
      <c r="D263" s="52" t="n">
        <f aca="false">ROUND(S263*T263,0)</f>
        <v>407</v>
      </c>
      <c r="E263" s="52" t="n">
        <f aca="false">ROUND(S263,0)-D263</f>
        <v>299</v>
      </c>
      <c r="F263" s="52" t="n">
        <f aca="false">IF(COUNTA(D263:E263)=0,"",SUM(D263:E263))</f>
        <v>706</v>
      </c>
      <c r="G263" s="53" t="n">
        <f aca="false">IF(OR(F263="",F263=0),"",D263/F263)</f>
        <v>0.576487252124646</v>
      </c>
      <c r="H263" s="53" t="n">
        <f aca="false">IF(OR(F263="",F263=0),"",E263/F263)</f>
        <v>0.423512747875354</v>
      </c>
      <c r="I263" s="25" t="s">
        <v>128</v>
      </c>
      <c r="J263" s="28" t="n">
        <v>2.22489971008846</v>
      </c>
      <c r="K263" s="28" t="n">
        <f aca="false">$K$8</f>
        <v>0.297938238782275</v>
      </c>
      <c r="L263" s="28" t="n">
        <f aca="false">SQRT(J263^2+K263^2)</f>
        <v>2.24475965619494</v>
      </c>
      <c r="M263" s="53" t="n">
        <f aca="false">IF(G263="","",MAX(0,G263-1.96*L263/100))</f>
        <v>0.532489962863225</v>
      </c>
      <c r="N263" s="53" t="n">
        <f aca="false">IF(G263="","",MIN(1,G263+1.96*L263/100))</f>
        <v>0.620484541386067</v>
      </c>
      <c r="O263" s="52" t="n">
        <f aca="false">ROUND(S263*W263,0)</f>
        <v>63</v>
      </c>
      <c r="P263" s="52" t="n">
        <f aca="false">IF(F263="","",ROUND(SQRT((F263*L263/100)^2+(G263*O263)^2),0))</f>
        <v>40</v>
      </c>
      <c r="R263" s="54" t="n">
        <v>6.43568913398262</v>
      </c>
      <c r="S263" s="55" t="n">
        <f aca="false">U263*V263*$F$5</f>
        <v>705.860894941635</v>
      </c>
      <c r="T263" s="56" t="n">
        <f aca="false">MAX(0,MIN(1,R263/100+$D$5))</f>
        <v>0.576350305858591</v>
      </c>
      <c r="U263" s="56" t="n">
        <v>0.607976653696498</v>
      </c>
      <c r="V263" s="55" t="n">
        <v>1161</v>
      </c>
      <c r="W263" s="56" t="n">
        <v>0.0887445098984521</v>
      </c>
      <c r="X263" s="57" t="s">
        <v>135</v>
      </c>
      <c r="Y263" s="57" t="s">
        <v>130</v>
      </c>
    </row>
    <row r="264" customFormat="false" ht="15" hidden="false" customHeight="false" outlineLevel="0" collapsed="false">
      <c r="A264" s="25" t="s">
        <v>385</v>
      </c>
      <c r="B264" s="25" t="s">
        <v>418</v>
      </c>
      <c r="C264" s="25" t="s">
        <v>427</v>
      </c>
      <c r="D264" s="52" t="n">
        <f aca="false">ROUND(S264*T264,0)</f>
        <v>255</v>
      </c>
      <c r="E264" s="52" t="n">
        <f aca="false">ROUND(S264,0)-D264</f>
        <v>174</v>
      </c>
      <c r="F264" s="52" t="n">
        <f aca="false">IF(COUNTA(D264:E264)=0,"",SUM(D264:E264))</f>
        <v>429</v>
      </c>
      <c r="G264" s="53" t="n">
        <f aca="false">IF(OR(F264="",F264=0),"",D264/F264)</f>
        <v>0.594405594405594</v>
      </c>
      <c r="H264" s="53" t="n">
        <f aca="false">IF(OR(F264="",F264=0),"",E264/F264)</f>
        <v>0.405594405594406</v>
      </c>
      <c r="I264" s="25" t="s">
        <v>128</v>
      </c>
      <c r="J264" s="28" t="n">
        <v>3.1978281706008</v>
      </c>
      <c r="K264" s="28" t="n">
        <f aca="false">$K$8</f>
        <v>0.297938238782275</v>
      </c>
      <c r="L264" s="28" t="n">
        <f aca="false">SQRT(J264^2+K264^2)</f>
        <v>3.21167747490571</v>
      </c>
      <c r="M264" s="53" t="n">
        <f aca="false">IF(G264="","",MAX(0,G264-1.96*L264/100))</f>
        <v>0.531456715897443</v>
      </c>
      <c r="N264" s="53" t="n">
        <f aca="false">IF(G264="","",MIN(1,G264+1.96*L264/100))</f>
        <v>0.657354472913746</v>
      </c>
      <c r="O264" s="52" t="n">
        <f aca="false">ROUND(S264*W264,0)</f>
        <v>64</v>
      </c>
      <c r="P264" s="52" t="n">
        <f aca="false">IF(F264="","",ROUND(SQRT((F264*L264/100)^2+(G264*O264)^2),0))</f>
        <v>40</v>
      </c>
      <c r="R264" s="54" t="n">
        <v>8.18240553302872</v>
      </c>
      <c r="S264" s="55" t="n">
        <f aca="false">U264*V264*$F$5</f>
        <v>429.344262295082</v>
      </c>
      <c r="T264" s="56" t="n">
        <f aca="false">MAX(0,MIN(1,R264/100+$D$5))</f>
        <v>0.593817469849052</v>
      </c>
      <c r="U264" s="56" t="n">
        <v>0.55327868852459</v>
      </c>
      <c r="V264" s="55" t="n">
        <v>776</v>
      </c>
      <c r="W264" s="56" t="n">
        <v>0.148097331980838</v>
      </c>
      <c r="X264" s="57" t="s">
        <v>129</v>
      </c>
      <c r="Y264" s="57" t="s">
        <v>130</v>
      </c>
    </row>
    <row r="265" customFormat="false" ht="15" hidden="false" customHeight="false" outlineLevel="0" collapsed="false">
      <c r="A265" s="25" t="s">
        <v>385</v>
      </c>
      <c r="B265" s="25" t="s">
        <v>418</v>
      </c>
      <c r="C265" s="25" t="s">
        <v>428</v>
      </c>
      <c r="D265" s="52" t="n">
        <f aca="false">ROUND(S265*T265,0)</f>
        <v>280</v>
      </c>
      <c r="E265" s="52" t="n">
        <f aca="false">ROUND(S265,0)-D265</f>
        <v>264</v>
      </c>
      <c r="F265" s="52" t="n">
        <f aca="false">IF(COUNTA(D265:E265)=0,"",SUM(D265:E265))</f>
        <v>544</v>
      </c>
      <c r="G265" s="53" t="n">
        <f aca="false">IF(OR(F265="",F265=0),"",D265/F265)</f>
        <v>0.514705882352941</v>
      </c>
      <c r="H265" s="53" t="n">
        <f aca="false">IF(OR(F265="",F265=0),"",E265/F265)</f>
        <v>0.485294117647059</v>
      </c>
      <c r="I265" s="25" t="s">
        <v>128</v>
      </c>
      <c r="J265" s="28" t="n">
        <v>3.1978281706008</v>
      </c>
      <c r="K265" s="28" t="n">
        <f aca="false">$K$8</f>
        <v>0.297938238782275</v>
      </c>
      <c r="L265" s="28" t="n">
        <f aca="false">SQRT(J265^2+K265^2)</f>
        <v>3.21167747490571</v>
      </c>
      <c r="M265" s="53" t="n">
        <f aca="false">IF(G265="","",MAX(0,G265-1.96*L265/100))</f>
        <v>0.451757003844789</v>
      </c>
      <c r="N265" s="53" t="n">
        <f aca="false">IF(G265="","",MIN(1,G265+1.96*L265/100))</f>
        <v>0.577654760861093</v>
      </c>
      <c r="O265" s="52" t="n">
        <f aca="false">ROUND(S265*W265,0)</f>
        <v>81</v>
      </c>
      <c r="P265" s="52" t="n">
        <f aca="false">IF(F265="","",ROUND(SQRT((F265*L265/100)^2+(G265*O265)^2),0))</f>
        <v>45</v>
      </c>
      <c r="R265" s="54" t="n">
        <v>0.314783411277597</v>
      </c>
      <c r="S265" s="55" t="n">
        <f aca="false">U265*V265*$F$5</f>
        <v>543.75093399751</v>
      </c>
      <c r="T265" s="56" t="n">
        <f aca="false">MAX(0,MIN(1,R265/100+$D$5))</f>
        <v>0.515141248631541</v>
      </c>
      <c r="U265" s="56" t="n">
        <v>0.687422166874222</v>
      </c>
      <c r="V265" s="55" t="n">
        <v>791</v>
      </c>
      <c r="W265" s="56" t="n">
        <v>0.148097331980838</v>
      </c>
      <c r="X265" s="57" t="s">
        <v>129</v>
      </c>
      <c r="Y265" s="57" t="s">
        <v>130</v>
      </c>
    </row>
    <row r="266" customFormat="false" ht="15" hidden="false" customHeight="false" outlineLevel="0" collapsed="false">
      <c r="A266" s="25" t="s">
        <v>385</v>
      </c>
      <c r="B266" s="25" t="s">
        <v>418</v>
      </c>
      <c r="C266" s="25" t="s">
        <v>429</v>
      </c>
      <c r="D266" s="52" t="n">
        <f aca="false">ROUND(S266*T266,0)</f>
        <v>353</v>
      </c>
      <c r="E266" s="52" t="n">
        <f aca="false">ROUND(S266,0)-D266</f>
        <v>300</v>
      </c>
      <c r="F266" s="52" t="n">
        <f aca="false">IF(COUNTA(D266:E266)=0,"",SUM(D266:E266))</f>
        <v>653</v>
      </c>
      <c r="G266" s="53" t="n">
        <f aca="false">IF(OR(F266="",F266=0),"",D266/F266)</f>
        <v>0.540581929555896</v>
      </c>
      <c r="H266" s="53" t="n">
        <f aca="false">IF(OR(F266="",F266=0),"",E266/F266)</f>
        <v>0.459418070444104</v>
      </c>
      <c r="I266" s="25" t="s">
        <v>128</v>
      </c>
      <c r="J266" s="28" t="n">
        <v>2.22489971008846</v>
      </c>
      <c r="K266" s="28" t="n">
        <f aca="false">$K$8</f>
        <v>0.297938238782275</v>
      </c>
      <c r="L266" s="28" t="n">
        <f aca="false">SQRT(J266^2+K266^2)</f>
        <v>2.24475965619494</v>
      </c>
      <c r="M266" s="53" t="n">
        <f aca="false">IF(G266="","",MAX(0,G266-1.96*L266/100))</f>
        <v>0.496584640294475</v>
      </c>
      <c r="N266" s="53" t="n">
        <f aca="false">IF(G266="","",MIN(1,G266+1.96*L266/100))</f>
        <v>0.584579218817317</v>
      </c>
      <c r="O266" s="52" t="n">
        <f aca="false">ROUND(S266*W266,0)</f>
        <v>58</v>
      </c>
      <c r="P266" s="52" t="n">
        <f aca="false">IF(F266="","",ROUND(SQRT((F266*L266/100)^2+(G266*O266)^2),0))</f>
        <v>35</v>
      </c>
      <c r="R266" s="54" t="n">
        <v>2.80444005409748</v>
      </c>
      <c r="S266" s="55" t="n">
        <f aca="false">U266*V266*$F$5</f>
        <v>652.778593913956</v>
      </c>
      <c r="T266" s="56" t="n">
        <f aca="false">MAX(0,MIN(1,R266/100+$D$5))</f>
        <v>0.54003781505974</v>
      </c>
      <c r="U266" s="56" t="n">
        <v>0.677859391395593</v>
      </c>
      <c r="V266" s="55" t="n">
        <v>963</v>
      </c>
      <c r="W266" s="56" t="n">
        <v>0.0887445098984521</v>
      </c>
      <c r="X266" s="57" t="s">
        <v>135</v>
      </c>
      <c r="Y266" s="57" t="s">
        <v>130</v>
      </c>
    </row>
    <row r="267" customFormat="false" ht="15" hidden="false" customHeight="false" outlineLevel="0" collapsed="false">
      <c r="A267" s="25" t="s">
        <v>385</v>
      </c>
      <c r="B267" s="25" t="s">
        <v>418</v>
      </c>
      <c r="C267" s="25" t="s">
        <v>430</v>
      </c>
      <c r="D267" s="52" t="n">
        <f aca="false">ROUND(S267*T267,0)</f>
        <v>437</v>
      </c>
      <c r="E267" s="52" t="n">
        <f aca="false">ROUND(S267,0)-D267</f>
        <v>333</v>
      </c>
      <c r="F267" s="52" t="n">
        <f aca="false">IF(COUNTA(D267:E267)=0,"",SUM(D267:E267))</f>
        <v>770</v>
      </c>
      <c r="G267" s="53" t="n">
        <f aca="false">IF(OR(F267="",F267=0),"",D267/F267)</f>
        <v>0.567532467532468</v>
      </c>
      <c r="H267" s="53" t="n">
        <f aca="false">IF(OR(F267="",F267=0),"",E267/F267)</f>
        <v>0.432467532467532</v>
      </c>
      <c r="I267" s="25" t="s">
        <v>128</v>
      </c>
      <c r="J267" s="28" t="n">
        <v>2.22489971008846</v>
      </c>
      <c r="K267" s="28" t="n">
        <f aca="false">$K$8</f>
        <v>0.297938238782275</v>
      </c>
      <c r="L267" s="28" t="n">
        <f aca="false">SQRT(J267^2+K267^2)</f>
        <v>2.24475965619494</v>
      </c>
      <c r="M267" s="53" t="n">
        <f aca="false">IF(G267="","",MAX(0,G267-1.96*L267/100))</f>
        <v>0.523535178271047</v>
      </c>
      <c r="N267" s="53" t="n">
        <f aca="false">IF(G267="","",MIN(1,G267+1.96*L267/100))</f>
        <v>0.611529756793888</v>
      </c>
      <c r="O267" s="52" t="n">
        <f aca="false">ROUND(S267*W267,0)</f>
        <v>68</v>
      </c>
      <c r="P267" s="52" t="n">
        <f aca="false">IF(F267="","",ROUND(SQRT((F267*L267/100)^2+(G267*O267)^2),0))</f>
        <v>42</v>
      </c>
      <c r="R267" s="54" t="n">
        <v>5.54592607311964</v>
      </c>
      <c r="S267" s="55" t="n">
        <f aca="false">U267*V267*$F$5</f>
        <v>770.401725790987</v>
      </c>
      <c r="T267" s="56" t="n">
        <f aca="false">MAX(0,MIN(1,R267/100+$D$5))</f>
        <v>0.567452675249961</v>
      </c>
      <c r="U267" s="56" t="n">
        <v>0.674017257909875</v>
      </c>
      <c r="V267" s="55" t="n">
        <v>1143</v>
      </c>
      <c r="W267" s="56" t="n">
        <v>0.0887445098984521</v>
      </c>
      <c r="X267" s="57" t="s">
        <v>135</v>
      </c>
      <c r="Y267" s="57" t="s">
        <v>130</v>
      </c>
    </row>
    <row r="268" customFormat="false" ht="15" hidden="false" customHeight="false" outlineLevel="0" collapsed="false">
      <c r="A268" s="25" t="s">
        <v>385</v>
      </c>
      <c r="B268" s="25" t="s">
        <v>418</v>
      </c>
      <c r="C268" s="25" t="s">
        <v>431</v>
      </c>
      <c r="D268" s="52" t="n">
        <f aca="false">ROUND(S268*T268,0)</f>
        <v>342</v>
      </c>
      <c r="E268" s="52" t="n">
        <f aca="false">ROUND(S268,0)-D268</f>
        <v>325</v>
      </c>
      <c r="F268" s="52" t="n">
        <f aca="false">IF(COUNTA(D268:E268)=0,"",SUM(D268:E268))</f>
        <v>667</v>
      </c>
      <c r="G268" s="53" t="n">
        <f aca="false">IF(OR(F268="",F268=0),"",D268/F268)</f>
        <v>0.512743628185907</v>
      </c>
      <c r="H268" s="53" t="n">
        <f aca="false">IF(OR(F268="",F268=0),"",E268/F268)</f>
        <v>0.487256371814093</v>
      </c>
      <c r="I268" s="25" t="s">
        <v>128</v>
      </c>
      <c r="J268" s="28" t="n">
        <v>2.22489971008846</v>
      </c>
      <c r="K268" s="28" t="n">
        <f aca="false">$K$8</f>
        <v>0.297938238782275</v>
      </c>
      <c r="L268" s="28" t="n">
        <f aca="false">SQRT(J268^2+K268^2)</f>
        <v>2.24475965619494</v>
      </c>
      <c r="M268" s="53" t="n">
        <f aca="false">IF(G268="","",MAX(0,G268-1.96*L268/100))</f>
        <v>0.468746338924486</v>
      </c>
      <c r="N268" s="53" t="n">
        <f aca="false">IF(G268="","",MIN(1,G268+1.96*L268/100))</f>
        <v>0.556740917447328</v>
      </c>
      <c r="O268" s="52" t="n">
        <f aca="false">ROUND(S268*W268,0)</f>
        <v>59</v>
      </c>
      <c r="P268" s="52" t="n">
        <f aca="false">IF(F268="","",ROUND(SQRT((F268*L268/100)^2+(G268*O268)^2),0))</f>
        <v>34</v>
      </c>
      <c r="R268" s="54" t="n">
        <v>0.102030628242022</v>
      </c>
      <c r="S268" s="55" t="n">
        <f aca="false">U268*V268*$F$5</f>
        <v>666.944444444445</v>
      </c>
      <c r="T268" s="56" t="n">
        <f aca="false">MAX(0,MIN(1,R268/100+$D$5))</f>
        <v>0.513013720801185</v>
      </c>
      <c r="U268" s="56" t="n">
        <v>0.614695340501792</v>
      </c>
      <c r="V268" s="55" t="n">
        <v>1085</v>
      </c>
      <c r="W268" s="56" t="n">
        <v>0.0887445098984521</v>
      </c>
      <c r="X268" s="57" t="s">
        <v>135</v>
      </c>
      <c r="Y268" s="57" t="s">
        <v>130</v>
      </c>
    </row>
    <row r="269" customFormat="false" ht="15" hidden="false" customHeight="false" outlineLevel="0" collapsed="false">
      <c r="A269" s="25" t="s">
        <v>385</v>
      </c>
      <c r="B269" s="25" t="s">
        <v>418</v>
      </c>
      <c r="C269" s="25" t="s">
        <v>432</v>
      </c>
      <c r="D269" s="52" t="n">
        <f aca="false">ROUND(S269*T269,0)</f>
        <v>747</v>
      </c>
      <c r="E269" s="52" t="n">
        <f aca="false">ROUND(S269,0)-D269</f>
        <v>579</v>
      </c>
      <c r="F269" s="52" t="n">
        <f aca="false">IF(COUNTA(D269:E269)=0,"",SUM(D269:E269))</f>
        <v>1326</v>
      </c>
      <c r="G269" s="53" t="n">
        <f aca="false">IF(OR(F269="",F269=0),"",D269/F269)</f>
        <v>0.563348416289593</v>
      </c>
      <c r="H269" s="53" t="n">
        <f aca="false">IF(OR(F269="",F269=0),"",E269/F269)</f>
        <v>0.436651583710407</v>
      </c>
      <c r="I269" s="25" t="s">
        <v>128</v>
      </c>
      <c r="J269" s="28" t="n">
        <v>2.08262589216041</v>
      </c>
      <c r="K269" s="28" t="n">
        <f aca="false">$K$8</f>
        <v>0.297938238782275</v>
      </c>
      <c r="L269" s="28" t="n">
        <f aca="false">SQRT(J269^2+K269^2)</f>
        <v>2.1038293183682</v>
      </c>
      <c r="M269" s="53" t="n">
        <f aca="false">IF(G269="","",MAX(0,G269-1.96*L269/100))</f>
        <v>0.522113361649576</v>
      </c>
      <c r="N269" s="53" t="n">
        <f aca="false">IF(G269="","",MIN(1,G269+1.96*L269/100))</f>
        <v>0.60458347092961</v>
      </c>
      <c r="O269" s="52" t="n">
        <f aca="false">ROUND(S269*W269,0)</f>
        <v>91</v>
      </c>
      <c r="P269" s="52" t="n">
        <f aca="false">IF(F269="","",ROUND(SQRT((F269*L269/100)^2+(G269*O269)^2),0))</f>
        <v>58</v>
      </c>
      <c r="R269" s="54" t="n">
        <v>5.1209887700996</v>
      </c>
      <c r="S269" s="55" t="n">
        <f aca="false">U269*V269*$F$5</f>
        <v>1325.7421875</v>
      </c>
      <c r="T269" s="56" t="n">
        <f aca="false">MAX(0,MIN(1,R269/100+$D$5))</f>
        <v>0.563203302219761</v>
      </c>
      <c r="U269" s="56" t="n">
        <v>0.61376953125</v>
      </c>
      <c r="V269" s="55" t="n">
        <v>2160</v>
      </c>
      <c r="W269" s="56" t="n">
        <v>0.0684752145190268</v>
      </c>
      <c r="X269" s="57" t="s">
        <v>168</v>
      </c>
      <c r="Y269" s="57" t="s">
        <v>130</v>
      </c>
    </row>
    <row r="270" customFormat="false" ht="15" hidden="false" customHeight="false" outlineLevel="0" collapsed="false">
      <c r="A270" s="25" t="s">
        <v>385</v>
      </c>
      <c r="B270" s="25" t="s">
        <v>418</v>
      </c>
      <c r="C270" s="25" t="s">
        <v>433</v>
      </c>
      <c r="D270" s="52" t="n">
        <f aca="false">ROUND(S270*T270,0)</f>
        <v>412</v>
      </c>
      <c r="E270" s="52" t="n">
        <f aca="false">ROUND(S270,0)-D270</f>
        <v>390</v>
      </c>
      <c r="F270" s="52" t="n">
        <f aca="false">IF(COUNTA(D270:E270)=0,"",SUM(D270:E270))</f>
        <v>802</v>
      </c>
      <c r="G270" s="53" t="n">
        <f aca="false">IF(OR(F270="",F270=0),"",D270/F270)</f>
        <v>0.513715710723192</v>
      </c>
      <c r="H270" s="53" t="n">
        <f aca="false">IF(OR(F270="",F270=0),"",E270/F270)</f>
        <v>0.486284289276808</v>
      </c>
      <c r="I270" s="25" t="s">
        <v>128</v>
      </c>
      <c r="J270" s="28" t="n">
        <v>2.22489971008846</v>
      </c>
      <c r="K270" s="28" t="n">
        <f aca="false">$K$8</f>
        <v>0.297938238782275</v>
      </c>
      <c r="L270" s="28" t="n">
        <f aca="false">SQRT(J270^2+K270^2)</f>
        <v>2.24475965619494</v>
      </c>
      <c r="M270" s="53" t="n">
        <f aca="false">IF(G270="","",MAX(0,G270-1.96*L270/100))</f>
        <v>0.469718421461771</v>
      </c>
      <c r="N270" s="53" t="n">
        <f aca="false">IF(G270="","",MIN(1,G270+1.96*L270/100))</f>
        <v>0.557712999984613</v>
      </c>
      <c r="O270" s="52" t="n">
        <f aca="false">ROUND(S270*W270,0)</f>
        <v>71</v>
      </c>
      <c r="P270" s="52" t="n">
        <f aca="false">IF(F270="","",ROUND(SQRT((F270*L270/100)^2+(G270*O270)^2),0))</f>
        <v>41</v>
      </c>
      <c r="R270" s="54" t="n">
        <v>0.110966006424799</v>
      </c>
      <c r="S270" s="55" t="n">
        <f aca="false">U270*V270*$F$5</f>
        <v>802.258193445244</v>
      </c>
      <c r="T270" s="56" t="n">
        <f aca="false">MAX(0,MIN(1,R270/100+$D$5))</f>
        <v>0.513103074583013</v>
      </c>
      <c r="U270" s="56" t="n">
        <v>0.619504396482814</v>
      </c>
      <c r="V270" s="55" t="n">
        <v>1295</v>
      </c>
      <c r="W270" s="56" t="n">
        <v>0.0887445098984521</v>
      </c>
      <c r="X270" s="57" t="s">
        <v>135</v>
      </c>
      <c r="Y270" s="57" t="s">
        <v>130</v>
      </c>
    </row>
    <row r="271" customFormat="false" ht="15" hidden="false" customHeight="false" outlineLevel="0" collapsed="false">
      <c r="A271" s="25" t="s">
        <v>385</v>
      </c>
      <c r="B271" s="25" t="s">
        <v>418</v>
      </c>
      <c r="C271" s="25" t="s">
        <v>434</v>
      </c>
      <c r="D271" s="52" t="n">
        <f aca="false">ROUND(S271*T271,0)</f>
        <v>409</v>
      </c>
      <c r="E271" s="52" t="n">
        <f aca="false">ROUND(S271,0)-D271</f>
        <v>374</v>
      </c>
      <c r="F271" s="52" t="n">
        <f aca="false">IF(COUNTA(D271:E271)=0,"",SUM(D271:E271))</f>
        <v>783</v>
      </c>
      <c r="G271" s="53" t="n">
        <f aca="false">IF(OR(F271="",F271=0),"",D271/F271)</f>
        <v>0.52234993614304</v>
      </c>
      <c r="H271" s="53" t="n">
        <f aca="false">IF(OR(F271="",F271=0),"",E271/F271)</f>
        <v>0.47765006385696</v>
      </c>
      <c r="I271" s="25" t="s">
        <v>128</v>
      </c>
      <c r="J271" s="28" t="n">
        <v>2.22489971008846</v>
      </c>
      <c r="K271" s="28" t="n">
        <f aca="false">$K$8</f>
        <v>0.297938238782275</v>
      </c>
      <c r="L271" s="28" t="n">
        <f aca="false">SQRT(J271^2+K271^2)</f>
        <v>2.24475965619494</v>
      </c>
      <c r="M271" s="53" t="n">
        <f aca="false">IF(G271="","",MAX(0,G271-1.96*L271/100))</f>
        <v>0.478352646881619</v>
      </c>
      <c r="N271" s="53" t="n">
        <f aca="false">IF(G271="","",MIN(1,G271+1.96*L271/100))</f>
        <v>0.56634722540446</v>
      </c>
      <c r="O271" s="52" t="n">
        <f aca="false">ROUND(S271*W271,0)</f>
        <v>69</v>
      </c>
      <c r="P271" s="52" t="n">
        <f aca="false">IF(F271="","",ROUND(SQRT((F271*L271/100)^2+(G271*O271)^2),0))</f>
        <v>40</v>
      </c>
      <c r="R271" s="54" t="n">
        <v>1.11811694488241</v>
      </c>
      <c r="S271" s="55" t="n">
        <f aca="false">U271*V271*$F$5</f>
        <v>782.654941373534</v>
      </c>
      <c r="T271" s="56" t="n">
        <f aca="false">MAX(0,MIN(1,R271/100+$D$5))</f>
        <v>0.523174583967589</v>
      </c>
      <c r="U271" s="56" t="n">
        <v>0.654941373534338</v>
      </c>
      <c r="V271" s="55" t="n">
        <v>1195</v>
      </c>
      <c r="W271" s="56" t="n">
        <v>0.0887445098984521</v>
      </c>
      <c r="X271" s="57" t="s">
        <v>135</v>
      </c>
      <c r="Y271" s="57" t="s">
        <v>130</v>
      </c>
    </row>
    <row r="272" customFormat="false" ht="15" hidden="false" customHeight="false" outlineLevel="0" collapsed="false">
      <c r="A272" s="25" t="s">
        <v>385</v>
      </c>
      <c r="B272" s="25" t="s">
        <v>418</v>
      </c>
      <c r="C272" s="25" t="s">
        <v>435</v>
      </c>
      <c r="D272" s="52" t="n">
        <f aca="false">ROUND(S272*T272,0)</f>
        <v>404</v>
      </c>
      <c r="E272" s="52" t="n">
        <f aca="false">ROUND(S272,0)-D272</f>
        <v>353</v>
      </c>
      <c r="F272" s="52" t="n">
        <f aca="false">IF(COUNTA(D272:E272)=0,"",SUM(D272:E272))</f>
        <v>757</v>
      </c>
      <c r="G272" s="53" t="n">
        <f aca="false">IF(OR(F272="",F272=0),"",D272/F272)</f>
        <v>0.533685601056803</v>
      </c>
      <c r="H272" s="53" t="n">
        <f aca="false">IF(OR(F272="",F272=0),"",E272/F272)</f>
        <v>0.466314398943197</v>
      </c>
      <c r="I272" s="25" t="s">
        <v>128</v>
      </c>
      <c r="J272" s="28" t="n">
        <v>2.22489971008846</v>
      </c>
      <c r="K272" s="28" t="n">
        <f aca="false">$K$8</f>
        <v>0.297938238782275</v>
      </c>
      <c r="L272" s="28" t="n">
        <f aca="false">SQRT(J272^2+K272^2)</f>
        <v>2.24475965619494</v>
      </c>
      <c r="M272" s="53" t="n">
        <f aca="false">IF(G272="","",MAX(0,G272-1.96*L272/100))</f>
        <v>0.489688311795382</v>
      </c>
      <c r="N272" s="53" t="n">
        <f aca="false">IF(G272="","",MIN(1,G272+1.96*L272/100))</f>
        <v>0.577682890318224</v>
      </c>
      <c r="O272" s="52" t="n">
        <f aca="false">ROUND(S272*W272,0)</f>
        <v>67</v>
      </c>
      <c r="P272" s="52" t="n">
        <f aca="false">IF(F272="","",ROUND(SQRT((F272*L272/100)^2+(G272*O272)^2),0))</f>
        <v>40</v>
      </c>
      <c r="R272" s="54" t="n">
        <v>2.10095445283586</v>
      </c>
      <c r="S272" s="55" t="n">
        <f aca="false">U272*V272*$F$5</f>
        <v>757.186813186813</v>
      </c>
      <c r="T272" s="56" t="n">
        <f aca="false">MAX(0,MIN(1,R272/100+$D$5))</f>
        <v>0.533002959047123</v>
      </c>
      <c r="U272" s="56" t="n">
        <v>0.637362637362637</v>
      </c>
      <c r="V272" s="55" t="n">
        <v>1188</v>
      </c>
      <c r="W272" s="56" t="n">
        <v>0.0887445098984521</v>
      </c>
      <c r="X272" s="57" t="s">
        <v>135</v>
      </c>
      <c r="Y272" s="57" t="s">
        <v>130</v>
      </c>
    </row>
    <row r="273" customFormat="false" ht="15" hidden="false" customHeight="false" outlineLevel="0" collapsed="false">
      <c r="A273" s="25" t="s">
        <v>385</v>
      </c>
      <c r="B273" s="25" t="s">
        <v>436</v>
      </c>
      <c r="C273" s="25" t="s">
        <v>437</v>
      </c>
      <c r="D273" s="52" t="n">
        <f aca="false">ROUND(S273*T273,0)</f>
        <v>705</v>
      </c>
      <c r="E273" s="52" t="n">
        <f aca="false">ROUND(S273,0)-D273</f>
        <v>1153</v>
      </c>
      <c r="F273" s="52" t="n">
        <f aca="false">IF(COUNTA(D273:E273)=0,"",SUM(D273:E273))</f>
        <v>1858</v>
      </c>
      <c r="G273" s="53" t="n">
        <f aca="false">IF(OR(F273="",F273=0),"",D273/F273)</f>
        <v>0.379440258342304</v>
      </c>
      <c r="H273" s="53" t="n">
        <f aca="false">IF(OR(F273="",F273=0),"",E273/F273)</f>
        <v>0.620559741657697</v>
      </c>
      <c r="I273" s="25" t="s">
        <v>128</v>
      </c>
      <c r="J273" s="28" t="n">
        <v>2.08262589216041</v>
      </c>
      <c r="K273" s="28" t="n">
        <f aca="false">$K$8</f>
        <v>0.297938238782275</v>
      </c>
      <c r="L273" s="28" t="n">
        <f aca="false">SQRT(J273^2+K273^2)</f>
        <v>2.1038293183682</v>
      </c>
      <c r="M273" s="53" t="n">
        <f aca="false">IF(G273="","",MAX(0,G273-1.96*L273/100))</f>
        <v>0.338205203702287</v>
      </c>
      <c r="N273" s="53" t="n">
        <f aca="false">IF(G273="","",MIN(1,G273+1.96*L273/100))</f>
        <v>0.42067531298232</v>
      </c>
      <c r="O273" s="52" t="n">
        <f aca="false">ROUND(S273*W273,0)</f>
        <v>127</v>
      </c>
      <c r="P273" s="52" t="n">
        <f aca="false">IF(F273="","",ROUND(SQRT((F273*L273/100)^2+(G273*O273)^2),0))</f>
        <v>62</v>
      </c>
      <c r="R273" s="54" t="n">
        <v>-13.2597319278523</v>
      </c>
      <c r="S273" s="55" t="n">
        <f aca="false">U273*V273*$F$5</f>
        <v>1857.89473684211</v>
      </c>
      <c r="T273" s="56" t="n">
        <f aca="false">MAX(0,MIN(1,R273/100+$D$5))</f>
        <v>0.379396095240241</v>
      </c>
      <c r="U273" s="56" t="n">
        <v>0.657894736842106</v>
      </c>
      <c r="V273" s="55" t="n">
        <v>2824</v>
      </c>
      <c r="W273" s="56" t="n">
        <v>0.0684752145190268</v>
      </c>
      <c r="X273" s="57" t="s">
        <v>168</v>
      </c>
      <c r="Y273" s="57" t="s">
        <v>130</v>
      </c>
    </row>
    <row r="274" customFormat="false" ht="15" hidden="false" customHeight="false" outlineLevel="0" collapsed="false">
      <c r="A274" s="25" t="s">
        <v>385</v>
      </c>
      <c r="B274" s="25" t="s">
        <v>436</v>
      </c>
      <c r="C274" s="25" t="s">
        <v>438</v>
      </c>
      <c r="D274" s="52" t="n">
        <f aca="false">ROUND(S274*T274,0)</f>
        <v>636</v>
      </c>
      <c r="E274" s="52" t="n">
        <f aca="false">ROUND(S274,0)-D274</f>
        <v>964</v>
      </c>
      <c r="F274" s="52" t="n">
        <f aca="false">IF(COUNTA(D274:E274)=0,"",SUM(D274:E274))</f>
        <v>1600</v>
      </c>
      <c r="G274" s="53" t="n">
        <f aca="false">IF(OR(F274="",F274=0),"",D274/F274)</f>
        <v>0.3975</v>
      </c>
      <c r="H274" s="53" t="n">
        <f aca="false">IF(OR(F274="",F274=0),"",E274/F274)</f>
        <v>0.6025</v>
      </c>
      <c r="I274" s="25" t="s">
        <v>128</v>
      </c>
      <c r="J274" s="28" t="n">
        <v>2.08262589216041</v>
      </c>
      <c r="K274" s="28" t="n">
        <f aca="false">$K$8</f>
        <v>0.297938238782275</v>
      </c>
      <c r="L274" s="28" t="n">
        <f aca="false">SQRT(J274^2+K274^2)</f>
        <v>2.1038293183682</v>
      </c>
      <c r="M274" s="53" t="n">
        <f aca="false">IF(G274="","",MAX(0,G274-1.96*L274/100))</f>
        <v>0.356264945359983</v>
      </c>
      <c r="N274" s="53" t="n">
        <f aca="false">IF(G274="","",MIN(1,G274+1.96*L274/100))</f>
        <v>0.438735054640017</v>
      </c>
      <c r="O274" s="52" t="n">
        <f aca="false">ROUND(S274*W274,0)</f>
        <v>110</v>
      </c>
      <c r="P274" s="52" t="n">
        <f aca="false">IF(F274="","",ROUND(SQRT((F274*L274/100)^2+(G274*O274)^2),0))</f>
        <v>55</v>
      </c>
      <c r="R274" s="54" t="n">
        <v>-11.4625764273313</v>
      </c>
      <c r="S274" s="55" t="n">
        <f aca="false">U274*V274*$F$5</f>
        <v>1600.33208176888</v>
      </c>
      <c r="T274" s="56" t="n">
        <f aca="false">MAX(0,MIN(1,R274/100+$D$5))</f>
        <v>0.397367650245451</v>
      </c>
      <c r="U274" s="56" t="n">
        <v>0.667918231122236</v>
      </c>
      <c r="V274" s="55" t="n">
        <v>2396</v>
      </c>
      <c r="W274" s="56" t="n">
        <v>0.0684752145190268</v>
      </c>
      <c r="X274" s="57" t="s">
        <v>168</v>
      </c>
      <c r="Y274" s="57" t="s">
        <v>130</v>
      </c>
    </row>
    <row r="275" customFormat="false" ht="15" hidden="false" customHeight="false" outlineLevel="0" collapsed="false">
      <c r="A275" s="25" t="s">
        <v>385</v>
      </c>
      <c r="B275" s="25" t="s">
        <v>436</v>
      </c>
      <c r="C275" s="25" t="s">
        <v>439</v>
      </c>
      <c r="D275" s="52" t="n">
        <f aca="false">ROUND(S275*T275,0)</f>
        <v>333</v>
      </c>
      <c r="E275" s="52" t="n">
        <f aca="false">ROUND(S275,0)-D275</f>
        <v>630</v>
      </c>
      <c r="F275" s="52" t="n">
        <f aca="false">IF(COUNTA(D275:E275)=0,"",SUM(D275:E275))</f>
        <v>963</v>
      </c>
      <c r="G275" s="53" t="n">
        <f aca="false">IF(OR(F275="",F275=0),"",D275/F275)</f>
        <v>0.345794392523364</v>
      </c>
      <c r="H275" s="53" t="n">
        <f aca="false">IF(OR(F275="",F275=0),"",E275/F275)</f>
        <v>0.654205607476636</v>
      </c>
      <c r="I275" s="25" t="s">
        <v>128</v>
      </c>
      <c r="J275" s="28" t="n">
        <v>2.08262589216041</v>
      </c>
      <c r="K275" s="28" t="n">
        <f aca="false">$K$8</f>
        <v>0.297938238782275</v>
      </c>
      <c r="L275" s="28" t="n">
        <f aca="false">SQRT(J275^2+K275^2)</f>
        <v>2.1038293183682</v>
      </c>
      <c r="M275" s="53" t="n">
        <f aca="false">IF(G275="","",MAX(0,G275-1.96*L275/100))</f>
        <v>0.304559337883348</v>
      </c>
      <c r="N275" s="53" t="n">
        <f aca="false">IF(G275="","",MIN(1,G275+1.96*L275/100))</f>
        <v>0.387029447163381</v>
      </c>
      <c r="O275" s="52" t="n">
        <f aca="false">ROUND(S275*W275,0)</f>
        <v>66</v>
      </c>
      <c r="P275" s="52" t="n">
        <f aca="false">IF(F275="","",ROUND(SQRT((F275*L275/100)^2+(G275*O275)^2),0))</f>
        <v>31</v>
      </c>
      <c r="R275" s="54" t="n">
        <v>-16.6050668270908</v>
      </c>
      <c r="S275" s="55" t="n">
        <f aca="false">U275*V275*$F$5</f>
        <v>963.38125</v>
      </c>
      <c r="T275" s="56" t="n">
        <f aca="false">MAX(0,MIN(1,R275/100+$D$5))</f>
        <v>0.345942746247857</v>
      </c>
      <c r="U275" s="56" t="n">
        <v>0.640972222222222</v>
      </c>
      <c r="V275" s="55" t="n">
        <v>1503</v>
      </c>
      <c r="W275" s="56" t="n">
        <v>0.0684752145190268</v>
      </c>
      <c r="X275" s="57" t="s">
        <v>168</v>
      </c>
      <c r="Y275" s="57" t="s">
        <v>130</v>
      </c>
    </row>
    <row r="276" customFormat="false" ht="15" hidden="false" customHeight="false" outlineLevel="0" collapsed="false">
      <c r="A276" s="25" t="s">
        <v>385</v>
      </c>
      <c r="B276" s="25" t="s">
        <v>440</v>
      </c>
      <c r="C276" s="25" t="s">
        <v>440</v>
      </c>
      <c r="D276" s="52" t="n">
        <f aca="false">ROUND(S276*T276,0)</f>
        <v>35</v>
      </c>
      <c r="E276" s="52" t="n">
        <f aca="false">ROUND(S276,0)-D276</f>
        <v>62</v>
      </c>
      <c r="F276" s="52" t="n">
        <f aca="false">IF(COUNTA(D276:E276)=0,"",SUM(D276:E276))</f>
        <v>97</v>
      </c>
      <c r="G276" s="53" t="n">
        <f aca="false">IF(OR(F276="",F276=0),"",D276/F276)</f>
        <v>0.360824742268041</v>
      </c>
      <c r="H276" s="53" t="n">
        <f aca="false">IF(OR(F276="",F276=0),"",E276/F276)</f>
        <v>0.639175257731959</v>
      </c>
      <c r="I276" s="25" t="s">
        <v>128</v>
      </c>
      <c r="J276" s="28" t="n">
        <v>3.1978281706008</v>
      </c>
      <c r="K276" s="28" t="n">
        <f aca="false">$K$8</f>
        <v>0.297938238782275</v>
      </c>
      <c r="L276" s="28" t="n">
        <f aca="false">SQRT(J276^2+K276^2)</f>
        <v>3.21167747490571</v>
      </c>
      <c r="M276" s="53" t="n">
        <f aca="false">IF(G276="","",MAX(0,G276-1.96*L276/100))</f>
        <v>0.297875863759889</v>
      </c>
      <c r="N276" s="53" t="n">
        <f aca="false">IF(G276="","",MIN(1,G276+1.96*L276/100))</f>
        <v>0.423773620776193</v>
      </c>
      <c r="O276" s="52" t="n">
        <f aca="false">ROUND(S276*W276,0)</f>
        <v>14</v>
      </c>
      <c r="P276" s="52" t="n">
        <f aca="false">IF(F276="","",ROUND(SQRT((F276*L276/100)^2+(G276*O276)^2),0))</f>
        <v>6</v>
      </c>
      <c r="R276" s="54" t="n">
        <v>-15.306591697016</v>
      </c>
      <c r="S276" s="55" t="n">
        <f aca="false">U276*V276*$F$5</f>
        <v>97.2992700729927</v>
      </c>
      <c r="T276" s="56" t="n">
        <f aca="false">MAX(0,MIN(1,R276/100+$D$5))</f>
        <v>0.358927497548604</v>
      </c>
      <c r="U276" s="56" t="n">
        <v>0.627737226277372</v>
      </c>
      <c r="V276" s="55" t="n">
        <v>155</v>
      </c>
      <c r="W276" s="56" t="n">
        <v>0.148097331980838</v>
      </c>
      <c r="X276" s="57" t="s">
        <v>129</v>
      </c>
      <c r="Y276" s="57" t="s">
        <v>130</v>
      </c>
    </row>
    <row r="277" customFormat="false" ht="15" hidden="false" customHeight="false" outlineLevel="0" collapsed="false">
      <c r="A277" s="25" t="s">
        <v>385</v>
      </c>
      <c r="B277" s="25" t="s">
        <v>441</v>
      </c>
      <c r="C277" s="25" t="s">
        <v>442</v>
      </c>
      <c r="D277" s="52" t="n">
        <f aca="false">ROUND(S277*T277,0)</f>
        <v>591</v>
      </c>
      <c r="E277" s="52" t="n">
        <f aca="false">ROUND(S277,0)-D277</f>
        <v>826</v>
      </c>
      <c r="F277" s="52" t="n">
        <f aca="false">IF(COUNTA(D277:E277)=0,"",SUM(D277:E277))</f>
        <v>1417</v>
      </c>
      <c r="G277" s="53" t="n">
        <f aca="false">IF(OR(F277="",F277=0),"",D277/F277)</f>
        <v>0.417078334509527</v>
      </c>
      <c r="H277" s="53" t="n">
        <f aca="false">IF(OR(F277="",F277=0),"",E277/F277)</f>
        <v>0.582921665490473</v>
      </c>
      <c r="I277" s="25" t="s">
        <v>128</v>
      </c>
      <c r="J277" s="28" t="n">
        <v>2.08262589216041</v>
      </c>
      <c r="K277" s="28" t="n">
        <f aca="false">$K$8</f>
        <v>0.297938238782275</v>
      </c>
      <c r="L277" s="28" t="n">
        <f aca="false">SQRT(J277^2+K277^2)</f>
        <v>2.1038293183682</v>
      </c>
      <c r="M277" s="53" t="n">
        <f aca="false">IF(G277="","",MAX(0,G277-1.96*L277/100))</f>
        <v>0.37584327986951</v>
      </c>
      <c r="N277" s="53" t="n">
        <f aca="false">IF(G277="","",MIN(1,G277+1.96*L277/100))</f>
        <v>0.458313389149544</v>
      </c>
      <c r="O277" s="52" t="n">
        <f aca="false">ROUND(S277*W277,0)</f>
        <v>97</v>
      </c>
      <c r="P277" s="52" t="n">
        <f aca="false">IF(F277="","",ROUND(SQRT((F277*L277/100)^2+(G277*O277)^2),0))</f>
        <v>50</v>
      </c>
      <c r="R277" s="54" t="n">
        <v>-9.47683384856534</v>
      </c>
      <c r="S277" s="55" t="n">
        <f aca="false">U277*V277*$F$5</f>
        <v>1417.27954319762</v>
      </c>
      <c r="T277" s="56" t="n">
        <f aca="false">MAX(0,MIN(1,R277/100+$D$5))</f>
        <v>0.417225076033111</v>
      </c>
      <c r="U277" s="56" t="n">
        <v>0.641012909632572</v>
      </c>
      <c r="V277" s="55" t="n">
        <v>2211</v>
      </c>
      <c r="W277" s="56" t="n">
        <v>0.0684752145190268</v>
      </c>
      <c r="X277" s="57" t="s">
        <v>168</v>
      </c>
      <c r="Y277" s="57" t="s">
        <v>130</v>
      </c>
    </row>
    <row r="278" customFormat="false" ht="15" hidden="false" customHeight="false" outlineLevel="0" collapsed="false">
      <c r="A278" s="25" t="s">
        <v>385</v>
      </c>
      <c r="B278" s="25" t="s">
        <v>441</v>
      </c>
      <c r="C278" s="25" t="s">
        <v>443</v>
      </c>
      <c r="D278" s="52" t="n">
        <f aca="false">ROUND(S278*T278,0)</f>
        <v>537</v>
      </c>
      <c r="E278" s="52" t="n">
        <f aca="false">ROUND(S278,0)-D278</f>
        <v>688</v>
      </c>
      <c r="F278" s="52" t="n">
        <f aca="false">IF(COUNTA(D278:E278)=0,"",SUM(D278:E278))</f>
        <v>1225</v>
      </c>
      <c r="G278" s="53" t="n">
        <f aca="false">IF(OR(F278="",F278=0),"",D278/F278)</f>
        <v>0.438367346938776</v>
      </c>
      <c r="H278" s="53" t="n">
        <f aca="false">IF(OR(F278="",F278=0),"",E278/F278)</f>
        <v>0.561632653061225</v>
      </c>
      <c r="I278" s="25" t="s">
        <v>128</v>
      </c>
      <c r="J278" s="28" t="n">
        <v>2.08262589216041</v>
      </c>
      <c r="K278" s="28" t="n">
        <f aca="false">$K$8</f>
        <v>0.297938238782275</v>
      </c>
      <c r="L278" s="28" t="n">
        <f aca="false">SQRT(J278^2+K278^2)</f>
        <v>2.1038293183682</v>
      </c>
      <c r="M278" s="53" t="n">
        <f aca="false">IF(G278="","",MAX(0,G278-1.96*L278/100))</f>
        <v>0.397132292298759</v>
      </c>
      <c r="N278" s="53" t="n">
        <f aca="false">IF(G278="","",MIN(1,G278+1.96*L278/100))</f>
        <v>0.479602401578792</v>
      </c>
      <c r="O278" s="52" t="n">
        <f aca="false">ROUND(S278*W278,0)</f>
        <v>84</v>
      </c>
      <c r="P278" s="52" t="n">
        <f aca="false">IF(F278="","",ROUND(SQRT((F278*L278/100)^2+(G278*O278)^2),0))</f>
        <v>45</v>
      </c>
      <c r="R278" s="54" t="n">
        <v>-7.39051796319136</v>
      </c>
      <c r="S278" s="55" t="n">
        <f aca="false">U278*V278*$F$5</f>
        <v>1224.74062660503</v>
      </c>
      <c r="T278" s="56" t="n">
        <f aca="false">MAX(0,MIN(1,R278/100+$D$5))</f>
        <v>0.438088234886851</v>
      </c>
      <c r="U278" s="56" t="n">
        <v>0.629686697483308</v>
      </c>
      <c r="V278" s="55" t="n">
        <v>1945</v>
      </c>
      <c r="W278" s="56" t="n">
        <v>0.0684752145190268</v>
      </c>
      <c r="X278" s="57" t="s">
        <v>168</v>
      </c>
      <c r="Y278" s="57" t="s">
        <v>130</v>
      </c>
    </row>
    <row r="279" customFormat="false" ht="15" hidden="false" customHeight="false" outlineLevel="0" collapsed="false">
      <c r="A279" s="25" t="s">
        <v>385</v>
      </c>
      <c r="B279" s="25" t="s">
        <v>444</v>
      </c>
      <c r="C279" s="25" t="s">
        <v>444</v>
      </c>
      <c r="D279" s="52" t="n">
        <f aca="false">ROUND(S279*T279,0)</f>
        <v>146</v>
      </c>
      <c r="E279" s="52" t="n">
        <f aca="false">ROUND(S279,0)-D279</f>
        <v>214</v>
      </c>
      <c r="F279" s="52" t="n">
        <f aca="false">IF(COUNTA(D279:E279)=0,"",SUM(D279:E279))</f>
        <v>360</v>
      </c>
      <c r="G279" s="53" t="n">
        <f aca="false">IF(OR(F279="",F279=0),"",D279/F279)</f>
        <v>0.405555555555556</v>
      </c>
      <c r="H279" s="53" t="n">
        <f aca="false">IF(OR(F279="",F279=0),"",E279/F279)</f>
        <v>0.594444444444444</v>
      </c>
      <c r="I279" s="25" t="s">
        <v>128</v>
      </c>
      <c r="J279" s="28" t="n">
        <v>3.1978281706008</v>
      </c>
      <c r="K279" s="28" t="n">
        <f aca="false">$K$8</f>
        <v>0.297938238782275</v>
      </c>
      <c r="L279" s="28" t="n">
        <f aca="false">SQRT(J279^2+K279^2)</f>
        <v>3.21167747490571</v>
      </c>
      <c r="M279" s="53" t="n">
        <f aca="false">IF(G279="","",MAX(0,G279-1.96*L279/100))</f>
        <v>0.342606677047404</v>
      </c>
      <c r="N279" s="53" t="n">
        <f aca="false">IF(G279="","",MIN(1,G279+1.96*L279/100))</f>
        <v>0.468504434063707</v>
      </c>
      <c r="O279" s="52" t="n">
        <f aca="false">ROUND(S279*W279,0)</f>
        <v>53</v>
      </c>
      <c r="P279" s="52" t="n">
        <f aca="false">IF(F279="","",ROUND(SQRT((F279*L279/100)^2+(G279*O279)^2),0))</f>
        <v>24</v>
      </c>
      <c r="R279" s="54" t="n">
        <v>-10.8046181684564</v>
      </c>
      <c r="S279" s="55" t="n">
        <f aca="false">U279*V279*$F$5</f>
        <v>360.236842105263</v>
      </c>
      <c r="T279" s="56" t="n">
        <f aca="false">MAX(0,MIN(1,R279/100+$D$5))</f>
        <v>0.403947232834201</v>
      </c>
      <c r="U279" s="56" t="n">
        <v>0.513157894736842</v>
      </c>
      <c r="V279" s="55" t="n">
        <v>702</v>
      </c>
      <c r="W279" s="56" t="n">
        <v>0.148097331980838</v>
      </c>
      <c r="X279" s="57" t="s">
        <v>129</v>
      </c>
      <c r="Y279" s="57" t="s">
        <v>130</v>
      </c>
    </row>
    <row r="280" customFormat="false" ht="15" hidden="false" customHeight="false" outlineLevel="0" collapsed="false">
      <c r="A280" s="25" t="s">
        <v>385</v>
      </c>
      <c r="B280" s="25" t="s">
        <v>445</v>
      </c>
      <c r="C280" s="25" t="s">
        <v>446</v>
      </c>
      <c r="D280" s="52" t="n">
        <f aca="false">ROUND(S280*T280,0)</f>
        <v>566</v>
      </c>
      <c r="E280" s="52" t="n">
        <f aca="false">ROUND(S280,0)-D280</f>
        <v>257</v>
      </c>
      <c r="F280" s="52" t="n">
        <f aca="false">IF(COUNTA(D280:E280)=0,"",SUM(D280:E280))</f>
        <v>823</v>
      </c>
      <c r="G280" s="53" t="n">
        <f aca="false">IF(OR(F280="",F280=0),"",D280/F280)</f>
        <v>0.687727825030377</v>
      </c>
      <c r="H280" s="53" t="n">
        <f aca="false">IF(OR(F280="",F280=0),"",E280/F280)</f>
        <v>0.312272174969623</v>
      </c>
      <c r="I280" s="25" t="s">
        <v>231</v>
      </c>
      <c r="J280" s="28" t="n">
        <v>2.22489971008846</v>
      </c>
      <c r="K280" s="28" t="n">
        <f aca="false">$K$8</f>
        <v>0.297938238782275</v>
      </c>
      <c r="L280" s="28" t="n">
        <f aca="false">SQRT(J280^2+K280^2)</f>
        <v>2.24475965619494</v>
      </c>
      <c r="M280" s="53" t="n">
        <f aca="false">IF(G280="","",MAX(0,G280-1.96*L280/100))</f>
        <v>0.643730535768956</v>
      </c>
      <c r="N280" s="53" t="n">
        <f aca="false">IF(G280="","",MIN(1,G280+1.96*L280/100))</f>
        <v>0.731725114291797</v>
      </c>
      <c r="O280" s="52" t="n">
        <f aca="false">ROUND(S280*W280,0)</f>
        <v>73</v>
      </c>
      <c r="P280" s="52" t="n">
        <f aca="false">IF(F280="","",ROUND(SQRT((F280*L280/100)^2+(G280*O280)^2),0))</f>
        <v>53</v>
      </c>
      <c r="R280" s="54" t="n">
        <v>17.5574087848246</v>
      </c>
      <c r="S280" s="55" t="n">
        <f aca="false">U280*V280*$F$5</f>
        <v>823.448359141722</v>
      </c>
      <c r="T280" s="56" t="n">
        <f aca="false">MAX(0,MIN(1,R280/100+$D$5))</f>
        <v>0.68756750236701</v>
      </c>
      <c r="U280" s="56" t="n">
        <v>0.478193007631662</v>
      </c>
      <c r="V280" s="55" t="n">
        <v>1722</v>
      </c>
      <c r="W280" s="56" t="n">
        <v>0.0887445098984521</v>
      </c>
      <c r="X280" s="57" t="s">
        <v>135</v>
      </c>
      <c r="Y280" s="57" t="s">
        <v>130</v>
      </c>
    </row>
    <row r="281" customFormat="false" ht="15" hidden="false" customHeight="false" outlineLevel="0" collapsed="false">
      <c r="A281" s="25" t="s">
        <v>385</v>
      </c>
      <c r="B281" s="25" t="s">
        <v>445</v>
      </c>
      <c r="C281" s="25" t="s">
        <v>447</v>
      </c>
      <c r="D281" s="52" t="n">
        <f aca="false">ROUND(S281*T281,0)</f>
        <v>532</v>
      </c>
      <c r="E281" s="52" t="n">
        <f aca="false">ROUND(S281,0)-D281</f>
        <v>248</v>
      </c>
      <c r="F281" s="52" t="n">
        <f aca="false">IF(COUNTA(D281:E281)=0,"",SUM(D281:E281))</f>
        <v>780</v>
      </c>
      <c r="G281" s="53" t="n">
        <f aca="false">IF(OR(F281="",F281=0),"",D281/F281)</f>
        <v>0.682051282051282</v>
      </c>
      <c r="H281" s="53" t="n">
        <f aca="false">IF(OR(F281="",F281=0),"",E281/F281)</f>
        <v>0.317948717948718</v>
      </c>
      <c r="I281" s="25" t="s">
        <v>128</v>
      </c>
      <c r="J281" s="28" t="n">
        <v>2.22489971008846</v>
      </c>
      <c r="K281" s="28" t="n">
        <f aca="false">$K$8</f>
        <v>0.297938238782275</v>
      </c>
      <c r="L281" s="28" t="n">
        <f aca="false">SQRT(J281^2+K281^2)</f>
        <v>2.24475965619494</v>
      </c>
      <c r="M281" s="53" t="n">
        <f aca="false">IF(G281="","",MAX(0,G281-1.96*L281/100))</f>
        <v>0.638053992789861</v>
      </c>
      <c r="N281" s="53" t="n">
        <f aca="false">IF(G281="","",MIN(1,G281+1.96*L281/100))</f>
        <v>0.726048571312703</v>
      </c>
      <c r="O281" s="52" t="n">
        <f aca="false">ROUND(S281*W281,0)</f>
        <v>69</v>
      </c>
      <c r="P281" s="52" t="n">
        <f aca="false">IF(F281="","",ROUND(SQRT((F281*L281/100)^2+(G281*O281)^2),0))</f>
        <v>50</v>
      </c>
      <c r="R281" s="54" t="n">
        <v>16.953930383011</v>
      </c>
      <c r="S281" s="55" t="n">
        <f aca="false">U281*V281*$F$5</f>
        <v>779.911439114391</v>
      </c>
      <c r="T281" s="56" t="n">
        <f aca="false">MAX(0,MIN(1,R281/100+$D$5))</f>
        <v>0.681532718348875</v>
      </c>
      <c r="U281" s="56" t="n">
        <v>0.420664206642066</v>
      </c>
      <c r="V281" s="55" t="n">
        <v>1854</v>
      </c>
      <c r="W281" s="56" t="n">
        <v>0.0887445098984521</v>
      </c>
      <c r="X281" s="57" t="s">
        <v>135</v>
      </c>
      <c r="Y281" s="57" t="s">
        <v>130</v>
      </c>
    </row>
    <row r="282" customFormat="false" ht="15" hidden="false" customHeight="false" outlineLevel="0" collapsed="false">
      <c r="A282" s="25" t="s">
        <v>385</v>
      </c>
      <c r="B282" s="25" t="s">
        <v>445</v>
      </c>
      <c r="C282" s="25" t="s">
        <v>448</v>
      </c>
      <c r="D282" s="52" t="n">
        <f aca="false">ROUND(S282*T282,0)</f>
        <v>420</v>
      </c>
      <c r="E282" s="52" t="n">
        <f aca="false">ROUND(S282,0)-D282</f>
        <v>183</v>
      </c>
      <c r="F282" s="52" t="n">
        <f aca="false">IF(COUNTA(D282:E282)=0,"",SUM(D282:E282))</f>
        <v>603</v>
      </c>
      <c r="G282" s="53" t="n">
        <f aca="false">IF(OR(F282="",F282=0),"",D282/F282)</f>
        <v>0.696517412935323</v>
      </c>
      <c r="H282" s="53" t="n">
        <f aca="false">IF(OR(F282="",F282=0),"",E282/F282)</f>
        <v>0.303482587064677</v>
      </c>
      <c r="I282" s="25" t="s">
        <v>128</v>
      </c>
      <c r="J282" s="28" t="n">
        <v>2.22489971008846</v>
      </c>
      <c r="K282" s="28" t="n">
        <f aca="false">$K$8</f>
        <v>0.297938238782275</v>
      </c>
      <c r="L282" s="28" t="n">
        <f aca="false">SQRT(J282^2+K282^2)</f>
        <v>2.24475965619494</v>
      </c>
      <c r="M282" s="53" t="n">
        <f aca="false">IF(G282="","",MAX(0,G282-1.96*L282/100))</f>
        <v>0.652520123673903</v>
      </c>
      <c r="N282" s="53" t="n">
        <f aca="false">IF(G282="","",MIN(1,G282+1.96*L282/100))</f>
        <v>0.740514702196744</v>
      </c>
      <c r="O282" s="52" t="n">
        <f aca="false">ROUND(S282*W282,0)</f>
        <v>54</v>
      </c>
      <c r="P282" s="52" t="n">
        <f aca="false">IF(F282="","",ROUND(SQRT((F282*L282/100)^2+(G282*O282)^2),0))</f>
        <v>40</v>
      </c>
      <c r="R282" s="54" t="n">
        <v>18.4634776093282</v>
      </c>
      <c r="S282" s="55" t="n">
        <f aca="false">U282*V282*$F$5</f>
        <v>602.870201096892</v>
      </c>
      <c r="T282" s="56" t="n">
        <f aca="false">MAX(0,MIN(1,R282/100+$D$5))</f>
        <v>0.696628190612047</v>
      </c>
      <c r="U282" s="56" t="n">
        <v>0.447897623400366</v>
      </c>
      <c r="V282" s="55" t="n">
        <v>1346</v>
      </c>
      <c r="W282" s="56" t="n">
        <v>0.0887445098984521</v>
      </c>
      <c r="X282" s="57" t="s">
        <v>135</v>
      </c>
      <c r="Y282" s="57" t="s">
        <v>130</v>
      </c>
    </row>
    <row r="283" customFormat="false" ht="15" hidden="false" customHeight="false" outlineLevel="0" collapsed="false">
      <c r="A283" s="25" t="s">
        <v>385</v>
      </c>
      <c r="B283" s="25" t="s">
        <v>445</v>
      </c>
      <c r="C283" s="25" t="s">
        <v>449</v>
      </c>
      <c r="D283" s="52" t="n">
        <f aca="false">ROUND(S283*T283,0)</f>
        <v>593</v>
      </c>
      <c r="E283" s="52" t="n">
        <f aca="false">ROUND(S283,0)-D283</f>
        <v>228</v>
      </c>
      <c r="F283" s="52" t="n">
        <f aca="false">IF(COUNTA(D283:E283)=0,"",SUM(D283:E283))</f>
        <v>821</v>
      </c>
      <c r="G283" s="53" t="n">
        <f aca="false">IF(OR(F283="",F283=0),"",D283/F283)</f>
        <v>0.722289890377588</v>
      </c>
      <c r="H283" s="53" t="n">
        <f aca="false">IF(OR(F283="",F283=0),"",E283/F283)</f>
        <v>0.277710109622412</v>
      </c>
      <c r="I283" s="25" t="s">
        <v>128</v>
      </c>
      <c r="J283" s="28" t="n">
        <v>2.22489971008846</v>
      </c>
      <c r="K283" s="28" t="n">
        <f aca="false">$K$8</f>
        <v>0.297938238782275</v>
      </c>
      <c r="L283" s="28" t="n">
        <f aca="false">SQRT(J283^2+K283^2)</f>
        <v>2.24475965619494</v>
      </c>
      <c r="M283" s="53" t="n">
        <f aca="false">IF(G283="","",MAX(0,G283-1.96*L283/100))</f>
        <v>0.678292601116168</v>
      </c>
      <c r="N283" s="53" t="n">
        <f aca="false">IF(G283="","",MIN(1,G283+1.96*L283/100))</f>
        <v>0.766287179639009</v>
      </c>
      <c r="O283" s="52" t="n">
        <f aca="false">ROUND(S283*W283,0)</f>
        <v>73</v>
      </c>
      <c r="P283" s="52" t="n">
        <f aca="false">IF(F283="","",ROUND(SQRT((F283*L283/100)^2+(G283*O283)^2),0))</f>
        <v>56</v>
      </c>
      <c r="R283" s="54" t="n">
        <v>21.1059286320568</v>
      </c>
      <c r="S283" s="55" t="n">
        <f aca="false">U283*V283*$F$5</f>
        <v>820.6703125</v>
      </c>
      <c r="T283" s="56" t="n">
        <f aca="false">MAX(0,MIN(1,R283/100+$D$5))</f>
        <v>0.723052700839333</v>
      </c>
      <c r="U283" s="56" t="n">
        <v>0.6765625</v>
      </c>
      <c r="V283" s="55" t="n">
        <v>1213</v>
      </c>
      <c r="W283" s="56" t="n">
        <v>0.0887445098984521</v>
      </c>
      <c r="X283" s="57" t="s">
        <v>135</v>
      </c>
      <c r="Y283" s="57" t="s">
        <v>130</v>
      </c>
    </row>
    <row r="284" customFormat="false" ht="15" hidden="false" customHeight="false" outlineLevel="0" collapsed="false">
      <c r="A284" s="25" t="s">
        <v>385</v>
      </c>
      <c r="B284" s="25" t="s">
        <v>445</v>
      </c>
      <c r="C284" s="25" t="s">
        <v>450</v>
      </c>
      <c r="D284" s="52" t="n">
        <f aca="false">ROUND(S284*T284,0)</f>
        <v>459</v>
      </c>
      <c r="E284" s="52" t="n">
        <f aca="false">ROUND(S284,0)-D284</f>
        <v>132</v>
      </c>
      <c r="F284" s="52" t="n">
        <f aca="false">IF(COUNTA(D284:E284)=0,"",SUM(D284:E284))</f>
        <v>591</v>
      </c>
      <c r="G284" s="53" t="n">
        <f aca="false">IF(OR(F284="",F284=0),"",D284/F284)</f>
        <v>0.776649746192893</v>
      </c>
      <c r="H284" s="53" t="n">
        <f aca="false">IF(OR(F284="",F284=0),"",E284/F284)</f>
        <v>0.223350253807107</v>
      </c>
      <c r="I284" s="25" t="s">
        <v>128</v>
      </c>
      <c r="J284" s="28" t="n">
        <v>2.22489971008846</v>
      </c>
      <c r="K284" s="28" t="n">
        <f aca="false">$K$8</f>
        <v>0.297938238782275</v>
      </c>
      <c r="L284" s="28" t="n">
        <f aca="false">SQRT(J284^2+K284^2)</f>
        <v>2.24475965619494</v>
      </c>
      <c r="M284" s="53" t="n">
        <f aca="false">IF(G284="","",MAX(0,G284-1.96*L284/100))</f>
        <v>0.732652456931473</v>
      </c>
      <c r="N284" s="53" t="n">
        <f aca="false">IF(G284="","",MIN(1,G284+1.96*L284/100))</f>
        <v>0.820647035454314</v>
      </c>
      <c r="O284" s="52" t="n">
        <f aca="false">ROUND(S284*W284,0)</f>
        <v>52</v>
      </c>
      <c r="P284" s="52" t="n">
        <f aca="false">IF(F284="","",ROUND(SQRT((F284*L284/100)^2+(G284*O284)^2),0))</f>
        <v>43</v>
      </c>
      <c r="R284" s="54" t="n">
        <v>26.4803486873868</v>
      </c>
      <c r="S284" s="55" t="n">
        <f aca="false">U284*V284*$F$5</f>
        <v>590.669623059868</v>
      </c>
      <c r="T284" s="56" t="n">
        <f aca="false">MAX(0,MIN(1,R284/100+$D$5))</f>
        <v>0.776796901392633</v>
      </c>
      <c r="U284" s="56" t="n">
        <v>0.297117516629712</v>
      </c>
      <c r="V284" s="55" t="n">
        <v>1988</v>
      </c>
      <c r="W284" s="56" t="n">
        <v>0.0887445098984521</v>
      </c>
      <c r="X284" s="57" t="s">
        <v>135</v>
      </c>
      <c r="Y284" s="57" t="s">
        <v>130</v>
      </c>
    </row>
    <row r="285" customFormat="false" ht="15" hidden="false" customHeight="false" outlineLevel="0" collapsed="false">
      <c r="A285" s="25" t="s">
        <v>385</v>
      </c>
      <c r="B285" s="25" t="s">
        <v>445</v>
      </c>
      <c r="C285" s="25" t="s">
        <v>451</v>
      </c>
      <c r="D285" s="52" t="n">
        <f aca="false">ROUND(S285*T285,0)</f>
        <v>459</v>
      </c>
      <c r="E285" s="52" t="n">
        <f aca="false">ROUND(S285,0)-D285</f>
        <v>232</v>
      </c>
      <c r="F285" s="52" t="n">
        <f aca="false">IF(COUNTA(D285:E285)=0,"",SUM(D285:E285))</f>
        <v>691</v>
      </c>
      <c r="G285" s="53" t="n">
        <f aca="false">IF(OR(F285="",F285=0),"",D285/F285)</f>
        <v>0.664254703328509</v>
      </c>
      <c r="H285" s="53" t="n">
        <f aca="false">IF(OR(F285="",F285=0),"",E285/F285)</f>
        <v>0.335745296671491</v>
      </c>
      <c r="I285" s="25" t="s">
        <v>128</v>
      </c>
      <c r="J285" s="28" t="n">
        <v>2.22489971008846</v>
      </c>
      <c r="K285" s="28" t="n">
        <f aca="false">$K$8</f>
        <v>0.297938238782275</v>
      </c>
      <c r="L285" s="28" t="n">
        <f aca="false">SQRT(J285^2+K285^2)</f>
        <v>2.24475965619494</v>
      </c>
      <c r="M285" s="53" t="n">
        <f aca="false">IF(G285="","",MAX(0,G285-1.96*L285/100))</f>
        <v>0.620257414067089</v>
      </c>
      <c r="N285" s="53" t="n">
        <f aca="false">IF(G285="","",MIN(1,G285+1.96*L285/100))</f>
        <v>0.70825199258993</v>
      </c>
      <c r="O285" s="52" t="n">
        <f aca="false">ROUND(S285*W285,0)</f>
        <v>61</v>
      </c>
      <c r="P285" s="52" t="n">
        <f aca="false">IF(F285="","",ROUND(SQRT((F285*L285/100)^2+(G285*O285)^2),0))</f>
        <v>43</v>
      </c>
      <c r="R285" s="54" t="n">
        <v>15.219816136765</v>
      </c>
      <c r="S285" s="55" t="n">
        <f aca="false">U285*V285*$F$5</f>
        <v>691.24526600541</v>
      </c>
      <c r="T285" s="56" t="n">
        <f aca="false">MAX(0,MIN(1,R285/100+$D$5))</f>
        <v>0.664191575886415</v>
      </c>
      <c r="U285" s="56" t="n">
        <v>0.612263300270514</v>
      </c>
      <c r="V285" s="55" t="n">
        <v>1129</v>
      </c>
      <c r="W285" s="56" t="n">
        <v>0.0887445098984521</v>
      </c>
      <c r="X285" s="57" t="s">
        <v>135</v>
      </c>
      <c r="Y285" s="57" t="s">
        <v>130</v>
      </c>
    </row>
    <row r="286" customFormat="false" ht="15" hidden="false" customHeight="false" outlineLevel="0" collapsed="false">
      <c r="A286" s="25" t="s">
        <v>385</v>
      </c>
      <c r="B286" s="25" t="s">
        <v>445</v>
      </c>
      <c r="C286" s="25" t="s">
        <v>452</v>
      </c>
      <c r="D286" s="52" t="n">
        <f aca="false">ROUND(S286*T286,0)</f>
        <v>328</v>
      </c>
      <c r="E286" s="52" t="n">
        <f aca="false">ROUND(S286,0)-D286</f>
        <v>182</v>
      </c>
      <c r="F286" s="52" t="n">
        <f aca="false">IF(COUNTA(D286:E286)=0,"",SUM(D286:E286))</f>
        <v>510</v>
      </c>
      <c r="G286" s="53" t="n">
        <f aca="false">IF(OR(F286="",F286=0),"",D286/F286)</f>
        <v>0.643137254901961</v>
      </c>
      <c r="H286" s="53" t="n">
        <f aca="false">IF(OR(F286="",F286=0),"",E286/F286)</f>
        <v>0.356862745098039</v>
      </c>
      <c r="I286" s="25" t="s">
        <v>128</v>
      </c>
      <c r="J286" s="28" t="n">
        <v>3.1978281706008</v>
      </c>
      <c r="K286" s="28" t="n">
        <f aca="false">$K$8</f>
        <v>0.297938238782275</v>
      </c>
      <c r="L286" s="28" t="n">
        <f aca="false">SQRT(J286^2+K286^2)</f>
        <v>3.21167747490571</v>
      </c>
      <c r="M286" s="53" t="n">
        <f aca="false">IF(G286="","",MAX(0,G286-1.96*L286/100))</f>
        <v>0.580188376393809</v>
      </c>
      <c r="N286" s="53" t="n">
        <f aca="false">IF(G286="","",MIN(1,G286+1.96*L286/100))</f>
        <v>0.706086133410113</v>
      </c>
      <c r="O286" s="52" t="n">
        <f aca="false">ROUND(S286*W286,0)</f>
        <v>76</v>
      </c>
      <c r="P286" s="52" t="n">
        <f aca="false">IF(F286="","",ROUND(SQRT((F286*L286/100)^2+(G286*O286)^2),0))</f>
        <v>52</v>
      </c>
      <c r="R286" s="54" t="n">
        <v>13.1470689335112</v>
      </c>
      <c r="S286" s="55" t="n">
        <f aca="false">U286*V286*$F$5</f>
        <v>510.153409090909</v>
      </c>
      <c r="T286" s="56" t="n">
        <f aca="false">MAX(0,MIN(1,R286/100+$D$5))</f>
        <v>0.643464103853876</v>
      </c>
      <c r="U286" s="56" t="n">
        <v>0.368607954545455</v>
      </c>
      <c r="V286" s="55" t="n">
        <v>1384</v>
      </c>
      <c r="W286" s="56" t="n">
        <v>0.148097331980838</v>
      </c>
      <c r="X286" s="57" t="s">
        <v>129</v>
      </c>
      <c r="Y286" s="57" t="s">
        <v>130</v>
      </c>
    </row>
    <row r="287" customFormat="false" ht="15" hidden="false" customHeight="false" outlineLevel="0" collapsed="false">
      <c r="A287" s="25" t="s">
        <v>385</v>
      </c>
      <c r="B287" s="25" t="s">
        <v>445</v>
      </c>
      <c r="C287" s="25" t="s">
        <v>453</v>
      </c>
      <c r="D287" s="52" t="n">
        <f aca="false">ROUND(S287*T287,0)</f>
        <v>145</v>
      </c>
      <c r="E287" s="52" t="n">
        <f aca="false">ROUND(S287,0)-D287</f>
        <v>58</v>
      </c>
      <c r="F287" s="52" t="n">
        <f aca="false">IF(COUNTA(D287:E287)=0,"",SUM(D287:E287))</f>
        <v>203</v>
      </c>
      <c r="G287" s="53" t="n">
        <f aca="false">IF(OR(F287="",F287=0),"",D287/F287)</f>
        <v>0.714285714285714</v>
      </c>
      <c r="H287" s="53" t="n">
        <f aca="false">IF(OR(F287="",F287=0),"",E287/F287)</f>
        <v>0.285714285714286</v>
      </c>
      <c r="I287" s="25" t="s">
        <v>128</v>
      </c>
      <c r="J287" s="28" t="n">
        <v>3.1978281706008</v>
      </c>
      <c r="K287" s="28" t="n">
        <f aca="false">$K$8</f>
        <v>0.297938238782275</v>
      </c>
      <c r="L287" s="28" t="n">
        <f aca="false">SQRT(J287^2+K287^2)</f>
        <v>3.21167747490571</v>
      </c>
      <c r="M287" s="53" t="n">
        <f aca="false">IF(G287="","",MAX(0,G287-1.96*L287/100))</f>
        <v>0.651336835777562</v>
      </c>
      <c r="N287" s="53" t="n">
        <f aca="false">IF(G287="","",MIN(1,G287+1.96*L287/100))</f>
        <v>0.777234592793866</v>
      </c>
      <c r="O287" s="52" t="n">
        <f aca="false">ROUND(S287*W287,0)</f>
        <v>30</v>
      </c>
      <c r="P287" s="52" t="n">
        <f aca="false">IF(F287="","",ROUND(SQRT((F287*L287/100)^2+(G287*O287)^2),0))</f>
        <v>22</v>
      </c>
      <c r="R287" s="54" t="n">
        <v>20.3522491985427</v>
      </c>
      <c r="S287" s="55" t="n">
        <f aca="false">U287*V287*$F$5</f>
        <v>202.766550522648</v>
      </c>
      <c r="T287" s="56" t="n">
        <f aca="false">MAX(0,MIN(1,R287/100+$D$5))</f>
        <v>0.715515906504192</v>
      </c>
      <c r="U287" s="56" t="n">
        <v>0.369337979094077</v>
      </c>
      <c r="V287" s="55" t="n">
        <v>549</v>
      </c>
      <c r="W287" s="56" t="n">
        <v>0.148097331980838</v>
      </c>
      <c r="X287" s="57" t="s">
        <v>129</v>
      </c>
      <c r="Y287" s="57" t="s">
        <v>130</v>
      </c>
    </row>
    <row r="288" customFormat="false" ht="15" hidden="false" customHeight="false" outlineLevel="0" collapsed="false">
      <c r="A288" s="25" t="s">
        <v>385</v>
      </c>
      <c r="B288" s="25" t="s">
        <v>445</v>
      </c>
      <c r="C288" s="25" t="s">
        <v>454</v>
      </c>
      <c r="D288" s="52" t="n">
        <f aca="false">ROUND(S288*T288,0)</f>
        <v>229</v>
      </c>
      <c r="E288" s="52" t="n">
        <f aca="false">ROUND(S288,0)-D288</f>
        <v>89</v>
      </c>
      <c r="F288" s="52" t="n">
        <f aca="false">IF(COUNTA(D288:E288)=0,"",SUM(D288:E288))</f>
        <v>318</v>
      </c>
      <c r="G288" s="53" t="n">
        <f aca="false">IF(OR(F288="",F288=0),"",D288/F288)</f>
        <v>0.720125786163522</v>
      </c>
      <c r="H288" s="53" t="n">
        <f aca="false">IF(OR(F288="",F288=0),"",E288/F288)</f>
        <v>0.279874213836478</v>
      </c>
      <c r="I288" s="25" t="s">
        <v>128</v>
      </c>
      <c r="J288" s="28" t="n">
        <v>3.1978281706008</v>
      </c>
      <c r="K288" s="28" t="n">
        <f aca="false">$K$8</f>
        <v>0.297938238782275</v>
      </c>
      <c r="L288" s="28" t="n">
        <f aca="false">SQRT(J288^2+K288^2)</f>
        <v>3.21167747490571</v>
      </c>
      <c r="M288" s="53" t="n">
        <f aca="false">IF(G288="","",MAX(0,G288-1.96*L288/100))</f>
        <v>0.65717690765537</v>
      </c>
      <c r="N288" s="53" t="n">
        <f aca="false">IF(G288="","",MIN(1,G288+1.96*L288/100))</f>
        <v>0.783074664671674</v>
      </c>
      <c r="O288" s="52" t="n">
        <f aca="false">ROUND(S288*W288,0)</f>
        <v>47</v>
      </c>
      <c r="P288" s="52" t="n">
        <f aca="false">IF(F288="","",ROUND(SQRT((F288*L288/100)^2+(G288*O288)^2),0))</f>
        <v>35</v>
      </c>
      <c r="R288" s="54" t="n">
        <v>20.6174331453054</v>
      </c>
      <c r="S288" s="55" t="n">
        <f aca="false">U288*V288*$F$5</f>
        <v>318.271119842829</v>
      </c>
      <c r="T288" s="56" t="n">
        <f aca="false">MAX(0,MIN(1,R288/100+$D$5))</f>
        <v>0.718167745971819</v>
      </c>
      <c r="U288" s="56" t="n">
        <v>0.318271119842829</v>
      </c>
      <c r="V288" s="55" t="n">
        <v>1000</v>
      </c>
      <c r="W288" s="56" t="n">
        <v>0.148097331980838</v>
      </c>
      <c r="X288" s="57" t="s">
        <v>129</v>
      </c>
      <c r="Y288" s="57" t="s">
        <v>130</v>
      </c>
    </row>
    <row r="289" customFormat="false" ht="15" hidden="false" customHeight="false" outlineLevel="0" collapsed="false">
      <c r="A289" s="25" t="s">
        <v>385</v>
      </c>
      <c r="B289" s="25" t="s">
        <v>445</v>
      </c>
      <c r="C289" s="25" t="s">
        <v>455</v>
      </c>
      <c r="D289" s="52" t="n">
        <f aca="false">ROUND(S289*T289,0)</f>
        <v>231</v>
      </c>
      <c r="E289" s="52" t="n">
        <f aca="false">ROUND(S289,0)-D289</f>
        <v>120</v>
      </c>
      <c r="F289" s="52" t="n">
        <f aca="false">IF(COUNTA(D289:E289)=0,"",SUM(D289:E289))</f>
        <v>351</v>
      </c>
      <c r="G289" s="53" t="n">
        <f aca="false">IF(OR(F289="",F289=0),"",D289/F289)</f>
        <v>0.658119658119658</v>
      </c>
      <c r="H289" s="53" t="n">
        <f aca="false">IF(OR(F289="",F289=0),"",E289/F289)</f>
        <v>0.341880341880342</v>
      </c>
      <c r="I289" s="25" t="s">
        <v>128</v>
      </c>
      <c r="J289" s="28" t="n">
        <v>3.1978281706008</v>
      </c>
      <c r="K289" s="28" t="n">
        <f aca="false">$K$8</f>
        <v>0.297938238782275</v>
      </c>
      <c r="L289" s="28" t="n">
        <f aca="false">SQRT(J289^2+K289^2)</f>
        <v>3.21167747490571</v>
      </c>
      <c r="M289" s="53" t="n">
        <f aca="false">IF(G289="","",MAX(0,G289-1.96*L289/100))</f>
        <v>0.595170779611506</v>
      </c>
      <c r="N289" s="53" t="n">
        <f aca="false">IF(G289="","",MIN(1,G289+1.96*L289/100))</f>
        <v>0.72106853662781</v>
      </c>
      <c r="O289" s="52" t="n">
        <f aca="false">ROUND(S289*W289,0)</f>
        <v>52</v>
      </c>
      <c r="P289" s="52" t="n">
        <f aca="false">IF(F289="","",ROUND(SQRT((F289*L289/100)^2+(G289*O289)^2),0))</f>
        <v>36</v>
      </c>
      <c r="R289" s="54" t="n">
        <v>14.6898620069634</v>
      </c>
      <c r="S289" s="55" t="n">
        <f aca="false">U289*V289*$F$5</f>
        <v>350.591240875912</v>
      </c>
      <c r="T289" s="56" t="n">
        <f aca="false">MAX(0,MIN(1,R289/100+$D$5))</f>
        <v>0.658892034588399</v>
      </c>
      <c r="U289" s="56" t="n">
        <v>0.313868613138686</v>
      </c>
      <c r="V289" s="55" t="n">
        <v>1117</v>
      </c>
      <c r="W289" s="56" t="n">
        <v>0.148097331980838</v>
      </c>
      <c r="X289" s="57" t="s">
        <v>129</v>
      </c>
      <c r="Y289" s="57" t="s">
        <v>130</v>
      </c>
    </row>
    <row r="290" customFormat="false" ht="15" hidden="false" customHeight="false" outlineLevel="0" collapsed="false">
      <c r="A290" s="25" t="s">
        <v>385</v>
      </c>
      <c r="B290" s="25" t="s">
        <v>445</v>
      </c>
      <c r="C290" s="25" t="s">
        <v>456</v>
      </c>
      <c r="D290" s="52" t="n">
        <f aca="false">ROUND(S290*T290,0)</f>
        <v>1111</v>
      </c>
      <c r="E290" s="52" t="n">
        <f aca="false">ROUND(S290,0)-D290</f>
        <v>530</v>
      </c>
      <c r="F290" s="52" t="n">
        <f aca="false">IF(COUNTA(D290:E290)=0,"",SUM(D290:E290))</f>
        <v>1641</v>
      </c>
      <c r="G290" s="53" t="n">
        <f aca="false">IF(OR(F290="",F290=0),"",D290/F290)</f>
        <v>0.67702620353443</v>
      </c>
      <c r="H290" s="53" t="n">
        <f aca="false">IF(OR(F290="",F290=0),"",E290/F290)</f>
        <v>0.32297379646557</v>
      </c>
      <c r="I290" s="25" t="s">
        <v>231</v>
      </c>
      <c r="J290" s="28" t="n">
        <v>2.08262589216041</v>
      </c>
      <c r="K290" s="28" t="n">
        <f aca="false">$K$8</f>
        <v>0.297938238782275</v>
      </c>
      <c r="L290" s="28" t="n">
        <f aca="false">SQRT(J290^2+K290^2)</f>
        <v>2.1038293183682</v>
      </c>
      <c r="M290" s="53" t="n">
        <f aca="false">IF(G290="","",MAX(0,G290-1.96*L290/100))</f>
        <v>0.635791148894414</v>
      </c>
      <c r="N290" s="53" t="n">
        <f aca="false">IF(G290="","",MIN(1,G290+1.96*L290/100))</f>
        <v>0.718261258174447</v>
      </c>
      <c r="O290" s="52" t="n">
        <f aca="false">ROUND(S290*W290,0)</f>
        <v>112</v>
      </c>
      <c r="P290" s="52" t="n">
        <f aca="false">IF(F290="","",ROUND(SQRT((F290*L290/100)^2+(G290*O290)^2),0))</f>
        <v>83</v>
      </c>
      <c r="R290" s="54" t="n">
        <v>16.4850000191824</v>
      </c>
      <c r="S290" s="55" t="n">
        <f aca="false">U290*V290*$F$5</f>
        <v>1641.003487384</v>
      </c>
      <c r="T290" s="56" t="n">
        <f aca="false">MAX(0,MIN(1,R290/100+$D$5))</f>
        <v>0.676843414710588</v>
      </c>
      <c r="U290" s="56" t="n">
        <v>0.752408751666208</v>
      </c>
      <c r="V290" s="55" t="n">
        <v>2181</v>
      </c>
      <c r="W290" s="56" t="n">
        <v>0.0684752145190268</v>
      </c>
      <c r="X290" s="57" t="s">
        <v>168</v>
      </c>
      <c r="Y290" s="57" t="s">
        <v>130</v>
      </c>
    </row>
    <row r="291" customFormat="false" ht="15" hidden="false" customHeight="false" outlineLevel="0" collapsed="false">
      <c r="A291" s="25" t="s">
        <v>385</v>
      </c>
      <c r="B291" s="25" t="s">
        <v>445</v>
      </c>
      <c r="C291" s="25" t="s">
        <v>457</v>
      </c>
      <c r="D291" s="52" t="n">
        <f aca="false">ROUND(S291*T291,0)</f>
        <v>613</v>
      </c>
      <c r="E291" s="52" t="n">
        <f aca="false">ROUND(S291,0)-D291</f>
        <v>313</v>
      </c>
      <c r="F291" s="52" t="n">
        <f aca="false">IF(COUNTA(D291:E291)=0,"",SUM(D291:E291))</f>
        <v>926</v>
      </c>
      <c r="G291" s="53" t="n">
        <f aca="false">IF(OR(F291="",F291=0),"",D291/F291)</f>
        <v>0.661987041036717</v>
      </c>
      <c r="H291" s="53" t="n">
        <f aca="false">IF(OR(F291="",F291=0),"",E291/F291)</f>
        <v>0.338012958963283</v>
      </c>
      <c r="I291" s="25" t="s">
        <v>128</v>
      </c>
      <c r="J291" s="28" t="n">
        <v>2.22489971008846</v>
      </c>
      <c r="K291" s="28" t="n">
        <f aca="false">$K$8</f>
        <v>0.297938238782275</v>
      </c>
      <c r="L291" s="28" t="n">
        <f aca="false">SQRT(J291^2+K291^2)</f>
        <v>2.24475965619494</v>
      </c>
      <c r="M291" s="53" t="n">
        <f aca="false">IF(G291="","",MAX(0,G291-1.96*L291/100))</f>
        <v>0.617989751775296</v>
      </c>
      <c r="N291" s="53" t="n">
        <f aca="false">IF(G291="","",MIN(1,G291+1.96*L291/100))</f>
        <v>0.705984330298138</v>
      </c>
      <c r="O291" s="52" t="n">
        <f aca="false">ROUND(S291*W291,0)</f>
        <v>82</v>
      </c>
      <c r="P291" s="52" t="n">
        <f aca="false">IF(F291="","",ROUND(SQRT((F291*L291/100)^2+(G291*O291)^2),0))</f>
        <v>58</v>
      </c>
      <c r="R291" s="54" t="n">
        <v>15.0028408067097</v>
      </c>
      <c r="S291" s="55" t="n">
        <f aca="false">U291*V291*$F$5</f>
        <v>925.647509578544</v>
      </c>
      <c r="T291" s="56" t="n">
        <f aca="false">MAX(0,MIN(1,R291/100+$D$5))</f>
        <v>0.662021822585861</v>
      </c>
      <c r="U291" s="56" t="n">
        <v>0.432950191570881</v>
      </c>
      <c r="V291" s="55" t="n">
        <v>2138</v>
      </c>
      <c r="W291" s="56" t="n">
        <v>0.0887445098984521</v>
      </c>
      <c r="X291" s="57" t="s">
        <v>135</v>
      </c>
      <c r="Y291" s="57" t="s">
        <v>130</v>
      </c>
    </row>
    <row r="292" customFormat="false" ht="15" hidden="false" customHeight="false" outlineLevel="0" collapsed="false">
      <c r="A292" s="25" t="s">
        <v>385</v>
      </c>
      <c r="B292" s="25" t="s">
        <v>458</v>
      </c>
      <c r="C292" s="25" t="s">
        <v>459</v>
      </c>
      <c r="D292" s="52" t="n">
        <f aca="false">ROUND(S292*T292,0)</f>
        <v>709</v>
      </c>
      <c r="E292" s="52" t="n">
        <f aca="false">ROUND(S292,0)-D292</f>
        <v>653</v>
      </c>
      <c r="F292" s="52" t="n">
        <f aca="false">IF(COUNTA(D292:E292)=0,"",SUM(D292:E292))</f>
        <v>1362</v>
      </c>
      <c r="G292" s="53" t="n">
        <f aca="false">IF(OR(F292="",F292=0),"",D292/F292)</f>
        <v>0.520558002936858</v>
      </c>
      <c r="H292" s="53" t="n">
        <f aca="false">IF(OR(F292="",F292=0),"",E292/F292)</f>
        <v>0.479441997063142</v>
      </c>
      <c r="I292" s="25" t="s">
        <v>128</v>
      </c>
      <c r="J292" s="28" t="n">
        <v>2.08262589216041</v>
      </c>
      <c r="K292" s="28" t="n">
        <f aca="false">$K$8</f>
        <v>0.297938238782275</v>
      </c>
      <c r="L292" s="28" t="n">
        <f aca="false">SQRT(J292^2+K292^2)</f>
        <v>2.1038293183682</v>
      </c>
      <c r="M292" s="53" t="n">
        <f aca="false">IF(G292="","",MAX(0,G292-1.96*L292/100))</f>
        <v>0.479322948296841</v>
      </c>
      <c r="N292" s="53" t="n">
        <f aca="false">IF(G292="","",MIN(1,G292+1.96*L292/100))</f>
        <v>0.561793057576874</v>
      </c>
      <c r="O292" s="52" t="n">
        <f aca="false">ROUND(S292*W292,0)</f>
        <v>93</v>
      </c>
      <c r="P292" s="52" t="n">
        <f aca="false">IF(F292="","",ROUND(SQRT((F292*L292/100)^2+(G292*O292)^2),0))</f>
        <v>56</v>
      </c>
      <c r="R292" s="54" t="n">
        <v>0.807545687379985</v>
      </c>
      <c r="S292" s="55" t="n">
        <f aca="false">U292*V292*$F$5</f>
        <v>1362.48372781065</v>
      </c>
      <c r="T292" s="56" t="n">
        <f aca="false">MAX(0,MIN(1,R292/100+$D$5))</f>
        <v>0.520068871392565</v>
      </c>
      <c r="U292" s="56" t="n">
        <v>0.638165680473373</v>
      </c>
      <c r="V292" s="55" t="n">
        <v>2135</v>
      </c>
      <c r="W292" s="56" t="n">
        <v>0.0684752145190268</v>
      </c>
      <c r="X292" s="57" t="s">
        <v>168</v>
      </c>
      <c r="Y292" s="57" t="s">
        <v>130</v>
      </c>
    </row>
    <row r="293" customFormat="false" ht="15" hidden="false" customHeight="false" outlineLevel="0" collapsed="false">
      <c r="A293" s="25" t="s">
        <v>385</v>
      </c>
      <c r="B293" s="25" t="s">
        <v>458</v>
      </c>
      <c r="C293" s="25" t="s">
        <v>460</v>
      </c>
      <c r="D293" s="52" t="n">
        <f aca="false">ROUND(S293*T293,0)</f>
        <v>564</v>
      </c>
      <c r="E293" s="52" t="n">
        <f aca="false">ROUND(S293,0)-D293</f>
        <v>533</v>
      </c>
      <c r="F293" s="52" t="n">
        <f aca="false">IF(COUNTA(D293:E293)=0,"",SUM(D293:E293))</f>
        <v>1097</v>
      </c>
      <c r="G293" s="53" t="n">
        <f aca="false">IF(OR(F293="",F293=0),"",D293/F293)</f>
        <v>0.514129443938013</v>
      </c>
      <c r="H293" s="53" t="n">
        <f aca="false">IF(OR(F293="",F293=0),"",E293/F293)</f>
        <v>0.485870556061987</v>
      </c>
      <c r="I293" s="25" t="s">
        <v>231</v>
      </c>
      <c r="J293" s="28" t="n">
        <v>2.08262589216041</v>
      </c>
      <c r="K293" s="28" t="n">
        <f aca="false">$K$8</f>
        <v>0.297938238782275</v>
      </c>
      <c r="L293" s="28" t="n">
        <f aca="false">SQRT(J293^2+K293^2)</f>
        <v>2.1038293183682</v>
      </c>
      <c r="M293" s="53" t="n">
        <f aca="false">IF(G293="","",MAX(0,G293-1.96*L293/100))</f>
        <v>0.472894389297996</v>
      </c>
      <c r="N293" s="53" t="n">
        <f aca="false">IF(G293="","",MIN(1,G293+1.96*L293/100))</f>
        <v>0.55536449857803</v>
      </c>
      <c r="O293" s="52" t="n">
        <f aca="false">ROUND(S293*W293,0)</f>
        <v>75</v>
      </c>
      <c r="P293" s="52" t="n">
        <f aca="false">IF(F293="","",ROUND(SQRT((F293*L293/100)^2+(G293*O293)^2),0))</f>
        <v>45</v>
      </c>
      <c r="R293" s="54" t="n">
        <v>0.24357340808992</v>
      </c>
      <c r="S293" s="55" t="n">
        <f aca="false">U293*V293*$F$5</f>
        <v>1096.75029446997</v>
      </c>
      <c r="T293" s="56" t="n">
        <f aca="false">MAX(0,MIN(1,R293/100+$D$5))</f>
        <v>0.514429148599664</v>
      </c>
      <c r="U293" s="56" t="n">
        <v>0.641801519406637</v>
      </c>
      <c r="V293" s="55" t="n">
        <v>1708.86210348014</v>
      </c>
      <c r="W293" s="56" t="n">
        <v>0.0684752145190268</v>
      </c>
      <c r="X293" s="57" t="s">
        <v>168</v>
      </c>
      <c r="Y293" s="57" t="s">
        <v>233</v>
      </c>
    </row>
    <row r="294" customFormat="false" ht="15" hidden="false" customHeight="false" outlineLevel="0" collapsed="false">
      <c r="A294" s="25" t="s">
        <v>385</v>
      </c>
      <c r="B294" s="25" t="s">
        <v>458</v>
      </c>
      <c r="C294" s="25" t="s">
        <v>461</v>
      </c>
      <c r="D294" s="52" t="n">
        <f aca="false">ROUND(S294*T294,0)</f>
        <v>316</v>
      </c>
      <c r="E294" s="52" t="n">
        <f aca="false">ROUND(S294,0)-D294</f>
        <v>265</v>
      </c>
      <c r="F294" s="52" t="n">
        <f aca="false">IF(COUNTA(D294:E294)=0,"",SUM(D294:E294))</f>
        <v>581</v>
      </c>
      <c r="G294" s="53" t="n">
        <f aca="false">IF(OR(F294="",F294=0),"",D294/F294)</f>
        <v>0.543889845094664</v>
      </c>
      <c r="H294" s="53" t="n">
        <f aca="false">IF(OR(F294="",F294=0),"",E294/F294)</f>
        <v>0.456110154905336</v>
      </c>
      <c r="I294" s="25" t="s">
        <v>231</v>
      </c>
      <c r="J294" s="28" t="n">
        <v>2.22489971008846</v>
      </c>
      <c r="K294" s="28" t="n">
        <f aca="false">$K$8</f>
        <v>0.297938238782275</v>
      </c>
      <c r="L294" s="28" t="n">
        <f aca="false">SQRT(J294^2+K294^2)</f>
        <v>2.24475965619494</v>
      </c>
      <c r="M294" s="53" t="n">
        <f aca="false">IF(G294="","",MAX(0,G294-1.96*L294/100))</f>
        <v>0.499892555833244</v>
      </c>
      <c r="N294" s="53" t="n">
        <f aca="false">IF(G294="","",MIN(1,G294+1.96*L294/100))</f>
        <v>0.587887134356085</v>
      </c>
      <c r="O294" s="52" t="n">
        <f aca="false">ROUND(S294*W294,0)</f>
        <v>52</v>
      </c>
      <c r="P294" s="52" t="n">
        <f aca="false">IF(F294="","",ROUND(SQRT((F294*L294/100)^2+(G294*O294)^2),0))</f>
        <v>31</v>
      </c>
      <c r="R294" s="54" t="n">
        <v>3.15397063701377</v>
      </c>
      <c r="S294" s="55" t="n">
        <f aca="false">U294*V294*$F$5</f>
        <v>581.035155413661</v>
      </c>
      <c r="T294" s="56" t="n">
        <f aca="false">MAX(0,MIN(1,R294/100+$D$5))</f>
        <v>0.543533120888902</v>
      </c>
      <c r="U294" s="56" t="n">
        <v>0.283708571979326</v>
      </c>
      <c r="V294" s="55" t="n">
        <v>2048</v>
      </c>
      <c r="W294" s="56" t="n">
        <v>0.0887445098984521</v>
      </c>
      <c r="X294" s="57" t="s">
        <v>135</v>
      </c>
      <c r="Y294" s="57" t="s">
        <v>130</v>
      </c>
    </row>
    <row r="295" customFormat="false" ht="15" hidden="false" customHeight="false" outlineLevel="0" collapsed="false">
      <c r="A295" s="25" t="s">
        <v>385</v>
      </c>
      <c r="B295" s="25" t="s">
        <v>458</v>
      </c>
      <c r="C295" s="25" t="s">
        <v>462</v>
      </c>
      <c r="D295" s="52" t="n">
        <f aca="false">ROUND(S295*T295,0)</f>
        <v>605</v>
      </c>
      <c r="E295" s="52" t="n">
        <f aca="false">ROUND(S295,0)-D295</f>
        <v>560</v>
      </c>
      <c r="F295" s="52" t="n">
        <f aca="false">IF(COUNTA(D295:E295)=0,"",SUM(D295:E295))</f>
        <v>1165</v>
      </c>
      <c r="G295" s="53" t="n">
        <f aca="false">IF(OR(F295="",F295=0),"",D295/F295)</f>
        <v>0.51931330472103</v>
      </c>
      <c r="H295" s="53" t="n">
        <f aca="false">IF(OR(F295="",F295=0),"",E295/F295)</f>
        <v>0.48068669527897</v>
      </c>
      <c r="I295" s="25" t="s">
        <v>231</v>
      </c>
      <c r="J295" s="28" t="n">
        <v>2.08262589216041</v>
      </c>
      <c r="K295" s="28" t="n">
        <f aca="false">$K$8</f>
        <v>0.297938238782275</v>
      </c>
      <c r="L295" s="28" t="n">
        <f aca="false">SQRT(J295^2+K295^2)</f>
        <v>2.1038293183682</v>
      </c>
      <c r="M295" s="53" t="n">
        <f aca="false">IF(G295="","",MAX(0,G295-1.96*L295/100))</f>
        <v>0.478078250081013</v>
      </c>
      <c r="N295" s="53" t="n">
        <f aca="false">IF(G295="","",MIN(1,G295+1.96*L295/100))</f>
        <v>0.560548359361047</v>
      </c>
      <c r="O295" s="52" t="n">
        <f aca="false">ROUND(S295*W295,0)</f>
        <v>80</v>
      </c>
      <c r="P295" s="52" t="n">
        <f aca="false">IF(F295="","",ROUND(SQRT((F295*L295/100)^2+(G295*O295)^2),0))</f>
        <v>48</v>
      </c>
      <c r="R295" s="54" t="n">
        <v>0.718000455476425</v>
      </c>
      <c r="S295" s="55" t="n">
        <f aca="false">U295*V295*$F$5</f>
        <v>1165.3300485926</v>
      </c>
      <c r="T295" s="56" t="n">
        <f aca="false">MAX(0,MIN(1,R295/100+$D$5))</f>
        <v>0.519173419073529</v>
      </c>
      <c r="U295" s="56" t="n">
        <v>0.60134773346046</v>
      </c>
      <c r="V295" s="55" t="n">
        <v>1937.86387434555</v>
      </c>
      <c r="W295" s="56" t="n">
        <v>0.0684752145190268</v>
      </c>
      <c r="X295" s="57" t="s">
        <v>168</v>
      </c>
      <c r="Y295" s="57" t="s">
        <v>233</v>
      </c>
    </row>
    <row r="296" customFormat="false" ht="15" hidden="false" customHeight="false" outlineLevel="0" collapsed="false">
      <c r="A296" s="25" t="s">
        <v>385</v>
      </c>
      <c r="B296" s="25" t="s">
        <v>458</v>
      </c>
      <c r="C296" s="25" t="s">
        <v>463</v>
      </c>
      <c r="D296" s="52" t="n">
        <f aca="false">ROUND(S296*T296,0)</f>
        <v>535</v>
      </c>
      <c r="E296" s="52" t="n">
        <f aca="false">ROUND(S296,0)-D296</f>
        <v>478</v>
      </c>
      <c r="F296" s="52" t="n">
        <f aca="false">IF(COUNTA(D296:E296)=0,"",SUM(D296:E296))</f>
        <v>1013</v>
      </c>
      <c r="G296" s="53" t="n">
        <f aca="false">IF(OR(F296="",F296=0),"",D296/F296)</f>
        <v>0.528134254689042</v>
      </c>
      <c r="H296" s="53" t="n">
        <f aca="false">IF(OR(F296="",F296=0),"",E296/F296)</f>
        <v>0.471865745310958</v>
      </c>
      <c r="I296" s="25" t="s">
        <v>128</v>
      </c>
      <c r="J296" s="28" t="n">
        <v>2.08262589216041</v>
      </c>
      <c r="K296" s="28" t="n">
        <f aca="false">$K$8</f>
        <v>0.297938238782275</v>
      </c>
      <c r="L296" s="28" t="n">
        <f aca="false">SQRT(J296^2+K296^2)</f>
        <v>2.1038293183682</v>
      </c>
      <c r="M296" s="53" t="n">
        <f aca="false">IF(G296="","",MAX(0,G296-1.96*L296/100))</f>
        <v>0.486899200049026</v>
      </c>
      <c r="N296" s="53" t="n">
        <f aca="false">IF(G296="","",MIN(1,G296+1.96*L296/100))</f>
        <v>0.569369309329059</v>
      </c>
      <c r="O296" s="52" t="n">
        <f aca="false">ROUND(S296*W296,0)</f>
        <v>69</v>
      </c>
      <c r="P296" s="52" t="n">
        <f aca="false">IF(F296="","",ROUND(SQRT((F296*L296/100)^2+(G296*O296)^2),0))</f>
        <v>42</v>
      </c>
      <c r="R296" s="54" t="n">
        <v>1.58344320998816</v>
      </c>
      <c r="S296" s="55" t="n">
        <f aca="false">U296*V296*$F$5</f>
        <v>1012.91514143095</v>
      </c>
      <c r="T296" s="56" t="n">
        <f aca="false">MAX(0,MIN(1,R296/100+$D$5))</f>
        <v>0.527827846618646</v>
      </c>
      <c r="U296" s="56" t="n">
        <v>0.613144758735441</v>
      </c>
      <c r="V296" s="55" t="n">
        <v>1652</v>
      </c>
      <c r="W296" s="56" t="n">
        <v>0.0684752145190268</v>
      </c>
      <c r="X296" s="57" t="s">
        <v>168</v>
      </c>
      <c r="Y296" s="57" t="s">
        <v>130</v>
      </c>
    </row>
    <row r="297" customFormat="false" ht="15" hidden="false" customHeight="false" outlineLevel="0" collapsed="false">
      <c r="A297" s="25" t="s">
        <v>385</v>
      </c>
      <c r="B297" s="25" t="s">
        <v>458</v>
      </c>
      <c r="C297" s="25" t="s">
        <v>464</v>
      </c>
      <c r="D297" s="52" t="n">
        <f aca="false">ROUND(S297*T297,0)</f>
        <v>618</v>
      </c>
      <c r="E297" s="52" t="n">
        <f aca="false">ROUND(S297,0)-D297</f>
        <v>582</v>
      </c>
      <c r="F297" s="52" t="n">
        <f aca="false">IF(COUNTA(D297:E297)=0,"",SUM(D297:E297))</f>
        <v>1200</v>
      </c>
      <c r="G297" s="53" t="n">
        <f aca="false">IF(OR(F297="",F297=0),"",D297/F297)</f>
        <v>0.515</v>
      </c>
      <c r="H297" s="53" t="n">
        <f aca="false">IF(OR(F297="",F297=0),"",E297/F297)</f>
        <v>0.485</v>
      </c>
      <c r="I297" s="25" t="s">
        <v>231</v>
      </c>
      <c r="J297" s="28" t="n">
        <v>2.08262589216041</v>
      </c>
      <c r="K297" s="28" t="n">
        <f aca="false">$K$8</f>
        <v>0.297938238782275</v>
      </c>
      <c r="L297" s="28" t="n">
        <f aca="false">SQRT(J297^2+K297^2)</f>
        <v>2.1038293183682</v>
      </c>
      <c r="M297" s="53" t="n">
        <f aca="false">IF(G297="","",MAX(0,G297-1.96*L297/100))</f>
        <v>0.473764945359983</v>
      </c>
      <c r="N297" s="53" t="n">
        <f aca="false">IF(G297="","",MIN(1,G297+1.96*L297/100))</f>
        <v>0.556235054640017</v>
      </c>
      <c r="O297" s="52" t="n">
        <f aca="false">ROUND(S297*W297,0)</f>
        <v>82</v>
      </c>
      <c r="P297" s="52" t="n">
        <f aca="false">IF(F297="","",ROUND(SQRT((F297*L297/100)^2+(G297*O297)^2),0))</f>
        <v>49</v>
      </c>
      <c r="R297" s="54" t="n">
        <v>0.273456522796797</v>
      </c>
      <c r="S297" s="55" t="n">
        <f aca="false">U297*V297*$F$5</f>
        <v>1199.88122011757</v>
      </c>
      <c r="T297" s="56" t="n">
        <f aca="false">MAX(0,MIN(1,R297/100+$D$5))</f>
        <v>0.514727979746733</v>
      </c>
      <c r="U297" s="56" t="n">
        <v>0.617879182182459</v>
      </c>
      <c r="V297" s="55" t="n">
        <v>1941.93501693871</v>
      </c>
      <c r="W297" s="56" t="n">
        <v>0.0684752145190268</v>
      </c>
      <c r="X297" s="57" t="s">
        <v>168</v>
      </c>
      <c r="Y297" s="57" t="s">
        <v>233</v>
      </c>
    </row>
    <row r="298" customFormat="false" ht="15" hidden="false" customHeight="false" outlineLevel="0" collapsed="false">
      <c r="A298" s="25" t="s">
        <v>385</v>
      </c>
      <c r="B298" s="25" t="s">
        <v>458</v>
      </c>
      <c r="C298" s="25" t="s">
        <v>465</v>
      </c>
      <c r="D298" s="52" t="n">
        <f aca="false">ROUND(S298*T298,0)</f>
        <v>315</v>
      </c>
      <c r="E298" s="52" t="n">
        <f aca="false">ROUND(S298,0)-D298</f>
        <v>294</v>
      </c>
      <c r="F298" s="52" t="n">
        <f aca="false">IF(COUNTA(D298:E298)=0,"",SUM(D298:E298))</f>
        <v>609</v>
      </c>
      <c r="G298" s="53" t="n">
        <f aca="false">IF(OR(F298="",F298=0),"",D298/F298)</f>
        <v>0.517241379310345</v>
      </c>
      <c r="H298" s="53" t="n">
        <f aca="false">IF(OR(F298="",F298=0),"",E298/F298)</f>
        <v>0.482758620689655</v>
      </c>
      <c r="I298" s="25" t="s">
        <v>231</v>
      </c>
      <c r="J298" s="28" t="n">
        <v>2.22489971008846</v>
      </c>
      <c r="K298" s="28" t="n">
        <f aca="false">$K$8</f>
        <v>0.297938238782275</v>
      </c>
      <c r="L298" s="28" t="n">
        <f aca="false">SQRT(J298^2+K298^2)</f>
        <v>2.24475965619494</v>
      </c>
      <c r="M298" s="53" t="n">
        <f aca="false">IF(G298="","",MAX(0,G298-1.96*L298/100))</f>
        <v>0.473244090048924</v>
      </c>
      <c r="N298" s="53" t="n">
        <f aca="false">IF(G298="","",MIN(1,G298+1.96*L298/100))</f>
        <v>0.561238668571766</v>
      </c>
      <c r="O298" s="52" t="n">
        <f aca="false">ROUND(S298*W298,0)</f>
        <v>54</v>
      </c>
      <c r="P298" s="52" t="n">
        <f aca="false">IF(F298="","",ROUND(SQRT((F298*L298/100)^2+(G298*O298)^2),0))</f>
        <v>31</v>
      </c>
      <c r="R298" s="54" t="n">
        <v>0.506811876153522</v>
      </c>
      <c r="S298" s="55" t="n">
        <f aca="false">U298*V298*$F$5</f>
        <v>609.080306436487</v>
      </c>
      <c r="T298" s="56" t="n">
        <f aca="false">MAX(0,MIN(1,R298/100+$D$5))</f>
        <v>0.5170615332803</v>
      </c>
      <c r="U298" s="56" t="n">
        <v>0.34508799231529</v>
      </c>
      <c r="V298" s="55" t="n">
        <v>1765</v>
      </c>
      <c r="W298" s="56" t="n">
        <v>0.0887445098984521</v>
      </c>
      <c r="X298" s="57" t="s">
        <v>135</v>
      </c>
      <c r="Y298" s="57" t="s">
        <v>130</v>
      </c>
    </row>
    <row r="299" customFormat="false" ht="15" hidden="false" customHeight="false" outlineLevel="0" collapsed="false">
      <c r="A299" s="25" t="s">
        <v>385</v>
      </c>
      <c r="B299" s="25" t="s">
        <v>466</v>
      </c>
      <c r="C299" s="25" t="s">
        <v>466</v>
      </c>
      <c r="D299" s="52" t="n">
        <f aca="false">ROUND(S299*T299,0)</f>
        <v>486</v>
      </c>
      <c r="E299" s="52" t="n">
        <f aca="false">ROUND(S299,0)-D299</f>
        <v>325</v>
      </c>
      <c r="F299" s="52" t="n">
        <f aca="false">IF(COUNTA(D299:E299)=0,"",SUM(D299:E299))</f>
        <v>811</v>
      </c>
      <c r="G299" s="53" t="n">
        <f aca="false">IF(OR(F299="",F299=0),"",D299/F299)</f>
        <v>0.599260172626387</v>
      </c>
      <c r="H299" s="53" t="n">
        <f aca="false">IF(OR(F299="",F299=0),"",E299/F299)</f>
        <v>0.400739827373613</v>
      </c>
      <c r="I299" s="25" t="s">
        <v>128</v>
      </c>
      <c r="J299" s="28" t="n">
        <v>2.22489971008846</v>
      </c>
      <c r="K299" s="28" t="n">
        <f aca="false">$K$8</f>
        <v>0.297938238782275</v>
      </c>
      <c r="L299" s="28" t="n">
        <f aca="false">SQRT(J299^2+K299^2)</f>
        <v>2.24475965619494</v>
      </c>
      <c r="M299" s="53" t="n">
        <f aca="false">IF(G299="","",MAX(0,G299-1.96*L299/100))</f>
        <v>0.555262883364966</v>
      </c>
      <c r="N299" s="53" t="n">
        <f aca="false">IF(G299="","",MIN(1,G299+1.96*L299/100))</f>
        <v>0.643257461887808</v>
      </c>
      <c r="O299" s="52" t="n">
        <f aca="false">ROUND(S299*W299,0)</f>
        <v>72</v>
      </c>
      <c r="P299" s="52" t="n">
        <f aca="false">IF(F299="","",ROUND(SQRT((F299*L299/100)^2+(G299*O299)^2),0))</f>
        <v>47</v>
      </c>
      <c r="R299" s="54" t="n">
        <v>8.66146090471949</v>
      </c>
      <c r="S299" s="55" t="n">
        <f aca="false">U299*V299*$F$5</f>
        <v>811.2722513089</v>
      </c>
      <c r="T299" s="56" t="n">
        <f aca="false">MAX(0,MIN(1,R299/100+$D$5))</f>
        <v>0.59860802356596</v>
      </c>
      <c r="U299" s="56" t="n">
        <v>0.424083769633508</v>
      </c>
      <c r="V299" s="55" t="n">
        <v>1913</v>
      </c>
      <c r="W299" s="56" t="n">
        <v>0.0887445098984521</v>
      </c>
      <c r="X299" s="57" t="s">
        <v>135</v>
      </c>
      <c r="Y299" s="57" t="s">
        <v>130</v>
      </c>
    </row>
    <row r="300" customFormat="false" ht="15" hidden="false" customHeight="false" outlineLevel="0" collapsed="false">
      <c r="A300" s="25" t="s">
        <v>385</v>
      </c>
      <c r="B300" s="25" t="s">
        <v>467</v>
      </c>
      <c r="C300" s="25" t="s">
        <v>467</v>
      </c>
      <c r="D300" s="52" t="n">
        <f aca="false">ROUND(S300*T300,0)</f>
        <v>76</v>
      </c>
      <c r="E300" s="52" t="n">
        <f aca="false">ROUND(S300,0)-D300</f>
        <v>68</v>
      </c>
      <c r="F300" s="52" t="n">
        <f aca="false">IF(COUNTA(D300:E300)=0,"",SUM(D300:E300))</f>
        <v>144</v>
      </c>
      <c r="G300" s="53" t="n">
        <f aca="false">IF(OR(F300="",F300=0),"",D300/F300)</f>
        <v>0.527777777777778</v>
      </c>
      <c r="H300" s="53" t="n">
        <f aca="false">IF(OR(F300="",F300=0),"",E300/F300)</f>
        <v>0.472222222222222</v>
      </c>
      <c r="I300" s="25" t="s">
        <v>128</v>
      </c>
      <c r="J300" s="28" t="n">
        <v>3.1978281706008</v>
      </c>
      <c r="K300" s="28" t="n">
        <f aca="false">$K$8</f>
        <v>0.297938238782275</v>
      </c>
      <c r="L300" s="28" t="n">
        <f aca="false">SQRT(J300^2+K300^2)</f>
        <v>3.21167747490571</v>
      </c>
      <c r="M300" s="53" t="n">
        <f aca="false">IF(G300="","",MAX(0,G300-1.96*L300/100))</f>
        <v>0.464828899269626</v>
      </c>
      <c r="N300" s="53" t="n">
        <f aca="false">IF(G300="","",MIN(1,G300+1.96*L300/100))</f>
        <v>0.59072665628593</v>
      </c>
      <c r="O300" s="52" t="n">
        <f aca="false">ROUND(S300*W300,0)</f>
        <v>21</v>
      </c>
      <c r="P300" s="52" t="n">
        <f aca="false">IF(F300="","",ROUND(SQRT((F300*L300/100)^2+(G300*O300)^2),0))</f>
        <v>12</v>
      </c>
      <c r="R300" s="54" t="n">
        <v>1.47238832373834</v>
      </c>
      <c r="S300" s="55" t="n">
        <f aca="false">U300*V300*$F$5</f>
        <v>143.630597014925</v>
      </c>
      <c r="T300" s="56" t="n">
        <f aca="false">MAX(0,MIN(1,R300/100+$D$5))</f>
        <v>0.526717297756148</v>
      </c>
      <c r="U300" s="56" t="n">
        <v>0.526119402985075</v>
      </c>
      <c r="V300" s="55" t="n">
        <v>273</v>
      </c>
      <c r="W300" s="56" t="n">
        <v>0.148097331980838</v>
      </c>
      <c r="X300" s="57" t="s">
        <v>129</v>
      </c>
      <c r="Y300" s="57" t="s">
        <v>130</v>
      </c>
    </row>
    <row r="301" customFormat="false" ht="15" hidden="false" customHeight="false" outlineLevel="0" collapsed="false">
      <c r="A301" s="25" t="s">
        <v>385</v>
      </c>
      <c r="B301" s="25" t="s">
        <v>292</v>
      </c>
      <c r="C301" s="25" t="s">
        <v>468</v>
      </c>
      <c r="D301" s="52" t="n">
        <f aca="false">ROUND(S301*T301,0)</f>
        <v>759</v>
      </c>
      <c r="E301" s="52" t="n">
        <f aca="false">ROUND(S301,0)-D301</f>
        <v>537</v>
      </c>
      <c r="F301" s="52" t="n">
        <f aca="false">IF(COUNTA(D301:E301)=0,"",SUM(D301:E301))</f>
        <v>1296</v>
      </c>
      <c r="G301" s="53" t="n">
        <f aca="false">IF(OR(F301="",F301=0),"",D301/F301)</f>
        <v>0.585648148148148</v>
      </c>
      <c r="H301" s="53" t="n">
        <f aca="false">IF(OR(F301="",F301=0),"",E301/F301)</f>
        <v>0.414351851851852</v>
      </c>
      <c r="I301" s="25" t="s">
        <v>128</v>
      </c>
      <c r="J301" s="28" t="n">
        <v>2.08262589216041</v>
      </c>
      <c r="K301" s="28" t="n">
        <f aca="false">$K$8</f>
        <v>0.297938238782275</v>
      </c>
      <c r="L301" s="28" t="n">
        <f aca="false">SQRT(J301^2+K301^2)</f>
        <v>2.1038293183682</v>
      </c>
      <c r="M301" s="53" t="n">
        <f aca="false">IF(G301="","",MAX(0,G301-1.96*L301/100))</f>
        <v>0.544413093508131</v>
      </c>
      <c r="N301" s="53" t="n">
        <f aca="false">IF(G301="","",MIN(1,G301+1.96*L301/100))</f>
        <v>0.626883202788165</v>
      </c>
      <c r="O301" s="52" t="n">
        <f aca="false">ROUND(S301*W301,0)</f>
        <v>89</v>
      </c>
      <c r="P301" s="52" t="n">
        <f aca="false">IF(F301="","",ROUND(SQRT((F301*L301/100)^2+(G301*O301)^2),0))</f>
        <v>59</v>
      </c>
      <c r="R301" s="54" t="n">
        <v>7.35907356110674</v>
      </c>
      <c r="S301" s="55" t="n">
        <f aca="false">U301*V301*$F$5</f>
        <v>1296.13085052843</v>
      </c>
      <c r="T301" s="56" t="n">
        <f aca="false">MAX(0,MIN(1,R301/100+$D$5))</f>
        <v>0.585584150129832</v>
      </c>
      <c r="U301" s="56" t="n">
        <v>0.662304982385506</v>
      </c>
      <c r="V301" s="55" t="n">
        <v>1957</v>
      </c>
      <c r="W301" s="56" t="n">
        <v>0.0684752145190268</v>
      </c>
      <c r="X301" s="57" t="s">
        <v>168</v>
      </c>
      <c r="Y301" s="57" t="s">
        <v>130</v>
      </c>
    </row>
    <row r="302" customFormat="false" ht="15" hidden="false" customHeight="false" outlineLevel="0" collapsed="false">
      <c r="A302" s="25" t="s">
        <v>385</v>
      </c>
      <c r="B302" s="25" t="s">
        <v>292</v>
      </c>
      <c r="C302" s="25" t="s">
        <v>469</v>
      </c>
      <c r="D302" s="52" t="n">
        <f aca="false">ROUND(S302*T302,0)</f>
        <v>731</v>
      </c>
      <c r="E302" s="52" t="n">
        <f aca="false">ROUND(S302,0)-D302</f>
        <v>583</v>
      </c>
      <c r="F302" s="52" t="n">
        <f aca="false">IF(COUNTA(D302:E302)=0,"",SUM(D302:E302))</f>
        <v>1314</v>
      </c>
      <c r="G302" s="53" t="n">
        <f aca="false">IF(OR(F302="",F302=0),"",D302/F302)</f>
        <v>0.556316590563166</v>
      </c>
      <c r="H302" s="53" t="n">
        <f aca="false">IF(OR(F302="",F302=0),"",E302/F302)</f>
        <v>0.443683409436834</v>
      </c>
      <c r="I302" s="25" t="s">
        <v>128</v>
      </c>
      <c r="J302" s="28" t="n">
        <v>2.08262589216041</v>
      </c>
      <c r="K302" s="28" t="n">
        <f aca="false">$K$8</f>
        <v>0.297938238782275</v>
      </c>
      <c r="L302" s="28" t="n">
        <f aca="false">SQRT(J302^2+K302^2)</f>
        <v>2.1038293183682</v>
      </c>
      <c r="M302" s="53" t="n">
        <f aca="false">IF(G302="","",MAX(0,G302-1.96*L302/100))</f>
        <v>0.515081535923149</v>
      </c>
      <c r="N302" s="53" t="n">
        <f aca="false">IF(G302="","",MIN(1,G302+1.96*L302/100))</f>
        <v>0.597551645203183</v>
      </c>
      <c r="O302" s="52" t="n">
        <f aca="false">ROUND(S302*W302,0)</f>
        <v>90</v>
      </c>
      <c r="P302" s="52" t="n">
        <f aca="false">IF(F302="","",ROUND(SQRT((F302*L302/100)^2+(G302*O302)^2),0))</f>
        <v>57</v>
      </c>
      <c r="R302" s="54" t="n">
        <v>4.47508514491604</v>
      </c>
      <c r="S302" s="55" t="n">
        <f aca="false">U302*V302*$F$5</f>
        <v>1313.559</v>
      </c>
      <c r="T302" s="56" t="n">
        <f aca="false">MAX(0,MIN(1,R302/100+$D$5))</f>
        <v>0.556744265967925</v>
      </c>
      <c r="U302" s="56" t="n">
        <v>0.6695</v>
      </c>
      <c r="V302" s="55" t="n">
        <v>1962</v>
      </c>
      <c r="W302" s="56" t="n">
        <v>0.0684752145190268</v>
      </c>
      <c r="X302" s="57" t="s">
        <v>168</v>
      </c>
      <c r="Y302" s="57" t="s">
        <v>130</v>
      </c>
    </row>
    <row r="303" customFormat="false" ht="15" hidden="false" customHeight="false" outlineLevel="0" collapsed="false">
      <c r="A303" s="25" t="s">
        <v>385</v>
      </c>
      <c r="B303" s="25" t="s">
        <v>292</v>
      </c>
      <c r="C303" s="25" t="s">
        <v>470</v>
      </c>
      <c r="D303" s="52" t="n">
        <f aca="false">ROUND(S303*T303,0)</f>
        <v>382</v>
      </c>
      <c r="E303" s="52" t="n">
        <f aca="false">ROUND(S303,0)-D303</f>
        <v>348</v>
      </c>
      <c r="F303" s="52" t="n">
        <f aca="false">IF(COUNTA(D303:E303)=0,"",SUM(D303:E303))</f>
        <v>730</v>
      </c>
      <c r="G303" s="53" t="n">
        <f aca="false">IF(OR(F303="",F303=0),"",D303/F303)</f>
        <v>0.523287671232877</v>
      </c>
      <c r="H303" s="53" t="n">
        <f aca="false">IF(OR(F303="",F303=0),"",E303/F303)</f>
        <v>0.476712328767123</v>
      </c>
      <c r="I303" s="25" t="s">
        <v>128</v>
      </c>
      <c r="J303" s="28" t="n">
        <v>2.22489971008846</v>
      </c>
      <c r="K303" s="28" t="n">
        <f aca="false">$K$8</f>
        <v>0.297938238782275</v>
      </c>
      <c r="L303" s="28" t="n">
        <f aca="false">SQRT(J303^2+K303^2)</f>
        <v>2.24475965619494</v>
      </c>
      <c r="M303" s="53" t="n">
        <f aca="false">IF(G303="","",MAX(0,G303-1.96*L303/100))</f>
        <v>0.479290381971456</v>
      </c>
      <c r="N303" s="53" t="n">
        <f aca="false">IF(G303="","",MIN(1,G303+1.96*L303/100))</f>
        <v>0.567284960494297</v>
      </c>
      <c r="O303" s="52" t="n">
        <f aca="false">ROUND(S303*W303,0)</f>
        <v>65</v>
      </c>
      <c r="P303" s="52" t="n">
        <f aca="false">IF(F303="","",ROUND(SQRT((F303*L303/100)^2+(G303*O303)^2),0))</f>
        <v>38</v>
      </c>
      <c r="R303" s="54" t="n">
        <v>1.14471236874448</v>
      </c>
      <c r="S303" s="55" t="n">
        <f aca="false">U303*V303*$F$5</f>
        <v>730.386706948641</v>
      </c>
      <c r="T303" s="56" t="n">
        <f aca="false">MAX(0,MIN(1,R303/100+$D$5))</f>
        <v>0.52344053820621</v>
      </c>
      <c r="U303" s="56" t="n">
        <v>0.731117824773414</v>
      </c>
      <c r="V303" s="55" t="n">
        <v>999</v>
      </c>
      <c r="W303" s="56" t="n">
        <v>0.0887445098984521</v>
      </c>
      <c r="X303" s="57" t="s">
        <v>135</v>
      </c>
      <c r="Y303" s="57" t="s">
        <v>130</v>
      </c>
    </row>
    <row r="304" customFormat="false" ht="15" hidden="false" customHeight="false" outlineLevel="0" collapsed="false">
      <c r="A304" s="25" t="s">
        <v>385</v>
      </c>
      <c r="B304" s="25" t="s">
        <v>292</v>
      </c>
      <c r="C304" s="25" t="s">
        <v>471</v>
      </c>
      <c r="D304" s="52" t="n">
        <f aca="false">ROUND(S304*T304,0)</f>
        <v>603</v>
      </c>
      <c r="E304" s="52" t="n">
        <f aca="false">ROUND(S304,0)-D304</f>
        <v>552</v>
      </c>
      <c r="F304" s="52" t="n">
        <f aca="false">IF(COUNTA(D304:E304)=0,"",SUM(D304:E304))</f>
        <v>1155</v>
      </c>
      <c r="G304" s="53" t="n">
        <f aca="false">IF(OR(F304="",F304=0),"",D304/F304)</f>
        <v>0.522077922077922</v>
      </c>
      <c r="H304" s="53" t="n">
        <f aca="false">IF(OR(F304="",F304=0),"",E304/F304)</f>
        <v>0.477922077922078</v>
      </c>
      <c r="I304" s="25" t="s">
        <v>128</v>
      </c>
      <c r="J304" s="28" t="n">
        <v>2.08262589216041</v>
      </c>
      <c r="K304" s="28" t="n">
        <f aca="false">$K$8</f>
        <v>0.297938238782275</v>
      </c>
      <c r="L304" s="28" t="n">
        <f aca="false">SQRT(J304^2+K304^2)</f>
        <v>2.1038293183682</v>
      </c>
      <c r="M304" s="53" t="n">
        <f aca="false">IF(G304="","",MAX(0,G304-1.96*L304/100))</f>
        <v>0.480842867437905</v>
      </c>
      <c r="N304" s="53" t="n">
        <f aca="false">IF(G304="","",MIN(1,G304+1.96*L304/100))</f>
        <v>0.563312976717939</v>
      </c>
      <c r="O304" s="52" t="n">
        <f aca="false">ROUND(S304*W304,0)</f>
        <v>79</v>
      </c>
      <c r="P304" s="52" t="n">
        <f aca="false">IF(F304="","",ROUND(SQRT((F304*L304/100)^2+(G304*O304)^2),0))</f>
        <v>48</v>
      </c>
      <c r="R304" s="54" t="n">
        <v>1.01510484846145</v>
      </c>
      <c r="S304" s="55" t="n">
        <f aca="false">U304*V304*$F$5</f>
        <v>1154.58674351585</v>
      </c>
      <c r="T304" s="56" t="n">
        <f aca="false">MAX(0,MIN(1,R304/100+$D$5))</f>
        <v>0.522144463003379</v>
      </c>
      <c r="U304" s="56" t="n">
        <v>0.660518731988472</v>
      </c>
      <c r="V304" s="55" t="n">
        <v>1748</v>
      </c>
      <c r="W304" s="56" t="n">
        <v>0.0684752145190268</v>
      </c>
      <c r="X304" s="57" t="s">
        <v>168</v>
      </c>
      <c r="Y304" s="57" t="s">
        <v>130</v>
      </c>
    </row>
    <row r="305" customFormat="false" ht="15" hidden="false" customHeight="false" outlineLevel="0" collapsed="false">
      <c r="A305" s="25" t="s">
        <v>385</v>
      </c>
      <c r="B305" s="25" t="s">
        <v>292</v>
      </c>
      <c r="C305" s="25" t="s">
        <v>472</v>
      </c>
      <c r="D305" s="52" t="n">
        <f aca="false">ROUND(S305*T305,0)</f>
        <v>659</v>
      </c>
      <c r="E305" s="52" t="n">
        <f aca="false">ROUND(S305,0)-D305</f>
        <v>542</v>
      </c>
      <c r="F305" s="52" t="n">
        <f aca="false">IF(COUNTA(D305:E305)=0,"",SUM(D305:E305))</f>
        <v>1201</v>
      </c>
      <c r="G305" s="53" t="n">
        <f aca="false">IF(OR(F305="",F305=0),"",D305/F305)</f>
        <v>0.548709408825978</v>
      </c>
      <c r="H305" s="53" t="n">
        <f aca="false">IF(OR(F305="",F305=0),"",E305/F305)</f>
        <v>0.451290591174022</v>
      </c>
      <c r="I305" s="25" t="s">
        <v>128</v>
      </c>
      <c r="J305" s="28" t="n">
        <v>2.08262589216041</v>
      </c>
      <c r="K305" s="28" t="n">
        <f aca="false">$K$8</f>
        <v>0.297938238782275</v>
      </c>
      <c r="L305" s="28" t="n">
        <f aca="false">SQRT(J305^2+K305^2)</f>
        <v>2.1038293183682</v>
      </c>
      <c r="M305" s="53" t="n">
        <f aca="false">IF(G305="","",MAX(0,G305-1.96*L305/100))</f>
        <v>0.507474354185962</v>
      </c>
      <c r="N305" s="53" t="n">
        <f aca="false">IF(G305="","",MIN(1,G305+1.96*L305/100))</f>
        <v>0.589944463465995</v>
      </c>
      <c r="O305" s="52" t="n">
        <f aca="false">ROUND(S305*W305,0)</f>
        <v>82</v>
      </c>
      <c r="P305" s="52" t="n">
        <f aca="false">IF(F305="","",ROUND(SQRT((F305*L305/100)^2+(G305*O305)^2),0))</f>
        <v>52</v>
      </c>
      <c r="R305" s="54" t="n">
        <v>3.66099738391301</v>
      </c>
      <c r="S305" s="55" t="n">
        <f aca="false">U305*V305*$F$5</f>
        <v>1201.08993448481</v>
      </c>
      <c r="T305" s="56" t="n">
        <f aca="false">MAX(0,MIN(1,R305/100+$D$5))</f>
        <v>0.548603388357895</v>
      </c>
      <c r="U305" s="56" t="n">
        <v>0.687909469922573</v>
      </c>
      <c r="V305" s="55" t="n">
        <v>1746</v>
      </c>
      <c r="W305" s="56" t="n">
        <v>0.0684752145190268</v>
      </c>
      <c r="X305" s="57" t="s">
        <v>168</v>
      </c>
      <c r="Y305" s="57" t="s">
        <v>130</v>
      </c>
    </row>
    <row r="306" customFormat="false" ht="15" hidden="false" customHeight="false" outlineLevel="0" collapsed="false">
      <c r="A306" s="25" t="s">
        <v>385</v>
      </c>
      <c r="B306" s="25" t="s">
        <v>292</v>
      </c>
      <c r="C306" s="25" t="s">
        <v>473</v>
      </c>
      <c r="D306" s="52" t="n">
        <f aca="false">ROUND(S306*T306,0)</f>
        <v>387</v>
      </c>
      <c r="E306" s="52" t="n">
        <f aca="false">ROUND(S306,0)-D306</f>
        <v>343</v>
      </c>
      <c r="F306" s="52" t="n">
        <f aca="false">IF(COUNTA(D306:E306)=0,"",SUM(D306:E306))</f>
        <v>730</v>
      </c>
      <c r="G306" s="53" t="n">
        <f aca="false">IF(OR(F306="",F306=0),"",D306/F306)</f>
        <v>0.53013698630137</v>
      </c>
      <c r="H306" s="53" t="n">
        <f aca="false">IF(OR(F306="",F306=0),"",E306/F306)</f>
        <v>0.46986301369863</v>
      </c>
      <c r="I306" s="25" t="s">
        <v>128</v>
      </c>
      <c r="J306" s="28" t="n">
        <v>2.22489971008846</v>
      </c>
      <c r="K306" s="28" t="n">
        <f aca="false">$K$8</f>
        <v>0.297938238782275</v>
      </c>
      <c r="L306" s="28" t="n">
        <f aca="false">SQRT(J306^2+K306^2)</f>
        <v>2.24475965619494</v>
      </c>
      <c r="M306" s="53" t="n">
        <f aca="false">IF(G306="","",MAX(0,G306-1.96*L306/100))</f>
        <v>0.486139697039949</v>
      </c>
      <c r="N306" s="53" t="n">
        <f aca="false">IF(G306="","",MIN(1,G306+1.96*L306/100))</f>
        <v>0.574134275562791</v>
      </c>
      <c r="O306" s="52" t="n">
        <f aca="false">ROUND(S306*W306,0)</f>
        <v>65</v>
      </c>
      <c r="P306" s="52" t="n">
        <f aca="false">IF(F306="","",ROUND(SQRT((F306*L306/100)^2+(G306*O306)^2),0))</f>
        <v>38</v>
      </c>
      <c r="R306" s="54" t="n">
        <v>1.82688837556174</v>
      </c>
      <c r="S306" s="55" t="n">
        <f aca="false">U306*V306*$F$5</f>
        <v>730.182352941177</v>
      </c>
      <c r="T306" s="56" t="n">
        <f aca="false">MAX(0,MIN(1,R306/100+$D$5))</f>
        <v>0.530262298274382</v>
      </c>
      <c r="U306" s="56" t="n">
        <v>0.647899159663866</v>
      </c>
      <c r="V306" s="55" t="n">
        <v>1127</v>
      </c>
      <c r="W306" s="56" t="n">
        <v>0.0887445098984521</v>
      </c>
      <c r="X306" s="57" t="s">
        <v>135</v>
      </c>
      <c r="Y306" s="57" t="s">
        <v>130</v>
      </c>
    </row>
    <row r="307" customFormat="false" ht="15" hidden="false" customHeight="false" outlineLevel="0" collapsed="false">
      <c r="A307" s="25" t="s">
        <v>385</v>
      </c>
      <c r="B307" s="25" t="s">
        <v>474</v>
      </c>
      <c r="C307" s="25" t="s">
        <v>475</v>
      </c>
      <c r="D307" s="52" t="n">
        <f aca="false">ROUND(S307*T307,0)</f>
        <v>455</v>
      </c>
      <c r="E307" s="52" t="n">
        <f aca="false">ROUND(S307,0)-D307</f>
        <v>455</v>
      </c>
      <c r="F307" s="52" t="n">
        <f aca="false">IF(COUNTA(D307:E307)=0,"",SUM(D307:E307))</f>
        <v>910</v>
      </c>
      <c r="G307" s="53" t="n">
        <f aca="false">IF(OR(F307="",F307=0),"",D307/F307)</f>
        <v>0.5</v>
      </c>
      <c r="H307" s="53" t="n">
        <f aca="false">IF(OR(F307="",F307=0),"",E307/F307)</f>
        <v>0.5</v>
      </c>
      <c r="I307" s="25" t="s">
        <v>128</v>
      </c>
      <c r="J307" s="28" t="n">
        <v>2.22489971008846</v>
      </c>
      <c r="K307" s="28" t="n">
        <f aca="false">$K$8</f>
        <v>0.297938238782275</v>
      </c>
      <c r="L307" s="28" t="n">
        <f aca="false">SQRT(J307^2+K307^2)</f>
        <v>2.24475965619494</v>
      </c>
      <c r="M307" s="53" t="n">
        <f aca="false">IF(G307="","",MAX(0,G307-1.96*L307/100))</f>
        <v>0.456002710738579</v>
      </c>
      <c r="N307" s="53" t="n">
        <f aca="false">IF(G307="","",MIN(1,G307+1.96*L307/100))</f>
        <v>0.543997289261421</v>
      </c>
      <c r="O307" s="52" t="n">
        <f aca="false">ROUND(S307*W307,0)</f>
        <v>81</v>
      </c>
      <c r="P307" s="52" t="n">
        <f aca="false">IF(F307="","",ROUND(SQRT((F307*L307/100)^2+(G307*O307)^2),0))</f>
        <v>45</v>
      </c>
      <c r="R307" s="54" t="n">
        <v>-1.22443971006762</v>
      </c>
      <c r="S307" s="55" t="n">
        <f aca="false">U307*V307*$F$5</f>
        <v>910.483425414365</v>
      </c>
      <c r="T307" s="56" t="n">
        <f aca="false">MAX(0,MIN(1,R307/100+$D$5))</f>
        <v>0.499749017418088</v>
      </c>
      <c r="U307" s="56" t="n">
        <v>0.604972375690608</v>
      </c>
      <c r="V307" s="55" t="n">
        <v>1505</v>
      </c>
      <c r="W307" s="56" t="n">
        <v>0.0887445098984521</v>
      </c>
      <c r="X307" s="57" t="s">
        <v>135</v>
      </c>
      <c r="Y307" s="57" t="s">
        <v>130</v>
      </c>
    </row>
    <row r="308" customFormat="false" ht="15" hidden="false" customHeight="false" outlineLevel="0" collapsed="false">
      <c r="A308" s="25" t="s">
        <v>385</v>
      </c>
      <c r="B308" s="25" t="s">
        <v>474</v>
      </c>
      <c r="C308" s="25" t="s">
        <v>476</v>
      </c>
      <c r="D308" s="52" t="n">
        <f aca="false">ROUND(S308*T308,0)</f>
        <v>366</v>
      </c>
      <c r="E308" s="52" t="n">
        <f aca="false">ROUND(S308,0)-D308</f>
        <v>335</v>
      </c>
      <c r="F308" s="52" t="n">
        <f aca="false">IF(COUNTA(D308:E308)=0,"",SUM(D308:E308))</f>
        <v>701</v>
      </c>
      <c r="G308" s="53" t="n">
        <f aca="false">IF(OR(F308="",F308=0),"",D308/F308)</f>
        <v>0.522111269614836</v>
      </c>
      <c r="H308" s="53" t="n">
        <f aca="false">IF(OR(F308="",F308=0),"",E308/F308)</f>
        <v>0.477888730385164</v>
      </c>
      <c r="I308" s="25" t="s">
        <v>128</v>
      </c>
      <c r="J308" s="28" t="n">
        <v>2.22489971008846</v>
      </c>
      <c r="K308" s="28" t="n">
        <f aca="false">$K$8</f>
        <v>0.297938238782275</v>
      </c>
      <c r="L308" s="28" t="n">
        <f aca="false">SQRT(J308^2+K308^2)</f>
        <v>2.24475965619494</v>
      </c>
      <c r="M308" s="53" t="n">
        <f aca="false">IF(G308="","",MAX(0,G308-1.96*L308/100))</f>
        <v>0.478113980353415</v>
      </c>
      <c r="N308" s="53" t="n">
        <f aca="false">IF(G308="","",MIN(1,G308+1.96*L308/100))</f>
        <v>0.566108558876257</v>
      </c>
      <c r="O308" s="52" t="n">
        <f aca="false">ROUND(S308*W308,0)</f>
        <v>62</v>
      </c>
      <c r="P308" s="52" t="n">
        <f aca="false">IF(F308="","",ROUND(SQRT((F308*L308/100)^2+(G308*O308)^2),0))</f>
        <v>36</v>
      </c>
      <c r="R308" s="54" t="n">
        <v>1.00858462589653</v>
      </c>
      <c r="S308" s="55" t="n">
        <f aca="false">U308*V308*$F$5</f>
        <v>700.622033898305</v>
      </c>
      <c r="T308" s="56" t="n">
        <f aca="false">MAX(0,MIN(1,R308/100+$D$5))</f>
        <v>0.52207926077773</v>
      </c>
      <c r="U308" s="56" t="n">
        <v>0.577118644067797</v>
      </c>
      <c r="V308" s="55" t="n">
        <v>1214</v>
      </c>
      <c r="W308" s="56" t="n">
        <v>0.0887445098984521</v>
      </c>
      <c r="X308" s="57" t="s">
        <v>135</v>
      </c>
      <c r="Y308" s="57" t="s">
        <v>130</v>
      </c>
    </row>
    <row r="309" customFormat="false" ht="15" hidden="false" customHeight="false" outlineLevel="0" collapsed="false">
      <c r="A309" s="25" t="s">
        <v>385</v>
      </c>
      <c r="B309" s="25" t="s">
        <v>474</v>
      </c>
      <c r="C309" s="25" t="s">
        <v>477</v>
      </c>
      <c r="D309" s="52" t="n">
        <f aca="false">ROUND(S309*T309,0)</f>
        <v>540</v>
      </c>
      <c r="E309" s="52" t="n">
        <f aca="false">ROUND(S309,0)-D309</f>
        <v>477</v>
      </c>
      <c r="F309" s="52" t="n">
        <f aca="false">IF(COUNTA(D309:E309)=0,"",SUM(D309:E309))</f>
        <v>1017</v>
      </c>
      <c r="G309" s="53" t="n">
        <f aca="false">IF(OR(F309="",F309=0),"",D309/F309)</f>
        <v>0.530973451327434</v>
      </c>
      <c r="H309" s="53" t="n">
        <f aca="false">IF(OR(F309="",F309=0),"",E309/F309)</f>
        <v>0.469026548672566</v>
      </c>
      <c r="I309" s="25" t="s">
        <v>128</v>
      </c>
      <c r="J309" s="28" t="n">
        <v>2.08262589216041</v>
      </c>
      <c r="K309" s="28" t="n">
        <f aca="false">$K$8</f>
        <v>0.297938238782275</v>
      </c>
      <c r="L309" s="28" t="n">
        <f aca="false">SQRT(J309^2+K309^2)</f>
        <v>2.1038293183682</v>
      </c>
      <c r="M309" s="53" t="n">
        <f aca="false">IF(G309="","",MAX(0,G309-1.96*L309/100))</f>
        <v>0.489738396687417</v>
      </c>
      <c r="N309" s="53" t="n">
        <f aca="false">IF(G309="","",MIN(1,G309+1.96*L309/100))</f>
        <v>0.57220850596745</v>
      </c>
      <c r="O309" s="52" t="n">
        <f aca="false">ROUND(S309*W309,0)</f>
        <v>70</v>
      </c>
      <c r="P309" s="52" t="n">
        <f aca="false">IF(F309="","",ROUND(SQRT((F309*L309/100)^2+(G309*O309)^2),0))</f>
        <v>43</v>
      </c>
      <c r="R309" s="54" t="n">
        <v>1.96507221159242</v>
      </c>
      <c r="S309" s="55" t="n">
        <f aca="false">U309*V309*$F$5</f>
        <v>1016.60692951016</v>
      </c>
      <c r="T309" s="56" t="n">
        <f aca="false">MAX(0,MIN(1,R309/100+$D$5))</f>
        <v>0.531644136634689</v>
      </c>
      <c r="U309" s="56" t="n">
        <v>0.606929510155317</v>
      </c>
      <c r="V309" s="55" t="n">
        <v>1675</v>
      </c>
      <c r="W309" s="56" t="n">
        <v>0.0684752145190268</v>
      </c>
      <c r="X309" s="57" t="s">
        <v>168</v>
      </c>
      <c r="Y309" s="57" t="s">
        <v>130</v>
      </c>
    </row>
    <row r="310" customFormat="false" ht="15" hidden="false" customHeight="false" outlineLevel="0" collapsed="false">
      <c r="A310" s="25" t="s">
        <v>385</v>
      </c>
      <c r="B310" s="25" t="s">
        <v>478</v>
      </c>
      <c r="C310" s="25" t="s">
        <v>479</v>
      </c>
      <c r="D310" s="52" t="n">
        <f aca="false">ROUND(S310*T310,0)</f>
        <v>461</v>
      </c>
      <c r="E310" s="52" t="n">
        <f aca="false">ROUND(S310,0)-D310</f>
        <v>878</v>
      </c>
      <c r="F310" s="52" t="n">
        <f aca="false">IF(COUNTA(D310:E310)=0,"",SUM(D310:E310))</f>
        <v>1339</v>
      </c>
      <c r="G310" s="53" t="n">
        <f aca="false">IF(OR(F310="",F310=0),"",D310/F310)</f>
        <v>0.344286781179985</v>
      </c>
      <c r="H310" s="53" t="n">
        <f aca="false">IF(OR(F310="",F310=0),"",E310/F310)</f>
        <v>0.655713218820015</v>
      </c>
      <c r="I310" s="25" t="s">
        <v>128</v>
      </c>
      <c r="J310" s="28" t="n">
        <v>2.08262589216041</v>
      </c>
      <c r="K310" s="28" t="n">
        <f aca="false">$K$8</f>
        <v>0.297938238782275</v>
      </c>
      <c r="L310" s="28" t="n">
        <f aca="false">SQRT(J310^2+K310^2)</f>
        <v>2.1038293183682</v>
      </c>
      <c r="M310" s="53" t="n">
        <f aca="false">IF(G310="","",MAX(0,G310-1.96*L310/100))</f>
        <v>0.303051726539968</v>
      </c>
      <c r="N310" s="53" t="n">
        <f aca="false">IF(G310="","",MIN(1,G310+1.96*L310/100))</f>
        <v>0.385521835820002</v>
      </c>
      <c r="O310" s="52" t="n">
        <f aca="false">ROUND(S310*W310,0)</f>
        <v>92</v>
      </c>
      <c r="P310" s="52" t="n">
        <f aca="false">IF(F310="","",ROUND(SQRT((F310*L310/100)^2+(G310*O310)^2),0))</f>
        <v>42</v>
      </c>
      <c r="R310" s="54" t="n">
        <v>-16.7332803774949</v>
      </c>
      <c r="S310" s="55" t="n">
        <f aca="false">U310*V310*$F$5</f>
        <v>1338.7974025974</v>
      </c>
      <c r="T310" s="56" t="n">
        <f aca="false">MAX(0,MIN(1,R310/100+$D$5))</f>
        <v>0.344660610743816</v>
      </c>
      <c r="U310" s="56" t="n">
        <v>0.664415584415585</v>
      </c>
      <c r="V310" s="55" t="n">
        <v>2015</v>
      </c>
      <c r="W310" s="56" t="n">
        <v>0.0684752145190268</v>
      </c>
      <c r="X310" s="57" t="s">
        <v>168</v>
      </c>
      <c r="Y310" s="57" t="s">
        <v>130</v>
      </c>
    </row>
    <row r="311" customFormat="false" ht="15" hidden="false" customHeight="false" outlineLevel="0" collapsed="false">
      <c r="A311" s="25" t="s">
        <v>385</v>
      </c>
      <c r="B311" s="25" t="s">
        <v>478</v>
      </c>
      <c r="C311" s="25" t="s">
        <v>480</v>
      </c>
      <c r="D311" s="52" t="n">
        <f aca="false">ROUND(S311*T311,0)</f>
        <v>513</v>
      </c>
      <c r="E311" s="52" t="n">
        <f aca="false">ROUND(S311,0)-D311</f>
        <v>982</v>
      </c>
      <c r="F311" s="52" t="n">
        <f aca="false">IF(COUNTA(D311:E311)=0,"",SUM(D311:E311))</f>
        <v>1495</v>
      </c>
      <c r="G311" s="53" t="n">
        <f aca="false">IF(OR(F311="",F311=0),"",D311/F311)</f>
        <v>0.34314381270903</v>
      </c>
      <c r="H311" s="53" t="n">
        <f aca="false">IF(OR(F311="",F311=0),"",E311/F311)</f>
        <v>0.65685618729097</v>
      </c>
      <c r="I311" s="25" t="s">
        <v>128</v>
      </c>
      <c r="J311" s="28" t="n">
        <v>2.08262589216041</v>
      </c>
      <c r="K311" s="28" t="n">
        <f aca="false">$K$8</f>
        <v>0.297938238782275</v>
      </c>
      <c r="L311" s="28" t="n">
        <f aca="false">SQRT(J311^2+K311^2)</f>
        <v>2.1038293183682</v>
      </c>
      <c r="M311" s="53" t="n">
        <f aca="false">IF(G311="","",MAX(0,G311-1.96*L311/100))</f>
        <v>0.301908758069013</v>
      </c>
      <c r="N311" s="53" t="n">
        <f aca="false">IF(G311="","",MIN(1,G311+1.96*L311/100))</f>
        <v>0.384378867349047</v>
      </c>
      <c r="O311" s="52" t="n">
        <f aca="false">ROUND(S311*W311,0)</f>
        <v>102</v>
      </c>
      <c r="P311" s="52" t="n">
        <f aca="false">IF(F311="","",ROUND(SQRT((F311*L311/100)^2+(G311*O311)^2),0))</f>
        <v>47</v>
      </c>
      <c r="R311" s="54" t="n">
        <v>-16.8869077451138</v>
      </c>
      <c r="S311" s="55" t="n">
        <f aca="false">U311*V311*$F$5</f>
        <v>1495.44556729444</v>
      </c>
      <c r="T311" s="56" t="n">
        <f aca="false">MAX(0,MIN(1,R311/100+$D$5))</f>
        <v>0.343124337067627</v>
      </c>
      <c r="U311" s="56" t="n">
        <v>0.663757464400551</v>
      </c>
      <c r="V311" s="55" t="n">
        <v>2253</v>
      </c>
      <c r="W311" s="56" t="n">
        <v>0.0684752145190268</v>
      </c>
      <c r="X311" s="57" t="s">
        <v>168</v>
      </c>
      <c r="Y311" s="57" t="s">
        <v>130</v>
      </c>
    </row>
    <row r="312" customFormat="false" ht="15" hidden="false" customHeight="false" outlineLevel="0" collapsed="false">
      <c r="A312" s="25" t="s">
        <v>385</v>
      </c>
      <c r="B312" s="25" t="s">
        <v>478</v>
      </c>
      <c r="C312" s="25" t="s">
        <v>481</v>
      </c>
      <c r="D312" s="52" t="n">
        <f aca="false">ROUND(S312*T312,0)</f>
        <v>165</v>
      </c>
      <c r="E312" s="52" t="n">
        <f aca="false">ROUND(S312,0)-D312</f>
        <v>345</v>
      </c>
      <c r="F312" s="52" t="n">
        <f aca="false">IF(COUNTA(D312:E312)=0,"",SUM(D312:E312))</f>
        <v>510</v>
      </c>
      <c r="G312" s="53" t="n">
        <f aca="false">IF(OR(F312="",F312=0),"",D312/F312)</f>
        <v>0.323529411764706</v>
      </c>
      <c r="H312" s="53" t="n">
        <f aca="false">IF(OR(F312="",F312=0),"",E312/F312)</f>
        <v>0.676470588235294</v>
      </c>
      <c r="I312" s="25" t="s">
        <v>128</v>
      </c>
      <c r="J312" s="28" t="n">
        <v>3.1978281706008</v>
      </c>
      <c r="K312" s="28" t="n">
        <f aca="false">$K$8</f>
        <v>0.297938238782275</v>
      </c>
      <c r="L312" s="28" t="n">
        <f aca="false">SQRT(J312^2+K312^2)</f>
        <v>3.21167747490571</v>
      </c>
      <c r="M312" s="53" t="n">
        <f aca="false">IF(G312="","",MAX(0,G312-1.96*L312/100))</f>
        <v>0.260580533256554</v>
      </c>
      <c r="N312" s="53" t="n">
        <f aca="false">IF(G312="","",MIN(1,G312+1.96*L312/100))</f>
        <v>0.386478290272858</v>
      </c>
      <c r="O312" s="52" t="n">
        <f aca="false">ROUND(S312*W312,0)</f>
        <v>76</v>
      </c>
      <c r="P312" s="52" t="n">
        <f aca="false">IF(F312="","",ROUND(SQRT((F312*L312/100)^2+(G312*O312)^2),0))</f>
        <v>30</v>
      </c>
      <c r="R312" s="54" t="n">
        <v>-18.911473572297</v>
      </c>
      <c r="S312" s="55" t="n">
        <f aca="false">U312*V312*$F$5</f>
        <v>509.948921679909</v>
      </c>
      <c r="T312" s="56" t="n">
        <f aca="false">MAX(0,MIN(1,R312/100+$D$5))</f>
        <v>0.322878678795795</v>
      </c>
      <c r="U312" s="56" t="n">
        <v>0.557321225879682</v>
      </c>
      <c r="V312" s="55" t="n">
        <v>915</v>
      </c>
      <c r="W312" s="56" t="n">
        <v>0.148097331980838</v>
      </c>
      <c r="X312" s="57" t="s">
        <v>129</v>
      </c>
      <c r="Y312" s="57" t="s">
        <v>130</v>
      </c>
    </row>
    <row r="313" customFormat="false" ht="15" hidden="false" customHeight="false" outlineLevel="0" collapsed="false">
      <c r="A313" s="25" t="s">
        <v>385</v>
      </c>
      <c r="B313" s="25" t="s">
        <v>478</v>
      </c>
      <c r="C313" s="25" t="s">
        <v>482</v>
      </c>
      <c r="D313" s="52" t="n">
        <f aca="false">ROUND(S313*T313,0)</f>
        <v>405</v>
      </c>
      <c r="E313" s="52" t="n">
        <f aca="false">ROUND(S313,0)-D313</f>
        <v>756</v>
      </c>
      <c r="F313" s="52" t="n">
        <f aca="false">IF(COUNTA(D313:E313)=0,"",SUM(D313:E313))</f>
        <v>1161</v>
      </c>
      <c r="G313" s="53" t="n">
        <f aca="false">IF(OR(F313="",F313=0),"",D313/F313)</f>
        <v>0.348837209302326</v>
      </c>
      <c r="H313" s="53" t="n">
        <f aca="false">IF(OR(F313="",F313=0),"",E313/F313)</f>
        <v>0.651162790697675</v>
      </c>
      <c r="I313" s="25" t="s">
        <v>128</v>
      </c>
      <c r="J313" s="28" t="n">
        <v>2.08262589216041</v>
      </c>
      <c r="K313" s="28" t="n">
        <f aca="false">$K$8</f>
        <v>0.297938238782275</v>
      </c>
      <c r="L313" s="28" t="n">
        <f aca="false">SQRT(J313^2+K313^2)</f>
        <v>2.1038293183682</v>
      </c>
      <c r="M313" s="53" t="n">
        <f aca="false">IF(G313="","",MAX(0,G313-1.96*L313/100))</f>
        <v>0.307602154662309</v>
      </c>
      <c r="N313" s="53" t="n">
        <f aca="false">IF(G313="","",MIN(1,G313+1.96*L313/100))</f>
        <v>0.390072263942342</v>
      </c>
      <c r="O313" s="52" t="n">
        <f aca="false">ROUND(S313*W313,0)</f>
        <v>80</v>
      </c>
      <c r="P313" s="52" t="n">
        <f aca="false">IF(F313="","",ROUND(SQRT((F313*L313/100)^2+(G313*O313)^2),0))</f>
        <v>37</v>
      </c>
      <c r="R313" s="54" t="n">
        <v>-16.3365927599091</v>
      </c>
      <c r="S313" s="55" t="n">
        <f aca="false">U313*V313*$F$5</f>
        <v>1161.2700729927</v>
      </c>
      <c r="T313" s="56" t="n">
        <f aca="false">MAX(0,MIN(1,R313/100+$D$5))</f>
        <v>0.348627486919673</v>
      </c>
      <c r="U313" s="56" t="n">
        <v>0.687956204379562</v>
      </c>
      <c r="V313" s="55" t="n">
        <v>1688</v>
      </c>
      <c r="W313" s="56" t="n">
        <v>0.0684752145190268</v>
      </c>
      <c r="X313" s="57" t="s">
        <v>168</v>
      </c>
      <c r="Y313" s="57" t="s">
        <v>130</v>
      </c>
    </row>
    <row r="314" customFormat="false" ht="15" hidden="false" customHeight="false" outlineLevel="0" collapsed="false">
      <c r="A314" s="25" t="s">
        <v>385</v>
      </c>
      <c r="B314" s="25" t="s">
        <v>478</v>
      </c>
      <c r="C314" s="25" t="s">
        <v>483</v>
      </c>
      <c r="D314" s="52" t="n">
        <f aca="false">ROUND(S314*T314,0)</f>
        <v>299</v>
      </c>
      <c r="E314" s="52" t="n">
        <f aca="false">ROUND(S314,0)-D314</f>
        <v>534</v>
      </c>
      <c r="F314" s="52" t="n">
        <f aca="false">IF(COUNTA(D314:E314)=0,"",SUM(D314:E314))</f>
        <v>833</v>
      </c>
      <c r="G314" s="53" t="n">
        <f aca="false">IF(OR(F314="",F314=0),"",D314/F314)</f>
        <v>0.358943577430972</v>
      </c>
      <c r="H314" s="53" t="n">
        <f aca="false">IF(OR(F314="",F314=0),"",E314/F314)</f>
        <v>0.641056422569028</v>
      </c>
      <c r="I314" s="25" t="s">
        <v>128</v>
      </c>
      <c r="J314" s="28" t="n">
        <v>2.22489971008846</v>
      </c>
      <c r="K314" s="28" t="n">
        <f aca="false">$K$8</f>
        <v>0.297938238782275</v>
      </c>
      <c r="L314" s="28" t="n">
        <f aca="false">SQRT(J314^2+K314^2)</f>
        <v>2.24475965619494</v>
      </c>
      <c r="M314" s="53" t="n">
        <f aca="false">IF(G314="","",MAX(0,G314-1.96*L314/100))</f>
        <v>0.314946288169552</v>
      </c>
      <c r="N314" s="53" t="n">
        <f aca="false">IF(G314="","",MIN(1,G314+1.96*L314/100))</f>
        <v>0.402940866692393</v>
      </c>
      <c r="O314" s="52" t="n">
        <f aca="false">ROUND(S314*W314,0)</f>
        <v>74</v>
      </c>
      <c r="P314" s="52" t="n">
        <f aca="false">IF(F314="","",ROUND(SQRT((F314*L314/100)^2+(G314*O314)^2),0))</f>
        <v>32</v>
      </c>
      <c r="R314" s="54" t="n">
        <v>-15.2923432697442</v>
      </c>
      <c r="S314" s="55" t="n">
        <f aca="false">U314*V314*$F$5</f>
        <v>833.484320557492</v>
      </c>
      <c r="T314" s="56" t="n">
        <f aca="false">MAX(0,MIN(1,R314/100+$D$5))</f>
        <v>0.359069981821322</v>
      </c>
      <c r="U314" s="56" t="n">
        <v>0.662020905923345</v>
      </c>
      <c r="V314" s="55" t="n">
        <v>1259</v>
      </c>
      <c r="W314" s="56" t="n">
        <v>0.0887445098984521</v>
      </c>
      <c r="X314" s="57" t="s">
        <v>135</v>
      </c>
      <c r="Y314" s="57" t="s">
        <v>130</v>
      </c>
    </row>
    <row r="315" customFormat="false" ht="15" hidden="false" customHeight="false" outlineLevel="0" collapsed="false">
      <c r="A315" s="25" t="s">
        <v>385</v>
      </c>
      <c r="B315" s="25" t="s">
        <v>484</v>
      </c>
      <c r="C315" s="25" t="s">
        <v>485</v>
      </c>
      <c r="D315" s="52" t="n">
        <f aca="false">ROUND(S315*T315,0)</f>
        <v>47</v>
      </c>
      <c r="E315" s="52" t="n">
        <f aca="false">ROUND(S315,0)-D315</f>
        <v>84</v>
      </c>
      <c r="F315" s="52" t="n">
        <f aca="false">IF(COUNTA(D315:E315)=0,"",SUM(D315:E315))</f>
        <v>131</v>
      </c>
      <c r="G315" s="53" t="n">
        <f aca="false">IF(OR(F315="",F315=0),"",D315/F315)</f>
        <v>0.358778625954198</v>
      </c>
      <c r="H315" s="53" t="n">
        <f aca="false">IF(OR(F315="",F315=0),"",E315/F315)</f>
        <v>0.641221374045802</v>
      </c>
      <c r="I315" s="25" t="s">
        <v>128</v>
      </c>
      <c r="J315" s="28" t="n">
        <v>3.1978281706008</v>
      </c>
      <c r="K315" s="28" t="n">
        <f aca="false">$K$8</f>
        <v>0.297938238782275</v>
      </c>
      <c r="L315" s="28" t="n">
        <f aca="false">SQRT(J315^2+K315^2)</f>
        <v>3.21167747490571</v>
      </c>
      <c r="M315" s="53" t="n">
        <f aca="false">IF(G315="","",MAX(0,G315-1.96*L315/100))</f>
        <v>0.295829747446047</v>
      </c>
      <c r="N315" s="53" t="n">
        <f aca="false">IF(G315="","",MIN(1,G315+1.96*L315/100))</f>
        <v>0.42172750446235</v>
      </c>
      <c r="O315" s="52" t="n">
        <f aca="false">ROUND(S315*W315,0)</f>
        <v>19</v>
      </c>
      <c r="P315" s="52" t="n">
        <f aca="false">IF(F315="","",ROUND(SQRT((F315*L315/100)^2+(G315*O315)^2),0))</f>
        <v>8</v>
      </c>
      <c r="R315" s="54" t="n">
        <v>-15.1975904287839</v>
      </c>
      <c r="S315" s="55" t="n">
        <f aca="false">U315*V315*$F$5</f>
        <v>130.654569021387</v>
      </c>
      <c r="T315" s="56" t="n">
        <f aca="false">MAX(0,MIN(1,R315/100+$D$5))</f>
        <v>0.360017510230926</v>
      </c>
      <c r="U315" s="56" t="n">
        <v>0.907323395981853</v>
      </c>
      <c r="V315" s="55" t="n">
        <v>144</v>
      </c>
      <c r="W315" s="56" t="n">
        <v>0.148097331980838</v>
      </c>
      <c r="X315" s="57" t="s">
        <v>129</v>
      </c>
      <c r="Y315" s="57" t="s">
        <v>130</v>
      </c>
    </row>
    <row r="316" customFormat="false" ht="15" hidden="false" customHeight="false" outlineLevel="0" collapsed="false">
      <c r="A316" s="25" t="s">
        <v>385</v>
      </c>
      <c r="B316" s="25" t="s">
        <v>484</v>
      </c>
      <c r="C316" s="25" t="s">
        <v>486</v>
      </c>
      <c r="D316" s="52" t="n">
        <f aca="false">ROUND(S316*T316,0)</f>
        <v>298</v>
      </c>
      <c r="E316" s="52" t="n">
        <f aca="false">ROUND(S316,0)-D316</f>
        <v>586</v>
      </c>
      <c r="F316" s="52" t="n">
        <f aca="false">IF(COUNTA(D316:E316)=0,"",SUM(D316:E316))</f>
        <v>884</v>
      </c>
      <c r="G316" s="53" t="n">
        <f aca="false">IF(OR(F316="",F316=0),"",D316/F316)</f>
        <v>0.33710407239819</v>
      </c>
      <c r="H316" s="53" t="n">
        <f aca="false">IF(OR(F316="",F316=0),"",E316/F316)</f>
        <v>0.66289592760181</v>
      </c>
      <c r="I316" s="25" t="s">
        <v>128</v>
      </c>
      <c r="J316" s="28" t="n">
        <v>2.22489971008846</v>
      </c>
      <c r="K316" s="28" t="n">
        <f aca="false">$K$8</f>
        <v>0.297938238782275</v>
      </c>
      <c r="L316" s="28" t="n">
        <f aca="false">SQRT(J316^2+K316^2)</f>
        <v>2.24475965619494</v>
      </c>
      <c r="M316" s="53" t="n">
        <f aca="false">IF(G316="","",MAX(0,G316-1.96*L316/100))</f>
        <v>0.293106783136769</v>
      </c>
      <c r="N316" s="53" t="n">
        <f aca="false">IF(G316="","",MIN(1,G316+1.96*L316/100))</f>
        <v>0.381101361659611</v>
      </c>
      <c r="O316" s="52" t="n">
        <f aca="false">ROUND(S316*W316,0)</f>
        <v>78</v>
      </c>
      <c r="P316" s="52" t="n">
        <f aca="false">IF(F316="","",ROUND(SQRT((F316*L316/100)^2+(G316*O316)^2),0))</f>
        <v>33</v>
      </c>
      <c r="R316" s="54" t="n">
        <v>-17.5286542252047</v>
      </c>
      <c r="S316" s="55" t="n">
        <f aca="false">U316*V316*$F$5</f>
        <v>884.185372918175</v>
      </c>
      <c r="T316" s="56" t="n">
        <f aca="false">MAX(0,MIN(1,R316/100+$D$5))</f>
        <v>0.336706872266718</v>
      </c>
      <c r="U316" s="56" t="n">
        <v>0.627081824764663</v>
      </c>
      <c r="V316" s="55" t="n">
        <v>1410</v>
      </c>
      <c r="W316" s="56" t="n">
        <v>0.0887445098984521</v>
      </c>
      <c r="X316" s="57" t="s">
        <v>135</v>
      </c>
      <c r="Y316" s="57" t="s">
        <v>130</v>
      </c>
    </row>
    <row r="317" customFormat="false" ht="15" hidden="false" customHeight="false" outlineLevel="0" collapsed="false">
      <c r="A317" s="25" t="s">
        <v>385</v>
      </c>
      <c r="B317" s="25" t="s">
        <v>487</v>
      </c>
      <c r="C317" s="25" t="s">
        <v>488</v>
      </c>
      <c r="D317" s="52" t="n">
        <f aca="false">ROUND(S317*T317,0)</f>
        <v>40</v>
      </c>
      <c r="E317" s="52" t="n">
        <f aca="false">ROUND(S317,0)-D317</f>
        <v>48</v>
      </c>
      <c r="F317" s="52" t="n">
        <f aca="false">IF(COUNTA(D317:E317)=0,"",SUM(D317:E317))</f>
        <v>88</v>
      </c>
      <c r="G317" s="53" t="n">
        <f aca="false">IF(OR(F317="",F317=0),"",D317/F317)</f>
        <v>0.454545454545455</v>
      </c>
      <c r="H317" s="53" t="n">
        <f aca="false">IF(OR(F317="",F317=0),"",E317/F317)</f>
        <v>0.545454545454545</v>
      </c>
      <c r="I317" s="25" t="s">
        <v>231</v>
      </c>
      <c r="J317" s="28" t="n">
        <v>3.1978281706008</v>
      </c>
      <c r="K317" s="28" t="n">
        <f aca="false">$K$8</f>
        <v>0.297938238782275</v>
      </c>
      <c r="L317" s="28" t="n">
        <f aca="false">SQRT(J317^2+K317^2)</f>
        <v>3.21167747490571</v>
      </c>
      <c r="M317" s="53" t="n">
        <f aca="false">IF(G317="","",MAX(0,G317-1.96*L317/100))</f>
        <v>0.391596576037303</v>
      </c>
      <c r="N317" s="53" t="n">
        <f aca="false">IF(G317="","",MIN(1,G317+1.96*L317/100))</f>
        <v>0.517494333053606</v>
      </c>
      <c r="O317" s="52" t="n">
        <f aca="false">ROUND(S317*W317,0)</f>
        <v>13</v>
      </c>
      <c r="P317" s="52" t="n">
        <f aca="false">IF(F317="","",ROUND(SQRT((F317*L317/100)^2+(G317*O317)^2),0))</f>
        <v>7</v>
      </c>
      <c r="R317" s="54" t="n">
        <v>-6.17524361742035</v>
      </c>
      <c r="S317" s="55" t="n">
        <f aca="false">U317*V317*$F$5</f>
        <v>87.7428325123506</v>
      </c>
      <c r="T317" s="56" t="n">
        <f aca="false">MAX(0,MIN(1,R317/100+$D$5))</f>
        <v>0.450240978344561</v>
      </c>
      <c r="U317" s="56" t="n">
        <v>0.121696022902012</v>
      </c>
      <c r="V317" s="55" t="n">
        <v>721</v>
      </c>
      <c r="W317" s="56" t="n">
        <v>0.148097331980838</v>
      </c>
      <c r="X317" s="57" t="s">
        <v>129</v>
      </c>
      <c r="Y317" s="57" t="s">
        <v>130</v>
      </c>
    </row>
    <row r="318" customFormat="false" ht="15" hidden="false" customHeight="false" outlineLevel="0" collapsed="false">
      <c r="A318" s="25" t="s">
        <v>385</v>
      </c>
      <c r="B318" s="25" t="s">
        <v>487</v>
      </c>
      <c r="C318" s="25" t="s">
        <v>489</v>
      </c>
      <c r="D318" s="52" t="n">
        <f aca="false">ROUND(S318*T318,0)</f>
        <v>529</v>
      </c>
      <c r="E318" s="52" t="n">
        <f aca="false">ROUND(S318,0)-D318</f>
        <v>624</v>
      </c>
      <c r="F318" s="52" t="n">
        <f aca="false">IF(COUNTA(D318:E318)=0,"",SUM(D318:E318))</f>
        <v>1153</v>
      </c>
      <c r="G318" s="53" t="n">
        <f aca="false">IF(OR(F318="",F318=0),"",D318/F318)</f>
        <v>0.458803122289679</v>
      </c>
      <c r="H318" s="53" t="n">
        <f aca="false">IF(OR(F318="",F318=0),"",E318/F318)</f>
        <v>0.541196877710321</v>
      </c>
      <c r="I318" s="25" t="s">
        <v>231</v>
      </c>
      <c r="J318" s="28" t="n">
        <v>2.08262589216041</v>
      </c>
      <c r="K318" s="28" t="n">
        <f aca="false">$K$8</f>
        <v>0.297938238782275</v>
      </c>
      <c r="L318" s="28" t="n">
        <f aca="false">SQRT(J318^2+K318^2)</f>
        <v>2.1038293183682</v>
      </c>
      <c r="M318" s="53" t="n">
        <f aca="false">IF(G318="","",MAX(0,G318-1.96*L318/100))</f>
        <v>0.417568067649662</v>
      </c>
      <c r="N318" s="53" t="n">
        <f aca="false">IF(G318="","",MIN(1,G318+1.96*L318/100))</f>
        <v>0.500038176929696</v>
      </c>
      <c r="O318" s="52" t="n">
        <f aca="false">ROUND(S318*W318,0)</f>
        <v>79</v>
      </c>
      <c r="P318" s="52" t="n">
        <f aca="false">IF(F318="","",ROUND(SQRT((F318*L318/100)^2+(G318*O318)^2),0))</f>
        <v>44</v>
      </c>
      <c r="R318" s="54" t="n">
        <v>-5.33371283432489</v>
      </c>
      <c r="S318" s="55" t="n">
        <f aca="false">U318*V318*$F$5</f>
        <v>1153.44137368419</v>
      </c>
      <c r="T318" s="56" t="n">
        <f aca="false">MAX(0,MIN(1,R318/100+$D$5))</f>
        <v>0.458656286175516</v>
      </c>
      <c r="U318" s="56" t="n">
        <v>0.679407464419022</v>
      </c>
      <c r="V318" s="55" t="n">
        <v>1697.71666354965</v>
      </c>
      <c r="W318" s="56" t="n">
        <v>0.0684752145190268</v>
      </c>
      <c r="X318" s="57" t="s">
        <v>168</v>
      </c>
      <c r="Y318" s="57" t="s">
        <v>233</v>
      </c>
    </row>
    <row r="319" customFormat="false" ht="15" hidden="false" customHeight="false" outlineLevel="0" collapsed="false">
      <c r="A319" s="25" t="s">
        <v>385</v>
      </c>
      <c r="B319" s="25" t="s">
        <v>487</v>
      </c>
      <c r="C319" s="25" t="s">
        <v>490</v>
      </c>
      <c r="D319" s="52" t="n">
        <f aca="false">ROUND(S319*T319,0)</f>
        <v>420</v>
      </c>
      <c r="E319" s="52" t="n">
        <f aca="false">ROUND(S319,0)-D319</f>
        <v>554</v>
      </c>
      <c r="F319" s="52" t="n">
        <f aca="false">IF(COUNTA(D319:E319)=0,"",SUM(D319:E319))</f>
        <v>974</v>
      </c>
      <c r="G319" s="53" t="n">
        <f aca="false">IF(OR(F319="",F319=0),"",D319/F319)</f>
        <v>0.431211498973306</v>
      </c>
      <c r="H319" s="53" t="n">
        <f aca="false">IF(OR(F319="",F319=0),"",E319/F319)</f>
        <v>0.568788501026694</v>
      </c>
      <c r="I319" s="25" t="s">
        <v>128</v>
      </c>
      <c r="J319" s="28" t="n">
        <v>2.08262589216041</v>
      </c>
      <c r="K319" s="28" t="n">
        <f aca="false">$K$8</f>
        <v>0.297938238782275</v>
      </c>
      <c r="L319" s="28" t="n">
        <f aca="false">SQRT(J319^2+K319^2)</f>
        <v>2.1038293183682</v>
      </c>
      <c r="M319" s="53" t="n">
        <f aca="false">IF(G319="","",MAX(0,G319-1.96*L319/100))</f>
        <v>0.389976444333289</v>
      </c>
      <c r="N319" s="53" t="n">
        <f aca="false">IF(G319="","",MIN(1,G319+1.96*L319/100))</f>
        <v>0.472446553613323</v>
      </c>
      <c r="O319" s="52" t="n">
        <f aca="false">ROUND(S319*W319,0)</f>
        <v>67</v>
      </c>
      <c r="P319" s="52" t="n">
        <f aca="false">IF(F319="","",ROUND(SQRT((F319*L319/100)^2+(G319*O319)^2),0))</f>
        <v>35</v>
      </c>
      <c r="R319" s="54" t="n">
        <v>-8.08923153241968</v>
      </c>
      <c r="S319" s="55" t="n">
        <f aca="false">U319*V319*$F$5</f>
        <v>973.779572994807</v>
      </c>
      <c r="T319" s="56" t="n">
        <f aca="false">MAX(0,MIN(1,R319/100+$D$5))</f>
        <v>0.431101099194568</v>
      </c>
      <c r="U319" s="56" t="n">
        <v>0.662435083669937</v>
      </c>
      <c r="V319" s="55" t="n">
        <v>1470</v>
      </c>
      <c r="W319" s="56" t="n">
        <v>0.0684752145190268</v>
      </c>
      <c r="X319" s="57" t="s">
        <v>168</v>
      </c>
      <c r="Y319" s="57" t="s">
        <v>130</v>
      </c>
    </row>
    <row r="320" customFormat="false" ht="15" hidden="false" customHeight="false" outlineLevel="0" collapsed="false">
      <c r="A320" s="25" t="s">
        <v>385</v>
      </c>
      <c r="B320" s="25" t="s">
        <v>487</v>
      </c>
      <c r="C320" s="25" t="s">
        <v>491</v>
      </c>
      <c r="D320" s="52" t="n">
        <f aca="false">ROUND(S320*T320,0)</f>
        <v>493</v>
      </c>
      <c r="E320" s="52" t="n">
        <f aca="false">ROUND(S320,0)-D320</f>
        <v>628</v>
      </c>
      <c r="F320" s="52" t="n">
        <f aca="false">IF(COUNTA(D320:E320)=0,"",SUM(D320:E320))</f>
        <v>1121</v>
      </c>
      <c r="G320" s="53" t="n">
        <f aca="false">IF(OR(F320="",F320=0),"",D320/F320)</f>
        <v>0.43978590544157</v>
      </c>
      <c r="H320" s="53" t="n">
        <f aca="false">IF(OR(F320="",F320=0),"",E320/F320)</f>
        <v>0.56021409455843</v>
      </c>
      <c r="I320" s="25" t="s">
        <v>231</v>
      </c>
      <c r="J320" s="28" t="n">
        <v>2.08262589216041</v>
      </c>
      <c r="K320" s="28" t="n">
        <f aca="false">$K$8</f>
        <v>0.297938238782275</v>
      </c>
      <c r="L320" s="28" t="n">
        <f aca="false">SQRT(J320^2+K320^2)</f>
        <v>2.1038293183682</v>
      </c>
      <c r="M320" s="53" t="n">
        <f aca="false">IF(G320="","",MAX(0,G320-1.96*L320/100))</f>
        <v>0.398550850801553</v>
      </c>
      <c r="N320" s="53" t="n">
        <f aca="false">IF(G320="","",MIN(1,G320+1.96*L320/100))</f>
        <v>0.481020960081587</v>
      </c>
      <c r="O320" s="52" t="n">
        <f aca="false">ROUND(S320*W320,0)</f>
        <v>77</v>
      </c>
      <c r="P320" s="52" t="n">
        <f aca="false">IF(F320="","",ROUND(SQRT((F320*L320/100)^2+(G320*O320)^2),0))</f>
        <v>41</v>
      </c>
      <c r="R320" s="54" t="n">
        <v>-7.20003430315739</v>
      </c>
      <c r="S320" s="55" t="n">
        <f aca="false">U320*V320*$F$5</f>
        <v>1121.33790491331</v>
      </c>
      <c r="T320" s="56" t="n">
        <f aca="false">MAX(0,MIN(1,R320/100+$D$5))</f>
        <v>0.439993071487191</v>
      </c>
      <c r="U320" s="56" t="n">
        <v>0.71629019848963</v>
      </c>
      <c r="V320" s="55" t="n">
        <v>1565.47989526838</v>
      </c>
      <c r="W320" s="56" t="n">
        <v>0.0684752145190268</v>
      </c>
      <c r="X320" s="57" t="s">
        <v>168</v>
      </c>
      <c r="Y320" s="57" t="s">
        <v>233</v>
      </c>
    </row>
    <row r="321" customFormat="false" ht="15" hidden="false" customHeight="false" outlineLevel="0" collapsed="false">
      <c r="A321" s="25" t="s">
        <v>385</v>
      </c>
      <c r="B321" s="25" t="s">
        <v>492</v>
      </c>
      <c r="C321" s="25" t="s">
        <v>493</v>
      </c>
      <c r="D321" s="52" t="n">
        <f aca="false">ROUND(S321*T321,0)</f>
        <v>494</v>
      </c>
      <c r="E321" s="52" t="n">
        <f aca="false">ROUND(S321,0)-D321</f>
        <v>446</v>
      </c>
      <c r="F321" s="52" t="n">
        <f aca="false">IF(COUNTA(D321:E321)=0,"",SUM(D321:E321))</f>
        <v>940</v>
      </c>
      <c r="G321" s="53" t="n">
        <f aca="false">IF(OR(F321="",F321=0),"",D321/F321)</f>
        <v>0.525531914893617</v>
      </c>
      <c r="H321" s="53" t="n">
        <f aca="false">IF(OR(F321="",F321=0),"",E321/F321)</f>
        <v>0.474468085106383</v>
      </c>
      <c r="I321" s="25" t="s">
        <v>128</v>
      </c>
      <c r="J321" s="28" t="n">
        <v>2.08262589216041</v>
      </c>
      <c r="K321" s="28" t="n">
        <f aca="false">$K$8</f>
        <v>0.297938238782275</v>
      </c>
      <c r="L321" s="28" t="n">
        <f aca="false">SQRT(J321^2+K321^2)</f>
        <v>2.1038293183682</v>
      </c>
      <c r="M321" s="53" t="n">
        <f aca="false">IF(G321="","",MAX(0,G321-1.96*L321/100))</f>
        <v>0.4842968602536</v>
      </c>
      <c r="N321" s="53" t="n">
        <f aca="false">IF(G321="","",MIN(1,G321+1.96*L321/100))</f>
        <v>0.566766969533634</v>
      </c>
      <c r="O321" s="52" t="n">
        <f aca="false">ROUND(S321*W321,0)</f>
        <v>64</v>
      </c>
      <c r="P321" s="52" t="n">
        <f aca="false">IF(F321="","",ROUND(SQRT((F321*L321/100)^2+(G321*O321)^2),0))</f>
        <v>39</v>
      </c>
      <c r="R321" s="54" t="n">
        <v>1.3998462665895</v>
      </c>
      <c r="S321" s="55" t="n">
        <f aca="false">U321*V321*$F$5</f>
        <v>939.568965517241</v>
      </c>
      <c r="T321" s="56" t="n">
        <f aca="false">MAX(0,MIN(1,R321/100+$D$5))</f>
        <v>0.52599187718466</v>
      </c>
      <c r="U321" s="56" t="n">
        <v>0.678879310344827</v>
      </c>
      <c r="V321" s="55" t="n">
        <v>1384</v>
      </c>
      <c r="W321" s="56" t="n">
        <v>0.0684752145190268</v>
      </c>
      <c r="X321" s="57" t="s">
        <v>168</v>
      </c>
      <c r="Y321" s="57" t="s">
        <v>130</v>
      </c>
    </row>
    <row r="322" customFormat="false" ht="15" hidden="false" customHeight="false" outlineLevel="0" collapsed="false">
      <c r="A322" s="25" t="s">
        <v>385</v>
      </c>
      <c r="B322" s="25" t="s">
        <v>492</v>
      </c>
      <c r="C322" s="25" t="s">
        <v>494</v>
      </c>
      <c r="D322" s="52" t="n">
        <f aca="false">ROUND(S322*T322,0)</f>
        <v>522</v>
      </c>
      <c r="E322" s="52" t="n">
        <f aca="false">ROUND(S322,0)-D322</f>
        <v>681</v>
      </c>
      <c r="F322" s="52" t="n">
        <f aca="false">IF(COUNTA(D322:E322)=0,"",SUM(D322:E322))</f>
        <v>1203</v>
      </c>
      <c r="G322" s="53" t="n">
        <f aca="false">IF(OR(F322="",F322=0),"",D322/F322)</f>
        <v>0.433915211970075</v>
      </c>
      <c r="H322" s="53" t="n">
        <f aca="false">IF(OR(F322="",F322=0),"",E322/F322)</f>
        <v>0.566084788029925</v>
      </c>
      <c r="I322" s="25" t="s">
        <v>128</v>
      </c>
      <c r="J322" s="28" t="n">
        <v>2.08262589216041</v>
      </c>
      <c r="K322" s="28" t="n">
        <f aca="false">$K$8</f>
        <v>0.297938238782275</v>
      </c>
      <c r="L322" s="28" t="n">
        <f aca="false">SQRT(J322^2+K322^2)</f>
        <v>2.1038293183682</v>
      </c>
      <c r="M322" s="53" t="n">
        <f aca="false">IF(G322="","",MAX(0,G322-1.96*L322/100))</f>
        <v>0.392680157330058</v>
      </c>
      <c r="N322" s="53" t="n">
        <f aca="false">IF(G322="","",MIN(1,G322+1.96*L322/100))</f>
        <v>0.475150266610092</v>
      </c>
      <c r="O322" s="52" t="n">
        <f aca="false">ROUND(S322*W322,0)</f>
        <v>82</v>
      </c>
      <c r="P322" s="52" t="n">
        <f aca="false">IF(F322="","",ROUND(SQRT((F322*L322/100)^2+(G322*O322)^2),0))</f>
        <v>44</v>
      </c>
      <c r="R322" s="54" t="n">
        <v>-7.82851928153104</v>
      </c>
      <c r="S322" s="55" t="n">
        <f aca="false">U322*V322*$F$5</f>
        <v>1202.75915948276</v>
      </c>
      <c r="T322" s="56" t="n">
        <f aca="false">MAX(0,MIN(1,R322/100+$D$5))</f>
        <v>0.433708221703454</v>
      </c>
      <c r="U322" s="56" t="n">
        <v>0.63739224137931</v>
      </c>
      <c r="V322" s="55" t="n">
        <v>1887</v>
      </c>
      <c r="W322" s="56" t="n">
        <v>0.0684752145190268</v>
      </c>
      <c r="X322" s="57" t="s">
        <v>168</v>
      </c>
      <c r="Y322" s="57" t="s">
        <v>130</v>
      </c>
    </row>
    <row r="323" customFormat="false" ht="15" hidden="false" customHeight="false" outlineLevel="0" collapsed="false">
      <c r="A323" s="25" t="s">
        <v>385</v>
      </c>
      <c r="B323" s="25" t="s">
        <v>492</v>
      </c>
      <c r="C323" s="25" t="s">
        <v>495</v>
      </c>
      <c r="D323" s="52" t="n">
        <f aca="false">ROUND(S323*T323,0)</f>
        <v>468</v>
      </c>
      <c r="E323" s="52" t="n">
        <f aca="false">ROUND(S323,0)-D323</f>
        <v>534</v>
      </c>
      <c r="F323" s="52" t="n">
        <f aca="false">IF(COUNTA(D323:E323)=0,"",SUM(D323:E323))</f>
        <v>1002</v>
      </c>
      <c r="G323" s="53" t="n">
        <f aca="false">IF(OR(F323="",F323=0),"",D323/F323)</f>
        <v>0.467065868263473</v>
      </c>
      <c r="H323" s="53" t="n">
        <f aca="false">IF(OR(F323="",F323=0),"",E323/F323)</f>
        <v>0.532934131736527</v>
      </c>
      <c r="I323" s="25" t="s">
        <v>231</v>
      </c>
      <c r="J323" s="28" t="n">
        <v>2.08262589216041</v>
      </c>
      <c r="K323" s="28" t="n">
        <f aca="false">$K$8</f>
        <v>0.297938238782275</v>
      </c>
      <c r="L323" s="28" t="n">
        <f aca="false">SQRT(J323^2+K323^2)</f>
        <v>2.1038293183682</v>
      </c>
      <c r="M323" s="53" t="n">
        <f aca="false">IF(G323="","",MAX(0,G323-1.96*L323/100))</f>
        <v>0.425830813623456</v>
      </c>
      <c r="N323" s="53" t="n">
        <f aca="false">IF(G323="","",MIN(1,G323+1.96*L323/100))</f>
        <v>0.50830092290349</v>
      </c>
      <c r="O323" s="52" t="n">
        <f aca="false">ROUND(S323*W323,0)</f>
        <v>69</v>
      </c>
      <c r="P323" s="52" t="n">
        <f aca="false">IF(F323="","",ROUND(SQRT((F323*L323/100)^2+(G323*O323)^2),0))</f>
        <v>39</v>
      </c>
      <c r="R323" s="54" t="n">
        <v>-4.52186135415233</v>
      </c>
      <c r="S323" s="55" t="n">
        <f aca="false">U323*V323*$F$5</f>
        <v>1001.56291989084</v>
      </c>
      <c r="T323" s="56" t="n">
        <f aca="false">MAX(0,MIN(1,R323/100+$D$5))</f>
        <v>0.466774800977241</v>
      </c>
      <c r="U323" s="56" t="n">
        <v>0.836029148489848</v>
      </c>
      <c r="V323" s="55" t="n">
        <v>1198</v>
      </c>
      <c r="W323" s="56" t="n">
        <v>0.0684752145190268</v>
      </c>
      <c r="X323" s="57" t="s">
        <v>168</v>
      </c>
      <c r="Y323" s="57" t="s">
        <v>130</v>
      </c>
    </row>
    <row r="324" customFormat="false" ht="15" hidden="false" customHeight="false" outlineLevel="0" collapsed="false">
      <c r="A324" s="25" t="s">
        <v>385</v>
      </c>
      <c r="B324" s="25" t="s">
        <v>492</v>
      </c>
      <c r="C324" s="25" t="s">
        <v>496</v>
      </c>
      <c r="D324" s="52" t="n">
        <f aca="false">ROUND(S324*T324,0)</f>
        <v>377</v>
      </c>
      <c r="E324" s="52" t="n">
        <f aca="false">ROUND(S324,0)-D324</f>
        <v>350</v>
      </c>
      <c r="F324" s="52" t="n">
        <f aca="false">IF(COUNTA(D324:E324)=0,"",SUM(D324:E324))</f>
        <v>727</v>
      </c>
      <c r="G324" s="53" t="n">
        <f aca="false">IF(OR(F324="",F324=0),"",D324/F324)</f>
        <v>0.518569463548831</v>
      </c>
      <c r="H324" s="53" t="n">
        <f aca="false">IF(OR(F324="",F324=0),"",E324/F324)</f>
        <v>0.481430536451169</v>
      </c>
      <c r="I324" s="25" t="s">
        <v>128</v>
      </c>
      <c r="J324" s="28" t="n">
        <v>2.22489971008846</v>
      </c>
      <c r="K324" s="28" t="n">
        <f aca="false">$K$8</f>
        <v>0.297938238782275</v>
      </c>
      <c r="L324" s="28" t="n">
        <f aca="false">SQRT(J324^2+K324^2)</f>
        <v>2.24475965619494</v>
      </c>
      <c r="M324" s="53" t="n">
        <f aca="false">IF(G324="","",MAX(0,G324-1.96*L324/100))</f>
        <v>0.47457217428741</v>
      </c>
      <c r="N324" s="53" t="n">
        <f aca="false">IF(G324="","",MIN(1,G324+1.96*L324/100))</f>
        <v>0.562566752810252</v>
      </c>
      <c r="O324" s="52" t="n">
        <f aca="false">ROUND(S324*W324,0)</f>
        <v>65</v>
      </c>
      <c r="P324" s="52" t="n">
        <f aca="false">IF(F324="","",ROUND(SQRT((F324*L324/100)^2+(G324*O324)^2),0))</f>
        <v>37</v>
      </c>
      <c r="R324" s="54" t="n">
        <v>0.642178367067287</v>
      </c>
      <c r="S324" s="55" t="n">
        <f aca="false">U324*V324*$F$5</f>
        <v>727.410579345088</v>
      </c>
      <c r="T324" s="56" t="n">
        <f aca="false">MAX(0,MIN(1,R324/100+$D$5))</f>
        <v>0.518415198189438</v>
      </c>
      <c r="U324" s="56" t="n">
        <v>0.633081444164568</v>
      </c>
      <c r="V324" s="55" t="n">
        <v>1149</v>
      </c>
      <c r="W324" s="56" t="n">
        <v>0.0887445098984521</v>
      </c>
      <c r="X324" s="57" t="s">
        <v>135</v>
      </c>
      <c r="Y324" s="57" t="s">
        <v>130</v>
      </c>
    </row>
    <row r="325" customFormat="false" ht="15" hidden="false" customHeight="false" outlineLevel="0" collapsed="false">
      <c r="A325" s="25" t="s">
        <v>385</v>
      </c>
      <c r="B325" s="25" t="s">
        <v>492</v>
      </c>
      <c r="C325" s="25" t="s">
        <v>497</v>
      </c>
      <c r="D325" s="52" t="n">
        <f aca="false">ROUND(S325*T325,0)</f>
        <v>357</v>
      </c>
      <c r="E325" s="52" t="n">
        <f aca="false">ROUND(S325,0)-D325</f>
        <v>489</v>
      </c>
      <c r="F325" s="52" t="n">
        <f aca="false">IF(COUNTA(D325:E325)=0,"",SUM(D325:E325))</f>
        <v>846</v>
      </c>
      <c r="G325" s="53" t="n">
        <f aca="false">IF(OR(F325="",F325=0),"",D325/F325)</f>
        <v>0.421985815602837</v>
      </c>
      <c r="H325" s="53" t="n">
        <f aca="false">IF(OR(F325="",F325=0),"",E325/F325)</f>
        <v>0.578014184397163</v>
      </c>
      <c r="I325" s="25" t="s">
        <v>128</v>
      </c>
      <c r="J325" s="28" t="n">
        <v>2.22489971008846</v>
      </c>
      <c r="K325" s="28" t="n">
        <f aca="false">$K$8</f>
        <v>0.297938238782275</v>
      </c>
      <c r="L325" s="28" t="n">
        <f aca="false">SQRT(J325^2+K325^2)</f>
        <v>2.24475965619494</v>
      </c>
      <c r="M325" s="53" t="n">
        <f aca="false">IF(G325="","",MAX(0,G325-1.96*L325/100))</f>
        <v>0.377988526341416</v>
      </c>
      <c r="N325" s="53" t="n">
        <f aca="false">IF(G325="","",MIN(1,G325+1.96*L325/100))</f>
        <v>0.465983104864258</v>
      </c>
      <c r="O325" s="52" t="n">
        <f aca="false">ROUND(S325*W325,0)</f>
        <v>75</v>
      </c>
      <c r="P325" s="52" t="n">
        <f aca="false">IF(F325="","",ROUND(SQRT((F325*L325/100)^2+(G325*O325)^2),0))</f>
        <v>37</v>
      </c>
      <c r="R325" s="54" t="n">
        <v>-8.93331778160321</v>
      </c>
      <c r="S325" s="55" t="n">
        <f aca="false">U325*V325*$F$5</f>
        <v>845.732235701906</v>
      </c>
      <c r="T325" s="56" t="n">
        <f aca="false">MAX(0,MIN(1,R325/100+$D$5))</f>
        <v>0.422660236702733</v>
      </c>
      <c r="U325" s="56" t="n">
        <v>0.714904679376083</v>
      </c>
      <c r="V325" s="55" t="n">
        <v>1183</v>
      </c>
      <c r="W325" s="56" t="n">
        <v>0.0887445098984521</v>
      </c>
      <c r="X325" s="57" t="s">
        <v>135</v>
      </c>
      <c r="Y325" s="57" t="s">
        <v>130</v>
      </c>
    </row>
    <row r="326" customFormat="false" ht="15" hidden="false" customHeight="false" outlineLevel="0" collapsed="false">
      <c r="A326" s="25" t="s">
        <v>385</v>
      </c>
      <c r="B326" s="25" t="s">
        <v>492</v>
      </c>
      <c r="C326" s="25" t="s">
        <v>498</v>
      </c>
      <c r="D326" s="52" t="n">
        <f aca="false">ROUND(S326*T326,0)</f>
        <v>801</v>
      </c>
      <c r="E326" s="52" t="n">
        <f aca="false">ROUND(S326,0)-D326</f>
        <v>846</v>
      </c>
      <c r="F326" s="52" t="n">
        <f aca="false">IF(COUNTA(D326:E326)=0,"",SUM(D326:E326))</f>
        <v>1647</v>
      </c>
      <c r="G326" s="53" t="n">
        <f aca="false">IF(OR(F326="",F326=0),"",D326/F326)</f>
        <v>0.486338797814208</v>
      </c>
      <c r="H326" s="53" t="n">
        <f aca="false">IF(OR(F326="",F326=0),"",E326/F326)</f>
        <v>0.513661202185792</v>
      </c>
      <c r="I326" s="25" t="s">
        <v>231</v>
      </c>
      <c r="J326" s="28" t="n">
        <v>2.08262589216041</v>
      </c>
      <c r="K326" s="28" t="n">
        <f aca="false">$K$8</f>
        <v>0.297938238782275</v>
      </c>
      <c r="L326" s="28" t="n">
        <f aca="false">SQRT(J326^2+K326^2)</f>
        <v>2.1038293183682</v>
      </c>
      <c r="M326" s="53" t="n">
        <f aca="false">IF(G326="","",MAX(0,G326-1.96*L326/100))</f>
        <v>0.445103743174191</v>
      </c>
      <c r="N326" s="53" t="n">
        <f aca="false">IF(G326="","",MIN(1,G326+1.96*L326/100))</f>
        <v>0.527573852454224</v>
      </c>
      <c r="O326" s="52" t="n">
        <f aca="false">ROUND(S326*W326,0)</f>
        <v>113</v>
      </c>
      <c r="P326" s="52" t="n">
        <f aca="false">IF(F326="","",ROUND(SQRT((F326*L326/100)^2+(G326*O326)^2),0))</f>
        <v>65</v>
      </c>
      <c r="R326" s="54" t="n">
        <v>-2.54805731375853</v>
      </c>
      <c r="S326" s="55" t="n">
        <f aca="false">U326*V326*$F$5</f>
        <v>1646.977422525</v>
      </c>
      <c r="T326" s="56" t="n">
        <f aca="false">MAX(0,MIN(1,R326/100+$D$5))</f>
        <v>0.486512841381179</v>
      </c>
      <c r="U326" s="56" t="n">
        <v>0.836029148489848</v>
      </c>
      <c r="V326" s="55" t="n">
        <v>1970</v>
      </c>
      <c r="W326" s="56" t="n">
        <v>0.0684752145190268</v>
      </c>
      <c r="X326" s="57" t="s">
        <v>168</v>
      </c>
      <c r="Y326" s="57" t="s">
        <v>130</v>
      </c>
    </row>
    <row r="327" customFormat="false" ht="15" hidden="false" customHeight="false" outlineLevel="0" collapsed="false">
      <c r="A327" s="25" t="s">
        <v>385</v>
      </c>
      <c r="B327" s="25" t="s">
        <v>499</v>
      </c>
      <c r="C327" s="25" t="s">
        <v>500</v>
      </c>
      <c r="D327" s="52" t="n">
        <f aca="false">ROUND(S327*T327,0)</f>
        <v>330</v>
      </c>
      <c r="E327" s="52" t="n">
        <f aca="false">ROUND(S327,0)-D327</f>
        <v>622</v>
      </c>
      <c r="F327" s="52" t="n">
        <f aca="false">IF(COUNTA(D327:E327)=0,"",SUM(D327:E327))</f>
        <v>952</v>
      </c>
      <c r="G327" s="53" t="n">
        <f aca="false">IF(OR(F327="",F327=0),"",D327/F327)</f>
        <v>0.346638655462185</v>
      </c>
      <c r="H327" s="53" t="n">
        <f aca="false">IF(OR(F327="",F327=0),"",E327/F327)</f>
        <v>0.653361344537815</v>
      </c>
      <c r="I327" s="25" t="s">
        <v>128</v>
      </c>
      <c r="J327" s="28" t="n">
        <v>2.08262589216041</v>
      </c>
      <c r="K327" s="28" t="n">
        <f aca="false">$K$8</f>
        <v>0.297938238782275</v>
      </c>
      <c r="L327" s="28" t="n">
        <f aca="false">SQRT(J327^2+K327^2)</f>
        <v>2.1038293183682</v>
      </c>
      <c r="M327" s="53" t="n">
        <f aca="false">IF(G327="","",MAX(0,G327-1.96*L327/100))</f>
        <v>0.305403600822168</v>
      </c>
      <c r="N327" s="53" t="n">
        <f aca="false">IF(G327="","",MIN(1,G327+1.96*L327/100))</f>
        <v>0.387873710102202</v>
      </c>
      <c r="O327" s="52" t="n">
        <f aca="false">ROUND(S327*W327,0)</f>
        <v>65</v>
      </c>
      <c r="P327" s="52" t="n">
        <f aca="false">IF(F327="","",ROUND(SQRT((F327*L327/100)^2+(G327*O327)^2),0))</f>
        <v>30</v>
      </c>
      <c r="R327" s="54" t="n">
        <v>-16.4940236514689</v>
      </c>
      <c r="S327" s="55" t="n">
        <f aca="false">U327*V327*$F$5</f>
        <v>951.894508670521</v>
      </c>
      <c r="T327" s="56" t="n">
        <f aca="false">MAX(0,MIN(1,R327/100+$D$5))</f>
        <v>0.347053178004076</v>
      </c>
      <c r="U327" s="56" t="n">
        <v>0.677023121387284</v>
      </c>
      <c r="V327" s="55" t="n">
        <v>1406</v>
      </c>
      <c r="W327" s="56" t="n">
        <v>0.0684752145190268</v>
      </c>
      <c r="X327" s="57" t="s">
        <v>168</v>
      </c>
      <c r="Y327" s="57" t="s">
        <v>130</v>
      </c>
    </row>
    <row r="328" customFormat="false" ht="15" hidden="false" customHeight="false" outlineLevel="0" collapsed="false">
      <c r="A328" s="25" t="s">
        <v>385</v>
      </c>
      <c r="B328" s="25" t="s">
        <v>499</v>
      </c>
      <c r="C328" s="25" t="s">
        <v>501</v>
      </c>
      <c r="D328" s="52" t="n">
        <f aca="false">ROUND(S328*T328,0)</f>
        <v>657</v>
      </c>
      <c r="E328" s="52" t="n">
        <f aca="false">ROUND(S328,0)-D328</f>
        <v>1251</v>
      </c>
      <c r="F328" s="52" t="n">
        <f aca="false">IF(COUNTA(D328:E328)=0,"",SUM(D328:E328))</f>
        <v>1908</v>
      </c>
      <c r="G328" s="53" t="n">
        <f aca="false">IF(OR(F328="",F328=0),"",D328/F328)</f>
        <v>0.344339622641509</v>
      </c>
      <c r="H328" s="53" t="n">
        <f aca="false">IF(OR(F328="",F328=0),"",E328/F328)</f>
        <v>0.655660377358491</v>
      </c>
      <c r="I328" s="25" t="s">
        <v>128</v>
      </c>
      <c r="J328" s="28" t="n">
        <v>2.08262589216041</v>
      </c>
      <c r="K328" s="28" t="n">
        <f aca="false">$K$8</f>
        <v>0.297938238782275</v>
      </c>
      <c r="L328" s="28" t="n">
        <f aca="false">SQRT(J328^2+K328^2)</f>
        <v>2.1038293183682</v>
      </c>
      <c r="M328" s="53" t="n">
        <f aca="false">IF(G328="","",MAX(0,G328-1.96*L328/100))</f>
        <v>0.303104568001493</v>
      </c>
      <c r="N328" s="53" t="n">
        <f aca="false">IF(G328="","",MIN(1,G328+1.96*L328/100))</f>
        <v>0.385574677281526</v>
      </c>
      <c r="O328" s="52" t="n">
        <f aca="false">ROUND(S328*W328,0)</f>
        <v>131</v>
      </c>
      <c r="P328" s="52" t="n">
        <f aca="false">IF(F328="","",ROUND(SQRT((F328*L328/100)^2+(G328*O328)^2),0))</f>
        <v>60</v>
      </c>
      <c r="R328" s="54" t="n">
        <v>-16.7572924395793</v>
      </c>
      <c r="S328" s="55" t="n">
        <f aca="false">U328*V328*$F$5</f>
        <v>1907.80833039181</v>
      </c>
      <c r="T328" s="56" t="n">
        <f aca="false">MAX(0,MIN(1,R328/100+$D$5))</f>
        <v>0.344420490122972</v>
      </c>
      <c r="U328" s="56" t="n">
        <v>0.649135192375574</v>
      </c>
      <c r="V328" s="55" t="n">
        <v>2939</v>
      </c>
      <c r="W328" s="56" t="n">
        <v>0.0684752145190268</v>
      </c>
      <c r="X328" s="57" t="s">
        <v>168</v>
      </c>
      <c r="Y328" s="57" t="s">
        <v>130</v>
      </c>
    </row>
    <row r="329" customFormat="false" ht="15" hidden="false" customHeight="false" outlineLevel="0" collapsed="false">
      <c r="A329" s="25" t="s">
        <v>385</v>
      </c>
      <c r="B329" s="25" t="s">
        <v>499</v>
      </c>
      <c r="C329" s="25" t="s">
        <v>502</v>
      </c>
      <c r="D329" s="52" t="n">
        <f aca="false">ROUND(S329*T329,0)</f>
        <v>444</v>
      </c>
      <c r="E329" s="52" t="n">
        <f aca="false">ROUND(S329,0)-D329</f>
        <v>903</v>
      </c>
      <c r="F329" s="52" t="n">
        <f aca="false">IF(COUNTA(D329:E329)=0,"",SUM(D329:E329))</f>
        <v>1347</v>
      </c>
      <c r="G329" s="53" t="n">
        <f aca="false">IF(OR(F329="",F329=0),"",D329/F329)</f>
        <v>0.329621380846325</v>
      </c>
      <c r="H329" s="53" t="n">
        <f aca="false">IF(OR(F329="",F329=0),"",E329/F329)</f>
        <v>0.670378619153675</v>
      </c>
      <c r="I329" s="25" t="s">
        <v>128</v>
      </c>
      <c r="J329" s="28" t="n">
        <v>2.08262589216041</v>
      </c>
      <c r="K329" s="28" t="n">
        <f aca="false">$K$8</f>
        <v>0.297938238782275</v>
      </c>
      <c r="L329" s="28" t="n">
        <f aca="false">SQRT(J329^2+K329^2)</f>
        <v>2.1038293183682</v>
      </c>
      <c r="M329" s="53" t="n">
        <f aca="false">IF(G329="","",MAX(0,G329-1.96*L329/100))</f>
        <v>0.288386326206308</v>
      </c>
      <c r="N329" s="53" t="n">
        <f aca="false">IF(G329="","",MIN(1,G329+1.96*L329/100))</f>
        <v>0.370856435486342</v>
      </c>
      <c r="O329" s="52" t="n">
        <f aca="false">ROUND(S329*W329,0)</f>
        <v>92</v>
      </c>
      <c r="P329" s="52" t="n">
        <f aca="false">IF(F329="","",ROUND(SQRT((F329*L329/100)^2+(G329*O329)^2),0))</f>
        <v>42</v>
      </c>
      <c r="R329" s="54" t="n">
        <v>-18.2383888038883</v>
      </c>
      <c r="S329" s="55" t="n">
        <f aca="false">U329*V329*$F$5</f>
        <v>1347</v>
      </c>
      <c r="T329" s="56" t="n">
        <f aca="false">MAX(0,MIN(1,R329/100+$D$5))</f>
        <v>0.329609526479882</v>
      </c>
      <c r="U329" s="56" t="n">
        <v>0.677565392354125</v>
      </c>
      <c r="V329" s="55" t="n">
        <v>1988</v>
      </c>
      <c r="W329" s="56" t="n">
        <v>0.0684752145190268</v>
      </c>
      <c r="X329" s="57" t="s">
        <v>168</v>
      </c>
      <c r="Y329" s="57" t="s">
        <v>130</v>
      </c>
    </row>
    <row r="330" customFormat="false" ht="15" hidden="false" customHeight="false" outlineLevel="0" collapsed="false">
      <c r="A330" s="25" t="s">
        <v>385</v>
      </c>
      <c r="B330" s="25" t="s">
        <v>499</v>
      </c>
      <c r="C330" s="25" t="s">
        <v>503</v>
      </c>
      <c r="D330" s="52" t="n">
        <f aca="false">ROUND(S330*T330,0)</f>
        <v>216</v>
      </c>
      <c r="E330" s="52" t="n">
        <f aca="false">ROUND(S330,0)-D330</f>
        <v>424</v>
      </c>
      <c r="F330" s="52" t="n">
        <f aca="false">IF(COUNTA(D330:E330)=0,"",SUM(D330:E330))</f>
        <v>640</v>
      </c>
      <c r="G330" s="53" t="n">
        <f aca="false">IF(OR(F330="",F330=0),"",D330/F330)</f>
        <v>0.3375</v>
      </c>
      <c r="H330" s="53" t="n">
        <f aca="false">IF(OR(F330="",F330=0),"",E330/F330)</f>
        <v>0.6625</v>
      </c>
      <c r="I330" s="25" t="s">
        <v>128</v>
      </c>
      <c r="J330" s="28" t="n">
        <v>2.22489971008846</v>
      </c>
      <c r="K330" s="28" t="n">
        <f aca="false">$K$8</f>
        <v>0.297938238782275</v>
      </c>
      <c r="L330" s="28" t="n">
        <f aca="false">SQRT(J330^2+K330^2)</f>
        <v>2.24475965619494</v>
      </c>
      <c r="M330" s="53" t="n">
        <f aca="false">IF(G330="","",MAX(0,G330-1.96*L330/100))</f>
        <v>0.293502710738579</v>
      </c>
      <c r="N330" s="53" t="n">
        <f aca="false">IF(G330="","",MIN(1,G330+1.96*L330/100))</f>
        <v>0.381497289261421</v>
      </c>
      <c r="O330" s="52" t="n">
        <f aca="false">ROUND(S330*W330,0)</f>
        <v>57</v>
      </c>
      <c r="P330" s="52" t="n">
        <f aca="false">IF(F330="","",ROUND(SQRT((F330*L330/100)^2+(G330*O330)^2),0))</f>
        <v>24</v>
      </c>
      <c r="R330" s="54" t="n">
        <v>-17.53603036952</v>
      </c>
      <c r="S330" s="55" t="n">
        <f aca="false">U330*V330*$F$5</f>
        <v>640.169811320755</v>
      </c>
      <c r="T330" s="56" t="n">
        <f aca="false">MAX(0,MIN(1,R330/100+$D$5))</f>
        <v>0.336633110823565</v>
      </c>
      <c r="U330" s="56" t="n">
        <v>0.69811320754717</v>
      </c>
      <c r="V330" s="55" t="n">
        <v>917</v>
      </c>
      <c r="W330" s="56" t="n">
        <v>0.0887445098984521</v>
      </c>
      <c r="X330" s="57" t="s">
        <v>135</v>
      </c>
      <c r="Y330" s="57" t="s">
        <v>130</v>
      </c>
    </row>
    <row r="331" customFormat="false" ht="15" hidden="false" customHeight="false" outlineLevel="0" collapsed="false">
      <c r="A331" s="25" t="s">
        <v>385</v>
      </c>
      <c r="B331" s="25" t="s">
        <v>504</v>
      </c>
      <c r="C331" s="25" t="s">
        <v>505</v>
      </c>
      <c r="D331" s="52" t="n">
        <f aca="false">ROUND(S331*T331,0)</f>
        <v>494</v>
      </c>
      <c r="E331" s="52" t="n">
        <f aca="false">ROUND(S331,0)-D331</f>
        <v>484</v>
      </c>
      <c r="F331" s="52" t="n">
        <f aca="false">IF(COUNTA(D331:E331)=0,"",SUM(D331:E331))</f>
        <v>978</v>
      </c>
      <c r="G331" s="53" t="n">
        <f aca="false">IF(OR(F331="",F331=0),"",D331/F331)</f>
        <v>0.505112474437628</v>
      </c>
      <c r="H331" s="53" t="n">
        <f aca="false">IF(OR(F331="",F331=0),"",E331/F331)</f>
        <v>0.494887525562372</v>
      </c>
      <c r="I331" s="25" t="s">
        <v>128</v>
      </c>
      <c r="J331" s="28" t="n">
        <v>2.08262589216041</v>
      </c>
      <c r="K331" s="28" t="n">
        <f aca="false">$K$8</f>
        <v>0.297938238782275</v>
      </c>
      <c r="L331" s="28" t="n">
        <f aca="false">SQRT(J331^2+K331^2)</f>
        <v>2.1038293183682</v>
      </c>
      <c r="M331" s="53" t="n">
        <f aca="false">IF(G331="","",MAX(0,G331-1.96*L331/100))</f>
        <v>0.463877419797611</v>
      </c>
      <c r="N331" s="53" t="n">
        <f aca="false">IF(G331="","",MIN(1,G331+1.96*L331/100))</f>
        <v>0.546347529077645</v>
      </c>
      <c r="O331" s="52" t="n">
        <f aca="false">ROUND(S331*W331,0)</f>
        <v>67</v>
      </c>
      <c r="P331" s="52" t="n">
        <f aca="false">IF(F331="","",ROUND(SQRT((F331*L331/100)^2+(G331*O331)^2),0))</f>
        <v>40</v>
      </c>
      <c r="R331" s="54" t="n">
        <v>-0.663020183197628</v>
      </c>
      <c r="S331" s="55" t="n">
        <f aca="false">U331*V331*$F$5</f>
        <v>978.044260027662</v>
      </c>
      <c r="T331" s="56" t="n">
        <f aca="false">MAX(0,MIN(1,R331/100+$D$5))</f>
        <v>0.505363212686788</v>
      </c>
      <c r="U331" s="56" t="n">
        <v>0.659059474412171</v>
      </c>
      <c r="V331" s="55" t="n">
        <v>1484</v>
      </c>
      <c r="W331" s="56" t="n">
        <v>0.0684752145190268</v>
      </c>
      <c r="X331" s="57" t="s">
        <v>168</v>
      </c>
      <c r="Y331" s="57" t="s">
        <v>130</v>
      </c>
    </row>
    <row r="332" customFormat="false" ht="15" hidden="false" customHeight="false" outlineLevel="0" collapsed="false">
      <c r="A332" s="25" t="s">
        <v>385</v>
      </c>
      <c r="B332" s="25" t="s">
        <v>504</v>
      </c>
      <c r="C332" s="25" t="s">
        <v>506</v>
      </c>
      <c r="D332" s="52" t="n">
        <f aca="false">ROUND(S332*T332,0)</f>
        <v>404</v>
      </c>
      <c r="E332" s="52" t="n">
        <f aca="false">ROUND(S332,0)-D332</f>
        <v>377</v>
      </c>
      <c r="F332" s="52" t="n">
        <f aca="false">IF(COUNTA(D332:E332)=0,"",SUM(D332:E332))</f>
        <v>781</v>
      </c>
      <c r="G332" s="53" t="n">
        <f aca="false">IF(OR(F332="",F332=0),"",D332/F332)</f>
        <v>0.517285531370038</v>
      </c>
      <c r="H332" s="53" t="n">
        <f aca="false">IF(OR(F332="",F332=0),"",E332/F332)</f>
        <v>0.482714468629962</v>
      </c>
      <c r="I332" s="25" t="s">
        <v>128</v>
      </c>
      <c r="J332" s="28" t="n">
        <v>2.22489971008846</v>
      </c>
      <c r="K332" s="28" t="n">
        <f aca="false">$K$8</f>
        <v>0.297938238782275</v>
      </c>
      <c r="L332" s="28" t="n">
        <f aca="false">SQRT(J332^2+K332^2)</f>
        <v>2.24475965619494</v>
      </c>
      <c r="M332" s="53" t="n">
        <f aca="false">IF(G332="","",MAX(0,G332-1.96*L332/100))</f>
        <v>0.473288242108618</v>
      </c>
      <c r="N332" s="53" t="n">
        <f aca="false">IF(G332="","",MIN(1,G332+1.96*L332/100))</f>
        <v>0.561282820631459</v>
      </c>
      <c r="O332" s="52" t="n">
        <f aca="false">ROUND(S332*W332,0)</f>
        <v>69</v>
      </c>
      <c r="P332" s="52" t="n">
        <f aca="false">IF(F332="","",ROUND(SQRT((F332*L332/100)^2+(G332*O332)^2),0))</f>
        <v>40</v>
      </c>
      <c r="R332" s="54" t="n">
        <v>0.56342498966032</v>
      </c>
      <c r="S332" s="55" t="n">
        <f aca="false">U332*V332*$F$5</f>
        <v>780.745236414961</v>
      </c>
      <c r="T332" s="56" t="n">
        <f aca="false">MAX(0,MIN(1,R332/100+$D$5))</f>
        <v>0.517627664415368</v>
      </c>
      <c r="U332" s="56" t="n">
        <v>0.549047282992237</v>
      </c>
      <c r="V332" s="55" t="n">
        <v>1422</v>
      </c>
      <c r="W332" s="56" t="n">
        <v>0.0887445098984521</v>
      </c>
      <c r="X332" s="57" t="s">
        <v>135</v>
      </c>
      <c r="Y332" s="57" t="s">
        <v>130</v>
      </c>
    </row>
    <row r="333" customFormat="false" ht="15" hidden="false" customHeight="false" outlineLevel="0" collapsed="false">
      <c r="A333" s="25" t="s">
        <v>385</v>
      </c>
      <c r="B333" s="25" t="s">
        <v>504</v>
      </c>
      <c r="C333" s="25" t="s">
        <v>507</v>
      </c>
      <c r="D333" s="52" t="n">
        <f aca="false">ROUND(S333*T333,0)</f>
        <v>373</v>
      </c>
      <c r="E333" s="52" t="n">
        <f aca="false">ROUND(S333,0)-D333</f>
        <v>384</v>
      </c>
      <c r="F333" s="52" t="n">
        <f aca="false">IF(COUNTA(D333:E333)=0,"",SUM(D333:E333))</f>
        <v>757</v>
      </c>
      <c r="G333" s="53" t="n">
        <f aca="false">IF(OR(F333="",F333=0),"",D333/F333)</f>
        <v>0.492734478203435</v>
      </c>
      <c r="H333" s="53" t="n">
        <f aca="false">IF(OR(F333="",F333=0),"",E333/F333)</f>
        <v>0.507265521796565</v>
      </c>
      <c r="I333" s="25" t="s">
        <v>128</v>
      </c>
      <c r="J333" s="28" t="n">
        <v>2.22489971008846</v>
      </c>
      <c r="K333" s="28" t="n">
        <f aca="false">$K$8</f>
        <v>0.297938238782275</v>
      </c>
      <c r="L333" s="28" t="n">
        <f aca="false">SQRT(J333^2+K333^2)</f>
        <v>2.24475965619494</v>
      </c>
      <c r="M333" s="53" t="n">
        <f aca="false">IF(G333="","",MAX(0,G333-1.96*L333/100))</f>
        <v>0.448737188942014</v>
      </c>
      <c r="N333" s="53" t="n">
        <f aca="false">IF(G333="","",MIN(1,G333+1.96*L333/100))</f>
        <v>0.536731767464855</v>
      </c>
      <c r="O333" s="52" t="n">
        <f aca="false">ROUND(S333*W333,0)</f>
        <v>67</v>
      </c>
      <c r="P333" s="52" t="n">
        <f aca="false">IF(F333="","",ROUND(SQRT((F333*L333/100)^2+(G333*O333)^2),0))</f>
        <v>37</v>
      </c>
      <c r="R333" s="54" t="n">
        <v>-1.94313333677143</v>
      </c>
      <c r="S333" s="55" t="n">
        <f aca="false">U333*V333*$F$5</f>
        <v>757.126771653543</v>
      </c>
      <c r="T333" s="56" t="n">
        <f aca="false">MAX(0,MIN(1,R333/100+$D$5))</f>
        <v>0.49256208115105</v>
      </c>
      <c r="U333" s="56" t="n">
        <v>0.574015748031496</v>
      </c>
      <c r="V333" s="55" t="n">
        <v>1319</v>
      </c>
      <c r="W333" s="56" t="n">
        <v>0.0887445098984521</v>
      </c>
      <c r="X333" s="57" t="s">
        <v>135</v>
      </c>
      <c r="Y333" s="57" t="s">
        <v>130</v>
      </c>
    </row>
    <row r="334" customFormat="false" ht="15" hidden="false" customHeight="false" outlineLevel="0" collapsed="false">
      <c r="A334" s="25" t="s">
        <v>385</v>
      </c>
      <c r="B334" s="25" t="s">
        <v>508</v>
      </c>
      <c r="C334" s="25" t="s">
        <v>509</v>
      </c>
      <c r="D334" s="52" t="n">
        <f aca="false">ROUND(S334*T334,0)</f>
        <v>183</v>
      </c>
      <c r="E334" s="52" t="n">
        <f aca="false">ROUND(S334,0)-D334</f>
        <v>200</v>
      </c>
      <c r="F334" s="52" t="n">
        <f aca="false">IF(COUNTA(D334:E334)=0,"",SUM(D334:E334))</f>
        <v>383</v>
      </c>
      <c r="G334" s="53" t="n">
        <f aca="false">IF(OR(F334="",F334=0),"",D334/F334)</f>
        <v>0.477806788511749</v>
      </c>
      <c r="H334" s="53" t="n">
        <f aca="false">IF(OR(F334="",F334=0),"",E334/F334)</f>
        <v>0.522193211488251</v>
      </c>
      <c r="I334" s="25" t="s">
        <v>128</v>
      </c>
      <c r="J334" s="28" t="n">
        <v>3.1978281706008</v>
      </c>
      <c r="K334" s="28" t="n">
        <f aca="false">$K$8</f>
        <v>0.297938238782275</v>
      </c>
      <c r="L334" s="28" t="n">
        <f aca="false">SQRT(J334^2+K334^2)</f>
        <v>3.21167747490571</v>
      </c>
      <c r="M334" s="53" t="n">
        <f aca="false">IF(G334="","",MAX(0,G334-1.96*L334/100))</f>
        <v>0.414857910003597</v>
      </c>
      <c r="N334" s="53" t="n">
        <f aca="false">IF(G334="","",MIN(1,G334+1.96*L334/100))</f>
        <v>0.540755667019901</v>
      </c>
      <c r="O334" s="52" t="n">
        <f aca="false">ROUND(S334*W334,0)</f>
        <v>57</v>
      </c>
      <c r="P334" s="52" t="n">
        <f aca="false">IF(F334="","",ROUND(SQRT((F334*L334/100)^2+(G334*O334)^2),0))</f>
        <v>30</v>
      </c>
      <c r="R334" s="54" t="n">
        <v>-3.55542556209724</v>
      </c>
      <c r="S334" s="55" t="n">
        <f aca="false">U334*V334*$F$5</f>
        <v>383.103139013453</v>
      </c>
      <c r="T334" s="56" t="n">
        <f aca="false">MAX(0,MIN(1,R334/100+$D$5))</f>
        <v>0.476439158897792</v>
      </c>
      <c r="U334" s="56" t="n">
        <v>0.541106128550075</v>
      </c>
      <c r="V334" s="55" t="n">
        <v>708</v>
      </c>
      <c r="W334" s="56" t="n">
        <v>0.148097331980838</v>
      </c>
      <c r="X334" s="57" t="s">
        <v>129</v>
      </c>
      <c r="Y334" s="57" t="s">
        <v>130</v>
      </c>
    </row>
    <row r="335" customFormat="false" ht="15" hidden="false" customHeight="false" outlineLevel="0" collapsed="false">
      <c r="A335" s="25" t="s">
        <v>385</v>
      </c>
      <c r="B335" s="25" t="s">
        <v>508</v>
      </c>
      <c r="C335" s="25" t="s">
        <v>510</v>
      </c>
      <c r="D335" s="52" t="n">
        <f aca="false">ROUND(S335*T335,0)</f>
        <v>539</v>
      </c>
      <c r="E335" s="52" t="n">
        <f aca="false">ROUND(S335,0)-D335</f>
        <v>510</v>
      </c>
      <c r="F335" s="52" t="n">
        <f aca="false">IF(COUNTA(D335:E335)=0,"",SUM(D335:E335))</f>
        <v>1049</v>
      </c>
      <c r="G335" s="53" t="n">
        <f aca="false">IF(OR(F335="",F335=0),"",D335/F335)</f>
        <v>0.513822688274547</v>
      </c>
      <c r="H335" s="53" t="n">
        <f aca="false">IF(OR(F335="",F335=0),"",E335/F335)</f>
        <v>0.486177311725453</v>
      </c>
      <c r="I335" s="25" t="s">
        <v>128</v>
      </c>
      <c r="J335" s="28" t="n">
        <v>2.08262589216041</v>
      </c>
      <c r="K335" s="28" t="n">
        <f aca="false">$K$8</f>
        <v>0.297938238782275</v>
      </c>
      <c r="L335" s="28" t="n">
        <f aca="false">SQRT(J335^2+K335^2)</f>
        <v>2.1038293183682</v>
      </c>
      <c r="M335" s="53" t="n">
        <f aca="false">IF(G335="","",MAX(0,G335-1.96*L335/100))</f>
        <v>0.47258763363453</v>
      </c>
      <c r="N335" s="53" t="n">
        <f aca="false">IF(G335="","",MIN(1,G335+1.96*L335/100))</f>
        <v>0.555057742914564</v>
      </c>
      <c r="O335" s="52" t="n">
        <f aca="false">ROUND(S335*W335,0)</f>
        <v>72</v>
      </c>
      <c r="P335" s="52" t="n">
        <f aca="false">IF(F335="","",ROUND(SQRT((F335*L335/100)^2+(G335*O335)^2),0))</f>
        <v>43</v>
      </c>
      <c r="R335" s="54" t="n">
        <v>0.150387467134776</v>
      </c>
      <c r="S335" s="55" t="n">
        <f aca="false">U335*V335*$F$5</f>
        <v>1049.22431259045</v>
      </c>
      <c r="T335" s="56" t="n">
        <f aca="false">MAX(0,MIN(1,R335/100+$D$5))</f>
        <v>0.513497289190112</v>
      </c>
      <c r="U335" s="56" t="n">
        <v>0.662807525325615</v>
      </c>
      <c r="V335" s="55" t="n">
        <v>1583</v>
      </c>
      <c r="W335" s="56" t="n">
        <v>0.0684752145190268</v>
      </c>
      <c r="X335" s="57" t="s">
        <v>168</v>
      </c>
      <c r="Y335" s="57" t="s">
        <v>130</v>
      </c>
    </row>
    <row r="336" customFormat="false" ht="15" hidden="false" customHeight="false" outlineLevel="0" collapsed="false">
      <c r="A336" s="25" t="s">
        <v>385</v>
      </c>
      <c r="B336" s="25" t="s">
        <v>511</v>
      </c>
      <c r="C336" s="25" t="s">
        <v>512</v>
      </c>
      <c r="D336" s="52" t="n">
        <f aca="false">ROUND(S336*T336,0)</f>
        <v>489</v>
      </c>
      <c r="E336" s="52" t="n">
        <f aca="false">ROUND(S336,0)-D336</f>
        <v>539</v>
      </c>
      <c r="F336" s="52" t="n">
        <f aca="false">IF(COUNTA(D336:E336)=0,"",SUM(D336:E336))</f>
        <v>1028</v>
      </c>
      <c r="G336" s="53" t="n">
        <f aca="false">IF(OR(F336="",F336=0),"",D336/F336)</f>
        <v>0.47568093385214</v>
      </c>
      <c r="H336" s="53" t="n">
        <f aca="false">IF(OR(F336="",F336=0),"",E336/F336)</f>
        <v>0.52431906614786</v>
      </c>
      <c r="I336" s="25" t="s">
        <v>128</v>
      </c>
      <c r="J336" s="28" t="n">
        <v>2.08262589216041</v>
      </c>
      <c r="K336" s="28" t="n">
        <f aca="false">$K$8</f>
        <v>0.297938238782275</v>
      </c>
      <c r="L336" s="28" t="n">
        <f aca="false">SQRT(J336^2+K336^2)</f>
        <v>2.1038293183682</v>
      </c>
      <c r="M336" s="53" t="n">
        <f aca="false">IF(G336="","",MAX(0,G336-1.96*L336/100))</f>
        <v>0.434445879212123</v>
      </c>
      <c r="N336" s="53" t="n">
        <f aca="false">IF(G336="","",MIN(1,G336+1.96*L336/100))</f>
        <v>0.516915988492157</v>
      </c>
      <c r="O336" s="52" t="n">
        <f aca="false">ROUND(S336*W336,0)</f>
        <v>70</v>
      </c>
      <c r="P336" s="52" t="n">
        <f aca="false">IF(F336="","",ROUND(SQRT((F336*L336/100)^2+(G336*O336)^2),0))</f>
        <v>40</v>
      </c>
      <c r="R336" s="54" t="n">
        <v>-3.65086054580808</v>
      </c>
      <c r="S336" s="55" t="n">
        <f aca="false">U336*V336*$F$5</f>
        <v>1027.55404570723</v>
      </c>
      <c r="T336" s="56" t="n">
        <f aca="false">MAX(0,MIN(1,R336/100+$D$5))</f>
        <v>0.475484809060684</v>
      </c>
      <c r="U336" s="56" t="n">
        <v>0.589870290302656</v>
      </c>
      <c r="V336" s="55" t="n">
        <v>1742</v>
      </c>
      <c r="W336" s="56" t="n">
        <v>0.0684752145190268</v>
      </c>
      <c r="X336" s="57" t="s">
        <v>168</v>
      </c>
      <c r="Y336" s="57" t="s">
        <v>130</v>
      </c>
    </row>
    <row r="337" customFormat="false" ht="15" hidden="false" customHeight="false" outlineLevel="0" collapsed="false">
      <c r="A337" s="25" t="s">
        <v>385</v>
      </c>
      <c r="B337" s="25" t="s">
        <v>511</v>
      </c>
      <c r="C337" s="25" t="s">
        <v>513</v>
      </c>
      <c r="D337" s="52" t="n">
        <f aca="false">ROUND(S337*T337,0)</f>
        <v>429</v>
      </c>
      <c r="E337" s="52" t="n">
        <f aca="false">ROUND(S337,0)-D337</f>
        <v>439</v>
      </c>
      <c r="F337" s="52" t="n">
        <f aca="false">IF(COUNTA(D337:E337)=0,"",SUM(D337:E337))</f>
        <v>868</v>
      </c>
      <c r="G337" s="53" t="n">
        <f aca="false">IF(OR(F337="",F337=0),"",D337/F337)</f>
        <v>0.494239631336406</v>
      </c>
      <c r="H337" s="53" t="n">
        <f aca="false">IF(OR(F337="",F337=0),"",E337/F337)</f>
        <v>0.505760368663594</v>
      </c>
      <c r="I337" s="25" t="s">
        <v>128</v>
      </c>
      <c r="J337" s="28" t="n">
        <v>2.22489971008846</v>
      </c>
      <c r="K337" s="28" t="n">
        <f aca="false">$K$8</f>
        <v>0.297938238782275</v>
      </c>
      <c r="L337" s="28" t="n">
        <f aca="false">SQRT(J337^2+K337^2)</f>
        <v>2.24475965619494</v>
      </c>
      <c r="M337" s="53" t="n">
        <f aca="false">IF(G337="","",MAX(0,G337-1.96*L337/100))</f>
        <v>0.450242342074985</v>
      </c>
      <c r="N337" s="53" t="n">
        <f aca="false">IF(G337="","",MIN(1,G337+1.96*L337/100))</f>
        <v>0.538236920597826</v>
      </c>
      <c r="O337" s="52" t="n">
        <f aca="false">ROUND(S337*W337,0)</f>
        <v>77</v>
      </c>
      <c r="P337" s="52" t="n">
        <f aca="false">IF(F337="","",ROUND(SQRT((F337*L337/100)^2+(G337*O337)^2),0))</f>
        <v>43</v>
      </c>
      <c r="R337" s="54" t="n">
        <v>-1.70359951026205</v>
      </c>
      <c r="S337" s="55" t="n">
        <f aca="false">U337*V337*$F$5</f>
        <v>867.502130249544</v>
      </c>
      <c r="T337" s="56" t="n">
        <f aca="false">MAX(0,MIN(1,R337/100+$D$5))</f>
        <v>0.494957419416144</v>
      </c>
      <c r="U337" s="56" t="n">
        <v>0.507608034083993</v>
      </c>
      <c r="V337" s="55" t="n">
        <v>1709</v>
      </c>
      <c r="W337" s="56" t="n">
        <v>0.0887445098984521</v>
      </c>
      <c r="X337" s="57" t="s">
        <v>135</v>
      </c>
      <c r="Y337" s="57" t="s">
        <v>130</v>
      </c>
    </row>
    <row r="338" customFormat="false" ht="15" hidden="false" customHeight="false" outlineLevel="0" collapsed="false">
      <c r="A338" s="25" t="s">
        <v>385</v>
      </c>
      <c r="B338" s="25" t="s">
        <v>511</v>
      </c>
      <c r="C338" s="25" t="s">
        <v>514</v>
      </c>
      <c r="D338" s="52" t="n">
        <f aca="false">ROUND(S338*T338,0)</f>
        <v>890</v>
      </c>
      <c r="E338" s="52" t="n">
        <f aca="false">ROUND(S338,0)-D338</f>
        <v>984</v>
      </c>
      <c r="F338" s="52" t="n">
        <f aca="false">IF(COUNTA(D338:E338)=0,"",SUM(D338:E338))</f>
        <v>1874</v>
      </c>
      <c r="G338" s="53" t="n">
        <f aca="false">IF(OR(F338="",F338=0),"",D338/F338)</f>
        <v>0.474919957310566</v>
      </c>
      <c r="H338" s="53" t="n">
        <f aca="false">IF(OR(F338="",F338=0),"",E338/F338)</f>
        <v>0.525080042689434</v>
      </c>
      <c r="I338" s="25" t="s">
        <v>128</v>
      </c>
      <c r="J338" s="28" t="n">
        <v>2.08262589216041</v>
      </c>
      <c r="K338" s="28" t="n">
        <f aca="false">$K$8</f>
        <v>0.297938238782275</v>
      </c>
      <c r="L338" s="28" t="n">
        <f aca="false">SQRT(J338^2+K338^2)</f>
        <v>2.1038293183682</v>
      </c>
      <c r="M338" s="53" t="n">
        <f aca="false">IF(G338="","",MAX(0,G338-1.96*L338/100))</f>
        <v>0.433684902670549</v>
      </c>
      <c r="N338" s="53" t="n">
        <f aca="false">IF(G338="","",MIN(1,G338+1.96*L338/100))</f>
        <v>0.516155011950582</v>
      </c>
      <c r="O338" s="52" t="n">
        <f aca="false">ROUND(S338*W338,0)</f>
        <v>128</v>
      </c>
      <c r="P338" s="52" t="n">
        <f aca="false">IF(F338="","",ROUND(SQRT((F338*L338/100)^2+(G338*O338)^2),0))</f>
        <v>72</v>
      </c>
      <c r="R338" s="54" t="n">
        <v>-3.70383567708976</v>
      </c>
      <c r="S338" s="55" t="n">
        <f aca="false">U338*V338*$F$5</f>
        <v>1873.94361294814</v>
      </c>
      <c r="T338" s="56" t="n">
        <f aca="false">MAX(0,MIN(1,R338/100+$D$5))</f>
        <v>0.474955057747867</v>
      </c>
      <c r="U338" s="56" t="n">
        <v>0.612600069613644</v>
      </c>
      <c r="V338" s="55" t="n">
        <v>3059</v>
      </c>
      <c r="W338" s="56" t="n">
        <v>0.0684752145190268</v>
      </c>
      <c r="X338" s="57" t="s">
        <v>168</v>
      </c>
      <c r="Y338" s="57" t="s">
        <v>130</v>
      </c>
    </row>
    <row r="339" customFormat="false" ht="15" hidden="false" customHeight="false" outlineLevel="0" collapsed="false">
      <c r="A339" s="25" t="s">
        <v>385</v>
      </c>
      <c r="B339" s="25" t="s">
        <v>511</v>
      </c>
      <c r="C339" s="25" t="s">
        <v>515</v>
      </c>
      <c r="D339" s="52" t="n">
        <f aca="false">ROUND(S339*T339,0)</f>
        <v>184</v>
      </c>
      <c r="E339" s="52" t="n">
        <f aca="false">ROUND(S339,0)-D339</f>
        <v>214</v>
      </c>
      <c r="F339" s="52" t="n">
        <f aca="false">IF(COUNTA(D339:E339)=0,"",SUM(D339:E339))</f>
        <v>398</v>
      </c>
      <c r="G339" s="53" t="n">
        <f aca="false">IF(OR(F339="",F339=0),"",D339/F339)</f>
        <v>0.462311557788945</v>
      </c>
      <c r="H339" s="53" t="n">
        <f aca="false">IF(OR(F339="",F339=0),"",E339/F339)</f>
        <v>0.537688442211055</v>
      </c>
      <c r="I339" s="25" t="s">
        <v>128</v>
      </c>
      <c r="J339" s="28" t="n">
        <v>3.1978281706008</v>
      </c>
      <c r="K339" s="28" t="n">
        <f aca="false">$K$8</f>
        <v>0.297938238782275</v>
      </c>
      <c r="L339" s="28" t="n">
        <f aca="false">SQRT(J339^2+K339^2)</f>
        <v>3.21167747490571</v>
      </c>
      <c r="M339" s="53" t="n">
        <f aca="false">IF(G339="","",MAX(0,G339-1.96*L339/100))</f>
        <v>0.399362679280793</v>
      </c>
      <c r="N339" s="53" t="n">
        <f aca="false">IF(G339="","",MIN(1,G339+1.96*L339/100))</f>
        <v>0.525260436297097</v>
      </c>
      <c r="O339" s="52" t="n">
        <f aca="false">ROUND(S339*W339,0)</f>
        <v>59</v>
      </c>
      <c r="P339" s="52" t="n">
        <f aca="false">IF(F339="","",ROUND(SQRT((F339*L339/100)^2+(G339*O339)^2),0))</f>
        <v>30</v>
      </c>
      <c r="R339" s="54" t="n">
        <v>-5.05532593464956</v>
      </c>
      <c r="S339" s="55" t="n">
        <f aca="false">U339*V339*$F$5</f>
        <v>398.40616966581</v>
      </c>
      <c r="T339" s="56" t="n">
        <f aca="false">MAX(0,MIN(1,R339/100+$D$5))</f>
        <v>0.461440155172269</v>
      </c>
      <c r="U339" s="56" t="n">
        <v>0.48586118251928</v>
      </c>
      <c r="V339" s="55" t="n">
        <v>820</v>
      </c>
      <c r="W339" s="56" t="n">
        <v>0.148097331980838</v>
      </c>
      <c r="X339" s="57" t="s">
        <v>129</v>
      </c>
      <c r="Y339" s="57" t="s">
        <v>130</v>
      </c>
    </row>
    <row r="340" customFormat="false" ht="15" hidden="false" customHeight="false" outlineLevel="0" collapsed="false">
      <c r="A340" s="25" t="s">
        <v>385</v>
      </c>
      <c r="B340" s="25" t="s">
        <v>516</v>
      </c>
      <c r="C340" s="25" t="s">
        <v>517</v>
      </c>
      <c r="D340" s="52" t="n">
        <f aca="false">ROUND(S340*T340,0)</f>
        <v>679</v>
      </c>
      <c r="E340" s="52" t="n">
        <f aca="false">ROUND(S340,0)-D340</f>
        <v>702</v>
      </c>
      <c r="F340" s="52" t="n">
        <f aca="false">IF(COUNTA(D340:E340)=0,"",SUM(D340:E340))</f>
        <v>1381</v>
      </c>
      <c r="G340" s="53" t="n">
        <f aca="false">IF(OR(F340="",F340=0),"",D340/F340)</f>
        <v>0.491672700941347</v>
      </c>
      <c r="H340" s="53" t="n">
        <f aca="false">IF(OR(F340="",F340=0),"",E340/F340)</f>
        <v>0.508327299058653</v>
      </c>
      <c r="I340" s="25" t="s">
        <v>128</v>
      </c>
      <c r="J340" s="28" t="n">
        <v>2.08262589216041</v>
      </c>
      <c r="K340" s="28" t="n">
        <f aca="false">$K$8</f>
        <v>0.297938238782275</v>
      </c>
      <c r="L340" s="28" t="n">
        <f aca="false">SQRT(J340^2+K340^2)</f>
        <v>2.1038293183682</v>
      </c>
      <c r="M340" s="53" t="n">
        <f aca="false">IF(G340="","",MAX(0,G340-1.96*L340/100))</f>
        <v>0.45043764630133</v>
      </c>
      <c r="N340" s="53" t="n">
        <f aca="false">IF(G340="","",MIN(1,G340+1.96*L340/100))</f>
        <v>0.532907755581364</v>
      </c>
      <c r="O340" s="52" t="n">
        <f aca="false">ROUND(S340*W340,0)</f>
        <v>95</v>
      </c>
      <c r="P340" s="52" t="n">
        <f aca="false">IF(F340="","",ROUND(SQRT((F340*L340/100)^2+(G340*O340)^2),0))</f>
        <v>55</v>
      </c>
      <c r="R340" s="54" t="n">
        <v>-2.0033297121857</v>
      </c>
      <c r="S340" s="55" t="n">
        <f aca="false">U340*V340*$F$5</f>
        <v>1380.50534255185</v>
      </c>
      <c r="T340" s="56" t="n">
        <f aca="false">MAX(0,MIN(1,R340/100+$D$5))</f>
        <v>0.491960117396908</v>
      </c>
      <c r="U340" s="56" t="n">
        <v>0.629792583280955</v>
      </c>
      <c r="V340" s="55" t="n">
        <v>2192</v>
      </c>
      <c r="W340" s="56" t="n">
        <v>0.0684752145190268</v>
      </c>
      <c r="X340" s="57" t="s">
        <v>168</v>
      </c>
      <c r="Y340" s="57" t="s">
        <v>130</v>
      </c>
    </row>
    <row r="341" customFormat="false" ht="15" hidden="false" customHeight="false" outlineLevel="0" collapsed="false">
      <c r="A341" s="25" t="s">
        <v>385</v>
      </c>
      <c r="B341" s="25" t="s">
        <v>516</v>
      </c>
      <c r="C341" s="25" t="s">
        <v>518</v>
      </c>
      <c r="D341" s="52" t="n">
        <f aca="false">ROUND(S341*T341,0)</f>
        <v>159</v>
      </c>
      <c r="E341" s="52" t="n">
        <f aca="false">ROUND(S341,0)-D341</f>
        <v>143</v>
      </c>
      <c r="F341" s="52" t="n">
        <f aca="false">IF(COUNTA(D341:E341)=0,"",SUM(D341:E341))</f>
        <v>302</v>
      </c>
      <c r="G341" s="53" t="n">
        <f aca="false">IF(OR(F341="",F341=0),"",D341/F341)</f>
        <v>0.526490066225166</v>
      </c>
      <c r="H341" s="53" t="n">
        <f aca="false">IF(OR(F341="",F341=0),"",E341/F341)</f>
        <v>0.473509933774834</v>
      </c>
      <c r="I341" s="25" t="s">
        <v>231</v>
      </c>
      <c r="J341" s="28" t="n">
        <v>3.1978281706008</v>
      </c>
      <c r="K341" s="28" t="n">
        <f aca="false">$K$8</f>
        <v>0.297938238782275</v>
      </c>
      <c r="L341" s="28" t="n">
        <f aca="false">SQRT(J341^2+K341^2)</f>
        <v>3.21167747490571</v>
      </c>
      <c r="M341" s="53" t="n">
        <f aca="false">IF(G341="","",MAX(0,G341-1.96*L341/100))</f>
        <v>0.463541187717014</v>
      </c>
      <c r="N341" s="53" t="n">
        <f aca="false">IF(G341="","",MIN(1,G341+1.96*L341/100))</f>
        <v>0.589438944733318</v>
      </c>
      <c r="O341" s="52" t="n">
        <f aca="false">ROUND(S341*W341,0)</f>
        <v>45</v>
      </c>
      <c r="P341" s="52" t="n">
        <f aca="false">IF(F341="","",ROUND(SQRT((F341*L341/100)^2+(G341*O341)^2),0))</f>
        <v>26</v>
      </c>
      <c r="R341" s="54" t="n">
        <v>1.56747453143958</v>
      </c>
      <c r="S341" s="55" t="n">
        <f aca="false">U341*V341*$F$5</f>
        <v>301.77107159879</v>
      </c>
      <c r="T341" s="56" t="n">
        <f aca="false">MAX(0,MIN(1,R341/100+$D$5))</f>
        <v>0.527668159833161</v>
      </c>
      <c r="U341" s="56" t="n">
        <v>0.210586930634187</v>
      </c>
      <c r="V341" s="55" t="n">
        <v>1433</v>
      </c>
      <c r="W341" s="56" t="n">
        <v>0.148097331980838</v>
      </c>
      <c r="X341" s="57" t="s">
        <v>129</v>
      </c>
      <c r="Y341" s="57" t="s">
        <v>130</v>
      </c>
    </row>
    <row r="342" customFormat="false" ht="15" hidden="false" customHeight="false" outlineLevel="0" collapsed="false">
      <c r="A342" s="25" t="s">
        <v>385</v>
      </c>
      <c r="B342" s="25" t="s">
        <v>516</v>
      </c>
      <c r="C342" s="25" t="s">
        <v>519</v>
      </c>
      <c r="D342" s="52" t="n">
        <f aca="false">ROUND(S342*T342,0)</f>
        <v>605</v>
      </c>
      <c r="E342" s="52" t="n">
        <f aca="false">ROUND(S342,0)-D342</f>
        <v>585</v>
      </c>
      <c r="F342" s="52" t="n">
        <f aca="false">IF(COUNTA(D342:E342)=0,"",SUM(D342:E342))</f>
        <v>1190</v>
      </c>
      <c r="G342" s="53" t="n">
        <f aca="false">IF(OR(F342="",F342=0),"",D342/F342)</f>
        <v>0.508403361344538</v>
      </c>
      <c r="H342" s="53" t="n">
        <f aca="false">IF(OR(F342="",F342=0),"",E342/F342)</f>
        <v>0.491596638655462</v>
      </c>
      <c r="I342" s="25" t="s">
        <v>231</v>
      </c>
      <c r="J342" s="28" t="n">
        <v>2.08262589216041</v>
      </c>
      <c r="K342" s="28" t="n">
        <f aca="false">$K$8</f>
        <v>0.297938238782275</v>
      </c>
      <c r="L342" s="28" t="n">
        <f aca="false">SQRT(J342^2+K342^2)</f>
        <v>2.1038293183682</v>
      </c>
      <c r="M342" s="53" t="n">
        <f aca="false">IF(G342="","",MAX(0,G342-1.96*L342/100))</f>
        <v>0.467168306704521</v>
      </c>
      <c r="N342" s="53" t="n">
        <f aca="false">IF(G342="","",MIN(1,G342+1.96*L342/100))</f>
        <v>0.549638415984555</v>
      </c>
      <c r="O342" s="52" t="n">
        <f aca="false">ROUND(S342*W342,0)</f>
        <v>82</v>
      </c>
      <c r="P342" s="52" t="n">
        <f aca="false">IF(F342="","",ROUND(SQRT((F342*L342/100)^2+(G342*O342)^2),0))</f>
        <v>49</v>
      </c>
      <c r="R342" s="54" t="n">
        <v>-0.3619243758791</v>
      </c>
      <c r="S342" s="55" t="n">
        <f aca="false">U342*V342*$F$5</f>
        <v>1190.2119157459</v>
      </c>
      <c r="T342" s="56" t="n">
        <f aca="false">MAX(0,MIN(1,R342/100+$D$5))</f>
        <v>0.508374170759974</v>
      </c>
      <c r="U342" s="56" t="n">
        <v>0.60792399109143</v>
      </c>
      <c r="V342" s="55" t="n">
        <v>1957.83014519475</v>
      </c>
      <c r="W342" s="56" t="n">
        <v>0.0684752145190268</v>
      </c>
      <c r="X342" s="57" t="s">
        <v>168</v>
      </c>
      <c r="Y342" s="57" t="s">
        <v>233</v>
      </c>
    </row>
    <row r="343" customFormat="false" ht="15" hidden="false" customHeight="false" outlineLevel="0" collapsed="false">
      <c r="A343" s="25" t="s">
        <v>385</v>
      </c>
      <c r="B343" s="25" t="s">
        <v>516</v>
      </c>
      <c r="C343" s="25" t="s">
        <v>520</v>
      </c>
      <c r="D343" s="52" t="n">
        <f aca="false">ROUND(S343*T343,0)</f>
        <v>740</v>
      </c>
      <c r="E343" s="52" t="n">
        <f aca="false">ROUND(S343,0)-D343</f>
        <v>663</v>
      </c>
      <c r="F343" s="52" t="n">
        <f aca="false">IF(COUNTA(D343:E343)=0,"",SUM(D343:E343))</f>
        <v>1403</v>
      </c>
      <c r="G343" s="53" t="n">
        <f aca="false">IF(OR(F343="",F343=0),"",D343/F343)</f>
        <v>0.52744119743407</v>
      </c>
      <c r="H343" s="53" t="n">
        <f aca="false">IF(OR(F343="",F343=0),"",E343/F343)</f>
        <v>0.47255880256593</v>
      </c>
      <c r="I343" s="25" t="s">
        <v>128</v>
      </c>
      <c r="J343" s="28" t="n">
        <v>2.08262589216041</v>
      </c>
      <c r="K343" s="28" t="n">
        <f aca="false">$K$8</f>
        <v>0.297938238782275</v>
      </c>
      <c r="L343" s="28" t="n">
        <f aca="false">SQRT(J343^2+K343^2)</f>
        <v>2.1038293183682</v>
      </c>
      <c r="M343" s="53" t="n">
        <f aca="false">IF(G343="","",MAX(0,G343-1.96*L343/100))</f>
        <v>0.486206142794053</v>
      </c>
      <c r="N343" s="53" t="n">
        <f aca="false">IF(G343="","",MIN(1,G343+1.96*L343/100))</f>
        <v>0.568676252074087</v>
      </c>
      <c r="O343" s="52" t="n">
        <f aca="false">ROUND(S343*W343,0)</f>
        <v>96</v>
      </c>
      <c r="P343" s="52" t="n">
        <f aca="false">IF(F343="","",ROUND(SQRT((F343*L343/100)^2+(G343*O343)^2),0))</f>
        <v>59</v>
      </c>
      <c r="R343" s="54" t="n">
        <v>1.56820638398826</v>
      </c>
      <c r="S343" s="55" t="n">
        <f aca="false">U343*V343*$F$5</f>
        <v>1402.88532351394</v>
      </c>
      <c r="T343" s="56" t="n">
        <f aca="false">MAX(0,MIN(1,R343/100+$D$5))</f>
        <v>0.527675478358647</v>
      </c>
      <c r="U343" s="56" t="n">
        <v>0.608627038400842</v>
      </c>
      <c r="V343" s="55" t="n">
        <v>2305</v>
      </c>
      <c r="W343" s="56" t="n">
        <v>0.0684752145190268</v>
      </c>
      <c r="X343" s="57" t="s">
        <v>168</v>
      </c>
      <c r="Y343" s="57" t="s">
        <v>130</v>
      </c>
    </row>
    <row r="344" customFormat="false" ht="15" hidden="false" customHeight="false" outlineLevel="0" collapsed="false">
      <c r="A344" s="25" t="s">
        <v>385</v>
      </c>
      <c r="B344" s="25" t="s">
        <v>516</v>
      </c>
      <c r="C344" s="25" t="s">
        <v>521</v>
      </c>
      <c r="D344" s="52" t="n">
        <f aca="false">ROUND(S344*T344,0)</f>
        <v>627</v>
      </c>
      <c r="E344" s="52" t="n">
        <f aca="false">ROUND(S344,0)-D344</f>
        <v>643</v>
      </c>
      <c r="F344" s="52" t="n">
        <f aca="false">IF(COUNTA(D344:E344)=0,"",SUM(D344:E344))</f>
        <v>1270</v>
      </c>
      <c r="G344" s="53" t="n">
        <f aca="false">IF(OR(F344="",F344=0),"",D344/F344)</f>
        <v>0.493700787401575</v>
      </c>
      <c r="H344" s="53" t="n">
        <f aca="false">IF(OR(F344="",F344=0),"",E344/F344)</f>
        <v>0.506299212598425</v>
      </c>
      <c r="I344" s="25" t="s">
        <v>128</v>
      </c>
      <c r="J344" s="28" t="n">
        <v>2.08262589216041</v>
      </c>
      <c r="K344" s="28" t="n">
        <f aca="false">$K$8</f>
        <v>0.297938238782275</v>
      </c>
      <c r="L344" s="28" t="n">
        <f aca="false">SQRT(J344^2+K344^2)</f>
        <v>2.1038293183682</v>
      </c>
      <c r="M344" s="53" t="n">
        <f aca="false">IF(G344="","",MAX(0,G344-1.96*L344/100))</f>
        <v>0.452465732761558</v>
      </c>
      <c r="N344" s="53" t="n">
        <f aca="false">IF(G344="","",MIN(1,G344+1.96*L344/100))</f>
        <v>0.534935842041592</v>
      </c>
      <c r="O344" s="52" t="n">
        <f aca="false">ROUND(S344*W344,0)</f>
        <v>87</v>
      </c>
      <c r="P344" s="52" t="n">
        <f aca="false">IF(F344="","",ROUND(SQRT((F344*L344/100)^2+(G344*O344)^2),0))</f>
        <v>51</v>
      </c>
      <c r="R344" s="54" t="n">
        <v>-1.83568363301244</v>
      </c>
      <c r="S344" s="55" t="n">
        <f aca="false">U344*V344*$F$5</f>
        <v>1270.0390625</v>
      </c>
      <c r="T344" s="56" t="n">
        <f aca="false">MAX(0,MIN(1,R344/100+$D$5))</f>
        <v>0.49363657818864</v>
      </c>
      <c r="U344" s="56" t="n">
        <v>0.595703125</v>
      </c>
      <c r="V344" s="55" t="n">
        <v>2132</v>
      </c>
      <c r="W344" s="56" t="n">
        <v>0.0684752145190268</v>
      </c>
      <c r="X344" s="57" t="s">
        <v>168</v>
      </c>
      <c r="Y344" s="57" t="s">
        <v>130</v>
      </c>
    </row>
    <row r="345" customFormat="false" ht="15" hidden="false" customHeight="false" outlineLevel="0" collapsed="false">
      <c r="A345" s="25" t="s">
        <v>385</v>
      </c>
      <c r="B345" s="25" t="s">
        <v>516</v>
      </c>
      <c r="C345" s="25" t="s">
        <v>522</v>
      </c>
      <c r="D345" s="52" t="n">
        <f aca="false">ROUND(S345*T345,0)</f>
        <v>623</v>
      </c>
      <c r="E345" s="52" t="n">
        <f aca="false">ROUND(S345,0)-D345</f>
        <v>619</v>
      </c>
      <c r="F345" s="52" t="n">
        <f aca="false">IF(COUNTA(D345:E345)=0,"",SUM(D345:E345))</f>
        <v>1242</v>
      </c>
      <c r="G345" s="53" t="n">
        <f aca="false">IF(OR(F345="",F345=0),"",D345/F345)</f>
        <v>0.501610305958132</v>
      </c>
      <c r="H345" s="53" t="n">
        <f aca="false">IF(OR(F345="",F345=0),"",E345/F345)</f>
        <v>0.498389694041868</v>
      </c>
      <c r="I345" s="25" t="s">
        <v>128</v>
      </c>
      <c r="J345" s="28" t="n">
        <v>2.08262589216041</v>
      </c>
      <c r="K345" s="28" t="n">
        <f aca="false">$K$8</f>
        <v>0.297938238782275</v>
      </c>
      <c r="L345" s="28" t="n">
        <f aca="false">SQRT(J345^2+K345^2)</f>
        <v>2.1038293183682</v>
      </c>
      <c r="M345" s="53" t="n">
        <f aca="false">IF(G345="","",MAX(0,G345-1.96*L345/100))</f>
        <v>0.460375251318115</v>
      </c>
      <c r="N345" s="53" t="n">
        <f aca="false">IF(G345="","",MIN(1,G345+1.96*L345/100))</f>
        <v>0.542845360598149</v>
      </c>
      <c r="O345" s="52" t="n">
        <f aca="false">ROUND(S345*W345,0)</f>
        <v>85</v>
      </c>
      <c r="P345" s="52" t="n">
        <f aca="false">IF(F345="","",ROUND(SQRT((F345*L345/100)^2+(G345*O345)^2),0))</f>
        <v>50</v>
      </c>
      <c r="R345" s="54" t="n">
        <v>-1.00077715886557</v>
      </c>
      <c r="S345" s="55" t="n">
        <f aca="false">U345*V345*$F$5</f>
        <v>1241.83236382866</v>
      </c>
      <c r="T345" s="56" t="n">
        <f aca="false">MAX(0,MIN(1,R345/100+$D$5))</f>
        <v>0.501985642930109</v>
      </c>
      <c r="U345" s="56" t="n">
        <v>0.687995769434162</v>
      </c>
      <c r="V345" s="55" t="n">
        <v>1805</v>
      </c>
      <c r="W345" s="56" t="n">
        <v>0.0684752145190268</v>
      </c>
      <c r="X345" s="57" t="s">
        <v>168</v>
      </c>
      <c r="Y345" s="57" t="s">
        <v>130</v>
      </c>
    </row>
    <row r="346" customFormat="false" ht="15" hidden="false" customHeight="false" outlineLevel="0" collapsed="false">
      <c r="A346" s="25" t="s">
        <v>385</v>
      </c>
      <c r="B346" s="25" t="s">
        <v>516</v>
      </c>
      <c r="C346" s="25" t="s">
        <v>523</v>
      </c>
      <c r="D346" s="52" t="n">
        <f aca="false">ROUND(S346*T346,0)</f>
        <v>555</v>
      </c>
      <c r="E346" s="52" t="n">
        <f aca="false">ROUND(S346,0)-D346</f>
        <v>502</v>
      </c>
      <c r="F346" s="52" t="n">
        <f aca="false">IF(COUNTA(D346:E346)=0,"",SUM(D346:E346))</f>
        <v>1057</v>
      </c>
      <c r="G346" s="53" t="n">
        <f aca="false">IF(OR(F346="",F346=0),"",D346/F346)</f>
        <v>0.525070955534532</v>
      </c>
      <c r="H346" s="53" t="n">
        <f aca="false">IF(OR(F346="",F346=0),"",E346/F346)</f>
        <v>0.474929044465468</v>
      </c>
      <c r="I346" s="25" t="s">
        <v>231</v>
      </c>
      <c r="J346" s="28" t="n">
        <v>2.08262589216041</v>
      </c>
      <c r="K346" s="28" t="n">
        <f aca="false">$K$8</f>
        <v>0.297938238782275</v>
      </c>
      <c r="L346" s="28" t="n">
        <f aca="false">SQRT(J346^2+K346^2)</f>
        <v>2.1038293183682</v>
      </c>
      <c r="M346" s="53" t="n">
        <f aca="false">IF(G346="","",MAX(0,G346-1.96*L346/100))</f>
        <v>0.483835900894515</v>
      </c>
      <c r="N346" s="53" t="n">
        <f aca="false">IF(G346="","",MIN(1,G346+1.96*L346/100))</f>
        <v>0.566306010174548</v>
      </c>
      <c r="O346" s="52" t="n">
        <f aca="false">ROUND(S346*W346,0)</f>
        <v>72</v>
      </c>
      <c r="P346" s="52" t="n">
        <f aca="false">IF(F346="","",ROUND(SQRT((F346*L346/100)^2+(G346*O346)^2),0))</f>
        <v>44</v>
      </c>
      <c r="R346" s="54" t="n">
        <v>1.26547949726082</v>
      </c>
      <c r="S346" s="55" t="n">
        <f aca="false">U346*V346*$F$5</f>
        <v>1057.01374184354</v>
      </c>
      <c r="T346" s="56" t="n">
        <f aca="false">MAX(0,MIN(1,R346/100+$D$5))</f>
        <v>0.524648209491373</v>
      </c>
      <c r="U346" s="56" t="n">
        <v>0.539330078320882</v>
      </c>
      <c r="V346" s="55" t="n">
        <v>1959.86425443651</v>
      </c>
      <c r="W346" s="56" t="n">
        <v>0.0684752145190268</v>
      </c>
      <c r="X346" s="57" t="s">
        <v>168</v>
      </c>
      <c r="Y346" s="57" t="s">
        <v>233</v>
      </c>
    </row>
    <row r="347" customFormat="false" ht="15" hidden="false" customHeight="false" outlineLevel="0" collapsed="false">
      <c r="A347" s="25" t="s">
        <v>385</v>
      </c>
      <c r="B347" s="25" t="s">
        <v>516</v>
      </c>
      <c r="C347" s="25" t="s">
        <v>524</v>
      </c>
      <c r="D347" s="52" t="n">
        <f aca="false">ROUND(S347*T347,0)</f>
        <v>228</v>
      </c>
      <c r="E347" s="52" t="n">
        <f aca="false">ROUND(S347,0)-D347</f>
        <v>217</v>
      </c>
      <c r="F347" s="52" t="n">
        <f aca="false">IF(COUNTA(D347:E347)=0,"",SUM(D347:E347))</f>
        <v>445</v>
      </c>
      <c r="G347" s="53" t="n">
        <f aca="false">IF(OR(F347="",F347=0),"",D347/F347)</f>
        <v>0.512359550561798</v>
      </c>
      <c r="H347" s="53" t="n">
        <f aca="false">IF(OR(F347="",F347=0),"",E347/F347)</f>
        <v>0.487640449438202</v>
      </c>
      <c r="I347" s="25" t="s">
        <v>231</v>
      </c>
      <c r="J347" s="28" t="n">
        <v>3.1978281706008</v>
      </c>
      <c r="K347" s="28" t="n">
        <f aca="false">$K$8</f>
        <v>0.297938238782275</v>
      </c>
      <c r="L347" s="28" t="n">
        <f aca="false">SQRT(J347^2+K347^2)</f>
        <v>3.21167747490571</v>
      </c>
      <c r="M347" s="53" t="n">
        <f aca="false">IF(G347="","",MAX(0,G347-1.96*L347/100))</f>
        <v>0.449410672053646</v>
      </c>
      <c r="N347" s="53" t="n">
        <f aca="false">IF(G347="","",MIN(1,G347+1.96*L347/100))</f>
        <v>0.57530842906995</v>
      </c>
      <c r="O347" s="52" t="n">
        <f aca="false">ROUND(S347*W347,0)</f>
        <v>66</v>
      </c>
      <c r="P347" s="52" t="n">
        <f aca="false">IF(F347="","",ROUND(SQRT((F347*L347/100)^2+(G347*O347)^2),0))</f>
        <v>37</v>
      </c>
      <c r="R347" s="54" t="n">
        <v>0.00973139076685028</v>
      </c>
      <c r="S347" s="55" t="n">
        <f aca="false">U347*V347*$F$5</f>
        <v>444.793344999185</v>
      </c>
      <c r="T347" s="56" t="n">
        <f aca="false">MAX(0,MIN(1,R347/100+$D$5))</f>
        <v>0.512090728426433</v>
      </c>
      <c r="U347" s="56" t="n">
        <v>0.252867166002948</v>
      </c>
      <c r="V347" s="55" t="n">
        <v>1759</v>
      </c>
      <c r="W347" s="56" t="n">
        <v>0.148097331980838</v>
      </c>
      <c r="X347" s="57" t="s">
        <v>129</v>
      </c>
      <c r="Y347" s="57" t="s">
        <v>130</v>
      </c>
    </row>
    <row r="348" customFormat="false" ht="15" hidden="false" customHeight="false" outlineLevel="0" collapsed="false">
      <c r="A348" s="25" t="s">
        <v>385</v>
      </c>
      <c r="B348" s="25" t="s">
        <v>516</v>
      </c>
      <c r="C348" s="25" t="s">
        <v>525</v>
      </c>
      <c r="D348" s="52" t="n">
        <f aca="false">ROUND(S348*T348,0)</f>
        <v>537</v>
      </c>
      <c r="E348" s="52" t="n">
        <f aca="false">ROUND(S348,0)-D348</f>
        <v>514</v>
      </c>
      <c r="F348" s="52" t="n">
        <f aca="false">IF(COUNTA(D348:E348)=0,"",SUM(D348:E348))</f>
        <v>1051</v>
      </c>
      <c r="G348" s="53" t="n">
        <f aca="false">IF(OR(F348="",F348=0),"",D348/F348)</f>
        <v>0.510941960038059</v>
      </c>
      <c r="H348" s="53" t="n">
        <f aca="false">IF(OR(F348="",F348=0),"",E348/F348)</f>
        <v>0.489058039961941</v>
      </c>
      <c r="I348" s="25" t="s">
        <v>231</v>
      </c>
      <c r="J348" s="28" t="n">
        <v>2.08262589216041</v>
      </c>
      <c r="K348" s="28" t="n">
        <f aca="false">$K$8</f>
        <v>0.297938238782275</v>
      </c>
      <c r="L348" s="28" t="n">
        <f aca="false">SQRT(J348^2+K348^2)</f>
        <v>2.1038293183682</v>
      </c>
      <c r="M348" s="53" t="n">
        <f aca="false">IF(G348="","",MAX(0,G348-1.96*L348/100))</f>
        <v>0.469706905398042</v>
      </c>
      <c r="N348" s="53" t="n">
        <f aca="false">IF(G348="","",MIN(1,G348+1.96*L348/100))</f>
        <v>0.552177014678076</v>
      </c>
      <c r="O348" s="52" t="n">
        <f aca="false">ROUND(S348*W348,0)</f>
        <v>72</v>
      </c>
      <c r="P348" s="52" t="n">
        <f aca="false">IF(F348="","",ROUND(SQRT((F348*L348/100)^2+(G348*O348)^2),0))</f>
        <v>43</v>
      </c>
      <c r="R348" s="54" t="n">
        <v>-0.070692944627708</v>
      </c>
      <c r="S348" s="55" t="n">
        <f aca="false">U348*V348*$F$5</f>
        <v>1051.11310419537</v>
      </c>
      <c r="T348" s="56" t="n">
        <f aca="false">MAX(0,MIN(1,R348/100+$D$5))</f>
        <v>0.511286485072488</v>
      </c>
      <c r="U348" s="56" t="n">
        <v>0.502924930237018</v>
      </c>
      <c r="V348" s="55" t="n">
        <v>2090</v>
      </c>
      <c r="W348" s="56" t="n">
        <v>0.0684752145190268</v>
      </c>
      <c r="X348" s="57" t="s">
        <v>168</v>
      </c>
      <c r="Y348" s="57" t="s">
        <v>130</v>
      </c>
    </row>
    <row r="349" customFormat="false" ht="15" hidden="false" customHeight="false" outlineLevel="0" collapsed="false">
      <c r="A349" s="25" t="s">
        <v>385</v>
      </c>
      <c r="B349" s="25" t="s">
        <v>526</v>
      </c>
      <c r="C349" s="25" t="s">
        <v>527</v>
      </c>
      <c r="D349" s="52" t="n">
        <f aca="false">ROUND(S349*T349,0)</f>
        <v>81</v>
      </c>
      <c r="E349" s="52" t="n">
        <f aca="false">ROUND(S349,0)-D349</f>
        <v>134</v>
      </c>
      <c r="F349" s="52" t="n">
        <f aca="false">IF(COUNTA(D349:E349)=0,"",SUM(D349:E349))</f>
        <v>215</v>
      </c>
      <c r="G349" s="53" t="n">
        <f aca="false">IF(OR(F349="",F349=0),"",D349/F349)</f>
        <v>0.376744186046512</v>
      </c>
      <c r="H349" s="53" t="n">
        <f aca="false">IF(OR(F349="",F349=0),"",E349/F349)</f>
        <v>0.623255813953488</v>
      </c>
      <c r="I349" s="25" t="s">
        <v>128</v>
      </c>
      <c r="J349" s="28" t="n">
        <v>3.1978281706008</v>
      </c>
      <c r="K349" s="28" t="n">
        <f aca="false">$K$8</f>
        <v>0.297938238782275</v>
      </c>
      <c r="L349" s="28" t="n">
        <f aca="false">SQRT(J349^2+K349^2)</f>
        <v>3.21167747490571</v>
      </c>
      <c r="M349" s="53" t="n">
        <f aca="false">IF(G349="","",MAX(0,G349-1.96*L349/100))</f>
        <v>0.31379530753836</v>
      </c>
      <c r="N349" s="53" t="n">
        <f aca="false">IF(G349="","",MIN(1,G349+1.96*L349/100))</f>
        <v>0.439693064554664</v>
      </c>
      <c r="O349" s="52" t="n">
        <f aca="false">ROUND(S349*W349,0)</f>
        <v>32</v>
      </c>
      <c r="P349" s="52" t="n">
        <f aca="false">IF(F349="","",ROUND(SQRT((F349*L349/100)^2+(G349*O349)^2),0))</f>
        <v>14</v>
      </c>
      <c r="R349" s="54" t="n">
        <v>-13.3607394122694</v>
      </c>
      <c r="S349" s="55" t="n">
        <f aca="false">U349*V349*$F$5</f>
        <v>214.558510638298</v>
      </c>
      <c r="T349" s="56" t="n">
        <f aca="false">MAX(0,MIN(1,R349/100+$D$5))</f>
        <v>0.378386020396071</v>
      </c>
      <c r="U349" s="56" t="n">
        <v>0.513297872340426</v>
      </c>
      <c r="V349" s="55" t="n">
        <v>418</v>
      </c>
      <c r="W349" s="56" t="n">
        <v>0.148097331980838</v>
      </c>
      <c r="X349" s="57" t="s">
        <v>129</v>
      </c>
      <c r="Y349" s="57" t="s">
        <v>130</v>
      </c>
    </row>
    <row r="350" customFormat="false" ht="15" hidden="false" customHeight="false" outlineLevel="0" collapsed="false">
      <c r="A350" s="25" t="s">
        <v>385</v>
      </c>
      <c r="B350" s="25" t="s">
        <v>526</v>
      </c>
      <c r="C350" s="25" t="s">
        <v>528</v>
      </c>
      <c r="D350" s="52" t="n">
        <f aca="false">ROUND(S350*T350,0)</f>
        <v>203</v>
      </c>
      <c r="E350" s="52" t="n">
        <f aca="false">ROUND(S350,0)-D350</f>
        <v>360</v>
      </c>
      <c r="F350" s="52" t="n">
        <f aca="false">IF(COUNTA(D350:E350)=0,"",SUM(D350:E350))</f>
        <v>563</v>
      </c>
      <c r="G350" s="53" t="n">
        <f aca="false">IF(OR(F350="",F350=0),"",D350/F350)</f>
        <v>0.36056838365897</v>
      </c>
      <c r="H350" s="53" t="n">
        <f aca="false">IF(OR(F350="",F350=0),"",E350/F350)</f>
        <v>0.63943161634103</v>
      </c>
      <c r="I350" s="25" t="s">
        <v>128</v>
      </c>
      <c r="J350" s="28" t="n">
        <v>3.1978281706008</v>
      </c>
      <c r="K350" s="28" t="n">
        <f aca="false">$K$8</f>
        <v>0.297938238782275</v>
      </c>
      <c r="L350" s="28" t="n">
        <f aca="false">SQRT(J350^2+K350^2)</f>
        <v>3.21167747490571</v>
      </c>
      <c r="M350" s="53" t="n">
        <f aca="false">IF(G350="","",MAX(0,G350-1.96*L350/100))</f>
        <v>0.297619505150818</v>
      </c>
      <c r="N350" s="53" t="n">
        <f aca="false">IF(G350="","",MIN(1,G350+1.96*L350/100))</f>
        <v>0.423517262167122</v>
      </c>
      <c r="O350" s="52" t="n">
        <f aca="false">ROUND(S350*W350,0)</f>
        <v>83</v>
      </c>
      <c r="P350" s="52" t="n">
        <f aca="false">IF(F350="","",ROUND(SQRT((F350*L350/100)^2+(G350*O350)^2),0))</f>
        <v>35</v>
      </c>
      <c r="R350" s="54" t="n">
        <v>-15.0980500169068</v>
      </c>
      <c r="S350" s="55" t="n">
        <f aca="false">U350*V350*$F$5</f>
        <v>562.888888888889</v>
      </c>
      <c r="T350" s="56" t="n">
        <f aca="false">MAX(0,MIN(1,R350/100+$D$5))</f>
        <v>0.361012914349696</v>
      </c>
      <c r="U350" s="56" t="n">
        <v>0.62962962962963</v>
      </c>
      <c r="V350" s="55" t="n">
        <v>894</v>
      </c>
      <c r="W350" s="56" t="n">
        <v>0.148097331980838</v>
      </c>
      <c r="X350" s="57" t="s">
        <v>129</v>
      </c>
      <c r="Y350" s="57" t="s">
        <v>130</v>
      </c>
    </row>
    <row r="351" customFormat="false" ht="15" hidden="false" customHeight="false" outlineLevel="0" collapsed="false">
      <c r="A351" s="25" t="s">
        <v>385</v>
      </c>
      <c r="B351" s="25" t="s">
        <v>526</v>
      </c>
      <c r="C351" s="25" t="s">
        <v>529</v>
      </c>
      <c r="D351" s="52" t="n">
        <f aca="false">ROUND(S351*T351,0)</f>
        <v>147</v>
      </c>
      <c r="E351" s="52" t="n">
        <f aca="false">ROUND(S351,0)-D351</f>
        <v>215</v>
      </c>
      <c r="F351" s="52" t="n">
        <f aca="false">IF(COUNTA(D351:E351)=0,"",SUM(D351:E351))</f>
        <v>362</v>
      </c>
      <c r="G351" s="53" t="n">
        <f aca="false">IF(OR(F351="",F351=0),"",D351/F351)</f>
        <v>0.406077348066298</v>
      </c>
      <c r="H351" s="53" t="n">
        <f aca="false">IF(OR(F351="",F351=0),"",E351/F351)</f>
        <v>0.593922651933702</v>
      </c>
      <c r="I351" s="25" t="s">
        <v>128</v>
      </c>
      <c r="J351" s="28" t="n">
        <v>3.1978281706008</v>
      </c>
      <c r="K351" s="28" t="n">
        <f aca="false">$K$8</f>
        <v>0.297938238782275</v>
      </c>
      <c r="L351" s="28" t="n">
        <f aca="false">SQRT(J351^2+K351^2)</f>
        <v>3.21167747490571</v>
      </c>
      <c r="M351" s="53" t="n">
        <f aca="false">IF(G351="","",MAX(0,G351-1.96*L351/100))</f>
        <v>0.343128469558146</v>
      </c>
      <c r="N351" s="53" t="n">
        <f aca="false">IF(G351="","",MIN(1,G351+1.96*L351/100))</f>
        <v>0.46902622657445</v>
      </c>
      <c r="O351" s="52" t="n">
        <f aca="false">ROUND(S351*W351,0)</f>
        <v>54</v>
      </c>
      <c r="P351" s="52" t="n">
        <f aca="false">IF(F351="","",ROUND(SQRT((F351*L351/100)^2+(G351*O351)^2),0))</f>
        <v>25</v>
      </c>
      <c r="R351" s="54" t="n">
        <v>-10.5507822308158</v>
      </c>
      <c r="S351" s="55" t="n">
        <f aca="false">U351*V351*$F$5</f>
        <v>362.264705882353</v>
      </c>
      <c r="T351" s="56" t="n">
        <f aca="false">MAX(0,MIN(1,R351/100+$D$5))</f>
        <v>0.406485592210607</v>
      </c>
      <c r="U351" s="56" t="n">
        <v>0.553921568627451</v>
      </c>
      <c r="V351" s="55" t="n">
        <v>654</v>
      </c>
      <c r="W351" s="56" t="n">
        <v>0.148097331980838</v>
      </c>
      <c r="X351" s="57" t="s">
        <v>129</v>
      </c>
      <c r="Y351" s="57" t="s">
        <v>130</v>
      </c>
    </row>
    <row r="352" customFormat="false" ht="15" hidden="false" customHeight="false" outlineLevel="0" collapsed="false">
      <c r="A352" s="25" t="s">
        <v>385</v>
      </c>
      <c r="B352" s="25" t="s">
        <v>526</v>
      </c>
      <c r="C352" s="25" t="s">
        <v>530</v>
      </c>
      <c r="D352" s="52" t="n">
        <f aca="false">ROUND(S352*T352,0)</f>
        <v>89</v>
      </c>
      <c r="E352" s="52" t="n">
        <f aca="false">ROUND(S352,0)-D352</f>
        <v>127</v>
      </c>
      <c r="F352" s="52" t="n">
        <f aca="false">IF(COUNTA(D352:E352)=0,"",SUM(D352:E352))</f>
        <v>216</v>
      </c>
      <c r="G352" s="53" t="n">
        <f aca="false">IF(OR(F352="",F352=0),"",D352/F352)</f>
        <v>0.412037037037037</v>
      </c>
      <c r="H352" s="53" t="n">
        <f aca="false">IF(OR(F352="",F352=0),"",E352/F352)</f>
        <v>0.587962962962963</v>
      </c>
      <c r="I352" s="25" t="s">
        <v>128</v>
      </c>
      <c r="J352" s="28" t="n">
        <v>3.1978281706008</v>
      </c>
      <c r="K352" s="28" t="n">
        <f aca="false">$K$8</f>
        <v>0.297938238782275</v>
      </c>
      <c r="L352" s="28" t="n">
        <f aca="false">SQRT(J352^2+K352^2)</f>
        <v>3.21167747490571</v>
      </c>
      <c r="M352" s="53" t="n">
        <f aca="false">IF(G352="","",MAX(0,G352-1.96*L352/100))</f>
        <v>0.349088158528885</v>
      </c>
      <c r="N352" s="53" t="n">
        <f aca="false">IF(G352="","",MIN(1,G352+1.96*L352/100))</f>
        <v>0.474985915545189</v>
      </c>
      <c r="O352" s="52" t="n">
        <f aca="false">ROUND(S352*W352,0)</f>
        <v>32</v>
      </c>
      <c r="P352" s="52" t="n">
        <f aca="false">IF(F352="","",ROUND(SQRT((F352*L352/100)^2+(G352*O352)^2),0))</f>
        <v>15</v>
      </c>
      <c r="R352" s="54" t="n">
        <v>-10.0645538934681</v>
      </c>
      <c r="S352" s="55" t="n">
        <f aca="false">U352*V352*$F$5</f>
        <v>215.962962962963</v>
      </c>
      <c r="T352" s="56" t="n">
        <f aca="false">MAX(0,MIN(1,R352/100+$D$5))</f>
        <v>0.411347875584084</v>
      </c>
      <c r="U352" s="56" t="n">
        <v>0.453703703703704</v>
      </c>
      <c r="V352" s="55" t="n">
        <v>476</v>
      </c>
      <c r="W352" s="56" t="n">
        <v>0.148097331980838</v>
      </c>
      <c r="X352" s="57" t="s">
        <v>129</v>
      </c>
      <c r="Y352" s="57" t="s">
        <v>130</v>
      </c>
    </row>
    <row r="353" customFormat="false" ht="15" hidden="false" customHeight="false" outlineLevel="0" collapsed="false">
      <c r="A353" s="25" t="s">
        <v>385</v>
      </c>
      <c r="B353" s="25" t="s">
        <v>531</v>
      </c>
      <c r="C353" s="25" t="s">
        <v>532</v>
      </c>
      <c r="D353" s="52" t="n">
        <f aca="false">ROUND(S353*T353,0)</f>
        <v>334</v>
      </c>
      <c r="E353" s="52" t="n">
        <f aca="false">ROUND(S353,0)-D353</f>
        <v>617</v>
      </c>
      <c r="F353" s="52" t="n">
        <f aca="false">IF(COUNTA(D353:E353)=0,"",SUM(D353:E353))</f>
        <v>951</v>
      </c>
      <c r="G353" s="53" t="n">
        <f aca="false">IF(OR(F353="",F353=0),"",D353/F353)</f>
        <v>0.351209253417455</v>
      </c>
      <c r="H353" s="53" t="n">
        <f aca="false">IF(OR(F353="",F353=0),"",E353/F353)</f>
        <v>0.648790746582545</v>
      </c>
      <c r="I353" s="25" t="s">
        <v>128</v>
      </c>
      <c r="J353" s="28" t="n">
        <v>2.08262589216041</v>
      </c>
      <c r="K353" s="28" t="n">
        <f aca="false">$K$8</f>
        <v>0.297938238782275</v>
      </c>
      <c r="L353" s="28" t="n">
        <f aca="false">SQRT(J353^2+K353^2)</f>
        <v>2.1038293183682</v>
      </c>
      <c r="M353" s="53" t="n">
        <f aca="false">IF(G353="","",MAX(0,G353-1.96*L353/100))</f>
        <v>0.309974198777439</v>
      </c>
      <c r="N353" s="53" t="n">
        <f aca="false">IF(G353="","",MIN(1,G353+1.96*L353/100))</f>
        <v>0.392444308057472</v>
      </c>
      <c r="O353" s="52" t="n">
        <f aca="false">ROUND(S353*W353,0)</f>
        <v>65</v>
      </c>
      <c r="P353" s="52" t="n">
        <f aca="false">IF(F353="","",ROUND(SQRT((F353*L353/100)^2+(G353*O353)^2),0))</f>
        <v>30</v>
      </c>
      <c r="R353" s="54" t="n">
        <v>-16.0723007922028</v>
      </c>
      <c r="S353" s="55" t="n">
        <f aca="false">U353*V353*$F$5</f>
        <v>951.480446927374</v>
      </c>
      <c r="T353" s="56" t="n">
        <f aca="false">MAX(0,MIN(1,R353/100+$D$5))</f>
        <v>0.351270406596737</v>
      </c>
      <c r="U353" s="56" t="n">
        <v>0.642458100558659</v>
      </c>
      <c r="V353" s="55" t="n">
        <v>1481</v>
      </c>
      <c r="W353" s="56" t="n">
        <v>0.0684752145190268</v>
      </c>
      <c r="X353" s="57" t="s">
        <v>168</v>
      </c>
      <c r="Y353" s="57" t="s">
        <v>130</v>
      </c>
    </row>
    <row r="354" customFormat="false" ht="15" hidden="false" customHeight="false" outlineLevel="0" collapsed="false">
      <c r="A354" s="25" t="s">
        <v>385</v>
      </c>
      <c r="B354" s="25" t="s">
        <v>531</v>
      </c>
      <c r="C354" s="25" t="s">
        <v>533</v>
      </c>
      <c r="D354" s="52" t="n">
        <f aca="false">ROUND(S354*T354,0)</f>
        <v>273</v>
      </c>
      <c r="E354" s="52" t="n">
        <f aca="false">ROUND(S354,0)-D354</f>
        <v>476</v>
      </c>
      <c r="F354" s="52" t="n">
        <f aca="false">IF(COUNTA(D354:E354)=0,"",SUM(D354:E354))</f>
        <v>749</v>
      </c>
      <c r="G354" s="53" t="n">
        <f aca="false">IF(OR(F354="",F354=0),"",D354/F354)</f>
        <v>0.364485981308411</v>
      </c>
      <c r="H354" s="53" t="n">
        <f aca="false">IF(OR(F354="",F354=0),"",E354/F354)</f>
        <v>0.635514018691589</v>
      </c>
      <c r="I354" s="25" t="s">
        <v>128</v>
      </c>
      <c r="J354" s="28" t="n">
        <v>2.22489971008846</v>
      </c>
      <c r="K354" s="28" t="n">
        <f aca="false">$K$8</f>
        <v>0.297938238782275</v>
      </c>
      <c r="L354" s="28" t="n">
        <f aca="false">SQRT(J354^2+K354^2)</f>
        <v>2.24475965619494</v>
      </c>
      <c r="M354" s="53" t="n">
        <f aca="false">IF(G354="","",MAX(0,G354-1.96*L354/100))</f>
        <v>0.32048869204699</v>
      </c>
      <c r="N354" s="53" t="n">
        <f aca="false">IF(G354="","",MIN(1,G354+1.96*L354/100))</f>
        <v>0.408483270569832</v>
      </c>
      <c r="O354" s="52" t="n">
        <f aca="false">ROUND(S354*W354,0)</f>
        <v>66</v>
      </c>
      <c r="P354" s="52" t="n">
        <f aca="false">IF(F354="","",ROUND(SQRT((F354*L354/100)^2+(G354*O354)^2),0))</f>
        <v>29</v>
      </c>
      <c r="R354" s="54" t="n">
        <v>-14.7664914828985</v>
      </c>
      <c r="S354" s="55" t="n">
        <f aca="false">U354*V354*$F$5</f>
        <v>748.801666666667</v>
      </c>
      <c r="T354" s="56" t="n">
        <f aca="false">MAX(0,MIN(1,R354/100+$D$5))</f>
        <v>0.36432849968978</v>
      </c>
      <c r="U354" s="56" t="n">
        <v>0.618333333333333</v>
      </c>
      <c r="V354" s="55" t="n">
        <v>1211</v>
      </c>
      <c r="W354" s="56" t="n">
        <v>0.0887445098984521</v>
      </c>
      <c r="X354" s="57" t="s">
        <v>135</v>
      </c>
      <c r="Y354" s="57" t="s">
        <v>130</v>
      </c>
    </row>
    <row r="355" customFormat="false" ht="15" hidden="false" customHeight="false" outlineLevel="0" collapsed="false">
      <c r="A355" s="25" t="s">
        <v>385</v>
      </c>
      <c r="B355" s="25" t="s">
        <v>531</v>
      </c>
      <c r="C355" s="25" t="s">
        <v>534</v>
      </c>
      <c r="D355" s="52" t="n">
        <f aca="false">ROUND(S355*T355,0)</f>
        <v>239</v>
      </c>
      <c r="E355" s="52" t="n">
        <f aca="false">ROUND(S355,0)-D355</f>
        <v>468</v>
      </c>
      <c r="F355" s="52" t="n">
        <f aca="false">IF(COUNTA(D355:E355)=0,"",SUM(D355:E355))</f>
        <v>707</v>
      </c>
      <c r="G355" s="53" t="n">
        <f aca="false">IF(OR(F355="",F355=0),"",D355/F355)</f>
        <v>0.338048090523338</v>
      </c>
      <c r="H355" s="53" t="n">
        <f aca="false">IF(OR(F355="",F355=0),"",E355/F355)</f>
        <v>0.661951909476662</v>
      </c>
      <c r="I355" s="25" t="s">
        <v>128</v>
      </c>
      <c r="J355" s="28" t="n">
        <v>2.22489971008846</v>
      </c>
      <c r="K355" s="28" t="n">
        <f aca="false">$K$8</f>
        <v>0.297938238782275</v>
      </c>
      <c r="L355" s="28" t="n">
        <f aca="false">SQRT(J355^2+K355^2)</f>
        <v>2.24475965619494</v>
      </c>
      <c r="M355" s="53" t="n">
        <f aca="false">IF(G355="","",MAX(0,G355-1.96*L355/100))</f>
        <v>0.294050801261917</v>
      </c>
      <c r="N355" s="53" t="n">
        <f aca="false">IF(G355="","",MIN(1,G355+1.96*L355/100))</f>
        <v>0.382045379784759</v>
      </c>
      <c r="O355" s="52" t="n">
        <f aca="false">ROUND(S355*W355,0)</f>
        <v>63</v>
      </c>
      <c r="P355" s="52" t="n">
        <f aca="false">IF(F355="","",ROUND(SQRT((F355*L355/100)^2+(G355*O355)^2),0))</f>
        <v>27</v>
      </c>
      <c r="R355" s="54" t="n">
        <v>-17.3810376312926</v>
      </c>
      <c r="S355" s="55" t="n">
        <f aca="false">U355*V355*$F$5</f>
        <v>707.096134786918</v>
      </c>
      <c r="T355" s="56" t="n">
        <f aca="false">MAX(0,MIN(1,R355/100+$D$5))</f>
        <v>0.338183038205839</v>
      </c>
      <c r="U355" s="56" t="n">
        <v>0.698711595639247</v>
      </c>
      <c r="V355" s="55" t="n">
        <v>1012</v>
      </c>
      <c r="W355" s="56" t="n">
        <v>0.0887445098984521</v>
      </c>
      <c r="X355" s="57" t="s">
        <v>135</v>
      </c>
      <c r="Y355" s="57" t="s">
        <v>130</v>
      </c>
    </row>
    <row r="356" customFormat="false" ht="15" hidden="false" customHeight="false" outlineLevel="0" collapsed="false">
      <c r="A356" s="25" t="s">
        <v>385</v>
      </c>
      <c r="B356" s="25" t="s">
        <v>531</v>
      </c>
      <c r="C356" s="25" t="s">
        <v>535</v>
      </c>
      <c r="D356" s="52" t="n">
        <f aca="false">ROUND(S356*T356,0)</f>
        <v>244</v>
      </c>
      <c r="E356" s="52" t="n">
        <f aca="false">ROUND(S356,0)-D356</f>
        <v>469</v>
      </c>
      <c r="F356" s="52" t="n">
        <f aca="false">IF(COUNTA(D356:E356)=0,"",SUM(D356:E356))</f>
        <v>713</v>
      </c>
      <c r="G356" s="53" t="n">
        <f aca="false">IF(OR(F356="",F356=0),"",D356/F356)</f>
        <v>0.342215988779804</v>
      </c>
      <c r="H356" s="53" t="n">
        <f aca="false">IF(OR(F356="",F356=0),"",E356/F356)</f>
        <v>0.657784011220196</v>
      </c>
      <c r="I356" s="25" t="s">
        <v>128</v>
      </c>
      <c r="J356" s="28" t="n">
        <v>2.22489971008846</v>
      </c>
      <c r="K356" s="28" t="n">
        <f aca="false">$K$8</f>
        <v>0.297938238782275</v>
      </c>
      <c r="L356" s="28" t="n">
        <f aca="false">SQRT(J356^2+K356^2)</f>
        <v>2.24475965619494</v>
      </c>
      <c r="M356" s="53" t="n">
        <f aca="false">IF(G356="","",MAX(0,G356-1.96*L356/100))</f>
        <v>0.298218699518383</v>
      </c>
      <c r="N356" s="53" t="n">
        <f aca="false">IF(G356="","",MIN(1,G356+1.96*L356/100))</f>
        <v>0.386213278041224</v>
      </c>
      <c r="O356" s="52" t="n">
        <f aca="false">ROUND(S356*W356,0)</f>
        <v>63</v>
      </c>
      <c r="P356" s="52" t="n">
        <f aca="false">IF(F356="","",ROUND(SQRT((F356*L356/100)^2+(G356*O356)^2),0))</f>
        <v>27</v>
      </c>
      <c r="R356" s="54" t="n">
        <v>-16.9459856994195</v>
      </c>
      <c r="S356" s="55" t="n">
        <f aca="false">U356*V356*$F$5</f>
        <v>713.433121019108</v>
      </c>
      <c r="T356" s="56" t="n">
        <f aca="false">MAX(0,MIN(1,R356/100+$D$5))</f>
        <v>0.34253355752457</v>
      </c>
      <c r="U356" s="56" t="n">
        <v>0.643312101910828</v>
      </c>
      <c r="V356" s="55" t="n">
        <v>1109</v>
      </c>
      <c r="W356" s="56" t="n">
        <v>0.0887445098984521</v>
      </c>
      <c r="X356" s="57" t="s">
        <v>135</v>
      </c>
      <c r="Y356" s="57" t="s">
        <v>130</v>
      </c>
    </row>
    <row r="357" customFormat="false" ht="15" hidden="false" customHeight="false" outlineLevel="0" collapsed="false">
      <c r="A357" s="25" t="s">
        <v>385</v>
      </c>
      <c r="B357" s="25" t="s">
        <v>536</v>
      </c>
      <c r="C357" s="25" t="s">
        <v>537</v>
      </c>
      <c r="D357" s="52" t="n">
        <f aca="false">ROUND(S357*T357,0)</f>
        <v>68</v>
      </c>
      <c r="E357" s="52" t="n">
        <f aca="false">ROUND(S357,0)-D357</f>
        <v>128</v>
      </c>
      <c r="F357" s="52" t="n">
        <f aca="false">IF(COUNTA(D357:E357)=0,"",SUM(D357:E357))</f>
        <v>196</v>
      </c>
      <c r="G357" s="53" t="n">
        <f aca="false">IF(OR(F357="",F357=0),"",D357/F357)</f>
        <v>0.346938775510204</v>
      </c>
      <c r="H357" s="53" t="n">
        <f aca="false">IF(OR(F357="",F357=0),"",E357/F357)</f>
        <v>0.653061224489796</v>
      </c>
      <c r="I357" s="25" t="s">
        <v>128</v>
      </c>
      <c r="J357" s="28" t="n">
        <v>3.1978281706008</v>
      </c>
      <c r="K357" s="28" t="n">
        <f aca="false">$K$8</f>
        <v>0.297938238782275</v>
      </c>
      <c r="L357" s="28" t="n">
        <f aca="false">SQRT(J357^2+K357^2)</f>
        <v>3.21167747490571</v>
      </c>
      <c r="M357" s="53" t="n">
        <f aca="false">IF(G357="","",MAX(0,G357-1.96*L357/100))</f>
        <v>0.283989897002052</v>
      </c>
      <c r="N357" s="53" t="n">
        <f aca="false">IF(G357="","",MIN(1,G357+1.96*L357/100))</f>
        <v>0.409887654018356</v>
      </c>
      <c r="O357" s="52" t="n">
        <f aca="false">ROUND(S357*W357,0)</f>
        <v>29</v>
      </c>
      <c r="P357" s="52" t="n">
        <f aca="false">IF(F357="","",ROUND(SQRT((F357*L357/100)^2+(G357*O357)^2),0))</f>
        <v>12</v>
      </c>
      <c r="R357" s="54" t="n">
        <v>-16.4991174440726</v>
      </c>
      <c r="S357" s="55" t="n">
        <f aca="false">U357*V357*$F$5</f>
        <v>196.10298102981</v>
      </c>
      <c r="T357" s="56" t="n">
        <f aca="false">MAX(0,MIN(1,R357/100+$D$5))</f>
        <v>0.347002240078039</v>
      </c>
      <c r="U357" s="56" t="n">
        <v>0.525745257452575</v>
      </c>
      <c r="V357" s="55" t="n">
        <v>373</v>
      </c>
      <c r="W357" s="56" t="n">
        <v>0.148097331980838</v>
      </c>
      <c r="X357" s="57" t="s">
        <v>129</v>
      </c>
      <c r="Y357" s="57" t="s">
        <v>130</v>
      </c>
    </row>
    <row r="358" customFormat="false" ht="15" hidden="false" customHeight="false" outlineLevel="0" collapsed="false">
      <c r="A358" s="25" t="s">
        <v>385</v>
      </c>
      <c r="B358" s="25" t="s">
        <v>538</v>
      </c>
      <c r="C358" s="25" t="s">
        <v>539</v>
      </c>
      <c r="D358" s="52" t="n">
        <f aca="false">ROUND(S358*T358,0)</f>
        <v>257</v>
      </c>
      <c r="E358" s="52" t="n">
        <f aca="false">ROUND(S358,0)-D358</f>
        <v>427</v>
      </c>
      <c r="F358" s="52" t="n">
        <f aca="false">IF(COUNTA(D358:E358)=0,"",SUM(D358:E358))</f>
        <v>684</v>
      </c>
      <c r="G358" s="53" t="n">
        <f aca="false">IF(OR(F358="",F358=0),"",D358/F358)</f>
        <v>0.375730994152047</v>
      </c>
      <c r="H358" s="53" t="n">
        <f aca="false">IF(OR(F358="",F358=0),"",E358/F358)</f>
        <v>0.624269005847953</v>
      </c>
      <c r="I358" s="25" t="s">
        <v>128</v>
      </c>
      <c r="J358" s="28" t="n">
        <v>2.22489971008846</v>
      </c>
      <c r="K358" s="28" t="n">
        <f aca="false">$K$8</f>
        <v>0.297938238782275</v>
      </c>
      <c r="L358" s="28" t="n">
        <f aca="false">SQRT(J358^2+K358^2)</f>
        <v>2.24475965619494</v>
      </c>
      <c r="M358" s="53" t="n">
        <f aca="false">IF(G358="","",MAX(0,G358-1.96*L358/100))</f>
        <v>0.331733704890626</v>
      </c>
      <c r="N358" s="53" t="n">
        <f aca="false">IF(G358="","",MIN(1,G358+1.96*L358/100))</f>
        <v>0.419728283413468</v>
      </c>
      <c r="O358" s="52" t="n">
        <f aca="false">ROUND(S358*W358,0)</f>
        <v>61</v>
      </c>
      <c r="P358" s="52" t="n">
        <f aca="false">IF(F358="","",ROUND(SQRT((F358*L358/100)^2+(G358*O358)^2),0))</f>
        <v>28</v>
      </c>
      <c r="R358" s="54" t="n">
        <v>-13.6707722141642</v>
      </c>
      <c r="S358" s="55" t="n">
        <f aca="false">U358*V358*$F$5</f>
        <v>683.952941176471</v>
      </c>
      <c r="T358" s="56" t="n">
        <f aca="false">MAX(0,MIN(1,R358/100+$D$5))</f>
        <v>0.375285692377123</v>
      </c>
      <c r="U358" s="56" t="n">
        <v>0.568067226890757</v>
      </c>
      <c r="V358" s="55" t="n">
        <v>1204</v>
      </c>
      <c r="W358" s="56" t="n">
        <v>0.0887445098984521</v>
      </c>
      <c r="X358" s="57" t="s">
        <v>135</v>
      </c>
      <c r="Y358" s="57" t="s">
        <v>130</v>
      </c>
    </row>
    <row r="359" customFormat="false" ht="15" hidden="false" customHeight="false" outlineLevel="0" collapsed="false">
      <c r="A359" s="25" t="s">
        <v>385</v>
      </c>
      <c r="B359" s="25" t="s">
        <v>540</v>
      </c>
      <c r="C359" s="25" t="s">
        <v>541</v>
      </c>
      <c r="D359" s="52" t="n">
        <f aca="false">ROUND(S359*T359,0)</f>
        <v>161</v>
      </c>
      <c r="E359" s="52" t="n">
        <f aca="false">ROUND(S359,0)-D359</f>
        <v>228</v>
      </c>
      <c r="F359" s="52" t="n">
        <f aca="false">IF(COUNTA(D359:E359)=0,"",SUM(D359:E359))</f>
        <v>389</v>
      </c>
      <c r="G359" s="53" t="n">
        <f aca="false">IF(OR(F359="",F359=0),"",D359/F359)</f>
        <v>0.413881748071979</v>
      </c>
      <c r="H359" s="53" t="n">
        <f aca="false">IF(OR(F359="",F359=0),"",E359/F359)</f>
        <v>0.586118251928021</v>
      </c>
      <c r="I359" s="25" t="s">
        <v>128</v>
      </c>
      <c r="J359" s="28" t="n">
        <v>3.1978281706008</v>
      </c>
      <c r="K359" s="28" t="n">
        <f aca="false">$K$8</f>
        <v>0.297938238782275</v>
      </c>
      <c r="L359" s="28" t="n">
        <f aca="false">SQRT(J359^2+K359^2)</f>
        <v>3.21167747490571</v>
      </c>
      <c r="M359" s="53" t="n">
        <f aca="false">IF(G359="","",MAX(0,G359-1.96*L359/100))</f>
        <v>0.350932869563828</v>
      </c>
      <c r="N359" s="53" t="n">
        <f aca="false">IF(G359="","",MIN(1,G359+1.96*L359/100))</f>
        <v>0.476830626580131</v>
      </c>
      <c r="O359" s="52" t="n">
        <f aca="false">ROUND(S359*W359,0)</f>
        <v>58</v>
      </c>
      <c r="P359" s="52" t="n">
        <f aca="false">IF(F359="","",ROUND(SQRT((F359*L359/100)^2+(G359*O359)^2),0))</f>
        <v>27</v>
      </c>
      <c r="R359" s="54" t="n">
        <v>-9.85387385287614</v>
      </c>
      <c r="S359" s="55" t="n">
        <f aca="false">U359*V359*$F$5</f>
        <v>388.819749216301</v>
      </c>
      <c r="T359" s="56" t="n">
        <f aca="false">MAX(0,MIN(1,R359/100+$D$5))</f>
        <v>0.413454675990003</v>
      </c>
      <c r="U359" s="56" t="n">
        <v>0.606583072100314</v>
      </c>
      <c r="V359" s="55" t="n">
        <v>641</v>
      </c>
      <c r="W359" s="56" t="n">
        <v>0.148097331980838</v>
      </c>
      <c r="X359" s="57" t="s">
        <v>129</v>
      </c>
      <c r="Y359" s="57" t="s">
        <v>130</v>
      </c>
    </row>
    <row r="360" customFormat="false" ht="15" hidden="false" customHeight="false" outlineLevel="0" collapsed="false">
      <c r="A360" s="25" t="s">
        <v>385</v>
      </c>
      <c r="B360" s="25" t="s">
        <v>542</v>
      </c>
      <c r="C360" s="25" t="s">
        <v>543</v>
      </c>
      <c r="D360" s="52" t="n">
        <f aca="false">ROUND(S360*T360,0)</f>
        <v>255</v>
      </c>
      <c r="E360" s="52" t="n">
        <f aca="false">ROUND(S360,0)-D360</f>
        <v>347</v>
      </c>
      <c r="F360" s="52" t="n">
        <f aca="false">IF(COUNTA(D360:E360)=0,"",SUM(D360:E360))</f>
        <v>602</v>
      </c>
      <c r="G360" s="53" t="n">
        <f aca="false">IF(OR(F360="",F360=0),"",D360/F360)</f>
        <v>0.42358803986711</v>
      </c>
      <c r="H360" s="53" t="n">
        <f aca="false">IF(OR(F360="",F360=0),"",E360/F360)</f>
        <v>0.57641196013289</v>
      </c>
      <c r="I360" s="25" t="s">
        <v>128</v>
      </c>
      <c r="J360" s="28" t="n">
        <v>2.22489971008846</v>
      </c>
      <c r="K360" s="28" t="n">
        <f aca="false">$K$8</f>
        <v>0.297938238782275</v>
      </c>
      <c r="L360" s="28" t="n">
        <f aca="false">SQRT(J360^2+K360^2)</f>
        <v>2.24475965619494</v>
      </c>
      <c r="M360" s="53" t="n">
        <f aca="false">IF(G360="","",MAX(0,G360-1.96*L360/100))</f>
        <v>0.379590750605689</v>
      </c>
      <c r="N360" s="53" t="n">
        <f aca="false">IF(G360="","",MIN(1,G360+1.96*L360/100))</f>
        <v>0.46758532912853</v>
      </c>
      <c r="O360" s="52" t="n">
        <f aca="false">ROUND(S360*W360,0)</f>
        <v>53</v>
      </c>
      <c r="P360" s="52" t="n">
        <f aca="false">IF(F360="","",ROUND(SQRT((F360*L360/100)^2+(G360*O360)^2),0))</f>
        <v>26</v>
      </c>
      <c r="R360" s="54" t="n">
        <v>-8.78616212516419</v>
      </c>
      <c r="S360" s="55" t="n">
        <f aca="false">U360*V360*$F$5</f>
        <v>602.07868852459</v>
      </c>
      <c r="T360" s="56" t="n">
        <f aca="false">MAX(0,MIN(1,R360/100+$D$5))</f>
        <v>0.424131793267123</v>
      </c>
      <c r="U360" s="56" t="n">
        <v>0.613114754098361</v>
      </c>
      <c r="V360" s="55" t="n">
        <v>982</v>
      </c>
      <c r="W360" s="56" t="n">
        <v>0.0887445098984521</v>
      </c>
      <c r="X360" s="57" t="s">
        <v>135</v>
      </c>
      <c r="Y360" s="57" t="s">
        <v>130</v>
      </c>
    </row>
    <row r="361" customFormat="false" ht="15" hidden="false" customHeight="false" outlineLevel="0" collapsed="false">
      <c r="A361" s="25" t="s">
        <v>385</v>
      </c>
      <c r="B361" s="25" t="s">
        <v>544</v>
      </c>
      <c r="C361" s="25" t="s">
        <v>545</v>
      </c>
      <c r="D361" s="52" t="n">
        <f aca="false">ROUND(S361*T361,0)</f>
        <v>236</v>
      </c>
      <c r="E361" s="52" t="n">
        <f aca="false">ROUND(S361,0)-D361</f>
        <v>578</v>
      </c>
      <c r="F361" s="52" t="n">
        <f aca="false">IF(COUNTA(D361:E361)=0,"",SUM(D361:E361))</f>
        <v>814</v>
      </c>
      <c r="G361" s="53" t="n">
        <f aca="false">IF(OR(F361="",F361=0),"",D361/F361)</f>
        <v>0.28992628992629</v>
      </c>
      <c r="H361" s="53" t="n">
        <f aca="false">IF(OR(F361="",F361=0),"",E361/F361)</f>
        <v>0.71007371007371</v>
      </c>
      <c r="I361" s="25" t="s">
        <v>128</v>
      </c>
      <c r="J361" s="28" t="n">
        <v>2.22489971008846</v>
      </c>
      <c r="K361" s="28" t="n">
        <f aca="false">$K$8</f>
        <v>0.297938238782275</v>
      </c>
      <c r="L361" s="28" t="n">
        <f aca="false">SQRT(J361^2+K361^2)</f>
        <v>2.24475965619494</v>
      </c>
      <c r="M361" s="53" t="n">
        <f aca="false">IF(G361="","",MAX(0,G361-1.96*L361/100))</f>
        <v>0.245929000664869</v>
      </c>
      <c r="N361" s="53" t="n">
        <f aca="false">IF(G361="","",MIN(1,G361+1.96*L361/100))</f>
        <v>0.333923579187711</v>
      </c>
      <c r="O361" s="52" t="n">
        <f aca="false">ROUND(S361*W361,0)</f>
        <v>72</v>
      </c>
      <c r="P361" s="52" t="n">
        <f aca="false">IF(F361="","",ROUND(SQRT((F361*L361/100)^2+(G361*O361)^2),0))</f>
        <v>28</v>
      </c>
      <c r="R361" s="54" t="n">
        <v>-22.2588678262157</v>
      </c>
      <c r="S361" s="55" t="n">
        <f aca="false">U361*V361*$F$5</f>
        <v>814.349042709867</v>
      </c>
      <c r="T361" s="56" t="n">
        <f aca="false">MAX(0,MIN(1,R361/100+$D$5))</f>
        <v>0.289404736256608</v>
      </c>
      <c r="U361" s="56" t="n">
        <v>0.610456553755523</v>
      </c>
      <c r="V361" s="55" t="n">
        <v>1334</v>
      </c>
      <c r="W361" s="56" t="n">
        <v>0.0887445098984521</v>
      </c>
      <c r="X361" s="57" t="s">
        <v>135</v>
      </c>
      <c r="Y361" s="57" t="s">
        <v>130</v>
      </c>
    </row>
    <row r="362" customFormat="false" ht="15" hidden="false" customHeight="false" outlineLevel="0" collapsed="false">
      <c r="A362" s="25" t="s">
        <v>385</v>
      </c>
      <c r="B362" s="25" t="s">
        <v>544</v>
      </c>
      <c r="C362" s="25" t="s">
        <v>546</v>
      </c>
      <c r="D362" s="52" t="n">
        <f aca="false">ROUND(S362*T362,0)</f>
        <v>205</v>
      </c>
      <c r="E362" s="52" t="n">
        <f aca="false">ROUND(S362,0)-D362</f>
        <v>412</v>
      </c>
      <c r="F362" s="52" t="n">
        <f aca="false">IF(COUNTA(D362:E362)=0,"",SUM(D362:E362))</f>
        <v>617</v>
      </c>
      <c r="G362" s="53" t="n">
        <f aca="false">IF(OR(F362="",F362=0),"",D362/F362)</f>
        <v>0.3322528363047</v>
      </c>
      <c r="H362" s="53" t="n">
        <f aca="false">IF(OR(F362="",F362=0),"",E362/F362)</f>
        <v>0.6677471636953</v>
      </c>
      <c r="I362" s="25" t="s">
        <v>128</v>
      </c>
      <c r="J362" s="28" t="n">
        <v>2.22489971008846</v>
      </c>
      <c r="K362" s="28" t="n">
        <f aca="false">$K$8</f>
        <v>0.297938238782275</v>
      </c>
      <c r="L362" s="28" t="n">
        <f aca="false">SQRT(J362^2+K362^2)</f>
        <v>2.24475965619494</v>
      </c>
      <c r="M362" s="53" t="n">
        <f aca="false">IF(G362="","",MAX(0,G362-1.96*L362/100))</f>
        <v>0.288255547043279</v>
      </c>
      <c r="N362" s="53" t="n">
        <f aca="false">IF(G362="","",MIN(1,G362+1.96*L362/100))</f>
        <v>0.376250125566121</v>
      </c>
      <c r="O362" s="52" t="n">
        <f aca="false">ROUND(S362*W362,0)</f>
        <v>55</v>
      </c>
      <c r="P362" s="52" t="n">
        <f aca="false">IF(F362="","",ROUND(SQRT((F362*L362/100)^2+(G362*O362)^2),0))</f>
        <v>23</v>
      </c>
      <c r="R362" s="54" t="n">
        <v>-18.0167922605432</v>
      </c>
      <c r="S362" s="55" t="n">
        <f aca="false">U362*V362*$F$5</f>
        <v>617.366628830874</v>
      </c>
      <c r="T362" s="56" t="n">
        <f aca="false">MAX(0,MIN(1,R362/100+$D$5))</f>
        <v>0.331825491913333</v>
      </c>
      <c r="U362" s="56" t="n">
        <v>0.667423382519864</v>
      </c>
      <c r="V362" s="55" t="n">
        <v>925</v>
      </c>
      <c r="W362" s="56" t="n">
        <v>0.0887445098984521</v>
      </c>
      <c r="X362" s="57" t="s">
        <v>135</v>
      </c>
      <c r="Y362" s="57" t="s">
        <v>130</v>
      </c>
    </row>
    <row r="363" customFormat="false" ht="15" hidden="false" customHeight="false" outlineLevel="0" collapsed="false">
      <c r="A363" s="25" t="s">
        <v>385</v>
      </c>
      <c r="B363" s="25" t="s">
        <v>544</v>
      </c>
      <c r="C363" s="25" t="s">
        <v>547</v>
      </c>
      <c r="D363" s="52" t="n">
        <f aca="false">ROUND(S363*T363,0)</f>
        <v>158</v>
      </c>
      <c r="E363" s="52" t="n">
        <f aca="false">ROUND(S363,0)-D363</f>
        <v>370</v>
      </c>
      <c r="F363" s="52" t="n">
        <f aca="false">IF(COUNTA(D363:E363)=0,"",SUM(D363:E363))</f>
        <v>528</v>
      </c>
      <c r="G363" s="53" t="n">
        <f aca="false">IF(OR(F363="",F363=0),"",D363/F363)</f>
        <v>0.299242424242424</v>
      </c>
      <c r="H363" s="53" t="n">
        <f aca="false">IF(OR(F363="",F363=0),"",E363/F363)</f>
        <v>0.700757575757576</v>
      </c>
      <c r="I363" s="25" t="s">
        <v>128</v>
      </c>
      <c r="J363" s="28" t="n">
        <v>3.1978281706008</v>
      </c>
      <c r="K363" s="28" t="n">
        <f aca="false">$K$8</f>
        <v>0.297938238782275</v>
      </c>
      <c r="L363" s="28" t="n">
        <f aca="false">SQRT(J363^2+K363^2)</f>
        <v>3.21167747490571</v>
      </c>
      <c r="M363" s="53" t="n">
        <f aca="false">IF(G363="","",MAX(0,G363-1.96*L363/100))</f>
        <v>0.236293545734272</v>
      </c>
      <c r="N363" s="53" t="n">
        <f aca="false">IF(G363="","",MIN(1,G363+1.96*L363/100))</f>
        <v>0.362191302750576</v>
      </c>
      <c r="O363" s="52" t="n">
        <f aca="false">ROUND(S363*W363,0)</f>
        <v>78</v>
      </c>
      <c r="P363" s="52" t="n">
        <f aca="false">IF(F363="","",ROUND(SQRT((F363*L363/100)^2+(G363*O363)^2),0))</f>
        <v>29</v>
      </c>
      <c r="R363" s="54" t="n">
        <v>-21.3539931755333</v>
      </c>
      <c r="S363" s="55" t="n">
        <f aca="false">U363*V363*$F$5</f>
        <v>528.071059431524</v>
      </c>
      <c r="T363" s="56" t="n">
        <f aca="false">MAX(0,MIN(1,R363/100+$D$5))</f>
        <v>0.298453482763431</v>
      </c>
      <c r="U363" s="56" t="n">
        <v>0.657622739018088</v>
      </c>
      <c r="V363" s="55" t="n">
        <v>803</v>
      </c>
      <c r="W363" s="56" t="n">
        <v>0.148097331980838</v>
      </c>
      <c r="X363" s="57" t="s">
        <v>129</v>
      </c>
      <c r="Y363" s="57" t="s">
        <v>130</v>
      </c>
    </row>
    <row r="364" customFormat="false" ht="15" hidden="false" customHeight="false" outlineLevel="0" collapsed="false">
      <c r="A364" s="25" t="s">
        <v>385</v>
      </c>
      <c r="B364" s="25" t="s">
        <v>544</v>
      </c>
      <c r="C364" s="25" t="s">
        <v>548</v>
      </c>
      <c r="D364" s="52" t="n">
        <f aca="false">ROUND(S364*T364,0)</f>
        <v>138</v>
      </c>
      <c r="E364" s="52" t="n">
        <f aca="false">ROUND(S364,0)-D364</f>
        <v>325</v>
      </c>
      <c r="F364" s="52" t="n">
        <f aca="false">IF(COUNTA(D364:E364)=0,"",SUM(D364:E364))</f>
        <v>463</v>
      </c>
      <c r="G364" s="53" t="n">
        <f aca="false">IF(OR(F364="",F364=0),"",D364/F364)</f>
        <v>0.298056155507559</v>
      </c>
      <c r="H364" s="53" t="n">
        <f aca="false">IF(OR(F364="",F364=0),"",E364/F364)</f>
        <v>0.701943844492441</v>
      </c>
      <c r="I364" s="25" t="s">
        <v>128</v>
      </c>
      <c r="J364" s="28" t="n">
        <v>3.1978281706008</v>
      </c>
      <c r="K364" s="28" t="n">
        <f aca="false">$K$8</f>
        <v>0.297938238782275</v>
      </c>
      <c r="L364" s="28" t="n">
        <f aca="false">SQRT(J364^2+K364^2)</f>
        <v>3.21167747490571</v>
      </c>
      <c r="M364" s="53" t="n">
        <f aca="false">IF(G364="","",MAX(0,G364-1.96*L364/100))</f>
        <v>0.235107276999407</v>
      </c>
      <c r="N364" s="53" t="n">
        <f aca="false">IF(G364="","",MIN(1,G364+1.96*L364/100))</f>
        <v>0.361005034015711</v>
      </c>
      <c r="O364" s="52" t="n">
        <f aca="false">ROUND(S364*W364,0)</f>
        <v>69</v>
      </c>
      <c r="P364" s="52" t="n">
        <f aca="false">IF(F364="","",ROUND(SQRT((F364*L364/100)^2+(G364*O364)^2),0))</f>
        <v>25</v>
      </c>
      <c r="R364" s="54" t="n">
        <v>-21.4863318655881</v>
      </c>
      <c r="S364" s="55" t="n">
        <f aca="false">U364*V364*$F$5</f>
        <v>463.140604467805</v>
      </c>
      <c r="T364" s="56" t="n">
        <f aca="false">MAX(0,MIN(1,R364/100+$D$5))</f>
        <v>0.297130095862883</v>
      </c>
      <c r="U364" s="56" t="n">
        <v>0.624178712220762</v>
      </c>
      <c r="V364" s="55" t="n">
        <v>742</v>
      </c>
      <c r="W364" s="56" t="n">
        <v>0.148097331980838</v>
      </c>
      <c r="X364" s="57" t="s">
        <v>129</v>
      </c>
      <c r="Y364" s="57" t="s">
        <v>130</v>
      </c>
    </row>
    <row r="365" customFormat="false" ht="15" hidden="false" customHeight="false" outlineLevel="0" collapsed="false">
      <c r="A365" s="25" t="s">
        <v>385</v>
      </c>
      <c r="B365" s="25" t="s">
        <v>544</v>
      </c>
      <c r="C365" s="25" t="s">
        <v>549</v>
      </c>
      <c r="D365" s="52" t="n">
        <f aca="false">ROUND(S365*T365,0)</f>
        <v>269</v>
      </c>
      <c r="E365" s="52" t="n">
        <f aca="false">ROUND(S365,0)-D365</f>
        <v>457</v>
      </c>
      <c r="F365" s="52" t="n">
        <f aca="false">IF(COUNTA(D365:E365)=0,"",SUM(D365:E365))</f>
        <v>726</v>
      </c>
      <c r="G365" s="53" t="n">
        <f aca="false">IF(OR(F365="",F365=0),"",D365/F365)</f>
        <v>0.370523415977961</v>
      </c>
      <c r="H365" s="53" t="n">
        <f aca="false">IF(OR(F365="",F365=0),"",E365/F365)</f>
        <v>0.629476584022039</v>
      </c>
      <c r="I365" s="25" t="s">
        <v>128</v>
      </c>
      <c r="J365" s="28" t="n">
        <v>2.22489971008846</v>
      </c>
      <c r="K365" s="28" t="n">
        <f aca="false">$K$8</f>
        <v>0.297938238782275</v>
      </c>
      <c r="L365" s="28" t="n">
        <f aca="false">SQRT(J365^2+K365^2)</f>
        <v>2.24475965619494</v>
      </c>
      <c r="M365" s="53" t="n">
        <f aca="false">IF(G365="","",MAX(0,G365-1.96*L365/100))</f>
        <v>0.326526126716541</v>
      </c>
      <c r="N365" s="53" t="n">
        <f aca="false">IF(G365="","",MIN(1,G365+1.96*L365/100))</f>
        <v>0.414520705239382</v>
      </c>
      <c r="O365" s="52" t="n">
        <f aca="false">ROUND(S365*W365,0)</f>
        <v>64</v>
      </c>
      <c r="P365" s="52" t="n">
        <f aca="false">IF(F365="","",ROUND(SQRT((F365*L365/100)^2+(G365*O365)^2),0))</f>
        <v>29</v>
      </c>
      <c r="R365" s="54" t="n">
        <v>-14.2343460426307</v>
      </c>
      <c r="S365" s="55" t="n">
        <f aca="false">U365*V365*$F$5</f>
        <v>726.367947669665</v>
      </c>
      <c r="T365" s="56" t="n">
        <f aca="false">MAX(0,MIN(1,R365/100+$D$5))</f>
        <v>0.369649954092458</v>
      </c>
      <c r="U365" s="56" t="n">
        <v>0.59198691741619</v>
      </c>
      <c r="V365" s="55" t="n">
        <v>1227</v>
      </c>
      <c r="W365" s="56" t="n">
        <v>0.0887445098984521</v>
      </c>
      <c r="X365" s="57" t="s">
        <v>135</v>
      </c>
      <c r="Y365" s="57" t="s">
        <v>130</v>
      </c>
    </row>
    <row r="366" customFormat="false" ht="15" hidden="false" customHeight="false" outlineLevel="0" collapsed="false">
      <c r="A366" s="25" t="s">
        <v>385</v>
      </c>
      <c r="B366" s="25" t="s">
        <v>550</v>
      </c>
      <c r="C366" s="25" t="s">
        <v>551</v>
      </c>
      <c r="D366" s="52" t="n">
        <f aca="false">ROUND(S366*T366,0)</f>
        <v>619</v>
      </c>
      <c r="E366" s="52" t="n">
        <f aca="false">ROUND(S366,0)-D366</f>
        <v>631</v>
      </c>
      <c r="F366" s="52" t="n">
        <f aca="false">IF(COUNTA(D366:E366)=0,"",SUM(D366:E366))</f>
        <v>1250</v>
      </c>
      <c r="G366" s="53" t="n">
        <f aca="false">IF(OR(F366="",F366=0),"",D366/F366)</f>
        <v>0.4952</v>
      </c>
      <c r="H366" s="53" t="n">
        <f aca="false">IF(OR(F366="",F366=0),"",E366/F366)</f>
        <v>0.5048</v>
      </c>
      <c r="I366" s="25" t="s">
        <v>128</v>
      </c>
      <c r="J366" s="28" t="n">
        <v>2.08262589216041</v>
      </c>
      <c r="K366" s="28" t="n">
        <f aca="false">$K$8</f>
        <v>0.297938238782275</v>
      </c>
      <c r="L366" s="28" t="n">
        <f aca="false">SQRT(J366^2+K366^2)</f>
        <v>2.1038293183682</v>
      </c>
      <c r="M366" s="53" t="n">
        <f aca="false">IF(G366="","",MAX(0,G366-1.96*L366/100))</f>
        <v>0.453964945359983</v>
      </c>
      <c r="N366" s="53" t="n">
        <f aca="false">IF(G366="","",MIN(1,G366+1.96*L366/100))</f>
        <v>0.536435054640017</v>
      </c>
      <c r="O366" s="52" t="n">
        <f aca="false">ROUND(S366*W366,0)</f>
        <v>86</v>
      </c>
      <c r="P366" s="52" t="n">
        <f aca="false">IF(F366="","",ROUND(SQRT((F366*L366/100)^2+(G366*O366)^2),0))</f>
        <v>50</v>
      </c>
      <c r="R366" s="54" t="n">
        <v>-1.72517481581825</v>
      </c>
      <c r="S366" s="55" t="n">
        <f aca="false">U366*V366*$F$5</f>
        <v>1250.41526045488</v>
      </c>
      <c r="T366" s="56" t="n">
        <f aca="false">MAX(0,MIN(1,R366/100+$D$5))</f>
        <v>0.494741666360582</v>
      </c>
      <c r="U366" s="56" t="n">
        <v>0.666177549523111</v>
      </c>
      <c r="V366" s="55" t="n">
        <v>1877</v>
      </c>
      <c r="W366" s="56" t="n">
        <v>0.0684752145190268</v>
      </c>
      <c r="X366" s="57" t="s">
        <v>168</v>
      </c>
      <c r="Y366" s="57" t="s">
        <v>130</v>
      </c>
    </row>
    <row r="367" customFormat="false" ht="15" hidden="false" customHeight="false" outlineLevel="0" collapsed="false">
      <c r="A367" s="25" t="s">
        <v>385</v>
      </c>
      <c r="B367" s="25" t="s">
        <v>550</v>
      </c>
      <c r="C367" s="25" t="s">
        <v>552</v>
      </c>
      <c r="D367" s="52" t="n">
        <f aca="false">ROUND(S367*T367,0)</f>
        <v>291</v>
      </c>
      <c r="E367" s="52" t="n">
        <f aca="false">ROUND(S367,0)-D367</f>
        <v>300</v>
      </c>
      <c r="F367" s="52" t="n">
        <f aca="false">IF(COUNTA(D367:E367)=0,"",SUM(D367:E367))</f>
        <v>591</v>
      </c>
      <c r="G367" s="53" t="n">
        <f aca="false">IF(OR(F367="",F367=0),"",D367/F367)</f>
        <v>0.49238578680203</v>
      </c>
      <c r="H367" s="53" t="n">
        <f aca="false">IF(OR(F367="",F367=0),"",E367/F367)</f>
        <v>0.50761421319797</v>
      </c>
      <c r="I367" s="25" t="s">
        <v>231</v>
      </c>
      <c r="J367" s="28" t="n">
        <v>2.22489971008846</v>
      </c>
      <c r="K367" s="28" t="n">
        <f aca="false">$K$8</f>
        <v>0.297938238782275</v>
      </c>
      <c r="L367" s="28" t="n">
        <f aca="false">SQRT(J367^2+K367^2)</f>
        <v>2.24475965619494</v>
      </c>
      <c r="M367" s="53" t="n">
        <f aca="false">IF(G367="","",MAX(0,G367-1.96*L367/100))</f>
        <v>0.44838849754061</v>
      </c>
      <c r="N367" s="53" t="n">
        <f aca="false">IF(G367="","",MIN(1,G367+1.96*L367/100))</f>
        <v>0.536383076063451</v>
      </c>
      <c r="O367" s="52" t="n">
        <f aca="false">ROUND(S367*W367,0)</f>
        <v>52</v>
      </c>
      <c r="P367" s="52" t="n">
        <f aca="false">IF(F367="","",ROUND(SQRT((F367*L367/100)^2+(G367*O367)^2),0))</f>
        <v>29</v>
      </c>
      <c r="R367" s="54" t="n">
        <v>-2.0116998100129</v>
      </c>
      <c r="S367" s="55" t="n">
        <f aca="false">U367*V367*$F$5</f>
        <v>590.70917107022</v>
      </c>
      <c r="T367" s="56" t="n">
        <f aca="false">MAX(0,MIN(1,R367/100+$D$5))</f>
        <v>0.491876416418636</v>
      </c>
      <c r="U367" s="56" t="n">
        <v>0.64151780942283</v>
      </c>
      <c r="V367" s="55" t="n">
        <v>920.799333071793</v>
      </c>
      <c r="W367" s="56" t="n">
        <v>0.0887445098984521</v>
      </c>
      <c r="X367" s="57" t="s">
        <v>135</v>
      </c>
      <c r="Y367" s="57" t="s">
        <v>233</v>
      </c>
    </row>
    <row r="368" customFormat="false" ht="15" hidden="false" customHeight="false" outlineLevel="0" collapsed="false">
      <c r="A368" s="25" t="s">
        <v>385</v>
      </c>
      <c r="B368" s="25" t="s">
        <v>550</v>
      </c>
      <c r="C368" s="25" t="s">
        <v>553</v>
      </c>
      <c r="D368" s="52" t="n">
        <f aca="false">ROUND(S368*T368,0)</f>
        <v>486</v>
      </c>
      <c r="E368" s="52" t="n">
        <f aca="false">ROUND(S368,0)-D368</f>
        <v>515</v>
      </c>
      <c r="F368" s="52" t="n">
        <f aca="false">IF(COUNTA(D368:E368)=0,"",SUM(D368:E368))</f>
        <v>1001</v>
      </c>
      <c r="G368" s="53" t="n">
        <f aca="false">IF(OR(F368="",F368=0),"",D368/F368)</f>
        <v>0.485514485514486</v>
      </c>
      <c r="H368" s="53" t="n">
        <f aca="false">IF(OR(F368="",F368=0),"",E368/F368)</f>
        <v>0.514485514485515</v>
      </c>
      <c r="I368" s="25" t="s">
        <v>128</v>
      </c>
      <c r="J368" s="28" t="n">
        <v>2.08262589216041</v>
      </c>
      <c r="K368" s="28" t="n">
        <f aca="false">$K$8</f>
        <v>0.297938238782275</v>
      </c>
      <c r="L368" s="28" t="n">
        <f aca="false">SQRT(J368^2+K368^2)</f>
        <v>2.1038293183682</v>
      </c>
      <c r="M368" s="53" t="n">
        <f aca="false">IF(G368="","",MAX(0,G368-1.96*L368/100))</f>
        <v>0.444279430874469</v>
      </c>
      <c r="N368" s="53" t="n">
        <f aca="false">IF(G368="","",MIN(1,G368+1.96*L368/100))</f>
        <v>0.526749540154502</v>
      </c>
      <c r="O368" s="52" t="n">
        <f aca="false">ROUND(S368*W368,0)</f>
        <v>69</v>
      </c>
      <c r="P368" s="52" t="n">
        <f aca="false">IF(F368="","",ROUND(SQRT((F368*L368/100)^2+(G368*O368)^2),0))</f>
        <v>40</v>
      </c>
      <c r="R368" s="54" t="n">
        <v>-2.64345371928735</v>
      </c>
      <c r="S368" s="55" t="n">
        <f aca="false">U368*V368*$F$5</f>
        <v>1000.79736842105</v>
      </c>
      <c r="T368" s="56" t="n">
        <f aca="false">MAX(0,MIN(1,R368/100+$D$5))</f>
        <v>0.485558877325891</v>
      </c>
      <c r="U368" s="56" t="n">
        <v>0.590789473684211</v>
      </c>
      <c r="V368" s="55" t="n">
        <v>1694</v>
      </c>
      <c r="W368" s="56" t="n">
        <v>0.0684752145190268</v>
      </c>
      <c r="X368" s="57" t="s">
        <v>168</v>
      </c>
      <c r="Y368" s="57" t="s">
        <v>130</v>
      </c>
    </row>
    <row r="369" customFormat="false" ht="15" hidden="false" customHeight="false" outlineLevel="0" collapsed="false">
      <c r="A369" s="25" t="s">
        <v>385</v>
      </c>
      <c r="B369" s="25" t="s">
        <v>550</v>
      </c>
      <c r="C369" s="25" t="s">
        <v>554</v>
      </c>
      <c r="D369" s="52" t="n">
        <f aca="false">ROUND(S369*T369,0)</f>
        <v>217</v>
      </c>
      <c r="E369" s="52" t="n">
        <f aca="false">ROUND(S369,0)-D369</f>
        <v>225</v>
      </c>
      <c r="F369" s="52" t="n">
        <f aca="false">IF(COUNTA(D369:E369)=0,"",SUM(D369:E369))</f>
        <v>442</v>
      </c>
      <c r="G369" s="53" t="n">
        <f aca="false">IF(OR(F369="",F369=0),"",D369/F369)</f>
        <v>0.490950226244344</v>
      </c>
      <c r="H369" s="53" t="n">
        <f aca="false">IF(OR(F369="",F369=0),"",E369/F369)</f>
        <v>0.509049773755656</v>
      </c>
      <c r="I369" s="25" t="s">
        <v>231</v>
      </c>
      <c r="J369" s="28" t="n">
        <v>3.1978281706008</v>
      </c>
      <c r="K369" s="28" t="n">
        <f aca="false">$K$8</f>
        <v>0.297938238782275</v>
      </c>
      <c r="L369" s="28" t="n">
        <f aca="false">SQRT(J369^2+K369^2)</f>
        <v>3.21167747490571</v>
      </c>
      <c r="M369" s="53" t="n">
        <f aca="false">IF(G369="","",MAX(0,G369-1.96*L369/100))</f>
        <v>0.428001347736192</v>
      </c>
      <c r="N369" s="53" t="n">
        <f aca="false">IF(G369="","",MIN(1,G369+1.96*L369/100))</f>
        <v>0.553899104752496</v>
      </c>
      <c r="O369" s="52" t="n">
        <f aca="false">ROUND(S369*W369,0)</f>
        <v>66</v>
      </c>
      <c r="P369" s="52" t="n">
        <f aca="false">IF(F369="","",ROUND(SQRT((F369*L369/100)^2+(G369*O369)^2),0))</f>
        <v>35</v>
      </c>
      <c r="R369" s="54" t="n">
        <v>-2.2364535596347</v>
      </c>
      <c r="S369" s="55" t="n">
        <f aca="false">U369*V369*$F$5</f>
        <v>442.424845330775</v>
      </c>
      <c r="T369" s="56" t="n">
        <f aca="false">MAX(0,MIN(1,R369/100+$D$5))</f>
        <v>0.489628878922418</v>
      </c>
      <c r="U369" s="56" t="n">
        <v>0.632025575313589</v>
      </c>
      <c r="V369" s="55" t="n">
        <v>700.010984699882</v>
      </c>
      <c r="W369" s="56" t="n">
        <v>0.148097331980838</v>
      </c>
      <c r="X369" s="57" t="s">
        <v>129</v>
      </c>
      <c r="Y369" s="57" t="s">
        <v>233</v>
      </c>
    </row>
    <row r="370" customFormat="false" ht="15" hidden="false" customHeight="false" outlineLevel="0" collapsed="false">
      <c r="A370" s="25" t="s">
        <v>385</v>
      </c>
      <c r="B370" s="25" t="s">
        <v>555</v>
      </c>
      <c r="C370" s="25" t="s">
        <v>556</v>
      </c>
      <c r="D370" s="52" t="n">
        <f aca="false">ROUND(S370*T370,0)</f>
        <v>310</v>
      </c>
      <c r="E370" s="52" t="n">
        <f aca="false">ROUND(S370,0)-D370</f>
        <v>451</v>
      </c>
      <c r="F370" s="52" t="n">
        <f aca="false">IF(COUNTA(D370:E370)=0,"",SUM(D370:E370))</f>
        <v>761</v>
      </c>
      <c r="G370" s="53" t="n">
        <f aca="false">IF(OR(F370="",F370=0),"",D370/F370)</f>
        <v>0.407358738501971</v>
      </c>
      <c r="H370" s="53" t="n">
        <f aca="false">IF(OR(F370="",F370=0),"",E370/F370)</f>
        <v>0.592641261498029</v>
      </c>
      <c r="I370" s="25" t="s">
        <v>128</v>
      </c>
      <c r="J370" s="28" t="n">
        <v>2.22489971008846</v>
      </c>
      <c r="K370" s="28" t="n">
        <f aca="false">$K$8</f>
        <v>0.297938238782275</v>
      </c>
      <c r="L370" s="28" t="n">
        <f aca="false">SQRT(J370^2+K370^2)</f>
        <v>2.24475965619494</v>
      </c>
      <c r="M370" s="53" t="n">
        <f aca="false">IF(G370="","",MAX(0,G370-1.96*L370/100))</f>
        <v>0.36336144924055</v>
      </c>
      <c r="N370" s="53" t="n">
        <f aca="false">IF(G370="","",MIN(1,G370+1.96*L370/100))</f>
        <v>0.451356027763392</v>
      </c>
      <c r="O370" s="52" t="n">
        <f aca="false">ROUND(S370*W370,0)</f>
        <v>68</v>
      </c>
      <c r="P370" s="52" t="n">
        <f aca="false">IF(F370="","",ROUND(SQRT((F370*L370/100)^2+(G370*O370)^2),0))</f>
        <v>33</v>
      </c>
      <c r="R370" s="54" t="n">
        <v>-10.4605314535914</v>
      </c>
      <c r="S370" s="55" t="n">
        <f aca="false">U370*V370*$F$5</f>
        <v>761.429837518464</v>
      </c>
      <c r="T370" s="56" t="n">
        <f aca="false">MAX(0,MIN(1,R370/100+$D$5))</f>
        <v>0.407388099982851</v>
      </c>
      <c r="U370" s="56" t="n">
        <v>0.534711964549483</v>
      </c>
      <c r="V370" s="55" t="n">
        <v>1424</v>
      </c>
      <c r="W370" s="56" t="n">
        <v>0.0887445098984521</v>
      </c>
      <c r="X370" s="57" t="s">
        <v>135</v>
      </c>
      <c r="Y370" s="57" t="s">
        <v>130</v>
      </c>
    </row>
    <row r="371" customFormat="false" ht="15" hidden="false" customHeight="false" outlineLevel="0" collapsed="false">
      <c r="A371" s="25" t="s">
        <v>385</v>
      </c>
      <c r="B371" s="25" t="s">
        <v>360</v>
      </c>
      <c r="C371" s="25" t="s">
        <v>557</v>
      </c>
      <c r="D371" s="52" t="n">
        <f aca="false">ROUND(S371*T371,0)</f>
        <v>428</v>
      </c>
      <c r="E371" s="52" t="n">
        <f aca="false">ROUND(S371,0)-D371</f>
        <v>822</v>
      </c>
      <c r="F371" s="52" t="n">
        <f aca="false">IF(COUNTA(D371:E371)=0,"",SUM(D371:E371))</f>
        <v>1250</v>
      </c>
      <c r="G371" s="53" t="n">
        <f aca="false">IF(OR(F371="",F371=0),"",D371/F371)</f>
        <v>0.3424</v>
      </c>
      <c r="H371" s="53" t="n">
        <f aca="false">IF(OR(F371="",F371=0),"",E371/F371)</f>
        <v>0.6576</v>
      </c>
      <c r="I371" s="25" t="s">
        <v>128</v>
      </c>
      <c r="J371" s="28" t="n">
        <v>2.08262589216041</v>
      </c>
      <c r="K371" s="28" t="n">
        <f aca="false">$K$8</f>
        <v>0.297938238782275</v>
      </c>
      <c r="L371" s="28" t="n">
        <f aca="false">SQRT(J371^2+K371^2)</f>
        <v>2.1038293183682</v>
      </c>
      <c r="M371" s="53" t="n">
        <f aca="false">IF(G371="","",MAX(0,G371-1.96*L371/100))</f>
        <v>0.301164945359983</v>
      </c>
      <c r="N371" s="53" t="n">
        <f aca="false">IF(G371="","",MIN(1,G371+1.96*L371/100))</f>
        <v>0.383635054640017</v>
      </c>
      <c r="O371" s="52" t="n">
        <f aca="false">ROUND(S371*W371,0)</f>
        <v>86</v>
      </c>
      <c r="P371" s="52" t="n">
        <f aca="false">IF(F371="","",ROUND(SQRT((F371*L371/100)^2+(G371*O371)^2),0))</f>
        <v>39</v>
      </c>
      <c r="R371" s="54" t="n">
        <v>-16.9863497239636</v>
      </c>
      <c r="S371" s="55" t="n">
        <f aca="false">U371*V371*$F$5</f>
        <v>1250.46090534979</v>
      </c>
      <c r="T371" s="56" t="n">
        <f aca="false">MAX(0,MIN(1,R371/100+$D$5))</f>
        <v>0.342129917279129</v>
      </c>
      <c r="U371" s="56" t="n">
        <v>0.616598079561042</v>
      </c>
      <c r="V371" s="55" t="n">
        <v>2028</v>
      </c>
      <c r="W371" s="56" t="n">
        <v>0.0684752145190268</v>
      </c>
      <c r="X371" s="57" t="s">
        <v>168</v>
      </c>
      <c r="Y371" s="57" t="s">
        <v>130</v>
      </c>
    </row>
    <row r="372" customFormat="false" ht="15" hidden="false" customHeight="false" outlineLevel="0" collapsed="false">
      <c r="A372" s="25" t="s">
        <v>385</v>
      </c>
      <c r="B372" s="25" t="s">
        <v>360</v>
      </c>
      <c r="C372" s="25" t="s">
        <v>558</v>
      </c>
      <c r="D372" s="52" t="n">
        <f aca="false">ROUND(S372*T372,0)</f>
        <v>476</v>
      </c>
      <c r="E372" s="52" t="n">
        <f aca="false">ROUND(S372,0)-D372</f>
        <v>907</v>
      </c>
      <c r="F372" s="52" t="n">
        <f aca="false">IF(COUNTA(D372:E372)=0,"",SUM(D372:E372))</f>
        <v>1383</v>
      </c>
      <c r="G372" s="53" t="n">
        <f aca="false">IF(OR(F372="",F372=0),"",D372/F372)</f>
        <v>0.344179320318149</v>
      </c>
      <c r="H372" s="53" t="n">
        <f aca="false">IF(OR(F372="",F372=0),"",E372/F372)</f>
        <v>0.655820679681851</v>
      </c>
      <c r="I372" s="25" t="s">
        <v>559</v>
      </c>
      <c r="J372" s="28" t="n">
        <v>2.08262589216041</v>
      </c>
      <c r="K372" s="28" t="n">
        <f aca="false">$K$8</f>
        <v>0.297938238782275</v>
      </c>
      <c r="L372" s="28" t="n">
        <f aca="false">SQRT(J372^2+K372^2)</f>
        <v>2.1038293183682</v>
      </c>
      <c r="M372" s="53" t="n">
        <f aca="false">IF(G372="","",MAX(0,G372-1.96*L372/100))</f>
        <v>0.302944265678132</v>
      </c>
      <c r="N372" s="53" t="n">
        <f aca="false">IF(G372="","",MIN(1,G372+1.96*L372/100))</f>
        <v>0.385414374958166</v>
      </c>
      <c r="O372" s="52" t="n">
        <f aca="false">ROUND(S372*W372,0)</f>
        <v>95</v>
      </c>
      <c r="P372" s="52" t="n">
        <f aca="false">IF(F372="","",ROUND(SQRT((F372*L372/100)^2+(G372*O372)^2),0))</f>
        <v>44</v>
      </c>
      <c r="R372" s="54" t="n">
        <v>-16.8011423798687</v>
      </c>
      <c r="S372" s="55" t="n">
        <f aca="false">U372*V372*$F$5</f>
        <v>1383.3299660738</v>
      </c>
      <c r="T372" s="56" t="n">
        <f aca="false">MAX(0,MIN(1,R372/100+$D$5))</f>
        <v>0.343981990720078</v>
      </c>
      <c r="U372" s="56" t="n">
        <v>0.764270699488289</v>
      </c>
      <c r="V372" s="55" t="n">
        <v>1810</v>
      </c>
      <c r="W372" s="56" t="n">
        <v>0.0684752145190268</v>
      </c>
      <c r="X372" s="57" t="s">
        <v>168</v>
      </c>
      <c r="Y372" s="57" t="s">
        <v>130</v>
      </c>
    </row>
    <row r="373" customFormat="false" ht="15" hidden="false" customHeight="false" outlineLevel="0" collapsed="false">
      <c r="A373" s="25" t="s">
        <v>385</v>
      </c>
      <c r="B373" s="25" t="s">
        <v>560</v>
      </c>
      <c r="C373" s="25" t="s">
        <v>560</v>
      </c>
      <c r="D373" s="52" t="n">
        <f aca="false">ROUND(S373*T373,0)</f>
        <v>213</v>
      </c>
      <c r="E373" s="52" t="n">
        <f aca="false">ROUND(S373,0)-D373</f>
        <v>225</v>
      </c>
      <c r="F373" s="52" t="n">
        <f aca="false">IF(COUNTA(D373:E373)=0,"",SUM(D373:E373))</f>
        <v>438</v>
      </c>
      <c r="G373" s="53" t="n">
        <f aca="false">IF(OR(F373="",F373=0),"",D373/F373)</f>
        <v>0.486301369863014</v>
      </c>
      <c r="H373" s="53" t="n">
        <f aca="false">IF(OR(F373="",F373=0),"",E373/F373)</f>
        <v>0.513698630136986</v>
      </c>
      <c r="I373" s="25" t="s">
        <v>128</v>
      </c>
      <c r="J373" s="28" t="n">
        <v>3.1978281706008</v>
      </c>
      <c r="K373" s="28" t="n">
        <f aca="false">$K$8</f>
        <v>0.297938238782275</v>
      </c>
      <c r="L373" s="28" t="n">
        <f aca="false">SQRT(J373^2+K373^2)</f>
        <v>3.21167747490571</v>
      </c>
      <c r="M373" s="53" t="n">
        <f aca="false">IF(G373="","",MAX(0,G373-1.96*L373/100))</f>
        <v>0.423352491354862</v>
      </c>
      <c r="N373" s="53" t="n">
        <f aca="false">IF(G373="","",MIN(1,G373+1.96*L373/100))</f>
        <v>0.549250248371166</v>
      </c>
      <c r="O373" s="52" t="n">
        <f aca="false">ROUND(S373*W373,0)</f>
        <v>65</v>
      </c>
      <c r="P373" s="52" t="n">
        <f aca="false">IF(F373="","",ROUND(SQRT((F373*L373/100)^2+(G373*O373)^2),0))</f>
        <v>35</v>
      </c>
      <c r="R373" s="54" t="n">
        <v>-2.54895742157183</v>
      </c>
      <c r="S373" s="55" t="n">
        <f aca="false">U373*V373*$F$5</f>
        <v>438.292134831461</v>
      </c>
      <c r="T373" s="56" t="n">
        <f aca="false">MAX(0,MIN(1,R373/100+$D$5))</f>
        <v>0.486503840303046</v>
      </c>
      <c r="U373" s="56" t="n">
        <v>0.51685393258427</v>
      </c>
      <c r="V373" s="55" t="n">
        <v>848</v>
      </c>
      <c r="W373" s="56" t="n">
        <v>0.148097331980838</v>
      </c>
      <c r="X373" s="57" t="s">
        <v>129</v>
      </c>
      <c r="Y373" s="57" t="s">
        <v>130</v>
      </c>
    </row>
    <row r="374" customFormat="false" ht="15" hidden="false" customHeight="false" outlineLevel="0" collapsed="false">
      <c r="A374" s="25" t="s">
        <v>385</v>
      </c>
      <c r="B374" s="25" t="s">
        <v>561</v>
      </c>
      <c r="C374" s="25" t="s">
        <v>562</v>
      </c>
      <c r="D374" s="52" t="n">
        <f aca="false">ROUND(S374*T374,0)</f>
        <v>409</v>
      </c>
      <c r="E374" s="52" t="n">
        <f aca="false">ROUND(S374,0)-D374</f>
        <v>570</v>
      </c>
      <c r="F374" s="52" t="n">
        <f aca="false">IF(COUNTA(D374:E374)=0,"",SUM(D374:E374))</f>
        <v>979</v>
      </c>
      <c r="G374" s="53" t="n">
        <f aca="false">IF(OR(F374="",F374=0),"",D374/F374)</f>
        <v>0.417773237997957</v>
      </c>
      <c r="H374" s="53" t="n">
        <f aca="false">IF(OR(F374="",F374=0),"",E374/F374)</f>
        <v>0.582226762002043</v>
      </c>
      <c r="I374" s="25" t="s">
        <v>128</v>
      </c>
      <c r="J374" s="28" t="n">
        <v>2.08262589216041</v>
      </c>
      <c r="K374" s="28" t="n">
        <f aca="false">$K$8</f>
        <v>0.297938238782275</v>
      </c>
      <c r="L374" s="28" t="n">
        <f aca="false">SQRT(J374^2+K374^2)</f>
        <v>2.1038293183682</v>
      </c>
      <c r="M374" s="53" t="n">
        <f aca="false">IF(G374="","",MAX(0,G374-1.96*L374/100))</f>
        <v>0.37653818335794</v>
      </c>
      <c r="N374" s="53" t="n">
        <f aca="false">IF(G374="","",MIN(1,G374+1.96*L374/100))</f>
        <v>0.459008292637974</v>
      </c>
      <c r="O374" s="52" t="n">
        <f aca="false">ROUND(S374*W374,0)</f>
        <v>67</v>
      </c>
      <c r="P374" s="52" t="n">
        <f aca="false">IF(F374="","",ROUND(SQRT((F374*L374/100)^2+(G374*O374)^2),0))</f>
        <v>35</v>
      </c>
      <c r="R374" s="54" t="n">
        <v>-9.42967292111659</v>
      </c>
      <c r="S374" s="55" t="n">
        <f aca="false">U374*V374*$F$5</f>
        <v>979.331514324693</v>
      </c>
      <c r="T374" s="56" t="n">
        <f aca="false">MAX(0,MIN(1,R374/100+$D$5))</f>
        <v>0.417696685307599</v>
      </c>
      <c r="U374" s="56" t="n">
        <v>0.668485675306958</v>
      </c>
      <c r="V374" s="55" t="n">
        <v>1465</v>
      </c>
      <c r="W374" s="56" t="n">
        <v>0.0684752145190268</v>
      </c>
      <c r="X374" s="57" t="s">
        <v>168</v>
      </c>
      <c r="Y374" s="57" t="s">
        <v>130</v>
      </c>
    </row>
    <row r="375" customFormat="false" ht="15" hidden="false" customHeight="false" outlineLevel="0" collapsed="false">
      <c r="A375" s="25" t="s">
        <v>385</v>
      </c>
      <c r="B375" s="25" t="s">
        <v>561</v>
      </c>
      <c r="C375" s="25" t="s">
        <v>563</v>
      </c>
      <c r="D375" s="52" t="n">
        <f aca="false">ROUND(S375*T375,0)</f>
        <v>364</v>
      </c>
      <c r="E375" s="52" t="n">
        <f aca="false">ROUND(S375,0)-D375</f>
        <v>564</v>
      </c>
      <c r="F375" s="52" t="n">
        <f aca="false">IF(COUNTA(D375:E375)=0,"",SUM(D375:E375))</f>
        <v>928</v>
      </c>
      <c r="G375" s="53" t="n">
        <f aca="false">IF(OR(F375="",F375=0),"",D375/F375)</f>
        <v>0.392241379310345</v>
      </c>
      <c r="H375" s="53" t="n">
        <f aca="false">IF(OR(F375="",F375=0),"",E375/F375)</f>
        <v>0.607758620689655</v>
      </c>
      <c r="I375" s="25" t="s">
        <v>128</v>
      </c>
      <c r="J375" s="28" t="n">
        <v>2.22489971008846</v>
      </c>
      <c r="K375" s="28" t="n">
        <f aca="false">$K$8</f>
        <v>0.297938238782275</v>
      </c>
      <c r="L375" s="28" t="n">
        <f aca="false">SQRT(J375^2+K375^2)</f>
        <v>2.24475965619494</v>
      </c>
      <c r="M375" s="53" t="n">
        <f aca="false">IF(G375="","",MAX(0,G375-1.96*L375/100))</f>
        <v>0.348244090048924</v>
      </c>
      <c r="N375" s="53" t="n">
        <f aca="false">IF(G375="","",MIN(1,G375+1.96*L375/100))</f>
        <v>0.436238668571766</v>
      </c>
      <c r="O375" s="52" t="n">
        <f aca="false">ROUND(S375*W375,0)</f>
        <v>82</v>
      </c>
      <c r="P375" s="52" t="n">
        <f aca="false">IF(F375="","",ROUND(SQRT((F375*L375/100)^2+(G375*O375)^2),0))</f>
        <v>38</v>
      </c>
      <c r="R375" s="54" t="n">
        <v>-11.9494903295279</v>
      </c>
      <c r="S375" s="55" t="n">
        <f aca="false">U375*V375*$F$5</f>
        <v>927.869774919614</v>
      </c>
      <c r="T375" s="56" t="n">
        <f aca="false">MAX(0,MIN(1,R375/100+$D$5))</f>
        <v>0.392498511223486</v>
      </c>
      <c r="U375" s="56" t="n">
        <v>0.679260450160772</v>
      </c>
      <c r="V375" s="55" t="n">
        <v>1366</v>
      </c>
      <c r="W375" s="56" t="n">
        <v>0.0887445098984521</v>
      </c>
      <c r="X375" s="57" t="s">
        <v>135</v>
      </c>
      <c r="Y375" s="57" t="s">
        <v>130</v>
      </c>
    </row>
    <row r="376" customFormat="false" ht="15" hidden="false" customHeight="false" outlineLevel="0" collapsed="false">
      <c r="A376" s="25" t="s">
        <v>385</v>
      </c>
      <c r="B376" s="25" t="s">
        <v>561</v>
      </c>
      <c r="C376" s="25" t="s">
        <v>564</v>
      </c>
      <c r="D376" s="52" t="n">
        <f aca="false">ROUND(S376*T376,0)</f>
        <v>430</v>
      </c>
      <c r="E376" s="52" t="n">
        <f aca="false">ROUND(S376,0)-D376</f>
        <v>459</v>
      </c>
      <c r="F376" s="52" t="n">
        <f aca="false">IF(COUNTA(D376:E376)=0,"",SUM(D376:E376))</f>
        <v>889</v>
      </c>
      <c r="G376" s="53" t="n">
        <f aca="false">IF(OR(F376="",F376=0),"",D376/F376)</f>
        <v>0.483689538807649</v>
      </c>
      <c r="H376" s="53" t="n">
        <f aca="false">IF(OR(F376="",F376=0),"",E376/F376)</f>
        <v>0.516310461192351</v>
      </c>
      <c r="I376" s="25" t="s">
        <v>128</v>
      </c>
      <c r="J376" s="28" t="n">
        <v>2.22489971008846</v>
      </c>
      <c r="K376" s="28" t="n">
        <f aca="false">$K$8</f>
        <v>0.297938238782275</v>
      </c>
      <c r="L376" s="28" t="n">
        <f aca="false">SQRT(J376^2+K376^2)</f>
        <v>2.24475965619494</v>
      </c>
      <c r="M376" s="53" t="n">
        <f aca="false">IF(G376="","",MAX(0,G376-1.96*L376/100))</f>
        <v>0.439692249546228</v>
      </c>
      <c r="N376" s="53" t="n">
        <f aca="false">IF(G376="","",MIN(1,G376+1.96*L376/100))</f>
        <v>0.52768682806907</v>
      </c>
      <c r="O376" s="52" t="n">
        <f aca="false">ROUND(S376*W376,0)</f>
        <v>79</v>
      </c>
      <c r="P376" s="52" t="n">
        <f aca="false">IF(F376="","",ROUND(SQRT((F376*L376/100)^2+(G376*O376)^2),0))</f>
        <v>43</v>
      </c>
      <c r="R376" s="54" t="n">
        <v>-2.7754459161551</v>
      </c>
      <c r="S376" s="55" t="n">
        <f aca="false">U376*V376*$F$5</f>
        <v>888.564146620848</v>
      </c>
      <c r="T376" s="56" t="n">
        <f aca="false">MAX(0,MIN(1,R376/100+$D$5))</f>
        <v>0.484238955357214</v>
      </c>
      <c r="U376" s="56" t="n">
        <v>0.521764032073311</v>
      </c>
      <c r="V376" s="55" t="n">
        <v>1703</v>
      </c>
      <c r="W376" s="56" t="n">
        <v>0.0887445098984521</v>
      </c>
      <c r="X376" s="57" t="s">
        <v>135</v>
      </c>
      <c r="Y376" s="57" t="s">
        <v>130</v>
      </c>
    </row>
    <row r="377" customFormat="false" ht="15" hidden="false" customHeight="false" outlineLevel="0" collapsed="false">
      <c r="A377" s="25" t="s">
        <v>385</v>
      </c>
      <c r="B377" s="25" t="s">
        <v>561</v>
      </c>
      <c r="C377" s="25" t="s">
        <v>565</v>
      </c>
      <c r="D377" s="52" t="n">
        <f aca="false">ROUND(S377*T377,0)</f>
        <v>243</v>
      </c>
      <c r="E377" s="52" t="n">
        <f aca="false">ROUND(S377,0)-D377</f>
        <v>338</v>
      </c>
      <c r="F377" s="52" t="n">
        <f aca="false">IF(COUNTA(D377:E377)=0,"",SUM(D377:E377))</f>
        <v>581</v>
      </c>
      <c r="G377" s="53" t="n">
        <f aca="false">IF(OR(F377="",F377=0),"",D377/F377)</f>
        <v>0.418244406196213</v>
      </c>
      <c r="H377" s="53" t="n">
        <f aca="false">IF(OR(F377="",F377=0),"",E377/F377)</f>
        <v>0.581755593803787</v>
      </c>
      <c r="I377" s="25" t="s">
        <v>128</v>
      </c>
      <c r="J377" s="28" t="n">
        <v>2.22489971008846</v>
      </c>
      <c r="K377" s="28" t="n">
        <f aca="false">$K$8</f>
        <v>0.297938238782275</v>
      </c>
      <c r="L377" s="28" t="n">
        <f aca="false">SQRT(J377^2+K377^2)</f>
        <v>2.24475965619494</v>
      </c>
      <c r="M377" s="53" t="n">
        <f aca="false">IF(G377="","",MAX(0,G377-1.96*L377/100))</f>
        <v>0.374247116934793</v>
      </c>
      <c r="N377" s="53" t="n">
        <f aca="false">IF(G377="","",MIN(1,G377+1.96*L377/100))</f>
        <v>0.462241695457634</v>
      </c>
      <c r="O377" s="52" t="n">
        <f aca="false">ROUND(S377*W377,0)</f>
        <v>52</v>
      </c>
      <c r="P377" s="52" t="n">
        <f aca="false">IF(F377="","",ROUND(SQRT((F377*L377/100)^2+(G377*O377)^2),0))</f>
        <v>25</v>
      </c>
      <c r="R377" s="54" t="n">
        <v>-9.38430593276938</v>
      </c>
      <c r="S377" s="55" t="n">
        <f aca="false">U377*V377*$F$5</f>
        <v>580.714285714285</v>
      </c>
      <c r="T377" s="56" t="n">
        <f aca="false">MAX(0,MIN(1,R377/100+$D$5))</f>
        <v>0.418150355191071</v>
      </c>
      <c r="U377" s="56" t="n">
        <v>0.714285714285714</v>
      </c>
      <c r="V377" s="55" t="n">
        <v>813</v>
      </c>
      <c r="W377" s="56" t="n">
        <v>0.0887445098984521</v>
      </c>
      <c r="X377" s="57" t="s">
        <v>135</v>
      </c>
      <c r="Y377" s="57" t="s">
        <v>130</v>
      </c>
    </row>
    <row r="378" customFormat="false" ht="15" hidden="false" customHeight="false" outlineLevel="0" collapsed="false">
      <c r="A378" s="25" t="s">
        <v>385</v>
      </c>
      <c r="B378" s="25" t="s">
        <v>566</v>
      </c>
      <c r="C378" s="25" t="s">
        <v>567</v>
      </c>
      <c r="D378" s="52" t="n">
        <f aca="false">ROUND(S378*T378,0)</f>
        <v>456</v>
      </c>
      <c r="E378" s="52" t="n">
        <f aca="false">ROUND(S378,0)-D378</f>
        <v>309</v>
      </c>
      <c r="F378" s="52" t="n">
        <f aca="false">IF(COUNTA(D378:E378)=0,"",SUM(D378:E378))</f>
        <v>765</v>
      </c>
      <c r="G378" s="53" t="n">
        <f aca="false">IF(OR(F378="",F378=0),"",D378/F378)</f>
        <v>0.596078431372549</v>
      </c>
      <c r="H378" s="53" t="n">
        <f aca="false">IF(OR(F378="",F378=0),"",E378/F378)</f>
        <v>0.403921568627451</v>
      </c>
      <c r="I378" s="25" t="s">
        <v>128</v>
      </c>
      <c r="J378" s="28" t="n">
        <v>2.22489971008846</v>
      </c>
      <c r="K378" s="28" t="n">
        <f aca="false">$K$8</f>
        <v>0.297938238782275</v>
      </c>
      <c r="L378" s="28" t="n">
        <f aca="false">SQRT(J378^2+K378^2)</f>
        <v>2.24475965619494</v>
      </c>
      <c r="M378" s="53" t="n">
        <f aca="false">IF(G378="","",MAX(0,G378-1.96*L378/100))</f>
        <v>0.552081142111128</v>
      </c>
      <c r="N378" s="53" t="n">
        <f aca="false">IF(G378="","",MIN(1,G378+1.96*L378/100))</f>
        <v>0.64007572063397</v>
      </c>
      <c r="O378" s="52" t="n">
        <f aca="false">ROUND(S378*W378,0)</f>
        <v>68</v>
      </c>
      <c r="P378" s="52" t="n">
        <f aca="false">IF(F378="","",ROUND(SQRT((F378*L378/100)^2+(G378*O378)^2),0))</f>
        <v>44</v>
      </c>
      <c r="R378" s="54" t="n">
        <v>8.39277476859492</v>
      </c>
      <c r="S378" s="55" t="n">
        <f aca="false">U378*V378*$F$5</f>
        <v>764.667071688942</v>
      </c>
      <c r="T378" s="56" t="n">
        <f aca="false">MAX(0,MIN(1,R378/100+$D$5))</f>
        <v>0.595921162204714</v>
      </c>
      <c r="U378" s="56" t="n">
        <v>0.451397326852977</v>
      </c>
      <c r="V378" s="55" t="n">
        <v>1694</v>
      </c>
      <c r="W378" s="56" t="n">
        <v>0.0887445098984521</v>
      </c>
      <c r="X378" s="57" t="s">
        <v>135</v>
      </c>
      <c r="Y378" s="57" t="s">
        <v>130</v>
      </c>
    </row>
    <row r="379" customFormat="false" ht="15" hidden="false" customHeight="false" outlineLevel="0" collapsed="false">
      <c r="A379" s="25" t="s">
        <v>385</v>
      </c>
      <c r="B379" s="25" t="s">
        <v>566</v>
      </c>
      <c r="C379" s="25" t="s">
        <v>568</v>
      </c>
      <c r="D379" s="52" t="n">
        <f aca="false">ROUND(S379*T379,0)</f>
        <v>351</v>
      </c>
      <c r="E379" s="52" t="n">
        <f aca="false">ROUND(S379,0)-D379</f>
        <v>268</v>
      </c>
      <c r="F379" s="52" t="n">
        <f aca="false">IF(COUNTA(D379:E379)=0,"",SUM(D379:E379))</f>
        <v>619</v>
      </c>
      <c r="G379" s="53" t="n">
        <f aca="false">IF(OR(F379="",F379=0),"",D379/F379)</f>
        <v>0.567043618739903</v>
      </c>
      <c r="H379" s="53" t="n">
        <f aca="false">IF(OR(F379="",F379=0),"",E379/F379)</f>
        <v>0.432956381260097</v>
      </c>
      <c r="I379" s="25" t="s">
        <v>128</v>
      </c>
      <c r="J379" s="28" t="n">
        <v>2.22489971008846</v>
      </c>
      <c r="K379" s="28" t="n">
        <f aca="false">$K$8</f>
        <v>0.297938238782275</v>
      </c>
      <c r="L379" s="28" t="n">
        <f aca="false">SQRT(J379^2+K379^2)</f>
        <v>2.24475965619494</v>
      </c>
      <c r="M379" s="53" t="n">
        <f aca="false">IF(G379="","",MAX(0,G379-1.96*L379/100))</f>
        <v>0.523046329478482</v>
      </c>
      <c r="N379" s="53" t="n">
        <f aca="false">IF(G379="","",MIN(1,G379+1.96*L379/100))</f>
        <v>0.611040908001324</v>
      </c>
      <c r="O379" s="52" t="n">
        <f aca="false">ROUND(S379*W379,0)</f>
        <v>55</v>
      </c>
      <c r="P379" s="52" t="n">
        <f aca="false">IF(F379="","",ROUND(SQRT((F379*L379/100)^2+(G379*O379)^2),0))</f>
        <v>34</v>
      </c>
      <c r="R379" s="54" t="n">
        <v>5.45394819383118</v>
      </c>
      <c r="S379" s="55" t="n">
        <f aca="false">U379*V379*$F$5</f>
        <v>619.017871017871</v>
      </c>
      <c r="T379" s="56" t="n">
        <f aca="false">MAX(0,MIN(1,R379/100+$D$5))</f>
        <v>0.566532896457076</v>
      </c>
      <c r="U379" s="56" t="n">
        <v>0.469308469308469</v>
      </c>
      <c r="V379" s="55" t="n">
        <v>1319</v>
      </c>
      <c r="W379" s="56" t="n">
        <v>0.0887445098984521</v>
      </c>
      <c r="X379" s="57" t="s">
        <v>135</v>
      </c>
      <c r="Y379" s="57" t="s">
        <v>130</v>
      </c>
    </row>
    <row r="380" customFormat="false" ht="15" hidden="false" customHeight="false" outlineLevel="0" collapsed="false">
      <c r="A380" s="25" t="s">
        <v>385</v>
      </c>
      <c r="B380" s="25" t="s">
        <v>566</v>
      </c>
      <c r="C380" s="25" t="s">
        <v>569</v>
      </c>
      <c r="D380" s="52" t="n">
        <f aca="false">ROUND(S380*T380,0)</f>
        <v>533</v>
      </c>
      <c r="E380" s="52" t="n">
        <f aca="false">ROUND(S380,0)-D380</f>
        <v>433</v>
      </c>
      <c r="F380" s="52" t="n">
        <f aca="false">IF(COUNTA(D380:E380)=0,"",SUM(D380:E380))</f>
        <v>966</v>
      </c>
      <c r="G380" s="53" t="n">
        <f aca="false">IF(OR(F380="",F380=0),"",D380/F380)</f>
        <v>0.55175983436853</v>
      </c>
      <c r="H380" s="53" t="n">
        <f aca="false">IF(OR(F380="",F380=0),"",E380/F380)</f>
        <v>0.44824016563147</v>
      </c>
      <c r="I380" s="25" t="s">
        <v>128</v>
      </c>
      <c r="J380" s="28" t="n">
        <v>2.08262589216041</v>
      </c>
      <c r="K380" s="28" t="n">
        <f aca="false">$K$8</f>
        <v>0.297938238782275</v>
      </c>
      <c r="L380" s="28" t="n">
        <f aca="false">SQRT(J380^2+K380^2)</f>
        <v>2.1038293183682</v>
      </c>
      <c r="M380" s="53" t="n">
        <f aca="false">IF(G380="","",MAX(0,G380-1.96*L380/100))</f>
        <v>0.510524779728513</v>
      </c>
      <c r="N380" s="53" t="n">
        <f aca="false">IF(G380="","",MIN(1,G380+1.96*L380/100))</f>
        <v>0.592994889008547</v>
      </c>
      <c r="O380" s="52" t="n">
        <f aca="false">ROUND(S380*W380,0)</f>
        <v>66</v>
      </c>
      <c r="P380" s="52" t="n">
        <f aca="false">IF(F380="","",ROUND(SQRT((F380*L380/100)^2+(G380*O380)^2),0))</f>
        <v>42</v>
      </c>
      <c r="R380" s="54" t="n">
        <v>3.98805385797484</v>
      </c>
      <c r="S380" s="55" t="n">
        <f aca="false">U380*V380*$F$5</f>
        <v>966.474176094441</v>
      </c>
      <c r="T380" s="56" t="n">
        <f aca="false">MAX(0,MIN(1,R380/100+$D$5))</f>
        <v>0.551873953098513</v>
      </c>
      <c r="U380" s="56" t="n">
        <v>0.465322183964584</v>
      </c>
      <c r="V380" s="55" t="n">
        <v>2077</v>
      </c>
      <c r="W380" s="56" t="n">
        <v>0.0684752145190268</v>
      </c>
      <c r="X380" s="57" t="s">
        <v>168</v>
      </c>
      <c r="Y380" s="57" t="s">
        <v>130</v>
      </c>
    </row>
    <row r="381" customFormat="false" ht="15" hidden="false" customHeight="false" outlineLevel="0" collapsed="false">
      <c r="A381" s="25" t="s">
        <v>385</v>
      </c>
      <c r="B381" s="25" t="s">
        <v>570</v>
      </c>
      <c r="C381" s="25" t="s">
        <v>570</v>
      </c>
      <c r="D381" s="52" t="n">
        <f aca="false">ROUND(S381*T381,0)</f>
        <v>487</v>
      </c>
      <c r="E381" s="52" t="n">
        <f aca="false">ROUND(S381,0)-D381</f>
        <v>658</v>
      </c>
      <c r="F381" s="52" t="n">
        <f aca="false">IF(COUNTA(D381:E381)=0,"",SUM(D381:E381))</f>
        <v>1145</v>
      </c>
      <c r="G381" s="53" t="n">
        <f aca="false">IF(OR(F381="",F381=0),"",D381/F381)</f>
        <v>0.425327510917031</v>
      </c>
      <c r="H381" s="53" t="n">
        <f aca="false">IF(OR(F381="",F381=0),"",E381/F381)</f>
        <v>0.574672489082969</v>
      </c>
      <c r="I381" s="25" t="s">
        <v>128</v>
      </c>
      <c r="J381" s="28" t="n">
        <v>2.08262589216041</v>
      </c>
      <c r="K381" s="28" t="n">
        <f aca="false">$K$8</f>
        <v>0.297938238782275</v>
      </c>
      <c r="L381" s="28" t="n">
        <f aca="false">SQRT(J381^2+K381^2)</f>
        <v>2.1038293183682</v>
      </c>
      <c r="M381" s="53" t="n">
        <f aca="false">IF(G381="","",MAX(0,G381-1.96*L381/100))</f>
        <v>0.384092456277014</v>
      </c>
      <c r="N381" s="53" t="n">
        <f aca="false">IF(G381="","",MIN(1,G381+1.96*L381/100))</f>
        <v>0.466562565557047</v>
      </c>
      <c r="O381" s="52" t="n">
        <f aca="false">ROUND(S381*W381,0)</f>
        <v>78</v>
      </c>
      <c r="P381" s="52" t="n">
        <f aca="false">IF(F381="","",ROUND(SQRT((F381*L381/100)^2+(G381*O381)^2),0))</f>
        <v>41</v>
      </c>
      <c r="R381" s="54" t="n">
        <v>-8.71380276150452</v>
      </c>
      <c r="S381" s="55" t="n">
        <f aca="false">U381*V381*$F$5</f>
        <v>1145.48062775871</v>
      </c>
      <c r="T381" s="56" t="n">
        <f aca="false">MAX(0,MIN(1,R381/100+$D$5))</f>
        <v>0.424855386903719</v>
      </c>
      <c r="U381" s="56" t="n">
        <v>0.537027954879843</v>
      </c>
      <c r="V381" s="55" t="n">
        <v>2133</v>
      </c>
      <c r="W381" s="56" t="n">
        <v>0.0684752145190268</v>
      </c>
      <c r="X381" s="57" t="s">
        <v>168</v>
      </c>
      <c r="Y381" s="57" t="s">
        <v>130</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573</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574</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B5-SUMPRODUCT(R12:R381,S12:S381)/SUM(S12:S381)/100</f>
        <v>0.507556107108415</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SUM(D12:D381)</f>
        <v>151570</v>
      </c>
      <c r="E8" s="46" t="n">
        <f aca="false">SUM(E12:E381)</f>
        <v>154543</v>
      </c>
      <c r="F8" s="46" t="n">
        <f aca="false">D8+E8</f>
        <v>306113</v>
      </c>
      <c r="G8" s="47" t="n">
        <f aca="false">IF(F8=0,"",D8/F8)</f>
        <v>0.495143950109927</v>
      </c>
      <c r="H8" s="47" t="n">
        <f aca="false">IF(F8=0,"",E8/F8)</f>
        <v>0.504856049890073</v>
      </c>
      <c r="I8" s="20" t="s">
        <v>113</v>
      </c>
      <c r="J8" s="48" t="n">
        <v>0</v>
      </c>
      <c r="K8" s="48" t="n">
        <v>0.296197623206382</v>
      </c>
      <c r="L8" s="48" t="n">
        <f aca="false">SQRT(J8^2+K8^2)</f>
        <v>0.296197623206382</v>
      </c>
      <c r="M8" s="47" t="n">
        <f aca="false">G8-1.96*L8/100</f>
        <v>0.489338476695082</v>
      </c>
      <c r="N8" s="47" t="n">
        <f aca="false">G8+1.96*L8/100</f>
        <v>0.500949423524772</v>
      </c>
      <c r="O8" s="46" t="n">
        <f aca="false">ROUND(F8*0.04436,0)</f>
        <v>13579</v>
      </c>
      <c r="P8" s="46" t="n">
        <f aca="false">ROUND(SQRT((F8*L8/100)^2+(G8*O8)^2),0)</f>
        <v>6784</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127</v>
      </c>
      <c r="D12" s="52" t="n">
        <f aca="false">ROUND(S12*T12,0)</f>
        <v>147</v>
      </c>
      <c r="E12" s="52" t="n">
        <f aca="false">ROUND(S12,0)-D12</f>
        <v>217</v>
      </c>
      <c r="F12" s="52" t="n">
        <f aca="false">IF(COUNTA(D12:E12)=0,"",SUM(D12:E12))</f>
        <v>364</v>
      </c>
      <c r="G12" s="53" t="n">
        <f aca="false">IF(OR(F12="",F12=0),"",D12/F12)</f>
        <v>0.403846153846154</v>
      </c>
      <c r="H12" s="53" t="n">
        <f aca="false">IF(OR(F12="",F12=0),"",E12/F12)</f>
        <v>0.596153846153846</v>
      </c>
      <c r="I12" s="25" t="s">
        <v>128</v>
      </c>
      <c r="J12" s="28" t="n">
        <v>3.71103496666907</v>
      </c>
      <c r="K12" s="28" t="n">
        <f aca="false">$K$8</f>
        <v>0.296197623206382</v>
      </c>
      <c r="L12" s="28" t="n">
        <f aca="false">SQRT(J12^2+K12^2)</f>
        <v>3.72283676191068</v>
      </c>
      <c r="M12" s="53" t="n">
        <f aca="false">IF(G12="","",MAX(0,G12-1.96*L12/100))</f>
        <v>0.330878553312705</v>
      </c>
      <c r="N12" s="53" t="n">
        <f aca="false">IF(G12="","",MIN(1,G12+1.96*L12/100))</f>
        <v>0.476813754379603</v>
      </c>
      <c r="O12" s="52" t="n">
        <f aca="false">ROUND(S12*W12,0)</f>
        <v>54</v>
      </c>
      <c r="P12" s="52" t="n">
        <f aca="false">IF(F12="","",ROUND(SQRT((F12*L12/100)^2+(G12*O12)^2),0))</f>
        <v>26</v>
      </c>
      <c r="R12" s="54" t="n">
        <v>-10.4721524382724</v>
      </c>
      <c r="S12" s="55" t="n">
        <f aca="false">U12*V12*$F$5</f>
        <v>364.490963855422</v>
      </c>
      <c r="T12" s="56" t="n">
        <f aca="false">MAX(0,MIN(1,R12/100+$D$5))</f>
        <v>0.402834582725691</v>
      </c>
      <c r="U12" s="56" t="n">
        <v>0.58132530120482</v>
      </c>
      <c r="V12" s="55" t="n">
        <v>627</v>
      </c>
      <c r="W12" s="56" t="n">
        <v>0.148097331980838</v>
      </c>
      <c r="X12" s="57" t="s">
        <v>129</v>
      </c>
      <c r="Y12" s="57" t="s">
        <v>130</v>
      </c>
    </row>
    <row r="13" customFormat="false" ht="15" hidden="false" customHeight="false" outlineLevel="0" collapsed="false">
      <c r="A13" s="25" t="s">
        <v>126</v>
      </c>
      <c r="B13" s="25" t="s">
        <v>131</v>
      </c>
      <c r="C13" s="25" t="s">
        <v>131</v>
      </c>
      <c r="D13" s="52" t="n">
        <f aca="false">ROUND(S13*T13,0)</f>
        <v>90</v>
      </c>
      <c r="E13" s="52" t="n">
        <f aca="false">ROUND(S13,0)-D13</f>
        <v>240</v>
      </c>
      <c r="F13" s="52" t="n">
        <f aca="false">IF(COUNTA(D13:E13)=0,"",SUM(D13:E13))</f>
        <v>330</v>
      </c>
      <c r="G13" s="53" t="n">
        <f aca="false">IF(OR(F13="",F13=0),"",D13/F13)</f>
        <v>0.272727272727273</v>
      </c>
      <c r="H13" s="53" t="n">
        <f aca="false">IF(OR(F13="",F13=0),"",E13/F13)</f>
        <v>0.727272727272727</v>
      </c>
      <c r="I13" s="25" t="s">
        <v>128</v>
      </c>
      <c r="J13" s="28" t="n">
        <v>3.71103496666907</v>
      </c>
      <c r="K13" s="28" t="n">
        <f aca="false">$K$8</f>
        <v>0.296197623206382</v>
      </c>
      <c r="L13" s="28" t="n">
        <f aca="false">SQRT(J13^2+K13^2)</f>
        <v>3.72283676191068</v>
      </c>
      <c r="M13" s="53" t="n">
        <f aca="false">IF(G13="","",MAX(0,G13-1.96*L13/100))</f>
        <v>0.199759672193823</v>
      </c>
      <c r="N13" s="53" t="n">
        <f aca="false">IF(G13="","",MIN(1,G13+1.96*L13/100))</f>
        <v>0.345694873260722</v>
      </c>
      <c r="O13" s="52" t="n">
        <f aca="false">ROUND(S13*W13,0)</f>
        <v>49</v>
      </c>
      <c r="P13" s="52" t="n">
        <f aca="false">IF(F13="","",ROUND(SQRT((F13*L13/100)^2+(G13*O13)^2),0))</f>
        <v>18</v>
      </c>
      <c r="R13" s="54" t="n">
        <v>-23.5599836444359</v>
      </c>
      <c r="S13" s="55" t="n">
        <f aca="false">U13*V13*$F$5</f>
        <v>330.130136986301</v>
      </c>
      <c r="T13" s="56" t="n">
        <f aca="false">MAX(0,MIN(1,R13/100+$D$5))</f>
        <v>0.271956270664056</v>
      </c>
      <c r="U13" s="56" t="n">
        <v>0.537671232876712</v>
      </c>
      <c r="V13" s="55" t="n">
        <v>614</v>
      </c>
      <c r="W13" s="56" t="n">
        <v>0.148097331980838</v>
      </c>
      <c r="X13" s="57" t="s">
        <v>129</v>
      </c>
      <c r="Y13" s="57" t="s">
        <v>130</v>
      </c>
    </row>
    <row r="14" customFormat="false" ht="15" hidden="false" customHeight="false" outlineLevel="0" collapsed="false">
      <c r="A14" s="25" t="s">
        <v>126</v>
      </c>
      <c r="B14" s="25" t="s">
        <v>132</v>
      </c>
      <c r="C14" s="25" t="s">
        <v>132</v>
      </c>
      <c r="D14" s="52" t="n">
        <f aca="false">ROUND(S14*T14,0)</f>
        <v>111</v>
      </c>
      <c r="E14" s="52" t="n">
        <f aca="false">ROUND(S14,0)-D14</f>
        <v>245</v>
      </c>
      <c r="F14" s="52" t="n">
        <f aca="false">IF(COUNTA(D14:E14)=0,"",SUM(D14:E14))</f>
        <v>356</v>
      </c>
      <c r="G14" s="53" t="n">
        <f aca="false">IF(OR(F14="",F14=0),"",D14/F14)</f>
        <v>0.311797752808989</v>
      </c>
      <c r="H14" s="53" t="n">
        <f aca="false">IF(OR(F14="",F14=0),"",E14/F14)</f>
        <v>0.688202247191011</v>
      </c>
      <c r="I14" s="25" t="s">
        <v>128</v>
      </c>
      <c r="J14" s="28" t="n">
        <v>3.71103496666907</v>
      </c>
      <c r="K14" s="28" t="n">
        <f aca="false">$K$8</f>
        <v>0.296197623206382</v>
      </c>
      <c r="L14" s="28" t="n">
        <f aca="false">SQRT(J14^2+K14^2)</f>
        <v>3.72283676191068</v>
      </c>
      <c r="M14" s="53" t="n">
        <f aca="false">IF(G14="","",MAX(0,G14-1.96*L14/100))</f>
        <v>0.238830152275539</v>
      </c>
      <c r="N14" s="53" t="n">
        <f aca="false">IF(G14="","",MIN(1,G14+1.96*L14/100))</f>
        <v>0.384765353342438</v>
      </c>
      <c r="O14" s="52" t="n">
        <f aca="false">ROUND(S14*W14,0)</f>
        <v>53</v>
      </c>
      <c r="P14" s="52" t="n">
        <f aca="false">IF(F14="","",ROUND(SQRT((F14*L14/100)^2+(G14*O14)^2),0))</f>
        <v>21</v>
      </c>
      <c r="R14" s="54" t="n">
        <v>-19.4456085523961</v>
      </c>
      <c r="S14" s="55" t="n">
        <f aca="false">U14*V14*$F$5</f>
        <v>355.63436928702</v>
      </c>
      <c r="T14" s="56" t="n">
        <f aca="false">MAX(0,MIN(1,R14/100+$D$5))</f>
        <v>0.313100021584454</v>
      </c>
      <c r="U14" s="56" t="n">
        <v>0.636197440585009</v>
      </c>
      <c r="V14" s="55" t="n">
        <v>559</v>
      </c>
      <c r="W14" s="56" t="n">
        <v>0.148097331980838</v>
      </c>
      <c r="X14" s="57" t="s">
        <v>129</v>
      </c>
      <c r="Y14" s="57" t="s">
        <v>130</v>
      </c>
    </row>
    <row r="15" customFormat="false" ht="15" hidden="false" customHeight="false" outlineLevel="0" collapsed="false">
      <c r="A15" s="25" t="s">
        <v>126</v>
      </c>
      <c r="B15" s="25" t="s">
        <v>133</v>
      </c>
      <c r="C15" s="25" t="s">
        <v>134</v>
      </c>
      <c r="D15" s="52" t="n">
        <f aca="false">ROUND(S15*T15,0)</f>
        <v>177</v>
      </c>
      <c r="E15" s="52" t="n">
        <f aca="false">ROUND(S15,0)-D15</f>
        <v>547</v>
      </c>
      <c r="F15" s="52" t="n">
        <f aca="false">IF(COUNTA(D15:E15)=0,"",SUM(D15:E15))</f>
        <v>724</v>
      </c>
      <c r="G15" s="53" t="n">
        <f aca="false">IF(OR(F15="",F15=0),"",D15/F15)</f>
        <v>0.244475138121547</v>
      </c>
      <c r="H15" s="53" t="n">
        <f aca="false">IF(OR(F15="",F15=0),"",E15/F15)</f>
        <v>0.755524861878453</v>
      </c>
      <c r="I15" s="25" t="s">
        <v>128</v>
      </c>
      <c r="J15" s="28" t="n">
        <v>2.37310914384046</v>
      </c>
      <c r="K15" s="28" t="n">
        <f aca="false">$K$8</f>
        <v>0.296197623206382</v>
      </c>
      <c r="L15" s="28" t="n">
        <f aca="false">SQRT(J15^2+K15^2)</f>
        <v>2.3915225360787</v>
      </c>
      <c r="M15" s="53" t="n">
        <f aca="false">IF(G15="","",MAX(0,G15-1.96*L15/100))</f>
        <v>0.197601296414404</v>
      </c>
      <c r="N15" s="53" t="n">
        <f aca="false">IF(G15="","",MIN(1,G15+1.96*L15/100))</f>
        <v>0.29134897982869</v>
      </c>
      <c r="O15" s="52" t="n">
        <f aca="false">ROUND(S15*W15,0)</f>
        <v>64</v>
      </c>
      <c r="P15" s="52" t="n">
        <f aca="false">IF(F15="","",ROUND(SQRT((F15*L15/100)^2+(G15*O15)^2),0))</f>
        <v>23</v>
      </c>
      <c r="R15" s="54" t="n">
        <v>-26.25551406395</v>
      </c>
      <c r="S15" s="55" t="n">
        <f aca="false">U15*V15*$F$5</f>
        <v>724.377906976744</v>
      </c>
      <c r="T15" s="56" t="n">
        <f aca="false">MAX(0,MIN(1,R15/100+$D$5))</f>
        <v>0.245000966468915</v>
      </c>
      <c r="U15" s="56" t="n">
        <v>0.676356589147287</v>
      </c>
      <c r="V15" s="55" t="n">
        <v>1071</v>
      </c>
      <c r="W15" s="56" t="n">
        <v>0.0887445098984521</v>
      </c>
      <c r="X15" s="57" t="s">
        <v>135</v>
      </c>
      <c r="Y15" s="57" t="s">
        <v>130</v>
      </c>
    </row>
    <row r="16" customFormat="false" ht="15" hidden="false" customHeight="false" outlineLevel="0" collapsed="false">
      <c r="A16" s="25" t="s">
        <v>126</v>
      </c>
      <c r="B16" s="25" t="s">
        <v>133</v>
      </c>
      <c r="C16" s="25" t="s">
        <v>136</v>
      </c>
      <c r="D16" s="52" t="n">
        <f aca="false">ROUND(S16*T16,0)</f>
        <v>163</v>
      </c>
      <c r="E16" s="52" t="n">
        <f aca="false">ROUND(S16,0)-D16</f>
        <v>448</v>
      </c>
      <c r="F16" s="52" t="n">
        <f aca="false">IF(COUNTA(D16:E16)=0,"",SUM(D16:E16))</f>
        <v>611</v>
      </c>
      <c r="G16" s="53" t="n">
        <f aca="false">IF(OR(F16="",F16=0),"",D16/F16)</f>
        <v>0.266775777414075</v>
      </c>
      <c r="H16" s="53" t="n">
        <f aca="false">IF(OR(F16="",F16=0),"",E16/F16)</f>
        <v>0.733224222585925</v>
      </c>
      <c r="I16" s="25" t="s">
        <v>128</v>
      </c>
      <c r="J16" s="28" t="n">
        <v>2.37310914384046</v>
      </c>
      <c r="K16" s="28" t="n">
        <f aca="false">$K$8</f>
        <v>0.296197623206382</v>
      </c>
      <c r="L16" s="28" t="n">
        <f aca="false">SQRT(J16^2+K16^2)</f>
        <v>2.3915225360787</v>
      </c>
      <c r="M16" s="53" t="n">
        <f aca="false">IF(G16="","",MAX(0,G16-1.96*L16/100))</f>
        <v>0.219901935706933</v>
      </c>
      <c r="N16" s="53" t="n">
        <f aca="false">IF(G16="","",MIN(1,G16+1.96*L16/100))</f>
        <v>0.313649619121218</v>
      </c>
      <c r="O16" s="52" t="n">
        <f aca="false">ROUND(S16*W16,0)</f>
        <v>54</v>
      </c>
      <c r="P16" s="52" t="n">
        <f aca="false">IF(F16="","",ROUND(SQRT((F16*L16/100)^2+(G16*O16)^2),0))</f>
        <v>21</v>
      </c>
      <c r="R16" s="54" t="n">
        <v>-24.0939926673688</v>
      </c>
      <c r="S16" s="55" t="n">
        <f aca="false">U16*V16*$F$5</f>
        <v>610.89237199582</v>
      </c>
      <c r="T16" s="56" t="n">
        <f aca="false">MAX(0,MIN(1,R16/100+$D$5))</f>
        <v>0.266616180434727</v>
      </c>
      <c r="U16" s="56" t="n">
        <v>0.625914315569488</v>
      </c>
      <c r="V16" s="55" t="n">
        <v>976</v>
      </c>
      <c r="W16" s="56" t="n">
        <v>0.0887445098984521</v>
      </c>
      <c r="X16" s="57" t="s">
        <v>135</v>
      </c>
      <c r="Y16" s="57" t="s">
        <v>130</v>
      </c>
    </row>
    <row r="17" customFormat="false" ht="15" hidden="false" customHeight="false" outlineLevel="0" collapsed="false">
      <c r="A17" s="25" t="s">
        <v>126</v>
      </c>
      <c r="B17" s="25" t="s">
        <v>137</v>
      </c>
      <c r="C17" s="25" t="s">
        <v>137</v>
      </c>
      <c r="D17" s="52" t="n">
        <f aca="false">ROUND(S17*T17,0)</f>
        <v>31</v>
      </c>
      <c r="E17" s="52" t="n">
        <f aca="false">ROUND(S17,0)-D17</f>
        <v>62</v>
      </c>
      <c r="F17" s="52" t="n">
        <f aca="false">IF(COUNTA(D17:E17)=0,"",SUM(D17:E17))</f>
        <v>93</v>
      </c>
      <c r="G17" s="53" t="n">
        <f aca="false">IF(OR(F17="",F17=0),"",D17/F17)</f>
        <v>0.333333333333333</v>
      </c>
      <c r="H17" s="53" t="n">
        <f aca="false">IF(OR(F17="",F17=0),"",E17/F17)</f>
        <v>0.666666666666667</v>
      </c>
      <c r="I17" s="25" t="s">
        <v>128</v>
      </c>
      <c r="J17" s="28" t="n">
        <v>3.71103496666907</v>
      </c>
      <c r="K17" s="28" t="n">
        <f aca="false">$K$8</f>
        <v>0.296197623206382</v>
      </c>
      <c r="L17" s="28" t="n">
        <f aca="false">SQRT(J17^2+K17^2)</f>
        <v>3.72283676191068</v>
      </c>
      <c r="M17" s="53" t="n">
        <f aca="false">IF(G17="","",MAX(0,G17-1.96*L17/100))</f>
        <v>0.260365732799884</v>
      </c>
      <c r="N17" s="53" t="n">
        <f aca="false">IF(G17="","",MIN(1,G17+1.96*L17/100))</f>
        <v>0.406300933866783</v>
      </c>
      <c r="O17" s="52" t="n">
        <f aca="false">ROUND(S17*W17,0)</f>
        <v>14</v>
      </c>
      <c r="P17" s="52" t="n">
        <f aca="false">IF(F17="","",ROUND(SQRT((F17*L17/100)^2+(G17*O17)^2),0))</f>
        <v>6</v>
      </c>
      <c r="R17" s="54" t="n">
        <v>-17.9248566781337</v>
      </c>
      <c r="S17" s="55" t="n">
        <f aca="false">U17*V17*$F$5</f>
        <v>93.4268292682927</v>
      </c>
      <c r="T17" s="56" t="n">
        <f aca="false">MAX(0,MIN(1,R17/100+$D$5))</f>
        <v>0.328307540327078</v>
      </c>
      <c r="U17" s="56" t="n">
        <v>0.573170731707317</v>
      </c>
      <c r="V17" s="55" t="n">
        <v>163</v>
      </c>
      <c r="W17" s="56" t="n">
        <v>0.148097331980838</v>
      </c>
      <c r="X17" s="57" t="s">
        <v>129</v>
      </c>
      <c r="Y17" s="57" t="s">
        <v>130</v>
      </c>
    </row>
    <row r="18" customFormat="false" ht="15" hidden="false" customHeight="false" outlineLevel="0" collapsed="false">
      <c r="A18" s="25" t="s">
        <v>126</v>
      </c>
      <c r="B18" s="25" t="s">
        <v>138</v>
      </c>
      <c r="C18" s="25" t="s">
        <v>139</v>
      </c>
      <c r="D18" s="52" t="n">
        <f aca="false">ROUND(S18*T18,0)</f>
        <v>227</v>
      </c>
      <c r="E18" s="52" t="n">
        <f aca="false">ROUND(S18,0)-D18</f>
        <v>626</v>
      </c>
      <c r="F18" s="52" t="n">
        <f aca="false">IF(COUNTA(D18:E18)=0,"",SUM(D18:E18))</f>
        <v>853</v>
      </c>
      <c r="G18" s="53" t="n">
        <f aca="false">IF(OR(F18="",F18=0),"",D18/F18)</f>
        <v>0.266119577960141</v>
      </c>
      <c r="H18" s="53" t="n">
        <f aca="false">IF(OR(F18="",F18=0),"",E18/F18)</f>
        <v>0.733880422039859</v>
      </c>
      <c r="I18" s="25" t="s">
        <v>128</v>
      </c>
      <c r="J18" s="28" t="n">
        <v>2.37310914384046</v>
      </c>
      <c r="K18" s="28" t="n">
        <f aca="false">$K$8</f>
        <v>0.296197623206382</v>
      </c>
      <c r="L18" s="28" t="n">
        <f aca="false">SQRT(J18^2+K18^2)</f>
        <v>2.3915225360787</v>
      </c>
      <c r="M18" s="53" t="n">
        <f aca="false">IF(G18="","",MAX(0,G18-1.96*L18/100))</f>
        <v>0.219245736252998</v>
      </c>
      <c r="N18" s="53" t="n">
        <f aca="false">IF(G18="","",MIN(1,G18+1.96*L18/100))</f>
        <v>0.312993419667283</v>
      </c>
      <c r="O18" s="52" t="n">
        <f aca="false">ROUND(S18*W18,0)</f>
        <v>76</v>
      </c>
      <c r="P18" s="52" t="n">
        <f aca="false">IF(F18="","",ROUND(SQRT((F18*L18/100)^2+(G18*O18)^2),0))</f>
        <v>29</v>
      </c>
      <c r="R18" s="54" t="n">
        <v>-24.1669824841903</v>
      </c>
      <c r="S18" s="55" t="n">
        <f aca="false">U18*V18*$F$5</f>
        <v>852.994440031771</v>
      </c>
      <c r="T18" s="56" t="n">
        <f aca="false">MAX(0,MIN(1,R18/100+$D$5))</f>
        <v>0.265886282266512</v>
      </c>
      <c r="U18" s="56" t="n">
        <v>0.666401906274821</v>
      </c>
      <c r="V18" s="55" t="n">
        <v>1280</v>
      </c>
      <c r="W18" s="56" t="n">
        <v>0.0887445098984521</v>
      </c>
      <c r="X18" s="57" t="s">
        <v>135</v>
      </c>
      <c r="Y18" s="57" t="s">
        <v>130</v>
      </c>
    </row>
    <row r="19" customFormat="false" ht="15" hidden="false" customHeight="false" outlineLevel="0" collapsed="false">
      <c r="A19" s="25" t="s">
        <v>126</v>
      </c>
      <c r="B19" s="25" t="s">
        <v>138</v>
      </c>
      <c r="C19" s="25" t="s">
        <v>140</v>
      </c>
      <c r="D19" s="52" t="n">
        <f aca="false">ROUND(S19*T19,0)</f>
        <v>115</v>
      </c>
      <c r="E19" s="52" t="n">
        <f aca="false">ROUND(S19,0)-D19</f>
        <v>333</v>
      </c>
      <c r="F19" s="52" t="n">
        <f aca="false">IF(COUNTA(D19:E19)=0,"",SUM(D19:E19))</f>
        <v>448</v>
      </c>
      <c r="G19" s="53" t="n">
        <f aca="false">IF(OR(F19="",F19=0),"",D19/F19)</f>
        <v>0.256696428571429</v>
      </c>
      <c r="H19" s="53" t="n">
        <f aca="false">IF(OR(F19="",F19=0),"",E19/F19)</f>
        <v>0.743303571428571</v>
      </c>
      <c r="I19" s="25" t="s">
        <v>128</v>
      </c>
      <c r="J19" s="28" t="n">
        <v>3.71103496666907</v>
      </c>
      <c r="K19" s="28" t="n">
        <f aca="false">$K$8</f>
        <v>0.296197623206382</v>
      </c>
      <c r="L19" s="28" t="n">
        <f aca="false">SQRT(J19^2+K19^2)</f>
        <v>3.72283676191068</v>
      </c>
      <c r="M19" s="53" t="n">
        <f aca="false">IF(G19="","",MAX(0,G19-1.96*L19/100))</f>
        <v>0.183728828037979</v>
      </c>
      <c r="N19" s="53" t="n">
        <f aca="false">IF(G19="","",MIN(1,G19+1.96*L19/100))</f>
        <v>0.329664029104878</v>
      </c>
      <c r="O19" s="52" t="n">
        <f aca="false">ROUND(S19*W19,0)</f>
        <v>66</v>
      </c>
      <c r="P19" s="52" t="n">
        <f aca="false">IF(F19="","",ROUND(SQRT((F19*L19/100)^2+(G19*O19)^2),0))</f>
        <v>24</v>
      </c>
      <c r="R19" s="54" t="n">
        <v>-25.089599742298</v>
      </c>
      <c r="S19" s="55" t="n">
        <f aca="false">U19*V19*$F$5</f>
        <v>447.939320388349</v>
      </c>
      <c r="T19" s="56" t="n">
        <f aca="false">MAX(0,MIN(1,R19/100+$D$5))</f>
        <v>0.256660109685435</v>
      </c>
      <c r="U19" s="56" t="n">
        <v>0.550970873786408</v>
      </c>
      <c r="V19" s="55" t="n">
        <v>813</v>
      </c>
      <c r="W19" s="56" t="n">
        <v>0.148097331980838</v>
      </c>
      <c r="X19" s="57" t="s">
        <v>129</v>
      </c>
      <c r="Y19" s="57" t="s">
        <v>130</v>
      </c>
    </row>
    <row r="20" customFormat="false" ht="15" hidden="false" customHeight="false" outlineLevel="0" collapsed="false">
      <c r="A20" s="25" t="s">
        <v>126</v>
      </c>
      <c r="B20" s="25" t="s">
        <v>138</v>
      </c>
      <c r="C20" s="25" t="s">
        <v>141</v>
      </c>
      <c r="D20" s="52" t="n">
        <f aca="false">ROUND(S20*T20,0)</f>
        <v>177</v>
      </c>
      <c r="E20" s="52" t="n">
        <f aca="false">ROUND(S20,0)-D20</f>
        <v>506</v>
      </c>
      <c r="F20" s="52" t="n">
        <f aca="false">IF(COUNTA(D20:E20)=0,"",SUM(D20:E20))</f>
        <v>683</v>
      </c>
      <c r="G20" s="53" t="n">
        <f aca="false">IF(OR(F20="",F20=0),"",D20/F20)</f>
        <v>0.259150805270864</v>
      </c>
      <c r="H20" s="53" t="n">
        <f aca="false">IF(OR(F20="",F20=0),"",E20/F20)</f>
        <v>0.740849194729136</v>
      </c>
      <c r="I20" s="25" t="s">
        <v>128</v>
      </c>
      <c r="J20" s="28" t="n">
        <v>2.37310914384046</v>
      </c>
      <c r="K20" s="28" t="n">
        <f aca="false">$K$8</f>
        <v>0.296197623206382</v>
      </c>
      <c r="L20" s="28" t="n">
        <f aca="false">SQRT(J20^2+K20^2)</f>
        <v>2.3915225360787</v>
      </c>
      <c r="M20" s="53" t="n">
        <f aca="false">IF(G20="","",MAX(0,G20-1.96*L20/100))</f>
        <v>0.212276963563721</v>
      </c>
      <c r="N20" s="53" t="n">
        <f aca="false">IF(G20="","",MIN(1,G20+1.96*L20/100))</f>
        <v>0.306024646978006</v>
      </c>
      <c r="O20" s="52" t="n">
        <f aca="false">ROUND(S20*W20,0)</f>
        <v>61</v>
      </c>
      <c r="P20" s="52" t="n">
        <f aca="false">IF(F20="","",ROUND(SQRT((F20*L20/100)^2+(G20*O20)^2),0))</f>
        <v>23</v>
      </c>
      <c r="R20" s="54" t="n">
        <v>-24.9042300652106</v>
      </c>
      <c r="S20" s="55" t="n">
        <f aca="false">U20*V20*$F$5</f>
        <v>683.326771653543</v>
      </c>
      <c r="T20" s="56" t="n">
        <f aca="false">MAX(0,MIN(1,R20/100+$D$5))</f>
        <v>0.258513806456309</v>
      </c>
      <c r="U20" s="56" t="n">
        <v>0.654527559055118</v>
      </c>
      <c r="V20" s="55" t="n">
        <v>1044</v>
      </c>
      <c r="W20" s="56" t="n">
        <v>0.0887445098984521</v>
      </c>
      <c r="X20" s="57" t="s">
        <v>135</v>
      </c>
      <c r="Y20" s="57" t="s">
        <v>130</v>
      </c>
    </row>
    <row r="21" customFormat="false" ht="15" hidden="false" customHeight="false" outlineLevel="0" collapsed="false">
      <c r="A21" s="25" t="s">
        <v>126</v>
      </c>
      <c r="B21" s="25" t="s">
        <v>142</v>
      </c>
      <c r="C21" s="25" t="s">
        <v>143</v>
      </c>
      <c r="D21" s="52" t="n">
        <f aca="false">ROUND(S21*T21,0)</f>
        <v>192</v>
      </c>
      <c r="E21" s="52" t="n">
        <f aca="false">ROUND(S21,0)-D21</f>
        <v>244</v>
      </c>
      <c r="F21" s="52" t="n">
        <f aca="false">IF(COUNTA(D21:E21)=0,"",SUM(D21:E21))</f>
        <v>436</v>
      </c>
      <c r="G21" s="53" t="n">
        <f aca="false">IF(OR(F21="",F21=0),"",D21/F21)</f>
        <v>0.440366972477064</v>
      </c>
      <c r="H21" s="53" t="n">
        <f aca="false">IF(OR(F21="",F21=0),"",E21/F21)</f>
        <v>0.559633027522936</v>
      </c>
      <c r="I21" s="25" t="s">
        <v>128</v>
      </c>
      <c r="J21" s="28" t="n">
        <v>3.71103496666907</v>
      </c>
      <c r="K21" s="28" t="n">
        <f aca="false">$K$8</f>
        <v>0.296197623206382</v>
      </c>
      <c r="L21" s="28" t="n">
        <f aca="false">SQRT(J21^2+K21^2)</f>
        <v>3.72283676191068</v>
      </c>
      <c r="M21" s="53" t="n">
        <f aca="false">IF(G21="","",MAX(0,G21-1.96*L21/100))</f>
        <v>0.367399371943615</v>
      </c>
      <c r="N21" s="53" t="n">
        <f aca="false">IF(G21="","",MIN(1,G21+1.96*L21/100))</f>
        <v>0.513334573010514</v>
      </c>
      <c r="O21" s="52" t="n">
        <f aca="false">ROUND(S21*W21,0)</f>
        <v>65</v>
      </c>
      <c r="P21" s="52" t="n">
        <f aca="false">IF(F21="","",ROUND(SQRT((F21*L21/100)^2+(G21*O21)^2),0))</f>
        <v>33</v>
      </c>
      <c r="R21" s="54" t="n">
        <v>-6.84288269076493</v>
      </c>
      <c r="S21" s="55" t="n">
        <f aca="false">U21*V21*$F$5</f>
        <v>436.24466571835</v>
      </c>
      <c r="T21" s="56" t="n">
        <f aca="false">MAX(0,MIN(1,R21/100+$D$5))</f>
        <v>0.439127280200765</v>
      </c>
      <c r="U21" s="56" t="n">
        <v>0.625889046941679</v>
      </c>
      <c r="V21" s="55" t="n">
        <v>697</v>
      </c>
      <c r="W21" s="56" t="n">
        <v>0.148097331980838</v>
      </c>
      <c r="X21" s="57" t="s">
        <v>129</v>
      </c>
      <c r="Y21" s="57" t="s">
        <v>130</v>
      </c>
    </row>
    <row r="22" customFormat="false" ht="15" hidden="false" customHeight="false" outlineLevel="0" collapsed="false">
      <c r="A22" s="25" t="s">
        <v>126</v>
      </c>
      <c r="B22" s="25" t="s">
        <v>142</v>
      </c>
      <c r="C22" s="25" t="s">
        <v>144</v>
      </c>
      <c r="D22" s="52" t="n">
        <f aca="false">ROUND(S22*T22,0)</f>
        <v>118</v>
      </c>
      <c r="E22" s="52" t="n">
        <f aca="false">ROUND(S22,0)-D22</f>
        <v>162</v>
      </c>
      <c r="F22" s="52" t="n">
        <f aca="false">IF(COUNTA(D22:E22)=0,"",SUM(D22:E22))</f>
        <v>280</v>
      </c>
      <c r="G22" s="53" t="n">
        <f aca="false">IF(OR(F22="",F22=0),"",D22/F22)</f>
        <v>0.421428571428571</v>
      </c>
      <c r="H22" s="53" t="n">
        <f aca="false">IF(OR(F22="",F22=0),"",E22/F22)</f>
        <v>0.578571428571429</v>
      </c>
      <c r="I22" s="25" t="s">
        <v>128</v>
      </c>
      <c r="J22" s="28" t="n">
        <v>3.71103496666907</v>
      </c>
      <c r="K22" s="28" t="n">
        <f aca="false">$K$8</f>
        <v>0.296197623206382</v>
      </c>
      <c r="L22" s="28" t="n">
        <f aca="false">SQRT(J22^2+K22^2)</f>
        <v>3.72283676191068</v>
      </c>
      <c r="M22" s="53" t="n">
        <f aca="false">IF(G22="","",MAX(0,G22-1.96*L22/100))</f>
        <v>0.348460970895122</v>
      </c>
      <c r="N22" s="53" t="n">
        <f aca="false">IF(G22="","",MIN(1,G22+1.96*L22/100))</f>
        <v>0.494396171962021</v>
      </c>
      <c r="O22" s="52" t="n">
        <f aca="false">ROUND(S22*W22,0)</f>
        <v>42</v>
      </c>
      <c r="P22" s="52" t="n">
        <f aca="false">IF(F22="","",ROUND(SQRT((F22*L22/100)^2+(G22*O22)^2),0))</f>
        <v>21</v>
      </c>
      <c r="R22" s="54" t="n">
        <v>-8.77455820031264</v>
      </c>
      <c r="S22" s="55" t="n">
        <f aca="false">U22*V22*$F$5</f>
        <v>280.5</v>
      </c>
      <c r="T22" s="56" t="n">
        <f aca="false">MAX(0,MIN(1,R22/100+$D$5))</f>
        <v>0.419810525105288</v>
      </c>
      <c r="U22" s="56" t="n">
        <v>0.568965517241379</v>
      </c>
      <c r="V22" s="55" t="n">
        <v>493</v>
      </c>
      <c r="W22" s="56" t="n">
        <v>0.148097331980838</v>
      </c>
      <c r="X22" s="57" t="s">
        <v>129</v>
      </c>
      <c r="Y22" s="57" t="s">
        <v>130</v>
      </c>
    </row>
    <row r="23" customFormat="false" ht="15" hidden="false" customHeight="false" outlineLevel="0" collapsed="false">
      <c r="A23" s="25" t="s">
        <v>126</v>
      </c>
      <c r="B23" s="25" t="s">
        <v>142</v>
      </c>
      <c r="C23" s="25" t="s">
        <v>145</v>
      </c>
      <c r="D23" s="52" t="n">
        <f aca="false">ROUND(S23*T23,0)</f>
        <v>246</v>
      </c>
      <c r="E23" s="52" t="n">
        <f aca="false">ROUND(S23,0)-D23</f>
        <v>400</v>
      </c>
      <c r="F23" s="52" t="n">
        <f aca="false">IF(COUNTA(D23:E23)=0,"",SUM(D23:E23))</f>
        <v>646</v>
      </c>
      <c r="G23" s="53" t="n">
        <f aca="false">IF(OR(F23="",F23=0),"",D23/F23)</f>
        <v>0.380804953560372</v>
      </c>
      <c r="H23" s="53" t="n">
        <f aca="false">IF(OR(F23="",F23=0),"",E23/F23)</f>
        <v>0.619195046439629</v>
      </c>
      <c r="I23" s="25" t="s">
        <v>128</v>
      </c>
      <c r="J23" s="28" t="n">
        <v>2.37310914384046</v>
      </c>
      <c r="K23" s="28" t="n">
        <f aca="false">$K$8</f>
        <v>0.296197623206382</v>
      </c>
      <c r="L23" s="28" t="n">
        <f aca="false">SQRT(J23^2+K23^2)</f>
        <v>2.3915225360787</v>
      </c>
      <c r="M23" s="53" t="n">
        <f aca="false">IF(G23="","",MAX(0,G23-1.96*L23/100))</f>
        <v>0.333931111853229</v>
      </c>
      <c r="N23" s="53" t="n">
        <f aca="false">IF(G23="","",MIN(1,G23+1.96*L23/100))</f>
        <v>0.427678795267514</v>
      </c>
      <c r="O23" s="52" t="n">
        <f aca="false">ROUND(S23*W23,0)</f>
        <v>57</v>
      </c>
      <c r="P23" s="52" t="n">
        <f aca="false">IF(F23="","",ROUND(SQRT((F23*L23/100)^2+(G23*O23)^2),0))</f>
        <v>27</v>
      </c>
      <c r="R23" s="54" t="n">
        <v>-12.6655706114412</v>
      </c>
      <c r="S23" s="55" t="n">
        <f aca="false">U23*V23*$F$5</f>
        <v>645.69536423841</v>
      </c>
      <c r="T23" s="56" t="n">
        <f aca="false">MAX(0,MIN(1,R23/100+$D$5))</f>
        <v>0.380900400994003</v>
      </c>
      <c r="U23" s="56" t="n">
        <v>0.689845474613686</v>
      </c>
      <c r="V23" s="55" t="n">
        <v>936</v>
      </c>
      <c r="W23" s="56" t="n">
        <v>0.0887445098984521</v>
      </c>
      <c r="X23" s="57" t="s">
        <v>135</v>
      </c>
      <c r="Y23" s="57" t="s">
        <v>130</v>
      </c>
    </row>
    <row r="24" customFormat="false" ht="15" hidden="false" customHeight="false" outlineLevel="0" collapsed="false">
      <c r="A24" s="25" t="s">
        <v>126</v>
      </c>
      <c r="B24" s="25" t="s">
        <v>142</v>
      </c>
      <c r="C24" s="25" t="s">
        <v>146</v>
      </c>
      <c r="D24" s="52" t="n">
        <f aca="false">ROUND(S24*T24,0)</f>
        <v>116</v>
      </c>
      <c r="E24" s="52" t="n">
        <f aca="false">ROUND(S24,0)-D24</f>
        <v>113</v>
      </c>
      <c r="F24" s="52" t="n">
        <f aca="false">IF(COUNTA(D24:E24)=0,"",SUM(D24:E24))</f>
        <v>229</v>
      </c>
      <c r="G24" s="53" t="n">
        <f aca="false">IF(OR(F24="",F24=0),"",D24/F24)</f>
        <v>0.506550218340611</v>
      </c>
      <c r="H24" s="53" t="n">
        <f aca="false">IF(OR(F24="",F24=0),"",E24/F24)</f>
        <v>0.493449781659389</v>
      </c>
      <c r="I24" s="25" t="s">
        <v>128</v>
      </c>
      <c r="J24" s="28" t="n">
        <v>3.71103496666907</v>
      </c>
      <c r="K24" s="28" t="n">
        <f aca="false">$K$8</f>
        <v>0.296197623206382</v>
      </c>
      <c r="L24" s="28" t="n">
        <f aca="false">SQRT(J24^2+K24^2)</f>
        <v>3.72283676191068</v>
      </c>
      <c r="M24" s="53" t="n">
        <f aca="false">IF(G24="","",MAX(0,G24-1.96*L24/100))</f>
        <v>0.433582617807162</v>
      </c>
      <c r="N24" s="53" t="n">
        <f aca="false">IF(G24="","",MIN(1,G24+1.96*L24/100))</f>
        <v>0.579517818874061</v>
      </c>
      <c r="O24" s="52" t="n">
        <f aca="false">ROUND(S24*W24,0)</f>
        <v>34</v>
      </c>
      <c r="P24" s="52" t="n">
        <f aca="false">IF(F24="","",ROUND(SQRT((F24*L24/100)^2+(G24*O24)^2),0))</f>
        <v>19</v>
      </c>
      <c r="R24" s="54" t="n">
        <v>-0.0253749915895142</v>
      </c>
      <c r="S24" s="55" t="n">
        <f aca="false">U24*V24*$F$5</f>
        <v>229.496083550914</v>
      </c>
      <c r="T24" s="56" t="n">
        <f aca="false">MAX(0,MIN(1,R24/100+$D$5))</f>
        <v>0.50730235719252</v>
      </c>
      <c r="U24" s="56" t="n">
        <v>0.650130548302872</v>
      </c>
      <c r="V24" s="55" t="n">
        <v>353</v>
      </c>
      <c r="W24" s="56" t="n">
        <v>0.148097331980838</v>
      </c>
      <c r="X24" s="57" t="s">
        <v>129</v>
      </c>
      <c r="Y24" s="57" t="s">
        <v>130</v>
      </c>
    </row>
    <row r="25" customFormat="false" ht="15" hidden="false" customHeight="false" outlineLevel="0" collapsed="false">
      <c r="A25" s="25" t="s">
        <v>126</v>
      </c>
      <c r="B25" s="25" t="s">
        <v>142</v>
      </c>
      <c r="C25" s="25" t="s">
        <v>147</v>
      </c>
      <c r="D25" s="52" t="n">
        <f aca="false">ROUND(S25*T25,0)</f>
        <v>229</v>
      </c>
      <c r="E25" s="52" t="n">
        <f aca="false">ROUND(S25,0)-D25</f>
        <v>290</v>
      </c>
      <c r="F25" s="52" t="n">
        <f aca="false">IF(COUNTA(D25:E25)=0,"",SUM(D25:E25))</f>
        <v>519</v>
      </c>
      <c r="G25" s="53" t="n">
        <f aca="false">IF(OR(F25="",F25=0),"",D25/F25)</f>
        <v>0.441233140655106</v>
      </c>
      <c r="H25" s="53" t="n">
        <f aca="false">IF(OR(F25="",F25=0),"",E25/F25)</f>
        <v>0.558766859344894</v>
      </c>
      <c r="I25" s="25" t="s">
        <v>128</v>
      </c>
      <c r="J25" s="28" t="n">
        <v>3.71103496666907</v>
      </c>
      <c r="K25" s="28" t="n">
        <f aca="false">$K$8</f>
        <v>0.296197623206382</v>
      </c>
      <c r="L25" s="28" t="n">
        <f aca="false">SQRT(J25^2+K25^2)</f>
        <v>3.72283676191068</v>
      </c>
      <c r="M25" s="53" t="n">
        <f aca="false">IF(G25="","",MAX(0,G25-1.96*L25/100))</f>
        <v>0.368265540121657</v>
      </c>
      <c r="N25" s="53" t="n">
        <f aca="false">IF(G25="","",MIN(1,G25+1.96*L25/100))</f>
        <v>0.514200741188555</v>
      </c>
      <c r="O25" s="52" t="n">
        <f aca="false">ROUND(S25*W25,0)</f>
        <v>77</v>
      </c>
      <c r="P25" s="52" t="n">
        <f aca="false">IF(F25="","",ROUND(SQRT((F25*L25/100)^2+(G25*O25)^2),0))</f>
        <v>39</v>
      </c>
      <c r="R25" s="54" t="n">
        <v>-6.64367810594294</v>
      </c>
      <c r="S25" s="55" t="n">
        <f aca="false">U25*V25*$F$5</f>
        <v>519.166666666667</v>
      </c>
      <c r="T25" s="56" t="n">
        <f aca="false">MAX(0,MIN(1,R25/100+$D$5))</f>
        <v>0.441119326048985</v>
      </c>
      <c r="U25" s="56" t="n">
        <v>0.648148148148148</v>
      </c>
      <c r="V25" s="55" t="n">
        <v>801</v>
      </c>
      <c r="W25" s="56" t="n">
        <v>0.148097331980838</v>
      </c>
      <c r="X25" s="57" t="s">
        <v>129</v>
      </c>
      <c r="Y25" s="57" t="s">
        <v>130</v>
      </c>
    </row>
    <row r="26" customFormat="false" ht="15" hidden="false" customHeight="false" outlineLevel="0" collapsed="false">
      <c r="A26" s="25" t="s">
        <v>126</v>
      </c>
      <c r="B26" s="25" t="s">
        <v>148</v>
      </c>
      <c r="C26" s="25" t="s">
        <v>149</v>
      </c>
      <c r="D26" s="52" t="n">
        <f aca="false">ROUND(S26*T26,0)</f>
        <v>95</v>
      </c>
      <c r="E26" s="52" t="n">
        <f aca="false">ROUND(S26,0)-D26</f>
        <v>172</v>
      </c>
      <c r="F26" s="52" t="n">
        <f aca="false">IF(COUNTA(D26:E26)=0,"",SUM(D26:E26))</f>
        <v>267</v>
      </c>
      <c r="G26" s="53" t="n">
        <f aca="false">IF(OR(F26="",F26=0),"",D26/F26)</f>
        <v>0.355805243445693</v>
      </c>
      <c r="H26" s="53" t="n">
        <f aca="false">IF(OR(F26="",F26=0),"",E26/F26)</f>
        <v>0.644194756554307</v>
      </c>
      <c r="I26" s="25" t="s">
        <v>128</v>
      </c>
      <c r="J26" s="28" t="n">
        <v>3.71103496666907</v>
      </c>
      <c r="K26" s="28" t="n">
        <f aca="false">$K$8</f>
        <v>0.296197623206382</v>
      </c>
      <c r="L26" s="28" t="n">
        <f aca="false">SQRT(J26^2+K26^2)</f>
        <v>3.72283676191068</v>
      </c>
      <c r="M26" s="53" t="n">
        <f aca="false">IF(G26="","",MAX(0,G26-1.96*L26/100))</f>
        <v>0.282837642912244</v>
      </c>
      <c r="N26" s="53" t="n">
        <f aca="false">IF(G26="","",MIN(1,G26+1.96*L26/100))</f>
        <v>0.428772843979142</v>
      </c>
      <c r="O26" s="52" t="n">
        <f aca="false">ROUND(S26*W26,0)</f>
        <v>40</v>
      </c>
      <c r="P26" s="52" t="n">
        <f aca="false">IF(F26="","",ROUND(SQRT((F26*L26/100)^2+(G26*O26)^2),0))</f>
        <v>17</v>
      </c>
      <c r="R26" s="54" t="n">
        <v>-15.0346854540308</v>
      </c>
      <c r="S26" s="55" t="n">
        <f aca="false">U26*V26*$F$5</f>
        <v>267.002518891688</v>
      </c>
      <c r="T26" s="56" t="n">
        <f aca="false">MAX(0,MIN(1,R26/100+$D$5))</f>
        <v>0.357209252568106</v>
      </c>
      <c r="U26" s="56" t="n">
        <v>0.629722921914358</v>
      </c>
      <c r="V26" s="55" t="n">
        <v>424</v>
      </c>
      <c r="W26" s="56" t="n">
        <v>0.148097331980838</v>
      </c>
      <c r="X26" s="57" t="s">
        <v>129</v>
      </c>
      <c r="Y26" s="57" t="s">
        <v>130</v>
      </c>
    </row>
    <row r="27" customFormat="false" ht="15" hidden="false" customHeight="false" outlineLevel="0" collapsed="false">
      <c r="A27" s="25" t="s">
        <v>126</v>
      </c>
      <c r="B27" s="25" t="s">
        <v>148</v>
      </c>
      <c r="C27" s="25" t="s">
        <v>150</v>
      </c>
      <c r="D27" s="52" t="n">
        <f aca="false">ROUND(S27*T27,0)</f>
        <v>168</v>
      </c>
      <c r="E27" s="52" t="n">
        <f aca="false">ROUND(S27,0)-D27</f>
        <v>374</v>
      </c>
      <c r="F27" s="52" t="n">
        <f aca="false">IF(COUNTA(D27:E27)=0,"",SUM(D27:E27))</f>
        <v>542</v>
      </c>
      <c r="G27" s="53" t="n">
        <f aca="false">IF(OR(F27="",F27=0),"",D27/F27)</f>
        <v>0.309963099630996</v>
      </c>
      <c r="H27" s="53" t="n">
        <f aca="false">IF(OR(F27="",F27=0),"",E27/F27)</f>
        <v>0.690036900369004</v>
      </c>
      <c r="I27" s="25" t="s">
        <v>128</v>
      </c>
      <c r="J27" s="28" t="n">
        <v>3.71103496666907</v>
      </c>
      <c r="K27" s="28" t="n">
        <f aca="false">$K$8</f>
        <v>0.296197623206382</v>
      </c>
      <c r="L27" s="28" t="n">
        <f aca="false">SQRT(J27^2+K27^2)</f>
        <v>3.72283676191068</v>
      </c>
      <c r="M27" s="53" t="n">
        <f aca="false">IF(G27="","",MAX(0,G27-1.96*L27/100))</f>
        <v>0.236995499097547</v>
      </c>
      <c r="N27" s="53" t="n">
        <f aca="false">IF(G27="","",MIN(1,G27+1.96*L27/100))</f>
        <v>0.382930700164446</v>
      </c>
      <c r="O27" s="52" t="n">
        <f aca="false">ROUND(S27*W27,0)</f>
        <v>80</v>
      </c>
      <c r="P27" s="52" t="n">
        <f aca="false">IF(F27="","",ROUND(SQRT((F27*L27/100)^2+(G27*O27)^2),0))</f>
        <v>32</v>
      </c>
      <c r="R27" s="54" t="n">
        <v>-19.7047332089513</v>
      </c>
      <c r="S27" s="55" t="n">
        <f aca="false">U27*V27*$F$5</f>
        <v>542.170709793351</v>
      </c>
      <c r="T27" s="56" t="n">
        <f aca="false">MAX(0,MIN(1,R27/100+$D$5))</f>
        <v>0.310508775018902</v>
      </c>
      <c r="U27" s="56" t="n">
        <v>0.527403414195867</v>
      </c>
      <c r="V27" s="55" t="n">
        <v>1028</v>
      </c>
      <c r="W27" s="56" t="n">
        <v>0.148097331980838</v>
      </c>
      <c r="X27" s="57" t="s">
        <v>129</v>
      </c>
      <c r="Y27" s="57" t="s">
        <v>130</v>
      </c>
    </row>
    <row r="28" customFormat="false" ht="15" hidden="false" customHeight="false" outlineLevel="0" collapsed="false">
      <c r="A28" s="25" t="s">
        <v>126</v>
      </c>
      <c r="B28" s="25" t="s">
        <v>151</v>
      </c>
      <c r="C28" s="25" t="s">
        <v>152</v>
      </c>
      <c r="D28" s="52" t="n">
        <f aca="false">ROUND(S28*T28,0)</f>
        <v>212</v>
      </c>
      <c r="E28" s="52" t="n">
        <f aca="false">ROUND(S28,0)-D28</f>
        <v>312</v>
      </c>
      <c r="F28" s="52" t="n">
        <f aca="false">IF(COUNTA(D28:E28)=0,"",SUM(D28:E28))</f>
        <v>524</v>
      </c>
      <c r="G28" s="53" t="n">
        <f aca="false">IF(OR(F28="",F28=0),"",D28/F28)</f>
        <v>0.404580152671756</v>
      </c>
      <c r="H28" s="53" t="n">
        <f aca="false">IF(OR(F28="",F28=0),"",E28/F28)</f>
        <v>0.595419847328244</v>
      </c>
      <c r="I28" s="25" t="s">
        <v>128</v>
      </c>
      <c r="J28" s="28" t="n">
        <v>3.71103496666907</v>
      </c>
      <c r="K28" s="28" t="n">
        <f aca="false">$K$8</f>
        <v>0.296197623206382</v>
      </c>
      <c r="L28" s="28" t="n">
        <f aca="false">SQRT(J28^2+K28^2)</f>
        <v>3.72283676191068</v>
      </c>
      <c r="M28" s="53" t="n">
        <f aca="false">IF(G28="","",MAX(0,G28-1.96*L28/100))</f>
        <v>0.331612552138306</v>
      </c>
      <c r="N28" s="53" t="n">
        <f aca="false">IF(G28="","",MIN(1,G28+1.96*L28/100))</f>
        <v>0.477547753205205</v>
      </c>
      <c r="O28" s="52" t="n">
        <f aca="false">ROUND(S28*W28,0)</f>
        <v>78</v>
      </c>
      <c r="P28" s="52" t="n">
        <f aca="false">IF(F28="","",ROUND(SQRT((F28*L28/100)^2+(G28*O28)^2),0))</f>
        <v>37</v>
      </c>
      <c r="R28" s="54" t="n">
        <v>-10.3487335483965</v>
      </c>
      <c r="S28" s="55" t="n">
        <f aca="false">U28*V28*$F$5</f>
        <v>523.643835616438</v>
      </c>
      <c r="T28" s="56" t="n">
        <f aca="false">MAX(0,MIN(1,R28/100+$D$5))</f>
        <v>0.40406877162445</v>
      </c>
      <c r="U28" s="56" t="n">
        <v>0.472602739726027</v>
      </c>
      <c r="V28" s="55" t="n">
        <v>1108</v>
      </c>
      <c r="W28" s="56" t="n">
        <v>0.148097331980838</v>
      </c>
      <c r="X28" s="57" t="s">
        <v>129</v>
      </c>
      <c r="Y28" s="57" t="s">
        <v>130</v>
      </c>
    </row>
    <row r="29" customFormat="false" ht="15" hidden="false" customHeight="false" outlineLevel="0" collapsed="false">
      <c r="A29" s="25" t="s">
        <v>126</v>
      </c>
      <c r="B29" s="25" t="s">
        <v>151</v>
      </c>
      <c r="C29" s="25" t="s">
        <v>153</v>
      </c>
      <c r="D29" s="52" t="n">
        <f aca="false">ROUND(S29*T29,0)</f>
        <v>119</v>
      </c>
      <c r="E29" s="52" t="n">
        <f aca="false">ROUND(S29,0)-D29</f>
        <v>179</v>
      </c>
      <c r="F29" s="52" t="n">
        <f aca="false">IF(COUNTA(D29:E29)=0,"",SUM(D29:E29))</f>
        <v>298</v>
      </c>
      <c r="G29" s="53" t="n">
        <f aca="false">IF(OR(F29="",F29=0),"",D29/F29)</f>
        <v>0.399328859060403</v>
      </c>
      <c r="H29" s="53" t="n">
        <f aca="false">IF(OR(F29="",F29=0),"",E29/F29)</f>
        <v>0.600671140939597</v>
      </c>
      <c r="I29" s="25" t="s">
        <v>128</v>
      </c>
      <c r="J29" s="28" t="n">
        <v>3.71103496666907</v>
      </c>
      <c r="K29" s="28" t="n">
        <f aca="false">$K$8</f>
        <v>0.296197623206382</v>
      </c>
      <c r="L29" s="28" t="n">
        <f aca="false">SQRT(J29^2+K29^2)</f>
        <v>3.72283676191068</v>
      </c>
      <c r="M29" s="53" t="n">
        <f aca="false">IF(G29="","",MAX(0,G29-1.96*L29/100))</f>
        <v>0.326361258526953</v>
      </c>
      <c r="N29" s="53" t="n">
        <f aca="false">IF(G29="","",MIN(1,G29+1.96*L29/100))</f>
        <v>0.472296459593852</v>
      </c>
      <c r="O29" s="52" t="n">
        <f aca="false">ROUND(S29*W29,0)</f>
        <v>44</v>
      </c>
      <c r="P29" s="52" t="n">
        <f aca="false">IF(F29="","",ROUND(SQRT((F29*L29/100)^2+(G29*O29)^2),0))</f>
        <v>21</v>
      </c>
      <c r="R29" s="54" t="n">
        <v>-10.7605243764925</v>
      </c>
      <c r="S29" s="55" t="n">
        <f aca="false">U29*V29*$F$5</f>
        <v>297.7625</v>
      </c>
      <c r="T29" s="56" t="n">
        <f aca="false">MAX(0,MIN(1,R29/100+$D$5))</f>
        <v>0.399950863343489</v>
      </c>
      <c r="U29" s="56" t="n">
        <v>0.4484375</v>
      </c>
      <c r="V29" s="55" t="n">
        <v>664</v>
      </c>
      <c r="W29" s="56" t="n">
        <v>0.148097331980838</v>
      </c>
      <c r="X29" s="57" t="s">
        <v>129</v>
      </c>
      <c r="Y29" s="57" t="s">
        <v>130</v>
      </c>
    </row>
    <row r="30" customFormat="false" ht="15" hidden="false" customHeight="false" outlineLevel="0" collapsed="false">
      <c r="A30" s="25" t="s">
        <v>126</v>
      </c>
      <c r="B30" s="25" t="s">
        <v>151</v>
      </c>
      <c r="C30" s="25" t="s">
        <v>154</v>
      </c>
      <c r="D30" s="52" t="n">
        <f aca="false">ROUND(S30*T30,0)</f>
        <v>106</v>
      </c>
      <c r="E30" s="52" t="n">
        <f aca="false">ROUND(S30,0)-D30</f>
        <v>155</v>
      </c>
      <c r="F30" s="52" t="n">
        <f aca="false">IF(COUNTA(D30:E30)=0,"",SUM(D30:E30))</f>
        <v>261</v>
      </c>
      <c r="G30" s="53" t="n">
        <f aca="false">IF(OR(F30="",F30=0),"",D30/F30)</f>
        <v>0.406130268199234</v>
      </c>
      <c r="H30" s="53" t="n">
        <f aca="false">IF(OR(F30="",F30=0),"",E30/F30)</f>
        <v>0.593869731800766</v>
      </c>
      <c r="I30" s="25" t="s">
        <v>128</v>
      </c>
      <c r="J30" s="28" t="n">
        <v>3.71103496666907</v>
      </c>
      <c r="K30" s="28" t="n">
        <f aca="false">$K$8</f>
        <v>0.296197623206382</v>
      </c>
      <c r="L30" s="28" t="n">
        <f aca="false">SQRT(J30^2+K30^2)</f>
        <v>3.72283676191068</v>
      </c>
      <c r="M30" s="53" t="n">
        <f aca="false">IF(G30="","",MAX(0,G30-1.96*L30/100))</f>
        <v>0.333162667665784</v>
      </c>
      <c r="N30" s="53" t="n">
        <f aca="false">IF(G30="","",MIN(1,G30+1.96*L30/100))</f>
        <v>0.479097868732683</v>
      </c>
      <c r="O30" s="52" t="n">
        <f aca="false">ROUND(S30*W30,0)</f>
        <v>39</v>
      </c>
      <c r="P30" s="52" t="n">
        <f aca="false">IF(F30="","",ROUND(SQRT((F30*L30/100)^2+(G30*O30)^2),0))</f>
        <v>19</v>
      </c>
      <c r="R30" s="54" t="n">
        <v>-10.1504474839579</v>
      </c>
      <c r="S30" s="55" t="n">
        <f aca="false">U30*V30*$F$5</f>
        <v>260.883392226148</v>
      </c>
      <c r="T30" s="56" t="n">
        <f aca="false">MAX(0,MIN(1,R30/100+$D$5))</f>
        <v>0.406051632268836</v>
      </c>
      <c r="U30" s="56" t="n">
        <v>0.406360424028269</v>
      </c>
      <c r="V30" s="55" t="n">
        <v>642</v>
      </c>
      <c r="W30" s="56" t="n">
        <v>0.148097331980838</v>
      </c>
      <c r="X30" s="57" t="s">
        <v>129</v>
      </c>
      <c r="Y30" s="57" t="s">
        <v>130</v>
      </c>
    </row>
    <row r="31" customFormat="false" ht="15" hidden="false" customHeight="false" outlineLevel="0" collapsed="false">
      <c r="A31" s="25" t="s">
        <v>126</v>
      </c>
      <c r="B31" s="25" t="s">
        <v>155</v>
      </c>
      <c r="C31" s="25" t="s">
        <v>155</v>
      </c>
      <c r="D31" s="52" t="n">
        <f aca="false">ROUND(S31*T31,0)</f>
        <v>31</v>
      </c>
      <c r="E31" s="52" t="n">
        <f aca="false">ROUND(S31,0)-D31</f>
        <v>87</v>
      </c>
      <c r="F31" s="52" t="n">
        <f aca="false">IF(COUNTA(D31:E31)=0,"",SUM(D31:E31))</f>
        <v>118</v>
      </c>
      <c r="G31" s="53" t="n">
        <f aca="false">IF(OR(F31="",F31=0),"",D31/F31)</f>
        <v>0.26271186440678</v>
      </c>
      <c r="H31" s="53" t="n">
        <f aca="false">IF(OR(F31="",F31=0),"",E31/F31)</f>
        <v>0.73728813559322</v>
      </c>
      <c r="I31" s="25" t="s">
        <v>128</v>
      </c>
      <c r="J31" s="28" t="n">
        <v>3.71103496666907</v>
      </c>
      <c r="K31" s="28" t="n">
        <f aca="false">$K$8</f>
        <v>0.296197623206382</v>
      </c>
      <c r="L31" s="28" t="n">
        <f aca="false">SQRT(J31^2+K31^2)</f>
        <v>3.72283676191068</v>
      </c>
      <c r="M31" s="53" t="n">
        <f aca="false">IF(G31="","",MAX(0,G31-1.96*L31/100))</f>
        <v>0.18974426387333</v>
      </c>
      <c r="N31" s="53" t="n">
        <f aca="false">IF(G31="","",MIN(1,G31+1.96*L31/100))</f>
        <v>0.335679464940229</v>
      </c>
      <c r="O31" s="52" t="n">
        <f aca="false">ROUND(S31*W31,0)</f>
        <v>18</v>
      </c>
      <c r="P31" s="52" t="n">
        <f aca="false">IF(F31="","",ROUND(SQRT((F31*L31/100)^2+(G31*O31)^2),0))</f>
        <v>6</v>
      </c>
      <c r="R31" s="54" t="n">
        <v>-24.9630315119844</v>
      </c>
      <c r="S31" s="55" t="n">
        <f aca="false">U31*V31*$F$5</f>
        <v>118.285714285714</v>
      </c>
      <c r="T31" s="56" t="n">
        <f aca="false">MAX(0,MIN(1,R31/100+$D$5))</f>
        <v>0.257925791988571</v>
      </c>
      <c r="U31" s="56" t="n">
        <v>0.657142857142857</v>
      </c>
      <c r="V31" s="55" t="n">
        <v>180</v>
      </c>
      <c r="W31" s="56" t="n">
        <v>0.148097331980838</v>
      </c>
      <c r="X31" s="57" t="s">
        <v>129</v>
      </c>
      <c r="Y31" s="57" t="s">
        <v>130</v>
      </c>
    </row>
    <row r="32" customFormat="false" ht="15" hidden="false" customHeight="false" outlineLevel="0" collapsed="false">
      <c r="A32" s="25" t="s">
        <v>126</v>
      </c>
      <c r="B32" s="25" t="s">
        <v>156</v>
      </c>
      <c r="C32" s="25" t="s">
        <v>156</v>
      </c>
      <c r="D32" s="52" t="n">
        <f aca="false">ROUND(S32*T32,0)</f>
        <v>46</v>
      </c>
      <c r="E32" s="52" t="n">
        <f aca="false">ROUND(S32,0)-D32</f>
        <v>191</v>
      </c>
      <c r="F32" s="52" t="n">
        <f aca="false">IF(COUNTA(D32:E32)=0,"",SUM(D32:E32))</f>
        <v>237</v>
      </c>
      <c r="G32" s="53" t="n">
        <f aca="false">IF(OR(F32="",F32=0),"",D32/F32)</f>
        <v>0.194092827004219</v>
      </c>
      <c r="H32" s="53" t="n">
        <f aca="false">IF(OR(F32="",F32=0),"",E32/F32)</f>
        <v>0.805907172995781</v>
      </c>
      <c r="I32" s="25" t="s">
        <v>128</v>
      </c>
      <c r="J32" s="28" t="n">
        <v>3.71103496666907</v>
      </c>
      <c r="K32" s="28" t="n">
        <f aca="false">$K$8</f>
        <v>0.296197623206382</v>
      </c>
      <c r="L32" s="28" t="n">
        <f aca="false">SQRT(J32^2+K32^2)</f>
        <v>3.72283676191068</v>
      </c>
      <c r="M32" s="53" t="n">
        <f aca="false">IF(G32="","",MAX(0,G32-1.96*L32/100))</f>
        <v>0.12112522647077</v>
      </c>
      <c r="N32" s="53" t="n">
        <f aca="false">IF(G32="","",MIN(1,G32+1.96*L32/100))</f>
        <v>0.267060427537669</v>
      </c>
      <c r="O32" s="52" t="n">
        <f aca="false">ROUND(S32*W32,0)</f>
        <v>35</v>
      </c>
      <c r="P32" s="52" t="n">
        <f aca="false">IF(F32="","",ROUND(SQRT((F32*L32/100)^2+(G32*O32)^2),0))</f>
        <v>11</v>
      </c>
      <c r="R32" s="54" t="n">
        <v>-31.1730795093111</v>
      </c>
      <c r="S32" s="55" t="n">
        <f aca="false">U32*V32*$F$5</f>
        <v>236.844827586207</v>
      </c>
      <c r="T32" s="56" t="n">
        <f aca="false">MAX(0,MIN(1,R32/100+$D$5))</f>
        <v>0.195825312015304</v>
      </c>
      <c r="U32" s="56" t="n">
        <v>0.692528735632184</v>
      </c>
      <c r="V32" s="55" t="n">
        <v>342</v>
      </c>
      <c r="W32" s="56" t="n">
        <v>0.148097331980838</v>
      </c>
      <c r="X32" s="57" t="s">
        <v>129</v>
      </c>
      <c r="Y32" s="57" t="s">
        <v>130</v>
      </c>
    </row>
    <row r="33" customFormat="false" ht="15" hidden="false" customHeight="false" outlineLevel="0" collapsed="false">
      <c r="A33" s="25" t="s">
        <v>126</v>
      </c>
      <c r="B33" s="25" t="s">
        <v>157</v>
      </c>
      <c r="C33" s="25" t="s">
        <v>158</v>
      </c>
      <c r="D33" s="52" t="n">
        <f aca="false">ROUND(S33*T33,0)</f>
        <v>236</v>
      </c>
      <c r="E33" s="52" t="n">
        <f aca="false">ROUND(S33,0)-D33</f>
        <v>360</v>
      </c>
      <c r="F33" s="52" t="n">
        <f aca="false">IF(COUNTA(D33:E33)=0,"",SUM(D33:E33))</f>
        <v>596</v>
      </c>
      <c r="G33" s="53" t="n">
        <f aca="false">IF(OR(F33="",F33=0),"",D33/F33)</f>
        <v>0.395973154362416</v>
      </c>
      <c r="H33" s="53" t="n">
        <f aca="false">IF(OR(F33="",F33=0),"",E33/F33)</f>
        <v>0.604026845637584</v>
      </c>
      <c r="I33" s="25" t="s">
        <v>128</v>
      </c>
      <c r="J33" s="28" t="n">
        <v>2.37310914384046</v>
      </c>
      <c r="K33" s="28" t="n">
        <f aca="false">$K$8</f>
        <v>0.296197623206382</v>
      </c>
      <c r="L33" s="28" t="n">
        <f aca="false">SQRT(J33^2+K33^2)</f>
        <v>2.3915225360787</v>
      </c>
      <c r="M33" s="53" t="n">
        <f aca="false">IF(G33="","",MAX(0,G33-1.96*L33/100))</f>
        <v>0.349099312655274</v>
      </c>
      <c r="N33" s="53" t="n">
        <f aca="false">IF(G33="","",MIN(1,G33+1.96*L33/100))</f>
        <v>0.442846996069559</v>
      </c>
      <c r="O33" s="52" t="n">
        <f aca="false">ROUND(S33*W33,0)</f>
        <v>53</v>
      </c>
      <c r="P33" s="52" t="n">
        <f aca="false">IF(F33="","",ROUND(SQRT((F33*L33/100)^2+(G33*O33)^2),0))</f>
        <v>25</v>
      </c>
      <c r="R33" s="54" t="n">
        <v>-11.1628525242206</v>
      </c>
      <c r="S33" s="55" t="n">
        <f aca="false">U33*V33*$F$5</f>
        <v>596.457399103139</v>
      </c>
      <c r="T33" s="56" t="n">
        <f aca="false">MAX(0,MIN(1,R33/100+$D$5))</f>
        <v>0.395927581866209</v>
      </c>
      <c r="U33" s="56" t="n">
        <v>0.50762331838565</v>
      </c>
      <c r="V33" s="55" t="n">
        <v>1175</v>
      </c>
      <c r="W33" s="56" t="n">
        <v>0.0887445098984521</v>
      </c>
      <c r="X33" s="57" t="s">
        <v>135</v>
      </c>
      <c r="Y33" s="57" t="s">
        <v>130</v>
      </c>
    </row>
    <row r="34" customFormat="false" ht="15" hidden="false" customHeight="false" outlineLevel="0" collapsed="false">
      <c r="A34" s="25" t="s">
        <v>126</v>
      </c>
      <c r="B34" s="25" t="s">
        <v>157</v>
      </c>
      <c r="C34" s="25" t="s">
        <v>159</v>
      </c>
      <c r="D34" s="52" t="n">
        <f aca="false">ROUND(S34*T34,0)</f>
        <v>218</v>
      </c>
      <c r="E34" s="52" t="n">
        <f aca="false">ROUND(S34,0)-D34</f>
        <v>345</v>
      </c>
      <c r="F34" s="52" t="n">
        <f aca="false">IF(COUNTA(D34:E34)=0,"",SUM(D34:E34))</f>
        <v>563</v>
      </c>
      <c r="G34" s="53" t="n">
        <f aca="false">IF(OR(F34="",F34=0),"",D34/F34)</f>
        <v>0.387211367673179</v>
      </c>
      <c r="H34" s="53" t="n">
        <f aca="false">IF(OR(F34="",F34=0),"",E34/F34)</f>
        <v>0.612788632326821</v>
      </c>
      <c r="I34" s="25" t="s">
        <v>128</v>
      </c>
      <c r="J34" s="28" t="n">
        <v>3.71103496666907</v>
      </c>
      <c r="K34" s="28" t="n">
        <f aca="false">$K$8</f>
        <v>0.296197623206382</v>
      </c>
      <c r="L34" s="28" t="n">
        <f aca="false">SQRT(J34^2+K34^2)</f>
        <v>3.72283676191068</v>
      </c>
      <c r="M34" s="53" t="n">
        <f aca="false">IF(G34="","",MAX(0,G34-1.96*L34/100))</f>
        <v>0.31424376713973</v>
      </c>
      <c r="N34" s="53" t="n">
        <f aca="false">IF(G34="","",MIN(1,G34+1.96*L34/100))</f>
        <v>0.460178968206629</v>
      </c>
      <c r="O34" s="52" t="n">
        <f aca="false">ROUND(S34*W34,0)</f>
        <v>83</v>
      </c>
      <c r="P34" s="52" t="n">
        <f aca="false">IF(F34="","",ROUND(SQRT((F34*L34/100)^2+(G34*O34)^2),0))</f>
        <v>38</v>
      </c>
      <c r="R34" s="54" t="n">
        <v>-12.0158937228479</v>
      </c>
      <c r="S34" s="55" t="n">
        <f aca="false">U34*V34*$F$5</f>
        <v>563.161453077699</v>
      </c>
      <c r="T34" s="56" t="n">
        <f aca="false">MAX(0,MIN(1,R34/100+$D$5))</f>
        <v>0.387397169879935</v>
      </c>
      <c r="U34" s="56" t="n">
        <v>0.531786074672048</v>
      </c>
      <c r="V34" s="55" t="n">
        <v>1059</v>
      </c>
      <c r="W34" s="56" t="n">
        <v>0.148097331980838</v>
      </c>
      <c r="X34" s="57" t="s">
        <v>129</v>
      </c>
      <c r="Y34" s="57" t="s">
        <v>130</v>
      </c>
    </row>
    <row r="35" customFormat="false" ht="15" hidden="false" customHeight="false" outlineLevel="0" collapsed="false">
      <c r="A35" s="25" t="s">
        <v>126</v>
      </c>
      <c r="B35" s="25" t="s">
        <v>157</v>
      </c>
      <c r="C35" s="25" t="s">
        <v>160</v>
      </c>
      <c r="D35" s="52" t="n">
        <f aca="false">ROUND(S35*T35,0)</f>
        <v>229</v>
      </c>
      <c r="E35" s="52" t="n">
        <f aca="false">ROUND(S35,0)-D35</f>
        <v>365</v>
      </c>
      <c r="F35" s="52" t="n">
        <f aca="false">IF(COUNTA(D35:E35)=0,"",SUM(D35:E35))</f>
        <v>594</v>
      </c>
      <c r="G35" s="53" t="n">
        <f aca="false">IF(OR(F35="",F35=0),"",D35/F35)</f>
        <v>0.385521885521886</v>
      </c>
      <c r="H35" s="53" t="n">
        <f aca="false">IF(OR(F35="",F35=0),"",E35/F35)</f>
        <v>0.614478114478115</v>
      </c>
      <c r="I35" s="25" t="s">
        <v>128</v>
      </c>
      <c r="J35" s="28" t="n">
        <v>2.37310914384046</v>
      </c>
      <c r="K35" s="28" t="n">
        <f aca="false">$K$8</f>
        <v>0.296197623206382</v>
      </c>
      <c r="L35" s="28" t="n">
        <f aca="false">SQRT(J35^2+K35^2)</f>
        <v>2.3915225360787</v>
      </c>
      <c r="M35" s="53" t="n">
        <f aca="false">IF(G35="","",MAX(0,G35-1.96*L35/100))</f>
        <v>0.338648043814743</v>
      </c>
      <c r="N35" s="53" t="n">
        <f aca="false">IF(G35="","",MIN(1,G35+1.96*L35/100))</f>
        <v>0.432395727229028</v>
      </c>
      <c r="O35" s="52" t="n">
        <f aca="false">ROUND(S35*W35,0)</f>
        <v>53</v>
      </c>
      <c r="P35" s="52" t="n">
        <f aca="false">IF(F35="","",ROUND(SQRT((F35*L35/100)^2+(G35*O35)^2),0))</f>
        <v>25</v>
      </c>
      <c r="R35" s="54" t="n">
        <v>-12.1969590787795</v>
      </c>
      <c r="S35" s="55" t="n">
        <f aca="false">U35*V35*$F$5</f>
        <v>593.941784037559</v>
      </c>
      <c r="T35" s="56" t="n">
        <f aca="false">MAX(0,MIN(1,R35/100+$D$5))</f>
        <v>0.385586516320619</v>
      </c>
      <c r="U35" s="56" t="n">
        <v>0.538967136150235</v>
      </c>
      <c r="V35" s="55" t="n">
        <v>1102</v>
      </c>
      <c r="W35" s="56" t="n">
        <v>0.0887445098984521</v>
      </c>
      <c r="X35" s="57" t="s">
        <v>135</v>
      </c>
      <c r="Y35" s="57" t="s">
        <v>130</v>
      </c>
    </row>
    <row r="36" customFormat="false" ht="15" hidden="false" customHeight="false" outlineLevel="0" collapsed="false">
      <c r="A36" s="25" t="s">
        <v>126</v>
      </c>
      <c r="B36" s="25" t="s">
        <v>161</v>
      </c>
      <c r="C36" s="25" t="s">
        <v>162</v>
      </c>
      <c r="D36" s="52" t="n">
        <f aca="false">ROUND(S36*T36,0)</f>
        <v>221</v>
      </c>
      <c r="E36" s="52" t="n">
        <f aca="false">ROUND(S36,0)-D36</f>
        <v>609</v>
      </c>
      <c r="F36" s="52" t="n">
        <f aca="false">IF(COUNTA(D36:E36)=0,"",SUM(D36:E36))</f>
        <v>830</v>
      </c>
      <c r="G36" s="53" t="n">
        <f aca="false">IF(OR(F36="",F36=0),"",D36/F36)</f>
        <v>0.266265060240964</v>
      </c>
      <c r="H36" s="53" t="n">
        <f aca="false">IF(OR(F36="",F36=0),"",E36/F36)</f>
        <v>0.733734939759036</v>
      </c>
      <c r="I36" s="25" t="s">
        <v>128</v>
      </c>
      <c r="J36" s="28" t="n">
        <v>2.37310914384046</v>
      </c>
      <c r="K36" s="28" t="n">
        <f aca="false">$K$8</f>
        <v>0.296197623206382</v>
      </c>
      <c r="L36" s="28" t="n">
        <f aca="false">SQRT(J36^2+K36^2)</f>
        <v>2.3915225360787</v>
      </c>
      <c r="M36" s="53" t="n">
        <f aca="false">IF(G36="","",MAX(0,G36-1.96*L36/100))</f>
        <v>0.219391218533821</v>
      </c>
      <c r="N36" s="53" t="n">
        <f aca="false">IF(G36="","",MIN(1,G36+1.96*L36/100))</f>
        <v>0.313138901948106</v>
      </c>
      <c r="O36" s="52" t="n">
        <f aca="false">ROUND(S36*W36,0)</f>
        <v>74</v>
      </c>
      <c r="P36" s="52" t="n">
        <f aca="false">IF(F36="","",ROUND(SQRT((F36*L36/100)^2+(G36*O36)^2),0))</f>
        <v>28</v>
      </c>
      <c r="R36" s="54" t="n">
        <v>-24.1616154226071</v>
      </c>
      <c r="S36" s="55" t="n">
        <f aca="false">U36*V36*$F$5</f>
        <v>830.121621621622</v>
      </c>
      <c r="T36" s="56" t="n">
        <f aca="false">MAX(0,MIN(1,R36/100+$D$5))</f>
        <v>0.265939952882343</v>
      </c>
      <c r="U36" s="56" t="n">
        <v>0.635135135135135</v>
      </c>
      <c r="V36" s="55" t="n">
        <v>1307</v>
      </c>
      <c r="W36" s="56" t="n">
        <v>0.0887445098984521</v>
      </c>
      <c r="X36" s="57" t="s">
        <v>135</v>
      </c>
      <c r="Y36" s="57" t="s">
        <v>130</v>
      </c>
    </row>
    <row r="37" customFormat="false" ht="15" hidden="false" customHeight="false" outlineLevel="0" collapsed="false">
      <c r="A37" s="25" t="s">
        <v>126</v>
      </c>
      <c r="B37" s="25" t="s">
        <v>161</v>
      </c>
      <c r="C37" s="25" t="s">
        <v>163</v>
      </c>
      <c r="D37" s="52" t="n">
        <f aca="false">ROUND(S37*T37,0)</f>
        <v>162</v>
      </c>
      <c r="E37" s="52" t="n">
        <f aca="false">ROUND(S37,0)-D37</f>
        <v>409</v>
      </c>
      <c r="F37" s="52" t="n">
        <f aca="false">IF(COUNTA(D37:E37)=0,"",SUM(D37:E37))</f>
        <v>571</v>
      </c>
      <c r="G37" s="53" t="n">
        <f aca="false">IF(OR(F37="",F37=0),"",D37/F37)</f>
        <v>0.283712784588441</v>
      </c>
      <c r="H37" s="53" t="n">
        <f aca="false">IF(OR(F37="",F37=0),"",E37/F37)</f>
        <v>0.716287215411559</v>
      </c>
      <c r="I37" s="25" t="s">
        <v>128</v>
      </c>
      <c r="J37" s="28" t="n">
        <v>3.71103496666907</v>
      </c>
      <c r="K37" s="28" t="n">
        <f aca="false">$K$8</f>
        <v>0.296197623206382</v>
      </c>
      <c r="L37" s="28" t="n">
        <f aca="false">SQRT(J37^2+K37^2)</f>
        <v>3.72283676191068</v>
      </c>
      <c r="M37" s="53" t="n">
        <f aca="false">IF(G37="","",MAX(0,G37-1.96*L37/100))</f>
        <v>0.210745184054992</v>
      </c>
      <c r="N37" s="53" t="n">
        <f aca="false">IF(G37="","",MIN(1,G37+1.96*L37/100))</f>
        <v>0.356680385121891</v>
      </c>
      <c r="O37" s="52" t="n">
        <f aca="false">ROUND(S37*W37,0)</f>
        <v>85</v>
      </c>
      <c r="P37" s="52" t="n">
        <f aca="false">IF(F37="","",ROUND(SQRT((F37*L37/100)^2+(G37*O37)^2),0))</f>
        <v>32</v>
      </c>
      <c r="R37" s="54" t="n">
        <v>-22.3291366713783</v>
      </c>
      <c r="S37" s="55" t="n">
        <f aca="false">U37*V37*$F$5</f>
        <v>570.942760942761</v>
      </c>
      <c r="T37" s="56" t="n">
        <f aca="false">MAX(0,MIN(1,R37/100+$D$5))</f>
        <v>0.284264740394632</v>
      </c>
      <c r="U37" s="56" t="n">
        <v>0.613916947250281</v>
      </c>
      <c r="V37" s="55" t="n">
        <v>930</v>
      </c>
      <c r="W37" s="56" t="n">
        <v>0.148097331980838</v>
      </c>
      <c r="X37" s="57" t="s">
        <v>129</v>
      </c>
      <c r="Y37" s="57" t="s">
        <v>130</v>
      </c>
    </row>
    <row r="38" customFormat="false" ht="15" hidden="false" customHeight="false" outlineLevel="0" collapsed="false">
      <c r="A38" s="25" t="s">
        <v>126</v>
      </c>
      <c r="B38" s="25" t="s">
        <v>164</v>
      </c>
      <c r="C38" s="25" t="s">
        <v>165</v>
      </c>
      <c r="D38" s="52" t="n">
        <f aca="false">ROUND(S38*T38,0)</f>
        <v>110</v>
      </c>
      <c r="E38" s="52" t="n">
        <f aca="false">ROUND(S38,0)-D38</f>
        <v>336</v>
      </c>
      <c r="F38" s="52" t="n">
        <f aca="false">IF(COUNTA(D38:E38)=0,"",SUM(D38:E38))</f>
        <v>446</v>
      </c>
      <c r="G38" s="53" t="n">
        <f aca="false">IF(OR(F38="",F38=0),"",D38/F38)</f>
        <v>0.246636771300448</v>
      </c>
      <c r="H38" s="53" t="n">
        <f aca="false">IF(OR(F38="",F38=0),"",E38/F38)</f>
        <v>0.753363228699552</v>
      </c>
      <c r="I38" s="25" t="s">
        <v>128</v>
      </c>
      <c r="J38" s="28" t="n">
        <v>3.71103496666907</v>
      </c>
      <c r="K38" s="28" t="n">
        <f aca="false">$K$8</f>
        <v>0.296197623206382</v>
      </c>
      <c r="L38" s="28" t="n">
        <f aca="false">SQRT(J38^2+K38^2)</f>
        <v>3.72283676191068</v>
      </c>
      <c r="M38" s="53" t="n">
        <f aca="false">IF(G38="","",MAX(0,G38-1.96*L38/100))</f>
        <v>0.173669170766999</v>
      </c>
      <c r="N38" s="53" t="n">
        <f aca="false">IF(G38="","",MIN(1,G38+1.96*L38/100))</f>
        <v>0.319604371833898</v>
      </c>
      <c r="O38" s="52" t="n">
        <f aca="false">ROUND(S38*W38,0)</f>
        <v>66</v>
      </c>
      <c r="P38" s="52" t="n">
        <f aca="false">IF(F38="","",ROUND(SQRT((F38*L38/100)^2+(G38*O38)^2),0))</f>
        <v>23</v>
      </c>
      <c r="R38" s="54" t="n">
        <v>-26.0360486760494</v>
      </c>
      <c r="S38" s="55" t="n">
        <f aca="false">U38*V38*$F$5</f>
        <v>446.130363036304</v>
      </c>
      <c r="T38" s="56" t="n">
        <f aca="false">MAX(0,MIN(1,R38/100+$D$5))</f>
        <v>0.247195620347921</v>
      </c>
      <c r="U38" s="56" t="n">
        <v>0.641914191419142</v>
      </c>
      <c r="V38" s="55" t="n">
        <v>695</v>
      </c>
      <c r="W38" s="56" t="n">
        <v>0.148097331980838</v>
      </c>
      <c r="X38" s="57" t="s">
        <v>129</v>
      </c>
      <c r="Y38" s="57" t="s">
        <v>130</v>
      </c>
    </row>
    <row r="39" customFormat="false" ht="15" hidden="false" customHeight="false" outlineLevel="0" collapsed="false">
      <c r="A39" s="25" t="s">
        <v>126</v>
      </c>
      <c r="B39" s="25" t="s">
        <v>164</v>
      </c>
      <c r="C39" s="25" t="s">
        <v>166</v>
      </c>
      <c r="D39" s="52" t="n">
        <f aca="false">ROUND(S39*T39,0)</f>
        <v>84</v>
      </c>
      <c r="E39" s="52" t="n">
        <f aca="false">ROUND(S39,0)-D39</f>
        <v>217</v>
      </c>
      <c r="F39" s="52" t="n">
        <f aca="false">IF(COUNTA(D39:E39)=0,"",SUM(D39:E39))</f>
        <v>301</v>
      </c>
      <c r="G39" s="53" t="n">
        <f aca="false">IF(OR(F39="",F39=0),"",D39/F39)</f>
        <v>0.27906976744186</v>
      </c>
      <c r="H39" s="53" t="n">
        <f aca="false">IF(OR(F39="",F39=0),"",E39/F39)</f>
        <v>0.72093023255814</v>
      </c>
      <c r="I39" s="25" t="s">
        <v>128</v>
      </c>
      <c r="J39" s="28" t="n">
        <v>3.71103496666907</v>
      </c>
      <c r="K39" s="28" t="n">
        <f aca="false">$K$8</f>
        <v>0.296197623206382</v>
      </c>
      <c r="L39" s="28" t="n">
        <f aca="false">SQRT(J39^2+K39^2)</f>
        <v>3.72283676191068</v>
      </c>
      <c r="M39" s="53" t="n">
        <f aca="false">IF(G39="","",MAX(0,G39-1.96*L39/100))</f>
        <v>0.206102166908411</v>
      </c>
      <c r="N39" s="53" t="n">
        <f aca="false">IF(G39="","",MIN(1,G39+1.96*L39/100))</f>
        <v>0.35203736797531</v>
      </c>
      <c r="O39" s="52" t="n">
        <f aca="false">ROUND(S39*W39,0)</f>
        <v>45</v>
      </c>
      <c r="P39" s="52" t="n">
        <f aca="false">IF(F39="","",ROUND(SQRT((F39*L39/100)^2+(G39*O39)^2),0))</f>
        <v>17</v>
      </c>
      <c r="R39" s="54" t="n">
        <v>-22.9549427008618</v>
      </c>
      <c r="S39" s="55" t="n">
        <f aca="false">U39*V39*$F$5</f>
        <v>301.151408450704</v>
      </c>
      <c r="T39" s="56" t="n">
        <f aca="false">MAX(0,MIN(1,R39/100+$D$5))</f>
        <v>0.278006680099797</v>
      </c>
      <c r="U39" s="56" t="n">
        <v>0.538732394366197</v>
      </c>
      <c r="V39" s="55" t="n">
        <v>559</v>
      </c>
      <c r="W39" s="56" t="n">
        <v>0.148097331980838</v>
      </c>
      <c r="X39" s="57" t="s">
        <v>129</v>
      </c>
      <c r="Y39" s="57" t="s">
        <v>130</v>
      </c>
    </row>
    <row r="40" customFormat="false" ht="15" hidden="false" customHeight="false" outlineLevel="0" collapsed="false">
      <c r="A40" s="25" t="s">
        <v>126</v>
      </c>
      <c r="B40" s="25" t="s">
        <v>164</v>
      </c>
      <c r="C40" s="25" t="s">
        <v>167</v>
      </c>
      <c r="D40" s="52" t="n">
        <f aca="false">ROUND(S40*T40,0)</f>
        <v>317</v>
      </c>
      <c r="E40" s="52" t="n">
        <f aca="false">ROUND(S40,0)-D40</f>
        <v>819</v>
      </c>
      <c r="F40" s="52" t="n">
        <f aca="false">IF(COUNTA(D40:E40)=0,"",SUM(D40:E40))</f>
        <v>1136</v>
      </c>
      <c r="G40" s="53" t="n">
        <f aca="false">IF(OR(F40="",F40=0),"",D40/F40)</f>
        <v>0.279049295774648</v>
      </c>
      <c r="H40" s="53" t="n">
        <f aca="false">IF(OR(F40="",F40=0),"",E40/F40)</f>
        <v>0.720950704225352</v>
      </c>
      <c r="I40" s="25" t="s">
        <v>128</v>
      </c>
      <c r="J40" s="28" t="n">
        <v>1.88612725432908</v>
      </c>
      <c r="K40" s="28" t="n">
        <f aca="false">$K$8</f>
        <v>0.296197623206382</v>
      </c>
      <c r="L40" s="28" t="n">
        <f aca="false">SQRT(J40^2+K40^2)</f>
        <v>1.909243057213</v>
      </c>
      <c r="M40" s="53" t="n">
        <f aca="false">IF(G40="","",MAX(0,G40-1.96*L40/100))</f>
        <v>0.241628131853273</v>
      </c>
      <c r="N40" s="53" t="n">
        <f aca="false">IF(G40="","",MIN(1,G40+1.96*L40/100))</f>
        <v>0.316470459696023</v>
      </c>
      <c r="O40" s="52" t="n">
        <f aca="false">ROUND(S40*W40,0)</f>
        <v>78</v>
      </c>
      <c r="P40" s="52" t="n">
        <f aca="false">IF(F40="","",ROUND(SQRT((F40*L40/100)^2+(G40*O40)^2),0))</f>
        <v>31</v>
      </c>
      <c r="R40" s="54" t="n">
        <v>-22.8711691045082</v>
      </c>
      <c r="S40" s="55" t="n">
        <f aca="false">U40*V40*$F$5</f>
        <v>1135.63689776733</v>
      </c>
      <c r="T40" s="56" t="n">
        <f aca="false">MAX(0,MIN(1,R40/100+$D$5))</f>
        <v>0.278844416063332</v>
      </c>
      <c r="U40" s="56" t="n">
        <v>0.63337250293772</v>
      </c>
      <c r="V40" s="55" t="n">
        <v>1793</v>
      </c>
      <c r="W40" s="56" t="n">
        <v>0.0684752145190268</v>
      </c>
      <c r="X40" s="57" t="s">
        <v>168</v>
      </c>
      <c r="Y40" s="57" t="s">
        <v>130</v>
      </c>
    </row>
    <row r="41" customFormat="false" ht="15" hidden="false" customHeight="false" outlineLevel="0" collapsed="false">
      <c r="A41" s="25" t="s">
        <v>126</v>
      </c>
      <c r="B41" s="25" t="s">
        <v>169</v>
      </c>
      <c r="C41" s="25" t="s">
        <v>170</v>
      </c>
      <c r="D41" s="52" t="n">
        <f aca="false">ROUND(S41*T41,0)</f>
        <v>237</v>
      </c>
      <c r="E41" s="52" t="n">
        <f aca="false">ROUND(S41,0)-D41</f>
        <v>349</v>
      </c>
      <c r="F41" s="52" t="n">
        <f aca="false">IF(COUNTA(D41:E41)=0,"",SUM(D41:E41))</f>
        <v>586</v>
      </c>
      <c r="G41" s="53" t="n">
        <f aca="false">IF(OR(F41="",F41=0),"",D41/F41)</f>
        <v>0.404436860068259</v>
      </c>
      <c r="H41" s="53" t="n">
        <f aca="false">IF(OR(F41="",F41=0),"",E41/F41)</f>
        <v>0.595563139931741</v>
      </c>
      <c r="I41" s="25" t="s">
        <v>128</v>
      </c>
      <c r="J41" s="28" t="n">
        <v>2.37310914384046</v>
      </c>
      <c r="K41" s="28" t="n">
        <f aca="false">$K$8</f>
        <v>0.296197623206382</v>
      </c>
      <c r="L41" s="28" t="n">
        <f aca="false">SQRT(J41^2+K41^2)</f>
        <v>2.3915225360787</v>
      </c>
      <c r="M41" s="53" t="n">
        <f aca="false">IF(G41="","",MAX(0,G41-1.96*L41/100))</f>
        <v>0.357563018361117</v>
      </c>
      <c r="N41" s="53" t="n">
        <f aca="false">IF(G41="","",MIN(1,G41+1.96*L41/100))</f>
        <v>0.451310701775402</v>
      </c>
      <c r="O41" s="52" t="n">
        <f aca="false">ROUND(S41*W41,0)</f>
        <v>52</v>
      </c>
      <c r="P41" s="52" t="n">
        <f aca="false">IF(F41="","",ROUND(SQRT((F41*L41/100)^2+(G41*O41)^2),0))</f>
        <v>25</v>
      </c>
      <c r="R41" s="54" t="n">
        <v>-10.2325792880095</v>
      </c>
      <c r="S41" s="55" t="n">
        <f aca="false">U41*V41*$F$5</f>
        <v>585.940362087327</v>
      </c>
      <c r="T41" s="56" t="n">
        <f aca="false">MAX(0,MIN(1,R41/100+$D$5))</f>
        <v>0.40523031422832</v>
      </c>
      <c r="U41" s="56" t="n">
        <v>0.598509052183174</v>
      </c>
      <c r="V41" s="55" t="n">
        <v>979</v>
      </c>
      <c r="W41" s="56" t="n">
        <v>0.0887445098984521</v>
      </c>
      <c r="X41" s="57" t="s">
        <v>135</v>
      </c>
      <c r="Y41" s="57" t="s">
        <v>130</v>
      </c>
    </row>
    <row r="42" customFormat="false" ht="15" hidden="false" customHeight="false" outlineLevel="0" collapsed="false">
      <c r="A42" s="25" t="s">
        <v>126</v>
      </c>
      <c r="B42" s="25" t="s">
        <v>169</v>
      </c>
      <c r="C42" s="25" t="s">
        <v>171</v>
      </c>
      <c r="D42" s="52" t="n">
        <f aca="false">ROUND(S42*T42,0)</f>
        <v>245</v>
      </c>
      <c r="E42" s="52" t="n">
        <f aca="false">ROUND(S42,0)-D42</f>
        <v>384</v>
      </c>
      <c r="F42" s="52" t="n">
        <f aca="false">IF(COUNTA(D42:E42)=0,"",SUM(D42:E42))</f>
        <v>629</v>
      </c>
      <c r="G42" s="53" t="n">
        <f aca="false">IF(OR(F42="",F42=0),"",D42/F42)</f>
        <v>0.389507154213037</v>
      </c>
      <c r="H42" s="53" t="n">
        <f aca="false">IF(OR(F42="",F42=0),"",E42/F42)</f>
        <v>0.610492845786963</v>
      </c>
      <c r="I42" s="25" t="s">
        <v>128</v>
      </c>
      <c r="J42" s="28" t="n">
        <v>2.37310914384046</v>
      </c>
      <c r="K42" s="28" t="n">
        <f aca="false">$K$8</f>
        <v>0.296197623206382</v>
      </c>
      <c r="L42" s="28" t="n">
        <f aca="false">SQRT(J42^2+K42^2)</f>
        <v>2.3915225360787</v>
      </c>
      <c r="M42" s="53" t="n">
        <f aca="false">IF(G42="","",MAX(0,G42-1.96*L42/100))</f>
        <v>0.342633312505894</v>
      </c>
      <c r="N42" s="53" t="n">
        <f aca="false">IF(G42="","",MIN(1,G42+1.96*L42/100))</f>
        <v>0.436380995920179</v>
      </c>
      <c r="O42" s="52" t="n">
        <f aca="false">ROUND(S42*W42,0)</f>
        <v>56</v>
      </c>
      <c r="P42" s="52" t="n">
        <f aca="false">IF(F42="","",ROUND(SQRT((F42*L42/100)^2+(G42*O42)^2),0))</f>
        <v>26</v>
      </c>
      <c r="R42" s="54" t="n">
        <v>-11.7816198109698</v>
      </c>
      <c r="S42" s="55" t="n">
        <f aca="false">U42*V42*$F$5</f>
        <v>629.208480565371</v>
      </c>
      <c r="T42" s="56" t="n">
        <f aca="false">MAX(0,MIN(1,R42/100+$D$5))</f>
        <v>0.389739908998717</v>
      </c>
      <c r="U42" s="56" t="n">
        <v>0.558303886925795</v>
      </c>
      <c r="V42" s="55" t="n">
        <v>1127</v>
      </c>
      <c r="W42" s="56" t="n">
        <v>0.0887445098984521</v>
      </c>
      <c r="X42" s="57" t="s">
        <v>135</v>
      </c>
      <c r="Y42" s="57" t="s">
        <v>130</v>
      </c>
    </row>
    <row r="43" customFormat="false" ht="15" hidden="false" customHeight="false" outlineLevel="0" collapsed="false">
      <c r="A43" s="25" t="s">
        <v>126</v>
      </c>
      <c r="B43" s="25" t="s">
        <v>172</v>
      </c>
      <c r="C43" s="25" t="s">
        <v>172</v>
      </c>
      <c r="D43" s="52" t="n">
        <f aca="false">ROUND(S43*T43,0)</f>
        <v>100</v>
      </c>
      <c r="E43" s="52" t="n">
        <f aca="false">ROUND(S43,0)-D43</f>
        <v>430</v>
      </c>
      <c r="F43" s="52" t="n">
        <f aca="false">IF(COUNTA(D43:E43)=0,"",SUM(D43:E43))</f>
        <v>530</v>
      </c>
      <c r="G43" s="53" t="n">
        <f aca="false">IF(OR(F43="",F43=0),"",D43/F43)</f>
        <v>0.188679245283019</v>
      </c>
      <c r="H43" s="53" t="n">
        <f aca="false">IF(OR(F43="",F43=0),"",E43/F43)</f>
        <v>0.811320754716981</v>
      </c>
      <c r="I43" s="25" t="s">
        <v>128</v>
      </c>
      <c r="J43" s="28" t="n">
        <v>3.71103496666907</v>
      </c>
      <c r="K43" s="28" t="n">
        <f aca="false">$K$8</f>
        <v>0.296197623206382</v>
      </c>
      <c r="L43" s="28" t="n">
        <f aca="false">SQRT(J43^2+K43^2)</f>
        <v>3.72283676191068</v>
      </c>
      <c r="M43" s="53" t="n">
        <f aca="false">IF(G43="","",MAX(0,G43-1.96*L43/100))</f>
        <v>0.11571164474957</v>
      </c>
      <c r="N43" s="53" t="n">
        <f aca="false">IF(G43="","",MIN(1,G43+1.96*L43/100))</f>
        <v>0.261646845816468</v>
      </c>
      <c r="O43" s="52" t="n">
        <f aca="false">ROUND(S43*W43,0)</f>
        <v>79</v>
      </c>
      <c r="P43" s="52" t="n">
        <f aca="false">IF(F43="","",ROUND(SQRT((F43*L43/100)^2+(G43*O43)^2),0))</f>
        <v>25</v>
      </c>
      <c r="R43" s="54" t="n">
        <v>-31.9286622661534</v>
      </c>
      <c r="S43" s="55" t="n">
        <f aca="false">U43*V43*$F$5</f>
        <v>530.117647058823</v>
      </c>
      <c r="T43" s="56" t="n">
        <f aca="false">MAX(0,MIN(1,R43/100+$D$5))</f>
        <v>0.188269484446881</v>
      </c>
      <c r="U43" s="56" t="n">
        <v>0.705882352941177</v>
      </c>
      <c r="V43" s="55" t="n">
        <v>751</v>
      </c>
      <c r="W43" s="56" t="n">
        <v>0.148097331980838</v>
      </c>
      <c r="X43" s="57" t="s">
        <v>129</v>
      </c>
      <c r="Y43" s="57" t="s">
        <v>130</v>
      </c>
    </row>
    <row r="44" customFormat="false" ht="15" hidden="false" customHeight="false" outlineLevel="0" collapsed="false">
      <c r="A44" s="25" t="s">
        <v>126</v>
      </c>
      <c r="B44" s="25" t="s">
        <v>173</v>
      </c>
      <c r="C44" s="25" t="s">
        <v>174</v>
      </c>
      <c r="D44" s="52" t="n">
        <f aca="false">ROUND(S44*T44,0)</f>
        <v>225</v>
      </c>
      <c r="E44" s="52" t="n">
        <f aca="false">ROUND(S44,0)-D44</f>
        <v>470</v>
      </c>
      <c r="F44" s="52" t="n">
        <f aca="false">IF(COUNTA(D44:E44)=0,"",SUM(D44:E44))</f>
        <v>695</v>
      </c>
      <c r="G44" s="53" t="n">
        <f aca="false">IF(OR(F44="",F44=0),"",D44/F44)</f>
        <v>0.323741007194245</v>
      </c>
      <c r="H44" s="53" t="n">
        <f aca="false">IF(OR(F44="",F44=0),"",E44/F44)</f>
        <v>0.676258992805755</v>
      </c>
      <c r="I44" s="25" t="s">
        <v>128</v>
      </c>
      <c r="J44" s="28" t="n">
        <v>2.37310914384046</v>
      </c>
      <c r="K44" s="28" t="n">
        <f aca="false">$K$8</f>
        <v>0.296197623206382</v>
      </c>
      <c r="L44" s="28" t="n">
        <f aca="false">SQRT(J44^2+K44^2)</f>
        <v>2.3915225360787</v>
      </c>
      <c r="M44" s="53" t="n">
        <f aca="false">IF(G44="","",MAX(0,G44-1.96*L44/100))</f>
        <v>0.276867165487102</v>
      </c>
      <c r="N44" s="53" t="n">
        <f aca="false">IF(G44="","",MIN(1,G44+1.96*L44/100))</f>
        <v>0.370614848901387</v>
      </c>
      <c r="O44" s="52" t="n">
        <f aca="false">ROUND(S44*W44,0)</f>
        <v>62</v>
      </c>
      <c r="P44" s="52" t="n">
        <f aca="false">IF(F44="","",ROUND(SQRT((F44*L44/100)^2+(G44*O44)^2),0))</f>
        <v>26</v>
      </c>
      <c r="R44" s="54" t="n">
        <v>-18.3586243458432</v>
      </c>
      <c r="S44" s="55" t="n">
        <f aca="false">U44*V44*$F$5</f>
        <v>695.209549071618</v>
      </c>
      <c r="T44" s="56" t="n">
        <f aca="false">MAX(0,MIN(1,R44/100+$D$5))</f>
        <v>0.323969863649983</v>
      </c>
      <c r="U44" s="56" t="n">
        <v>0.600353669319186</v>
      </c>
      <c r="V44" s="55" t="n">
        <v>1158</v>
      </c>
      <c r="W44" s="56" t="n">
        <v>0.0887445098984521</v>
      </c>
      <c r="X44" s="57" t="s">
        <v>135</v>
      </c>
      <c r="Y44" s="57" t="s">
        <v>130</v>
      </c>
    </row>
    <row r="45" customFormat="false" ht="15" hidden="false" customHeight="false" outlineLevel="0" collapsed="false">
      <c r="A45" s="25" t="s">
        <v>126</v>
      </c>
      <c r="B45" s="25" t="s">
        <v>173</v>
      </c>
      <c r="C45" s="25" t="s">
        <v>175</v>
      </c>
      <c r="D45" s="52" t="n">
        <f aca="false">ROUND(S45*T45,0)</f>
        <v>365</v>
      </c>
      <c r="E45" s="52" t="n">
        <f aca="false">ROUND(S45,0)-D45</f>
        <v>619</v>
      </c>
      <c r="F45" s="52" t="n">
        <f aca="false">IF(COUNTA(D45:E45)=0,"",SUM(D45:E45))</f>
        <v>984</v>
      </c>
      <c r="G45" s="53" t="n">
        <f aca="false">IF(OR(F45="",F45=0),"",D45/F45)</f>
        <v>0.370934959349594</v>
      </c>
      <c r="H45" s="53" t="n">
        <f aca="false">IF(OR(F45="",F45=0),"",E45/F45)</f>
        <v>0.629065040650407</v>
      </c>
      <c r="I45" s="25" t="s">
        <v>128</v>
      </c>
      <c r="J45" s="28" t="n">
        <v>1.88612725432908</v>
      </c>
      <c r="K45" s="28" t="n">
        <f aca="false">$K$8</f>
        <v>0.296197623206382</v>
      </c>
      <c r="L45" s="28" t="n">
        <f aca="false">SQRT(J45^2+K45^2)</f>
        <v>1.909243057213</v>
      </c>
      <c r="M45" s="53" t="n">
        <f aca="false">IF(G45="","",MAX(0,G45-1.96*L45/100))</f>
        <v>0.333513795428219</v>
      </c>
      <c r="N45" s="53" t="n">
        <f aca="false">IF(G45="","",MIN(1,G45+1.96*L45/100))</f>
        <v>0.408356123270968</v>
      </c>
      <c r="O45" s="52" t="n">
        <f aca="false">ROUND(S45*W45,0)</f>
        <v>67</v>
      </c>
      <c r="P45" s="52" t="n">
        <f aca="false">IF(F45="","",ROUND(SQRT((F45*L45/100)^2+(G45*O45)^2),0))</f>
        <v>31</v>
      </c>
      <c r="R45" s="54" t="n">
        <v>-13.6340285298987</v>
      </c>
      <c r="S45" s="55" t="n">
        <f aca="false">U45*V45*$F$5</f>
        <v>983.694267515924</v>
      </c>
      <c r="T45" s="56" t="n">
        <f aca="false">MAX(0,MIN(1,R45/100+$D$5))</f>
        <v>0.371215821809428</v>
      </c>
      <c r="U45" s="56" t="n">
        <v>0.54198031268095</v>
      </c>
      <c r="V45" s="55" t="n">
        <v>1815</v>
      </c>
      <c r="W45" s="56" t="n">
        <v>0.0684752145190268</v>
      </c>
      <c r="X45" s="57" t="s">
        <v>168</v>
      </c>
      <c r="Y45" s="57" t="s">
        <v>130</v>
      </c>
    </row>
    <row r="46" customFormat="false" ht="15" hidden="false" customHeight="false" outlineLevel="0" collapsed="false">
      <c r="A46" s="25" t="s">
        <v>126</v>
      </c>
      <c r="B46" s="25" t="s">
        <v>173</v>
      </c>
      <c r="C46" s="25" t="s">
        <v>176</v>
      </c>
      <c r="D46" s="52" t="n">
        <f aca="false">ROUND(S46*T46,0)</f>
        <v>104</v>
      </c>
      <c r="E46" s="52" t="n">
        <f aca="false">ROUND(S46,0)-D46</f>
        <v>207</v>
      </c>
      <c r="F46" s="52" t="n">
        <f aca="false">IF(COUNTA(D46:E46)=0,"",SUM(D46:E46))</f>
        <v>311</v>
      </c>
      <c r="G46" s="53" t="n">
        <f aca="false">IF(OR(F46="",F46=0),"",D46/F46)</f>
        <v>0.334405144694534</v>
      </c>
      <c r="H46" s="53" t="n">
        <f aca="false">IF(OR(F46="",F46=0),"",E46/F46)</f>
        <v>0.665594855305466</v>
      </c>
      <c r="I46" s="25" t="s">
        <v>128</v>
      </c>
      <c r="J46" s="28" t="n">
        <v>3.71103496666907</v>
      </c>
      <c r="K46" s="28" t="n">
        <f aca="false">$K$8</f>
        <v>0.296197623206382</v>
      </c>
      <c r="L46" s="28" t="n">
        <f aca="false">SQRT(J46^2+K46^2)</f>
        <v>3.72283676191068</v>
      </c>
      <c r="M46" s="53" t="n">
        <f aca="false">IF(G46="","",MAX(0,G46-1.96*L46/100))</f>
        <v>0.261437544161084</v>
      </c>
      <c r="N46" s="53" t="n">
        <f aca="false">IF(G46="","",MIN(1,G46+1.96*L46/100))</f>
        <v>0.407372745227983</v>
      </c>
      <c r="O46" s="52" t="n">
        <f aca="false">ROUND(S46*W46,0)</f>
        <v>46</v>
      </c>
      <c r="P46" s="52" t="n">
        <f aca="false">IF(F46="","",ROUND(SQRT((F46*L46/100)^2+(G46*O46)^2),0))</f>
        <v>19</v>
      </c>
      <c r="R46" s="54" t="n">
        <v>-17.2644164141923</v>
      </c>
      <c r="S46" s="55" t="n">
        <f aca="false">U46*V46*$F$5</f>
        <v>310.913705583756</v>
      </c>
      <c r="T46" s="56" t="n">
        <f aca="false">MAX(0,MIN(1,R46/100+$D$5))</f>
        <v>0.334911942966492</v>
      </c>
      <c r="U46" s="56" t="n">
        <v>0.49746192893401</v>
      </c>
      <c r="V46" s="55" t="n">
        <v>625</v>
      </c>
      <c r="W46" s="56" t="n">
        <v>0.148097331980838</v>
      </c>
      <c r="X46" s="57" t="s">
        <v>129</v>
      </c>
      <c r="Y46" s="57" t="s">
        <v>130</v>
      </c>
    </row>
    <row r="47" customFormat="false" ht="15" hidden="false" customHeight="false" outlineLevel="0" collapsed="false">
      <c r="A47" s="25" t="s">
        <v>126</v>
      </c>
      <c r="B47" s="25" t="s">
        <v>177</v>
      </c>
      <c r="C47" s="25" t="s">
        <v>177</v>
      </c>
      <c r="D47" s="52" t="n">
        <f aca="false">ROUND(S47*T47,0)</f>
        <v>56</v>
      </c>
      <c r="E47" s="52" t="n">
        <f aca="false">ROUND(S47,0)-D47</f>
        <v>129</v>
      </c>
      <c r="F47" s="52" t="n">
        <f aca="false">IF(COUNTA(D47:E47)=0,"",SUM(D47:E47))</f>
        <v>185</v>
      </c>
      <c r="G47" s="53" t="n">
        <f aca="false">IF(OR(F47="",F47=0),"",D47/F47)</f>
        <v>0.302702702702703</v>
      </c>
      <c r="H47" s="53" t="n">
        <f aca="false">IF(OR(F47="",F47=0),"",E47/F47)</f>
        <v>0.697297297297297</v>
      </c>
      <c r="I47" s="25" t="s">
        <v>128</v>
      </c>
      <c r="J47" s="28" t="n">
        <v>3.71103496666907</v>
      </c>
      <c r="K47" s="28" t="n">
        <f aca="false">$K$8</f>
        <v>0.296197623206382</v>
      </c>
      <c r="L47" s="28" t="n">
        <f aca="false">SQRT(J47^2+K47^2)</f>
        <v>3.72283676191068</v>
      </c>
      <c r="M47" s="53" t="n">
        <f aca="false">IF(G47="","",MAX(0,G47-1.96*L47/100))</f>
        <v>0.229735102169253</v>
      </c>
      <c r="N47" s="53" t="n">
        <f aca="false">IF(G47="","",MIN(1,G47+1.96*L47/100))</f>
        <v>0.375670303236152</v>
      </c>
      <c r="O47" s="52" t="n">
        <f aca="false">ROUND(S47*W47,0)</f>
        <v>27</v>
      </c>
      <c r="P47" s="52" t="n">
        <f aca="false">IF(F47="","",ROUND(SQRT((F47*L47/100)^2+(G47*O47)^2),0))</f>
        <v>11</v>
      </c>
      <c r="R47" s="54" t="n">
        <v>-20.2618239352909</v>
      </c>
      <c r="S47" s="55" t="n">
        <f aca="false">U47*V47*$F$5</f>
        <v>184.547540983606</v>
      </c>
      <c r="T47" s="56" t="n">
        <f aca="false">MAX(0,MIN(1,R47/100+$D$5))</f>
        <v>0.304937867755505</v>
      </c>
      <c r="U47" s="56" t="n">
        <v>0.613114754098361</v>
      </c>
      <c r="V47" s="55" t="n">
        <v>301</v>
      </c>
      <c r="W47" s="56" t="n">
        <v>0.148097331980838</v>
      </c>
      <c r="X47" s="57" t="s">
        <v>129</v>
      </c>
      <c r="Y47" s="57" t="s">
        <v>130</v>
      </c>
    </row>
    <row r="48" customFormat="false" ht="15" hidden="false" customHeight="false" outlineLevel="0" collapsed="false">
      <c r="A48" s="25" t="s">
        <v>126</v>
      </c>
      <c r="B48" s="25" t="s">
        <v>178</v>
      </c>
      <c r="C48" s="25" t="s">
        <v>179</v>
      </c>
      <c r="D48" s="52" t="n">
        <f aca="false">ROUND(S48*T48,0)</f>
        <v>308</v>
      </c>
      <c r="E48" s="52" t="n">
        <f aca="false">ROUND(S48,0)-D48</f>
        <v>531</v>
      </c>
      <c r="F48" s="52" t="n">
        <f aca="false">IF(COUNTA(D48:E48)=0,"",SUM(D48:E48))</f>
        <v>839</v>
      </c>
      <c r="G48" s="53" t="n">
        <f aca="false">IF(OR(F48="",F48=0),"",D48/F48)</f>
        <v>0.367103694874851</v>
      </c>
      <c r="H48" s="53" t="n">
        <f aca="false">IF(OR(F48="",F48=0),"",E48/F48)</f>
        <v>0.632896305125149</v>
      </c>
      <c r="I48" s="25" t="s">
        <v>128</v>
      </c>
      <c r="J48" s="28" t="n">
        <v>2.37310914384046</v>
      </c>
      <c r="K48" s="28" t="n">
        <f aca="false">$K$8</f>
        <v>0.296197623206382</v>
      </c>
      <c r="L48" s="28" t="n">
        <f aca="false">SQRT(J48^2+K48^2)</f>
        <v>2.3915225360787</v>
      </c>
      <c r="M48" s="53" t="n">
        <f aca="false">IF(G48="","",MAX(0,G48-1.96*L48/100))</f>
        <v>0.320229853167708</v>
      </c>
      <c r="N48" s="53" t="n">
        <f aca="false">IF(G48="","",MIN(1,G48+1.96*L48/100))</f>
        <v>0.413977536581994</v>
      </c>
      <c r="O48" s="52" t="n">
        <f aca="false">ROUND(S48*W48,0)</f>
        <v>74</v>
      </c>
      <c r="P48" s="52" t="n">
        <f aca="false">IF(F48="","",ROUND(SQRT((F48*L48/100)^2+(G48*O48)^2),0))</f>
        <v>34</v>
      </c>
      <c r="R48" s="54" t="n">
        <v>-14.0586102648204</v>
      </c>
      <c r="S48" s="55" t="n">
        <f aca="false">U48*V48*$F$5</f>
        <v>839.29959746981</v>
      </c>
      <c r="T48" s="56" t="n">
        <f aca="false">MAX(0,MIN(1,R48/100+$D$5))</f>
        <v>0.366970004460211</v>
      </c>
      <c r="U48" s="56" t="n">
        <v>0.474985623921794</v>
      </c>
      <c r="V48" s="55" t="n">
        <v>1767</v>
      </c>
      <c r="W48" s="56" t="n">
        <v>0.0887445098984521</v>
      </c>
      <c r="X48" s="57" t="s">
        <v>135</v>
      </c>
      <c r="Y48" s="57" t="s">
        <v>130</v>
      </c>
    </row>
    <row r="49" customFormat="false" ht="15" hidden="false" customHeight="false" outlineLevel="0" collapsed="false">
      <c r="A49" s="25" t="s">
        <v>126</v>
      </c>
      <c r="B49" s="25" t="s">
        <v>178</v>
      </c>
      <c r="C49" s="25" t="s">
        <v>180</v>
      </c>
      <c r="D49" s="52" t="n">
        <f aca="false">ROUND(S49*T49,0)</f>
        <v>233</v>
      </c>
      <c r="E49" s="52" t="n">
        <f aca="false">ROUND(S49,0)-D49</f>
        <v>418</v>
      </c>
      <c r="F49" s="52" t="n">
        <f aca="false">IF(COUNTA(D49:E49)=0,"",SUM(D49:E49))</f>
        <v>651</v>
      </c>
      <c r="G49" s="53" t="n">
        <f aca="false">IF(OR(F49="",F49=0),"",D49/F49)</f>
        <v>0.357910906298003</v>
      </c>
      <c r="H49" s="53" t="n">
        <f aca="false">IF(OR(F49="",F49=0),"",E49/F49)</f>
        <v>0.642089093701997</v>
      </c>
      <c r="I49" s="25" t="s">
        <v>128</v>
      </c>
      <c r="J49" s="28" t="n">
        <v>2.37310914384046</v>
      </c>
      <c r="K49" s="28" t="n">
        <f aca="false">$K$8</f>
        <v>0.296197623206382</v>
      </c>
      <c r="L49" s="28" t="n">
        <f aca="false">SQRT(J49^2+K49^2)</f>
        <v>2.3915225360787</v>
      </c>
      <c r="M49" s="53" t="n">
        <f aca="false">IF(G49="","",MAX(0,G49-1.96*L49/100))</f>
        <v>0.311037064590861</v>
      </c>
      <c r="N49" s="53" t="n">
        <f aca="false">IF(G49="","",MIN(1,G49+1.96*L49/100))</f>
        <v>0.404784748005146</v>
      </c>
      <c r="O49" s="52" t="n">
        <f aca="false">ROUND(S49*W49,0)</f>
        <v>58</v>
      </c>
      <c r="P49" s="52" t="n">
        <f aca="false">IF(F49="","",ROUND(SQRT((F49*L49/100)^2+(G49*O49)^2),0))</f>
        <v>26</v>
      </c>
      <c r="R49" s="54" t="n">
        <v>-14.9365086778004</v>
      </c>
      <c r="S49" s="55" t="n">
        <f aca="false">U49*V49*$F$5</f>
        <v>650.966977138019</v>
      </c>
      <c r="T49" s="56" t="n">
        <f aca="false">MAX(0,MIN(1,R49/100+$D$5))</f>
        <v>0.358191020330411</v>
      </c>
      <c r="U49" s="56" t="n">
        <v>0.523285351397121</v>
      </c>
      <c r="V49" s="55" t="n">
        <v>1244</v>
      </c>
      <c r="W49" s="56" t="n">
        <v>0.0887445098984521</v>
      </c>
      <c r="X49" s="57" t="s">
        <v>135</v>
      </c>
      <c r="Y49" s="57" t="s">
        <v>130</v>
      </c>
    </row>
    <row r="50" customFormat="false" ht="15" hidden="false" customHeight="false" outlineLevel="0" collapsed="false">
      <c r="A50" s="25" t="s">
        <v>126</v>
      </c>
      <c r="B50" s="25" t="s">
        <v>178</v>
      </c>
      <c r="C50" s="25" t="s">
        <v>181</v>
      </c>
      <c r="D50" s="52" t="n">
        <f aca="false">ROUND(S50*T50,0)</f>
        <v>344</v>
      </c>
      <c r="E50" s="52" t="n">
        <f aca="false">ROUND(S50,0)-D50</f>
        <v>601</v>
      </c>
      <c r="F50" s="52" t="n">
        <f aca="false">IF(COUNTA(D50:E50)=0,"",SUM(D50:E50))</f>
        <v>945</v>
      </c>
      <c r="G50" s="53" t="n">
        <f aca="false">IF(OR(F50="",F50=0),"",D50/F50)</f>
        <v>0.364021164021164</v>
      </c>
      <c r="H50" s="53" t="n">
        <f aca="false">IF(OR(F50="",F50=0),"",E50/F50)</f>
        <v>0.635978835978836</v>
      </c>
      <c r="I50" s="25" t="s">
        <v>128</v>
      </c>
      <c r="J50" s="28" t="n">
        <v>1.88612725432908</v>
      </c>
      <c r="K50" s="28" t="n">
        <f aca="false">$K$8</f>
        <v>0.296197623206382</v>
      </c>
      <c r="L50" s="28" t="n">
        <f aca="false">SQRT(J50^2+K50^2)</f>
        <v>1.909243057213</v>
      </c>
      <c r="M50" s="53" t="n">
        <f aca="false">IF(G50="","",MAX(0,G50-1.96*L50/100))</f>
        <v>0.326600000099789</v>
      </c>
      <c r="N50" s="53" t="n">
        <f aca="false">IF(G50="","",MIN(1,G50+1.96*L50/100))</f>
        <v>0.401442327942539</v>
      </c>
      <c r="O50" s="52" t="n">
        <f aca="false">ROUND(S50*W50,0)</f>
        <v>65</v>
      </c>
      <c r="P50" s="52" t="n">
        <f aca="false">IF(F50="","",ROUND(SQRT((F50*L50/100)^2+(G50*O50)^2),0))</f>
        <v>30</v>
      </c>
      <c r="R50" s="54" t="n">
        <v>-14.3937038366044</v>
      </c>
      <c r="S50" s="55" t="n">
        <f aca="false">U50*V50*$F$5</f>
        <v>945.214912280702</v>
      </c>
      <c r="T50" s="56" t="n">
        <f aca="false">MAX(0,MIN(1,R50/100+$D$5))</f>
        <v>0.363619068742371</v>
      </c>
      <c r="U50" s="56" t="n">
        <v>0.521929824561404</v>
      </c>
      <c r="V50" s="55" t="n">
        <v>1811</v>
      </c>
      <c r="W50" s="56" t="n">
        <v>0.0684752145190268</v>
      </c>
      <c r="X50" s="57" t="s">
        <v>168</v>
      </c>
      <c r="Y50" s="57" t="s">
        <v>130</v>
      </c>
    </row>
    <row r="51" customFormat="false" ht="15" hidden="false" customHeight="false" outlineLevel="0" collapsed="false">
      <c r="A51" s="25" t="s">
        <v>126</v>
      </c>
      <c r="B51" s="25" t="s">
        <v>178</v>
      </c>
      <c r="C51" s="25" t="s">
        <v>182</v>
      </c>
      <c r="D51" s="52" t="n">
        <f aca="false">ROUND(S51*T51,0)</f>
        <v>344</v>
      </c>
      <c r="E51" s="52" t="n">
        <f aca="false">ROUND(S51,0)-D51</f>
        <v>772</v>
      </c>
      <c r="F51" s="52" t="n">
        <f aca="false">IF(COUNTA(D51:E51)=0,"",SUM(D51:E51))</f>
        <v>1116</v>
      </c>
      <c r="G51" s="53" t="n">
        <f aca="false">IF(OR(F51="",F51=0),"",D51/F51)</f>
        <v>0.308243727598566</v>
      </c>
      <c r="H51" s="53" t="n">
        <f aca="false">IF(OR(F51="",F51=0),"",E51/F51)</f>
        <v>0.691756272401434</v>
      </c>
      <c r="I51" s="25" t="s">
        <v>128</v>
      </c>
      <c r="J51" s="28" t="n">
        <v>1.88612725432908</v>
      </c>
      <c r="K51" s="28" t="n">
        <f aca="false">$K$8</f>
        <v>0.296197623206382</v>
      </c>
      <c r="L51" s="28" t="n">
        <f aca="false">SQRT(J51^2+K51^2)</f>
        <v>1.909243057213</v>
      </c>
      <c r="M51" s="53" t="n">
        <f aca="false">IF(G51="","",MAX(0,G51-1.96*L51/100))</f>
        <v>0.270822563677192</v>
      </c>
      <c r="N51" s="53" t="n">
        <f aca="false">IF(G51="","",MIN(1,G51+1.96*L51/100))</f>
        <v>0.345664891519941</v>
      </c>
      <c r="O51" s="52" t="n">
        <f aca="false">ROUND(S51*W51,0)</f>
        <v>76</v>
      </c>
      <c r="P51" s="52" t="n">
        <f aca="false">IF(F51="","",ROUND(SQRT((F51*L51/100)^2+(G51*O51)^2),0))</f>
        <v>32</v>
      </c>
      <c r="R51" s="54" t="n">
        <v>-19.9400657872952</v>
      </c>
      <c r="S51" s="55" t="n">
        <f aca="false">U51*V51*$F$5</f>
        <v>1115.89731051345</v>
      </c>
      <c r="T51" s="56" t="n">
        <f aca="false">MAX(0,MIN(1,R51/100+$D$5))</f>
        <v>0.308155449235463</v>
      </c>
      <c r="U51" s="56" t="n">
        <v>0.63080684596577</v>
      </c>
      <c r="V51" s="55" t="n">
        <v>1769</v>
      </c>
      <c r="W51" s="56" t="n">
        <v>0.0684752145190268</v>
      </c>
      <c r="X51" s="57" t="s">
        <v>168</v>
      </c>
      <c r="Y51" s="57" t="s">
        <v>130</v>
      </c>
    </row>
    <row r="52" customFormat="false" ht="15" hidden="false" customHeight="false" outlineLevel="0" collapsed="false">
      <c r="A52" s="25" t="s">
        <v>126</v>
      </c>
      <c r="B52" s="25" t="s">
        <v>178</v>
      </c>
      <c r="C52" s="25" t="s">
        <v>183</v>
      </c>
      <c r="D52" s="52" t="n">
        <f aca="false">ROUND(S52*T52,0)</f>
        <v>325</v>
      </c>
      <c r="E52" s="52" t="n">
        <f aca="false">ROUND(S52,0)-D52</f>
        <v>607</v>
      </c>
      <c r="F52" s="52" t="n">
        <f aca="false">IF(COUNTA(D52:E52)=0,"",SUM(D52:E52))</f>
        <v>932</v>
      </c>
      <c r="G52" s="53" t="n">
        <f aca="false">IF(OR(F52="",F52=0),"",D52/F52)</f>
        <v>0.348712446351931</v>
      </c>
      <c r="H52" s="53" t="n">
        <f aca="false">IF(OR(F52="",F52=0),"",E52/F52)</f>
        <v>0.651287553648069</v>
      </c>
      <c r="I52" s="25" t="s">
        <v>128</v>
      </c>
      <c r="J52" s="28" t="n">
        <v>2.37310914384046</v>
      </c>
      <c r="K52" s="28" t="n">
        <f aca="false">$K$8</f>
        <v>0.296197623206382</v>
      </c>
      <c r="L52" s="28" t="n">
        <f aca="false">SQRT(J52^2+K52^2)</f>
        <v>2.3915225360787</v>
      </c>
      <c r="M52" s="53" t="n">
        <f aca="false">IF(G52="","",MAX(0,G52-1.96*L52/100))</f>
        <v>0.301838604644789</v>
      </c>
      <c r="N52" s="53" t="n">
        <f aca="false">IF(G52="","",MIN(1,G52+1.96*L52/100))</f>
        <v>0.395586288059074</v>
      </c>
      <c r="O52" s="52" t="n">
        <f aca="false">ROUND(S52*W52,0)</f>
        <v>83</v>
      </c>
      <c r="P52" s="52" t="n">
        <f aca="false">IF(F52="","",ROUND(SQRT((F52*L52/100)^2+(G52*O52)^2),0))</f>
        <v>37</v>
      </c>
      <c r="R52" s="54" t="n">
        <v>-15.9026798134993</v>
      </c>
      <c r="S52" s="55" t="n">
        <f aca="false">U52*V52*$F$5</f>
        <v>932.161434977579</v>
      </c>
      <c r="T52" s="56" t="n">
        <f aca="false">MAX(0,MIN(1,R52/100+$D$5))</f>
        <v>0.348529308973422</v>
      </c>
      <c r="U52" s="56" t="n">
        <v>0.669656203288491</v>
      </c>
      <c r="V52" s="55" t="n">
        <v>1392</v>
      </c>
      <c r="W52" s="56" t="n">
        <v>0.0887445098984521</v>
      </c>
      <c r="X52" s="57" t="s">
        <v>135</v>
      </c>
      <c r="Y52" s="57" t="s">
        <v>130</v>
      </c>
    </row>
    <row r="53" customFormat="false" ht="15" hidden="false" customHeight="false" outlineLevel="0" collapsed="false">
      <c r="A53" s="25" t="s">
        <v>126</v>
      </c>
      <c r="B53" s="25" t="s">
        <v>184</v>
      </c>
      <c r="C53" s="25" t="s">
        <v>185</v>
      </c>
      <c r="D53" s="52" t="n">
        <f aca="false">ROUND(S53*T53,0)</f>
        <v>141</v>
      </c>
      <c r="E53" s="52" t="n">
        <f aca="false">ROUND(S53,0)-D53</f>
        <v>163</v>
      </c>
      <c r="F53" s="52" t="n">
        <f aca="false">IF(COUNTA(D53:E53)=0,"",SUM(D53:E53))</f>
        <v>304</v>
      </c>
      <c r="G53" s="53" t="n">
        <f aca="false">IF(OR(F53="",F53=0),"",D53/F53)</f>
        <v>0.463815789473684</v>
      </c>
      <c r="H53" s="53" t="n">
        <f aca="false">IF(OR(F53="",F53=0),"",E53/F53)</f>
        <v>0.536184210526316</v>
      </c>
      <c r="I53" s="25" t="s">
        <v>128</v>
      </c>
      <c r="J53" s="28" t="n">
        <v>3.71103496666907</v>
      </c>
      <c r="K53" s="28" t="n">
        <f aca="false">$K$8</f>
        <v>0.296197623206382</v>
      </c>
      <c r="L53" s="28" t="n">
        <f aca="false">SQRT(J53^2+K53^2)</f>
        <v>3.72283676191068</v>
      </c>
      <c r="M53" s="53" t="n">
        <f aca="false">IF(G53="","",MAX(0,G53-1.96*L53/100))</f>
        <v>0.390848188940235</v>
      </c>
      <c r="N53" s="53" t="n">
        <f aca="false">IF(G53="","",MIN(1,G53+1.96*L53/100))</f>
        <v>0.536783390007134</v>
      </c>
      <c r="O53" s="52" t="n">
        <f aca="false">ROUND(S53*W53,0)</f>
        <v>45</v>
      </c>
      <c r="P53" s="52" t="n">
        <f aca="false">IF(F53="","",ROUND(SQRT((F53*L53/100)^2+(G53*O53)^2),0))</f>
        <v>24</v>
      </c>
      <c r="R53" s="54" t="n">
        <v>-4.34151880138781</v>
      </c>
      <c r="S53" s="55" t="n">
        <f aca="false">U53*V53*$F$5</f>
        <v>304.095808383234</v>
      </c>
      <c r="T53" s="56" t="n">
        <f aca="false">MAX(0,MIN(1,R53/100+$D$5))</f>
        <v>0.464140919094537</v>
      </c>
      <c r="U53" s="56" t="n">
        <v>0.574850299401198</v>
      </c>
      <c r="V53" s="55" t="n">
        <v>529</v>
      </c>
      <c r="W53" s="56" t="n">
        <v>0.148097331980838</v>
      </c>
      <c r="X53" s="57" t="s">
        <v>129</v>
      </c>
      <c r="Y53" s="57" t="s">
        <v>130</v>
      </c>
    </row>
    <row r="54" customFormat="false" ht="15" hidden="false" customHeight="false" outlineLevel="0" collapsed="false">
      <c r="A54" s="25" t="s">
        <v>126</v>
      </c>
      <c r="B54" s="25" t="s">
        <v>184</v>
      </c>
      <c r="C54" s="25" t="s">
        <v>186</v>
      </c>
      <c r="D54" s="52" t="n">
        <f aca="false">ROUND(S54*T54,0)</f>
        <v>160</v>
      </c>
      <c r="E54" s="52" t="n">
        <f aca="false">ROUND(S54,0)-D54</f>
        <v>179</v>
      </c>
      <c r="F54" s="52" t="n">
        <f aca="false">IF(COUNTA(D54:E54)=0,"",SUM(D54:E54))</f>
        <v>339</v>
      </c>
      <c r="G54" s="53" t="n">
        <f aca="false">IF(OR(F54="",F54=0),"",D54/F54)</f>
        <v>0.471976401179941</v>
      </c>
      <c r="H54" s="53" t="n">
        <f aca="false">IF(OR(F54="",F54=0),"",E54/F54)</f>
        <v>0.528023598820059</v>
      </c>
      <c r="I54" s="25" t="s">
        <v>128</v>
      </c>
      <c r="J54" s="28" t="n">
        <v>3.71103496666907</v>
      </c>
      <c r="K54" s="28" t="n">
        <f aca="false">$K$8</f>
        <v>0.296197623206382</v>
      </c>
      <c r="L54" s="28" t="n">
        <f aca="false">SQRT(J54^2+K54^2)</f>
        <v>3.72283676191068</v>
      </c>
      <c r="M54" s="53" t="n">
        <f aca="false">IF(G54="","",MAX(0,G54-1.96*L54/100))</f>
        <v>0.399008800646492</v>
      </c>
      <c r="N54" s="53" t="n">
        <f aca="false">IF(G54="","",MIN(1,G54+1.96*L54/100))</f>
        <v>0.54494400171339</v>
      </c>
      <c r="O54" s="52" t="n">
        <f aca="false">ROUND(S54*W54,0)</f>
        <v>50</v>
      </c>
      <c r="P54" s="52" t="n">
        <f aca="false">IF(F54="","",ROUND(SQRT((F54*L54/100)^2+(G54*O54)^2),0))</f>
        <v>27</v>
      </c>
      <c r="R54" s="54" t="n">
        <v>-3.64698796614681</v>
      </c>
      <c r="S54" s="55" t="n">
        <f aca="false">U54*V54*$F$5</f>
        <v>338.993963782696</v>
      </c>
      <c r="T54" s="56" t="n">
        <f aca="false">MAX(0,MIN(1,R54/100+$D$5))</f>
        <v>0.471086227446947</v>
      </c>
      <c r="U54" s="56" t="n">
        <v>0.627766599597585</v>
      </c>
      <c r="V54" s="55" t="n">
        <v>540</v>
      </c>
      <c r="W54" s="56" t="n">
        <v>0.148097331980838</v>
      </c>
      <c r="X54" s="57" t="s">
        <v>129</v>
      </c>
      <c r="Y54" s="57" t="s">
        <v>130</v>
      </c>
    </row>
    <row r="55" customFormat="false" ht="15" hidden="false" customHeight="false" outlineLevel="0" collapsed="false">
      <c r="A55" s="25" t="s">
        <v>126</v>
      </c>
      <c r="B55" s="25" t="s">
        <v>184</v>
      </c>
      <c r="C55" s="25" t="s">
        <v>187</v>
      </c>
      <c r="D55" s="52" t="n">
        <f aca="false">ROUND(S55*T55,0)</f>
        <v>88</v>
      </c>
      <c r="E55" s="52" t="n">
        <f aca="false">ROUND(S55,0)-D55</f>
        <v>155</v>
      </c>
      <c r="F55" s="52" t="n">
        <f aca="false">IF(COUNTA(D55:E55)=0,"",SUM(D55:E55))</f>
        <v>243</v>
      </c>
      <c r="G55" s="53" t="n">
        <f aca="false">IF(OR(F55="",F55=0),"",D55/F55)</f>
        <v>0.362139917695473</v>
      </c>
      <c r="H55" s="53" t="n">
        <f aca="false">IF(OR(F55="",F55=0),"",E55/F55)</f>
        <v>0.637860082304527</v>
      </c>
      <c r="I55" s="25" t="s">
        <v>128</v>
      </c>
      <c r="J55" s="28" t="n">
        <v>3.71103496666907</v>
      </c>
      <c r="K55" s="28" t="n">
        <f aca="false">$K$8</f>
        <v>0.296197623206382</v>
      </c>
      <c r="L55" s="28" t="n">
        <f aca="false">SQRT(J55^2+K55^2)</f>
        <v>3.72283676191068</v>
      </c>
      <c r="M55" s="53" t="n">
        <f aca="false">IF(G55="","",MAX(0,G55-1.96*L55/100))</f>
        <v>0.289172317162024</v>
      </c>
      <c r="N55" s="53" t="n">
        <f aca="false">IF(G55="","",MIN(1,G55+1.96*L55/100))</f>
        <v>0.435107518228923</v>
      </c>
      <c r="O55" s="52" t="n">
        <f aca="false">ROUND(S55*W55,0)</f>
        <v>36</v>
      </c>
      <c r="P55" s="52" t="n">
        <f aca="false">IF(F55="","",ROUND(SQRT((F55*L55/100)^2+(G55*O55)^2),0))</f>
        <v>16</v>
      </c>
      <c r="R55" s="54" t="n">
        <v>-14.3384563137974</v>
      </c>
      <c r="S55" s="55" t="n">
        <f aca="false">U55*V55*$F$5</f>
        <v>242.881401617251</v>
      </c>
      <c r="T55" s="56" t="n">
        <f aca="false">MAX(0,MIN(1,R55/100+$D$5))</f>
        <v>0.364171543970441</v>
      </c>
      <c r="U55" s="56" t="n">
        <v>0.676549865229111</v>
      </c>
      <c r="V55" s="55" t="n">
        <v>359</v>
      </c>
      <c r="W55" s="56" t="n">
        <v>0.148097331980838</v>
      </c>
      <c r="X55" s="57" t="s">
        <v>129</v>
      </c>
      <c r="Y55" s="57" t="s">
        <v>130</v>
      </c>
    </row>
    <row r="56" customFormat="false" ht="15" hidden="false" customHeight="false" outlineLevel="0" collapsed="false">
      <c r="A56" s="25" t="s">
        <v>126</v>
      </c>
      <c r="B56" s="25" t="s">
        <v>184</v>
      </c>
      <c r="C56" s="25" t="s">
        <v>188</v>
      </c>
      <c r="D56" s="52" t="n">
        <f aca="false">ROUND(S56*T56,0)</f>
        <v>164</v>
      </c>
      <c r="E56" s="52" t="n">
        <f aca="false">ROUND(S56,0)-D56</f>
        <v>241</v>
      </c>
      <c r="F56" s="52" t="n">
        <f aca="false">IF(COUNTA(D56:E56)=0,"",SUM(D56:E56))</f>
        <v>405</v>
      </c>
      <c r="G56" s="53" t="n">
        <f aca="false">IF(OR(F56="",F56=0),"",D56/F56)</f>
        <v>0.404938271604938</v>
      </c>
      <c r="H56" s="53" t="n">
        <f aca="false">IF(OR(F56="",F56=0),"",E56/F56)</f>
        <v>0.595061728395062</v>
      </c>
      <c r="I56" s="25" t="s">
        <v>128</v>
      </c>
      <c r="J56" s="28" t="n">
        <v>3.71103496666907</v>
      </c>
      <c r="K56" s="28" t="n">
        <f aca="false">$K$8</f>
        <v>0.296197623206382</v>
      </c>
      <c r="L56" s="28" t="n">
        <f aca="false">SQRT(J56^2+K56^2)</f>
        <v>3.72283676191068</v>
      </c>
      <c r="M56" s="53" t="n">
        <f aca="false">IF(G56="","",MAX(0,G56-1.96*L56/100))</f>
        <v>0.331970671071489</v>
      </c>
      <c r="N56" s="53" t="n">
        <f aca="false">IF(G56="","",MIN(1,G56+1.96*L56/100))</f>
        <v>0.477905872138388</v>
      </c>
      <c r="O56" s="52" t="n">
        <f aca="false">ROUND(S56*W56,0)</f>
        <v>60</v>
      </c>
      <c r="P56" s="52" t="n">
        <f aca="false">IF(F56="","",ROUND(SQRT((F56*L56/100)^2+(G56*O56)^2),0))</f>
        <v>29</v>
      </c>
      <c r="R56" s="54" t="n">
        <v>-10.390917237905</v>
      </c>
      <c r="S56" s="55" t="n">
        <f aca="false">U56*V56*$F$5</f>
        <v>405.365413533835</v>
      </c>
      <c r="T56" s="56" t="n">
        <f aca="false">MAX(0,MIN(1,R56/100+$D$5))</f>
        <v>0.403646934729365</v>
      </c>
      <c r="U56" s="56" t="n">
        <v>0.577443609022556</v>
      </c>
      <c r="V56" s="55" t="n">
        <v>702</v>
      </c>
      <c r="W56" s="56" t="n">
        <v>0.148097331980838</v>
      </c>
      <c r="X56" s="57" t="s">
        <v>129</v>
      </c>
      <c r="Y56" s="57" t="s">
        <v>130</v>
      </c>
    </row>
    <row r="57" customFormat="false" ht="15" hidden="false" customHeight="false" outlineLevel="0" collapsed="false">
      <c r="A57" s="25" t="s">
        <v>126</v>
      </c>
      <c r="B57" s="25" t="s">
        <v>189</v>
      </c>
      <c r="C57" s="25" t="s">
        <v>190</v>
      </c>
      <c r="D57" s="52" t="n">
        <f aca="false">ROUND(S57*T57,0)</f>
        <v>227</v>
      </c>
      <c r="E57" s="52" t="n">
        <f aca="false">ROUND(S57,0)-D57</f>
        <v>543</v>
      </c>
      <c r="F57" s="52" t="n">
        <f aca="false">IF(COUNTA(D57:E57)=0,"",SUM(D57:E57))</f>
        <v>770</v>
      </c>
      <c r="G57" s="53" t="n">
        <f aca="false">IF(OR(F57="",F57=0),"",D57/F57)</f>
        <v>0.294805194805195</v>
      </c>
      <c r="H57" s="53" t="n">
        <f aca="false">IF(OR(F57="",F57=0),"",E57/F57)</f>
        <v>0.705194805194805</v>
      </c>
      <c r="I57" s="25" t="s">
        <v>128</v>
      </c>
      <c r="J57" s="28" t="n">
        <v>2.37310914384046</v>
      </c>
      <c r="K57" s="28" t="n">
        <f aca="false">$K$8</f>
        <v>0.296197623206382</v>
      </c>
      <c r="L57" s="28" t="n">
        <f aca="false">SQRT(J57^2+K57^2)</f>
        <v>2.3915225360787</v>
      </c>
      <c r="M57" s="53" t="n">
        <f aca="false">IF(G57="","",MAX(0,G57-1.96*L57/100))</f>
        <v>0.247931353098052</v>
      </c>
      <c r="N57" s="53" t="n">
        <f aca="false">IF(G57="","",MIN(1,G57+1.96*L57/100))</f>
        <v>0.341679036512337</v>
      </c>
      <c r="O57" s="52" t="n">
        <f aca="false">ROUND(S57*W57,0)</f>
        <v>68</v>
      </c>
      <c r="P57" s="52" t="n">
        <f aca="false">IF(F57="","",ROUND(SQRT((F57*L57/100)^2+(G57*O57)^2),0))</f>
        <v>27</v>
      </c>
      <c r="R57" s="54" t="n">
        <v>-21.3164311371987</v>
      </c>
      <c r="S57" s="55" t="n">
        <f aca="false">U57*V57*$F$5</f>
        <v>769.717741935484</v>
      </c>
      <c r="T57" s="56" t="n">
        <f aca="false">MAX(0,MIN(1,R57/100+$D$5))</f>
        <v>0.294391795736428</v>
      </c>
      <c r="U57" s="56" t="n">
        <v>0.633512544802867</v>
      </c>
      <c r="V57" s="55" t="n">
        <v>1215</v>
      </c>
      <c r="W57" s="56" t="n">
        <v>0.0887445098984521</v>
      </c>
      <c r="X57" s="57" t="s">
        <v>135</v>
      </c>
      <c r="Y57" s="57" t="s">
        <v>130</v>
      </c>
    </row>
    <row r="58" customFormat="false" ht="15" hidden="false" customHeight="false" outlineLevel="0" collapsed="false">
      <c r="A58" s="25" t="s">
        <v>126</v>
      </c>
      <c r="B58" s="25" t="s">
        <v>189</v>
      </c>
      <c r="C58" s="25" t="s">
        <v>191</v>
      </c>
      <c r="D58" s="52" t="n">
        <f aca="false">ROUND(S58*T58,0)</f>
        <v>202</v>
      </c>
      <c r="E58" s="52" t="n">
        <f aca="false">ROUND(S58,0)-D58</f>
        <v>584</v>
      </c>
      <c r="F58" s="52" t="n">
        <f aca="false">IF(COUNTA(D58:E58)=0,"",SUM(D58:E58))</f>
        <v>786</v>
      </c>
      <c r="G58" s="53" t="n">
        <f aca="false">IF(OR(F58="",F58=0),"",D58/F58)</f>
        <v>0.256997455470738</v>
      </c>
      <c r="H58" s="53" t="n">
        <f aca="false">IF(OR(F58="",F58=0),"",E58/F58)</f>
        <v>0.743002544529262</v>
      </c>
      <c r="I58" s="25" t="s">
        <v>128</v>
      </c>
      <c r="J58" s="28" t="n">
        <v>2.37310914384046</v>
      </c>
      <c r="K58" s="28" t="n">
        <f aca="false">$K$8</f>
        <v>0.296197623206382</v>
      </c>
      <c r="L58" s="28" t="n">
        <f aca="false">SQRT(J58^2+K58^2)</f>
        <v>2.3915225360787</v>
      </c>
      <c r="M58" s="53" t="n">
        <f aca="false">IF(G58="","",MAX(0,G58-1.96*L58/100))</f>
        <v>0.210123613763595</v>
      </c>
      <c r="N58" s="53" t="n">
        <f aca="false">IF(G58="","",MIN(1,G58+1.96*L58/100))</f>
        <v>0.303871297177881</v>
      </c>
      <c r="O58" s="52" t="n">
        <f aca="false">ROUND(S58*W58,0)</f>
        <v>70</v>
      </c>
      <c r="P58" s="52" t="n">
        <f aca="false">IF(F58="","",ROUND(SQRT((F58*L58/100)^2+(G58*O58)^2),0))</f>
        <v>26</v>
      </c>
      <c r="R58" s="54" t="n">
        <v>-25.0774964733332</v>
      </c>
      <c r="S58" s="55" t="n">
        <f aca="false">U58*V58*$F$5</f>
        <v>786.289198606272</v>
      </c>
      <c r="T58" s="56" t="n">
        <f aca="false">MAX(0,MIN(1,R58/100+$D$5))</f>
        <v>0.256781142375082</v>
      </c>
      <c r="U58" s="56" t="n">
        <v>0.649825783972126</v>
      </c>
      <c r="V58" s="55" t="n">
        <v>1210</v>
      </c>
      <c r="W58" s="56" t="n">
        <v>0.0887445098984521</v>
      </c>
      <c r="X58" s="57" t="s">
        <v>135</v>
      </c>
      <c r="Y58" s="57" t="s">
        <v>130</v>
      </c>
    </row>
    <row r="59" customFormat="false" ht="15" hidden="false" customHeight="false" outlineLevel="0" collapsed="false">
      <c r="A59" s="25" t="s">
        <v>126</v>
      </c>
      <c r="B59" s="25" t="s">
        <v>189</v>
      </c>
      <c r="C59" s="25" t="s">
        <v>192</v>
      </c>
      <c r="D59" s="52" t="n">
        <f aca="false">ROUND(S59*T59,0)</f>
        <v>188</v>
      </c>
      <c r="E59" s="52" t="n">
        <f aca="false">ROUND(S59,0)-D59</f>
        <v>513</v>
      </c>
      <c r="F59" s="52" t="n">
        <f aca="false">IF(COUNTA(D59:E59)=0,"",SUM(D59:E59))</f>
        <v>701</v>
      </c>
      <c r="G59" s="53" t="n">
        <f aca="false">IF(OR(F59="",F59=0),"",D59/F59)</f>
        <v>0.268188302425107</v>
      </c>
      <c r="H59" s="53" t="n">
        <f aca="false">IF(OR(F59="",F59=0),"",E59/F59)</f>
        <v>0.731811697574893</v>
      </c>
      <c r="I59" s="25" t="s">
        <v>128</v>
      </c>
      <c r="J59" s="28" t="n">
        <v>2.37310914384046</v>
      </c>
      <c r="K59" s="28" t="n">
        <f aca="false">$K$8</f>
        <v>0.296197623206382</v>
      </c>
      <c r="L59" s="28" t="n">
        <f aca="false">SQRT(J59^2+K59^2)</f>
        <v>2.3915225360787</v>
      </c>
      <c r="M59" s="53" t="n">
        <f aca="false">IF(G59="","",MAX(0,G59-1.96*L59/100))</f>
        <v>0.221314460717964</v>
      </c>
      <c r="N59" s="53" t="n">
        <f aca="false">IF(G59="","",MIN(1,G59+1.96*L59/100))</f>
        <v>0.31506214413225</v>
      </c>
      <c r="O59" s="52" t="n">
        <f aca="false">ROUND(S59*W59,0)</f>
        <v>62</v>
      </c>
      <c r="P59" s="52" t="n">
        <f aca="false">IF(F59="","",ROUND(SQRT((F59*L59/100)^2+(G59*O59)^2),0))</f>
        <v>24</v>
      </c>
      <c r="R59" s="54" t="n">
        <v>-23.9146012276216</v>
      </c>
      <c r="S59" s="55" t="n">
        <f aca="false">U59*V59*$F$5</f>
        <v>700.937313432836</v>
      </c>
      <c r="T59" s="56" t="n">
        <f aca="false">MAX(0,MIN(1,R59/100+$D$5))</f>
        <v>0.268410094832198</v>
      </c>
      <c r="U59" s="56" t="n">
        <v>0.674626865671642</v>
      </c>
      <c r="V59" s="55" t="n">
        <v>1039</v>
      </c>
      <c r="W59" s="56" t="n">
        <v>0.0887445098984521</v>
      </c>
      <c r="X59" s="57" t="s">
        <v>135</v>
      </c>
      <c r="Y59" s="57" t="s">
        <v>130</v>
      </c>
    </row>
    <row r="60" customFormat="false" ht="15" hidden="false" customHeight="false" outlineLevel="0" collapsed="false">
      <c r="A60" s="25" t="s">
        <v>126</v>
      </c>
      <c r="B60" s="25" t="s">
        <v>193</v>
      </c>
      <c r="C60" s="25" t="s">
        <v>194</v>
      </c>
      <c r="D60" s="52" t="n">
        <f aca="false">ROUND(S60*T60,0)</f>
        <v>169</v>
      </c>
      <c r="E60" s="52" t="n">
        <f aca="false">ROUND(S60,0)-D60</f>
        <v>432</v>
      </c>
      <c r="F60" s="52" t="n">
        <f aca="false">IF(COUNTA(D60:E60)=0,"",SUM(D60:E60))</f>
        <v>601</v>
      </c>
      <c r="G60" s="53" t="n">
        <f aca="false">IF(OR(F60="",F60=0),"",D60/F60)</f>
        <v>0.281198003327787</v>
      </c>
      <c r="H60" s="53" t="n">
        <f aca="false">IF(OR(F60="",F60=0),"",E60/F60)</f>
        <v>0.718801996672213</v>
      </c>
      <c r="I60" s="25" t="s">
        <v>128</v>
      </c>
      <c r="J60" s="28" t="n">
        <v>2.37310914384046</v>
      </c>
      <c r="K60" s="28" t="n">
        <f aca="false">$K$8</f>
        <v>0.296197623206382</v>
      </c>
      <c r="L60" s="28" t="n">
        <f aca="false">SQRT(J60^2+K60^2)</f>
        <v>2.3915225360787</v>
      </c>
      <c r="M60" s="53" t="n">
        <f aca="false">IF(G60="","",MAX(0,G60-1.96*L60/100))</f>
        <v>0.234324161620644</v>
      </c>
      <c r="N60" s="53" t="n">
        <f aca="false">IF(G60="","",MIN(1,G60+1.96*L60/100))</f>
        <v>0.32807184503493</v>
      </c>
      <c r="O60" s="52" t="n">
        <f aca="false">ROUND(S60*W60,0)</f>
        <v>53</v>
      </c>
      <c r="P60" s="52" t="n">
        <f aca="false">IF(F60="","",ROUND(SQRT((F60*L60/100)^2+(G60*O60)^2),0))</f>
        <v>21</v>
      </c>
      <c r="R60" s="54" t="n">
        <v>-22.7175035722399</v>
      </c>
      <c r="S60" s="55" t="n">
        <f aca="false">U60*V60*$F$5</f>
        <v>601.421153846154</v>
      </c>
      <c r="T60" s="56" t="n">
        <f aca="false">MAX(0,MIN(1,R60/100+$D$5))</f>
        <v>0.280381071386016</v>
      </c>
      <c r="U60" s="56" t="n">
        <v>0.578846153846154</v>
      </c>
      <c r="V60" s="55" t="n">
        <v>1039</v>
      </c>
      <c r="W60" s="56" t="n">
        <v>0.0887445098984521</v>
      </c>
      <c r="X60" s="57" t="s">
        <v>135</v>
      </c>
      <c r="Y60" s="57" t="s">
        <v>130</v>
      </c>
    </row>
    <row r="61" customFormat="false" ht="15" hidden="false" customHeight="false" outlineLevel="0" collapsed="false">
      <c r="A61" s="25" t="s">
        <v>126</v>
      </c>
      <c r="B61" s="25" t="s">
        <v>193</v>
      </c>
      <c r="C61" s="25" t="s">
        <v>195</v>
      </c>
      <c r="D61" s="52" t="n">
        <f aca="false">ROUND(S61*T61,0)</f>
        <v>82</v>
      </c>
      <c r="E61" s="52" t="n">
        <f aca="false">ROUND(S61,0)-D61</f>
        <v>230</v>
      </c>
      <c r="F61" s="52" t="n">
        <f aca="false">IF(COUNTA(D61:E61)=0,"",SUM(D61:E61))</f>
        <v>312</v>
      </c>
      <c r="G61" s="53" t="n">
        <f aca="false">IF(OR(F61="",F61=0),"",D61/F61)</f>
        <v>0.262820512820513</v>
      </c>
      <c r="H61" s="53" t="n">
        <f aca="false">IF(OR(F61="",F61=0),"",E61/F61)</f>
        <v>0.737179487179487</v>
      </c>
      <c r="I61" s="25" t="s">
        <v>128</v>
      </c>
      <c r="J61" s="28" t="n">
        <v>3.71103496666907</v>
      </c>
      <c r="K61" s="28" t="n">
        <f aca="false">$K$8</f>
        <v>0.296197623206382</v>
      </c>
      <c r="L61" s="28" t="n">
        <f aca="false">SQRT(J61^2+K61^2)</f>
        <v>3.72283676191068</v>
      </c>
      <c r="M61" s="53" t="n">
        <f aca="false">IF(G61="","",MAX(0,G61-1.96*L61/100))</f>
        <v>0.189852912287063</v>
      </c>
      <c r="N61" s="53" t="n">
        <f aca="false">IF(G61="","",MIN(1,G61+1.96*L61/100))</f>
        <v>0.335788113353962</v>
      </c>
      <c r="O61" s="52" t="n">
        <f aca="false">ROUND(S61*W61,0)</f>
        <v>46</v>
      </c>
      <c r="P61" s="52" t="n">
        <f aca="false">IF(F61="","",ROUND(SQRT((F61*L61/100)^2+(G61*O61)^2),0))</f>
        <v>17</v>
      </c>
      <c r="R61" s="54" t="n">
        <v>-24.4242375103267</v>
      </c>
      <c r="S61" s="55" t="n">
        <f aca="false">U61*V61*$F$5</f>
        <v>312.431640625</v>
      </c>
      <c r="T61" s="56" t="n">
        <f aca="false">MAX(0,MIN(1,R61/100+$D$5))</f>
        <v>0.263313732005148</v>
      </c>
      <c r="U61" s="56" t="n">
        <v>0.583984375</v>
      </c>
      <c r="V61" s="55" t="n">
        <v>535</v>
      </c>
      <c r="W61" s="56" t="n">
        <v>0.148097331980838</v>
      </c>
      <c r="X61" s="57" t="s">
        <v>129</v>
      </c>
      <c r="Y61" s="57" t="s">
        <v>130</v>
      </c>
    </row>
    <row r="62" customFormat="false" ht="15" hidden="false" customHeight="false" outlineLevel="0" collapsed="false">
      <c r="A62" s="25" t="s">
        <v>126</v>
      </c>
      <c r="B62" s="25" t="s">
        <v>196</v>
      </c>
      <c r="C62" s="25" t="s">
        <v>196</v>
      </c>
      <c r="D62" s="52" t="n">
        <f aca="false">ROUND(S62*T62,0)</f>
        <v>38</v>
      </c>
      <c r="E62" s="52" t="n">
        <f aca="false">ROUND(S62,0)-D62</f>
        <v>69</v>
      </c>
      <c r="F62" s="52" t="n">
        <f aca="false">IF(COUNTA(D62:E62)=0,"",SUM(D62:E62))</f>
        <v>107</v>
      </c>
      <c r="G62" s="53" t="n">
        <f aca="false">IF(OR(F62="",F62=0),"",D62/F62)</f>
        <v>0.355140186915888</v>
      </c>
      <c r="H62" s="53" t="n">
        <f aca="false">IF(OR(F62="",F62=0),"",E62/F62)</f>
        <v>0.644859813084112</v>
      </c>
      <c r="I62" s="25" t="s">
        <v>128</v>
      </c>
      <c r="J62" s="28" t="n">
        <v>3.71103496666907</v>
      </c>
      <c r="K62" s="28" t="n">
        <f aca="false">$K$8</f>
        <v>0.296197623206382</v>
      </c>
      <c r="L62" s="28" t="n">
        <f aca="false">SQRT(J62^2+K62^2)</f>
        <v>3.72283676191068</v>
      </c>
      <c r="M62" s="53" t="n">
        <f aca="false">IF(G62="","",MAX(0,G62-1.96*L62/100))</f>
        <v>0.282172586382439</v>
      </c>
      <c r="N62" s="53" t="n">
        <f aca="false">IF(G62="","",MIN(1,G62+1.96*L62/100))</f>
        <v>0.428107787449337</v>
      </c>
      <c r="O62" s="52" t="n">
        <f aca="false">ROUND(S62*W62,0)</f>
        <v>16</v>
      </c>
      <c r="P62" s="52" t="n">
        <f aca="false">IF(F62="","",ROUND(SQRT((F62*L62/100)^2+(G62*O62)^2),0))</f>
        <v>7</v>
      </c>
      <c r="R62" s="54" t="n">
        <v>-15.5540216942171</v>
      </c>
      <c r="S62" s="55" t="n">
        <f aca="false">U62*V62*$F$5</f>
        <v>106.666666666667</v>
      </c>
      <c r="T62" s="56" t="n">
        <f aca="false">MAX(0,MIN(1,R62/100+$D$5))</f>
        <v>0.352015890166244</v>
      </c>
      <c r="U62" s="56" t="n">
        <v>0.444444444444444</v>
      </c>
      <c r="V62" s="55" t="n">
        <v>240</v>
      </c>
      <c r="W62" s="56" t="n">
        <v>0.148097331980838</v>
      </c>
      <c r="X62" s="57" t="s">
        <v>129</v>
      </c>
      <c r="Y62" s="57" t="s">
        <v>130</v>
      </c>
    </row>
    <row r="63" customFormat="false" ht="15" hidden="false" customHeight="false" outlineLevel="0" collapsed="false">
      <c r="A63" s="25" t="s">
        <v>197</v>
      </c>
      <c r="B63" s="25" t="s">
        <v>198</v>
      </c>
      <c r="C63" s="25" t="s">
        <v>198</v>
      </c>
      <c r="D63" s="52" t="n">
        <f aca="false">ROUND(S63*T63,0)</f>
        <v>485</v>
      </c>
      <c r="E63" s="52" t="n">
        <f aca="false">ROUND(S63,0)-D63</f>
        <v>576</v>
      </c>
      <c r="F63" s="52" t="n">
        <f aca="false">IF(COUNTA(D63:E63)=0,"",SUM(D63:E63))</f>
        <v>1061</v>
      </c>
      <c r="G63" s="53" t="n">
        <f aca="false">IF(OR(F63="",F63=0),"",D63/F63)</f>
        <v>0.457115928369463</v>
      </c>
      <c r="H63" s="53" t="n">
        <f aca="false">IF(OR(F63="",F63=0),"",E63/F63)</f>
        <v>0.542884071630537</v>
      </c>
      <c r="I63" s="25" t="s">
        <v>128</v>
      </c>
      <c r="J63" s="28" t="n">
        <v>1.88612725432908</v>
      </c>
      <c r="K63" s="28" t="n">
        <f aca="false">$K$8</f>
        <v>0.296197623206382</v>
      </c>
      <c r="L63" s="28" t="n">
        <f aca="false">SQRT(J63^2+K63^2)</f>
        <v>1.909243057213</v>
      </c>
      <c r="M63" s="53" t="n">
        <f aca="false">IF(G63="","",MAX(0,G63-1.96*L63/100))</f>
        <v>0.419694764448088</v>
      </c>
      <c r="N63" s="53" t="n">
        <f aca="false">IF(G63="","",MIN(1,G63+1.96*L63/100))</f>
        <v>0.494537092290838</v>
      </c>
      <c r="O63" s="52" t="n">
        <f aca="false">ROUND(S63*W63,0)</f>
        <v>73</v>
      </c>
      <c r="P63" s="52" t="n">
        <f aca="false">IF(F63="","",ROUND(SQRT((F63*L63/100)^2+(G63*O63)^2),0))</f>
        <v>39</v>
      </c>
      <c r="R63" s="54" t="n">
        <v>-5.02978656953248</v>
      </c>
      <c r="S63" s="55" t="n">
        <f aca="false">U63*V63*$F$5</f>
        <v>1060.80585424134</v>
      </c>
      <c r="T63" s="56" t="n">
        <f aca="false">MAX(0,MIN(1,R63/100+$D$5))</f>
        <v>0.45725824141309</v>
      </c>
      <c r="U63" s="56" t="n">
        <v>0.605137395459976</v>
      </c>
      <c r="V63" s="55" t="n">
        <v>1753</v>
      </c>
      <c r="W63" s="56" t="n">
        <v>0.0684752145190268</v>
      </c>
      <c r="X63" s="57" t="s">
        <v>168</v>
      </c>
      <c r="Y63" s="57" t="s">
        <v>130</v>
      </c>
    </row>
    <row r="64" customFormat="false" ht="15" hidden="false" customHeight="false" outlineLevel="0" collapsed="false">
      <c r="A64" s="25" t="s">
        <v>197</v>
      </c>
      <c r="B64" s="25" t="s">
        <v>199</v>
      </c>
      <c r="C64" s="25" t="s">
        <v>200</v>
      </c>
      <c r="D64" s="52" t="n">
        <f aca="false">ROUND(S64*T64,0)</f>
        <v>245</v>
      </c>
      <c r="E64" s="52" t="n">
        <f aca="false">ROUND(S64,0)-D64</f>
        <v>94</v>
      </c>
      <c r="F64" s="52" t="n">
        <f aca="false">IF(COUNTA(D64:E64)=0,"",SUM(D64:E64))</f>
        <v>339</v>
      </c>
      <c r="G64" s="53" t="n">
        <f aca="false">IF(OR(F64="",F64=0),"",D64/F64)</f>
        <v>0.722713864306785</v>
      </c>
      <c r="H64" s="53" t="n">
        <f aca="false">IF(OR(F64="",F64=0),"",E64/F64)</f>
        <v>0.277286135693215</v>
      </c>
      <c r="I64" s="25" t="s">
        <v>128</v>
      </c>
      <c r="J64" s="28" t="n">
        <v>3.71103496666907</v>
      </c>
      <c r="K64" s="28" t="n">
        <f aca="false">$K$8</f>
        <v>0.296197623206382</v>
      </c>
      <c r="L64" s="28" t="n">
        <f aca="false">SQRT(J64^2+K64^2)</f>
        <v>3.72283676191068</v>
      </c>
      <c r="M64" s="53" t="n">
        <f aca="false">IF(G64="","",MAX(0,G64-1.96*L64/100))</f>
        <v>0.649746263773335</v>
      </c>
      <c r="N64" s="53" t="n">
        <f aca="false">IF(G64="","",MIN(1,G64+1.96*L64/100))</f>
        <v>0.795681464840234</v>
      </c>
      <c r="O64" s="52" t="n">
        <f aca="false">ROUND(S64*W64,0)</f>
        <v>50</v>
      </c>
      <c r="P64" s="52" t="n">
        <f aca="false">IF(F64="","",ROUND(SQRT((F64*L64/100)^2+(G64*O64)^2),0))</f>
        <v>38</v>
      </c>
      <c r="R64" s="54" t="n">
        <v>21.70385277269</v>
      </c>
      <c r="S64" s="55" t="n">
        <f aca="false">U64*V64*$F$5</f>
        <v>338.759820426487</v>
      </c>
      <c r="T64" s="56" t="n">
        <f aca="false">MAX(0,MIN(1,R64/100+$D$5))</f>
        <v>0.724594634835314</v>
      </c>
      <c r="U64" s="56" t="n">
        <v>0.187991021324355</v>
      </c>
      <c r="V64" s="55" t="n">
        <v>1802</v>
      </c>
      <c r="W64" s="56" t="n">
        <v>0.148097331980838</v>
      </c>
      <c r="X64" s="57" t="s">
        <v>129</v>
      </c>
      <c r="Y64" s="57" t="s">
        <v>130</v>
      </c>
    </row>
    <row r="65" customFormat="false" ht="15" hidden="false" customHeight="false" outlineLevel="0" collapsed="false">
      <c r="A65" s="25" t="s">
        <v>197</v>
      </c>
      <c r="B65" s="25" t="s">
        <v>199</v>
      </c>
      <c r="C65" s="25" t="s">
        <v>201</v>
      </c>
      <c r="D65" s="52" t="n">
        <f aca="false">ROUND(S65*T65,0)</f>
        <v>136</v>
      </c>
      <c r="E65" s="52" t="n">
        <f aca="false">ROUND(S65,0)-D65</f>
        <v>65</v>
      </c>
      <c r="F65" s="52" t="n">
        <f aca="false">IF(COUNTA(D65:E65)=0,"",SUM(D65:E65))</f>
        <v>201</v>
      </c>
      <c r="G65" s="53" t="n">
        <f aca="false">IF(OR(F65="",F65=0),"",D65/F65)</f>
        <v>0.676616915422886</v>
      </c>
      <c r="H65" s="53" t="n">
        <f aca="false">IF(OR(F65="",F65=0),"",E65/F65)</f>
        <v>0.323383084577114</v>
      </c>
      <c r="I65" s="25" t="s">
        <v>128</v>
      </c>
      <c r="J65" s="28" t="n">
        <v>3.71103496666907</v>
      </c>
      <c r="K65" s="28" t="n">
        <f aca="false">$K$8</f>
        <v>0.296197623206382</v>
      </c>
      <c r="L65" s="28" t="n">
        <f aca="false">SQRT(J65^2+K65^2)</f>
        <v>3.72283676191068</v>
      </c>
      <c r="M65" s="53" t="n">
        <f aca="false">IF(G65="","",MAX(0,G65-1.96*L65/100))</f>
        <v>0.603649314889436</v>
      </c>
      <c r="N65" s="53" t="n">
        <f aca="false">IF(G65="","",MIN(1,G65+1.96*L65/100))</f>
        <v>0.749584515956335</v>
      </c>
      <c r="O65" s="52" t="n">
        <f aca="false">ROUND(S65*W65,0)</f>
        <v>30</v>
      </c>
      <c r="P65" s="52" t="n">
        <f aca="false">IF(F65="","",ROUND(SQRT((F65*L65/100)^2+(G65*O65)^2),0))</f>
        <v>22</v>
      </c>
      <c r="R65" s="54" t="n">
        <v>16.7746103103162</v>
      </c>
      <c r="S65" s="55" t="n">
        <f aca="false">U65*V65*$F$5</f>
        <v>200.692863595303</v>
      </c>
      <c r="T65" s="56" t="n">
        <f aca="false">MAX(0,MIN(1,R65/100+$D$5))</f>
        <v>0.675302210211577</v>
      </c>
      <c r="U65" s="56" t="n">
        <v>0.188798554652213</v>
      </c>
      <c r="V65" s="55" t="n">
        <v>1063</v>
      </c>
      <c r="W65" s="56" t="n">
        <v>0.148097331980838</v>
      </c>
      <c r="X65" s="57" t="s">
        <v>129</v>
      </c>
      <c r="Y65" s="57" t="s">
        <v>130</v>
      </c>
    </row>
    <row r="66" customFormat="false" ht="15" hidden="false" customHeight="false" outlineLevel="0" collapsed="false">
      <c r="A66" s="25" t="s">
        <v>197</v>
      </c>
      <c r="B66" s="25" t="s">
        <v>199</v>
      </c>
      <c r="C66" s="25" t="s">
        <v>202</v>
      </c>
      <c r="D66" s="52" t="n">
        <f aca="false">ROUND(S66*T66,0)</f>
        <v>166</v>
      </c>
      <c r="E66" s="52" t="n">
        <f aca="false">ROUND(S66,0)-D66</f>
        <v>67</v>
      </c>
      <c r="F66" s="52" t="n">
        <f aca="false">IF(COUNTA(D66:E66)=0,"",SUM(D66:E66))</f>
        <v>233</v>
      </c>
      <c r="G66" s="53" t="n">
        <f aca="false">IF(OR(F66="",F66=0),"",D66/F66)</f>
        <v>0.71244635193133</v>
      </c>
      <c r="H66" s="53" t="n">
        <f aca="false">IF(OR(F66="",F66=0),"",E66/F66)</f>
        <v>0.28755364806867</v>
      </c>
      <c r="I66" s="25" t="s">
        <v>128</v>
      </c>
      <c r="J66" s="28" t="n">
        <v>3.71103496666907</v>
      </c>
      <c r="K66" s="28" t="n">
        <f aca="false">$K$8</f>
        <v>0.296197623206382</v>
      </c>
      <c r="L66" s="28" t="n">
        <f aca="false">SQRT(J66^2+K66^2)</f>
        <v>3.72283676191068</v>
      </c>
      <c r="M66" s="53" t="n">
        <f aca="false">IF(G66="","",MAX(0,G66-1.96*L66/100))</f>
        <v>0.639478751397881</v>
      </c>
      <c r="N66" s="53" t="n">
        <f aca="false">IF(G66="","",MIN(1,G66+1.96*L66/100))</f>
        <v>0.78541395246478</v>
      </c>
      <c r="O66" s="52" t="n">
        <f aca="false">ROUND(S66*W66,0)</f>
        <v>34</v>
      </c>
      <c r="P66" s="52" t="n">
        <f aca="false">IF(F66="","",ROUND(SQRT((F66*L66/100)^2+(G66*O66)^2),0))</f>
        <v>26</v>
      </c>
      <c r="R66" s="54" t="n">
        <v>20.4685907107899</v>
      </c>
      <c r="S66" s="55" t="n">
        <f aca="false">U66*V66*$F$5</f>
        <v>232.72650296359</v>
      </c>
      <c r="T66" s="56" t="n">
        <f aca="false">MAX(0,MIN(1,R66/100+$D$5))</f>
        <v>0.712242014216313</v>
      </c>
      <c r="U66" s="56" t="n">
        <v>0.202370872142252</v>
      </c>
      <c r="V66" s="55" t="n">
        <v>1150</v>
      </c>
      <c r="W66" s="56" t="n">
        <v>0.148097331980838</v>
      </c>
      <c r="X66" s="57" t="s">
        <v>129</v>
      </c>
      <c r="Y66" s="57" t="s">
        <v>130</v>
      </c>
    </row>
    <row r="67" customFormat="false" ht="15" hidden="false" customHeight="false" outlineLevel="0" collapsed="false">
      <c r="A67" s="25" t="s">
        <v>197</v>
      </c>
      <c r="B67" s="25" t="s">
        <v>199</v>
      </c>
      <c r="C67" s="25" t="s">
        <v>203</v>
      </c>
      <c r="D67" s="52" t="n">
        <f aca="false">ROUND(S67*T67,0)</f>
        <v>160</v>
      </c>
      <c r="E67" s="52" t="n">
        <f aca="false">ROUND(S67,0)-D67</f>
        <v>75</v>
      </c>
      <c r="F67" s="52" t="n">
        <f aca="false">IF(COUNTA(D67:E67)=0,"",SUM(D67:E67))</f>
        <v>235</v>
      </c>
      <c r="G67" s="53" t="n">
        <f aca="false">IF(OR(F67="",F67=0),"",D67/F67)</f>
        <v>0.680851063829787</v>
      </c>
      <c r="H67" s="53" t="n">
        <f aca="false">IF(OR(F67="",F67=0),"",E67/F67)</f>
        <v>0.319148936170213</v>
      </c>
      <c r="I67" s="25" t="s">
        <v>128</v>
      </c>
      <c r="J67" s="28" t="n">
        <v>3.71103496666907</v>
      </c>
      <c r="K67" s="28" t="n">
        <f aca="false">$K$8</f>
        <v>0.296197623206382</v>
      </c>
      <c r="L67" s="28" t="n">
        <f aca="false">SQRT(J67^2+K67^2)</f>
        <v>3.72283676191068</v>
      </c>
      <c r="M67" s="53" t="n">
        <f aca="false">IF(G67="","",MAX(0,G67-1.96*L67/100))</f>
        <v>0.607883463296338</v>
      </c>
      <c r="N67" s="53" t="n">
        <f aca="false">IF(G67="","",MIN(1,G67+1.96*L67/100))</f>
        <v>0.753818664363237</v>
      </c>
      <c r="O67" s="52" t="n">
        <f aca="false">ROUND(S67*W67,0)</f>
        <v>35</v>
      </c>
      <c r="P67" s="52" t="n">
        <f aca="false">IF(F67="","",ROUND(SQRT((F67*L67/100)^2+(G67*O67)^2),0))</f>
        <v>25</v>
      </c>
      <c r="R67" s="54" t="n">
        <v>17.4262454478172</v>
      </c>
      <c r="S67" s="55" t="n">
        <f aca="false">U67*V67*$F$5</f>
        <v>234.521920668058</v>
      </c>
      <c r="T67" s="56" t="n">
        <f aca="false">MAX(0,MIN(1,R67/100+$D$5))</f>
        <v>0.681818561586587</v>
      </c>
      <c r="U67" s="56" t="n">
        <v>0.248434237995825</v>
      </c>
      <c r="V67" s="55" t="n">
        <v>944</v>
      </c>
      <c r="W67" s="56" t="n">
        <v>0.148097331980838</v>
      </c>
      <c r="X67" s="57" t="s">
        <v>129</v>
      </c>
      <c r="Y67" s="57" t="s">
        <v>130</v>
      </c>
    </row>
    <row r="68" customFormat="false" ht="15" hidden="false" customHeight="false" outlineLevel="0" collapsed="false">
      <c r="A68" s="25" t="s">
        <v>197</v>
      </c>
      <c r="B68" s="25" t="s">
        <v>199</v>
      </c>
      <c r="C68" s="25" t="s">
        <v>204</v>
      </c>
      <c r="D68" s="52" t="n">
        <f aca="false">ROUND(S68*T68,0)</f>
        <v>169</v>
      </c>
      <c r="E68" s="52" t="n">
        <f aca="false">ROUND(S68,0)-D68</f>
        <v>58</v>
      </c>
      <c r="F68" s="52" t="n">
        <f aca="false">IF(COUNTA(D68:E68)=0,"",SUM(D68:E68))</f>
        <v>227</v>
      </c>
      <c r="G68" s="53" t="n">
        <f aca="false">IF(OR(F68="",F68=0),"",D68/F68)</f>
        <v>0.744493392070485</v>
      </c>
      <c r="H68" s="53" t="n">
        <f aca="false">IF(OR(F68="",F68=0),"",E68/F68)</f>
        <v>0.255506607929515</v>
      </c>
      <c r="I68" s="25" t="s">
        <v>128</v>
      </c>
      <c r="J68" s="28" t="n">
        <v>3.71103496666907</v>
      </c>
      <c r="K68" s="28" t="n">
        <f aca="false">$K$8</f>
        <v>0.296197623206382</v>
      </c>
      <c r="L68" s="28" t="n">
        <f aca="false">SQRT(J68^2+K68^2)</f>
        <v>3.72283676191068</v>
      </c>
      <c r="M68" s="53" t="n">
        <f aca="false">IF(G68="","",MAX(0,G68-1.96*L68/100))</f>
        <v>0.671525791537035</v>
      </c>
      <c r="N68" s="53" t="n">
        <f aca="false">IF(G68="","",MIN(1,G68+1.96*L68/100))</f>
        <v>0.817460992603934</v>
      </c>
      <c r="O68" s="52" t="n">
        <f aca="false">ROUND(S68*W68,0)</f>
        <v>34</v>
      </c>
      <c r="P68" s="52" t="n">
        <f aca="false">IF(F68="","",ROUND(SQRT((F68*L68/100)^2+(G68*O68)^2),0))</f>
        <v>27</v>
      </c>
      <c r="R68" s="54" t="n">
        <v>23.3786103588882</v>
      </c>
      <c r="S68" s="55" t="n">
        <f aca="false">U68*V68*$F$5</f>
        <v>227.321723189734</v>
      </c>
      <c r="T68" s="56" t="n">
        <f aca="false">MAX(0,MIN(1,R68/100+$D$5))</f>
        <v>0.741342210697297</v>
      </c>
      <c r="U68" s="56" t="n">
        <v>0.212648945921173</v>
      </c>
      <c r="V68" s="55" t="n">
        <v>1069</v>
      </c>
      <c r="W68" s="56" t="n">
        <v>0.148097331980838</v>
      </c>
      <c r="X68" s="57" t="s">
        <v>129</v>
      </c>
      <c r="Y68" s="57" t="s">
        <v>130</v>
      </c>
    </row>
    <row r="69" customFormat="false" ht="15" hidden="false" customHeight="false" outlineLevel="0" collapsed="false">
      <c r="A69" s="25" t="s">
        <v>197</v>
      </c>
      <c r="B69" s="25" t="s">
        <v>199</v>
      </c>
      <c r="C69" s="25" t="s">
        <v>205</v>
      </c>
      <c r="D69" s="52" t="n">
        <f aca="false">ROUND(S69*T69,0)</f>
        <v>254</v>
      </c>
      <c r="E69" s="52" t="n">
        <f aca="false">ROUND(S69,0)-D69</f>
        <v>107</v>
      </c>
      <c r="F69" s="52" t="n">
        <f aca="false">IF(COUNTA(D69:E69)=0,"",SUM(D69:E69))</f>
        <v>361</v>
      </c>
      <c r="G69" s="53" t="n">
        <f aca="false">IF(OR(F69="",F69=0),"",D69/F69)</f>
        <v>0.703601108033241</v>
      </c>
      <c r="H69" s="53" t="n">
        <f aca="false">IF(OR(F69="",F69=0),"",E69/F69)</f>
        <v>0.296398891966759</v>
      </c>
      <c r="I69" s="25" t="s">
        <v>128</v>
      </c>
      <c r="J69" s="28" t="n">
        <v>3.71103496666907</v>
      </c>
      <c r="K69" s="28" t="n">
        <f aca="false">$K$8</f>
        <v>0.296197623206382</v>
      </c>
      <c r="L69" s="28" t="n">
        <f aca="false">SQRT(J69^2+K69^2)</f>
        <v>3.72283676191068</v>
      </c>
      <c r="M69" s="53" t="n">
        <f aca="false">IF(G69="","",MAX(0,G69-1.96*L69/100))</f>
        <v>0.630633507499792</v>
      </c>
      <c r="N69" s="53" t="n">
        <f aca="false">IF(G69="","",MIN(1,G69+1.96*L69/100))</f>
        <v>0.77656870856669</v>
      </c>
      <c r="O69" s="52" t="n">
        <f aca="false">ROUND(S69*W69,0)</f>
        <v>53</v>
      </c>
      <c r="P69" s="52" t="n">
        <f aca="false">IF(F69="","",ROUND(SQRT((F69*L69/100)^2+(G69*O69)^2),0))</f>
        <v>40</v>
      </c>
      <c r="R69" s="54" t="n">
        <v>19.6300476737204</v>
      </c>
      <c r="S69" s="55" t="n">
        <f aca="false">U69*V69*$F$5</f>
        <v>360.922448979592</v>
      </c>
      <c r="T69" s="56" t="n">
        <f aca="false">MAX(0,MIN(1,R69/100+$D$5))</f>
        <v>0.703856583845619</v>
      </c>
      <c r="U69" s="56" t="n">
        <v>0.36530612244898</v>
      </c>
      <c r="V69" s="55" t="n">
        <v>988.000000000001</v>
      </c>
      <c r="W69" s="56" t="n">
        <v>0.148097331980838</v>
      </c>
      <c r="X69" s="57" t="s">
        <v>129</v>
      </c>
      <c r="Y69" s="57" t="s">
        <v>130</v>
      </c>
    </row>
    <row r="70" customFormat="false" ht="15" hidden="false" customHeight="false" outlineLevel="0" collapsed="false">
      <c r="A70" s="25" t="s">
        <v>197</v>
      </c>
      <c r="B70" s="25" t="s">
        <v>199</v>
      </c>
      <c r="C70" s="25" t="s">
        <v>206</v>
      </c>
      <c r="D70" s="52" t="n">
        <f aca="false">ROUND(S70*T70,0)</f>
        <v>590</v>
      </c>
      <c r="E70" s="52" t="n">
        <f aca="false">ROUND(S70,0)-D70</f>
        <v>168</v>
      </c>
      <c r="F70" s="52" t="n">
        <f aca="false">IF(COUNTA(D70:E70)=0,"",SUM(D70:E70))</f>
        <v>758</v>
      </c>
      <c r="G70" s="53" t="n">
        <f aca="false">IF(OR(F70="",F70=0),"",D70/F70)</f>
        <v>0.778364116094987</v>
      </c>
      <c r="H70" s="53" t="n">
        <f aca="false">IF(OR(F70="",F70=0),"",E70/F70)</f>
        <v>0.221635883905013</v>
      </c>
      <c r="I70" s="25" t="s">
        <v>128</v>
      </c>
      <c r="J70" s="28" t="n">
        <v>2.37310914384046</v>
      </c>
      <c r="K70" s="28" t="n">
        <f aca="false">$K$8</f>
        <v>0.296197623206382</v>
      </c>
      <c r="L70" s="28" t="n">
        <f aca="false">SQRT(J70^2+K70^2)</f>
        <v>2.3915225360787</v>
      </c>
      <c r="M70" s="53" t="n">
        <f aca="false">IF(G70="","",MAX(0,G70-1.96*L70/100))</f>
        <v>0.731490274387844</v>
      </c>
      <c r="N70" s="53" t="n">
        <f aca="false">IF(G70="","",MIN(1,G70+1.96*L70/100))</f>
        <v>0.825237957802129</v>
      </c>
      <c r="O70" s="52" t="n">
        <f aca="false">ROUND(S70*W70,0)</f>
        <v>67</v>
      </c>
      <c r="P70" s="52" t="n">
        <f aca="false">IF(F70="","",ROUND(SQRT((F70*L70/100)^2+(G70*O70)^2),0))</f>
        <v>55</v>
      </c>
      <c r="R70" s="54" t="n">
        <v>27.1385722663765</v>
      </c>
      <c r="S70" s="55" t="n">
        <f aca="false">U70*V70*$F$5</f>
        <v>757.916666666666</v>
      </c>
      <c r="T70" s="56" t="n">
        <f aca="false">MAX(0,MIN(1,R70/100+$D$5))</f>
        <v>0.77894182977218</v>
      </c>
      <c r="U70" s="56" t="n">
        <v>0.307971014492754</v>
      </c>
      <c r="V70" s="55" t="n">
        <v>2461</v>
      </c>
      <c r="W70" s="56" t="n">
        <v>0.0887445098984521</v>
      </c>
      <c r="X70" s="57" t="s">
        <v>135</v>
      </c>
      <c r="Y70" s="57" t="s">
        <v>130</v>
      </c>
    </row>
    <row r="71" customFormat="false" ht="15" hidden="false" customHeight="false" outlineLevel="0" collapsed="false">
      <c r="A71" s="25" t="s">
        <v>197</v>
      </c>
      <c r="B71" s="25" t="s">
        <v>199</v>
      </c>
      <c r="C71" s="25" t="s">
        <v>207</v>
      </c>
      <c r="D71" s="52" t="n">
        <f aca="false">ROUND(S71*T71,0)</f>
        <v>273</v>
      </c>
      <c r="E71" s="52" t="n">
        <f aca="false">ROUND(S71,0)-D71</f>
        <v>138</v>
      </c>
      <c r="F71" s="52" t="n">
        <f aca="false">IF(COUNTA(D71:E71)=0,"",SUM(D71:E71))</f>
        <v>411</v>
      </c>
      <c r="G71" s="53" t="n">
        <f aca="false">IF(OR(F71="",F71=0),"",D71/F71)</f>
        <v>0.664233576642336</v>
      </c>
      <c r="H71" s="53" t="n">
        <f aca="false">IF(OR(F71="",F71=0),"",E71/F71)</f>
        <v>0.335766423357664</v>
      </c>
      <c r="I71" s="25" t="s">
        <v>128</v>
      </c>
      <c r="J71" s="28" t="n">
        <v>3.71103496666907</v>
      </c>
      <c r="K71" s="28" t="n">
        <f aca="false">$K$8</f>
        <v>0.296197623206382</v>
      </c>
      <c r="L71" s="28" t="n">
        <f aca="false">SQRT(J71^2+K71^2)</f>
        <v>3.72283676191068</v>
      </c>
      <c r="M71" s="53" t="n">
        <f aca="false">IF(G71="","",MAX(0,G71-1.96*L71/100))</f>
        <v>0.591265976108886</v>
      </c>
      <c r="N71" s="53" t="n">
        <f aca="false">IF(G71="","",MIN(1,G71+1.96*L71/100))</f>
        <v>0.737201177175785</v>
      </c>
      <c r="O71" s="52" t="n">
        <f aca="false">ROUND(S71*W71,0)</f>
        <v>61</v>
      </c>
      <c r="P71" s="52" t="n">
        <f aca="false">IF(F71="","",ROUND(SQRT((F71*L71/100)^2+(G71*O71)^2),0))</f>
        <v>43</v>
      </c>
      <c r="R71" s="54" t="n">
        <v>15.7116948530245</v>
      </c>
      <c r="S71" s="55" t="n">
        <f aca="false">U71*V71*$F$5</f>
        <v>411.119158878505</v>
      </c>
      <c r="T71" s="56" t="n">
        <f aca="false">MAX(0,MIN(1,R71/100+$D$5))</f>
        <v>0.66467305563866</v>
      </c>
      <c r="U71" s="56" t="n">
        <v>0.466121495327103</v>
      </c>
      <c r="V71" s="55" t="n">
        <v>882</v>
      </c>
      <c r="W71" s="56" t="n">
        <v>0.148097331980838</v>
      </c>
      <c r="X71" s="57" t="s">
        <v>129</v>
      </c>
      <c r="Y71" s="57" t="s">
        <v>130</v>
      </c>
    </row>
    <row r="72" customFormat="false" ht="15" hidden="false" customHeight="false" outlineLevel="0" collapsed="false">
      <c r="A72" s="25" t="s">
        <v>197</v>
      </c>
      <c r="B72" s="25" t="s">
        <v>199</v>
      </c>
      <c r="C72" s="25" t="s">
        <v>208</v>
      </c>
      <c r="D72" s="52" t="n">
        <f aca="false">ROUND(S72*T72,0)</f>
        <v>417</v>
      </c>
      <c r="E72" s="52" t="n">
        <f aca="false">ROUND(S72,0)-D72</f>
        <v>253</v>
      </c>
      <c r="F72" s="52" t="n">
        <f aca="false">IF(COUNTA(D72:E72)=0,"",SUM(D72:E72))</f>
        <v>670</v>
      </c>
      <c r="G72" s="53" t="n">
        <f aca="false">IF(OR(F72="",F72=0),"",D72/F72)</f>
        <v>0.622388059701493</v>
      </c>
      <c r="H72" s="53" t="n">
        <f aca="false">IF(OR(F72="",F72=0),"",E72/F72)</f>
        <v>0.377611940298508</v>
      </c>
      <c r="I72" s="25" t="s">
        <v>128</v>
      </c>
      <c r="J72" s="28" t="n">
        <v>2.37310914384046</v>
      </c>
      <c r="K72" s="28" t="n">
        <f aca="false">$K$8</f>
        <v>0.296197623206382</v>
      </c>
      <c r="L72" s="28" t="n">
        <f aca="false">SQRT(J72^2+K72^2)</f>
        <v>2.3915225360787</v>
      </c>
      <c r="M72" s="53" t="n">
        <f aca="false">IF(G72="","",MAX(0,G72-1.96*L72/100))</f>
        <v>0.57551421799435</v>
      </c>
      <c r="N72" s="53" t="n">
        <f aca="false">IF(G72="","",MIN(1,G72+1.96*L72/100))</f>
        <v>0.669261901408635</v>
      </c>
      <c r="O72" s="52" t="n">
        <f aca="false">ROUND(S72*W72,0)</f>
        <v>59</v>
      </c>
      <c r="P72" s="52" t="n">
        <f aca="false">IF(F72="","",ROUND(SQRT((F72*L72/100)^2+(G72*O72)^2),0))</f>
        <v>40</v>
      </c>
      <c r="R72" s="54" t="n">
        <v>11.5762309884919</v>
      </c>
      <c r="S72" s="55" t="n">
        <f aca="false">U72*V72*$F$5</f>
        <v>669.509193776521</v>
      </c>
      <c r="T72" s="56" t="n">
        <f aca="false">MAX(0,MIN(1,R72/100+$D$5))</f>
        <v>0.623318416993334</v>
      </c>
      <c r="U72" s="56" t="n">
        <v>0.487270155586988</v>
      </c>
      <c r="V72" s="55" t="n">
        <v>1374</v>
      </c>
      <c r="W72" s="56" t="n">
        <v>0.0887445098984521</v>
      </c>
      <c r="X72" s="57" t="s">
        <v>135</v>
      </c>
      <c r="Y72" s="57" t="s">
        <v>130</v>
      </c>
    </row>
    <row r="73" customFormat="false" ht="15" hidden="false" customHeight="false" outlineLevel="0" collapsed="false">
      <c r="A73" s="25" t="s">
        <v>197</v>
      </c>
      <c r="B73" s="25" t="s">
        <v>199</v>
      </c>
      <c r="C73" s="25" t="s">
        <v>209</v>
      </c>
      <c r="D73" s="52" t="n">
        <f aca="false">ROUND(S73*T73,0)</f>
        <v>354</v>
      </c>
      <c r="E73" s="52" t="n">
        <f aca="false">ROUND(S73,0)-D73</f>
        <v>195</v>
      </c>
      <c r="F73" s="52" t="n">
        <f aca="false">IF(COUNTA(D73:E73)=0,"",SUM(D73:E73))</f>
        <v>549</v>
      </c>
      <c r="G73" s="53" t="n">
        <f aca="false">IF(OR(F73="",F73=0),"",D73/F73)</f>
        <v>0.644808743169399</v>
      </c>
      <c r="H73" s="53" t="n">
        <f aca="false">IF(OR(F73="",F73=0),"",E73/F73)</f>
        <v>0.355191256830601</v>
      </c>
      <c r="I73" s="25" t="s">
        <v>128</v>
      </c>
      <c r="J73" s="28" t="n">
        <v>3.71103496666907</v>
      </c>
      <c r="K73" s="28" t="n">
        <f aca="false">$K$8</f>
        <v>0.296197623206382</v>
      </c>
      <c r="L73" s="28" t="n">
        <f aca="false">SQRT(J73^2+K73^2)</f>
        <v>3.72283676191068</v>
      </c>
      <c r="M73" s="53" t="n">
        <f aca="false">IF(G73="","",MAX(0,G73-1.96*L73/100))</f>
        <v>0.57184114263595</v>
      </c>
      <c r="N73" s="53" t="n">
        <f aca="false">IF(G73="","",MIN(1,G73+1.96*L73/100))</f>
        <v>0.717776343702848</v>
      </c>
      <c r="O73" s="52" t="n">
        <f aca="false">ROUND(S73*W73,0)</f>
        <v>81</v>
      </c>
      <c r="P73" s="52" t="n">
        <f aca="false">IF(F73="","",ROUND(SQRT((F73*L73/100)^2+(G73*O73)^2),0))</f>
        <v>56</v>
      </c>
      <c r="R73" s="54" t="n">
        <v>13.6047047570902</v>
      </c>
      <c r="S73" s="55" t="n">
        <f aca="false">U73*V73*$F$5</f>
        <v>549.287257019439</v>
      </c>
      <c r="T73" s="56" t="n">
        <f aca="false">MAX(0,MIN(1,R73/100+$D$5))</f>
        <v>0.643603154679317</v>
      </c>
      <c r="U73" s="56" t="n">
        <v>0.587473002159827</v>
      </c>
      <c r="V73" s="55" t="n">
        <v>935</v>
      </c>
      <c r="W73" s="56" t="n">
        <v>0.148097331980838</v>
      </c>
      <c r="X73" s="57" t="s">
        <v>129</v>
      </c>
      <c r="Y73" s="57" t="s">
        <v>130</v>
      </c>
    </row>
    <row r="74" customFormat="false" ht="15" hidden="false" customHeight="false" outlineLevel="0" collapsed="false">
      <c r="A74" s="25" t="s">
        <v>197</v>
      </c>
      <c r="B74" s="25" t="s">
        <v>199</v>
      </c>
      <c r="C74" s="25" t="s">
        <v>210</v>
      </c>
      <c r="D74" s="52" t="n">
        <f aca="false">ROUND(S74*T74,0)</f>
        <v>258</v>
      </c>
      <c r="E74" s="52" t="n">
        <f aca="false">ROUND(S74,0)-D74</f>
        <v>120</v>
      </c>
      <c r="F74" s="52" t="n">
        <f aca="false">IF(COUNTA(D74:E74)=0,"",SUM(D74:E74))</f>
        <v>378</v>
      </c>
      <c r="G74" s="53" t="n">
        <f aca="false">IF(OR(F74="",F74=0),"",D74/F74)</f>
        <v>0.682539682539683</v>
      </c>
      <c r="H74" s="53" t="n">
        <f aca="false">IF(OR(F74="",F74=0),"",E74/F74)</f>
        <v>0.317460317460317</v>
      </c>
      <c r="I74" s="25" t="s">
        <v>128</v>
      </c>
      <c r="J74" s="28" t="n">
        <v>3.71103496666907</v>
      </c>
      <c r="K74" s="28" t="n">
        <f aca="false">$K$8</f>
        <v>0.296197623206382</v>
      </c>
      <c r="L74" s="28" t="n">
        <f aca="false">SQRT(J74^2+K74^2)</f>
        <v>3.72283676191068</v>
      </c>
      <c r="M74" s="53" t="n">
        <f aca="false">IF(G74="","",MAX(0,G74-1.96*L74/100))</f>
        <v>0.609572082006233</v>
      </c>
      <c r="N74" s="53" t="n">
        <f aca="false">IF(G74="","",MIN(1,G74+1.96*L74/100))</f>
        <v>0.755507283073132</v>
      </c>
      <c r="O74" s="52" t="n">
        <f aca="false">ROUND(S74*W74,0)</f>
        <v>56</v>
      </c>
      <c r="P74" s="52" t="n">
        <f aca="false">IF(F74="","",ROUND(SQRT((F74*L74/100)^2+(G74*O74)^2),0))</f>
        <v>41</v>
      </c>
      <c r="R74" s="54" t="n">
        <v>17.4372518348235</v>
      </c>
      <c r="S74" s="55" t="n">
        <f aca="false">U74*V74*$F$5</f>
        <v>378.339066339066</v>
      </c>
      <c r="T74" s="56" t="n">
        <f aca="false">MAX(0,MIN(1,R74/100+$D$5))</f>
        <v>0.68192862545665</v>
      </c>
      <c r="U74" s="56" t="n">
        <v>0.314496314496315</v>
      </c>
      <c r="V74" s="55" t="n">
        <v>1203</v>
      </c>
      <c r="W74" s="56" t="n">
        <v>0.148097331980838</v>
      </c>
      <c r="X74" s="57" t="s">
        <v>129</v>
      </c>
      <c r="Y74" s="57" t="s">
        <v>130</v>
      </c>
    </row>
    <row r="75" customFormat="false" ht="15" hidden="false" customHeight="false" outlineLevel="0" collapsed="false">
      <c r="A75" s="25" t="s">
        <v>197</v>
      </c>
      <c r="B75" s="25" t="s">
        <v>199</v>
      </c>
      <c r="C75" s="25" t="s">
        <v>211</v>
      </c>
      <c r="D75" s="52" t="n">
        <f aca="false">ROUND(S75*T75,0)</f>
        <v>312</v>
      </c>
      <c r="E75" s="52" t="n">
        <f aca="false">ROUND(S75,0)-D75</f>
        <v>173</v>
      </c>
      <c r="F75" s="52" t="n">
        <f aca="false">IF(COUNTA(D75:E75)=0,"",SUM(D75:E75))</f>
        <v>485</v>
      </c>
      <c r="G75" s="53" t="n">
        <f aca="false">IF(OR(F75="",F75=0),"",D75/F75)</f>
        <v>0.643298969072165</v>
      </c>
      <c r="H75" s="53" t="n">
        <f aca="false">IF(OR(F75="",F75=0),"",E75/F75)</f>
        <v>0.356701030927835</v>
      </c>
      <c r="I75" s="25" t="s">
        <v>128</v>
      </c>
      <c r="J75" s="28" t="n">
        <v>3.71103496666907</v>
      </c>
      <c r="K75" s="28" t="n">
        <f aca="false">$K$8</f>
        <v>0.296197623206382</v>
      </c>
      <c r="L75" s="28" t="n">
        <f aca="false">SQRT(J75^2+K75^2)</f>
        <v>3.72283676191068</v>
      </c>
      <c r="M75" s="53" t="n">
        <f aca="false">IF(G75="","",MAX(0,G75-1.96*L75/100))</f>
        <v>0.570331368538716</v>
      </c>
      <c r="N75" s="53" t="n">
        <f aca="false">IF(G75="","",MIN(1,G75+1.96*L75/100))</f>
        <v>0.716266569605614</v>
      </c>
      <c r="O75" s="52" t="n">
        <f aca="false">ROUND(S75*W75,0)</f>
        <v>72</v>
      </c>
      <c r="P75" s="52" t="n">
        <f aca="false">IF(F75="","",ROUND(SQRT((F75*L75/100)^2+(G75*O75)^2),0))</f>
        <v>50</v>
      </c>
      <c r="R75" s="54" t="n">
        <v>13.5635417059773</v>
      </c>
      <c r="S75" s="55" t="n">
        <f aca="false">U75*V75*$F$5</f>
        <v>484.695302013423</v>
      </c>
      <c r="T75" s="56" t="n">
        <f aca="false">MAX(0,MIN(1,R75/100+$D$5))</f>
        <v>0.643191524168188</v>
      </c>
      <c r="U75" s="56" t="n">
        <v>0.326174496644295</v>
      </c>
      <c r="V75" s="55" t="n">
        <v>1486</v>
      </c>
      <c r="W75" s="56" t="n">
        <v>0.148097331980838</v>
      </c>
      <c r="X75" s="57" t="s">
        <v>129</v>
      </c>
      <c r="Y75" s="57" t="s">
        <v>130</v>
      </c>
    </row>
    <row r="76" customFormat="false" ht="15" hidden="false" customHeight="false" outlineLevel="0" collapsed="false">
      <c r="A76" s="25" t="s">
        <v>197</v>
      </c>
      <c r="B76" s="25" t="s">
        <v>199</v>
      </c>
      <c r="C76" s="25" t="s">
        <v>212</v>
      </c>
      <c r="D76" s="52" t="n">
        <f aca="false">ROUND(S76*T76,0)</f>
        <v>368</v>
      </c>
      <c r="E76" s="52" t="n">
        <f aca="false">ROUND(S76,0)-D76</f>
        <v>206</v>
      </c>
      <c r="F76" s="52" t="n">
        <f aca="false">IF(COUNTA(D76:E76)=0,"",SUM(D76:E76))</f>
        <v>574</v>
      </c>
      <c r="G76" s="53" t="n">
        <f aca="false">IF(OR(F76="",F76=0),"",D76/F76)</f>
        <v>0.641114982578397</v>
      </c>
      <c r="H76" s="53" t="n">
        <f aca="false">IF(OR(F76="",F76=0),"",E76/F76)</f>
        <v>0.358885017421603</v>
      </c>
      <c r="I76" s="25" t="s">
        <v>128</v>
      </c>
      <c r="J76" s="28" t="n">
        <v>2.37310914384046</v>
      </c>
      <c r="K76" s="28" t="n">
        <f aca="false">$K$8</f>
        <v>0.296197623206382</v>
      </c>
      <c r="L76" s="28" t="n">
        <f aca="false">SQRT(J76^2+K76^2)</f>
        <v>2.3915225360787</v>
      </c>
      <c r="M76" s="53" t="n">
        <f aca="false">IF(G76="","",MAX(0,G76-1.96*L76/100))</f>
        <v>0.594241140871255</v>
      </c>
      <c r="N76" s="53" t="n">
        <f aca="false">IF(G76="","",MIN(1,G76+1.96*L76/100))</f>
        <v>0.68798882428554</v>
      </c>
      <c r="O76" s="52" t="n">
        <f aca="false">ROUND(S76*W76,0)</f>
        <v>51</v>
      </c>
      <c r="P76" s="52" t="n">
        <f aca="false">IF(F76="","",ROUND(SQRT((F76*L76/100)^2+(G76*O76)^2),0))</f>
        <v>35</v>
      </c>
      <c r="R76" s="54" t="n">
        <v>13.2897644804862</v>
      </c>
      <c r="S76" s="55" t="n">
        <f aca="false">U76*V76*$F$5</f>
        <v>574.422997946612</v>
      </c>
      <c r="T76" s="56" t="n">
        <f aca="false">MAX(0,MIN(1,R76/100+$D$5))</f>
        <v>0.640453751913277</v>
      </c>
      <c r="U76" s="56" t="n">
        <v>0.509240246406571</v>
      </c>
      <c r="V76" s="55" t="n">
        <v>1128</v>
      </c>
      <c r="W76" s="56" t="n">
        <v>0.0887445098984521</v>
      </c>
      <c r="X76" s="57" t="s">
        <v>135</v>
      </c>
      <c r="Y76" s="57" t="s">
        <v>130</v>
      </c>
    </row>
    <row r="77" customFormat="false" ht="15" hidden="false" customHeight="false" outlineLevel="0" collapsed="false">
      <c r="A77" s="25" t="s">
        <v>197</v>
      </c>
      <c r="B77" s="25" t="s">
        <v>199</v>
      </c>
      <c r="C77" s="25" t="s">
        <v>213</v>
      </c>
      <c r="D77" s="52" t="n">
        <f aca="false">ROUND(S77*T77,0)</f>
        <v>338</v>
      </c>
      <c r="E77" s="52" t="n">
        <f aca="false">ROUND(S77,0)-D77</f>
        <v>241</v>
      </c>
      <c r="F77" s="52" t="n">
        <f aca="false">IF(COUNTA(D77:E77)=0,"",SUM(D77:E77))</f>
        <v>579</v>
      </c>
      <c r="G77" s="53" t="n">
        <f aca="false">IF(OR(F77="",F77=0),"",D77/F77)</f>
        <v>0.583765112262522</v>
      </c>
      <c r="H77" s="53" t="n">
        <f aca="false">IF(OR(F77="",F77=0),"",E77/F77)</f>
        <v>0.416234887737478</v>
      </c>
      <c r="I77" s="25" t="s">
        <v>128</v>
      </c>
      <c r="J77" s="28" t="n">
        <v>2.37310914384046</v>
      </c>
      <c r="K77" s="28" t="n">
        <f aca="false">$K$8</f>
        <v>0.296197623206382</v>
      </c>
      <c r="L77" s="28" t="n">
        <f aca="false">SQRT(J77^2+K77^2)</f>
        <v>2.3915225360787</v>
      </c>
      <c r="M77" s="53" t="n">
        <f aca="false">IF(G77="","",MAX(0,G77-1.96*L77/100))</f>
        <v>0.536891270555379</v>
      </c>
      <c r="N77" s="53" t="n">
        <f aca="false">IF(G77="","",MIN(1,G77+1.96*L77/100))</f>
        <v>0.630638953969664</v>
      </c>
      <c r="O77" s="52" t="n">
        <f aca="false">ROUND(S77*W77,0)</f>
        <v>51</v>
      </c>
      <c r="P77" s="52" t="n">
        <f aca="false">IF(F77="","",ROUND(SQRT((F77*L77/100)^2+(G77*O77)^2),0))</f>
        <v>33</v>
      </c>
      <c r="R77" s="54" t="n">
        <v>7.59394642344158</v>
      </c>
      <c r="S77" s="55" t="n">
        <f aca="false">U77*V77*$F$5</f>
        <v>579.434468524251</v>
      </c>
      <c r="T77" s="56" t="n">
        <f aca="false">MAX(0,MIN(1,R77/100+$D$5))</f>
        <v>0.583495571342831</v>
      </c>
      <c r="U77" s="56" t="n">
        <v>0.584107327141383</v>
      </c>
      <c r="V77" s="55" t="n">
        <v>992</v>
      </c>
      <c r="W77" s="56" t="n">
        <v>0.0887445098984521</v>
      </c>
      <c r="X77" s="57" t="s">
        <v>135</v>
      </c>
      <c r="Y77" s="57" t="s">
        <v>130</v>
      </c>
    </row>
    <row r="78" customFormat="false" ht="15" hidden="false" customHeight="false" outlineLevel="0" collapsed="false">
      <c r="A78" s="25" t="s">
        <v>197</v>
      </c>
      <c r="B78" s="25" t="s">
        <v>199</v>
      </c>
      <c r="C78" s="25" t="s">
        <v>214</v>
      </c>
      <c r="D78" s="52" t="n">
        <f aca="false">ROUND(S78*T78,0)</f>
        <v>268</v>
      </c>
      <c r="E78" s="52" t="n">
        <f aca="false">ROUND(S78,0)-D78</f>
        <v>164</v>
      </c>
      <c r="F78" s="52" t="n">
        <f aca="false">IF(COUNTA(D78:E78)=0,"",SUM(D78:E78))</f>
        <v>432</v>
      </c>
      <c r="G78" s="53" t="n">
        <f aca="false">IF(OR(F78="",F78=0),"",D78/F78)</f>
        <v>0.62037037037037</v>
      </c>
      <c r="H78" s="53" t="n">
        <f aca="false">IF(OR(F78="",F78=0),"",E78/F78)</f>
        <v>0.37962962962963</v>
      </c>
      <c r="I78" s="25" t="s">
        <v>128</v>
      </c>
      <c r="J78" s="28" t="n">
        <v>3.71103496666907</v>
      </c>
      <c r="K78" s="28" t="n">
        <f aca="false">$K$8</f>
        <v>0.296197623206382</v>
      </c>
      <c r="L78" s="28" t="n">
        <f aca="false">SQRT(J78^2+K78^2)</f>
        <v>3.72283676191068</v>
      </c>
      <c r="M78" s="53" t="n">
        <f aca="false">IF(G78="","",MAX(0,G78-1.96*L78/100))</f>
        <v>0.547402769836921</v>
      </c>
      <c r="N78" s="53" t="n">
        <f aca="false">IF(G78="","",MIN(1,G78+1.96*L78/100))</f>
        <v>0.69333797090382</v>
      </c>
      <c r="O78" s="52" t="n">
        <f aca="false">ROUND(S78*W78,0)</f>
        <v>64</v>
      </c>
      <c r="P78" s="52" t="n">
        <f aca="false">IF(F78="","",ROUND(SQRT((F78*L78/100)^2+(G78*O78)^2),0))</f>
        <v>43</v>
      </c>
      <c r="R78" s="54" t="n">
        <v>11.3102192918495</v>
      </c>
      <c r="S78" s="55" t="n">
        <f aca="false">U78*V78*$F$5</f>
        <v>431.913793103448</v>
      </c>
      <c r="T78" s="56" t="n">
        <f aca="false">MAX(0,MIN(1,R78/100+$D$5))</f>
        <v>0.620658300026909</v>
      </c>
      <c r="U78" s="56" t="n">
        <v>0.353448275862069</v>
      </c>
      <c r="V78" s="55" t="n">
        <v>1222</v>
      </c>
      <c r="W78" s="56" t="n">
        <v>0.148097331980838</v>
      </c>
      <c r="X78" s="57" t="s">
        <v>129</v>
      </c>
      <c r="Y78" s="57" t="s">
        <v>130</v>
      </c>
    </row>
    <row r="79" customFormat="false" ht="15" hidden="false" customHeight="false" outlineLevel="0" collapsed="false">
      <c r="A79" s="25" t="s">
        <v>197</v>
      </c>
      <c r="B79" s="25" t="s">
        <v>199</v>
      </c>
      <c r="C79" s="25" t="s">
        <v>215</v>
      </c>
      <c r="D79" s="52" t="n">
        <f aca="false">ROUND(S79*T79,0)</f>
        <v>258</v>
      </c>
      <c r="E79" s="52" t="n">
        <f aca="false">ROUND(S79,0)-D79</f>
        <v>106</v>
      </c>
      <c r="F79" s="52" t="n">
        <f aca="false">IF(COUNTA(D79:E79)=0,"",SUM(D79:E79))</f>
        <v>364</v>
      </c>
      <c r="G79" s="53" t="n">
        <f aca="false">IF(OR(F79="",F79=0),"",D79/F79)</f>
        <v>0.708791208791209</v>
      </c>
      <c r="H79" s="53" t="n">
        <f aca="false">IF(OR(F79="",F79=0),"",E79/F79)</f>
        <v>0.291208791208791</v>
      </c>
      <c r="I79" s="25" t="s">
        <v>128</v>
      </c>
      <c r="J79" s="28" t="n">
        <v>3.71103496666907</v>
      </c>
      <c r="K79" s="28" t="n">
        <f aca="false">$K$8</f>
        <v>0.296197623206382</v>
      </c>
      <c r="L79" s="28" t="n">
        <f aca="false">SQRT(J79^2+K79^2)</f>
        <v>3.72283676191068</v>
      </c>
      <c r="M79" s="53" t="n">
        <f aca="false">IF(G79="","",MAX(0,G79-1.96*L79/100))</f>
        <v>0.63582360825776</v>
      </c>
      <c r="N79" s="53" t="n">
        <f aca="false">IF(G79="","",MIN(1,G79+1.96*L79/100))</f>
        <v>0.781758809324658</v>
      </c>
      <c r="O79" s="52" t="n">
        <f aca="false">ROUND(S79*W79,0)</f>
        <v>54</v>
      </c>
      <c r="P79" s="52" t="n">
        <f aca="false">IF(F79="","",ROUND(SQRT((F79*L79/100)^2+(G79*O79)^2),0))</f>
        <v>41</v>
      </c>
      <c r="R79" s="54" t="n">
        <v>20.0316956386635</v>
      </c>
      <c r="S79" s="55" t="n">
        <f aca="false">U79*V79*$F$5</f>
        <v>363.966015293118</v>
      </c>
      <c r="T79" s="56" t="n">
        <f aca="false">MAX(0,MIN(1,R79/100+$D$5))</f>
        <v>0.707873063495049</v>
      </c>
      <c r="U79" s="56" t="n">
        <v>0.295666949872557</v>
      </c>
      <c r="V79" s="55" t="n">
        <v>1231</v>
      </c>
      <c r="W79" s="56" t="n">
        <v>0.148097331980838</v>
      </c>
      <c r="X79" s="57" t="s">
        <v>129</v>
      </c>
      <c r="Y79" s="57" t="s">
        <v>130</v>
      </c>
    </row>
    <row r="80" customFormat="false" ht="15" hidden="false" customHeight="false" outlineLevel="0" collapsed="false">
      <c r="A80" s="25" t="s">
        <v>197</v>
      </c>
      <c r="B80" s="25" t="s">
        <v>199</v>
      </c>
      <c r="C80" s="25" t="s">
        <v>216</v>
      </c>
      <c r="D80" s="52" t="n">
        <f aca="false">ROUND(S80*T80,0)</f>
        <v>199</v>
      </c>
      <c r="E80" s="52" t="n">
        <f aca="false">ROUND(S80,0)-D80</f>
        <v>105</v>
      </c>
      <c r="F80" s="52" t="n">
        <f aca="false">IF(COUNTA(D80:E80)=0,"",SUM(D80:E80))</f>
        <v>304</v>
      </c>
      <c r="G80" s="53" t="n">
        <f aca="false">IF(OR(F80="",F80=0),"",D80/F80)</f>
        <v>0.654605263157895</v>
      </c>
      <c r="H80" s="53" t="n">
        <f aca="false">IF(OR(F80="",F80=0),"",E80/F80)</f>
        <v>0.345394736842105</v>
      </c>
      <c r="I80" s="25" t="s">
        <v>128</v>
      </c>
      <c r="J80" s="28" t="n">
        <v>3.71103496666907</v>
      </c>
      <c r="K80" s="28" t="n">
        <f aca="false">$K$8</f>
        <v>0.296197623206382</v>
      </c>
      <c r="L80" s="28" t="n">
        <f aca="false">SQRT(J80^2+K80^2)</f>
        <v>3.72283676191068</v>
      </c>
      <c r="M80" s="53" t="n">
        <f aca="false">IF(G80="","",MAX(0,G80-1.96*L80/100))</f>
        <v>0.581637662624445</v>
      </c>
      <c r="N80" s="53" t="n">
        <f aca="false">IF(G80="","",MIN(1,G80+1.96*L80/100))</f>
        <v>0.727572863691344</v>
      </c>
      <c r="O80" s="52" t="n">
        <f aca="false">ROUND(S80*W80,0)</f>
        <v>45</v>
      </c>
      <c r="P80" s="52" t="n">
        <f aca="false">IF(F80="","",ROUND(SQRT((F80*L80/100)^2+(G80*O80)^2),0))</f>
        <v>32</v>
      </c>
      <c r="R80" s="54" t="n">
        <v>14.8517942821626</v>
      </c>
      <c r="S80" s="55" t="n">
        <f aca="false">U80*V80*$F$5</f>
        <v>303.644444444444</v>
      </c>
      <c r="T80" s="56" t="n">
        <f aca="false">MAX(0,MIN(1,R80/100+$D$5))</f>
        <v>0.656074049930041</v>
      </c>
      <c r="U80" s="56" t="n">
        <v>0.311111111111111</v>
      </c>
      <c r="V80" s="55" t="n">
        <v>976</v>
      </c>
      <c r="W80" s="56" t="n">
        <v>0.148097331980838</v>
      </c>
      <c r="X80" s="57" t="s">
        <v>129</v>
      </c>
      <c r="Y80" s="57" t="s">
        <v>130</v>
      </c>
    </row>
    <row r="81" customFormat="false" ht="15" hidden="false" customHeight="false" outlineLevel="0" collapsed="false">
      <c r="A81" s="25" t="s">
        <v>197</v>
      </c>
      <c r="B81" s="25" t="s">
        <v>199</v>
      </c>
      <c r="C81" s="25" t="s">
        <v>217</v>
      </c>
      <c r="D81" s="52" t="n">
        <f aca="false">ROUND(S81*T81,0)</f>
        <v>260</v>
      </c>
      <c r="E81" s="52" t="n">
        <f aca="false">ROUND(S81,0)-D81</f>
        <v>135</v>
      </c>
      <c r="F81" s="52" t="n">
        <f aca="false">IF(COUNTA(D81:E81)=0,"",SUM(D81:E81))</f>
        <v>395</v>
      </c>
      <c r="G81" s="53" t="n">
        <f aca="false">IF(OR(F81="",F81=0),"",D81/F81)</f>
        <v>0.658227848101266</v>
      </c>
      <c r="H81" s="53" t="n">
        <f aca="false">IF(OR(F81="",F81=0),"",E81/F81)</f>
        <v>0.341772151898734</v>
      </c>
      <c r="I81" s="25" t="s">
        <v>128</v>
      </c>
      <c r="J81" s="28" t="n">
        <v>3.71103496666907</v>
      </c>
      <c r="K81" s="28" t="n">
        <f aca="false">$K$8</f>
        <v>0.296197623206382</v>
      </c>
      <c r="L81" s="28" t="n">
        <f aca="false">SQRT(J81^2+K81^2)</f>
        <v>3.72283676191068</v>
      </c>
      <c r="M81" s="53" t="n">
        <f aca="false">IF(G81="","",MAX(0,G81-1.96*L81/100))</f>
        <v>0.585260247567816</v>
      </c>
      <c r="N81" s="53" t="n">
        <f aca="false">IF(G81="","",MIN(1,G81+1.96*L81/100))</f>
        <v>0.731195448634715</v>
      </c>
      <c r="O81" s="52" t="n">
        <f aca="false">ROUND(S81*W81,0)</f>
        <v>59</v>
      </c>
      <c r="P81" s="52" t="n">
        <f aca="false">IF(F81="","",ROUND(SQRT((F81*L81/100)^2+(G81*O81)^2),0))</f>
        <v>42</v>
      </c>
      <c r="R81" s="54" t="n">
        <v>15.0072941993015</v>
      </c>
      <c r="S81" s="55" t="n">
        <f aca="false">U81*V81*$F$5</f>
        <v>395.313313313313</v>
      </c>
      <c r="T81" s="56" t="n">
        <f aca="false">MAX(0,MIN(1,R81/100+$D$5))</f>
        <v>0.65762904910143</v>
      </c>
      <c r="U81" s="56" t="n">
        <v>0.379379379379379</v>
      </c>
      <c r="V81" s="55" t="n">
        <v>1042</v>
      </c>
      <c r="W81" s="56" t="n">
        <v>0.148097331980838</v>
      </c>
      <c r="X81" s="57" t="s">
        <v>129</v>
      </c>
      <c r="Y81" s="57" t="s">
        <v>130</v>
      </c>
    </row>
    <row r="82" customFormat="false" ht="15" hidden="false" customHeight="false" outlineLevel="0" collapsed="false">
      <c r="A82" s="25" t="s">
        <v>197</v>
      </c>
      <c r="B82" s="25" t="s">
        <v>199</v>
      </c>
      <c r="C82" s="25" t="s">
        <v>218</v>
      </c>
      <c r="D82" s="52" t="n">
        <f aca="false">ROUND(S82*T82,0)</f>
        <v>204</v>
      </c>
      <c r="E82" s="52" t="n">
        <f aca="false">ROUND(S82,0)-D82</f>
        <v>97</v>
      </c>
      <c r="F82" s="52" t="n">
        <f aca="false">IF(COUNTA(D82:E82)=0,"",SUM(D82:E82))</f>
        <v>301</v>
      </c>
      <c r="G82" s="53" t="n">
        <f aca="false">IF(OR(F82="",F82=0),"",D82/F82)</f>
        <v>0.677740863787375</v>
      </c>
      <c r="H82" s="53" t="n">
        <f aca="false">IF(OR(F82="",F82=0),"",E82/F82)</f>
        <v>0.322259136212625</v>
      </c>
      <c r="I82" s="25" t="s">
        <v>128</v>
      </c>
      <c r="J82" s="28" t="n">
        <v>3.71103496666907</v>
      </c>
      <c r="K82" s="28" t="n">
        <f aca="false">$K$8</f>
        <v>0.296197623206382</v>
      </c>
      <c r="L82" s="28" t="n">
        <f aca="false">SQRT(J82^2+K82^2)</f>
        <v>3.72283676191068</v>
      </c>
      <c r="M82" s="53" t="n">
        <f aca="false">IF(G82="","",MAX(0,G82-1.96*L82/100))</f>
        <v>0.604773263253926</v>
      </c>
      <c r="N82" s="53" t="n">
        <f aca="false">IF(G82="","",MIN(1,G82+1.96*L82/100))</f>
        <v>0.750708464320825</v>
      </c>
      <c r="O82" s="52" t="n">
        <f aca="false">ROUND(S82*W82,0)</f>
        <v>45</v>
      </c>
      <c r="P82" s="52" t="n">
        <f aca="false">IF(F82="","",ROUND(SQRT((F82*L82/100)^2+(G82*O82)^2),0))</f>
        <v>32</v>
      </c>
      <c r="R82" s="54" t="n">
        <v>17.2670525890008</v>
      </c>
      <c r="S82" s="55" t="n">
        <f aca="false">U82*V82*$F$5</f>
        <v>300.567123287671</v>
      </c>
      <c r="T82" s="56" t="n">
        <f aca="false">MAX(0,MIN(1,R82/100+$D$5))</f>
        <v>0.680226632998423</v>
      </c>
      <c r="U82" s="56" t="n">
        <v>0.398630136986301</v>
      </c>
      <c r="V82" s="55" t="n">
        <v>754</v>
      </c>
      <c r="W82" s="56" t="n">
        <v>0.148097331980838</v>
      </c>
      <c r="X82" s="57" t="s">
        <v>129</v>
      </c>
      <c r="Y82" s="57" t="s">
        <v>130</v>
      </c>
    </row>
    <row r="83" customFormat="false" ht="15" hidden="false" customHeight="false" outlineLevel="0" collapsed="false">
      <c r="A83" s="25" t="s">
        <v>197</v>
      </c>
      <c r="B83" s="25" t="s">
        <v>199</v>
      </c>
      <c r="C83" s="25" t="s">
        <v>219</v>
      </c>
      <c r="D83" s="52" t="n">
        <f aca="false">ROUND(S83*T83,0)</f>
        <v>378</v>
      </c>
      <c r="E83" s="52" t="n">
        <f aca="false">ROUND(S83,0)-D83</f>
        <v>208</v>
      </c>
      <c r="F83" s="52" t="n">
        <f aca="false">IF(COUNTA(D83:E83)=0,"",SUM(D83:E83))</f>
        <v>586</v>
      </c>
      <c r="G83" s="53" t="n">
        <f aca="false">IF(OR(F83="",F83=0),"",D83/F83)</f>
        <v>0.645051194539249</v>
      </c>
      <c r="H83" s="53" t="n">
        <f aca="false">IF(OR(F83="",F83=0),"",E83/F83)</f>
        <v>0.354948805460751</v>
      </c>
      <c r="I83" s="25" t="s">
        <v>128</v>
      </c>
      <c r="J83" s="28" t="n">
        <v>2.37310914384046</v>
      </c>
      <c r="K83" s="28" t="n">
        <f aca="false">$K$8</f>
        <v>0.296197623206382</v>
      </c>
      <c r="L83" s="28" t="n">
        <f aca="false">SQRT(J83^2+K83^2)</f>
        <v>2.3915225360787</v>
      </c>
      <c r="M83" s="53" t="n">
        <f aca="false">IF(G83="","",MAX(0,G83-1.96*L83/100))</f>
        <v>0.598177352832107</v>
      </c>
      <c r="N83" s="53" t="n">
        <f aca="false">IF(G83="","",MIN(1,G83+1.96*L83/100))</f>
        <v>0.691925036246392</v>
      </c>
      <c r="O83" s="52" t="n">
        <f aca="false">ROUND(S83*W83,0)</f>
        <v>52</v>
      </c>
      <c r="P83" s="52" t="n">
        <f aca="false">IF(F83="","",ROUND(SQRT((F83*L83/100)^2+(G83*O83)^2),0))</f>
        <v>36</v>
      </c>
      <c r="R83" s="54" t="n">
        <v>13.6963368224054</v>
      </c>
      <c r="S83" s="55" t="n">
        <f aca="false">U83*V83*$F$5</f>
        <v>586.485403548941</v>
      </c>
      <c r="T83" s="56" t="n">
        <f aca="false">MAX(0,MIN(1,R83/100+$D$5))</f>
        <v>0.644519475332469</v>
      </c>
      <c r="U83" s="56" t="n">
        <v>0.328563251287922</v>
      </c>
      <c r="V83" s="55" t="n">
        <v>1785</v>
      </c>
      <c r="W83" s="56" t="n">
        <v>0.0887445098984521</v>
      </c>
      <c r="X83" s="57" t="s">
        <v>135</v>
      </c>
      <c r="Y83" s="57" t="s">
        <v>130</v>
      </c>
    </row>
    <row r="84" customFormat="false" ht="15" hidden="false" customHeight="false" outlineLevel="0" collapsed="false">
      <c r="A84" s="25" t="s">
        <v>197</v>
      </c>
      <c r="B84" s="25" t="s">
        <v>199</v>
      </c>
      <c r="C84" s="25" t="s">
        <v>220</v>
      </c>
      <c r="D84" s="52" t="n">
        <f aca="false">ROUND(S84*T84,0)</f>
        <v>373</v>
      </c>
      <c r="E84" s="52" t="n">
        <f aca="false">ROUND(S84,0)-D84</f>
        <v>198</v>
      </c>
      <c r="F84" s="52" t="n">
        <f aca="false">IF(COUNTA(D84:E84)=0,"",SUM(D84:E84))</f>
        <v>571</v>
      </c>
      <c r="G84" s="53" t="n">
        <f aca="false">IF(OR(F84="",F84=0),"",D84/F84)</f>
        <v>0.653239929947461</v>
      </c>
      <c r="H84" s="53" t="n">
        <f aca="false">IF(OR(F84="",F84=0),"",E84/F84)</f>
        <v>0.346760070052539</v>
      </c>
      <c r="I84" s="25" t="s">
        <v>128</v>
      </c>
      <c r="J84" s="28" t="n">
        <v>3.71103496666907</v>
      </c>
      <c r="K84" s="28" t="n">
        <f aca="false">$K$8</f>
        <v>0.296197623206382</v>
      </c>
      <c r="L84" s="28" t="n">
        <f aca="false">SQRT(J84^2+K84^2)</f>
        <v>3.72283676191068</v>
      </c>
      <c r="M84" s="53" t="n">
        <f aca="false">IF(G84="","",MAX(0,G84-1.96*L84/100))</f>
        <v>0.580272329414011</v>
      </c>
      <c r="N84" s="53" t="n">
        <f aca="false">IF(G84="","",MIN(1,G84+1.96*L84/100))</f>
        <v>0.72620753048091</v>
      </c>
      <c r="O84" s="52" t="n">
        <f aca="false">ROUND(S84*W84,0)</f>
        <v>85</v>
      </c>
      <c r="P84" s="52" t="n">
        <f aca="false">IF(F84="","",ROUND(SQRT((F84*L84/100)^2+(G84*O84)^2),0))</f>
        <v>59</v>
      </c>
      <c r="R84" s="54" t="n">
        <v>14.4921174539817</v>
      </c>
      <c r="S84" s="55" t="n">
        <f aca="false">U84*V84*$F$5</f>
        <v>571.299896587383</v>
      </c>
      <c r="T84" s="56" t="n">
        <f aca="false">MAX(0,MIN(1,R84/100+$D$5))</f>
        <v>0.652477281648232</v>
      </c>
      <c r="U84" s="56" t="n">
        <v>0.28593588417787</v>
      </c>
      <c r="V84" s="55" t="n">
        <v>1998</v>
      </c>
      <c r="W84" s="56" t="n">
        <v>0.148097331980838</v>
      </c>
      <c r="X84" s="57" t="s">
        <v>129</v>
      </c>
      <c r="Y84" s="57" t="s">
        <v>130</v>
      </c>
    </row>
    <row r="85" customFormat="false" ht="15" hidden="false" customHeight="false" outlineLevel="0" collapsed="false">
      <c r="A85" s="25" t="s">
        <v>197</v>
      </c>
      <c r="B85" s="25" t="s">
        <v>199</v>
      </c>
      <c r="C85" s="25" t="s">
        <v>221</v>
      </c>
      <c r="D85" s="52" t="n">
        <f aca="false">ROUND(S85*T85,0)</f>
        <v>301</v>
      </c>
      <c r="E85" s="52" t="n">
        <f aca="false">ROUND(S85,0)-D85</f>
        <v>222</v>
      </c>
      <c r="F85" s="52" t="n">
        <f aca="false">IF(COUNTA(D85:E85)=0,"",SUM(D85:E85))</f>
        <v>523</v>
      </c>
      <c r="G85" s="53" t="n">
        <f aca="false">IF(OR(F85="",F85=0),"",D85/F85)</f>
        <v>0.575525812619503</v>
      </c>
      <c r="H85" s="53" t="n">
        <f aca="false">IF(OR(F85="",F85=0),"",E85/F85)</f>
        <v>0.424474187380497</v>
      </c>
      <c r="I85" s="25" t="s">
        <v>128</v>
      </c>
      <c r="J85" s="28" t="n">
        <v>3.71103496666907</v>
      </c>
      <c r="K85" s="28" t="n">
        <f aca="false">$K$8</f>
        <v>0.296197623206382</v>
      </c>
      <c r="L85" s="28" t="n">
        <f aca="false">SQRT(J85^2+K85^2)</f>
        <v>3.72283676191068</v>
      </c>
      <c r="M85" s="53" t="n">
        <f aca="false">IF(G85="","",MAX(0,G85-1.96*L85/100))</f>
        <v>0.502558212086053</v>
      </c>
      <c r="N85" s="53" t="n">
        <f aca="false">IF(G85="","",MIN(1,G85+1.96*L85/100))</f>
        <v>0.648493413152952</v>
      </c>
      <c r="O85" s="52" t="n">
        <f aca="false">ROUND(S85*W85,0)</f>
        <v>77</v>
      </c>
      <c r="P85" s="52" t="n">
        <f aca="false">IF(F85="","",ROUND(SQRT((F85*L85/100)^2+(G85*O85)^2),0))</f>
        <v>48</v>
      </c>
      <c r="R85" s="54" t="n">
        <v>6.79219611378762</v>
      </c>
      <c r="S85" s="55" t="n">
        <f aca="false">U85*V85*$F$5</f>
        <v>522.567052980132</v>
      </c>
      <c r="T85" s="56" t="n">
        <f aca="false">MAX(0,MIN(1,R85/100+$D$5))</f>
        <v>0.575478068246291</v>
      </c>
      <c r="U85" s="56" t="n">
        <v>0.43294701986755</v>
      </c>
      <c r="V85" s="55" t="n">
        <v>1207</v>
      </c>
      <c r="W85" s="56" t="n">
        <v>0.148097331980838</v>
      </c>
      <c r="X85" s="57" t="s">
        <v>129</v>
      </c>
      <c r="Y85" s="57" t="s">
        <v>130</v>
      </c>
    </row>
    <row r="86" customFormat="false" ht="15" hidden="false" customHeight="false" outlineLevel="0" collapsed="false">
      <c r="A86" s="25" t="s">
        <v>197</v>
      </c>
      <c r="B86" s="25" t="s">
        <v>199</v>
      </c>
      <c r="C86" s="25" t="s">
        <v>222</v>
      </c>
      <c r="D86" s="52" t="n">
        <f aca="false">ROUND(S86*T86,0)</f>
        <v>385</v>
      </c>
      <c r="E86" s="52" t="n">
        <f aca="false">ROUND(S86,0)-D86</f>
        <v>225</v>
      </c>
      <c r="F86" s="52" t="n">
        <f aca="false">IF(COUNTA(D86:E86)=0,"",SUM(D86:E86))</f>
        <v>610</v>
      </c>
      <c r="G86" s="53" t="n">
        <f aca="false">IF(OR(F86="",F86=0),"",D86/F86)</f>
        <v>0.631147540983607</v>
      </c>
      <c r="H86" s="53" t="n">
        <f aca="false">IF(OR(F86="",F86=0),"",E86/F86)</f>
        <v>0.368852459016393</v>
      </c>
      <c r="I86" s="25" t="s">
        <v>128</v>
      </c>
      <c r="J86" s="28" t="n">
        <v>2.37310914384046</v>
      </c>
      <c r="K86" s="28" t="n">
        <f aca="false">$K$8</f>
        <v>0.296197623206382</v>
      </c>
      <c r="L86" s="28" t="n">
        <f aca="false">SQRT(J86^2+K86^2)</f>
        <v>2.3915225360787</v>
      </c>
      <c r="M86" s="53" t="n">
        <f aca="false">IF(G86="","",MAX(0,G86-1.96*L86/100))</f>
        <v>0.584273699276464</v>
      </c>
      <c r="N86" s="53" t="n">
        <f aca="false">IF(G86="","",MIN(1,G86+1.96*L86/100))</f>
        <v>0.678021382690749</v>
      </c>
      <c r="O86" s="52" t="n">
        <f aca="false">ROUND(S86*W86,0)</f>
        <v>54</v>
      </c>
      <c r="P86" s="52" t="n">
        <f aca="false">IF(F86="","",ROUND(SQRT((F86*L86/100)^2+(G86*O86)^2),0))</f>
        <v>37</v>
      </c>
      <c r="R86" s="54" t="n">
        <v>12.3007371561675</v>
      </c>
      <c r="S86" s="55" t="n">
        <f aca="false">U86*V86*$F$5</f>
        <v>610.325752919484</v>
      </c>
      <c r="T86" s="56" t="n">
        <f aca="false">MAX(0,MIN(1,R86/100+$D$5))</f>
        <v>0.63056347867009</v>
      </c>
      <c r="U86" s="56" t="n">
        <v>0.368776889981561</v>
      </c>
      <c r="V86" s="55" t="n">
        <v>1655</v>
      </c>
      <c r="W86" s="56" t="n">
        <v>0.0887445098984521</v>
      </c>
      <c r="X86" s="57" t="s">
        <v>135</v>
      </c>
      <c r="Y86" s="57" t="s">
        <v>130</v>
      </c>
    </row>
    <row r="87" customFormat="false" ht="15" hidden="false" customHeight="false" outlineLevel="0" collapsed="false">
      <c r="A87" s="25" t="s">
        <v>197</v>
      </c>
      <c r="B87" s="25" t="s">
        <v>199</v>
      </c>
      <c r="C87" s="25" t="s">
        <v>223</v>
      </c>
      <c r="D87" s="52" t="n">
        <f aca="false">ROUND(S87*T87,0)</f>
        <v>427</v>
      </c>
      <c r="E87" s="52" t="n">
        <f aca="false">ROUND(S87,0)-D87</f>
        <v>254</v>
      </c>
      <c r="F87" s="52" t="n">
        <f aca="false">IF(COUNTA(D87:E87)=0,"",SUM(D87:E87))</f>
        <v>681</v>
      </c>
      <c r="G87" s="53" t="n">
        <f aca="false">IF(OR(F87="",F87=0),"",D87/F87)</f>
        <v>0.627019089574156</v>
      </c>
      <c r="H87" s="53" t="n">
        <f aca="false">IF(OR(F87="",F87=0),"",E87/F87)</f>
        <v>0.372980910425844</v>
      </c>
      <c r="I87" s="25" t="s">
        <v>128</v>
      </c>
      <c r="J87" s="28" t="n">
        <v>2.37310914384046</v>
      </c>
      <c r="K87" s="28" t="n">
        <f aca="false">$K$8</f>
        <v>0.296197623206382</v>
      </c>
      <c r="L87" s="28" t="n">
        <f aca="false">SQRT(J87^2+K87^2)</f>
        <v>2.3915225360787</v>
      </c>
      <c r="M87" s="53" t="n">
        <f aca="false">IF(G87="","",MAX(0,G87-1.96*L87/100))</f>
        <v>0.580145247867013</v>
      </c>
      <c r="N87" s="53" t="n">
        <f aca="false">IF(G87="","",MIN(1,G87+1.96*L87/100))</f>
        <v>0.673892931281298</v>
      </c>
      <c r="O87" s="52" t="n">
        <f aca="false">ROUND(S87*W87,0)</f>
        <v>60</v>
      </c>
      <c r="P87" s="52" t="n">
        <f aca="false">IF(F87="","",ROUND(SQRT((F87*L87/100)^2+(G87*O87)^2),0))</f>
        <v>41</v>
      </c>
      <c r="R87" s="54" t="n">
        <v>11.9052201333253</v>
      </c>
      <c r="S87" s="55" t="n">
        <f aca="false">U87*V87*$F$5</f>
        <v>680.907053394859</v>
      </c>
      <c r="T87" s="56" t="n">
        <f aca="false">MAX(0,MIN(1,R87/100+$D$5))</f>
        <v>0.626608308441668</v>
      </c>
      <c r="U87" s="56" t="n">
        <v>0.441001977587344</v>
      </c>
      <c r="V87" s="55" t="n">
        <v>1544</v>
      </c>
      <c r="W87" s="56" t="n">
        <v>0.0887445098984521</v>
      </c>
      <c r="X87" s="57" t="s">
        <v>135</v>
      </c>
      <c r="Y87" s="57" t="s">
        <v>130</v>
      </c>
    </row>
    <row r="88" customFormat="false" ht="15" hidden="false" customHeight="false" outlineLevel="0" collapsed="false">
      <c r="A88" s="25" t="s">
        <v>197</v>
      </c>
      <c r="B88" s="25" t="s">
        <v>199</v>
      </c>
      <c r="C88" s="25" t="s">
        <v>224</v>
      </c>
      <c r="D88" s="52" t="n">
        <f aca="false">ROUND(S88*T88,0)</f>
        <v>292</v>
      </c>
      <c r="E88" s="52" t="n">
        <f aca="false">ROUND(S88,0)-D88</f>
        <v>200</v>
      </c>
      <c r="F88" s="52" t="n">
        <f aca="false">IF(COUNTA(D88:E88)=0,"",SUM(D88:E88))</f>
        <v>492</v>
      </c>
      <c r="G88" s="53" t="n">
        <f aca="false">IF(OR(F88="",F88=0),"",D88/F88)</f>
        <v>0.59349593495935</v>
      </c>
      <c r="H88" s="53" t="n">
        <f aca="false">IF(OR(F88="",F88=0),"",E88/F88)</f>
        <v>0.40650406504065</v>
      </c>
      <c r="I88" s="25" t="s">
        <v>128</v>
      </c>
      <c r="J88" s="28" t="n">
        <v>3.71103496666907</v>
      </c>
      <c r="K88" s="28" t="n">
        <f aca="false">$K$8</f>
        <v>0.296197623206382</v>
      </c>
      <c r="L88" s="28" t="n">
        <f aca="false">SQRT(J88^2+K88^2)</f>
        <v>3.72283676191068</v>
      </c>
      <c r="M88" s="53" t="n">
        <f aca="false">IF(G88="","",MAX(0,G88-1.96*L88/100))</f>
        <v>0.5205283344259</v>
      </c>
      <c r="N88" s="53" t="n">
        <f aca="false">IF(G88="","",MIN(1,G88+1.96*L88/100))</f>
        <v>0.666463535492799</v>
      </c>
      <c r="O88" s="52" t="n">
        <f aca="false">ROUND(S88*W88,0)</f>
        <v>73</v>
      </c>
      <c r="P88" s="52" t="n">
        <f aca="false">IF(F88="","",ROUND(SQRT((F88*L88/100)^2+(G88*O88)^2),0))</f>
        <v>47</v>
      </c>
      <c r="R88" s="54" t="n">
        <v>8.7160686798707</v>
      </c>
      <c r="S88" s="55" t="n">
        <f aca="false">U88*V88*$F$5</f>
        <v>491.515840779854</v>
      </c>
      <c r="T88" s="56" t="n">
        <f aca="false">MAX(0,MIN(1,R88/100+$D$5))</f>
        <v>0.594716793907122</v>
      </c>
      <c r="U88" s="56" t="n">
        <v>0.376929325751422</v>
      </c>
      <c r="V88" s="55" t="n">
        <v>1304</v>
      </c>
      <c r="W88" s="56" t="n">
        <v>0.148097331980838</v>
      </c>
      <c r="X88" s="57" t="s">
        <v>129</v>
      </c>
      <c r="Y88" s="57" t="s">
        <v>130</v>
      </c>
    </row>
    <row r="89" customFormat="false" ht="15" hidden="false" customHeight="false" outlineLevel="0" collapsed="false">
      <c r="A89" s="25" t="s">
        <v>197</v>
      </c>
      <c r="B89" s="25" t="s">
        <v>199</v>
      </c>
      <c r="C89" s="25" t="s">
        <v>225</v>
      </c>
      <c r="D89" s="52" t="n">
        <f aca="false">ROUND(S89*T89,0)</f>
        <v>291</v>
      </c>
      <c r="E89" s="52" t="n">
        <f aca="false">ROUND(S89,0)-D89</f>
        <v>169</v>
      </c>
      <c r="F89" s="52" t="n">
        <f aca="false">IF(COUNTA(D89:E89)=0,"",SUM(D89:E89))</f>
        <v>460</v>
      </c>
      <c r="G89" s="53" t="n">
        <f aca="false">IF(OR(F89="",F89=0),"",D89/F89)</f>
        <v>0.632608695652174</v>
      </c>
      <c r="H89" s="53" t="n">
        <f aca="false">IF(OR(F89="",F89=0),"",E89/F89)</f>
        <v>0.367391304347826</v>
      </c>
      <c r="I89" s="25" t="s">
        <v>128</v>
      </c>
      <c r="J89" s="28" t="n">
        <v>3.71103496666907</v>
      </c>
      <c r="K89" s="28" t="n">
        <f aca="false">$K$8</f>
        <v>0.296197623206382</v>
      </c>
      <c r="L89" s="28" t="n">
        <f aca="false">SQRT(J89^2+K89^2)</f>
        <v>3.72283676191068</v>
      </c>
      <c r="M89" s="53" t="n">
        <f aca="false">IF(G89="","",MAX(0,G89-1.96*L89/100))</f>
        <v>0.559641095118725</v>
      </c>
      <c r="N89" s="53" t="n">
        <f aca="false">IF(G89="","",MIN(1,G89+1.96*L89/100))</f>
        <v>0.705576296185623</v>
      </c>
      <c r="O89" s="52" t="n">
        <f aca="false">ROUND(S89*W89,0)</f>
        <v>68</v>
      </c>
      <c r="P89" s="52" t="n">
        <f aca="false">IF(F89="","",ROUND(SQRT((F89*L89/100)^2+(G89*O89)^2),0))</f>
        <v>46</v>
      </c>
      <c r="R89" s="54" t="n">
        <v>12.5031238463404</v>
      </c>
      <c r="S89" s="55" t="n">
        <f aca="false">U89*V89*$F$5</f>
        <v>460.299781181619</v>
      </c>
      <c r="T89" s="56" t="n">
        <f aca="false">MAX(0,MIN(1,R89/100+$D$5))</f>
        <v>0.632587345571818</v>
      </c>
      <c r="U89" s="56" t="n">
        <v>0.321663019693654</v>
      </c>
      <c r="V89" s="55" t="n">
        <v>1431</v>
      </c>
      <c r="W89" s="56" t="n">
        <v>0.148097331980838</v>
      </c>
      <c r="X89" s="57" t="s">
        <v>129</v>
      </c>
      <c r="Y89" s="57" t="s">
        <v>130</v>
      </c>
    </row>
    <row r="90" customFormat="false" ht="15" hidden="false" customHeight="false" outlineLevel="0" collapsed="false">
      <c r="A90" s="25" t="s">
        <v>197</v>
      </c>
      <c r="B90" s="25" t="s">
        <v>199</v>
      </c>
      <c r="C90" s="25" t="s">
        <v>226</v>
      </c>
      <c r="D90" s="52" t="n">
        <f aca="false">ROUND(S90*T90,0)</f>
        <v>499</v>
      </c>
      <c r="E90" s="52" t="n">
        <f aca="false">ROUND(S90,0)-D90</f>
        <v>322</v>
      </c>
      <c r="F90" s="52" t="n">
        <f aca="false">IF(COUNTA(D90:E90)=0,"",SUM(D90:E90))</f>
        <v>821</v>
      </c>
      <c r="G90" s="53" t="n">
        <f aca="false">IF(OR(F90="",F90=0),"",D90/F90)</f>
        <v>0.607795371498173</v>
      </c>
      <c r="H90" s="53" t="n">
        <f aca="false">IF(OR(F90="",F90=0),"",E90/F90)</f>
        <v>0.392204628501827</v>
      </c>
      <c r="I90" s="25" t="s">
        <v>128</v>
      </c>
      <c r="J90" s="28" t="n">
        <v>2.37310914384046</v>
      </c>
      <c r="K90" s="28" t="n">
        <f aca="false">$K$8</f>
        <v>0.296197623206382</v>
      </c>
      <c r="L90" s="28" t="n">
        <f aca="false">SQRT(J90^2+K90^2)</f>
        <v>2.3915225360787</v>
      </c>
      <c r="M90" s="53" t="n">
        <f aca="false">IF(G90="","",MAX(0,G90-1.96*L90/100))</f>
        <v>0.56092152979103</v>
      </c>
      <c r="N90" s="53" t="n">
        <f aca="false">IF(G90="","",MIN(1,G90+1.96*L90/100))</f>
        <v>0.654669213205316</v>
      </c>
      <c r="O90" s="52" t="n">
        <f aca="false">ROUND(S90*W90,0)</f>
        <v>73</v>
      </c>
      <c r="P90" s="52" t="n">
        <f aca="false">IF(F90="","",ROUND(SQRT((F90*L90/100)^2+(G90*O90)^2),0))</f>
        <v>49</v>
      </c>
      <c r="R90" s="54" t="n">
        <v>10.0299195632306</v>
      </c>
      <c r="S90" s="55" t="n">
        <f aca="false">U90*V90*$F$5</f>
        <v>821.477888730385</v>
      </c>
      <c r="T90" s="56" t="n">
        <f aca="false">MAX(0,MIN(1,R90/100+$D$5))</f>
        <v>0.60785530274072</v>
      </c>
      <c r="U90" s="56" t="n">
        <v>0.368045649072753</v>
      </c>
      <c r="V90" s="55" t="n">
        <v>2232</v>
      </c>
      <c r="W90" s="56" t="n">
        <v>0.0887445098984521</v>
      </c>
      <c r="X90" s="57" t="s">
        <v>135</v>
      </c>
      <c r="Y90" s="57" t="s">
        <v>130</v>
      </c>
    </row>
    <row r="91" customFormat="false" ht="15" hidden="false" customHeight="false" outlineLevel="0" collapsed="false">
      <c r="A91" s="25" t="s">
        <v>197</v>
      </c>
      <c r="B91" s="25" t="s">
        <v>199</v>
      </c>
      <c r="C91" s="25" t="s">
        <v>227</v>
      </c>
      <c r="D91" s="52" t="n">
        <f aca="false">ROUND(S91*T91,0)</f>
        <v>356</v>
      </c>
      <c r="E91" s="52" t="n">
        <f aca="false">ROUND(S91,0)-D91</f>
        <v>164</v>
      </c>
      <c r="F91" s="52" t="n">
        <f aca="false">IF(COUNTA(D91:E91)=0,"",SUM(D91:E91))</f>
        <v>520</v>
      </c>
      <c r="G91" s="53" t="n">
        <f aca="false">IF(OR(F91="",F91=0),"",D91/F91)</f>
        <v>0.684615384615385</v>
      </c>
      <c r="H91" s="53" t="n">
        <f aca="false">IF(OR(F91="",F91=0),"",E91/F91)</f>
        <v>0.315384615384615</v>
      </c>
      <c r="I91" s="25" t="s">
        <v>128</v>
      </c>
      <c r="J91" s="28" t="n">
        <v>3.71103496666907</v>
      </c>
      <c r="K91" s="28" t="n">
        <f aca="false">$K$8</f>
        <v>0.296197623206382</v>
      </c>
      <c r="L91" s="28" t="n">
        <f aca="false">SQRT(J91^2+K91^2)</f>
        <v>3.72283676191068</v>
      </c>
      <c r="M91" s="53" t="n">
        <f aca="false">IF(G91="","",MAX(0,G91-1.96*L91/100))</f>
        <v>0.611647784081935</v>
      </c>
      <c r="N91" s="53" t="n">
        <f aca="false">IF(G91="","",MIN(1,G91+1.96*L91/100))</f>
        <v>0.757582985148834</v>
      </c>
      <c r="O91" s="52" t="n">
        <f aca="false">ROUND(S91*W91,0)</f>
        <v>77</v>
      </c>
      <c r="P91" s="52" t="n">
        <f aca="false">IF(F91="","",ROUND(SQRT((F91*L91/100)^2+(G91*O91)^2),0))</f>
        <v>56</v>
      </c>
      <c r="R91" s="54" t="n">
        <v>17.6418121072596</v>
      </c>
      <c r="S91" s="55" t="n">
        <f aca="false">U91*V91*$F$5</f>
        <v>519.765237020316</v>
      </c>
      <c r="T91" s="56" t="n">
        <f aca="false">MAX(0,MIN(1,R91/100+$D$5))</f>
        <v>0.683974228181011</v>
      </c>
      <c r="U91" s="56" t="n">
        <v>0.555304740406321</v>
      </c>
      <c r="V91" s="55" t="n">
        <v>936</v>
      </c>
      <c r="W91" s="56" t="n">
        <v>0.148097331980838</v>
      </c>
      <c r="X91" s="57" t="s">
        <v>129</v>
      </c>
      <c r="Y91" s="57" t="s">
        <v>130</v>
      </c>
    </row>
    <row r="92" customFormat="false" ht="15" hidden="false" customHeight="false" outlineLevel="0" collapsed="false">
      <c r="A92" s="25" t="s">
        <v>197</v>
      </c>
      <c r="B92" s="25" t="s">
        <v>199</v>
      </c>
      <c r="C92" s="25" t="s">
        <v>228</v>
      </c>
      <c r="D92" s="52" t="n">
        <f aca="false">ROUND(S92*T92,0)</f>
        <v>401</v>
      </c>
      <c r="E92" s="52" t="n">
        <f aca="false">ROUND(S92,0)-D92</f>
        <v>216</v>
      </c>
      <c r="F92" s="52" t="n">
        <f aca="false">IF(COUNTA(D92:E92)=0,"",SUM(D92:E92))</f>
        <v>617</v>
      </c>
      <c r="G92" s="53" t="n">
        <f aca="false">IF(OR(F92="",F92=0),"",D92/F92)</f>
        <v>0.649918962722853</v>
      </c>
      <c r="H92" s="53" t="n">
        <f aca="false">IF(OR(F92="",F92=0),"",E92/F92)</f>
        <v>0.350081037277148</v>
      </c>
      <c r="I92" s="25" t="s">
        <v>128</v>
      </c>
      <c r="J92" s="28" t="n">
        <v>2.37310914384046</v>
      </c>
      <c r="K92" s="28" t="n">
        <f aca="false">$K$8</f>
        <v>0.296197623206382</v>
      </c>
      <c r="L92" s="28" t="n">
        <f aca="false">SQRT(J92^2+K92^2)</f>
        <v>2.3915225360787</v>
      </c>
      <c r="M92" s="53" t="n">
        <f aca="false">IF(G92="","",MAX(0,G92-1.96*L92/100))</f>
        <v>0.60304512101571</v>
      </c>
      <c r="N92" s="53" t="n">
        <f aca="false">IF(G92="","",MIN(1,G92+1.96*L92/100))</f>
        <v>0.696792804429995</v>
      </c>
      <c r="O92" s="52" t="n">
        <f aca="false">ROUND(S92*W92,0)</f>
        <v>55</v>
      </c>
      <c r="P92" s="52" t="n">
        <f aca="false">IF(F92="","",ROUND(SQRT((F92*L92/100)^2+(G92*O92)^2),0))</f>
        <v>39</v>
      </c>
      <c r="R92" s="54" t="n">
        <v>14.2548235452989</v>
      </c>
      <c r="S92" s="55" t="n">
        <f aca="false">U92*V92*$F$5</f>
        <v>617.474012474013</v>
      </c>
      <c r="T92" s="56" t="n">
        <f aca="false">MAX(0,MIN(1,R92/100+$D$5))</f>
        <v>0.650104342561403</v>
      </c>
      <c r="U92" s="56" t="n">
        <v>0.646569646569647</v>
      </c>
      <c r="V92" s="55" t="n">
        <v>955</v>
      </c>
      <c r="W92" s="56" t="n">
        <v>0.0887445098984521</v>
      </c>
      <c r="X92" s="57" t="s">
        <v>135</v>
      </c>
      <c r="Y92" s="57" t="s">
        <v>130</v>
      </c>
    </row>
    <row r="93" customFormat="false" ht="15" hidden="false" customHeight="false" outlineLevel="0" collapsed="false">
      <c r="A93" s="25" t="s">
        <v>197</v>
      </c>
      <c r="B93" s="25" t="s">
        <v>199</v>
      </c>
      <c r="C93" s="25" t="s">
        <v>229</v>
      </c>
      <c r="D93" s="52" t="n">
        <f aca="false">ROUND(S93*T93,0)</f>
        <v>433</v>
      </c>
      <c r="E93" s="52" t="n">
        <f aca="false">ROUND(S93,0)-D93</f>
        <v>243</v>
      </c>
      <c r="F93" s="52" t="n">
        <f aca="false">IF(COUNTA(D93:E93)=0,"",SUM(D93:E93))</f>
        <v>676</v>
      </c>
      <c r="G93" s="53" t="n">
        <f aca="false">IF(OR(F93="",F93=0),"",D93/F93)</f>
        <v>0.640532544378698</v>
      </c>
      <c r="H93" s="53" t="n">
        <f aca="false">IF(OR(F93="",F93=0),"",E93/F93)</f>
        <v>0.359467455621302</v>
      </c>
      <c r="I93" s="25" t="s">
        <v>128</v>
      </c>
      <c r="J93" s="28" t="n">
        <v>2.37310914384046</v>
      </c>
      <c r="K93" s="28" t="n">
        <f aca="false">$K$8</f>
        <v>0.296197623206382</v>
      </c>
      <c r="L93" s="28" t="n">
        <f aca="false">SQRT(J93^2+K93^2)</f>
        <v>2.3915225360787</v>
      </c>
      <c r="M93" s="53" t="n">
        <f aca="false">IF(G93="","",MAX(0,G93-1.96*L93/100))</f>
        <v>0.593658702671556</v>
      </c>
      <c r="N93" s="53" t="n">
        <f aca="false">IF(G93="","",MIN(1,G93+1.96*L93/100))</f>
        <v>0.687406386085841</v>
      </c>
      <c r="O93" s="52" t="n">
        <f aca="false">ROUND(S93*W93,0)</f>
        <v>60</v>
      </c>
      <c r="P93" s="52" t="n">
        <f aca="false">IF(F93="","",ROUND(SQRT((F93*L93/100)^2+(G93*O93)^2),0))</f>
        <v>42</v>
      </c>
      <c r="R93" s="54" t="n">
        <v>13.3429292607293</v>
      </c>
      <c r="S93" s="55" t="n">
        <f aca="false">U93*V93*$F$5</f>
        <v>675.646008403362</v>
      </c>
      <c r="T93" s="56" t="n">
        <f aca="false">MAX(0,MIN(1,R93/100+$D$5))</f>
        <v>0.640985399715708</v>
      </c>
      <c r="U93" s="56" t="n">
        <v>0.719537815126051</v>
      </c>
      <c r="V93" s="55" t="n">
        <v>939</v>
      </c>
      <c r="W93" s="56" t="n">
        <v>0.0887445098984521</v>
      </c>
      <c r="X93" s="57" t="s">
        <v>135</v>
      </c>
      <c r="Y93" s="57" t="s">
        <v>130</v>
      </c>
    </row>
    <row r="94" customFormat="false" ht="15" hidden="false" customHeight="false" outlineLevel="0" collapsed="false">
      <c r="A94" s="25" t="s">
        <v>197</v>
      </c>
      <c r="B94" s="25" t="s">
        <v>199</v>
      </c>
      <c r="C94" s="25" t="s">
        <v>230</v>
      </c>
      <c r="D94" s="52" t="n">
        <f aca="false">ROUND(S94*T94,0)</f>
        <v>357</v>
      </c>
      <c r="E94" s="52" t="n">
        <f aca="false">ROUND(S94,0)-D94</f>
        <v>198</v>
      </c>
      <c r="F94" s="52" t="n">
        <f aca="false">IF(COUNTA(D94:E94)=0,"",SUM(D94:E94))</f>
        <v>555</v>
      </c>
      <c r="G94" s="53" t="n">
        <f aca="false">IF(OR(F94="",F94=0),"",D94/F94)</f>
        <v>0.643243243243243</v>
      </c>
      <c r="H94" s="53" t="n">
        <f aca="false">IF(OR(F94="",F94=0),"",E94/F94)</f>
        <v>0.356756756756757</v>
      </c>
      <c r="I94" s="25" t="s">
        <v>231</v>
      </c>
      <c r="J94" s="28" t="n">
        <v>3.71103496666907</v>
      </c>
      <c r="K94" s="28" t="n">
        <f aca="false">$K$8</f>
        <v>0.296197623206382</v>
      </c>
      <c r="L94" s="28" t="n">
        <f aca="false">SQRT(J94^2+K94^2)</f>
        <v>3.72283676191068</v>
      </c>
      <c r="M94" s="53" t="n">
        <f aca="false">IF(G94="","",MAX(0,G94-1.96*L94/100))</f>
        <v>0.570275642709794</v>
      </c>
      <c r="N94" s="53" t="n">
        <f aca="false">IF(G94="","",MIN(1,G94+1.96*L94/100))</f>
        <v>0.716210843776693</v>
      </c>
      <c r="O94" s="52" t="n">
        <f aca="false">ROUND(S94*W94,0)</f>
        <v>82</v>
      </c>
      <c r="P94" s="52" t="n">
        <f aca="false">IF(F94="","",ROUND(SQRT((F94*L94/100)^2+(G94*O94)^2),0))</f>
        <v>57</v>
      </c>
      <c r="R94" s="54" t="n">
        <v>13.6053351989765</v>
      </c>
      <c r="S94" s="55" t="n">
        <f aca="false">U94*V94*$F$5</f>
        <v>554.842964315995</v>
      </c>
      <c r="T94" s="56" t="n">
        <f aca="false">MAX(0,MIN(1,R94/100+$D$5))</f>
        <v>0.64360945909818</v>
      </c>
      <c r="U94" s="56" t="n">
        <v>0.77927382628651</v>
      </c>
      <c r="V94" s="55" t="n">
        <v>712</v>
      </c>
      <c r="W94" s="56" t="n">
        <v>0.148097331980838</v>
      </c>
      <c r="X94" s="57" t="s">
        <v>129</v>
      </c>
      <c r="Y94" s="57" t="s">
        <v>130</v>
      </c>
    </row>
    <row r="95" customFormat="false" ht="15" hidden="false" customHeight="false" outlineLevel="0" collapsed="false">
      <c r="A95" s="25" t="s">
        <v>197</v>
      </c>
      <c r="B95" s="25" t="s">
        <v>199</v>
      </c>
      <c r="C95" s="25" t="s">
        <v>232</v>
      </c>
      <c r="D95" s="52" t="n">
        <f aca="false">ROUND(S95*T95,0)</f>
        <v>773</v>
      </c>
      <c r="E95" s="52" t="n">
        <f aca="false">ROUND(S95,0)-D95</f>
        <v>433</v>
      </c>
      <c r="F95" s="52" t="n">
        <f aca="false">IF(COUNTA(D95:E95)=0,"",SUM(D95:E95))</f>
        <v>1206</v>
      </c>
      <c r="G95" s="53" t="n">
        <f aca="false">IF(OR(F95="",F95=0),"",D95/F95)</f>
        <v>0.640961857379768</v>
      </c>
      <c r="H95" s="53" t="n">
        <f aca="false">IF(OR(F95="",F95=0),"",E95/F95)</f>
        <v>0.359038142620232</v>
      </c>
      <c r="I95" s="25" t="s">
        <v>231</v>
      </c>
      <c r="J95" s="28" t="n">
        <v>1.88612725432908</v>
      </c>
      <c r="K95" s="28" t="n">
        <f aca="false">$K$8</f>
        <v>0.296197623206382</v>
      </c>
      <c r="L95" s="28" t="n">
        <f aca="false">SQRT(J95^2+K95^2)</f>
        <v>1.909243057213</v>
      </c>
      <c r="M95" s="53" t="n">
        <f aca="false">IF(G95="","",MAX(0,G95-1.96*L95/100))</f>
        <v>0.603540693458393</v>
      </c>
      <c r="N95" s="53" t="n">
        <f aca="false">IF(G95="","",MIN(1,G95+1.96*L95/100))</f>
        <v>0.678383021301143</v>
      </c>
      <c r="O95" s="52" t="n">
        <f aca="false">ROUND(S95*W95,0)</f>
        <v>83</v>
      </c>
      <c r="P95" s="52" t="n">
        <f aca="false">IF(F95="","",ROUND(SQRT((F95*L95/100)^2+(G95*O95)^2),0))</f>
        <v>58</v>
      </c>
      <c r="R95" s="54" t="n">
        <v>13.3422537476482</v>
      </c>
      <c r="S95" s="55" t="n">
        <f aca="false">U95*V95*$F$5</f>
        <v>1206.29316677804</v>
      </c>
      <c r="T95" s="56" t="n">
        <f aca="false">MAX(0,MIN(1,R95/100+$D$5))</f>
        <v>0.640978644584897</v>
      </c>
      <c r="U95" s="56" t="n">
        <v>0.569903617810831</v>
      </c>
      <c r="V95" s="55" t="n">
        <v>2116.66171099557</v>
      </c>
      <c r="W95" s="56" t="n">
        <v>0.0684752145190268</v>
      </c>
      <c r="X95" s="57" t="s">
        <v>168</v>
      </c>
      <c r="Y95" s="57" t="s">
        <v>233</v>
      </c>
    </row>
    <row r="96" customFormat="false" ht="15" hidden="false" customHeight="false" outlineLevel="0" collapsed="false">
      <c r="A96" s="25" t="s">
        <v>197</v>
      </c>
      <c r="B96" s="25" t="s">
        <v>199</v>
      </c>
      <c r="C96" s="25" t="s">
        <v>234</v>
      </c>
      <c r="D96" s="52" t="n">
        <f aca="false">ROUND(S96*T96,0)</f>
        <v>398</v>
      </c>
      <c r="E96" s="52" t="n">
        <f aca="false">ROUND(S96,0)-D96</f>
        <v>187</v>
      </c>
      <c r="F96" s="52" t="n">
        <f aca="false">IF(COUNTA(D96:E96)=0,"",SUM(D96:E96))</f>
        <v>585</v>
      </c>
      <c r="G96" s="53" t="n">
        <f aca="false">IF(OR(F96="",F96=0),"",D96/F96)</f>
        <v>0.68034188034188</v>
      </c>
      <c r="H96" s="53" t="n">
        <f aca="false">IF(OR(F96="",F96=0),"",E96/F96)</f>
        <v>0.31965811965812</v>
      </c>
      <c r="I96" s="25" t="s">
        <v>128</v>
      </c>
      <c r="J96" s="28" t="n">
        <v>2.37310914384046</v>
      </c>
      <c r="K96" s="28" t="n">
        <f aca="false">$K$8</f>
        <v>0.296197623206382</v>
      </c>
      <c r="L96" s="28" t="n">
        <f aca="false">SQRT(J96^2+K96^2)</f>
        <v>2.3915225360787</v>
      </c>
      <c r="M96" s="53" t="n">
        <f aca="false">IF(G96="","",MAX(0,G96-1.96*L96/100))</f>
        <v>0.633468038634738</v>
      </c>
      <c r="N96" s="53" t="n">
        <f aca="false">IF(G96="","",MIN(1,G96+1.96*L96/100))</f>
        <v>0.727215722049023</v>
      </c>
      <c r="O96" s="52" t="n">
        <f aca="false">ROUND(S96*W96,0)</f>
        <v>52</v>
      </c>
      <c r="P96" s="52" t="n">
        <f aca="false">IF(F96="","",ROUND(SQRT((F96*L96/100)^2+(G96*O96)^2),0))</f>
        <v>38</v>
      </c>
      <c r="R96" s="54" t="n">
        <v>17.3154765597158</v>
      </c>
      <c r="S96" s="55" t="n">
        <f aca="false">U96*V96*$F$5</f>
        <v>585.1929092805</v>
      </c>
      <c r="T96" s="56" t="n">
        <f aca="false">MAX(0,MIN(1,R96/100+$D$5))</f>
        <v>0.680710872705573</v>
      </c>
      <c r="U96" s="56" t="n">
        <v>0.599582898852972</v>
      </c>
      <c r="V96" s="55" t="n">
        <v>976</v>
      </c>
      <c r="W96" s="56" t="n">
        <v>0.0887445098984521</v>
      </c>
      <c r="X96" s="57" t="s">
        <v>135</v>
      </c>
      <c r="Y96" s="57" t="s">
        <v>130</v>
      </c>
    </row>
    <row r="97" customFormat="false" ht="15" hidden="false" customHeight="false" outlineLevel="0" collapsed="false">
      <c r="A97" s="25" t="s">
        <v>197</v>
      </c>
      <c r="B97" s="25" t="s">
        <v>199</v>
      </c>
      <c r="C97" s="25" t="s">
        <v>235</v>
      </c>
      <c r="D97" s="52" t="n">
        <f aca="false">ROUND(S97*T97,0)</f>
        <v>493</v>
      </c>
      <c r="E97" s="52" t="n">
        <f aca="false">ROUND(S97,0)-D97</f>
        <v>292</v>
      </c>
      <c r="F97" s="52" t="n">
        <f aca="false">IF(COUNTA(D97:E97)=0,"",SUM(D97:E97))</f>
        <v>785</v>
      </c>
      <c r="G97" s="53" t="n">
        <f aca="false">IF(OR(F97="",F97=0),"",D97/F97)</f>
        <v>0.628025477707006</v>
      </c>
      <c r="H97" s="53" t="n">
        <f aca="false">IF(OR(F97="",F97=0),"",E97/F97)</f>
        <v>0.371974522292994</v>
      </c>
      <c r="I97" s="25" t="s">
        <v>128</v>
      </c>
      <c r="J97" s="28" t="n">
        <v>2.37310914384046</v>
      </c>
      <c r="K97" s="28" t="n">
        <f aca="false">$K$8</f>
        <v>0.296197623206382</v>
      </c>
      <c r="L97" s="28" t="n">
        <f aca="false">SQRT(J97^2+K97^2)</f>
        <v>2.3915225360787</v>
      </c>
      <c r="M97" s="53" t="n">
        <f aca="false">IF(G97="","",MAX(0,G97-1.96*L97/100))</f>
        <v>0.581151635999864</v>
      </c>
      <c r="N97" s="53" t="n">
        <f aca="false">IF(G97="","",MIN(1,G97+1.96*L97/100))</f>
        <v>0.674899319414149</v>
      </c>
      <c r="O97" s="52" t="n">
        <f aca="false">ROUND(S97*W97,0)</f>
        <v>70</v>
      </c>
      <c r="P97" s="52" t="n">
        <f aca="false">IF(F97="","",ROUND(SQRT((F97*L97/100)^2+(G97*O97)^2),0))</f>
        <v>48</v>
      </c>
      <c r="R97" s="54" t="n">
        <v>12.0298552752674</v>
      </c>
      <c r="S97" s="55" t="n">
        <f aca="false">U97*V97*$F$5</f>
        <v>785.366995073891</v>
      </c>
      <c r="T97" s="56" t="n">
        <f aca="false">MAX(0,MIN(1,R97/100+$D$5))</f>
        <v>0.627854659861089</v>
      </c>
      <c r="U97" s="56" t="n">
        <v>0.624794745484401</v>
      </c>
      <c r="V97" s="55" t="n">
        <v>1257</v>
      </c>
      <c r="W97" s="56" t="n">
        <v>0.0887445098984521</v>
      </c>
      <c r="X97" s="57" t="s">
        <v>135</v>
      </c>
      <c r="Y97" s="57" t="s">
        <v>130</v>
      </c>
    </row>
    <row r="98" customFormat="false" ht="15" hidden="false" customHeight="false" outlineLevel="0" collapsed="false">
      <c r="A98" s="25" t="s">
        <v>197</v>
      </c>
      <c r="B98" s="25" t="s">
        <v>199</v>
      </c>
      <c r="C98" s="25" t="s">
        <v>236</v>
      </c>
      <c r="D98" s="52" t="n">
        <f aca="false">ROUND(S98*T98,0)</f>
        <v>12</v>
      </c>
      <c r="E98" s="52" t="n">
        <f aca="false">ROUND(S98,0)-D98</f>
        <v>8</v>
      </c>
      <c r="F98" s="52" t="n">
        <f aca="false">IF(COUNTA(D98:E98)=0,"",SUM(D98:E98))</f>
        <v>20</v>
      </c>
      <c r="G98" s="53" t="n">
        <f aca="false">IF(OR(F98="",F98=0),"",D98/F98)</f>
        <v>0.6</v>
      </c>
      <c r="H98" s="53" t="n">
        <f aca="false">IF(OR(F98="",F98=0),"",E98/F98)</f>
        <v>0.4</v>
      </c>
      <c r="I98" s="25" t="s">
        <v>231</v>
      </c>
      <c r="J98" s="28" t="n">
        <v>3.71103496666907</v>
      </c>
      <c r="K98" s="28" t="n">
        <f aca="false">$K$8</f>
        <v>0.296197623206382</v>
      </c>
      <c r="L98" s="28" t="n">
        <f aca="false">SQRT(J98^2+K98^2)</f>
        <v>3.72283676191068</v>
      </c>
      <c r="M98" s="53" t="n">
        <f aca="false">IF(G98="","",MAX(0,G98-1.96*L98/100))</f>
        <v>0.527032399466551</v>
      </c>
      <c r="N98" s="53" t="n">
        <f aca="false">IF(G98="","",MIN(1,G98+1.96*L98/100))</f>
        <v>0.672967600533449</v>
      </c>
      <c r="O98" s="52" t="n">
        <f aca="false">ROUND(S98*W98,0)</f>
        <v>3</v>
      </c>
      <c r="P98" s="52" t="n">
        <f aca="false">IF(F98="","",ROUND(SQRT((F98*L98/100)^2+(G98*O98)^2),0))</f>
        <v>2</v>
      </c>
      <c r="R98" s="54" t="n">
        <v>10.1459639374838</v>
      </c>
      <c r="S98" s="55" t="n">
        <f aca="false">U98*V98*$F$5</f>
        <v>20.1728274473207</v>
      </c>
      <c r="T98" s="56" t="n">
        <f aca="false">MAX(0,MIN(1,R98/100+$D$5))</f>
        <v>0.609015746483252</v>
      </c>
      <c r="U98" s="56" t="n">
        <v>0.58248124473513</v>
      </c>
      <c r="V98" s="55" t="n">
        <v>34.6325785244704</v>
      </c>
      <c r="W98" s="56" t="n">
        <v>0.148097331980838</v>
      </c>
      <c r="X98" s="57" t="s">
        <v>129</v>
      </c>
      <c r="Y98" s="57" t="s">
        <v>233</v>
      </c>
    </row>
    <row r="99" customFormat="false" ht="15" hidden="false" customHeight="false" outlineLevel="0" collapsed="false">
      <c r="A99" s="25" t="s">
        <v>197</v>
      </c>
      <c r="B99" s="25" t="s">
        <v>199</v>
      </c>
      <c r="C99" s="25" t="s">
        <v>237</v>
      </c>
      <c r="D99" s="52" t="n">
        <f aca="false">ROUND(S99*T99,0)</f>
        <v>220</v>
      </c>
      <c r="E99" s="52" t="n">
        <f aca="false">ROUND(S99,0)-D99</f>
        <v>161</v>
      </c>
      <c r="F99" s="52" t="n">
        <f aca="false">IF(COUNTA(D99:E99)=0,"",SUM(D99:E99))</f>
        <v>381</v>
      </c>
      <c r="G99" s="53" t="n">
        <f aca="false">IF(OR(F99="",F99=0),"",D99/F99)</f>
        <v>0.57742782152231</v>
      </c>
      <c r="H99" s="53" t="n">
        <f aca="false">IF(OR(F99="",F99=0),"",E99/F99)</f>
        <v>0.42257217847769</v>
      </c>
      <c r="I99" s="25" t="s">
        <v>128</v>
      </c>
      <c r="J99" s="28" t="n">
        <v>3.71103496666907</v>
      </c>
      <c r="K99" s="28" t="n">
        <f aca="false">$K$8</f>
        <v>0.296197623206382</v>
      </c>
      <c r="L99" s="28" t="n">
        <f aca="false">SQRT(J99^2+K99^2)</f>
        <v>3.72283676191068</v>
      </c>
      <c r="M99" s="53" t="n">
        <f aca="false">IF(G99="","",MAX(0,G99-1.96*L99/100))</f>
        <v>0.504460220988861</v>
      </c>
      <c r="N99" s="53" t="n">
        <f aca="false">IF(G99="","",MIN(1,G99+1.96*L99/100))</f>
        <v>0.650395422055759</v>
      </c>
      <c r="O99" s="52" t="n">
        <f aca="false">ROUND(S99*W99,0)</f>
        <v>56</v>
      </c>
      <c r="P99" s="52" t="n">
        <f aca="false">IF(F99="","",ROUND(SQRT((F99*L99/100)^2+(G99*O99)^2),0))</f>
        <v>35</v>
      </c>
      <c r="R99" s="54" t="n">
        <v>7.06127698628561</v>
      </c>
      <c r="S99" s="55" t="n">
        <f aca="false">U99*V99*$F$5</f>
        <v>381.16646562123</v>
      </c>
      <c r="T99" s="56" t="n">
        <f aca="false">MAX(0,MIN(1,R99/100+$D$5))</f>
        <v>0.578168876971271</v>
      </c>
      <c r="U99" s="56" t="n">
        <v>0.44270205066345</v>
      </c>
      <c r="V99" s="55" t="n">
        <v>861</v>
      </c>
      <c r="W99" s="56" t="n">
        <v>0.148097331980838</v>
      </c>
      <c r="X99" s="57" t="s">
        <v>129</v>
      </c>
      <c r="Y99" s="57" t="s">
        <v>130</v>
      </c>
    </row>
    <row r="100" customFormat="false" ht="15" hidden="false" customHeight="false" outlineLevel="0" collapsed="false">
      <c r="A100" s="25" t="s">
        <v>197</v>
      </c>
      <c r="B100" s="25" t="s">
        <v>199</v>
      </c>
      <c r="C100" s="25" t="s">
        <v>238</v>
      </c>
      <c r="D100" s="52" t="n">
        <f aca="false">ROUND(S100*T100,0)</f>
        <v>362</v>
      </c>
      <c r="E100" s="52" t="n">
        <f aca="false">ROUND(S100,0)-D100</f>
        <v>198</v>
      </c>
      <c r="F100" s="52" t="n">
        <f aca="false">IF(COUNTA(D100:E100)=0,"",SUM(D100:E100))</f>
        <v>560</v>
      </c>
      <c r="G100" s="53" t="n">
        <f aca="false">IF(OR(F100="",F100=0),"",D100/F100)</f>
        <v>0.646428571428572</v>
      </c>
      <c r="H100" s="53" t="n">
        <f aca="false">IF(OR(F100="",F100=0),"",E100/F100)</f>
        <v>0.353571428571429</v>
      </c>
      <c r="I100" s="25" t="s">
        <v>128</v>
      </c>
      <c r="J100" s="28" t="n">
        <v>3.71103496666907</v>
      </c>
      <c r="K100" s="28" t="n">
        <f aca="false">$K$8</f>
        <v>0.296197623206382</v>
      </c>
      <c r="L100" s="28" t="n">
        <f aca="false">SQRT(J100^2+K100^2)</f>
        <v>3.72283676191068</v>
      </c>
      <c r="M100" s="53" t="n">
        <f aca="false">IF(G100="","",MAX(0,G100-1.96*L100/100))</f>
        <v>0.573460970895122</v>
      </c>
      <c r="N100" s="53" t="n">
        <f aca="false">IF(G100="","",MIN(1,G100+1.96*L100/100))</f>
        <v>0.719396171962021</v>
      </c>
      <c r="O100" s="52" t="n">
        <f aca="false">ROUND(S100*W100,0)</f>
        <v>83</v>
      </c>
      <c r="P100" s="52" t="n">
        <f aca="false">IF(F100="","",ROUND(SQRT((F100*L100/100)^2+(G100*O100)^2),0))</f>
        <v>58</v>
      </c>
      <c r="R100" s="54" t="n">
        <v>13.9575286919314</v>
      </c>
      <c r="S100" s="55" t="n">
        <f aca="false">U100*V100*$F$5</f>
        <v>559.617875647668</v>
      </c>
      <c r="T100" s="56" t="n">
        <f aca="false">MAX(0,MIN(1,R100/100+$D$5))</f>
        <v>0.647131394027729</v>
      </c>
      <c r="U100" s="56" t="n">
        <v>0.356217616580311</v>
      </c>
      <c r="V100" s="55" t="n">
        <v>1571</v>
      </c>
      <c r="W100" s="56" t="n">
        <v>0.148097331980838</v>
      </c>
      <c r="X100" s="57" t="s">
        <v>129</v>
      </c>
      <c r="Y100" s="57" t="s">
        <v>130</v>
      </c>
    </row>
    <row r="101" customFormat="false" ht="15" hidden="false" customHeight="false" outlineLevel="0" collapsed="false">
      <c r="A101" s="25" t="s">
        <v>197</v>
      </c>
      <c r="B101" s="25" t="s">
        <v>199</v>
      </c>
      <c r="C101" s="25" t="s">
        <v>239</v>
      </c>
      <c r="D101" s="52" t="n">
        <f aca="false">ROUND(S101*T101,0)</f>
        <v>268</v>
      </c>
      <c r="E101" s="52" t="n">
        <f aca="false">ROUND(S101,0)-D101</f>
        <v>171</v>
      </c>
      <c r="F101" s="52" t="n">
        <f aca="false">IF(COUNTA(D101:E101)=0,"",SUM(D101:E101))</f>
        <v>439</v>
      </c>
      <c r="G101" s="53" t="n">
        <f aca="false">IF(OR(F101="",F101=0),"",D101/F101)</f>
        <v>0.610478359908884</v>
      </c>
      <c r="H101" s="53" t="n">
        <f aca="false">IF(OR(F101="",F101=0),"",E101/F101)</f>
        <v>0.389521640091116</v>
      </c>
      <c r="I101" s="25" t="s">
        <v>128</v>
      </c>
      <c r="J101" s="28" t="n">
        <v>3.71103496666907</v>
      </c>
      <c r="K101" s="28" t="n">
        <f aca="false">$K$8</f>
        <v>0.296197623206382</v>
      </c>
      <c r="L101" s="28" t="n">
        <f aca="false">SQRT(J101^2+K101^2)</f>
        <v>3.72283676191068</v>
      </c>
      <c r="M101" s="53" t="n">
        <f aca="false">IF(G101="","",MAX(0,G101-1.96*L101/100))</f>
        <v>0.537510759375435</v>
      </c>
      <c r="N101" s="53" t="n">
        <f aca="false">IF(G101="","",MIN(1,G101+1.96*L101/100))</f>
        <v>0.683445960442333</v>
      </c>
      <c r="O101" s="52" t="n">
        <f aca="false">ROUND(S101*W101,0)</f>
        <v>65</v>
      </c>
      <c r="P101" s="52" t="n">
        <f aca="false">IF(F101="","",ROUND(SQRT((F101*L101/100)^2+(G101*O101)^2),0))</f>
        <v>43</v>
      </c>
      <c r="R101" s="54" t="n">
        <v>10.3503761822753</v>
      </c>
      <c r="S101" s="55" t="n">
        <f aca="false">U101*V101*$F$5</f>
        <v>439.019455252919</v>
      </c>
      <c r="T101" s="56" t="n">
        <f aca="false">MAX(0,MIN(1,R101/100+$D$5))</f>
        <v>0.611059868931167</v>
      </c>
      <c r="U101" s="56" t="n">
        <v>0.546044098573282</v>
      </c>
      <c r="V101" s="55" t="n">
        <v>804</v>
      </c>
      <c r="W101" s="56" t="n">
        <v>0.148097331980838</v>
      </c>
      <c r="X101" s="57" t="s">
        <v>129</v>
      </c>
      <c r="Y101" s="57" t="s">
        <v>130</v>
      </c>
    </row>
    <row r="102" customFormat="false" ht="15" hidden="false" customHeight="false" outlineLevel="0" collapsed="false">
      <c r="A102" s="25" t="s">
        <v>197</v>
      </c>
      <c r="B102" s="25" t="s">
        <v>199</v>
      </c>
      <c r="C102" s="25" t="s">
        <v>240</v>
      </c>
      <c r="D102" s="52" t="n">
        <f aca="false">ROUND(S102*T102,0)</f>
        <v>243</v>
      </c>
      <c r="E102" s="52" t="n">
        <f aca="false">ROUND(S102,0)-D102</f>
        <v>132</v>
      </c>
      <c r="F102" s="52" t="n">
        <f aca="false">IF(COUNTA(D102:E102)=0,"",SUM(D102:E102))</f>
        <v>375</v>
      </c>
      <c r="G102" s="53" t="n">
        <f aca="false">IF(OR(F102="",F102=0),"",D102/F102)</f>
        <v>0.648</v>
      </c>
      <c r="H102" s="53" t="n">
        <f aca="false">IF(OR(F102="",F102=0),"",E102/F102)</f>
        <v>0.352</v>
      </c>
      <c r="I102" s="25" t="s">
        <v>128</v>
      </c>
      <c r="J102" s="28" t="n">
        <v>3.71103496666907</v>
      </c>
      <c r="K102" s="28" t="n">
        <f aca="false">$K$8</f>
        <v>0.296197623206382</v>
      </c>
      <c r="L102" s="28" t="n">
        <f aca="false">SQRT(J102^2+K102^2)</f>
        <v>3.72283676191068</v>
      </c>
      <c r="M102" s="53" t="n">
        <f aca="false">IF(G102="","",MAX(0,G102-1.96*L102/100))</f>
        <v>0.575032399466551</v>
      </c>
      <c r="N102" s="53" t="n">
        <f aca="false">IF(G102="","",MIN(1,G102+1.96*L102/100))</f>
        <v>0.720967600533449</v>
      </c>
      <c r="O102" s="52" t="n">
        <f aca="false">ROUND(S102*W102,0)</f>
        <v>56</v>
      </c>
      <c r="P102" s="52" t="n">
        <f aca="false">IF(F102="","",ROUND(SQRT((F102*L102/100)^2+(G102*O102)^2),0))</f>
        <v>39</v>
      </c>
      <c r="R102" s="54" t="n">
        <v>13.9891587097872</v>
      </c>
      <c r="S102" s="55" t="n">
        <f aca="false">U102*V102*$F$5</f>
        <v>374.938159879336</v>
      </c>
      <c r="T102" s="56" t="n">
        <f aca="false">MAX(0,MIN(1,R102/100+$D$5))</f>
        <v>0.647447694206287</v>
      </c>
      <c r="U102" s="56" t="n">
        <v>0.291101055806938</v>
      </c>
      <c r="V102" s="55" t="n">
        <v>1288</v>
      </c>
      <c r="W102" s="56" t="n">
        <v>0.148097331980838</v>
      </c>
      <c r="X102" s="57" t="s">
        <v>129</v>
      </c>
      <c r="Y102" s="57" t="s">
        <v>130</v>
      </c>
    </row>
    <row r="103" customFormat="false" ht="15" hidden="false" customHeight="false" outlineLevel="0" collapsed="false">
      <c r="A103" s="25" t="s">
        <v>197</v>
      </c>
      <c r="B103" s="25" t="s">
        <v>199</v>
      </c>
      <c r="C103" s="25" t="s">
        <v>241</v>
      </c>
      <c r="D103" s="52" t="n">
        <f aca="false">ROUND(S103*T103,0)</f>
        <v>371</v>
      </c>
      <c r="E103" s="52" t="n">
        <f aca="false">ROUND(S103,0)-D103</f>
        <v>230</v>
      </c>
      <c r="F103" s="52" t="n">
        <f aca="false">IF(COUNTA(D103:E103)=0,"",SUM(D103:E103))</f>
        <v>601</v>
      </c>
      <c r="G103" s="53" t="n">
        <f aca="false">IF(OR(F103="",F103=0),"",D103/F103)</f>
        <v>0.617304492512479</v>
      </c>
      <c r="H103" s="53" t="n">
        <f aca="false">IF(OR(F103="",F103=0),"",E103/F103)</f>
        <v>0.382695507487521</v>
      </c>
      <c r="I103" s="25" t="s">
        <v>128</v>
      </c>
      <c r="J103" s="28" t="n">
        <v>2.37310914384046</v>
      </c>
      <c r="K103" s="28" t="n">
        <f aca="false">$K$8</f>
        <v>0.296197623206382</v>
      </c>
      <c r="L103" s="28" t="n">
        <f aca="false">SQRT(J103^2+K103^2)</f>
        <v>2.3915225360787</v>
      </c>
      <c r="M103" s="53" t="n">
        <f aca="false">IF(G103="","",MAX(0,G103-1.96*L103/100))</f>
        <v>0.570430650805337</v>
      </c>
      <c r="N103" s="53" t="n">
        <f aca="false">IF(G103="","",MIN(1,G103+1.96*L103/100))</f>
        <v>0.664178334219622</v>
      </c>
      <c r="O103" s="52" t="n">
        <f aca="false">ROUND(S103*W103,0)</f>
        <v>53</v>
      </c>
      <c r="P103" s="52" t="n">
        <f aca="false">IF(F103="","",ROUND(SQRT((F103*L103/100)^2+(G103*O103)^2),0))</f>
        <v>36</v>
      </c>
      <c r="R103" s="54" t="n">
        <v>11.0612533061504</v>
      </c>
      <c r="S103" s="55" t="n">
        <f aca="false">U103*V103*$F$5</f>
        <v>600.916119620715</v>
      </c>
      <c r="T103" s="56" t="n">
        <f aca="false">MAX(0,MIN(1,R103/100+$D$5))</f>
        <v>0.618168640169919</v>
      </c>
      <c r="U103" s="56" t="n">
        <v>0.440554339897885</v>
      </c>
      <c r="V103" s="55" t="n">
        <v>1364</v>
      </c>
      <c r="W103" s="56" t="n">
        <v>0.0887445098984521</v>
      </c>
      <c r="X103" s="57" t="s">
        <v>135</v>
      </c>
      <c r="Y103" s="57" t="s">
        <v>130</v>
      </c>
    </row>
    <row r="104" customFormat="false" ht="15" hidden="false" customHeight="false" outlineLevel="0" collapsed="false">
      <c r="A104" s="25" t="s">
        <v>197</v>
      </c>
      <c r="B104" s="25" t="s">
        <v>199</v>
      </c>
      <c r="C104" s="25" t="s">
        <v>242</v>
      </c>
      <c r="D104" s="52" t="n">
        <f aca="false">ROUND(S104*T104,0)</f>
        <v>1</v>
      </c>
      <c r="E104" s="52" t="n">
        <f aca="false">ROUND(S104,0)-D104</f>
        <v>1</v>
      </c>
      <c r="F104" s="52" t="n">
        <f aca="false">IF(COUNTA(D104:E104)=0,"",SUM(D104:E104))</f>
        <v>2</v>
      </c>
      <c r="G104" s="53" t="n">
        <f aca="false">IF(OR(F104="",F104=0),"",D104/F104)</f>
        <v>0.5</v>
      </c>
      <c r="H104" s="53" t="n">
        <f aca="false">IF(OR(F104="",F104=0),"",E104/F104)</f>
        <v>0.5</v>
      </c>
      <c r="I104" s="25" t="s">
        <v>231</v>
      </c>
      <c r="J104" s="28" t="n">
        <v>3.71103496666907</v>
      </c>
      <c r="K104" s="28" t="n">
        <f aca="false">$K$8</f>
        <v>0.296197623206382</v>
      </c>
      <c r="L104" s="28" t="n">
        <f aca="false">SQRT(J104^2+K104^2)</f>
        <v>3.72283676191068</v>
      </c>
      <c r="M104" s="53" t="n">
        <f aca="false">IF(G104="","",MAX(0,G104-1.96*L104/100))</f>
        <v>0.427032399466551</v>
      </c>
      <c r="N104" s="53" t="n">
        <f aca="false">IF(G104="","",MIN(1,G104+1.96*L104/100))</f>
        <v>0.572967600533449</v>
      </c>
      <c r="O104" s="52" t="n">
        <f aca="false">ROUND(S104*W104,0)</f>
        <v>0</v>
      </c>
      <c r="P104" s="52" t="n">
        <f aca="false">IF(F104="","",ROUND(SQRT((F104*L104/100)^2+(G104*O104)^2),0))</f>
        <v>0</v>
      </c>
      <c r="R104" s="54" t="n">
        <v>8.94192992559848</v>
      </c>
      <c r="S104" s="55" t="n">
        <f aca="false">U104*V104*$F$5</f>
        <v>1.93609179834966</v>
      </c>
      <c r="T104" s="56" t="n">
        <f aca="false">MAX(0,MIN(1,R104/100+$D$5))</f>
        <v>0.5969754063644</v>
      </c>
      <c r="U104" s="56" t="n">
        <v>0.633576090764528</v>
      </c>
      <c r="V104" s="55" t="n">
        <v>3.05581575215915</v>
      </c>
      <c r="W104" s="56" t="n">
        <v>0.148097331980838</v>
      </c>
      <c r="X104" s="57" t="s">
        <v>129</v>
      </c>
      <c r="Y104" s="57" t="s">
        <v>233</v>
      </c>
    </row>
    <row r="105" customFormat="false" ht="15" hidden="false" customHeight="false" outlineLevel="0" collapsed="false">
      <c r="A105" s="25" t="s">
        <v>197</v>
      </c>
      <c r="B105" s="25" t="s">
        <v>199</v>
      </c>
      <c r="C105" s="25" t="s">
        <v>243</v>
      </c>
      <c r="D105" s="52" t="n">
        <f aca="false">ROUND(S105*T105,0)</f>
        <v>495</v>
      </c>
      <c r="E105" s="52" t="n">
        <f aca="false">ROUND(S105,0)-D105</f>
        <v>289</v>
      </c>
      <c r="F105" s="52" t="n">
        <f aca="false">IF(COUNTA(D105:E105)=0,"",SUM(D105:E105))</f>
        <v>784</v>
      </c>
      <c r="G105" s="53" t="n">
        <f aca="false">IF(OR(F105="",F105=0),"",D105/F105)</f>
        <v>0.631377551020408</v>
      </c>
      <c r="H105" s="53" t="n">
        <f aca="false">IF(OR(F105="",F105=0),"",E105/F105)</f>
        <v>0.368622448979592</v>
      </c>
      <c r="I105" s="25" t="s">
        <v>128</v>
      </c>
      <c r="J105" s="28" t="n">
        <v>2.37310914384046</v>
      </c>
      <c r="K105" s="28" t="n">
        <f aca="false">$K$8</f>
        <v>0.296197623206382</v>
      </c>
      <c r="L105" s="28" t="n">
        <f aca="false">SQRT(J105^2+K105^2)</f>
        <v>2.3915225360787</v>
      </c>
      <c r="M105" s="53" t="n">
        <f aca="false">IF(G105="","",MAX(0,G105-1.96*L105/100))</f>
        <v>0.584503709313266</v>
      </c>
      <c r="N105" s="53" t="n">
        <f aca="false">IF(G105="","",MIN(1,G105+1.96*L105/100))</f>
        <v>0.678251392727551</v>
      </c>
      <c r="O105" s="52" t="n">
        <f aca="false">ROUND(S105*W105,0)</f>
        <v>70</v>
      </c>
      <c r="P105" s="52" t="n">
        <f aca="false">IF(F105="","",ROUND(SQRT((F105*L105/100)^2+(G105*O105)^2),0))</f>
        <v>48</v>
      </c>
      <c r="R105" s="54" t="n">
        <v>12.3991213288368</v>
      </c>
      <c r="S105" s="55" t="n">
        <f aca="false">U105*V105*$F$5</f>
        <v>784.118962432916</v>
      </c>
      <c r="T105" s="56" t="n">
        <f aca="false">MAX(0,MIN(1,R105/100+$D$5))</f>
        <v>0.631547320396783</v>
      </c>
      <c r="U105" s="56" t="n">
        <v>0.344364937388193</v>
      </c>
      <c r="V105" s="55" t="n">
        <v>2277</v>
      </c>
      <c r="W105" s="56" t="n">
        <v>0.0887445098984521</v>
      </c>
      <c r="X105" s="57" t="s">
        <v>135</v>
      </c>
      <c r="Y105" s="57" t="s">
        <v>130</v>
      </c>
    </row>
    <row r="106" customFormat="false" ht="15" hidden="false" customHeight="false" outlineLevel="0" collapsed="false">
      <c r="A106" s="25" t="s">
        <v>197</v>
      </c>
      <c r="B106" s="25" t="s">
        <v>199</v>
      </c>
      <c r="C106" s="25" t="s">
        <v>244</v>
      </c>
      <c r="D106" s="52" t="n">
        <f aca="false">ROUND(S106*T106,0)</f>
        <v>226</v>
      </c>
      <c r="E106" s="52" t="n">
        <f aca="false">ROUND(S106,0)-D106</f>
        <v>82</v>
      </c>
      <c r="F106" s="52" t="n">
        <f aca="false">IF(COUNTA(D106:E106)=0,"",SUM(D106:E106))</f>
        <v>308</v>
      </c>
      <c r="G106" s="53" t="n">
        <f aca="false">IF(OR(F106="",F106=0),"",D106/F106)</f>
        <v>0.733766233766234</v>
      </c>
      <c r="H106" s="53" t="n">
        <f aca="false">IF(OR(F106="",F106=0),"",E106/F106)</f>
        <v>0.266233766233766</v>
      </c>
      <c r="I106" s="25" t="s">
        <v>128</v>
      </c>
      <c r="J106" s="28" t="n">
        <v>3.71103496666907</v>
      </c>
      <c r="K106" s="28" t="n">
        <f aca="false">$K$8</f>
        <v>0.296197623206382</v>
      </c>
      <c r="L106" s="28" t="n">
        <f aca="false">SQRT(J106^2+K106^2)</f>
        <v>3.72283676191068</v>
      </c>
      <c r="M106" s="53" t="n">
        <f aca="false">IF(G106="","",MAX(0,G106-1.96*L106/100))</f>
        <v>0.660798633232784</v>
      </c>
      <c r="N106" s="53" t="n">
        <f aca="false">IF(G106="","",MIN(1,G106+1.96*L106/100))</f>
        <v>0.806733834299683</v>
      </c>
      <c r="O106" s="52" t="n">
        <f aca="false">ROUND(S106*W106,0)</f>
        <v>46</v>
      </c>
      <c r="P106" s="52" t="n">
        <f aca="false">IF(F106="","",ROUND(SQRT((F106*L106/100)^2+(G106*O106)^2),0))</f>
        <v>36</v>
      </c>
      <c r="R106" s="54" t="n">
        <v>22.7655039432949</v>
      </c>
      <c r="S106" s="55" t="n">
        <f aca="false">U106*V106*$F$5</f>
        <v>307.670520231214</v>
      </c>
      <c r="T106" s="56" t="n">
        <f aca="false">MAX(0,MIN(1,R106/100+$D$5))</f>
        <v>0.735211146541364</v>
      </c>
      <c r="U106" s="56" t="n">
        <v>0.194605009633911</v>
      </c>
      <c r="V106" s="55" t="n">
        <v>1581</v>
      </c>
      <c r="W106" s="56" t="n">
        <v>0.148097331980838</v>
      </c>
      <c r="X106" s="57" t="s">
        <v>129</v>
      </c>
      <c r="Y106" s="57" t="s">
        <v>130</v>
      </c>
    </row>
    <row r="107" customFormat="false" ht="15" hidden="false" customHeight="false" outlineLevel="0" collapsed="false">
      <c r="A107" s="25" t="s">
        <v>197</v>
      </c>
      <c r="B107" s="25" t="s">
        <v>199</v>
      </c>
      <c r="C107" s="25" t="s">
        <v>245</v>
      </c>
      <c r="D107" s="52" t="n">
        <f aca="false">ROUND(S107*T107,0)</f>
        <v>193</v>
      </c>
      <c r="E107" s="52" t="n">
        <f aca="false">ROUND(S107,0)-D107</f>
        <v>79</v>
      </c>
      <c r="F107" s="52" t="n">
        <f aca="false">IF(COUNTA(D107:E107)=0,"",SUM(D107:E107))</f>
        <v>272</v>
      </c>
      <c r="G107" s="53" t="n">
        <f aca="false">IF(OR(F107="",F107=0),"",D107/F107)</f>
        <v>0.709558823529412</v>
      </c>
      <c r="H107" s="53" t="n">
        <f aca="false">IF(OR(F107="",F107=0),"",E107/F107)</f>
        <v>0.290441176470588</v>
      </c>
      <c r="I107" s="25" t="s">
        <v>128</v>
      </c>
      <c r="J107" s="28" t="n">
        <v>3.71103496666907</v>
      </c>
      <c r="K107" s="28" t="n">
        <f aca="false">$K$8</f>
        <v>0.296197623206382</v>
      </c>
      <c r="L107" s="28" t="n">
        <f aca="false">SQRT(J107^2+K107^2)</f>
        <v>3.72283676191068</v>
      </c>
      <c r="M107" s="53" t="n">
        <f aca="false">IF(G107="","",MAX(0,G107-1.96*L107/100))</f>
        <v>0.636591222995963</v>
      </c>
      <c r="N107" s="53" t="n">
        <f aca="false">IF(G107="","",MIN(1,G107+1.96*L107/100))</f>
        <v>0.782526424062861</v>
      </c>
      <c r="O107" s="52" t="n">
        <f aca="false">ROUND(S107*W107,0)</f>
        <v>40</v>
      </c>
      <c r="P107" s="52" t="n">
        <f aca="false">IF(F107="","",ROUND(SQRT((F107*L107/100)^2+(G107*O107)^2),0))</f>
        <v>30</v>
      </c>
      <c r="R107" s="54" t="n">
        <v>20.4303389131902</v>
      </c>
      <c r="S107" s="55" t="n">
        <f aca="false">U107*V107*$F$5</f>
        <v>271.509527754764</v>
      </c>
      <c r="T107" s="56" t="n">
        <f aca="false">MAX(0,MIN(1,R107/100+$D$5))</f>
        <v>0.711859496240316</v>
      </c>
      <c r="U107" s="56" t="n">
        <v>0.251864125932063</v>
      </c>
      <c r="V107" s="55" t="n">
        <v>1078</v>
      </c>
      <c r="W107" s="56" t="n">
        <v>0.148097331980838</v>
      </c>
      <c r="X107" s="57" t="s">
        <v>129</v>
      </c>
      <c r="Y107" s="57" t="s">
        <v>130</v>
      </c>
    </row>
    <row r="108" customFormat="false" ht="15" hidden="false" customHeight="false" outlineLevel="0" collapsed="false">
      <c r="A108" s="25" t="s">
        <v>197</v>
      </c>
      <c r="B108" s="25" t="s">
        <v>199</v>
      </c>
      <c r="C108" s="25" t="s">
        <v>246</v>
      </c>
      <c r="D108" s="52" t="n">
        <f aca="false">ROUND(S108*T108,0)</f>
        <v>406</v>
      </c>
      <c r="E108" s="52" t="n">
        <f aca="false">ROUND(S108,0)-D108</f>
        <v>144</v>
      </c>
      <c r="F108" s="52" t="n">
        <f aca="false">IF(COUNTA(D108:E108)=0,"",SUM(D108:E108))</f>
        <v>550</v>
      </c>
      <c r="G108" s="53" t="n">
        <f aca="false">IF(OR(F108="",F108=0),"",D108/F108)</f>
        <v>0.738181818181818</v>
      </c>
      <c r="H108" s="53" t="n">
        <f aca="false">IF(OR(F108="",F108=0),"",E108/F108)</f>
        <v>0.261818181818182</v>
      </c>
      <c r="I108" s="25" t="s">
        <v>128</v>
      </c>
      <c r="J108" s="28" t="n">
        <v>3.71103496666907</v>
      </c>
      <c r="K108" s="28" t="n">
        <f aca="false">$K$8</f>
        <v>0.296197623206382</v>
      </c>
      <c r="L108" s="28" t="n">
        <f aca="false">SQRT(J108^2+K108^2)</f>
        <v>3.72283676191068</v>
      </c>
      <c r="M108" s="53" t="n">
        <f aca="false">IF(G108="","",MAX(0,G108-1.96*L108/100))</f>
        <v>0.665214217648369</v>
      </c>
      <c r="N108" s="53" t="n">
        <f aca="false">IF(G108="","",MIN(1,G108+1.96*L108/100))</f>
        <v>0.811149418715268</v>
      </c>
      <c r="O108" s="52" t="n">
        <f aca="false">ROUND(S108*W108,0)</f>
        <v>82</v>
      </c>
      <c r="P108" s="52" t="n">
        <f aca="false">IF(F108="","",ROUND(SQRT((F108*L108/100)^2+(G108*O108)^2),0))</f>
        <v>64</v>
      </c>
      <c r="R108" s="54" t="n">
        <v>22.9682336086276</v>
      </c>
      <c r="S108" s="55" t="n">
        <f aca="false">U108*V108*$F$5</f>
        <v>550.335990190067</v>
      </c>
      <c r="T108" s="56" t="n">
        <f aca="false">MAX(0,MIN(1,R108/100+$D$5))</f>
        <v>0.737238443194691</v>
      </c>
      <c r="U108" s="56" t="n">
        <v>0.267933782955242</v>
      </c>
      <c r="V108" s="55" t="n">
        <v>2054</v>
      </c>
      <c r="W108" s="56" t="n">
        <v>0.148097331980838</v>
      </c>
      <c r="X108" s="57" t="s">
        <v>129</v>
      </c>
      <c r="Y108" s="57" t="s">
        <v>130</v>
      </c>
    </row>
    <row r="109" customFormat="false" ht="15" hidden="false" customHeight="false" outlineLevel="0" collapsed="false">
      <c r="A109" s="25" t="s">
        <v>197</v>
      </c>
      <c r="B109" s="25" t="s">
        <v>199</v>
      </c>
      <c r="C109" s="25" t="s">
        <v>247</v>
      </c>
      <c r="D109" s="52" t="n">
        <f aca="false">ROUND(S109*T109,0)</f>
        <v>160</v>
      </c>
      <c r="E109" s="52" t="n">
        <f aca="false">ROUND(S109,0)-D109</f>
        <v>73</v>
      </c>
      <c r="F109" s="52" t="n">
        <f aca="false">IF(COUNTA(D109:E109)=0,"",SUM(D109:E109))</f>
        <v>233</v>
      </c>
      <c r="G109" s="53" t="n">
        <f aca="false">IF(OR(F109="",F109=0),"",D109/F109)</f>
        <v>0.686695278969957</v>
      </c>
      <c r="H109" s="53" t="n">
        <f aca="false">IF(OR(F109="",F109=0),"",E109/F109)</f>
        <v>0.313304721030043</v>
      </c>
      <c r="I109" s="25" t="s">
        <v>128</v>
      </c>
      <c r="J109" s="28" t="n">
        <v>3.71103496666907</v>
      </c>
      <c r="K109" s="28" t="n">
        <f aca="false">$K$8</f>
        <v>0.296197623206382</v>
      </c>
      <c r="L109" s="28" t="n">
        <f aca="false">SQRT(J109^2+K109^2)</f>
        <v>3.72283676191068</v>
      </c>
      <c r="M109" s="53" t="n">
        <f aca="false">IF(G109="","",MAX(0,G109-1.96*L109/100))</f>
        <v>0.613727678436508</v>
      </c>
      <c r="N109" s="53" t="n">
        <f aca="false">IF(G109="","",MIN(1,G109+1.96*L109/100))</f>
        <v>0.759662879503406</v>
      </c>
      <c r="O109" s="52" t="n">
        <f aca="false">ROUND(S109*W109,0)</f>
        <v>34</v>
      </c>
      <c r="P109" s="52" t="n">
        <f aca="false">IF(F109="","",ROUND(SQRT((F109*L109/100)^2+(G109*O109)^2),0))</f>
        <v>25</v>
      </c>
      <c r="R109" s="54" t="n">
        <v>17.9481282303266</v>
      </c>
      <c r="S109" s="55" t="n">
        <f aca="false">U109*V109*$F$5</f>
        <v>232.689791873142</v>
      </c>
      <c r="T109" s="56" t="n">
        <f aca="false">MAX(0,MIN(1,R109/100+$D$5))</f>
        <v>0.68703738941168</v>
      </c>
      <c r="U109" s="56" t="n">
        <v>0.229930624380575</v>
      </c>
      <c r="V109" s="55" t="n">
        <v>1012</v>
      </c>
      <c r="W109" s="56" t="n">
        <v>0.148097331980838</v>
      </c>
      <c r="X109" s="57" t="s">
        <v>129</v>
      </c>
      <c r="Y109" s="57" t="s">
        <v>130</v>
      </c>
    </row>
    <row r="110" customFormat="false" ht="15" hidden="false" customHeight="false" outlineLevel="0" collapsed="false">
      <c r="A110" s="25" t="s">
        <v>197</v>
      </c>
      <c r="B110" s="25" t="s">
        <v>199</v>
      </c>
      <c r="C110" s="25" t="s">
        <v>248</v>
      </c>
      <c r="D110" s="52" t="n">
        <f aca="false">ROUND(S110*T110,0)</f>
        <v>233</v>
      </c>
      <c r="E110" s="52" t="n">
        <f aca="false">ROUND(S110,0)-D110</f>
        <v>74</v>
      </c>
      <c r="F110" s="52" t="n">
        <f aca="false">IF(COUNTA(D110:E110)=0,"",SUM(D110:E110))</f>
        <v>307</v>
      </c>
      <c r="G110" s="53" t="n">
        <f aca="false">IF(OR(F110="",F110=0),"",D110/F110)</f>
        <v>0.758957654723127</v>
      </c>
      <c r="H110" s="53" t="n">
        <f aca="false">IF(OR(F110="",F110=0),"",E110/F110)</f>
        <v>0.241042345276873</v>
      </c>
      <c r="I110" s="25" t="s">
        <v>128</v>
      </c>
      <c r="J110" s="28" t="n">
        <v>3.71103496666907</v>
      </c>
      <c r="K110" s="28" t="n">
        <f aca="false">$K$8</f>
        <v>0.296197623206382</v>
      </c>
      <c r="L110" s="28" t="n">
        <f aca="false">SQRT(J110^2+K110^2)</f>
        <v>3.72283676191068</v>
      </c>
      <c r="M110" s="53" t="n">
        <f aca="false">IF(G110="","",MAX(0,G110-1.96*L110/100))</f>
        <v>0.685990054189678</v>
      </c>
      <c r="N110" s="53" t="n">
        <f aca="false">IF(G110="","",MIN(1,G110+1.96*L110/100))</f>
        <v>0.831925255256576</v>
      </c>
      <c r="O110" s="52" t="n">
        <f aca="false">ROUND(S110*W110,0)</f>
        <v>45</v>
      </c>
      <c r="P110" s="52" t="n">
        <f aca="false">IF(F110="","",ROUND(SQRT((F110*L110/100)^2+(G110*O110)^2),0))</f>
        <v>36</v>
      </c>
      <c r="R110" s="54" t="n">
        <v>25.1276297840781</v>
      </c>
      <c r="S110" s="55" t="n">
        <f aca="false">U110*V110*$F$5</f>
        <v>306.767588932806</v>
      </c>
      <c r="T110" s="56" t="n">
        <f aca="false">MAX(0,MIN(1,R110/100+$D$5))</f>
        <v>0.758832404949196</v>
      </c>
      <c r="U110" s="56" t="n">
        <v>0.222134387351779</v>
      </c>
      <c r="V110" s="55" t="n">
        <v>1381</v>
      </c>
      <c r="W110" s="56" t="n">
        <v>0.148097331980838</v>
      </c>
      <c r="X110" s="57" t="s">
        <v>129</v>
      </c>
      <c r="Y110" s="57" t="s">
        <v>130</v>
      </c>
    </row>
    <row r="111" customFormat="false" ht="15" hidden="false" customHeight="false" outlineLevel="0" collapsed="false">
      <c r="A111" s="25" t="s">
        <v>197</v>
      </c>
      <c r="B111" s="25" t="s">
        <v>199</v>
      </c>
      <c r="C111" s="25" t="s">
        <v>249</v>
      </c>
      <c r="D111" s="52" t="n">
        <f aca="false">ROUND(S111*T111,0)</f>
        <v>78</v>
      </c>
      <c r="E111" s="52" t="n">
        <f aca="false">ROUND(S111,0)-D111</f>
        <v>41</v>
      </c>
      <c r="F111" s="52" t="n">
        <f aca="false">IF(COUNTA(D111:E111)=0,"",SUM(D111:E111))</f>
        <v>119</v>
      </c>
      <c r="G111" s="53" t="n">
        <f aca="false">IF(OR(F111="",F111=0),"",D111/F111)</f>
        <v>0.65546218487395</v>
      </c>
      <c r="H111" s="53" t="n">
        <f aca="false">IF(OR(F111="",F111=0),"",E111/F111)</f>
        <v>0.34453781512605</v>
      </c>
      <c r="I111" s="25" t="s">
        <v>128</v>
      </c>
      <c r="J111" s="28" t="n">
        <v>3.71103496666907</v>
      </c>
      <c r="K111" s="28" t="n">
        <f aca="false">$K$8</f>
        <v>0.296197623206382</v>
      </c>
      <c r="L111" s="28" t="n">
        <f aca="false">SQRT(J111^2+K111^2)</f>
        <v>3.72283676191068</v>
      </c>
      <c r="M111" s="53" t="n">
        <f aca="false">IF(G111="","",MAX(0,G111-1.96*L111/100))</f>
        <v>0.5824945843405</v>
      </c>
      <c r="N111" s="53" t="n">
        <f aca="false">IF(G111="","",MIN(1,G111+1.96*L111/100))</f>
        <v>0.728429785407399</v>
      </c>
      <c r="O111" s="52" t="n">
        <f aca="false">ROUND(S111*W111,0)</f>
        <v>18</v>
      </c>
      <c r="P111" s="52" t="n">
        <f aca="false">IF(F111="","",ROUND(SQRT((F111*L111/100)^2+(G111*O111)^2),0))</f>
        <v>13</v>
      </c>
      <c r="R111" s="54" t="n">
        <v>14.9703481340508</v>
      </c>
      <c r="S111" s="55" t="n">
        <f aca="false">U111*V111*$F$5</f>
        <v>119.188732394366</v>
      </c>
      <c r="T111" s="56" t="n">
        <f aca="false">MAX(0,MIN(1,R111/100+$D$5))</f>
        <v>0.657259588448923</v>
      </c>
      <c r="U111" s="56" t="n">
        <v>0.173239436619718</v>
      </c>
      <c r="V111" s="55" t="n">
        <v>688</v>
      </c>
      <c r="W111" s="56" t="n">
        <v>0.148097331980838</v>
      </c>
      <c r="X111" s="57" t="s">
        <v>129</v>
      </c>
      <c r="Y111" s="57" t="s">
        <v>130</v>
      </c>
    </row>
    <row r="112" customFormat="false" ht="15" hidden="false" customHeight="false" outlineLevel="0" collapsed="false">
      <c r="A112" s="25" t="s">
        <v>197</v>
      </c>
      <c r="B112" s="25" t="s">
        <v>199</v>
      </c>
      <c r="C112" s="25" t="s">
        <v>250</v>
      </c>
      <c r="D112" s="52" t="n">
        <f aca="false">ROUND(S112*T112,0)</f>
        <v>187</v>
      </c>
      <c r="E112" s="52" t="n">
        <f aca="false">ROUND(S112,0)-D112</f>
        <v>104</v>
      </c>
      <c r="F112" s="52" t="n">
        <f aca="false">IF(COUNTA(D112:E112)=0,"",SUM(D112:E112))</f>
        <v>291</v>
      </c>
      <c r="G112" s="53" t="n">
        <f aca="false">IF(OR(F112="",F112=0),"",D112/F112)</f>
        <v>0.642611683848797</v>
      </c>
      <c r="H112" s="53" t="n">
        <f aca="false">IF(OR(F112="",F112=0),"",E112/F112)</f>
        <v>0.357388316151203</v>
      </c>
      <c r="I112" s="25" t="s">
        <v>128</v>
      </c>
      <c r="J112" s="28" t="n">
        <v>3.71103496666907</v>
      </c>
      <c r="K112" s="28" t="n">
        <f aca="false">$K$8</f>
        <v>0.296197623206382</v>
      </c>
      <c r="L112" s="28" t="n">
        <f aca="false">SQRT(J112^2+K112^2)</f>
        <v>3.72283676191068</v>
      </c>
      <c r="M112" s="53" t="n">
        <f aca="false">IF(G112="","",MAX(0,G112-1.96*L112/100))</f>
        <v>0.569644083315348</v>
      </c>
      <c r="N112" s="53" t="n">
        <f aca="false">IF(G112="","",MIN(1,G112+1.96*L112/100))</f>
        <v>0.715579284382247</v>
      </c>
      <c r="O112" s="52" t="n">
        <f aca="false">ROUND(S112*W112,0)</f>
        <v>43</v>
      </c>
      <c r="P112" s="52" t="n">
        <f aca="false">IF(F112="","",ROUND(SQRT((F112*L112/100)^2+(G112*O112)^2),0))</f>
        <v>30</v>
      </c>
      <c r="R112" s="54" t="n">
        <v>13.4202164916807</v>
      </c>
      <c r="S112" s="55" t="n">
        <f aca="false">U112*V112*$F$5</f>
        <v>291.248923341947</v>
      </c>
      <c r="T112" s="56" t="n">
        <f aca="false">MAX(0,MIN(1,R112/100+$D$5))</f>
        <v>0.641758272025222</v>
      </c>
      <c r="U112" s="56" t="n">
        <v>0.24978466838932</v>
      </c>
      <c r="V112" s="55" t="n">
        <v>1166</v>
      </c>
      <c r="W112" s="56" t="n">
        <v>0.148097331980838</v>
      </c>
      <c r="X112" s="57" t="s">
        <v>129</v>
      </c>
      <c r="Y112" s="57" t="s">
        <v>130</v>
      </c>
    </row>
    <row r="113" customFormat="false" ht="15" hidden="false" customHeight="false" outlineLevel="0" collapsed="false">
      <c r="A113" s="25" t="s">
        <v>197</v>
      </c>
      <c r="B113" s="25" t="s">
        <v>199</v>
      </c>
      <c r="C113" s="25" t="s">
        <v>251</v>
      </c>
      <c r="D113" s="52" t="n">
        <f aca="false">ROUND(S113*T113,0)</f>
        <v>277</v>
      </c>
      <c r="E113" s="52" t="n">
        <f aca="false">ROUND(S113,0)-D113</f>
        <v>98</v>
      </c>
      <c r="F113" s="52" t="n">
        <f aca="false">IF(COUNTA(D113:E113)=0,"",SUM(D113:E113))</f>
        <v>375</v>
      </c>
      <c r="G113" s="53" t="n">
        <f aca="false">IF(OR(F113="",F113=0),"",D113/F113)</f>
        <v>0.738666666666667</v>
      </c>
      <c r="H113" s="53" t="n">
        <f aca="false">IF(OR(F113="",F113=0),"",E113/F113)</f>
        <v>0.261333333333333</v>
      </c>
      <c r="I113" s="25" t="s">
        <v>128</v>
      </c>
      <c r="J113" s="28" t="n">
        <v>3.71103496666907</v>
      </c>
      <c r="K113" s="28" t="n">
        <f aca="false">$K$8</f>
        <v>0.296197623206382</v>
      </c>
      <c r="L113" s="28" t="n">
        <f aca="false">SQRT(J113^2+K113^2)</f>
        <v>3.72283676191068</v>
      </c>
      <c r="M113" s="53" t="n">
        <f aca="false">IF(G113="","",MAX(0,G113-1.96*L113/100))</f>
        <v>0.665699066133217</v>
      </c>
      <c r="N113" s="53" t="n">
        <f aca="false">IF(G113="","",MIN(1,G113+1.96*L113/100))</f>
        <v>0.811634267200116</v>
      </c>
      <c r="O113" s="52" t="n">
        <f aca="false">ROUND(S113*W113,0)</f>
        <v>56</v>
      </c>
      <c r="P113" s="52" t="n">
        <f aca="false">IF(F113="","",ROUND(SQRT((F113*L113/100)^2+(G113*O113)^2),0))</f>
        <v>44</v>
      </c>
      <c r="R113" s="54" t="n">
        <v>23.1404616706713</v>
      </c>
      <c r="S113" s="55" t="n">
        <f aca="false">U113*V113*$F$5</f>
        <v>375.212598425197</v>
      </c>
      <c r="T113" s="56" t="n">
        <f aca="false">MAX(0,MIN(1,R113/100+$D$5))</f>
        <v>0.738960723815127</v>
      </c>
      <c r="U113" s="56" t="n">
        <v>0.224409448818898</v>
      </c>
      <c r="V113" s="55" t="n">
        <v>1672</v>
      </c>
      <c r="W113" s="56" t="n">
        <v>0.148097331980838</v>
      </c>
      <c r="X113" s="57" t="s">
        <v>129</v>
      </c>
      <c r="Y113" s="57" t="s">
        <v>130</v>
      </c>
    </row>
    <row r="114" customFormat="false" ht="15" hidden="false" customHeight="false" outlineLevel="0" collapsed="false">
      <c r="A114" s="25" t="s">
        <v>197</v>
      </c>
      <c r="B114" s="25" t="s">
        <v>199</v>
      </c>
      <c r="C114" s="25" t="s">
        <v>252</v>
      </c>
      <c r="D114" s="52" t="n">
        <f aca="false">ROUND(S114*T114,0)</f>
        <v>107</v>
      </c>
      <c r="E114" s="52" t="n">
        <f aca="false">ROUND(S114,0)-D114</f>
        <v>37</v>
      </c>
      <c r="F114" s="52" t="n">
        <f aca="false">IF(COUNTA(D114:E114)=0,"",SUM(D114:E114))</f>
        <v>144</v>
      </c>
      <c r="G114" s="53" t="n">
        <f aca="false">IF(OR(F114="",F114=0),"",D114/F114)</f>
        <v>0.743055555555556</v>
      </c>
      <c r="H114" s="53" t="n">
        <f aca="false">IF(OR(F114="",F114=0),"",E114/F114)</f>
        <v>0.256944444444444</v>
      </c>
      <c r="I114" s="25" t="s">
        <v>128</v>
      </c>
      <c r="J114" s="28" t="n">
        <v>3.71103496666907</v>
      </c>
      <c r="K114" s="28" t="n">
        <f aca="false">$K$8</f>
        <v>0.296197623206382</v>
      </c>
      <c r="L114" s="28" t="n">
        <f aca="false">SQRT(J114^2+K114^2)</f>
        <v>3.72283676191068</v>
      </c>
      <c r="M114" s="53" t="n">
        <f aca="false">IF(G114="","",MAX(0,G114-1.96*L114/100))</f>
        <v>0.670087955022106</v>
      </c>
      <c r="N114" s="53" t="n">
        <f aca="false">IF(G114="","",MIN(1,G114+1.96*L114/100))</f>
        <v>0.816023156089005</v>
      </c>
      <c r="O114" s="52" t="n">
        <f aca="false">ROUND(S114*W114,0)</f>
        <v>21</v>
      </c>
      <c r="P114" s="52" t="n">
        <f aca="false">IF(F114="","",ROUND(SQRT((F114*L114/100)^2+(G114*O114)^2),0))</f>
        <v>16</v>
      </c>
      <c r="R114" s="54" t="n">
        <v>23.5574178646923</v>
      </c>
      <c r="S114" s="55" t="n">
        <f aca="false">U114*V114*$F$5</f>
        <v>143.58320610687</v>
      </c>
      <c r="T114" s="56" t="n">
        <f aca="false">MAX(0,MIN(1,R114/100+$D$5))</f>
        <v>0.743130285755338</v>
      </c>
      <c r="U114" s="56" t="n">
        <v>0.215267175572519</v>
      </c>
      <c r="V114" s="55" t="n">
        <v>667</v>
      </c>
      <c r="W114" s="56" t="n">
        <v>0.148097331980838</v>
      </c>
      <c r="X114" s="57" t="s">
        <v>129</v>
      </c>
      <c r="Y114" s="57" t="s">
        <v>130</v>
      </c>
    </row>
    <row r="115" customFormat="false" ht="15" hidden="false" customHeight="false" outlineLevel="0" collapsed="false">
      <c r="A115" s="25" t="s">
        <v>197</v>
      </c>
      <c r="B115" s="25" t="s">
        <v>199</v>
      </c>
      <c r="C115" s="25" t="s">
        <v>253</v>
      </c>
      <c r="D115" s="52" t="n">
        <f aca="false">ROUND(S115*T115,0)</f>
        <v>129</v>
      </c>
      <c r="E115" s="52" t="n">
        <f aca="false">ROUND(S115,0)-D115</f>
        <v>46</v>
      </c>
      <c r="F115" s="52" t="n">
        <f aca="false">IF(COUNTA(D115:E115)=0,"",SUM(D115:E115))</f>
        <v>175</v>
      </c>
      <c r="G115" s="53" t="n">
        <f aca="false">IF(OR(F115="",F115=0),"",D115/F115)</f>
        <v>0.737142857142857</v>
      </c>
      <c r="H115" s="53" t="n">
        <f aca="false">IF(OR(F115="",F115=0),"",E115/F115)</f>
        <v>0.262857142857143</v>
      </c>
      <c r="I115" s="25" t="s">
        <v>128</v>
      </c>
      <c r="J115" s="28" t="n">
        <v>3.71103496666907</v>
      </c>
      <c r="K115" s="28" t="n">
        <f aca="false">$K$8</f>
        <v>0.296197623206382</v>
      </c>
      <c r="L115" s="28" t="n">
        <f aca="false">SQRT(J115^2+K115^2)</f>
        <v>3.72283676191068</v>
      </c>
      <c r="M115" s="53" t="n">
        <f aca="false">IF(G115="","",MAX(0,G115-1.96*L115/100))</f>
        <v>0.664175256609408</v>
      </c>
      <c r="N115" s="53" t="n">
        <f aca="false">IF(G115="","",MIN(1,G115+1.96*L115/100))</f>
        <v>0.810110457676307</v>
      </c>
      <c r="O115" s="52" t="n">
        <f aca="false">ROUND(S115*W115,0)</f>
        <v>26</v>
      </c>
      <c r="P115" s="52" t="n">
        <f aca="false">IF(F115="","",ROUND(SQRT((F115*L115/100)^2+(G115*O115)^2),0))</f>
        <v>20</v>
      </c>
      <c r="R115" s="54" t="n">
        <v>23.3374450099136</v>
      </c>
      <c r="S115" s="55" t="n">
        <f aca="false">U115*V115*$F$5</f>
        <v>174.69400244798</v>
      </c>
      <c r="T115" s="56" t="n">
        <f aca="false">MAX(0,MIN(1,R115/100+$D$5))</f>
        <v>0.740930557207551</v>
      </c>
      <c r="U115" s="56" t="n">
        <v>0.211750305997552</v>
      </c>
      <c r="V115" s="55" t="n">
        <v>825</v>
      </c>
      <c r="W115" s="56" t="n">
        <v>0.148097331980838</v>
      </c>
      <c r="X115" s="57" t="s">
        <v>129</v>
      </c>
      <c r="Y115" s="57" t="s">
        <v>130</v>
      </c>
    </row>
    <row r="116" customFormat="false" ht="15" hidden="false" customHeight="false" outlineLevel="0" collapsed="false">
      <c r="A116" s="25" t="s">
        <v>197</v>
      </c>
      <c r="B116" s="25" t="s">
        <v>199</v>
      </c>
      <c r="C116" s="25" t="s">
        <v>254</v>
      </c>
      <c r="D116" s="52" t="n">
        <f aca="false">ROUND(S116*T116,0)</f>
        <v>195</v>
      </c>
      <c r="E116" s="52" t="n">
        <f aca="false">ROUND(S116,0)-D116</f>
        <v>68</v>
      </c>
      <c r="F116" s="52" t="n">
        <f aca="false">IF(COUNTA(D116:E116)=0,"",SUM(D116:E116))</f>
        <v>263</v>
      </c>
      <c r="G116" s="53" t="n">
        <f aca="false">IF(OR(F116="",F116=0),"",D116/F116)</f>
        <v>0.741444866920152</v>
      </c>
      <c r="H116" s="53" t="n">
        <f aca="false">IF(OR(F116="",F116=0),"",E116/F116)</f>
        <v>0.258555133079848</v>
      </c>
      <c r="I116" s="25" t="s">
        <v>128</v>
      </c>
      <c r="J116" s="28" t="n">
        <v>3.71103496666907</v>
      </c>
      <c r="K116" s="28" t="n">
        <f aca="false">$K$8</f>
        <v>0.296197623206382</v>
      </c>
      <c r="L116" s="28" t="n">
        <f aca="false">SQRT(J116^2+K116^2)</f>
        <v>3.72283676191068</v>
      </c>
      <c r="M116" s="53" t="n">
        <f aca="false">IF(G116="","",MAX(0,G116-1.96*L116/100))</f>
        <v>0.668477266386703</v>
      </c>
      <c r="N116" s="53" t="n">
        <f aca="false">IF(G116="","",MIN(1,G116+1.96*L116/100))</f>
        <v>0.814412467453602</v>
      </c>
      <c r="O116" s="52" t="n">
        <f aca="false">ROUND(S116*W116,0)</f>
        <v>39</v>
      </c>
      <c r="P116" s="52" t="n">
        <f aca="false">IF(F116="","",ROUND(SQRT((F116*L116/100)^2+(G116*O116)^2),0))</f>
        <v>31</v>
      </c>
      <c r="R116" s="54" t="n">
        <v>23.3721391161279</v>
      </c>
      <c r="S116" s="55" t="n">
        <f aca="false">U116*V116*$F$5</f>
        <v>263.436544342508</v>
      </c>
      <c r="T116" s="56" t="n">
        <f aca="false">MAX(0,MIN(1,R116/100+$D$5))</f>
        <v>0.741277498269693</v>
      </c>
      <c r="U116" s="56" t="n">
        <v>0.210244648318043</v>
      </c>
      <c r="V116" s="55" t="n">
        <v>1253</v>
      </c>
      <c r="W116" s="56" t="n">
        <v>0.148097331980838</v>
      </c>
      <c r="X116" s="57" t="s">
        <v>129</v>
      </c>
      <c r="Y116" s="57" t="s">
        <v>130</v>
      </c>
    </row>
    <row r="117" customFormat="false" ht="15" hidden="false" customHeight="false" outlineLevel="0" collapsed="false">
      <c r="A117" s="25" t="s">
        <v>197</v>
      </c>
      <c r="B117" s="25" t="s">
        <v>199</v>
      </c>
      <c r="C117" s="25" t="s">
        <v>255</v>
      </c>
      <c r="D117" s="52" t="n">
        <f aca="false">ROUND(S117*T117,0)</f>
        <v>330</v>
      </c>
      <c r="E117" s="52" t="n">
        <f aca="false">ROUND(S117,0)-D117</f>
        <v>163</v>
      </c>
      <c r="F117" s="52" t="n">
        <f aca="false">IF(COUNTA(D117:E117)=0,"",SUM(D117:E117))</f>
        <v>493</v>
      </c>
      <c r="G117" s="53" t="n">
        <f aca="false">IF(OR(F117="",F117=0),"",D117/F117)</f>
        <v>0.669371196754564</v>
      </c>
      <c r="H117" s="53" t="n">
        <f aca="false">IF(OR(F117="",F117=0),"",E117/F117)</f>
        <v>0.330628803245436</v>
      </c>
      <c r="I117" s="25" t="s">
        <v>128</v>
      </c>
      <c r="J117" s="28" t="n">
        <v>3.71103496666907</v>
      </c>
      <c r="K117" s="28" t="n">
        <f aca="false">$K$8</f>
        <v>0.296197623206382</v>
      </c>
      <c r="L117" s="28" t="n">
        <f aca="false">SQRT(J117^2+K117^2)</f>
        <v>3.72283676191068</v>
      </c>
      <c r="M117" s="53" t="n">
        <f aca="false">IF(G117="","",MAX(0,G117-1.96*L117/100))</f>
        <v>0.596403596221115</v>
      </c>
      <c r="N117" s="53" t="n">
        <f aca="false">IF(G117="","",MIN(1,G117+1.96*L117/100))</f>
        <v>0.742338797288013</v>
      </c>
      <c r="O117" s="52" t="n">
        <f aca="false">ROUND(S117*W117,0)</f>
        <v>73</v>
      </c>
      <c r="P117" s="52" t="n">
        <f aca="false">IF(F117="","",ROUND(SQRT((F117*L117/100)^2+(G117*O117)^2),0))</f>
        <v>52</v>
      </c>
      <c r="R117" s="54" t="n">
        <v>16.2309722583365</v>
      </c>
      <c r="S117" s="55" t="n">
        <f aca="false">U117*V117*$F$5</f>
        <v>493.360186418109</v>
      </c>
      <c r="T117" s="56" t="n">
        <f aca="false">MAX(0,MIN(1,R117/100+$D$5))</f>
        <v>0.66986582969178</v>
      </c>
      <c r="U117" s="56" t="n">
        <v>0.330892143808256</v>
      </c>
      <c r="V117" s="55" t="n">
        <v>1491</v>
      </c>
      <c r="W117" s="56" t="n">
        <v>0.148097331980838</v>
      </c>
      <c r="X117" s="57" t="s">
        <v>129</v>
      </c>
      <c r="Y117" s="57" t="s">
        <v>130</v>
      </c>
    </row>
    <row r="118" customFormat="false" ht="15" hidden="false" customHeight="false" outlineLevel="0" collapsed="false">
      <c r="A118" s="25" t="s">
        <v>197</v>
      </c>
      <c r="B118" s="25" t="s">
        <v>199</v>
      </c>
      <c r="C118" s="25" t="s">
        <v>256</v>
      </c>
      <c r="D118" s="52" t="n">
        <f aca="false">ROUND(S118*T118,0)</f>
        <v>152</v>
      </c>
      <c r="E118" s="52" t="n">
        <f aca="false">ROUND(S118,0)-D118</f>
        <v>72</v>
      </c>
      <c r="F118" s="52" t="n">
        <f aca="false">IF(COUNTA(D118:E118)=0,"",SUM(D118:E118))</f>
        <v>224</v>
      </c>
      <c r="G118" s="53" t="n">
        <f aca="false">IF(OR(F118="",F118=0),"",D118/F118)</f>
        <v>0.678571428571429</v>
      </c>
      <c r="H118" s="53" t="n">
        <f aca="false">IF(OR(F118="",F118=0),"",E118/F118)</f>
        <v>0.321428571428571</v>
      </c>
      <c r="I118" s="25" t="s">
        <v>128</v>
      </c>
      <c r="J118" s="28" t="n">
        <v>3.71103496666907</v>
      </c>
      <c r="K118" s="28" t="n">
        <f aca="false">$K$8</f>
        <v>0.296197623206382</v>
      </c>
      <c r="L118" s="28" t="n">
        <f aca="false">SQRT(J118^2+K118^2)</f>
        <v>3.72283676191068</v>
      </c>
      <c r="M118" s="53" t="n">
        <f aca="false">IF(G118="","",MAX(0,G118-1.96*L118/100))</f>
        <v>0.605603828037979</v>
      </c>
      <c r="N118" s="53" t="n">
        <f aca="false">IF(G118="","",MIN(1,G118+1.96*L118/100))</f>
        <v>0.751539029104878</v>
      </c>
      <c r="O118" s="52" t="n">
        <f aca="false">ROUND(S118*W118,0)</f>
        <v>33</v>
      </c>
      <c r="P118" s="52" t="n">
        <f aca="false">IF(F118="","",ROUND(SQRT((F118*L118/100)^2+(G118*O118)^2),0))</f>
        <v>24</v>
      </c>
      <c r="R118" s="54" t="n">
        <v>17.1170014410301</v>
      </c>
      <c r="S118" s="55" t="n">
        <f aca="false">U118*V118*$F$5</f>
        <v>223.817896389325</v>
      </c>
      <c r="T118" s="56" t="n">
        <f aca="false">MAX(0,MIN(1,R118/100+$D$5))</f>
        <v>0.678726121518716</v>
      </c>
      <c r="U118" s="56" t="n">
        <v>0.342229199372057</v>
      </c>
      <c r="V118" s="55" t="n">
        <v>654</v>
      </c>
      <c r="W118" s="56" t="n">
        <v>0.148097331980838</v>
      </c>
      <c r="X118" s="57" t="s">
        <v>129</v>
      </c>
      <c r="Y118" s="57" t="s">
        <v>130</v>
      </c>
    </row>
    <row r="119" customFormat="false" ht="15" hidden="false" customHeight="false" outlineLevel="0" collapsed="false">
      <c r="A119" s="25" t="s">
        <v>197</v>
      </c>
      <c r="B119" s="25" t="s">
        <v>199</v>
      </c>
      <c r="C119" s="25" t="s">
        <v>257</v>
      </c>
      <c r="D119" s="52" t="n">
        <f aca="false">ROUND(S119*T119,0)</f>
        <v>167</v>
      </c>
      <c r="E119" s="52" t="n">
        <f aca="false">ROUND(S119,0)-D119</f>
        <v>75</v>
      </c>
      <c r="F119" s="52" t="n">
        <f aca="false">IF(COUNTA(D119:E119)=0,"",SUM(D119:E119))</f>
        <v>242</v>
      </c>
      <c r="G119" s="53" t="n">
        <f aca="false">IF(OR(F119="",F119=0),"",D119/F119)</f>
        <v>0.690082644628099</v>
      </c>
      <c r="H119" s="53" t="n">
        <f aca="false">IF(OR(F119="",F119=0),"",E119/F119)</f>
        <v>0.309917355371901</v>
      </c>
      <c r="I119" s="25" t="s">
        <v>128</v>
      </c>
      <c r="J119" s="28" t="n">
        <v>3.71103496666907</v>
      </c>
      <c r="K119" s="28" t="n">
        <f aca="false">$K$8</f>
        <v>0.296197623206382</v>
      </c>
      <c r="L119" s="28" t="n">
        <f aca="false">SQRT(J119^2+K119^2)</f>
        <v>3.72283676191068</v>
      </c>
      <c r="M119" s="53" t="n">
        <f aca="false">IF(G119="","",MAX(0,G119-1.96*L119/100))</f>
        <v>0.61711504409465</v>
      </c>
      <c r="N119" s="53" t="n">
        <f aca="false">IF(G119="","",MIN(1,G119+1.96*L119/100))</f>
        <v>0.763050245161549</v>
      </c>
      <c r="O119" s="52" t="n">
        <f aca="false">ROUND(S119*W119,0)</f>
        <v>36</v>
      </c>
      <c r="P119" s="52" t="n">
        <f aca="false">IF(F119="","",ROUND(SQRT((F119*L119/100)^2+(G119*O119)^2),0))</f>
        <v>26</v>
      </c>
      <c r="R119" s="54" t="n">
        <v>18.0378920006182</v>
      </c>
      <c r="S119" s="55" t="n">
        <f aca="false">U119*V119*$F$5</f>
        <v>242.481171548117</v>
      </c>
      <c r="T119" s="56" t="n">
        <f aca="false">MAX(0,MIN(1,R119/100+$D$5))</f>
        <v>0.687935027114597</v>
      </c>
      <c r="U119" s="56" t="n">
        <v>0.248953974895398</v>
      </c>
      <c r="V119" s="55" t="n">
        <v>974</v>
      </c>
      <c r="W119" s="56" t="n">
        <v>0.148097331980838</v>
      </c>
      <c r="X119" s="57" t="s">
        <v>129</v>
      </c>
      <c r="Y119" s="57" t="s">
        <v>130</v>
      </c>
    </row>
    <row r="120" customFormat="false" ht="15" hidden="false" customHeight="false" outlineLevel="0" collapsed="false">
      <c r="A120" s="25" t="s">
        <v>197</v>
      </c>
      <c r="B120" s="25" t="s">
        <v>199</v>
      </c>
      <c r="C120" s="25" t="s">
        <v>258</v>
      </c>
      <c r="D120" s="52" t="n">
        <f aca="false">ROUND(S120*T120,0)</f>
        <v>283</v>
      </c>
      <c r="E120" s="52" t="n">
        <f aca="false">ROUND(S120,0)-D120</f>
        <v>166</v>
      </c>
      <c r="F120" s="52" t="n">
        <f aca="false">IF(COUNTA(D120:E120)=0,"",SUM(D120:E120))</f>
        <v>449</v>
      </c>
      <c r="G120" s="53" t="n">
        <f aca="false">IF(OR(F120="",F120=0),"",D120/F120)</f>
        <v>0.630289532293987</v>
      </c>
      <c r="H120" s="53" t="n">
        <f aca="false">IF(OR(F120="",F120=0),"",E120/F120)</f>
        <v>0.369710467706013</v>
      </c>
      <c r="I120" s="25" t="s">
        <v>128</v>
      </c>
      <c r="J120" s="28" t="n">
        <v>3.71103496666907</v>
      </c>
      <c r="K120" s="28" t="n">
        <f aca="false">$K$8</f>
        <v>0.296197623206382</v>
      </c>
      <c r="L120" s="28" t="n">
        <f aca="false">SQRT(J120^2+K120^2)</f>
        <v>3.72283676191068</v>
      </c>
      <c r="M120" s="53" t="n">
        <f aca="false">IF(G120="","",MAX(0,G120-1.96*L120/100))</f>
        <v>0.557321931760537</v>
      </c>
      <c r="N120" s="53" t="n">
        <f aca="false">IF(G120="","",MIN(1,G120+1.96*L120/100))</f>
        <v>0.703257132827436</v>
      </c>
      <c r="O120" s="52" t="n">
        <f aca="false">ROUND(S120*W120,0)</f>
        <v>66</v>
      </c>
      <c r="P120" s="52" t="n">
        <f aca="false">IF(F120="","",ROUND(SQRT((F120*L120/100)^2+(G120*O120)^2),0))</f>
        <v>45</v>
      </c>
      <c r="R120" s="54" t="n">
        <v>12.3453838081394</v>
      </c>
      <c r="S120" s="55" t="n">
        <f aca="false">U120*V120*$F$5</f>
        <v>448.675647668394</v>
      </c>
      <c r="T120" s="56" t="n">
        <f aca="false">MAX(0,MIN(1,R120/100+$D$5))</f>
        <v>0.631009945189809</v>
      </c>
      <c r="U120" s="56" t="n">
        <v>0.437305699481865</v>
      </c>
      <c r="V120" s="55" t="n">
        <v>1026</v>
      </c>
      <c r="W120" s="56" t="n">
        <v>0.148097331980838</v>
      </c>
      <c r="X120" s="57" t="s">
        <v>129</v>
      </c>
      <c r="Y120" s="57" t="s">
        <v>130</v>
      </c>
    </row>
    <row r="121" customFormat="false" ht="15" hidden="false" customHeight="false" outlineLevel="0" collapsed="false">
      <c r="A121" s="25" t="s">
        <v>197</v>
      </c>
      <c r="B121" s="25" t="s">
        <v>199</v>
      </c>
      <c r="C121" s="25" t="s">
        <v>259</v>
      </c>
      <c r="D121" s="52" t="n">
        <f aca="false">ROUND(S121*T121,0)</f>
        <v>216</v>
      </c>
      <c r="E121" s="52" t="n">
        <f aca="false">ROUND(S121,0)-D121</f>
        <v>94</v>
      </c>
      <c r="F121" s="52" t="n">
        <f aca="false">IF(COUNTA(D121:E121)=0,"",SUM(D121:E121))</f>
        <v>310</v>
      </c>
      <c r="G121" s="53" t="n">
        <f aca="false">IF(OR(F121="",F121=0),"",D121/F121)</f>
        <v>0.696774193548387</v>
      </c>
      <c r="H121" s="53" t="n">
        <f aca="false">IF(OR(F121="",F121=0),"",E121/F121)</f>
        <v>0.303225806451613</v>
      </c>
      <c r="I121" s="25" t="s">
        <v>128</v>
      </c>
      <c r="J121" s="28" t="n">
        <v>3.71103496666907</v>
      </c>
      <c r="K121" s="28" t="n">
        <f aca="false">$K$8</f>
        <v>0.296197623206382</v>
      </c>
      <c r="L121" s="28" t="n">
        <f aca="false">SQRT(J121^2+K121^2)</f>
        <v>3.72283676191068</v>
      </c>
      <c r="M121" s="53" t="n">
        <f aca="false">IF(G121="","",MAX(0,G121-1.96*L121/100))</f>
        <v>0.623806593014938</v>
      </c>
      <c r="N121" s="53" t="n">
        <f aca="false">IF(G121="","",MIN(1,G121+1.96*L121/100))</f>
        <v>0.769741794081837</v>
      </c>
      <c r="O121" s="52" t="n">
        <f aca="false">ROUND(S121*W121,0)</f>
        <v>46</v>
      </c>
      <c r="P121" s="52" t="n">
        <f aca="false">IF(F121="","",ROUND(SQRT((F121*L121/100)^2+(G121*O121)^2),0))</f>
        <v>34</v>
      </c>
      <c r="R121" s="54" t="n">
        <v>18.9253093689526</v>
      </c>
      <c r="S121" s="55" t="n">
        <f aca="false">U121*V121*$F$5</f>
        <v>310.16656308266</v>
      </c>
      <c r="T121" s="56" t="n">
        <f aca="false">MAX(0,MIN(1,R121/100+$D$5))</f>
        <v>0.696809200797941</v>
      </c>
      <c r="U121" s="56" t="n">
        <v>0.187072715972654</v>
      </c>
      <c r="V121" s="55" t="n">
        <v>1658</v>
      </c>
      <c r="W121" s="56" t="n">
        <v>0.148097331980838</v>
      </c>
      <c r="X121" s="57" t="s">
        <v>129</v>
      </c>
      <c r="Y121" s="57" t="s">
        <v>130</v>
      </c>
    </row>
    <row r="122" customFormat="false" ht="15" hidden="false" customHeight="false" outlineLevel="0" collapsed="false">
      <c r="A122" s="25" t="s">
        <v>197</v>
      </c>
      <c r="B122" s="25" t="s">
        <v>260</v>
      </c>
      <c r="C122" s="25" t="s">
        <v>261</v>
      </c>
      <c r="D122" s="52" t="n">
        <f aca="false">ROUND(S122*T122,0)</f>
        <v>475</v>
      </c>
      <c r="E122" s="52" t="n">
        <f aca="false">ROUND(S122,0)-D122</f>
        <v>182</v>
      </c>
      <c r="F122" s="52" t="n">
        <f aca="false">IF(COUNTA(D122:E122)=0,"",SUM(D122:E122))</f>
        <v>657</v>
      </c>
      <c r="G122" s="53" t="n">
        <f aca="false">IF(OR(F122="",F122=0),"",D122/F122)</f>
        <v>0.722983257229833</v>
      </c>
      <c r="H122" s="53" t="n">
        <f aca="false">IF(OR(F122="",F122=0),"",E122/F122)</f>
        <v>0.277016742770167</v>
      </c>
      <c r="I122" s="25" t="s">
        <v>128</v>
      </c>
      <c r="J122" s="28" t="n">
        <v>2.37310914384046</v>
      </c>
      <c r="K122" s="28" t="n">
        <f aca="false">$K$8</f>
        <v>0.296197623206382</v>
      </c>
      <c r="L122" s="28" t="n">
        <f aca="false">SQRT(J122^2+K122^2)</f>
        <v>2.3915225360787</v>
      </c>
      <c r="M122" s="53" t="n">
        <f aca="false">IF(G122="","",MAX(0,G122-1.96*L122/100))</f>
        <v>0.67610941552269</v>
      </c>
      <c r="N122" s="53" t="n">
        <f aca="false">IF(G122="","",MIN(1,G122+1.96*L122/100))</f>
        <v>0.769857098936975</v>
      </c>
      <c r="O122" s="52" t="n">
        <f aca="false">ROUND(S122*W122,0)</f>
        <v>58</v>
      </c>
      <c r="P122" s="52" t="n">
        <f aca="false">IF(F122="","",ROUND(SQRT((F122*L122/100)^2+(G122*O122)^2),0))</f>
        <v>45</v>
      </c>
      <c r="R122" s="54" t="n">
        <v>21.4537041761184</v>
      </c>
      <c r="S122" s="55" t="n">
        <f aca="false">U122*V122*$F$5</f>
        <v>657.496995708155</v>
      </c>
      <c r="T122" s="56" t="n">
        <f aca="false">MAX(0,MIN(1,R122/100+$D$5))</f>
        <v>0.722093148869599</v>
      </c>
      <c r="U122" s="56" t="n">
        <v>0.542489270386266</v>
      </c>
      <c r="V122" s="55" t="n">
        <v>1212</v>
      </c>
      <c r="W122" s="56" t="n">
        <v>0.0887445098984521</v>
      </c>
      <c r="X122" s="57" t="s">
        <v>135</v>
      </c>
      <c r="Y122" s="57" t="s">
        <v>130</v>
      </c>
    </row>
    <row r="123" customFormat="false" ht="15" hidden="false" customHeight="false" outlineLevel="0" collapsed="false">
      <c r="A123" s="25" t="s">
        <v>197</v>
      </c>
      <c r="B123" s="25" t="s">
        <v>260</v>
      </c>
      <c r="C123" s="25" t="s">
        <v>262</v>
      </c>
      <c r="D123" s="52" t="n">
        <f aca="false">ROUND(S123*T123,0)</f>
        <v>314</v>
      </c>
      <c r="E123" s="52" t="n">
        <f aca="false">ROUND(S123,0)-D123</f>
        <v>152</v>
      </c>
      <c r="F123" s="52" t="n">
        <f aca="false">IF(COUNTA(D123:E123)=0,"",SUM(D123:E123))</f>
        <v>466</v>
      </c>
      <c r="G123" s="53" t="n">
        <f aca="false">IF(OR(F123="",F123=0),"",D123/F123)</f>
        <v>0.67381974248927</v>
      </c>
      <c r="H123" s="53" t="n">
        <f aca="false">IF(OR(F123="",F123=0),"",E123/F123)</f>
        <v>0.32618025751073</v>
      </c>
      <c r="I123" s="25" t="s">
        <v>128</v>
      </c>
      <c r="J123" s="28" t="n">
        <v>3.71103496666907</v>
      </c>
      <c r="K123" s="28" t="n">
        <f aca="false">$K$8</f>
        <v>0.296197623206382</v>
      </c>
      <c r="L123" s="28" t="n">
        <f aca="false">SQRT(J123^2+K123^2)</f>
        <v>3.72283676191068</v>
      </c>
      <c r="M123" s="53" t="n">
        <f aca="false">IF(G123="","",MAX(0,G123-1.96*L123/100))</f>
        <v>0.600852141955821</v>
      </c>
      <c r="N123" s="53" t="n">
        <f aca="false">IF(G123="","",MIN(1,G123+1.96*L123/100))</f>
        <v>0.74678734302272</v>
      </c>
      <c r="O123" s="52" t="n">
        <f aca="false">ROUND(S123*W123,0)</f>
        <v>69</v>
      </c>
      <c r="P123" s="52" t="n">
        <f aca="false">IF(F123="","",ROUND(SQRT((F123*L123/100)^2+(G123*O123)^2),0))</f>
        <v>50</v>
      </c>
      <c r="R123" s="54" t="n">
        <v>16.74694480023</v>
      </c>
      <c r="S123" s="55" t="n">
        <f aca="false">U123*V123*$F$5</f>
        <v>465.633707865169</v>
      </c>
      <c r="T123" s="56" t="n">
        <f aca="false">MAX(0,MIN(1,R123/100+$D$5))</f>
        <v>0.675025555110715</v>
      </c>
      <c r="U123" s="56" t="n">
        <v>0.519101123595506</v>
      </c>
      <c r="V123" s="55" t="n">
        <v>897</v>
      </c>
      <c r="W123" s="56" t="n">
        <v>0.148097331980838</v>
      </c>
      <c r="X123" s="57" t="s">
        <v>129</v>
      </c>
      <c r="Y123" s="57" t="s">
        <v>130</v>
      </c>
    </row>
    <row r="124" customFormat="false" ht="15" hidden="false" customHeight="false" outlineLevel="0" collapsed="false">
      <c r="A124" s="25" t="s">
        <v>197</v>
      </c>
      <c r="B124" s="25" t="s">
        <v>260</v>
      </c>
      <c r="C124" s="25" t="s">
        <v>263</v>
      </c>
      <c r="D124" s="52" t="n">
        <f aca="false">ROUND(S124*T124,0)</f>
        <v>355</v>
      </c>
      <c r="E124" s="52" t="n">
        <f aca="false">ROUND(S124,0)-D124</f>
        <v>132</v>
      </c>
      <c r="F124" s="52" t="n">
        <f aca="false">IF(COUNTA(D124:E124)=0,"",SUM(D124:E124))</f>
        <v>487</v>
      </c>
      <c r="G124" s="53" t="n">
        <f aca="false">IF(OR(F124="",F124=0),"",D124/F124)</f>
        <v>0.728952772073922</v>
      </c>
      <c r="H124" s="53" t="n">
        <f aca="false">IF(OR(F124="",F124=0),"",E124/F124)</f>
        <v>0.271047227926078</v>
      </c>
      <c r="I124" s="25" t="s">
        <v>128</v>
      </c>
      <c r="J124" s="28" t="n">
        <v>3.71103496666907</v>
      </c>
      <c r="K124" s="28" t="n">
        <f aca="false">$K$8</f>
        <v>0.296197623206382</v>
      </c>
      <c r="L124" s="28" t="n">
        <f aca="false">SQRT(J124^2+K124^2)</f>
        <v>3.72283676191068</v>
      </c>
      <c r="M124" s="53" t="n">
        <f aca="false">IF(G124="","",MAX(0,G124-1.96*L124/100))</f>
        <v>0.655985171540473</v>
      </c>
      <c r="N124" s="53" t="n">
        <f aca="false">IF(G124="","",MIN(1,G124+1.96*L124/100))</f>
        <v>0.801920372607371</v>
      </c>
      <c r="O124" s="52" t="n">
        <f aca="false">ROUND(S124*W124,0)</f>
        <v>72</v>
      </c>
      <c r="P124" s="52" t="n">
        <f aca="false">IF(F124="","",ROUND(SQRT((F124*L124/100)^2+(G124*O124)^2),0))</f>
        <v>56</v>
      </c>
      <c r="R124" s="54" t="n">
        <v>22.096386464651</v>
      </c>
      <c r="S124" s="55" t="n">
        <f aca="false">U124*V124*$F$5</f>
        <v>486.64</v>
      </c>
      <c r="T124" s="56" t="n">
        <f aca="false">MAX(0,MIN(1,R124/100+$D$5))</f>
        <v>0.728519971754924</v>
      </c>
      <c r="U124" s="56" t="n">
        <v>0.56</v>
      </c>
      <c r="V124" s="55" t="n">
        <v>869</v>
      </c>
      <c r="W124" s="56" t="n">
        <v>0.148097331980838</v>
      </c>
      <c r="X124" s="57" t="s">
        <v>129</v>
      </c>
      <c r="Y124" s="57" t="s">
        <v>130</v>
      </c>
    </row>
    <row r="125" customFormat="false" ht="15" hidden="false" customHeight="false" outlineLevel="0" collapsed="false">
      <c r="A125" s="25" t="s">
        <v>197</v>
      </c>
      <c r="B125" s="25" t="s">
        <v>260</v>
      </c>
      <c r="C125" s="25" t="s">
        <v>264</v>
      </c>
      <c r="D125" s="52" t="n">
        <f aca="false">ROUND(S125*T125,0)</f>
        <v>380</v>
      </c>
      <c r="E125" s="52" t="n">
        <f aca="false">ROUND(S125,0)-D125</f>
        <v>167</v>
      </c>
      <c r="F125" s="52" t="n">
        <f aca="false">IF(COUNTA(D125:E125)=0,"",SUM(D125:E125))</f>
        <v>547</v>
      </c>
      <c r="G125" s="53" t="n">
        <f aca="false">IF(OR(F125="",F125=0),"",D125/F125)</f>
        <v>0.694698354661792</v>
      </c>
      <c r="H125" s="53" t="n">
        <f aca="false">IF(OR(F125="",F125=0),"",E125/F125)</f>
        <v>0.305301645338208</v>
      </c>
      <c r="I125" s="25" t="s">
        <v>128</v>
      </c>
      <c r="J125" s="28" t="n">
        <v>3.71103496666907</v>
      </c>
      <c r="K125" s="28" t="n">
        <f aca="false">$K$8</f>
        <v>0.296197623206382</v>
      </c>
      <c r="L125" s="28" t="n">
        <f aca="false">SQRT(J125^2+K125^2)</f>
        <v>3.72283676191068</v>
      </c>
      <c r="M125" s="53" t="n">
        <f aca="false">IF(G125="","",MAX(0,G125-1.96*L125/100))</f>
        <v>0.621730754128342</v>
      </c>
      <c r="N125" s="53" t="n">
        <f aca="false">IF(G125="","",MIN(1,G125+1.96*L125/100))</f>
        <v>0.767665955195241</v>
      </c>
      <c r="O125" s="52" t="n">
        <f aca="false">ROUND(S125*W125,0)</f>
        <v>81</v>
      </c>
      <c r="P125" s="52" t="n">
        <f aca="false">IF(F125="","",ROUND(SQRT((F125*L125/100)^2+(G125*O125)^2),0))</f>
        <v>60</v>
      </c>
      <c r="R125" s="54" t="n">
        <v>18.6502634609946</v>
      </c>
      <c r="S125" s="55" t="n">
        <f aca="false">U125*V125*$F$5</f>
        <v>547.019495412844</v>
      </c>
      <c r="T125" s="56" t="n">
        <f aca="false">MAX(0,MIN(1,R125/100+$D$5))</f>
        <v>0.694058741718361</v>
      </c>
      <c r="U125" s="56" t="n">
        <v>0.666284403669725</v>
      </c>
      <c r="V125" s="55" t="n">
        <v>821</v>
      </c>
      <c r="W125" s="56" t="n">
        <v>0.148097331980838</v>
      </c>
      <c r="X125" s="57" t="s">
        <v>129</v>
      </c>
      <c r="Y125" s="57" t="s">
        <v>130</v>
      </c>
    </row>
    <row r="126" customFormat="false" ht="15" hidden="false" customHeight="false" outlineLevel="0" collapsed="false">
      <c r="A126" s="25" t="s">
        <v>197</v>
      </c>
      <c r="B126" s="25" t="s">
        <v>260</v>
      </c>
      <c r="C126" s="25" t="s">
        <v>265</v>
      </c>
      <c r="D126" s="52" t="n">
        <f aca="false">ROUND(S126*T126,0)</f>
        <v>586</v>
      </c>
      <c r="E126" s="52" t="n">
        <f aca="false">ROUND(S126,0)-D126</f>
        <v>312</v>
      </c>
      <c r="F126" s="52" t="n">
        <f aca="false">IF(COUNTA(D126:E126)=0,"",SUM(D126:E126))</f>
        <v>898</v>
      </c>
      <c r="G126" s="53" t="n">
        <f aca="false">IF(OR(F126="",F126=0),"",D126/F126)</f>
        <v>0.652561247216036</v>
      </c>
      <c r="H126" s="53" t="n">
        <f aca="false">IF(OR(F126="",F126=0),"",E126/F126)</f>
        <v>0.347438752783964</v>
      </c>
      <c r="I126" s="25" t="s">
        <v>128</v>
      </c>
      <c r="J126" s="28" t="n">
        <v>2.37310914384046</v>
      </c>
      <c r="K126" s="28" t="n">
        <f aca="false">$K$8</f>
        <v>0.296197623206382</v>
      </c>
      <c r="L126" s="28" t="n">
        <f aca="false">SQRT(J126^2+K126^2)</f>
        <v>2.3915225360787</v>
      </c>
      <c r="M126" s="53" t="n">
        <f aca="false">IF(G126="","",MAX(0,G126-1.96*L126/100))</f>
        <v>0.605687405508893</v>
      </c>
      <c r="N126" s="53" t="n">
        <f aca="false">IF(G126="","",MIN(1,G126+1.96*L126/100))</f>
        <v>0.699435088923178</v>
      </c>
      <c r="O126" s="52" t="n">
        <f aca="false">ROUND(S126*W126,0)</f>
        <v>80</v>
      </c>
      <c r="P126" s="52" t="n">
        <f aca="false">IF(F126="","",ROUND(SQRT((F126*L126/100)^2+(G126*O126)^2),0))</f>
        <v>56</v>
      </c>
      <c r="R126" s="54" t="n">
        <v>14.5290510692004</v>
      </c>
      <c r="S126" s="55" t="n">
        <f aca="false">U126*V126*$F$5</f>
        <v>898.212765957447</v>
      </c>
      <c r="T126" s="56" t="n">
        <f aca="false">MAX(0,MIN(1,R126/100+$D$5))</f>
        <v>0.652846617800419</v>
      </c>
      <c r="U126" s="56" t="n">
        <v>0.510638297872341</v>
      </c>
      <c r="V126" s="55" t="n">
        <v>1759</v>
      </c>
      <c r="W126" s="56" t="n">
        <v>0.0887445098984521</v>
      </c>
      <c r="X126" s="57" t="s">
        <v>135</v>
      </c>
      <c r="Y126" s="57" t="s">
        <v>130</v>
      </c>
    </row>
    <row r="127" customFormat="false" ht="15" hidden="false" customHeight="false" outlineLevel="0" collapsed="false">
      <c r="A127" s="25" t="s">
        <v>197</v>
      </c>
      <c r="B127" s="25" t="s">
        <v>260</v>
      </c>
      <c r="C127" s="25" t="s">
        <v>266</v>
      </c>
      <c r="D127" s="52" t="n">
        <f aca="false">ROUND(S127*T127,0)</f>
        <v>398</v>
      </c>
      <c r="E127" s="52" t="n">
        <f aca="false">ROUND(S127,0)-D127</f>
        <v>236</v>
      </c>
      <c r="F127" s="52" t="n">
        <f aca="false">IF(COUNTA(D127:E127)=0,"",SUM(D127:E127))</f>
        <v>634</v>
      </c>
      <c r="G127" s="53" t="n">
        <f aca="false">IF(OR(F127="",F127=0),"",D127/F127)</f>
        <v>0.627760252365931</v>
      </c>
      <c r="H127" s="53" t="n">
        <f aca="false">IF(OR(F127="",F127=0),"",E127/F127)</f>
        <v>0.372239747634069</v>
      </c>
      <c r="I127" s="25" t="s">
        <v>128</v>
      </c>
      <c r="J127" s="28" t="n">
        <v>2.37310914384046</v>
      </c>
      <c r="K127" s="28" t="n">
        <f aca="false">$K$8</f>
        <v>0.296197623206382</v>
      </c>
      <c r="L127" s="28" t="n">
        <f aca="false">SQRT(J127^2+K127^2)</f>
        <v>2.3915225360787</v>
      </c>
      <c r="M127" s="53" t="n">
        <f aca="false">IF(G127="","",MAX(0,G127-1.96*L127/100))</f>
        <v>0.580886410658788</v>
      </c>
      <c r="N127" s="53" t="n">
        <f aca="false">IF(G127="","",MIN(1,G127+1.96*L127/100))</f>
        <v>0.674634094073073</v>
      </c>
      <c r="O127" s="52" t="n">
        <f aca="false">ROUND(S127*W127,0)</f>
        <v>56</v>
      </c>
      <c r="P127" s="52" t="n">
        <f aca="false">IF(F127="","",ROUND(SQRT((F127*L127/100)^2+(G127*O127)^2),0))</f>
        <v>38</v>
      </c>
      <c r="R127" s="54" t="n">
        <v>12.0116968629593</v>
      </c>
      <c r="S127" s="55" t="n">
        <f aca="false">U127*V127*$F$5</f>
        <v>634.007858546169</v>
      </c>
      <c r="T127" s="56" t="n">
        <f aca="false">MAX(0,MIN(1,R127/100+$D$5))</f>
        <v>0.627673075738007</v>
      </c>
      <c r="U127" s="56" t="n">
        <v>0.609037328094303</v>
      </c>
      <c r="V127" s="55" t="n">
        <v>1041</v>
      </c>
      <c r="W127" s="56" t="n">
        <v>0.0887445098984521</v>
      </c>
      <c r="X127" s="57" t="s">
        <v>135</v>
      </c>
      <c r="Y127" s="57" t="s">
        <v>130</v>
      </c>
    </row>
    <row r="128" customFormat="false" ht="15" hidden="false" customHeight="false" outlineLevel="0" collapsed="false">
      <c r="A128" s="25" t="s">
        <v>197</v>
      </c>
      <c r="B128" s="25" t="s">
        <v>260</v>
      </c>
      <c r="C128" s="25" t="s">
        <v>267</v>
      </c>
      <c r="D128" s="52" t="n">
        <f aca="false">ROUND(S128*T128,0)</f>
        <v>450</v>
      </c>
      <c r="E128" s="52" t="n">
        <f aca="false">ROUND(S128,0)-D128</f>
        <v>277</v>
      </c>
      <c r="F128" s="52" t="n">
        <f aca="false">IF(COUNTA(D128:E128)=0,"",SUM(D128:E128))</f>
        <v>727</v>
      </c>
      <c r="G128" s="53" t="n">
        <f aca="false">IF(OR(F128="",F128=0),"",D128/F128)</f>
        <v>0.61898211829436</v>
      </c>
      <c r="H128" s="53" t="n">
        <f aca="false">IF(OR(F128="",F128=0),"",E128/F128)</f>
        <v>0.38101788170564</v>
      </c>
      <c r="I128" s="25" t="s">
        <v>128</v>
      </c>
      <c r="J128" s="28" t="n">
        <v>2.37310914384046</v>
      </c>
      <c r="K128" s="28" t="n">
        <f aca="false">$K$8</f>
        <v>0.296197623206382</v>
      </c>
      <c r="L128" s="28" t="n">
        <f aca="false">SQRT(J128^2+K128^2)</f>
        <v>2.3915225360787</v>
      </c>
      <c r="M128" s="53" t="n">
        <f aca="false">IF(G128="","",MAX(0,G128-1.96*L128/100))</f>
        <v>0.572108276587218</v>
      </c>
      <c r="N128" s="53" t="n">
        <f aca="false">IF(G128="","",MIN(1,G128+1.96*L128/100))</f>
        <v>0.665855960001503</v>
      </c>
      <c r="O128" s="52" t="n">
        <f aca="false">ROUND(S128*W128,0)</f>
        <v>65</v>
      </c>
      <c r="P128" s="52" t="n">
        <f aca="false">IF(F128="","",ROUND(SQRT((F128*L128/100)^2+(G128*O128)^2),0))</f>
        <v>44</v>
      </c>
      <c r="R128" s="54" t="n">
        <v>11.1130832499408</v>
      </c>
      <c r="S128" s="55" t="n">
        <f aca="false">U128*V128*$F$5</f>
        <v>727.46884272997</v>
      </c>
      <c r="T128" s="56" t="n">
        <f aca="false">MAX(0,MIN(1,R128/100+$D$5))</f>
        <v>0.618686939607822</v>
      </c>
      <c r="U128" s="56" t="n">
        <v>0.554896142433234</v>
      </c>
      <c r="V128" s="55" t="n">
        <v>1311</v>
      </c>
      <c r="W128" s="56" t="n">
        <v>0.0887445098984521</v>
      </c>
      <c r="X128" s="57" t="s">
        <v>135</v>
      </c>
      <c r="Y128" s="57" t="s">
        <v>130</v>
      </c>
    </row>
    <row r="129" customFormat="false" ht="15" hidden="false" customHeight="false" outlineLevel="0" collapsed="false">
      <c r="A129" s="25" t="s">
        <v>197</v>
      </c>
      <c r="B129" s="25" t="s">
        <v>260</v>
      </c>
      <c r="C129" s="25" t="s">
        <v>268</v>
      </c>
      <c r="D129" s="52" t="n">
        <f aca="false">ROUND(S129*T129,0)</f>
        <v>563</v>
      </c>
      <c r="E129" s="52" t="n">
        <f aca="false">ROUND(S129,0)-D129</f>
        <v>335</v>
      </c>
      <c r="F129" s="52" t="n">
        <f aca="false">IF(COUNTA(D129:E129)=0,"",SUM(D129:E129))</f>
        <v>898</v>
      </c>
      <c r="G129" s="53" t="n">
        <f aca="false">IF(OR(F129="",F129=0),"",D129/F129)</f>
        <v>0.626948775055679</v>
      </c>
      <c r="H129" s="53" t="n">
        <f aca="false">IF(OR(F129="",F129=0),"",E129/F129)</f>
        <v>0.373051224944321</v>
      </c>
      <c r="I129" s="25" t="s">
        <v>128</v>
      </c>
      <c r="J129" s="28" t="n">
        <v>2.37310914384046</v>
      </c>
      <c r="K129" s="28" t="n">
        <f aca="false">$K$8</f>
        <v>0.296197623206382</v>
      </c>
      <c r="L129" s="28" t="n">
        <f aca="false">SQRT(J129^2+K129^2)</f>
        <v>2.3915225360787</v>
      </c>
      <c r="M129" s="53" t="n">
        <f aca="false">IF(G129="","",MAX(0,G129-1.96*L129/100))</f>
        <v>0.580074933348537</v>
      </c>
      <c r="N129" s="53" t="n">
        <f aca="false">IF(G129="","",MIN(1,G129+1.96*L129/100))</f>
        <v>0.673822616762822</v>
      </c>
      <c r="O129" s="52" t="n">
        <f aca="false">ROUND(S129*W129,0)</f>
        <v>80</v>
      </c>
      <c r="P129" s="52" t="n">
        <f aca="false">IF(F129="","",ROUND(SQRT((F129*L129/100)^2+(G129*O129)^2),0))</f>
        <v>55</v>
      </c>
      <c r="R129" s="54" t="n">
        <v>11.9394499830283</v>
      </c>
      <c r="S129" s="55" t="n">
        <f aca="false">U129*V129*$F$5</f>
        <v>898.28</v>
      </c>
      <c r="T129" s="56" t="n">
        <f aca="false">MAX(0,MIN(1,R129/100+$D$5))</f>
        <v>0.626950606938697</v>
      </c>
      <c r="U129" s="56" t="n">
        <v>0.68</v>
      </c>
      <c r="V129" s="55" t="n">
        <v>1321</v>
      </c>
      <c r="W129" s="56" t="n">
        <v>0.0887445098984521</v>
      </c>
      <c r="X129" s="57" t="s">
        <v>135</v>
      </c>
      <c r="Y129" s="57" t="s">
        <v>130</v>
      </c>
    </row>
    <row r="130" customFormat="false" ht="15" hidden="false" customHeight="false" outlineLevel="0" collapsed="false">
      <c r="A130" s="25" t="s">
        <v>197</v>
      </c>
      <c r="B130" s="25" t="s">
        <v>260</v>
      </c>
      <c r="C130" s="25" t="s">
        <v>269</v>
      </c>
      <c r="D130" s="52" t="n">
        <f aca="false">ROUND(S130*T130,0)</f>
        <v>418</v>
      </c>
      <c r="E130" s="52" t="n">
        <f aca="false">ROUND(S130,0)-D130</f>
        <v>247</v>
      </c>
      <c r="F130" s="52" t="n">
        <f aca="false">IF(COUNTA(D130:E130)=0,"",SUM(D130:E130))</f>
        <v>665</v>
      </c>
      <c r="G130" s="53" t="n">
        <f aca="false">IF(OR(F130="",F130=0),"",D130/F130)</f>
        <v>0.628571428571429</v>
      </c>
      <c r="H130" s="53" t="n">
        <f aca="false">IF(OR(F130="",F130=0),"",E130/F130)</f>
        <v>0.371428571428571</v>
      </c>
      <c r="I130" s="25" t="s">
        <v>128</v>
      </c>
      <c r="J130" s="28" t="n">
        <v>2.37310914384046</v>
      </c>
      <c r="K130" s="28" t="n">
        <f aca="false">$K$8</f>
        <v>0.296197623206382</v>
      </c>
      <c r="L130" s="28" t="n">
        <f aca="false">SQRT(J130^2+K130^2)</f>
        <v>2.3915225360787</v>
      </c>
      <c r="M130" s="53" t="n">
        <f aca="false">IF(G130="","",MAX(0,G130-1.96*L130/100))</f>
        <v>0.581697586864286</v>
      </c>
      <c r="N130" s="53" t="n">
        <f aca="false">IF(G130="","",MIN(1,G130+1.96*L130/100))</f>
        <v>0.675445270278571</v>
      </c>
      <c r="O130" s="52" t="n">
        <f aca="false">ROUND(S130*W130,0)</f>
        <v>59</v>
      </c>
      <c r="P130" s="52" t="n">
        <f aca="false">IF(F130="","",ROUND(SQRT((F130*L130/100)^2+(G130*O130)^2),0))</f>
        <v>40</v>
      </c>
      <c r="R130" s="54" t="n">
        <v>12.1012861047495</v>
      </c>
      <c r="S130" s="55" t="n">
        <f aca="false">U130*V130*$F$5</f>
        <v>665.309142318568</v>
      </c>
      <c r="T130" s="56" t="n">
        <f aca="false">MAX(0,MIN(1,R130/100+$D$5))</f>
        <v>0.62856896815591</v>
      </c>
      <c r="U130" s="56" t="n">
        <v>0.61545711592837</v>
      </c>
      <c r="V130" s="55" t="n">
        <v>1081</v>
      </c>
      <c r="W130" s="56" t="n">
        <v>0.0887445098984521</v>
      </c>
      <c r="X130" s="57" t="s">
        <v>135</v>
      </c>
      <c r="Y130" s="57" t="s">
        <v>130</v>
      </c>
    </row>
    <row r="131" customFormat="false" ht="15" hidden="false" customHeight="false" outlineLevel="0" collapsed="false">
      <c r="A131" s="25" t="s">
        <v>197</v>
      </c>
      <c r="B131" s="25" t="s">
        <v>260</v>
      </c>
      <c r="C131" s="25" t="s">
        <v>270</v>
      </c>
      <c r="D131" s="52" t="n">
        <f aca="false">ROUND(S131*T131,0)</f>
        <v>339</v>
      </c>
      <c r="E131" s="52" t="n">
        <f aca="false">ROUND(S131,0)-D131</f>
        <v>241</v>
      </c>
      <c r="F131" s="52" t="n">
        <f aca="false">IF(COUNTA(D131:E131)=0,"",SUM(D131:E131))</f>
        <v>580</v>
      </c>
      <c r="G131" s="53" t="n">
        <f aca="false">IF(OR(F131="",F131=0),"",D131/F131)</f>
        <v>0.58448275862069</v>
      </c>
      <c r="H131" s="53" t="n">
        <f aca="false">IF(OR(F131="",F131=0),"",E131/F131)</f>
        <v>0.41551724137931</v>
      </c>
      <c r="I131" s="25" t="s">
        <v>128</v>
      </c>
      <c r="J131" s="28" t="n">
        <v>2.37310914384046</v>
      </c>
      <c r="K131" s="28" t="n">
        <f aca="false">$K$8</f>
        <v>0.296197623206382</v>
      </c>
      <c r="L131" s="28" t="n">
        <f aca="false">SQRT(J131^2+K131^2)</f>
        <v>2.3915225360787</v>
      </c>
      <c r="M131" s="53" t="n">
        <f aca="false">IF(G131="","",MAX(0,G131-1.96*L131/100))</f>
        <v>0.537608916913547</v>
      </c>
      <c r="N131" s="53" t="n">
        <f aca="false">IF(G131="","",MIN(1,G131+1.96*L131/100))</f>
        <v>0.631356600327832</v>
      </c>
      <c r="O131" s="52" t="n">
        <f aca="false">ROUND(S131*W131,0)</f>
        <v>51</v>
      </c>
      <c r="P131" s="52" t="n">
        <f aca="false">IF(F131="","",ROUND(SQRT((F131*L131/100)^2+(G131*O131)^2),0))</f>
        <v>33</v>
      </c>
      <c r="R131" s="54" t="n">
        <v>7.63911833008329</v>
      </c>
      <c r="S131" s="55" t="n">
        <f aca="false">U131*V131*$F$5</f>
        <v>580.019459459459</v>
      </c>
      <c r="T131" s="56" t="n">
        <f aca="false">MAX(0,MIN(1,R131/100+$D$5))</f>
        <v>0.583947290409248</v>
      </c>
      <c r="U131" s="56" t="n">
        <v>0.634594594594595</v>
      </c>
      <c r="V131" s="55" t="n">
        <v>914</v>
      </c>
      <c r="W131" s="56" t="n">
        <v>0.0887445098984521</v>
      </c>
      <c r="X131" s="57" t="s">
        <v>135</v>
      </c>
      <c r="Y131" s="57" t="s">
        <v>130</v>
      </c>
    </row>
    <row r="132" customFormat="false" ht="15" hidden="false" customHeight="false" outlineLevel="0" collapsed="false">
      <c r="A132" s="25" t="s">
        <v>197</v>
      </c>
      <c r="B132" s="25" t="s">
        <v>260</v>
      </c>
      <c r="C132" s="25" t="s">
        <v>271</v>
      </c>
      <c r="D132" s="52" t="n">
        <f aca="false">ROUND(S132*T132,0)</f>
        <v>423</v>
      </c>
      <c r="E132" s="52" t="n">
        <f aca="false">ROUND(S132,0)-D132</f>
        <v>239</v>
      </c>
      <c r="F132" s="52" t="n">
        <f aca="false">IF(COUNTA(D132:E132)=0,"",SUM(D132:E132))</f>
        <v>662</v>
      </c>
      <c r="G132" s="53" t="n">
        <f aca="false">IF(OR(F132="",F132=0),"",D132/F132)</f>
        <v>0.638972809667674</v>
      </c>
      <c r="H132" s="53" t="n">
        <f aca="false">IF(OR(F132="",F132=0),"",E132/F132)</f>
        <v>0.361027190332326</v>
      </c>
      <c r="I132" s="25" t="s">
        <v>128</v>
      </c>
      <c r="J132" s="28" t="n">
        <v>2.37310914384046</v>
      </c>
      <c r="K132" s="28" t="n">
        <f aca="false">$K$8</f>
        <v>0.296197623206382</v>
      </c>
      <c r="L132" s="28" t="n">
        <f aca="false">SQRT(J132^2+K132^2)</f>
        <v>2.3915225360787</v>
      </c>
      <c r="M132" s="53" t="n">
        <f aca="false">IF(G132="","",MAX(0,G132-1.96*L132/100))</f>
        <v>0.592098967960531</v>
      </c>
      <c r="N132" s="53" t="n">
        <f aca="false">IF(G132="","",MIN(1,G132+1.96*L132/100))</f>
        <v>0.685846651374816</v>
      </c>
      <c r="O132" s="52" t="n">
        <f aca="false">ROUND(S132*W132,0)</f>
        <v>59</v>
      </c>
      <c r="P132" s="52" t="n">
        <f aca="false">IF(F132="","",ROUND(SQRT((F132*L132/100)^2+(G132*O132)^2),0))</f>
        <v>41</v>
      </c>
      <c r="R132" s="54" t="n">
        <v>13.2043306685431</v>
      </c>
      <c r="S132" s="55" t="n">
        <f aca="false">U132*V132*$F$5</f>
        <v>662.03519510329</v>
      </c>
      <c r="T132" s="56" t="n">
        <f aca="false">MAX(0,MIN(1,R132/100+$D$5))</f>
        <v>0.639599413793845</v>
      </c>
      <c r="U132" s="56" t="n">
        <v>0.489671002295333</v>
      </c>
      <c r="V132" s="55" t="n">
        <v>1352</v>
      </c>
      <c r="W132" s="56" t="n">
        <v>0.0887445098984521</v>
      </c>
      <c r="X132" s="57" t="s">
        <v>135</v>
      </c>
      <c r="Y132" s="57" t="s">
        <v>130</v>
      </c>
    </row>
    <row r="133" customFormat="false" ht="15" hidden="false" customHeight="false" outlineLevel="0" collapsed="false">
      <c r="A133" s="25" t="s">
        <v>197</v>
      </c>
      <c r="B133" s="25" t="s">
        <v>260</v>
      </c>
      <c r="C133" s="25" t="s">
        <v>272</v>
      </c>
      <c r="D133" s="52" t="n">
        <f aca="false">ROUND(S133*T133,0)</f>
        <v>456</v>
      </c>
      <c r="E133" s="52" t="n">
        <f aca="false">ROUND(S133,0)-D133</f>
        <v>282</v>
      </c>
      <c r="F133" s="52" t="n">
        <f aca="false">IF(COUNTA(D133:E133)=0,"",SUM(D133:E133))</f>
        <v>738</v>
      </c>
      <c r="G133" s="53" t="n">
        <f aca="false">IF(OR(F133="",F133=0),"",D133/F133)</f>
        <v>0.617886178861789</v>
      </c>
      <c r="H133" s="53" t="n">
        <f aca="false">IF(OR(F133="",F133=0),"",E133/F133)</f>
        <v>0.382113821138211</v>
      </c>
      <c r="I133" s="25" t="s">
        <v>128</v>
      </c>
      <c r="J133" s="28" t="n">
        <v>2.37310914384046</v>
      </c>
      <c r="K133" s="28" t="n">
        <f aca="false">$K$8</f>
        <v>0.296197623206382</v>
      </c>
      <c r="L133" s="28" t="n">
        <f aca="false">SQRT(J133^2+K133^2)</f>
        <v>2.3915225360787</v>
      </c>
      <c r="M133" s="53" t="n">
        <f aca="false">IF(G133="","",MAX(0,G133-1.96*L133/100))</f>
        <v>0.571012337154646</v>
      </c>
      <c r="N133" s="53" t="n">
        <f aca="false">IF(G133="","",MIN(1,G133+1.96*L133/100))</f>
        <v>0.664760020568931</v>
      </c>
      <c r="O133" s="52" t="n">
        <f aca="false">ROUND(S133*W133,0)</f>
        <v>65</v>
      </c>
      <c r="P133" s="52" t="n">
        <f aca="false">IF(F133="","",ROUND(SQRT((F133*L133/100)^2+(G133*O133)^2),0))</f>
        <v>44</v>
      </c>
      <c r="R133" s="54" t="n">
        <v>11.1121926063803</v>
      </c>
      <c r="S133" s="55" t="n">
        <f aca="false">U133*V133*$F$5</f>
        <v>737.535483870968</v>
      </c>
      <c r="T133" s="56" t="n">
        <f aca="false">MAX(0,MIN(1,R133/100+$D$5))</f>
        <v>0.618678033172218</v>
      </c>
      <c r="U133" s="56" t="n">
        <v>0.561290322580645</v>
      </c>
      <c r="V133" s="55" t="n">
        <v>1314</v>
      </c>
      <c r="W133" s="56" t="n">
        <v>0.0887445098984521</v>
      </c>
      <c r="X133" s="57" t="s">
        <v>135</v>
      </c>
      <c r="Y133" s="57" t="s">
        <v>130</v>
      </c>
    </row>
    <row r="134" customFormat="false" ht="15" hidden="false" customHeight="false" outlineLevel="0" collapsed="false">
      <c r="A134" s="25" t="s">
        <v>197</v>
      </c>
      <c r="B134" s="25" t="s">
        <v>273</v>
      </c>
      <c r="C134" s="25" t="s">
        <v>274</v>
      </c>
      <c r="D134" s="52" t="n">
        <f aca="false">ROUND(S134*T134,0)</f>
        <v>388</v>
      </c>
      <c r="E134" s="52" t="n">
        <f aca="false">ROUND(S134,0)-D134</f>
        <v>297</v>
      </c>
      <c r="F134" s="52" t="n">
        <f aca="false">IF(COUNTA(D134:E134)=0,"",SUM(D134:E134))</f>
        <v>685</v>
      </c>
      <c r="G134" s="53" t="n">
        <f aca="false">IF(OR(F134="",F134=0),"",D134/F134)</f>
        <v>0.566423357664234</v>
      </c>
      <c r="H134" s="53" t="n">
        <f aca="false">IF(OR(F134="",F134=0),"",E134/F134)</f>
        <v>0.433576642335766</v>
      </c>
      <c r="I134" s="25" t="s">
        <v>128</v>
      </c>
      <c r="J134" s="28" t="n">
        <v>2.37310914384046</v>
      </c>
      <c r="K134" s="28" t="n">
        <f aca="false">$K$8</f>
        <v>0.296197623206382</v>
      </c>
      <c r="L134" s="28" t="n">
        <f aca="false">SQRT(J134^2+K134^2)</f>
        <v>2.3915225360787</v>
      </c>
      <c r="M134" s="53" t="n">
        <f aca="false">IF(G134="","",MAX(0,G134-1.96*L134/100))</f>
        <v>0.519549515957091</v>
      </c>
      <c r="N134" s="53" t="n">
        <f aca="false">IF(G134="","",MIN(1,G134+1.96*L134/100))</f>
        <v>0.613297199371376</v>
      </c>
      <c r="O134" s="52" t="n">
        <f aca="false">ROUND(S134*W134,0)</f>
        <v>61</v>
      </c>
      <c r="P134" s="52" t="n">
        <f aca="false">IF(F134="","",ROUND(SQRT((F134*L134/100)^2+(G134*O134)^2),0))</f>
        <v>38</v>
      </c>
      <c r="R134" s="54" t="n">
        <v>5.8643524043863</v>
      </c>
      <c r="S134" s="55" t="n">
        <f aca="false">U134*V134*$F$5</f>
        <v>685.017857142857</v>
      </c>
      <c r="T134" s="56" t="n">
        <f aca="false">MAX(0,MIN(1,R134/100+$D$5))</f>
        <v>0.566199631152278</v>
      </c>
      <c r="U134" s="56" t="n">
        <v>0.462225274725275</v>
      </c>
      <c r="V134" s="55" t="n">
        <v>1482</v>
      </c>
      <c r="W134" s="56" t="n">
        <v>0.0887445098984521</v>
      </c>
      <c r="X134" s="57" t="s">
        <v>135</v>
      </c>
      <c r="Y134" s="57" t="s">
        <v>130</v>
      </c>
    </row>
    <row r="135" customFormat="false" ht="15" hidden="false" customHeight="false" outlineLevel="0" collapsed="false">
      <c r="A135" s="25" t="s">
        <v>197</v>
      </c>
      <c r="B135" s="25" t="s">
        <v>273</v>
      </c>
      <c r="C135" s="25" t="s">
        <v>275</v>
      </c>
      <c r="D135" s="52" t="n">
        <f aca="false">ROUND(S135*T135,0)</f>
        <v>348</v>
      </c>
      <c r="E135" s="52" t="n">
        <f aca="false">ROUND(S135,0)-D135</f>
        <v>365</v>
      </c>
      <c r="F135" s="52" t="n">
        <f aca="false">IF(COUNTA(D135:E135)=0,"",SUM(D135:E135))</f>
        <v>713</v>
      </c>
      <c r="G135" s="53" t="n">
        <f aca="false">IF(OR(F135="",F135=0),"",D135/F135)</f>
        <v>0.488078541374474</v>
      </c>
      <c r="H135" s="53" t="n">
        <f aca="false">IF(OR(F135="",F135=0),"",E135/F135)</f>
        <v>0.511921458625526</v>
      </c>
      <c r="I135" s="25" t="s">
        <v>128</v>
      </c>
      <c r="J135" s="28" t="n">
        <v>2.37310914384046</v>
      </c>
      <c r="K135" s="28" t="n">
        <f aca="false">$K$8</f>
        <v>0.296197623206382</v>
      </c>
      <c r="L135" s="28" t="n">
        <f aca="false">SQRT(J135^2+K135^2)</f>
        <v>2.3915225360787</v>
      </c>
      <c r="M135" s="53" t="n">
        <f aca="false">IF(G135="","",MAX(0,G135-1.96*L135/100))</f>
        <v>0.441204699667331</v>
      </c>
      <c r="N135" s="53" t="n">
        <f aca="false">IF(G135="","",MIN(1,G135+1.96*L135/100))</f>
        <v>0.534952383081617</v>
      </c>
      <c r="O135" s="52" t="n">
        <f aca="false">ROUND(S135*W135,0)</f>
        <v>63</v>
      </c>
      <c r="P135" s="52" t="n">
        <f aca="false">IF(F135="","",ROUND(SQRT((F135*L135/100)^2+(G135*O135)^2),0))</f>
        <v>35</v>
      </c>
      <c r="R135" s="54" t="n">
        <v>-1.89303441663332</v>
      </c>
      <c r="S135" s="55" t="n">
        <f aca="false">U135*V135*$F$5</f>
        <v>712.774509803922</v>
      </c>
      <c r="T135" s="56" t="n">
        <f aca="false">MAX(0,MIN(1,R135/100+$D$5))</f>
        <v>0.488625762942082</v>
      </c>
      <c r="U135" s="56" t="n">
        <v>0.544934640522876</v>
      </c>
      <c r="V135" s="55" t="n">
        <v>1308</v>
      </c>
      <c r="W135" s="56" t="n">
        <v>0.0887445098984521</v>
      </c>
      <c r="X135" s="57" t="s">
        <v>135</v>
      </c>
      <c r="Y135" s="57" t="s">
        <v>130</v>
      </c>
    </row>
    <row r="136" customFormat="false" ht="15" hidden="false" customHeight="false" outlineLevel="0" collapsed="false">
      <c r="A136" s="25" t="s">
        <v>197</v>
      </c>
      <c r="B136" s="25" t="s">
        <v>273</v>
      </c>
      <c r="C136" s="25" t="s">
        <v>276</v>
      </c>
      <c r="D136" s="52" t="n">
        <f aca="false">ROUND(S136*T136,0)</f>
        <v>403</v>
      </c>
      <c r="E136" s="52" t="n">
        <f aca="false">ROUND(S136,0)-D136</f>
        <v>378</v>
      </c>
      <c r="F136" s="52" t="n">
        <f aca="false">IF(COUNTA(D136:E136)=0,"",SUM(D136:E136))</f>
        <v>781</v>
      </c>
      <c r="G136" s="53" t="n">
        <f aca="false">IF(OR(F136="",F136=0),"",D136/F136)</f>
        <v>0.516005121638924</v>
      </c>
      <c r="H136" s="53" t="n">
        <f aca="false">IF(OR(F136="",F136=0),"",E136/F136)</f>
        <v>0.483994878361076</v>
      </c>
      <c r="I136" s="25" t="s">
        <v>128</v>
      </c>
      <c r="J136" s="28" t="n">
        <v>2.37310914384046</v>
      </c>
      <c r="K136" s="28" t="n">
        <f aca="false">$K$8</f>
        <v>0.296197623206382</v>
      </c>
      <c r="L136" s="28" t="n">
        <f aca="false">SQRT(J136^2+K136^2)</f>
        <v>2.3915225360787</v>
      </c>
      <c r="M136" s="53" t="n">
        <f aca="false">IF(G136="","",MAX(0,G136-1.96*L136/100))</f>
        <v>0.469131279931782</v>
      </c>
      <c r="N136" s="53" t="n">
        <f aca="false">IF(G136="","",MIN(1,G136+1.96*L136/100))</f>
        <v>0.562878963346067</v>
      </c>
      <c r="O136" s="52" t="n">
        <f aca="false">ROUND(S136*W136,0)</f>
        <v>69</v>
      </c>
      <c r="P136" s="52" t="n">
        <f aca="false">IF(F136="","",ROUND(SQRT((F136*L136/100)^2+(G136*O136)^2),0))</f>
        <v>40</v>
      </c>
      <c r="R136" s="54" t="n">
        <v>0.89812347859784</v>
      </c>
      <c r="S136" s="55" t="n">
        <f aca="false">U136*V136*$F$5</f>
        <v>780.975243810953</v>
      </c>
      <c r="T136" s="56" t="n">
        <f aca="false">MAX(0,MIN(1,R136/100+$D$5))</f>
        <v>0.516537341894393</v>
      </c>
      <c r="U136" s="56" t="n">
        <v>0.577644411102776</v>
      </c>
      <c r="V136" s="55" t="n">
        <v>1352</v>
      </c>
      <c r="W136" s="56" t="n">
        <v>0.0887445098984521</v>
      </c>
      <c r="X136" s="57" t="s">
        <v>135</v>
      </c>
      <c r="Y136" s="57" t="s">
        <v>130</v>
      </c>
    </row>
    <row r="137" customFormat="false" ht="15" hidden="false" customHeight="false" outlineLevel="0" collapsed="false">
      <c r="A137" s="25" t="s">
        <v>197</v>
      </c>
      <c r="B137" s="25" t="s">
        <v>277</v>
      </c>
      <c r="C137" s="25" t="s">
        <v>277</v>
      </c>
      <c r="D137" s="52" t="n">
        <f aca="false">ROUND(S137*T137,0)</f>
        <v>631</v>
      </c>
      <c r="E137" s="52" t="n">
        <f aca="false">ROUND(S137,0)-D137</f>
        <v>639</v>
      </c>
      <c r="F137" s="52" t="n">
        <f aca="false">IF(COUNTA(D137:E137)=0,"",SUM(D137:E137))</f>
        <v>1270</v>
      </c>
      <c r="G137" s="53" t="n">
        <f aca="false">IF(OR(F137="",F137=0),"",D137/F137)</f>
        <v>0.496850393700787</v>
      </c>
      <c r="H137" s="53" t="n">
        <f aca="false">IF(OR(F137="",F137=0),"",E137/F137)</f>
        <v>0.503149606299213</v>
      </c>
      <c r="I137" s="25" t="s">
        <v>128</v>
      </c>
      <c r="J137" s="28" t="n">
        <v>1.88612725432908</v>
      </c>
      <c r="K137" s="28" t="n">
        <f aca="false">$K$8</f>
        <v>0.296197623206382</v>
      </c>
      <c r="L137" s="28" t="n">
        <f aca="false">SQRT(J137^2+K137^2)</f>
        <v>1.909243057213</v>
      </c>
      <c r="M137" s="53" t="n">
        <f aca="false">IF(G137="","",MAX(0,G137-1.96*L137/100))</f>
        <v>0.459429229779413</v>
      </c>
      <c r="N137" s="53" t="n">
        <f aca="false">IF(G137="","",MIN(1,G137+1.96*L137/100))</f>
        <v>0.534271557622162</v>
      </c>
      <c r="O137" s="52" t="n">
        <f aca="false">ROUND(S137*W137,0)</f>
        <v>87</v>
      </c>
      <c r="P137" s="52" t="n">
        <f aca="false">IF(F137="","",ROUND(SQRT((F137*L137/100)^2+(G137*O137)^2),0))</f>
        <v>50</v>
      </c>
      <c r="R137" s="54" t="n">
        <v>-1.10547817419206</v>
      </c>
      <c r="S137" s="55" t="n">
        <f aca="false">U137*V137*$F$5</f>
        <v>1270.44031093837</v>
      </c>
      <c r="T137" s="56" t="n">
        <f aca="false">MAX(0,MIN(1,R137/100+$D$5))</f>
        <v>0.496501325366494</v>
      </c>
      <c r="U137" s="56" t="n">
        <v>0.676846196557468</v>
      </c>
      <c r="V137" s="55" t="n">
        <v>1877</v>
      </c>
      <c r="W137" s="56" t="n">
        <v>0.0684752145190268</v>
      </c>
      <c r="X137" s="57" t="s">
        <v>168</v>
      </c>
      <c r="Y137" s="57" t="s">
        <v>130</v>
      </c>
    </row>
    <row r="138" customFormat="false" ht="15" hidden="false" customHeight="false" outlineLevel="0" collapsed="false">
      <c r="A138" s="25" t="s">
        <v>197</v>
      </c>
      <c r="B138" s="25" t="s">
        <v>278</v>
      </c>
      <c r="C138" s="25" t="s">
        <v>279</v>
      </c>
      <c r="D138" s="52" t="n">
        <f aca="false">ROUND(S138*T138,0)</f>
        <v>294</v>
      </c>
      <c r="E138" s="52" t="n">
        <f aca="false">ROUND(S138,0)-D138</f>
        <v>281</v>
      </c>
      <c r="F138" s="52" t="n">
        <f aca="false">IF(COUNTA(D138:E138)=0,"",SUM(D138:E138))</f>
        <v>575</v>
      </c>
      <c r="G138" s="53" t="n">
        <f aca="false">IF(OR(F138="",F138=0),"",D138/F138)</f>
        <v>0.511304347826087</v>
      </c>
      <c r="H138" s="53" t="n">
        <f aca="false">IF(OR(F138="",F138=0),"",E138/F138)</f>
        <v>0.488695652173913</v>
      </c>
      <c r="I138" s="25" t="s">
        <v>128</v>
      </c>
      <c r="J138" s="28" t="n">
        <v>2.37310914384046</v>
      </c>
      <c r="K138" s="28" t="n">
        <f aca="false">$K$8</f>
        <v>0.296197623206382</v>
      </c>
      <c r="L138" s="28" t="n">
        <f aca="false">SQRT(J138^2+K138^2)</f>
        <v>2.3915225360787</v>
      </c>
      <c r="M138" s="53" t="n">
        <f aca="false">IF(G138="","",MAX(0,G138-1.96*L138/100))</f>
        <v>0.464430506118944</v>
      </c>
      <c r="N138" s="53" t="n">
        <f aca="false">IF(G138="","",MIN(1,G138+1.96*L138/100))</f>
        <v>0.55817818953323</v>
      </c>
      <c r="O138" s="52" t="n">
        <f aca="false">ROUND(S138*W138,0)</f>
        <v>51</v>
      </c>
      <c r="P138" s="52" t="n">
        <f aca="false">IF(F138="","",ROUND(SQRT((F138*L138/100)^2+(G138*O138)^2),0))</f>
        <v>29</v>
      </c>
      <c r="R138" s="54" t="n">
        <v>0.41688359437208</v>
      </c>
      <c r="S138" s="55" t="n">
        <f aca="false">U138*V138*$F$5</f>
        <v>574.764397905759</v>
      </c>
      <c r="T138" s="56" t="n">
        <f aca="false">MAX(0,MIN(1,R138/100+$D$5))</f>
        <v>0.511724943052136</v>
      </c>
      <c r="U138" s="56" t="n">
        <v>0.575916230366492</v>
      </c>
      <c r="V138" s="55" t="n">
        <v>998</v>
      </c>
      <c r="W138" s="56" t="n">
        <v>0.0887445098984521</v>
      </c>
      <c r="X138" s="57" t="s">
        <v>135</v>
      </c>
      <c r="Y138" s="57" t="s">
        <v>130</v>
      </c>
    </row>
    <row r="139" customFormat="false" ht="15" hidden="false" customHeight="false" outlineLevel="0" collapsed="false">
      <c r="A139" s="25" t="s">
        <v>197</v>
      </c>
      <c r="B139" s="25" t="s">
        <v>278</v>
      </c>
      <c r="C139" s="25" t="s">
        <v>280</v>
      </c>
      <c r="D139" s="52" t="n">
        <f aca="false">ROUND(S139*T139,0)</f>
        <v>411</v>
      </c>
      <c r="E139" s="52" t="n">
        <f aca="false">ROUND(S139,0)-D139</f>
        <v>378</v>
      </c>
      <c r="F139" s="52" t="n">
        <f aca="false">IF(COUNTA(D139:E139)=0,"",SUM(D139:E139))</f>
        <v>789</v>
      </c>
      <c r="G139" s="53" t="n">
        <f aca="false">IF(OR(F139="",F139=0),"",D139/F139)</f>
        <v>0.520912547528517</v>
      </c>
      <c r="H139" s="53" t="n">
        <f aca="false">IF(OR(F139="",F139=0),"",E139/F139)</f>
        <v>0.479087452471483</v>
      </c>
      <c r="I139" s="25" t="s">
        <v>128</v>
      </c>
      <c r="J139" s="28" t="n">
        <v>2.37310914384046</v>
      </c>
      <c r="K139" s="28" t="n">
        <f aca="false">$K$8</f>
        <v>0.296197623206382</v>
      </c>
      <c r="L139" s="28" t="n">
        <f aca="false">SQRT(J139^2+K139^2)</f>
        <v>2.3915225360787</v>
      </c>
      <c r="M139" s="53" t="n">
        <f aca="false">IF(G139="","",MAX(0,G139-1.96*L139/100))</f>
        <v>0.474038705821375</v>
      </c>
      <c r="N139" s="53" t="n">
        <f aca="false">IF(G139="","",MIN(1,G139+1.96*L139/100))</f>
        <v>0.56778638923566</v>
      </c>
      <c r="O139" s="52" t="n">
        <f aca="false">ROUND(S139*W139,0)</f>
        <v>70</v>
      </c>
      <c r="P139" s="52" t="n">
        <f aca="false">IF(F139="","",ROUND(SQRT((F139*L139/100)^2+(G139*O139)^2),0))</f>
        <v>41</v>
      </c>
      <c r="R139" s="54" t="n">
        <v>1.28134001652245</v>
      </c>
      <c r="S139" s="55" t="n">
        <f aca="false">U139*V139*$F$5</f>
        <v>789.294258373206</v>
      </c>
      <c r="T139" s="56" t="n">
        <f aca="false">MAX(0,MIN(1,R139/100+$D$5))</f>
        <v>0.520369507273639</v>
      </c>
      <c r="U139" s="56" t="n">
        <v>0.595693779904306</v>
      </c>
      <c r="V139" s="55" t="n">
        <v>1325</v>
      </c>
      <c r="W139" s="56" t="n">
        <v>0.0887445098984521</v>
      </c>
      <c r="X139" s="57" t="s">
        <v>135</v>
      </c>
      <c r="Y139" s="57" t="s">
        <v>130</v>
      </c>
    </row>
    <row r="140" customFormat="false" ht="15" hidden="false" customHeight="false" outlineLevel="0" collapsed="false">
      <c r="A140" s="25" t="s">
        <v>197</v>
      </c>
      <c r="B140" s="25" t="s">
        <v>281</v>
      </c>
      <c r="C140" s="25" t="s">
        <v>282</v>
      </c>
      <c r="D140" s="52" t="n">
        <f aca="false">ROUND(S140*T140,0)</f>
        <v>451</v>
      </c>
      <c r="E140" s="52" t="n">
        <f aca="false">ROUND(S140,0)-D140</f>
        <v>365</v>
      </c>
      <c r="F140" s="52" t="n">
        <f aca="false">IF(COUNTA(D140:E140)=0,"",SUM(D140:E140))</f>
        <v>816</v>
      </c>
      <c r="G140" s="53" t="n">
        <f aca="false">IF(OR(F140="",F140=0),"",D140/F140)</f>
        <v>0.552696078431373</v>
      </c>
      <c r="H140" s="53" t="n">
        <f aca="false">IF(OR(F140="",F140=0),"",E140/F140)</f>
        <v>0.447303921568627</v>
      </c>
      <c r="I140" s="25" t="s">
        <v>128</v>
      </c>
      <c r="J140" s="28" t="n">
        <v>2.37310914384046</v>
      </c>
      <c r="K140" s="28" t="n">
        <f aca="false">$K$8</f>
        <v>0.296197623206382</v>
      </c>
      <c r="L140" s="28" t="n">
        <f aca="false">SQRT(J140^2+K140^2)</f>
        <v>2.3915225360787</v>
      </c>
      <c r="M140" s="53" t="n">
        <f aca="false">IF(G140="","",MAX(0,G140-1.96*L140/100))</f>
        <v>0.50582223672423</v>
      </c>
      <c r="N140" s="53" t="n">
        <f aca="false">IF(G140="","",MIN(1,G140+1.96*L140/100))</f>
        <v>0.599569920138515</v>
      </c>
      <c r="O140" s="52" t="n">
        <f aca="false">ROUND(S140*W140,0)</f>
        <v>72</v>
      </c>
      <c r="P140" s="52" t="n">
        <f aca="false">IF(F140="","",ROUND(SQRT((F140*L140/100)^2+(G140*O140)^2),0))</f>
        <v>44</v>
      </c>
      <c r="R140" s="54" t="n">
        <v>4.4665980662282</v>
      </c>
      <c r="S140" s="55" t="n">
        <f aca="false">U140*V140*$F$5</f>
        <v>816.283916083916</v>
      </c>
      <c r="T140" s="56" t="n">
        <f aca="false">MAX(0,MIN(1,R140/100+$D$5))</f>
        <v>0.552222087770697</v>
      </c>
      <c r="U140" s="56" t="n">
        <v>0.572027972027972</v>
      </c>
      <c r="V140" s="55" t="n">
        <v>1427</v>
      </c>
      <c r="W140" s="56" t="n">
        <v>0.0887445098984521</v>
      </c>
      <c r="X140" s="57" t="s">
        <v>135</v>
      </c>
      <c r="Y140" s="57" t="s">
        <v>130</v>
      </c>
    </row>
    <row r="141" customFormat="false" ht="15" hidden="false" customHeight="false" outlineLevel="0" collapsed="false">
      <c r="A141" s="25" t="s">
        <v>197</v>
      </c>
      <c r="B141" s="25" t="s">
        <v>281</v>
      </c>
      <c r="C141" s="25" t="s">
        <v>283</v>
      </c>
      <c r="D141" s="52" t="n">
        <f aca="false">ROUND(S141*T141,0)</f>
        <v>444</v>
      </c>
      <c r="E141" s="52" t="n">
        <f aca="false">ROUND(S141,0)-D141</f>
        <v>379</v>
      </c>
      <c r="F141" s="52" t="n">
        <f aca="false">IF(COUNTA(D141:E141)=0,"",SUM(D141:E141))</f>
        <v>823</v>
      </c>
      <c r="G141" s="53" t="n">
        <f aca="false">IF(OR(F141="",F141=0),"",D141/F141)</f>
        <v>0.539489671931956</v>
      </c>
      <c r="H141" s="53" t="n">
        <f aca="false">IF(OR(F141="",F141=0),"",E141/F141)</f>
        <v>0.460510328068044</v>
      </c>
      <c r="I141" s="25" t="s">
        <v>128</v>
      </c>
      <c r="J141" s="28" t="n">
        <v>2.37310914384046</v>
      </c>
      <c r="K141" s="28" t="n">
        <f aca="false">$K$8</f>
        <v>0.296197623206382</v>
      </c>
      <c r="L141" s="28" t="n">
        <f aca="false">SQRT(J141^2+K141^2)</f>
        <v>2.3915225360787</v>
      </c>
      <c r="M141" s="53" t="n">
        <f aca="false">IF(G141="","",MAX(0,G141-1.96*L141/100))</f>
        <v>0.492615830224814</v>
      </c>
      <c r="N141" s="53" t="n">
        <f aca="false">IF(G141="","",MIN(1,G141+1.96*L141/100))</f>
        <v>0.586363513639099</v>
      </c>
      <c r="O141" s="52" t="n">
        <f aca="false">ROUND(S141*W141,0)</f>
        <v>73</v>
      </c>
      <c r="P141" s="52" t="n">
        <f aca="false">IF(F141="","",ROUND(SQRT((F141*L141/100)^2+(G141*O141)^2),0))</f>
        <v>44</v>
      </c>
      <c r="R141" s="54" t="n">
        <v>3.10504283300168</v>
      </c>
      <c r="S141" s="55" t="n">
        <f aca="false">U141*V141*$F$5</f>
        <v>823.491577335375</v>
      </c>
      <c r="T141" s="56" t="n">
        <f aca="false">MAX(0,MIN(1,R141/100+$D$5))</f>
        <v>0.538606535438432</v>
      </c>
      <c r="U141" s="56" t="n">
        <v>0.616385911179173</v>
      </c>
      <c r="V141" s="55" t="n">
        <v>1336</v>
      </c>
      <c r="W141" s="56" t="n">
        <v>0.0887445098984521</v>
      </c>
      <c r="X141" s="57" t="s">
        <v>135</v>
      </c>
      <c r="Y141" s="57" t="s">
        <v>130</v>
      </c>
    </row>
    <row r="142" customFormat="false" ht="15" hidden="false" customHeight="false" outlineLevel="0" collapsed="false">
      <c r="A142" s="25" t="s">
        <v>197</v>
      </c>
      <c r="B142" s="25" t="s">
        <v>281</v>
      </c>
      <c r="C142" s="25" t="s">
        <v>284</v>
      </c>
      <c r="D142" s="52" t="n">
        <f aca="false">ROUND(S142*T142,0)</f>
        <v>634</v>
      </c>
      <c r="E142" s="52" t="n">
        <f aca="false">ROUND(S142,0)-D142</f>
        <v>597</v>
      </c>
      <c r="F142" s="52" t="n">
        <f aca="false">IF(COUNTA(D142:E142)=0,"",SUM(D142:E142))</f>
        <v>1231</v>
      </c>
      <c r="G142" s="53" t="n">
        <f aca="false">IF(OR(F142="",F142=0),"",D142/F142)</f>
        <v>0.515028432168968</v>
      </c>
      <c r="H142" s="53" t="n">
        <f aca="false">IF(OR(F142="",F142=0),"",E142/F142)</f>
        <v>0.484971567831032</v>
      </c>
      <c r="I142" s="25" t="s">
        <v>128</v>
      </c>
      <c r="J142" s="28" t="n">
        <v>1.88612725432908</v>
      </c>
      <c r="K142" s="28" t="n">
        <f aca="false">$K$8</f>
        <v>0.296197623206382</v>
      </c>
      <c r="L142" s="28" t="n">
        <f aca="false">SQRT(J142^2+K142^2)</f>
        <v>1.909243057213</v>
      </c>
      <c r="M142" s="53" t="n">
        <f aca="false">IF(G142="","",MAX(0,G142-1.96*L142/100))</f>
        <v>0.477607268247594</v>
      </c>
      <c r="N142" s="53" t="n">
        <f aca="false">IF(G142="","",MIN(1,G142+1.96*L142/100))</f>
        <v>0.552449596090343</v>
      </c>
      <c r="O142" s="52" t="n">
        <f aca="false">ROUND(S142*W142,0)</f>
        <v>84</v>
      </c>
      <c r="P142" s="52" t="n">
        <f aca="false">IF(F142="","",ROUND(SQRT((F142*L142/100)^2+(G142*O142)^2),0))</f>
        <v>49</v>
      </c>
      <c r="R142" s="54" t="n">
        <v>0.781709144784085</v>
      </c>
      <c r="S142" s="55" t="n">
        <f aca="false">U142*V142*$F$5</f>
        <v>1230.51149425287</v>
      </c>
      <c r="T142" s="56" t="n">
        <f aca="false">MAX(0,MIN(1,R142/100+$D$5))</f>
        <v>0.515373198556256</v>
      </c>
      <c r="U142" s="56" t="n">
        <v>0.58735632183908</v>
      </c>
      <c r="V142" s="55" t="n">
        <v>2095</v>
      </c>
      <c r="W142" s="56" t="n">
        <v>0.0684752145190268</v>
      </c>
      <c r="X142" s="57" t="s">
        <v>168</v>
      </c>
      <c r="Y142" s="57" t="s">
        <v>130</v>
      </c>
    </row>
    <row r="143" customFormat="false" ht="15" hidden="false" customHeight="false" outlineLevel="0" collapsed="false">
      <c r="A143" s="25" t="s">
        <v>197</v>
      </c>
      <c r="B143" s="25" t="s">
        <v>281</v>
      </c>
      <c r="C143" s="25" t="s">
        <v>285</v>
      </c>
      <c r="D143" s="52" t="n">
        <f aca="false">ROUND(S143*T143,0)</f>
        <v>522</v>
      </c>
      <c r="E143" s="52" t="n">
        <f aca="false">ROUND(S143,0)-D143</f>
        <v>405</v>
      </c>
      <c r="F143" s="52" t="n">
        <f aca="false">IF(COUNTA(D143:E143)=0,"",SUM(D143:E143))</f>
        <v>927</v>
      </c>
      <c r="G143" s="53" t="n">
        <f aca="false">IF(OR(F143="",F143=0),"",D143/F143)</f>
        <v>0.563106796116505</v>
      </c>
      <c r="H143" s="53" t="n">
        <f aca="false">IF(OR(F143="",F143=0),"",E143/F143)</f>
        <v>0.436893203883495</v>
      </c>
      <c r="I143" s="25" t="s">
        <v>128</v>
      </c>
      <c r="J143" s="28" t="n">
        <v>2.37310914384046</v>
      </c>
      <c r="K143" s="28" t="n">
        <f aca="false">$K$8</f>
        <v>0.296197623206382</v>
      </c>
      <c r="L143" s="28" t="n">
        <f aca="false">SQRT(J143^2+K143^2)</f>
        <v>2.3915225360787</v>
      </c>
      <c r="M143" s="53" t="n">
        <f aca="false">IF(G143="","",MAX(0,G143-1.96*L143/100))</f>
        <v>0.516232954409362</v>
      </c>
      <c r="N143" s="53" t="n">
        <f aca="false">IF(G143="","",MIN(1,G143+1.96*L143/100))</f>
        <v>0.609980637823647</v>
      </c>
      <c r="O143" s="52" t="n">
        <f aca="false">ROUND(S143*W143,0)</f>
        <v>82</v>
      </c>
      <c r="P143" s="52" t="n">
        <f aca="false">IF(F143="","",ROUND(SQRT((F143*L143/100)^2+(G143*O143)^2),0))</f>
        <v>51</v>
      </c>
      <c r="R143" s="54" t="n">
        <v>5.5725656934791</v>
      </c>
      <c r="S143" s="55" t="n">
        <f aca="false">U143*V143*$F$5</f>
        <v>927.10447761194</v>
      </c>
      <c r="T143" s="56" t="n">
        <f aca="false">MAX(0,MIN(1,R143/100+$D$5))</f>
        <v>0.563281764043206</v>
      </c>
      <c r="U143" s="56" t="n">
        <v>0.546641791044776</v>
      </c>
      <c r="V143" s="55" t="n">
        <v>1696</v>
      </c>
      <c r="W143" s="56" t="n">
        <v>0.0887445098984521</v>
      </c>
      <c r="X143" s="57" t="s">
        <v>135</v>
      </c>
      <c r="Y143" s="57" t="s">
        <v>130</v>
      </c>
    </row>
    <row r="144" customFormat="false" ht="15" hidden="false" customHeight="false" outlineLevel="0" collapsed="false">
      <c r="A144" s="25" t="s">
        <v>197</v>
      </c>
      <c r="B144" s="25" t="s">
        <v>281</v>
      </c>
      <c r="C144" s="25" t="s">
        <v>286</v>
      </c>
      <c r="D144" s="52" t="n">
        <f aca="false">ROUND(S144*T144,0)</f>
        <v>293</v>
      </c>
      <c r="E144" s="52" t="n">
        <f aca="false">ROUND(S144,0)-D144</f>
        <v>278</v>
      </c>
      <c r="F144" s="52" t="n">
        <f aca="false">IF(COUNTA(D144:E144)=0,"",SUM(D144:E144))</f>
        <v>571</v>
      </c>
      <c r="G144" s="53" t="n">
        <f aca="false">IF(OR(F144="",F144=0),"",D144/F144)</f>
        <v>0.513134851138354</v>
      </c>
      <c r="H144" s="53" t="n">
        <f aca="false">IF(OR(F144="",F144=0),"",E144/F144)</f>
        <v>0.486865148861646</v>
      </c>
      <c r="I144" s="25" t="s">
        <v>128</v>
      </c>
      <c r="J144" s="28" t="n">
        <v>2.37310914384046</v>
      </c>
      <c r="K144" s="28" t="n">
        <f aca="false">$K$8</f>
        <v>0.296197623206382</v>
      </c>
      <c r="L144" s="28" t="n">
        <f aca="false">SQRT(J144^2+K144^2)</f>
        <v>2.3915225360787</v>
      </c>
      <c r="M144" s="53" t="n">
        <f aca="false">IF(G144="","",MAX(0,G144-1.96*L144/100))</f>
        <v>0.466261009431211</v>
      </c>
      <c r="N144" s="53" t="n">
        <f aca="false">IF(G144="","",MIN(1,G144+1.96*L144/100))</f>
        <v>0.560008692845496</v>
      </c>
      <c r="O144" s="52" t="n">
        <f aca="false">ROUND(S144*W144,0)</f>
        <v>51</v>
      </c>
      <c r="P144" s="52" t="n">
        <f aca="false">IF(F144="","",ROUND(SQRT((F144*L144/100)^2+(G144*O144)^2),0))</f>
        <v>30</v>
      </c>
      <c r="R144" s="54" t="n">
        <v>0.586266397121983</v>
      </c>
      <c r="S144" s="55" t="n">
        <f aca="false">U144*V144*$F$5</f>
        <v>571.471747700394</v>
      </c>
      <c r="T144" s="56" t="n">
        <f aca="false">MAX(0,MIN(1,R144/100+$D$5))</f>
        <v>0.513418771079635</v>
      </c>
      <c r="U144" s="56" t="n">
        <v>0.727989487516426</v>
      </c>
      <c r="V144" s="55" t="n">
        <v>785</v>
      </c>
      <c r="W144" s="56" t="n">
        <v>0.0887445098984521</v>
      </c>
      <c r="X144" s="57" t="s">
        <v>135</v>
      </c>
      <c r="Y144" s="57" t="s">
        <v>130</v>
      </c>
    </row>
    <row r="145" customFormat="false" ht="15" hidden="false" customHeight="false" outlineLevel="0" collapsed="false">
      <c r="A145" s="25" t="s">
        <v>197</v>
      </c>
      <c r="B145" s="25" t="s">
        <v>281</v>
      </c>
      <c r="C145" s="25" t="s">
        <v>287</v>
      </c>
      <c r="D145" s="52" t="n">
        <f aca="false">ROUND(S145*T145,0)</f>
        <v>587</v>
      </c>
      <c r="E145" s="52" t="n">
        <f aca="false">ROUND(S145,0)-D145</f>
        <v>418</v>
      </c>
      <c r="F145" s="52" t="n">
        <f aca="false">IF(COUNTA(D145:E145)=0,"",SUM(D145:E145))</f>
        <v>1005</v>
      </c>
      <c r="G145" s="53" t="n">
        <f aca="false">IF(OR(F145="",F145=0),"",D145/F145)</f>
        <v>0.58407960199005</v>
      </c>
      <c r="H145" s="53" t="n">
        <f aca="false">IF(OR(F145="",F145=0),"",E145/F145)</f>
        <v>0.41592039800995</v>
      </c>
      <c r="I145" s="25" t="s">
        <v>128</v>
      </c>
      <c r="J145" s="28" t="n">
        <v>1.88612725432908</v>
      </c>
      <c r="K145" s="28" t="n">
        <f aca="false">$K$8</f>
        <v>0.296197623206382</v>
      </c>
      <c r="L145" s="28" t="n">
        <f aca="false">SQRT(J145^2+K145^2)</f>
        <v>1.909243057213</v>
      </c>
      <c r="M145" s="53" t="n">
        <f aca="false">IF(G145="","",MAX(0,G145-1.96*L145/100))</f>
        <v>0.546658438068675</v>
      </c>
      <c r="N145" s="53" t="n">
        <f aca="false">IF(G145="","",MIN(1,G145+1.96*L145/100))</f>
        <v>0.621500765911425</v>
      </c>
      <c r="O145" s="52" t="n">
        <f aca="false">ROUND(S145*W145,0)</f>
        <v>69</v>
      </c>
      <c r="P145" s="52" t="n">
        <f aca="false">IF(F145="","",ROUND(SQRT((F145*L145/100)^2+(G145*O145)^2),0))</f>
        <v>45</v>
      </c>
      <c r="R145" s="54" t="n">
        <v>7.7067131317103</v>
      </c>
      <c r="S145" s="55" t="n">
        <f aca="false">U145*V145*$F$5</f>
        <v>1004.53991291727</v>
      </c>
      <c r="T145" s="56" t="n">
        <f aca="false">MAX(0,MIN(1,R145/100+$D$5))</f>
        <v>0.584623238425518</v>
      </c>
      <c r="U145" s="56" t="n">
        <v>0.730043541364296</v>
      </c>
      <c r="V145" s="55" t="n">
        <v>1376</v>
      </c>
      <c r="W145" s="56" t="n">
        <v>0.0684752145190268</v>
      </c>
      <c r="X145" s="57" t="s">
        <v>168</v>
      </c>
      <c r="Y145" s="57" t="s">
        <v>130</v>
      </c>
    </row>
    <row r="146" customFormat="false" ht="15" hidden="false" customHeight="false" outlineLevel="0" collapsed="false">
      <c r="A146" s="25" t="s">
        <v>197</v>
      </c>
      <c r="B146" s="25" t="s">
        <v>288</v>
      </c>
      <c r="C146" s="25" t="s">
        <v>289</v>
      </c>
      <c r="D146" s="52" t="n">
        <f aca="false">ROUND(S146*T146,0)</f>
        <v>404</v>
      </c>
      <c r="E146" s="52" t="n">
        <f aca="false">ROUND(S146,0)-D146</f>
        <v>199</v>
      </c>
      <c r="F146" s="52" t="n">
        <f aca="false">IF(COUNTA(D146:E146)=0,"",SUM(D146:E146))</f>
        <v>603</v>
      </c>
      <c r="G146" s="53" t="n">
        <f aca="false">IF(OR(F146="",F146=0),"",D146/F146)</f>
        <v>0.669983416252073</v>
      </c>
      <c r="H146" s="53" t="n">
        <f aca="false">IF(OR(F146="",F146=0),"",E146/F146)</f>
        <v>0.330016583747927</v>
      </c>
      <c r="I146" s="25" t="s">
        <v>128</v>
      </c>
      <c r="J146" s="28" t="n">
        <v>2.37310914384046</v>
      </c>
      <c r="K146" s="28" t="n">
        <f aca="false">$K$8</f>
        <v>0.296197623206382</v>
      </c>
      <c r="L146" s="28" t="n">
        <f aca="false">SQRT(J146^2+K146^2)</f>
        <v>2.3915225360787</v>
      </c>
      <c r="M146" s="53" t="n">
        <f aca="false">IF(G146="","",MAX(0,G146-1.96*L146/100))</f>
        <v>0.62310957454493</v>
      </c>
      <c r="N146" s="53" t="n">
        <f aca="false">IF(G146="","",MIN(1,G146+1.96*L146/100))</f>
        <v>0.716857257959216</v>
      </c>
      <c r="O146" s="52" t="n">
        <f aca="false">ROUND(S146*W146,0)</f>
        <v>54</v>
      </c>
      <c r="P146" s="52" t="n">
        <f aca="false">IF(F146="","",ROUND(SQRT((F146*L146/100)^2+(G146*O146)^2),0))</f>
        <v>39</v>
      </c>
      <c r="R146" s="54" t="n">
        <v>16.1464228317276</v>
      </c>
      <c r="S146" s="55" t="n">
        <f aca="false">U146*V146*$F$5</f>
        <v>603.200953137411</v>
      </c>
      <c r="T146" s="56" t="n">
        <f aca="false">MAX(0,MIN(1,R146/100+$D$5))</f>
        <v>0.669020335425691</v>
      </c>
      <c r="U146" s="56" t="n">
        <v>0.453534551231136</v>
      </c>
      <c r="V146" s="55" t="n">
        <v>1330</v>
      </c>
      <c r="W146" s="56" t="n">
        <v>0.0887445098984521</v>
      </c>
      <c r="X146" s="57" t="s">
        <v>135</v>
      </c>
      <c r="Y146" s="57" t="s">
        <v>130</v>
      </c>
    </row>
    <row r="147" customFormat="false" ht="15" hidden="false" customHeight="false" outlineLevel="0" collapsed="false">
      <c r="A147" s="25" t="s">
        <v>197</v>
      </c>
      <c r="B147" s="25" t="s">
        <v>288</v>
      </c>
      <c r="C147" s="25" t="s">
        <v>290</v>
      </c>
      <c r="D147" s="52" t="n">
        <f aca="false">ROUND(S147*T147,0)</f>
        <v>305</v>
      </c>
      <c r="E147" s="52" t="n">
        <f aca="false">ROUND(S147,0)-D147</f>
        <v>179</v>
      </c>
      <c r="F147" s="52" t="n">
        <f aca="false">IF(COUNTA(D147:E147)=0,"",SUM(D147:E147))</f>
        <v>484</v>
      </c>
      <c r="G147" s="53" t="n">
        <f aca="false">IF(OR(F147="",F147=0),"",D147/F147)</f>
        <v>0.630165289256198</v>
      </c>
      <c r="H147" s="53" t="n">
        <f aca="false">IF(OR(F147="",F147=0),"",E147/F147)</f>
        <v>0.369834710743802</v>
      </c>
      <c r="I147" s="25" t="s">
        <v>128</v>
      </c>
      <c r="J147" s="28" t="n">
        <v>3.71103496666907</v>
      </c>
      <c r="K147" s="28" t="n">
        <f aca="false">$K$8</f>
        <v>0.296197623206382</v>
      </c>
      <c r="L147" s="28" t="n">
        <f aca="false">SQRT(J147^2+K147^2)</f>
        <v>3.72283676191068</v>
      </c>
      <c r="M147" s="53" t="n">
        <f aca="false">IF(G147="","",MAX(0,G147-1.96*L147/100))</f>
        <v>0.557197688722749</v>
      </c>
      <c r="N147" s="53" t="n">
        <f aca="false">IF(G147="","",MIN(1,G147+1.96*L147/100))</f>
        <v>0.703132889789648</v>
      </c>
      <c r="O147" s="52" t="n">
        <f aca="false">ROUND(S147*W147,0)</f>
        <v>72</v>
      </c>
      <c r="P147" s="52" t="n">
        <f aca="false">IF(F147="","",ROUND(SQRT((F147*L147/100)^2+(G147*O147)^2),0))</f>
        <v>49</v>
      </c>
      <c r="R147" s="54" t="n">
        <v>12.348304797886</v>
      </c>
      <c r="S147" s="55" t="n">
        <f aca="false">U147*V147*$F$5</f>
        <v>483.987301587302</v>
      </c>
      <c r="T147" s="56" t="n">
        <f aca="false">MAX(0,MIN(1,R147/100+$D$5))</f>
        <v>0.631039155087275</v>
      </c>
      <c r="U147" s="56" t="n">
        <v>0.499470899470899</v>
      </c>
      <c r="V147" s="55" t="n">
        <v>969</v>
      </c>
      <c r="W147" s="56" t="n">
        <v>0.148097331980838</v>
      </c>
      <c r="X147" s="57" t="s">
        <v>129</v>
      </c>
      <c r="Y147" s="57" t="s">
        <v>130</v>
      </c>
    </row>
    <row r="148" customFormat="false" ht="15" hidden="false" customHeight="false" outlineLevel="0" collapsed="false">
      <c r="A148" s="25" t="s">
        <v>197</v>
      </c>
      <c r="B148" s="25" t="s">
        <v>288</v>
      </c>
      <c r="C148" s="25" t="s">
        <v>291</v>
      </c>
      <c r="D148" s="52" t="n">
        <f aca="false">ROUND(S148*T148,0)</f>
        <v>338</v>
      </c>
      <c r="E148" s="52" t="n">
        <f aca="false">ROUND(S148,0)-D148</f>
        <v>177</v>
      </c>
      <c r="F148" s="52" t="n">
        <f aca="false">IF(COUNTA(D148:E148)=0,"",SUM(D148:E148))</f>
        <v>515</v>
      </c>
      <c r="G148" s="53" t="n">
        <f aca="false">IF(OR(F148="",F148=0),"",D148/F148)</f>
        <v>0.656310679611651</v>
      </c>
      <c r="H148" s="53" t="n">
        <f aca="false">IF(OR(F148="",F148=0),"",E148/F148)</f>
        <v>0.34368932038835</v>
      </c>
      <c r="I148" s="25" t="s">
        <v>128</v>
      </c>
      <c r="J148" s="28" t="n">
        <v>3.71103496666907</v>
      </c>
      <c r="K148" s="28" t="n">
        <f aca="false">$K$8</f>
        <v>0.296197623206382</v>
      </c>
      <c r="L148" s="28" t="n">
        <f aca="false">SQRT(J148^2+K148^2)</f>
        <v>3.72283676191068</v>
      </c>
      <c r="M148" s="53" t="n">
        <f aca="false">IF(G148="","",MAX(0,G148-1.96*L148/100))</f>
        <v>0.583343079078201</v>
      </c>
      <c r="N148" s="53" t="n">
        <f aca="false">IF(G148="","",MIN(1,G148+1.96*L148/100))</f>
        <v>0.7292782801451</v>
      </c>
      <c r="O148" s="52" t="n">
        <f aca="false">ROUND(S148*W148,0)</f>
        <v>76</v>
      </c>
      <c r="P148" s="52" t="n">
        <f aca="false">IF(F148="","",ROUND(SQRT((F148*L148/100)^2+(G148*O148)^2),0))</f>
        <v>53</v>
      </c>
      <c r="R148" s="54" t="n">
        <v>14.8383414781508</v>
      </c>
      <c r="S148" s="55" t="n">
        <f aca="false">U148*V148*$F$5</f>
        <v>515.312883435583</v>
      </c>
      <c r="T148" s="56" t="n">
        <f aca="false">MAX(0,MIN(1,R148/100+$D$5))</f>
        <v>0.655939521889923</v>
      </c>
      <c r="U148" s="56" t="n">
        <v>0.620858895705521</v>
      </c>
      <c r="V148" s="55" t="n">
        <v>830</v>
      </c>
      <c r="W148" s="56" t="n">
        <v>0.148097331980838</v>
      </c>
      <c r="X148" s="57" t="s">
        <v>129</v>
      </c>
      <c r="Y148" s="57" t="s">
        <v>130</v>
      </c>
    </row>
    <row r="149" customFormat="false" ht="15" hidden="false" customHeight="false" outlineLevel="0" collapsed="false">
      <c r="A149" s="25" t="s">
        <v>197</v>
      </c>
      <c r="B149" s="25" t="s">
        <v>292</v>
      </c>
      <c r="C149" s="25" t="s">
        <v>292</v>
      </c>
      <c r="D149" s="52" t="n">
        <f aca="false">ROUND(S149*T149,0)</f>
        <v>269</v>
      </c>
      <c r="E149" s="52" t="n">
        <f aca="false">ROUND(S149,0)-D149</f>
        <v>215</v>
      </c>
      <c r="F149" s="52" t="n">
        <f aca="false">IF(COUNTA(D149:E149)=0,"",SUM(D149:E149))</f>
        <v>484</v>
      </c>
      <c r="G149" s="53" t="n">
        <f aca="false">IF(OR(F149="",F149=0),"",D149/F149)</f>
        <v>0.555785123966942</v>
      </c>
      <c r="H149" s="53" t="n">
        <f aca="false">IF(OR(F149="",F149=0),"",E149/F149)</f>
        <v>0.444214876033058</v>
      </c>
      <c r="I149" s="25" t="s">
        <v>128</v>
      </c>
      <c r="J149" s="28" t="n">
        <v>3.71103496666907</v>
      </c>
      <c r="K149" s="28" t="n">
        <f aca="false">$K$8</f>
        <v>0.296197623206382</v>
      </c>
      <c r="L149" s="28" t="n">
        <f aca="false">SQRT(J149^2+K149^2)</f>
        <v>3.72283676191068</v>
      </c>
      <c r="M149" s="53" t="n">
        <f aca="false">IF(G149="","",MAX(0,G149-1.96*L149/100))</f>
        <v>0.482817523433493</v>
      </c>
      <c r="N149" s="53" t="n">
        <f aca="false">IF(G149="","",MIN(1,G149+1.96*L149/100))</f>
        <v>0.628752724500391</v>
      </c>
      <c r="O149" s="52" t="n">
        <f aca="false">ROUND(S149*W149,0)</f>
        <v>72</v>
      </c>
      <c r="P149" s="52" t="n">
        <f aca="false">IF(F149="","",ROUND(SQRT((F149*L149/100)^2+(G149*O149)^2),0))</f>
        <v>44</v>
      </c>
      <c r="R149" s="54" t="n">
        <v>4.86029103149305</v>
      </c>
      <c r="S149" s="55" t="n">
        <f aca="false">U149*V149*$F$5</f>
        <v>483.913480885312</v>
      </c>
      <c r="T149" s="56" t="n">
        <f aca="false">MAX(0,MIN(1,R149/100+$D$5))</f>
        <v>0.556159017423345</v>
      </c>
      <c r="U149" s="56" t="n">
        <v>0.469818913480885</v>
      </c>
      <c r="V149" s="55" t="n">
        <v>1030</v>
      </c>
      <c r="W149" s="56" t="n">
        <v>0.148097331980838</v>
      </c>
      <c r="X149" s="57" t="s">
        <v>129</v>
      </c>
      <c r="Y149" s="57" t="s">
        <v>130</v>
      </c>
    </row>
    <row r="150" customFormat="false" ht="15" hidden="false" customHeight="false" outlineLevel="0" collapsed="false">
      <c r="A150" s="25" t="s">
        <v>197</v>
      </c>
      <c r="B150" s="25" t="s">
        <v>293</v>
      </c>
      <c r="C150" s="25" t="s">
        <v>293</v>
      </c>
      <c r="D150" s="52" t="n">
        <f aca="false">ROUND(S150*T150,0)</f>
        <v>506</v>
      </c>
      <c r="E150" s="52" t="n">
        <f aca="false">ROUND(S150,0)-D150</f>
        <v>1151</v>
      </c>
      <c r="F150" s="52" t="n">
        <f aca="false">IF(COUNTA(D150:E150)=0,"",SUM(D150:E150))</f>
        <v>1657</v>
      </c>
      <c r="G150" s="53" t="n">
        <f aca="false">IF(OR(F150="",F150=0),"",D150/F150)</f>
        <v>0.305371152685576</v>
      </c>
      <c r="H150" s="53" t="n">
        <f aca="false">IF(OR(F150="",F150=0),"",E150/F150)</f>
        <v>0.694628847314424</v>
      </c>
      <c r="I150" s="25" t="s">
        <v>128</v>
      </c>
      <c r="J150" s="28" t="n">
        <v>1.88612725432908</v>
      </c>
      <c r="K150" s="28" t="n">
        <f aca="false">$K$8</f>
        <v>0.296197623206382</v>
      </c>
      <c r="L150" s="28" t="n">
        <f aca="false">SQRT(J150^2+K150^2)</f>
        <v>1.909243057213</v>
      </c>
      <c r="M150" s="53" t="n">
        <f aca="false">IF(G150="","",MAX(0,G150-1.96*L150/100))</f>
        <v>0.267949988764202</v>
      </c>
      <c r="N150" s="53" t="n">
        <f aca="false">IF(G150="","",MIN(1,G150+1.96*L150/100))</f>
        <v>0.342792316606951</v>
      </c>
      <c r="O150" s="52" t="n">
        <f aca="false">ROUND(S150*W150,0)</f>
        <v>113</v>
      </c>
      <c r="P150" s="52" t="n">
        <f aca="false">IF(F150="","",ROUND(SQRT((F150*L150/100)^2+(G150*O150)^2),0))</f>
        <v>47</v>
      </c>
      <c r="R150" s="54" t="n">
        <v>-20.1873479577104</v>
      </c>
      <c r="S150" s="55" t="n">
        <f aca="false">U150*V150*$F$5</f>
        <v>1656.73758865248</v>
      </c>
      <c r="T150" s="56" t="n">
        <f aca="false">MAX(0,MIN(1,R150/100+$D$5))</f>
        <v>0.305682627531311</v>
      </c>
      <c r="U150" s="56" t="n">
        <v>0.66750104297038</v>
      </c>
      <c r="V150" s="55" t="n">
        <v>2482</v>
      </c>
      <c r="W150" s="56" t="n">
        <v>0.0684752145190268</v>
      </c>
      <c r="X150" s="57" t="s">
        <v>168</v>
      </c>
      <c r="Y150" s="57" t="s">
        <v>130</v>
      </c>
    </row>
    <row r="151" customFormat="false" ht="15" hidden="false" customHeight="false" outlineLevel="0" collapsed="false">
      <c r="A151" s="25" t="s">
        <v>197</v>
      </c>
      <c r="B151" s="25" t="s">
        <v>294</v>
      </c>
      <c r="C151" s="25" t="s">
        <v>295</v>
      </c>
      <c r="D151" s="52" t="n">
        <f aca="false">ROUND(S151*T151,0)</f>
        <v>770</v>
      </c>
      <c r="E151" s="52" t="n">
        <f aca="false">ROUND(S151,0)-D151</f>
        <v>770</v>
      </c>
      <c r="F151" s="52" t="n">
        <f aca="false">IF(COUNTA(D151:E151)=0,"",SUM(D151:E151))</f>
        <v>1540</v>
      </c>
      <c r="G151" s="53" t="n">
        <f aca="false">IF(OR(F151="",F151=0),"",D151/F151)</f>
        <v>0.5</v>
      </c>
      <c r="H151" s="53" t="n">
        <f aca="false">IF(OR(F151="",F151=0),"",E151/F151)</f>
        <v>0.5</v>
      </c>
      <c r="I151" s="25" t="s">
        <v>128</v>
      </c>
      <c r="J151" s="28" t="n">
        <v>1.88612725432908</v>
      </c>
      <c r="K151" s="28" t="n">
        <f aca="false">$K$8</f>
        <v>0.296197623206382</v>
      </c>
      <c r="L151" s="28" t="n">
        <f aca="false">SQRT(J151^2+K151^2)</f>
        <v>1.909243057213</v>
      </c>
      <c r="M151" s="53" t="n">
        <f aca="false">IF(G151="","",MAX(0,G151-1.96*L151/100))</f>
        <v>0.462578836078625</v>
      </c>
      <c r="N151" s="53" t="n">
        <f aca="false">IF(G151="","",MIN(1,G151+1.96*L151/100))</f>
        <v>0.537421163921375</v>
      </c>
      <c r="O151" s="52" t="n">
        <f aca="false">ROUND(S151*W151,0)</f>
        <v>105</v>
      </c>
      <c r="P151" s="52" t="n">
        <f aca="false">IF(F151="","",ROUND(SQRT((F151*L151/100)^2+(G151*O151)^2),0))</f>
        <v>60</v>
      </c>
      <c r="R151" s="54" t="n">
        <v>-0.746943844178089</v>
      </c>
      <c r="S151" s="55" t="n">
        <f aca="false">U151*V151*$F$5</f>
        <v>1540.493339254</v>
      </c>
      <c r="T151" s="56" t="n">
        <f aca="false">MAX(0,MIN(1,R151/100+$D$5))</f>
        <v>0.500086668666634</v>
      </c>
      <c r="U151" s="56" t="n">
        <v>0.670071047957371</v>
      </c>
      <c r="V151" s="55" t="n">
        <v>2299</v>
      </c>
      <c r="W151" s="56" t="n">
        <v>0.0684752145190268</v>
      </c>
      <c r="X151" s="57" t="s">
        <v>168</v>
      </c>
      <c r="Y151" s="57" t="s">
        <v>130</v>
      </c>
    </row>
    <row r="152" customFormat="false" ht="15" hidden="false" customHeight="false" outlineLevel="0" collapsed="false">
      <c r="A152" s="25" t="s">
        <v>197</v>
      </c>
      <c r="B152" s="25" t="s">
        <v>294</v>
      </c>
      <c r="C152" s="25" t="s">
        <v>296</v>
      </c>
      <c r="D152" s="52" t="n">
        <f aca="false">ROUND(S152*T152,0)</f>
        <v>862</v>
      </c>
      <c r="E152" s="52" t="n">
        <f aca="false">ROUND(S152,0)-D152</f>
        <v>833</v>
      </c>
      <c r="F152" s="52" t="n">
        <f aca="false">IF(COUNTA(D152:E152)=0,"",SUM(D152:E152))</f>
        <v>1695</v>
      </c>
      <c r="G152" s="53" t="n">
        <f aca="false">IF(OR(F152="",F152=0),"",D152/F152)</f>
        <v>0.508554572271387</v>
      </c>
      <c r="H152" s="53" t="n">
        <f aca="false">IF(OR(F152="",F152=0),"",E152/F152)</f>
        <v>0.491445427728614</v>
      </c>
      <c r="I152" s="25" t="s">
        <v>128</v>
      </c>
      <c r="J152" s="28" t="n">
        <v>1.88612725432908</v>
      </c>
      <c r="K152" s="28" t="n">
        <f aca="false">$K$8</f>
        <v>0.296197623206382</v>
      </c>
      <c r="L152" s="28" t="n">
        <f aca="false">SQRT(J152^2+K152^2)</f>
        <v>1.909243057213</v>
      </c>
      <c r="M152" s="53" t="n">
        <f aca="false">IF(G152="","",MAX(0,G152-1.96*L152/100))</f>
        <v>0.471133408350012</v>
      </c>
      <c r="N152" s="53" t="n">
        <f aca="false">IF(G152="","",MIN(1,G152+1.96*L152/100))</f>
        <v>0.545975736192761</v>
      </c>
      <c r="O152" s="52" t="n">
        <f aca="false">ROUND(S152*W152,0)</f>
        <v>116</v>
      </c>
      <c r="P152" s="52" t="n">
        <f aca="false">IF(F152="","",ROUND(SQRT((F152*L152/100)^2+(G152*O152)^2),0))</f>
        <v>67</v>
      </c>
      <c r="R152" s="54" t="n">
        <v>0.0601409331689252</v>
      </c>
      <c r="S152" s="55" t="n">
        <f aca="false">U152*V152*$F$5</f>
        <v>1695.44705882353</v>
      </c>
      <c r="T152" s="56" t="n">
        <f aca="false">MAX(0,MIN(1,R152/100+$D$5))</f>
        <v>0.508157516440104</v>
      </c>
      <c r="U152" s="56" t="n">
        <v>0.620588235294118</v>
      </c>
      <c r="V152" s="55" t="n">
        <v>2732</v>
      </c>
      <c r="W152" s="56" t="n">
        <v>0.0684752145190268</v>
      </c>
      <c r="X152" s="57" t="s">
        <v>168</v>
      </c>
      <c r="Y152" s="57" t="s">
        <v>130</v>
      </c>
    </row>
    <row r="153" customFormat="false" ht="15" hidden="false" customHeight="false" outlineLevel="0" collapsed="false">
      <c r="A153" s="25" t="s">
        <v>197</v>
      </c>
      <c r="B153" s="25" t="s">
        <v>294</v>
      </c>
      <c r="C153" s="25" t="s">
        <v>297</v>
      </c>
      <c r="D153" s="52" t="n">
        <f aca="false">ROUND(S153*T153,0)</f>
        <v>1505</v>
      </c>
      <c r="E153" s="52" t="n">
        <f aca="false">ROUND(S153,0)-D153</f>
        <v>1460</v>
      </c>
      <c r="F153" s="52" t="n">
        <f aca="false">IF(COUNTA(D153:E153)=0,"",SUM(D153:E153))</f>
        <v>2965</v>
      </c>
      <c r="G153" s="53" t="n">
        <f aca="false">IF(OR(F153="",F153=0),"",D153/F153)</f>
        <v>0.507588532883643</v>
      </c>
      <c r="H153" s="53" t="n">
        <f aca="false">IF(OR(F153="",F153=0),"",E153/F153)</f>
        <v>0.492411467116358</v>
      </c>
      <c r="I153" s="25" t="s">
        <v>128</v>
      </c>
      <c r="J153" s="28" t="n">
        <v>1.88612725432908</v>
      </c>
      <c r="K153" s="28" t="n">
        <f aca="false">$K$8</f>
        <v>0.296197623206382</v>
      </c>
      <c r="L153" s="28" t="n">
        <f aca="false">SQRT(J153^2+K153^2)</f>
        <v>1.909243057213</v>
      </c>
      <c r="M153" s="53" t="n">
        <f aca="false">IF(G153="","",MAX(0,G153-1.96*L153/100))</f>
        <v>0.470167368962268</v>
      </c>
      <c r="N153" s="53" t="n">
        <f aca="false">IF(G153="","",MIN(1,G153+1.96*L153/100))</f>
        <v>0.545009696805017</v>
      </c>
      <c r="O153" s="52" t="n">
        <f aca="false">ROUND(S153*W153,0)</f>
        <v>203</v>
      </c>
      <c r="P153" s="52" t="n">
        <f aca="false">IF(F153="","",ROUND(SQRT((F153*L153/100)^2+(G153*O153)^2),0))</f>
        <v>118</v>
      </c>
      <c r="R153" s="54" t="n">
        <v>0.00673191319857339</v>
      </c>
      <c r="S153" s="55" t="n">
        <f aca="false">U153*V153*$F$5</f>
        <v>2965.37262012693</v>
      </c>
      <c r="T153" s="56" t="n">
        <f aca="false">MAX(0,MIN(1,R153/100+$D$5))</f>
        <v>0.507623426240401</v>
      </c>
      <c r="U153" s="56" t="n">
        <v>0.668177697189484</v>
      </c>
      <c r="V153" s="55" t="n">
        <v>4438</v>
      </c>
      <c r="W153" s="56" t="n">
        <v>0.0684752145190268</v>
      </c>
      <c r="X153" s="57" t="s">
        <v>168</v>
      </c>
      <c r="Y153" s="57" t="s">
        <v>130</v>
      </c>
    </row>
    <row r="154" customFormat="false" ht="15" hidden="false" customHeight="false" outlineLevel="0" collapsed="false">
      <c r="A154" s="25" t="s">
        <v>197</v>
      </c>
      <c r="B154" s="25" t="s">
        <v>294</v>
      </c>
      <c r="C154" s="25" t="s">
        <v>298</v>
      </c>
      <c r="D154" s="52" t="n">
        <f aca="false">ROUND(S154*T154,0)</f>
        <v>753</v>
      </c>
      <c r="E154" s="52" t="n">
        <f aca="false">ROUND(S154,0)-D154</f>
        <v>755</v>
      </c>
      <c r="F154" s="52" t="n">
        <f aca="false">IF(COUNTA(D154:E154)=0,"",SUM(D154:E154))</f>
        <v>1508</v>
      </c>
      <c r="G154" s="53" t="n">
        <f aca="false">IF(OR(F154="",F154=0),"",D154/F154)</f>
        <v>0.499336870026525</v>
      </c>
      <c r="H154" s="53" t="n">
        <f aca="false">IF(OR(F154="",F154=0),"",E154/F154)</f>
        <v>0.500663129973475</v>
      </c>
      <c r="I154" s="25" t="s">
        <v>128</v>
      </c>
      <c r="J154" s="28" t="n">
        <v>1.88612725432908</v>
      </c>
      <c r="K154" s="28" t="n">
        <f aca="false">$K$8</f>
        <v>0.296197623206382</v>
      </c>
      <c r="L154" s="28" t="n">
        <f aca="false">SQRT(J154^2+K154^2)</f>
        <v>1.909243057213</v>
      </c>
      <c r="M154" s="53" t="n">
        <f aca="false">IF(G154="","",MAX(0,G154-1.96*L154/100))</f>
        <v>0.46191570610515</v>
      </c>
      <c r="N154" s="53" t="n">
        <f aca="false">IF(G154="","",MIN(1,G154+1.96*L154/100))</f>
        <v>0.5367580339479</v>
      </c>
      <c r="O154" s="52" t="n">
        <f aca="false">ROUND(S154*W154,0)</f>
        <v>103</v>
      </c>
      <c r="P154" s="52" t="n">
        <f aca="false">IF(F154="","",ROUND(SQRT((F154*L154/100)^2+(G154*O154)^2),0))</f>
        <v>59</v>
      </c>
      <c r="R154" s="54" t="n">
        <v>-0.832221671976935</v>
      </c>
      <c r="S154" s="55" t="n">
        <f aca="false">U154*V154*$F$5</f>
        <v>1507.62659380692</v>
      </c>
      <c r="T154" s="56" t="n">
        <f aca="false">MAX(0,MIN(1,R154/100+$D$5))</f>
        <v>0.499233890388645</v>
      </c>
      <c r="U154" s="56" t="n">
        <v>0.679417122040073</v>
      </c>
      <c r="V154" s="55" t="n">
        <v>2219</v>
      </c>
      <c r="W154" s="56" t="n">
        <v>0.0684752145190268</v>
      </c>
      <c r="X154" s="57" t="s">
        <v>168</v>
      </c>
      <c r="Y154" s="57" t="s">
        <v>130</v>
      </c>
    </row>
    <row r="155" customFormat="false" ht="15" hidden="false" customHeight="false" outlineLevel="0" collapsed="false">
      <c r="A155" s="25" t="s">
        <v>197</v>
      </c>
      <c r="B155" s="25" t="s">
        <v>294</v>
      </c>
      <c r="C155" s="25" t="s">
        <v>299</v>
      </c>
      <c r="D155" s="52" t="n">
        <f aca="false">ROUND(S155*T155,0)</f>
        <v>691</v>
      </c>
      <c r="E155" s="52" t="n">
        <f aca="false">ROUND(S155,0)-D155</f>
        <v>693</v>
      </c>
      <c r="F155" s="52" t="n">
        <f aca="false">IF(COUNTA(D155:E155)=0,"",SUM(D155:E155))</f>
        <v>1384</v>
      </c>
      <c r="G155" s="53" t="n">
        <f aca="false">IF(OR(F155="",F155=0),"",D155/F155)</f>
        <v>0.499277456647399</v>
      </c>
      <c r="H155" s="53" t="n">
        <f aca="false">IF(OR(F155="",F155=0),"",E155/F155)</f>
        <v>0.500722543352601</v>
      </c>
      <c r="I155" s="25" t="s">
        <v>128</v>
      </c>
      <c r="J155" s="28" t="n">
        <v>1.88612725432908</v>
      </c>
      <c r="K155" s="28" t="n">
        <f aca="false">$K$8</f>
        <v>0.296197623206382</v>
      </c>
      <c r="L155" s="28" t="n">
        <f aca="false">SQRT(J155^2+K155^2)</f>
        <v>1.909243057213</v>
      </c>
      <c r="M155" s="53" t="n">
        <f aca="false">IF(G155="","",MAX(0,G155-1.96*L155/100))</f>
        <v>0.461856292726024</v>
      </c>
      <c r="N155" s="53" t="n">
        <f aca="false">IF(G155="","",MIN(1,G155+1.96*L155/100))</f>
        <v>0.536698620568774</v>
      </c>
      <c r="O155" s="52" t="n">
        <f aca="false">ROUND(S155*W155,0)</f>
        <v>95</v>
      </c>
      <c r="P155" s="52" t="n">
        <f aca="false">IF(F155="","",ROUND(SQRT((F155*L155/100)^2+(G155*O155)^2),0))</f>
        <v>54</v>
      </c>
      <c r="R155" s="54" t="n">
        <v>-0.835623169174093</v>
      </c>
      <c r="S155" s="55" t="n">
        <f aca="false">U155*V155*$F$5</f>
        <v>1383.95299145299</v>
      </c>
      <c r="T155" s="56" t="n">
        <f aca="false">MAX(0,MIN(1,R155/100+$D$5))</f>
        <v>0.499199875416674</v>
      </c>
      <c r="U155" s="56" t="n">
        <v>0.643399810066477</v>
      </c>
      <c r="V155" s="55" t="n">
        <v>2151</v>
      </c>
      <c r="W155" s="56" t="n">
        <v>0.0684752145190268</v>
      </c>
      <c r="X155" s="57" t="s">
        <v>168</v>
      </c>
      <c r="Y155" s="57" t="s">
        <v>130</v>
      </c>
    </row>
    <row r="156" customFormat="false" ht="15" hidden="false" customHeight="false" outlineLevel="0" collapsed="false">
      <c r="A156" s="25" t="s">
        <v>197</v>
      </c>
      <c r="B156" s="25" t="s">
        <v>294</v>
      </c>
      <c r="C156" s="25" t="s">
        <v>300</v>
      </c>
      <c r="D156" s="52" t="n">
        <f aca="false">ROUND(S156*T156,0)</f>
        <v>621</v>
      </c>
      <c r="E156" s="52" t="n">
        <f aca="false">ROUND(S156,0)-D156</f>
        <v>561</v>
      </c>
      <c r="F156" s="52" t="n">
        <f aca="false">IF(COUNTA(D156:E156)=0,"",SUM(D156:E156))</f>
        <v>1182</v>
      </c>
      <c r="G156" s="53" t="n">
        <f aca="false">IF(OR(F156="",F156=0),"",D156/F156)</f>
        <v>0.525380710659898</v>
      </c>
      <c r="H156" s="53" t="n">
        <f aca="false">IF(OR(F156="",F156=0),"",E156/F156)</f>
        <v>0.474619289340102</v>
      </c>
      <c r="I156" s="25" t="s">
        <v>128</v>
      </c>
      <c r="J156" s="28" t="n">
        <v>1.88612725432908</v>
      </c>
      <c r="K156" s="28" t="n">
        <f aca="false">$K$8</f>
        <v>0.296197623206382</v>
      </c>
      <c r="L156" s="28" t="n">
        <f aca="false">SQRT(J156^2+K156^2)</f>
        <v>1.909243057213</v>
      </c>
      <c r="M156" s="53" t="n">
        <f aca="false">IF(G156="","",MAX(0,G156-1.96*L156/100))</f>
        <v>0.487959546738524</v>
      </c>
      <c r="N156" s="53" t="n">
        <f aca="false">IF(G156="","",MIN(1,G156+1.96*L156/100))</f>
        <v>0.562801874581273</v>
      </c>
      <c r="O156" s="52" t="n">
        <f aca="false">ROUND(S156*W156,0)</f>
        <v>81</v>
      </c>
      <c r="P156" s="52" t="n">
        <f aca="false">IF(F156="","",ROUND(SQRT((F156*L156/100)^2+(G156*O156)^2),0))</f>
        <v>48</v>
      </c>
      <c r="R156" s="54" t="n">
        <v>1.76377481158034</v>
      </c>
      <c r="S156" s="55" t="n">
        <f aca="false">U156*V156*$F$5</f>
        <v>1181.67359413203</v>
      </c>
      <c r="T156" s="56" t="n">
        <f aca="false">MAX(0,MIN(1,R156/100+$D$5))</f>
        <v>0.525193855224218</v>
      </c>
      <c r="U156" s="56" t="n">
        <v>0.737163814180929</v>
      </c>
      <c r="V156" s="55" t="n">
        <v>1603</v>
      </c>
      <c r="W156" s="56" t="n">
        <v>0.0684752145190268</v>
      </c>
      <c r="X156" s="57" t="s">
        <v>168</v>
      </c>
      <c r="Y156" s="57" t="s">
        <v>130</v>
      </c>
    </row>
    <row r="157" customFormat="false" ht="15" hidden="false" customHeight="false" outlineLevel="0" collapsed="false">
      <c r="A157" s="25" t="s">
        <v>197</v>
      </c>
      <c r="B157" s="25" t="s">
        <v>294</v>
      </c>
      <c r="C157" s="25" t="s">
        <v>301</v>
      </c>
      <c r="D157" s="52" t="n">
        <f aca="false">ROUND(S157*T157,0)</f>
        <v>1249</v>
      </c>
      <c r="E157" s="52" t="n">
        <f aca="false">ROUND(S157,0)-D157</f>
        <v>1253</v>
      </c>
      <c r="F157" s="52" t="n">
        <f aca="false">IF(COUNTA(D157:E157)=0,"",SUM(D157:E157))</f>
        <v>2502</v>
      </c>
      <c r="G157" s="53" t="n">
        <f aca="false">IF(OR(F157="",F157=0),"",D157/F157)</f>
        <v>0.499200639488409</v>
      </c>
      <c r="H157" s="53" t="n">
        <f aca="false">IF(OR(F157="",F157=0),"",E157/F157)</f>
        <v>0.500799360511591</v>
      </c>
      <c r="I157" s="25" t="s">
        <v>128</v>
      </c>
      <c r="J157" s="28" t="n">
        <v>1.88612725432908</v>
      </c>
      <c r="K157" s="28" t="n">
        <f aca="false">$K$8</f>
        <v>0.296197623206382</v>
      </c>
      <c r="L157" s="28" t="n">
        <f aca="false">SQRT(J157^2+K157^2)</f>
        <v>1.909243057213</v>
      </c>
      <c r="M157" s="53" t="n">
        <f aca="false">IF(G157="","",MAX(0,G157-1.96*L157/100))</f>
        <v>0.461779475567034</v>
      </c>
      <c r="N157" s="53" t="n">
        <f aca="false">IF(G157="","",MIN(1,G157+1.96*L157/100))</f>
        <v>0.536621803409784</v>
      </c>
      <c r="O157" s="52" t="n">
        <f aca="false">ROUND(S157*W157,0)</f>
        <v>171</v>
      </c>
      <c r="P157" s="52" t="n">
        <f aca="false">IF(F157="","",ROUND(SQRT((F157*L157/100)^2+(G157*O157)^2),0))</f>
        <v>98</v>
      </c>
      <c r="R157" s="54" t="n">
        <v>-0.842506535225337</v>
      </c>
      <c r="S157" s="55" t="n">
        <f aca="false">U157*V157*$F$5</f>
        <v>2501.86532550992</v>
      </c>
      <c r="T157" s="56" t="n">
        <f aca="false">MAX(0,MIN(1,R157/100+$D$5))</f>
        <v>0.499131041756161</v>
      </c>
      <c r="U157" s="56" t="n">
        <v>0.618049734562727</v>
      </c>
      <c r="V157" s="55" t="n">
        <v>4048</v>
      </c>
      <c r="W157" s="56" t="n">
        <v>0.0684752145190268</v>
      </c>
      <c r="X157" s="57" t="s">
        <v>168</v>
      </c>
      <c r="Y157" s="57" t="s">
        <v>130</v>
      </c>
    </row>
    <row r="158" customFormat="false" ht="15" hidden="false" customHeight="false" outlineLevel="0" collapsed="false">
      <c r="A158" s="25" t="s">
        <v>197</v>
      </c>
      <c r="B158" s="25" t="s">
        <v>294</v>
      </c>
      <c r="C158" s="25" t="s">
        <v>302</v>
      </c>
      <c r="D158" s="52" t="n">
        <f aca="false">ROUND(S158*T158,0)</f>
        <v>712</v>
      </c>
      <c r="E158" s="52" t="n">
        <f aca="false">ROUND(S158,0)-D158</f>
        <v>601</v>
      </c>
      <c r="F158" s="52" t="n">
        <f aca="false">IF(COUNTA(D158:E158)=0,"",SUM(D158:E158))</f>
        <v>1313</v>
      </c>
      <c r="G158" s="53" t="n">
        <f aca="false">IF(OR(F158="",F158=0),"",D158/F158)</f>
        <v>0.542269611576542</v>
      </c>
      <c r="H158" s="53" t="n">
        <f aca="false">IF(OR(F158="",F158=0),"",E158/F158)</f>
        <v>0.457730388423458</v>
      </c>
      <c r="I158" s="25" t="s">
        <v>128</v>
      </c>
      <c r="J158" s="28" t="n">
        <v>1.88612725432908</v>
      </c>
      <c r="K158" s="28" t="n">
        <f aca="false">$K$8</f>
        <v>0.296197623206382</v>
      </c>
      <c r="L158" s="28" t="n">
        <f aca="false">SQRT(J158^2+K158^2)</f>
        <v>1.909243057213</v>
      </c>
      <c r="M158" s="53" t="n">
        <f aca="false">IF(G158="","",MAX(0,G158-1.96*L158/100))</f>
        <v>0.504848447655168</v>
      </c>
      <c r="N158" s="53" t="n">
        <f aca="false">IF(G158="","",MIN(1,G158+1.96*L158/100))</f>
        <v>0.579690775497917</v>
      </c>
      <c r="O158" s="52" t="n">
        <f aca="false">ROUND(S158*W158,0)</f>
        <v>90</v>
      </c>
      <c r="P158" s="52" t="n">
        <f aca="false">IF(F158="","",ROUND(SQRT((F158*L158/100)^2+(G158*O158)^2),0))</f>
        <v>55</v>
      </c>
      <c r="R158" s="54" t="n">
        <v>3.51855190163728</v>
      </c>
      <c r="S158" s="55" t="n">
        <f aca="false">U158*V158*$F$5</f>
        <v>1312.71</v>
      </c>
      <c r="T158" s="56" t="n">
        <f aca="false">MAX(0,MIN(1,R158/100+$D$5))</f>
        <v>0.542741626124788</v>
      </c>
      <c r="U158" s="56" t="n">
        <v>0.658</v>
      </c>
      <c r="V158" s="55" t="n">
        <v>1995</v>
      </c>
      <c r="W158" s="56" t="n">
        <v>0.0684752145190268</v>
      </c>
      <c r="X158" s="57" t="s">
        <v>168</v>
      </c>
      <c r="Y158" s="57" t="s">
        <v>130</v>
      </c>
    </row>
    <row r="159" customFormat="false" ht="15" hidden="false" customHeight="false" outlineLevel="0" collapsed="false">
      <c r="A159" s="25" t="s">
        <v>197</v>
      </c>
      <c r="B159" s="25" t="s">
        <v>294</v>
      </c>
      <c r="C159" s="25" t="s">
        <v>303</v>
      </c>
      <c r="D159" s="52" t="n">
        <f aca="false">ROUND(S159*T159,0)</f>
        <v>696</v>
      </c>
      <c r="E159" s="52" t="n">
        <f aca="false">ROUND(S159,0)-D159</f>
        <v>646</v>
      </c>
      <c r="F159" s="52" t="n">
        <f aca="false">IF(COUNTA(D159:E159)=0,"",SUM(D159:E159))</f>
        <v>1342</v>
      </c>
      <c r="G159" s="53" t="n">
        <f aca="false">IF(OR(F159="",F159=0),"",D159/F159)</f>
        <v>0.518628912071535</v>
      </c>
      <c r="H159" s="53" t="n">
        <f aca="false">IF(OR(F159="",F159=0),"",E159/F159)</f>
        <v>0.481371087928465</v>
      </c>
      <c r="I159" s="25" t="s">
        <v>128</v>
      </c>
      <c r="J159" s="28" t="n">
        <v>1.88612725432908</v>
      </c>
      <c r="K159" s="28" t="n">
        <f aca="false">$K$8</f>
        <v>0.296197623206382</v>
      </c>
      <c r="L159" s="28" t="n">
        <f aca="false">SQRT(J159^2+K159^2)</f>
        <v>1.909243057213</v>
      </c>
      <c r="M159" s="53" t="n">
        <f aca="false">IF(G159="","",MAX(0,G159-1.96*L159/100))</f>
        <v>0.48120774815016</v>
      </c>
      <c r="N159" s="53" t="n">
        <f aca="false">IF(G159="","",MIN(1,G159+1.96*L159/100))</f>
        <v>0.55605007599291</v>
      </c>
      <c r="O159" s="52" t="n">
        <f aca="false">ROUND(S159*W159,0)</f>
        <v>92</v>
      </c>
      <c r="P159" s="52" t="n">
        <f aca="false">IF(F159="","",ROUND(SQRT((F159*L159/100)^2+(G159*O159)^2),0))</f>
        <v>54</v>
      </c>
      <c r="R159" s="54" t="n">
        <v>1.10909112874604</v>
      </c>
      <c r="S159" s="55" t="n">
        <f aca="false">U159*V159*$F$5</f>
        <v>1342.44359673025</v>
      </c>
      <c r="T159" s="56" t="n">
        <f aca="false">MAX(0,MIN(1,R159/100+$D$5))</f>
        <v>0.518647018395875</v>
      </c>
      <c r="U159" s="56" t="n">
        <v>0.726430517711172</v>
      </c>
      <c r="V159" s="55" t="n">
        <v>1848</v>
      </c>
      <c r="W159" s="56" t="n">
        <v>0.0684752145190268</v>
      </c>
      <c r="X159" s="57" t="s">
        <v>168</v>
      </c>
      <c r="Y159" s="57" t="s">
        <v>130</v>
      </c>
    </row>
    <row r="160" customFormat="false" ht="15" hidden="false" customHeight="false" outlineLevel="0" collapsed="false">
      <c r="A160" s="25" t="s">
        <v>197</v>
      </c>
      <c r="B160" s="25" t="s">
        <v>294</v>
      </c>
      <c r="C160" s="25" t="s">
        <v>304</v>
      </c>
      <c r="D160" s="52" t="n">
        <f aca="false">ROUND(S160*T160,0)</f>
        <v>453</v>
      </c>
      <c r="E160" s="52" t="n">
        <f aca="false">ROUND(S160,0)-D160</f>
        <v>427</v>
      </c>
      <c r="F160" s="52" t="n">
        <f aca="false">IF(COUNTA(D160:E160)=0,"",SUM(D160:E160))</f>
        <v>880</v>
      </c>
      <c r="G160" s="53" t="n">
        <f aca="false">IF(OR(F160="",F160=0),"",D160/F160)</f>
        <v>0.514772727272727</v>
      </c>
      <c r="H160" s="53" t="n">
        <f aca="false">IF(OR(F160="",F160=0),"",E160/F160)</f>
        <v>0.485227272727273</v>
      </c>
      <c r="I160" s="25" t="s">
        <v>128</v>
      </c>
      <c r="J160" s="28" t="n">
        <v>2.37310914384046</v>
      </c>
      <c r="K160" s="28" t="n">
        <f aca="false">$K$8</f>
        <v>0.296197623206382</v>
      </c>
      <c r="L160" s="28" t="n">
        <f aca="false">SQRT(J160^2+K160^2)</f>
        <v>2.3915225360787</v>
      </c>
      <c r="M160" s="53" t="n">
        <f aca="false">IF(G160="","",MAX(0,G160-1.96*L160/100))</f>
        <v>0.467898885565585</v>
      </c>
      <c r="N160" s="53" t="n">
        <f aca="false">IF(G160="","",MIN(1,G160+1.96*L160/100))</f>
        <v>0.56164656897987</v>
      </c>
      <c r="O160" s="52" t="n">
        <f aca="false">ROUND(S160*W160,0)</f>
        <v>78</v>
      </c>
      <c r="P160" s="52" t="n">
        <f aca="false">IF(F160="","",ROUND(SQRT((F160*L160/100)^2+(G160*O160)^2),0))</f>
        <v>45</v>
      </c>
      <c r="R160" s="54" t="n">
        <v>0.719700483415728</v>
      </c>
      <c r="S160" s="55" t="n">
        <f aca="false">U160*V160*$F$5</f>
        <v>879.958115183246</v>
      </c>
      <c r="T160" s="56" t="n">
        <f aca="false">MAX(0,MIN(1,R160/100+$D$5))</f>
        <v>0.514753111942572</v>
      </c>
      <c r="U160" s="56" t="n">
        <v>0.668661181750187</v>
      </c>
      <c r="V160" s="55" t="n">
        <v>1316</v>
      </c>
      <c r="W160" s="56" t="n">
        <v>0.0887445098984521</v>
      </c>
      <c r="X160" s="57" t="s">
        <v>135</v>
      </c>
      <c r="Y160" s="57" t="s">
        <v>130</v>
      </c>
    </row>
    <row r="161" customFormat="false" ht="15" hidden="false" customHeight="false" outlineLevel="0" collapsed="false">
      <c r="A161" s="25" t="s">
        <v>197</v>
      </c>
      <c r="B161" s="25" t="s">
        <v>305</v>
      </c>
      <c r="C161" s="25" t="s">
        <v>305</v>
      </c>
      <c r="D161" s="52" t="n">
        <f aca="false">ROUND(S161*T161,0)</f>
        <v>823</v>
      </c>
      <c r="E161" s="52" t="n">
        <f aca="false">ROUND(S161,0)-D161</f>
        <v>1381</v>
      </c>
      <c r="F161" s="52" t="n">
        <f aca="false">IF(COUNTA(D161:E161)=0,"",SUM(D161:E161))</f>
        <v>2204</v>
      </c>
      <c r="G161" s="53" t="n">
        <f aca="false">IF(OR(F161="",F161=0),"",D161/F161)</f>
        <v>0.373411978221416</v>
      </c>
      <c r="H161" s="53" t="n">
        <f aca="false">IF(OR(F161="",F161=0),"",E161/F161)</f>
        <v>0.626588021778584</v>
      </c>
      <c r="I161" s="25" t="s">
        <v>128</v>
      </c>
      <c r="J161" s="28" t="n">
        <v>1.88612725432908</v>
      </c>
      <c r="K161" s="28" t="n">
        <f aca="false">$K$8</f>
        <v>0.296197623206382</v>
      </c>
      <c r="L161" s="28" t="n">
        <f aca="false">SQRT(J161^2+K161^2)</f>
        <v>1.909243057213</v>
      </c>
      <c r="M161" s="53" t="n">
        <f aca="false">IF(G161="","",MAX(0,G161-1.96*L161/100))</f>
        <v>0.335990814300041</v>
      </c>
      <c r="N161" s="53" t="n">
        <f aca="false">IF(G161="","",MIN(1,G161+1.96*L161/100))</f>
        <v>0.41083314214279</v>
      </c>
      <c r="O161" s="52" t="n">
        <f aca="false">ROUND(S161*W161,0)</f>
        <v>151</v>
      </c>
      <c r="P161" s="52" t="n">
        <f aca="false">IF(F161="","",ROUND(SQRT((F161*L161/100)^2+(G161*O161)^2),0))</f>
        <v>70</v>
      </c>
      <c r="R161" s="54" t="n">
        <v>-13.4373966887669</v>
      </c>
      <c r="S161" s="55" t="n">
        <f aca="false">U161*V161*$F$5</f>
        <v>2204.10505319149</v>
      </c>
      <c r="T161" s="56" t="n">
        <f aca="false">MAX(0,MIN(1,R161/100+$D$5))</f>
        <v>0.373182140220746</v>
      </c>
      <c r="U161" s="56" t="n">
        <v>0.71841755319149</v>
      </c>
      <c r="V161" s="55" t="n">
        <v>3068</v>
      </c>
      <c r="W161" s="56" t="n">
        <v>0.0684752145190268</v>
      </c>
      <c r="X161" s="57" t="s">
        <v>168</v>
      </c>
      <c r="Y161" s="57" t="s">
        <v>130</v>
      </c>
    </row>
    <row r="162" customFormat="false" ht="15" hidden="false" customHeight="false" outlineLevel="0" collapsed="false">
      <c r="A162" s="25" t="s">
        <v>197</v>
      </c>
      <c r="B162" s="25" t="s">
        <v>306</v>
      </c>
      <c r="C162" s="25" t="s">
        <v>306</v>
      </c>
      <c r="D162" s="52" t="n">
        <f aca="false">ROUND(S162*T162,0)</f>
        <v>427</v>
      </c>
      <c r="E162" s="52" t="n">
        <f aca="false">ROUND(S162,0)-D162</f>
        <v>810</v>
      </c>
      <c r="F162" s="52" t="n">
        <f aca="false">IF(COUNTA(D162:E162)=0,"",SUM(D162:E162))</f>
        <v>1237</v>
      </c>
      <c r="G162" s="53" t="n">
        <f aca="false">IF(OR(F162="",F162=0),"",D162/F162)</f>
        <v>0.345189975747777</v>
      </c>
      <c r="H162" s="53" t="n">
        <f aca="false">IF(OR(F162="",F162=0),"",E162/F162)</f>
        <v>0.654810024252223</v>
      </c>
      <c r="I162" s="25" t="s">
        <v>128</v>
      </c>
      <c r="J162" s="28" t="n">
        <v>1.88612725432908</v>
      </c>
      <c r="K162" s="28" t="n">
        <f aca="false">$K$8</f>
        <v>0.296197623206382</v>
      </c>
      <c r="L162" s="28" t="n">
        <f aca="false">SQRT(J162^2+K162^2)</f>
        <v>1.909243057213</v>
      </c>
      <c r="M162" s="53" t="n">
        <f aca="false">IF(G162="","",MAX(0,G162-1.96*L162/100))</f>
        <v>0.307768811826402</v>
      </c>
      <c r="N162" s="53" t="n">
        <f aca="false">IF(G162="","",MIN(1,G162+1.96*L162/100))</f>
        <v>0.382611139669152</v>
      </c>
      <c r="O162" s="52" t="n">
        <f aca="false">ROUND(S162*W162,0)</f>
        <v>85</v>
      </c>
      <c r="P162" s="52" t="n">
        <f aca="false">IF(F162="","",ROUND(SQRT((F162*L162/100)^2+(G162*O162)^2),0))</f>
        <v>38</v>
      </c>
      <c r="R162" s="54" t="n">
        <v>-16.2737218183994</v>
      </c>
      <c r="S162" s="55" t="n">
        <f aca="false">U162*V162*$F$5</f>
        <v>1236.97340124505</v>
      </c>
      <c r="T162" s="56" t="n">
        <f aca="false">MAX(0,MIN(1,R162/100+$D$5))</f>
        <v>0.344818888924421</v>
      </c>
      <c r="U162" s="56" t="n">
        <v>0.688737973967176</v>
      </c>
      <c r="V162" s="55" t="n">
        <v>1796</v>
      </c>
      <c r="W162" s="56" t="n">
        <v>0.0684752145190268</v>
      </c>
      <c r="X162" s="57" t="s">
        <v>168</v>
      </c>
      <c r="Y162" s="57" t="s">
        <v>130</v>
      </c>
    </row>
    <row r="163" customFormat="false" ht="15" hidden="false" customHeight="false" outlineLevel="0" collapsed="false">
      <c r="A163" s="25" t="s">
        <v>197</v>
      </c>
      <c r="B163" s="25" t="s">
        <v>307</v>
      </c>
      <c r="C163" s="25" t="s">
        <v>308</v>
      </c>
      <c r="D163" s="52" t="n">
        <f aca="false">ROUND(S163*T163,0)</f>
        <v>151</v>
      </c>
      <c r="E163" s="52" t="n">
        <f aca="false">ROUND(S163,0)-D163</f>
        <v>412</v>
      </c>
      <c r="F163" s="52" t="n">
        <f aca="false">IF(COUNTA(D163:E163)=0,"",SUM(D163:E163))</f>
        <v>563</v>
      </c>
      <c r="G163" s="53" t="n">
        <f aca="false">IF(OR(F163="",F163=0),"",D163/F163)</f>
        <v>0.268206039076377</v>
      </c>
      <c r="H163" s="53" t="n">
        <f aca="false">IF(OR(F163="",F163=0),"",E163/F163)</f>
        <v>0.731793960923624</v>
      </c>
      <c r="I163" s="25" t="s">
        <v>128</v>
      </c>
      <c r="J163" s="28" t="n">
        <v>3.71103496666907</v>
      </c>
      <c r="K163" s="28" t="n">
        <f aca="false">$K$8</f>
        <v>0.296197623206382</v>
      </c>
      <c r="L163" s="28" t="n">
        <f aca="false">SQRT(J163^2+K163^2)</f>
        <v>3.72283676191068</v>
      </c>
      <c r="M163" s="53" t="n">
        <f aca="false">IF(G163="","",MAX(0,G163-1.96*L163/100))</f>
        <v>0.195238438542927</v>
      </c>
      <c r="N163" s="53" t="n">
        <f aca="false">IF(G163="","",MIN(1,G163+1.96*L163/100))</f>
        <v>0.341173639609826</v>
      </c>
      <c r="O163" s="52" t="n">
        <f aca="false">ROUND(S163*W163,0)</f>
        <v>83</v>
      </c>
      <c r="P163" s="52" t="n">
        <f aca="false">IF(F163="","",ROUND(SQRT((F163*L163/100)^2+(G163*O163)^2),0))</f>
        <v>31</v>
      </c>
      <c r="R163" s="54" t="n">
        <v>-23.9094037825783</v>
      </c>
      <c r="S163" s="55" t="n">
        <f aca="false">U163*V163*$F$5</f>
        <v>562.682926829269</v>
      </c>
      <c r="T163" s="56" t="n">
        <f aca="false">MAX(0,MIN(1,R163/100+$D$5))</f>
        <v>0.268462069282632</v>
      </c>
      <c r="U163" s="56" t="n">
        <v>0.731707317073171</v>
      </c>
      <c r="V163" s="55" t="n">
        <v>769</v>
      </c>
      <c r="W163" s="56" t="n">
        <v>0.148097331980838</v>
      </c>
      <c r="X163" s="57" t="s">
        <v>129</v>
      </c>
      <c r="Y163" s="57" t="s">
        <v>130</v>
      </c>
    </row>
    <row r="164" customFormat="false" ht="15" hidden="false" customHeight="false" outlineLevel="0" collapsed="false">
      <c r="A164" s="25" t="s">
        <v>197</v>
      </c>
      <c r="B164" s="25" t="s">
        <v>307</v>
      </c>
      <c r="C164" s="25" t="s">
        <v>309</v>
      </c>
      <c r="D164" s="52" t="n">
        <f aca="false">ROUND(S164*T164,0)</f>
        <v>118</v>
      </c>
      <c r="E164" s="52" t="n">
        <f aca="false">ROUND(S164,0)-D164</f>
        <v>265</v>
      </c>
      <c r="F164" s="52" t="n">
        <f aca="false">IF(COUNTA(D164:E164)=0,"",SUM(D164:E164))</f>
        <v>383</v>
      </c>
      <c r="G164" s="53" t="n">
        <f aca="false">IF(OR(F164="",F164=0),"",D164/F164)</f>
        <v>0.308093994778068</v>
      </c>
      <c r="H164" s="53" t="n">
        <f aca="false">IF(OR(F164="",F164=0),"",E164/F164)</f>
        <v>0.691906005221932</v>
      </c>
      <c r="I164" s="25" t="s">
        <v>128</v>
      </c>
      <c r="J164" s="28" t="n">
        <v>3.71103496666907</v>
      </c>
      <c r="K164" s="28" t="n">
        <f aca="false">$K$8</f>
        <v>0.296197623206382</v>
      </c>
      <c r="L164" s="28" t="n">
        <f aca="false">SQRT(J164^2+K164^2)</f>
        <v>3.72283676191068</v>
      </c>
      <c r="M164" s="53" t="n">
        <f aca="false">IF(G164="","",MAX(0,G164-1.96*L164/100))</f>
        <v>0.235126394244619</v>
      </c>
      <c r="N164" s="53" t="n">
        <f aca="false">IF(G164="","",MIN(1,G164+1.96*L164/100))</f>
        <v>0.381061595311517</v>
      </c>
      <c r="O164" s="52" t="n">
        <f aca="false">ROUND(S164*W164,0)</f>
        <v>57</v>
      </c>
      <c r="P164" s="52" t="n">
        <f aca="false">IF(F164="","",ROUND(SQRT((F164*L164/100)^2+(G164*O164)^2),0))</f>
        <v>23</v>
      </c>
      <c r="R164" s="54" t="n">
        <v>-19.9650439920123</v>
      </c>
      <c r="S164" s="55" t="n">
        <f aca="false">U164*V164*$F$5</f>
        <v>382.588235294118</v>
      </c>
      <c r="T164" s="56" t="n">
        <f aca="false">MAX(0,MIN(1,R164/100+$D$5))</f>
        <v>0.307905667188292</v>
      </c>
      <c r="U164" s="56" t="n">
        <v>0.705882352941177</v>
      </c>
      <c r="V164" s="55" t="n">
        <v>542</v>
      </c>
      <c r="W164" s="56" t="n">
        <v>0.148097331980838</v>
      </c>
      <c r="X164" s="57" t="s">
        <v>129</v>
      </c>
      <c r="Y164" s="57" t="s">
        <v>130</v>
      </c>
    </row>
    <row r="165" customFormat="false" ht="15" hidden="false" customHeight="false" outlineLevel="0" collapsed="false">
      <c r="A165" s="25" t="s">
        <v>197</v>
      </c>
      <c r="B165" s="25" t="s">
        <v>307</v>
      </c>
      <c r="C165" s="25" t="s">
        <v>310</v>
      </c>
      <c r="D165" s="52" t="n">
        <f aca="false">ROUND(S165*T165,0)</f>
        <v>401</v>
      </c>
      <c r="E165" s="52" t="n">
        <f aca="false">ROUND(S165,0)-D165</f>
        <v>847</v>
      </c>
      <c r="F165" s="52" t="n">
        <f aca="false">IF(COUNTA(D165:E165)=0,"",SUM(D165:E165))</f>
        <v>1248</v>
      </c>
      <c r="G165" s="53" t="n">
        <f aca="false">IF(OR(F165="",F165=0),"",D165/F165)</f>
        <v>0.321314102564103</v>
      </c>
      <c r="H165" s="53" t="n">
        <f aca="false">IF(OR(F165="",F165=0),"",E165/F165)</f>
        <v>0.678685897435898</v>
      </c>
      <c r="I165" s="25" t="s">
        <v>128</v>
      </c>
      <c r="J165" s="28" t="n">
        <v>1.88612725432908</v>
      </c>
      <c r="K165" s="28" t="n">
        <f aca="false">$K$8</f>
        <v>0.296197623206382</v>
      </c>
      <c r="L165" s="28" t="n">
        <f aca="false">SQRT(J165^2+K165^2)</f>
        <v>1.909243057213</v>
      </c>
      <c r="M165" s="53" t="n">
        <f aca="false">IF(G165="","",MAX(0,G165-1.96*L165/100))</f>
        <v>0.283892938642728</v>
      </c>
      <c r="N165" s="53" t="n">
        <f aca="false">IF(G165="","",MIN(1,G165+1.96*L165/100))</f>
        <v>0.358735266485477</v>
      </c>
      <c r="O165" s="52" t="n">
        <f aca="false">ROUND(S165*W165,0)</f>
        <v>85</v>
      </c>
      <c r="P165" s="52" t="n">
        <f aca="false">IF(F165="","",ROUND(SQRT((F165*L165/100)^2+(G165*O165)^2),0))</f>
        <v>36</v>
      </c>
      <c r="R165" s="54" t="n">
        <v>-18.6018894052866</v>
      </c>
      <c r="S165" s="55" t="n">
        <f aca="false">U165*V165*$F$5</f>
        <v>1248.26659471128</v>
      </c>
      <c r="T165" s="56" t="n">
        <f aca="false">MAX(0,MIN(1,R165/100+$D$5))</f>
        <v>0.321537213055548</v>
      </c>
      <c r="U165" s="56" t="n">
        <v>0.676200755531571</v>
      </c>
      <c r="V165" s="55" t="n">
        <v>1846</v>
      </c>
      <c r="W165" s="56" t="n">
        <v>0.0684752145190268</v>
      </c>
      <c r="X165" s="57" t="s">
        <v>168</v>
      </c>
      <c r="Y165" s="57" t="s">
        <v>130</v>
      </c>
    </row>
    <row r="166" customFormat="false" ht="15" hidden="false" customHeight="false" outlineLevel="0" collapsed="false">
      <c r="A166" s="25" t="s">
        <v>197</v>
      </c>
      <c r="B166" s="25" t="s">
        <v>311</v>
      </c>
      <c r="C166" s="25" t="s">
        <v>311</v>
      </c>
      <c r="D166" s="52" t="n">
        <f aca="false">ROUND(S166*T166,0)</f>
        <v>821</v>
      </c>
      <c r="E166" s="52" t="n">
        <f aca="false">ROUND(S166,0)-D166</f>
        <v>692</v>
      </c>
      <c r="F166" s="52" t="n">
        <f aca="false">IF(COUNTA(D166:E166)=0,"",SUM(D166:E166))</f>
        <v>1513</v>
      </c>
      <c r="G166" s="53" t="n">
        <f aca="false">IF(OR(F166="",F166=0),"",D166/F166)</f>
        <v>0.542630535360212</v>
      </c>
      <c r="H166" s="53" t="n">
        <f aca="false">IF(OR(F166="",F166=0),"",E166/F166)</f>
        <v>0.457369464639789</v>
      </c>
      <c r="I166" s="25" t="s">
        <v>128</v>
      </c>
      <c r="J166" s="28" t="n">
        <v>1.88612725432908</v>
      </c>
      <c r="K166" s="28" t="n">
        <f aca="false">$K$8</f>
        <v>0.296197623206382</v>
      </c>
      <c r="L166" s="28" t="n">
        <f aca="false">SQRT(J166^2+K166^2)</f>
        <v>1.909243057213</v>
      </c>
      <c r="M166" s="53" t="n">
        <f aca="false">IF(G166="","",MAX(0,G166-1.96*L166/100))</f>
        <v>0.505209371438837</v>
      </c>
      <c r="N166" s="53" t="n">
        <f aca="false">IF(G166="","",MIN(1,G166+1.96*L166/100))</f>
        <v>0.580051699281586</v>
      </c>
      <c r="O166" s="52" t="n">
        <f aca="false">ROUND(S166*W166,0)</f>
        <v>104</v>
      </c>
      <c r="P166" s="52" t="n">
        <f aca="false">IF(F166="","",ROUND(SQRT((F166*L166/100)^2+(G166*O166)^2),0))</f>
        <v>63</v>
      </c>
      <c r="R166" s="54" t="n">
        <v>3.51249251165724</v>
      </c>
      <c r="S166" s="55" t="n">
        <f aca="false">U166*V166*$F$5</f>
        <v>1512.74151436031</v>
      </c>
      <c r="T166" s="56" t="n">
        <f aca="false">MAX(0,MIN(1,R166/100+$D$5))</f>
        <v>0.542681032224987</v>
      </c>
      <c r="U166" s="56" t="n">
        <v>0.616187989556136</v>
      </c>
      <c r="V166" s="55" t="n">
        <v>2455</v>
      </c>
      <c r="W166" s="56" t="n">
        <v>0.0684752145190268</v>
      </c>
      <c r="X166" s="57" t="s">
        <v>168</v>
      </c>
      <c r="Y166" s="57" t="s">
        <v>130</v>
      </c>
    </row>
    <row r="167" customFormat="false" ht="15" hidden="false" customHeight="false" outlineLevel="0" collapsed="false">
      <c r="A167" s="25" t="s">
        <v>197</v>
      </c>
      <c r="B167" s="25" t="s">
        <v>312</v>
      </c>
      <c r="C167" s="25" t="s">
        <v>313</v>
      </c>
      <c r="D167" s="52" t="n">
        <f aca="false">ROUND(S167*T167,0)</f>
        <v>808</v>
      </c>
      <c r="E167" s="52" t="n">
        <f aca="false">ROUND(S167,0)-D167</f>
        <v>1093</v>
      </c>
      <c r="F167" s="52" t="n">
        <f aca="false">IF(COUNTA(D167:E167)=0,"",SUM(D167:E167))</f>
        <v>1901</v>
      </c>
      <c r="G167" s="53" t="n">
        <f aca="false">IF(OR(F167="",F167=0),"",D167/F167)</f>
        <v>0.425039452919516</v>
      </c>
      <c r="H167" s="53" t="n">
        <f aca="false">IF(OR(F167="",F167=0),"",E167/F167)</f>
        <v>0.574960547080484</v>
      </c>
      <c r="I167" s="25" t="s">
        <v>128</v>
      </c>
      <c r="J167" s="28" t="n">
        <v>1.88612725432908</v>
      </c>
      <c r="K167" s="28" t="n">
        <f aca="false">$K$8</f>
        <v>0.296197623206382</v>
      </c>
      <c r="L167" s="28" t="n">
        <f aca="false">SQRT(J167^2+K167^2)</f>
        <v>1.909243057213</v>
      </c>
      <c r="M167" s="53" t="n">
        <f aca="false">IF(G167="","",MAX(0,G167-1.96*L167/100))</f>
        <v>0.387618288998141</v>
      </c>
      <c r="N167" s="53" t="n">
        <f aca="false">IF(G167="","",MIN(1,G167+1.96*L167/100))</f>
        <v>0.462460616840891</v>
      </c>
      <c r="O167" s="52" t="n">
        <f aca="false">ROUND(S167*W167,0)</f>
        <v>130</v>
      </c>
      <c r="P167" s="52" t="n">
        <f aca="false">IF(F167="","",ROUND(SQRT((F167*L167/100)^2+(G167*O167)^2),0))</f>
        <v>66</v>
      </c>
      <c r="R167" s="54" t="n">
        <v>-8.23920385474628</v>
      </c>
      <c r="S167" s="55" t="n">
        <f aca="false">U167*V167*$F$5</f>
        <v>1901.09148856393</v>
      </c>
      <c r="T167" s="56" t="n">
        <f aca="false">MAX(0,MIN(1,R167/100+$D$5))</f>
        <v>0.425164068560952</v>
      </c>
      <c r="U167" s="56" t="n">
        <v>0.702287214098238</v>
      </c>
      <c r="V167" s="55" t="n">
        <v>2707</v>
      </c>
      <c r="W167" s="56" t="n">
        <v>0.0684752145190268</v>
      </c>
      <c r="X167" s="57" t="s">
        <v>168</v>
      </c>
      <c r="Y167" s="57" t="s">
        <v>130</v>
      </c>
    </row>
    <row r="168" customFormat="false" ht="15" hidden="false" customHeight="false" outlineLevel="0" collapsed="false">
      <c r="A168" s="25" t="s">
        <v>197</v>
      </c>
      <c r="B168" s="25" t="s">
        <v>312</v>
      </c>
      <c r="C168" s="25" t="s">
        <v>314</v>
      </c>
      <c r="D168" s="52" t="n">
        <f aca="false">ROUND(S168*T168,0)</f>
        <v>664</v>
      </c>
      <c r="E168" s="52" t="n">
        <f aca="false">ROUND(S168,0)-D168</f>
        <v>1016</v>
      </c>
      <c r="F168" s="52" t="n">
        <f aca="false">IF(COUNTA(D168:E168)=0,"",SUM(D168:E168))</f>
        <v>1680</v>
      </c>
      <c r="G168" s="53" t="n">
        <f aca="false">IF(OR(F168="",F168=0),"",D168/F168)</f>
        <v>0.395238095238095</v>
      </c>
      <c r="H168" s="53" t="n">
        <f aca="false">IF(OR(F168="",F168=0),"",E168/F168)</f>
        <v>0.604761904761905</v>
      </c>
      <c r="I168" s="25" t="s">
        <v>128</v>
      </c>
      <c r="J168" s="28" t="n">
        <v>1.88612725432908</v>
      </c>
      <c r="K168" s="28" t="n">
        <f aca="false">$K$8</f>
        <v>0.296197623206382</v>
      </c>
      <c r="L168" s="28" t="n">
        <f aca="false">SQRT(J168^2+K168^2)</f>
        <v>1.909243057213</v>
      </c>
      <c r="M168" s="53" t="n">
        <f aca="false">IF(G168="","",MAX(0,G168-1.96*L168/100))</f>
        <v>0.35781693131672</v>
      </c>
      <c r="N168" s="53" t="n">
        <f aca="false">IF(G168="","",MIN(1,G168+1.96*L168/100))</f>
        <v>0.43265925915947</v>
      </c>
      <c r="O168" s="52" t="n">
        <f aca="false">ROUND(S168*W168,0)</f>
        <v>115</v>
      </c>
      <c r="P168" s="52" t="n">
        <f aca="false">IF(F168="","",ROUND(SQRT((F168*L168/100)^2+(G168*O168)^2),0))</f>
        <v>56</v>
      </c>
      <c r="R168" s="54" t="n">
        <v>-11.2513585360268</v>
      </c>
      <c r="S168" s="55" t="n">
        <f aca="false">U168*V168*$F$5</f>
        <v>1679.87969094923</v>
      </c>
      <c r="T168" s="56" t="n">
        <f aca="false">MAX(0,MIN(1,R168/100+$D$5))</f>
        <v>0.395042521748147</v>
      </c>
      <c r="U168" s="56" t="n">
        <v>0.613318616629875</v>
      </c>
      <c r="V168" s="55" t="n">
        <v>2739</v>
      </c>
      <c r="W168" s="56" t="n">
        <v>0.0684752145190268</v>
      </c>
      <c r="X168" s="57" t="s">
        <v>168</v>
      </c>
      <c r="Y168" s="57" t="s">
        <v>130</v>
      </c>
    </row>
    <row r="169" customFormat="false" ht="15" hidden="false" customHeight="false" outlineLevel="0" collapsed="false">
      <c r="A169" s="25" t="s">
        <v>197</v>
      </c>
      <c r="B169" s="25" t="s">
        <v>312</v>
      </c>
      <c r="C169" s="25" t="s">
        <v>315</v>
      </c>
      <c r="D169" s="52" t="n">
        <f aca="false">ROUND(S169*T169,0)</f>
        <v>354</v>
      </c>
      <c r="E169" s="52" t="n">
        <f aca="false">ROUND(S169,0)-D169</f>
        <v>545</v>
      </c>
      <c r="F169" s="52" t="n">
        <f aca="false">IF(COUNTA(D169:E169)=0,"",SUM(D169:E169))</f>
        <v>899</v>
      </c>
      <c r="G169" s="53" t="n">
        <f aca="false">IF(OR(F169="",F169=0),"",D169/F169)</f>
        <v>0.39377085650723</v>
      </c>
      <c r="H169" s="53" t="n">
        <f aca="false">IF(OR(F169="",F169=0),"",E169/F169)</f>
        <v>0.60622914349277</v>
      </c>
      <c r="I169" s="25" t="s">
        <v>128</v>
      </c>
      <c r="J169" s="28" t="n">
        <v>2.37310914384046</v>
      </c>
      <c r="K169" s="28" t="n">
        <f aca="false">$K$8</f>
        <v>0.296197623206382</v>
      </c>
      <c r="L169" s="28" t="n">
        <f aca="false">SQRT(J169^2+K169^2)</f>
        <v>2.3915225360787</v>
      </c>
      <c r="M169" s="53" t="n">
        <f aca="false">IF(G169="","",MAX(0,G169-1.96*L169/100))</f>
        <v>0.346897014800088</v>
      </c>
      <c r="N169" s="53" t="n">
        <f aca="false">IF(G169="","",MIN(1,G169+1.96*L169/100))</f>
        <v>0.440644698214373</v>
      </c>
      <c r="O169" s="52" t="n">
        <f aca="false">ROUND(S169*W169,0)</f>
        <v>80</v>
      </c>
      <c r="P169" s="52" t="n">
        <f aca="false">IF(F169="","",ROUND(SQRT((F169*L169/100)^2+(G169*O169)^2),0))</f>
        <v>38</v>
      </c>
      <c r="R169" s="54" t="n">
        <v>-11.3780629066537</v>
      </c>
      <c r="S169" s="55" t="n">
        <f aca="false">U169*V169*$F$5</f>
        <v>898.819587628866</v>
      </c>
      <c r="T169" s="56" t="n">
        <f aca="false">MAX(0,MIN(1,R169/100+$D$5))</f>
        <v>0.393775478041878</v>
      </c>
      <c r="U169" s="56" t="n">
        <v>0.654639175257732</v>
      </c>
      <c r="V169" s="55" t="n">
        <v>1373</v>
      </c>
      <c r="W169" s="56" t="n">
        <v>0.0887445098984521</v>
      </c>
      <c r="X169" s="57" t="s">
        <v>135</v>
      </c>
      <c r="Y169" s="57" t="s">
        <v>130</v>
      </c>
    </row>
    <row r="170" customFormat="false" ht="15" hidden="false" customHeight="false" outlineLevel="0" collapsed="false">
      <c r="A170" s="25" t="s">
        <v>197</v>
      </c>
      <c r="B170" s="25" t="s">
        <v>312</v>
      </c>
      <c r="C170" s="25" t="s">
        <v>316</v>
      </c>
      <c r="D170" s="52" t="n">
        <f aca="false">ROUND(S170*T170,0)</f>
        <v>531</v>
      </c>
      <c r="E170" s="52" t="n">
        <f aca="false">ROUND(S170,0)-D170</f>
        <v>796</v>
      </c>
      <c r="F170" s="52" t="n">
        <f aca="false">IF(COUNTA(D170:E170)=0,"",SUM(D170:E170))</f>
        <v>1327</v>
      </c>
      <c r="G170" s="53" t="n">
        <f aca="false">IF(OR(F170="",F170=0),"",D170/F170)</f>
        <v>0.400150715900528</v>
      </c>
      <c r="H170" s="53" t="n">
        <f aca="false">IF(OR(F170="",F170=0),"",E170/F170)</f>
        <v>0.599849284099473</v>
      </c>
      <c r="I170" s="25" t="s">
        <v>128</v>
      </c>
      <c r="J170" s="28" t="n">
        <v>1.88612725432908</v>
      </c>
      <c r="K170" s="28" t="n">
        <f aca="false">$K$8</f>
        <v>0.296197623206382</v>
      </c>
      <c r="L170" s="28" t="n">
        <f aca="false">SQRT(J170^2+K170^2)</f>
        <v>1.909243057213</v>
      </c>
      <c r="M170" s="53" t="n">
        <f aca="false">IF(G170="","",MAX(0,G170-1.96*L170/100))</f>
        <v>0.362729551979153</v>
      </c>
      <c r="N170" s="53" t="n">
        <f aca="false">IF(G170="","",MIN(1,G170+1.96*L170/100))</f>
        <v>0.437571879821902</v>
      </c>
      <c r="O170" s="52" t="n">
        <f aca="false">ROUND(S170*W170,0)</f>
        <v>91</v>
      </c>
      <c r="P170" s="52" t="n">
        <f aca="false">IF(F170="","",ROUND(SQRT((F170*L170/100)^2+(G170*O170)^2),0))</f>
        <v>44</v>
      </c>
      <c r="R170" s="54" t="n">
        <v>-10.776383369571</v>
      </c>
      <c r="S170" s="55" t="n">
        <f aca="false">U170*V170*$F$5</f>
        <v>1327.11285266458</v>
      </c>
      <c r="T170" s="56" t="n">
        <f aca="false">MAX(0,MIN(1,R170/100+$D$5))</f>
        <v>0.399792273412705</v>
      </c>
      <c r="U170" s="56" t="n">
        <v>0.668234064785789</v>
      </c>
      <c r="V170" s="55" t="n">
        <v>1986</v>
      </c>
      <c r="W170" s="56" t="n">
        <v>0.0684752145190268</v>
      </c>
      <c r="X170" s="57" t="s">
        <v>168</v>
      </c>
      <c r="Y170" s="57" t="s">
        <v>130</v>
      </c>
    </row>
    <row r="171" customFormat="false" ht="15" hidden="false" customHeight="false" outlineLevel="0" collapsed="false">
      <c r="A171" s="25" t="s">
        <v>197</v>
      </c>
      <c r="B171" s="25" t="s">
        <v>312</v>
      </c>
      <c r="C171" s="25" t="s">
        <v>317</v>
      </c>
      <c r="D171" s="52" t="n">
        <f aca="false">ROUND(S171*T171,0)</f>
        <v>447</v>
      </c>
      <c r="E171" s="52" t="n">
        <f aca="false">ROUND(S171,0)-D171</f>
        <v>724</v>
      </c>
      <c r="F171" s="52" t="n">
        <f aca="false">IF(COUNTA(D171:E171)=0,"",SUM(D171:E171))</f>
        <v>1171</v>
      </c>
      <c r="G171" s="53" t="n">
        <f aca="false">IF(OR(F171="",F171=0),"",D171/F171)</f>
        <v>0.381725021349274</v>
      </c>
      <c r="H171" s="53" t="n">
        <f aca="false">IF(OR(F171="",F171=0),"",E171/F171)</f>
        <v>0.618274978650726</v>
      </c>
      <c r="I171" s="25" t="s">
        <v>128</v>
      </c>
      <c r="J171" s="28" t="n">
        <v>1.88612725432908</v>
      </c>
      <c r="K171" s="28" t="n">
        <f aca="false">$K$8</f>
        <v>0.296197623206382</v>
      </c>
      <c r="L171" s="28" t="n">
        <f aca="false">SQRT(J171^2+K171^2)</f>
        <v>1.909243057213</v>
      </c>
      <c r="M171" s="53" t="n">
        <f aca="false">IF(G171="","",MAX(0,G171-1.96*L171/100))</f>
        <v>0.344303857427899</v>
      </c>
      <c r="N171" s="53" t="n">
        <f aca="false">IF(G171="","",MIN(1,G171+1.96*L171/100))</f>
        <v>0.419146185270649</v>
      </c>
      <c r="O171" s="52" t="n">
        <f aca="false">ROUND(S171*W171,0)</f>
        <v>80</v>
      </c>
      <c r="P171" s="52" t="n">
        <f aca="false">IF(F171="","",ROUND(SQRT((F171*L171/100)^2+(G171*O171)^2),0))</f>
        <v>38</v>
      </c>
      <c r="R171" s="54" t="n">
        <v>-12.6175248899379</v>
      </c>
      <c r="S171" s="55" t="n">
        <f aca="false">U171*V171*$F$5</f>
        <v>1170.83890577508</v>
      </c>
      <c r="T171" s="56" t="n">
        <f aca="false">MAX(0,MIN(1,R171/100+$D$5))</f>
        <v>0.381380858209036</v>
      </c>
      <c r="U171" s="56" t="n">
        <v>0.716109422492401</v>
      </c>
      <c r="V171" s="55" t="n">
        <v>1635</v>
      </c>
      <c r="W171" s="56" t="n">
        <v>0.0684752145190268</v>
      </c>
      <c r="X171" s="57" t="s">
        <v>168</v>
      </c>
      <c r="Y171" s="57" t="s">
        <v>130</v>
      </c>
    </row>
    <row r="172" customFormat="false" ht="15" hidden="false" customHeight="false" outlineLevel="0" collapsed="false">
      <c r="A172" s="25" t="s">
        <v>197</v>
      </c>
      <c r="B172" s="25" t="s">
        <v>312</v>
      </c>
      <c r="C172" s="25" t="s">
        <v>318</v>
      </c>
      <c r="D172" s="52" t="n">
        <f aca="false">ROUND(S172*T172,0)</f>
        <v>382</v>
      </c>
      <c r="E172" s="52" t="n">
        <f aca="false">ROUND(S172,0)-D172</f>
        <v>531</v>
      </c>
      <c r="F172" s="52" t="n">
        <f aca="false">IF(COUNTA(D172:E172)=0,"",SUM(D172:E172))</f>
        <v>913</v>
      </c>
      <c r="G172" s="53" t="n">
        <f aca="false">IF(OR(F172="",F172=0),"",D172/F172)</f>
        <v>0.418400876232202</v>
      </c>
      <c r="H172" s="53" t="n">
        <f aca="false">IF(OR(F172="",F172=0),"",E172/F172)</f>
        <v>0.581599123767798</v>
      </c>
      <c r="I172" s="25" t="s">
        <v>128</v>
      </c>
      <c r="J172" s="28" t="n">
        <v>2.37310914384046</v>
      </c>
      <c r="K172" s="28" t="n">
        <f aca="false">$K$8</f>
        <v>0.296197623206382</v>
      </c>
      <c r="L172" s="28" t="n">
        <f aca="false">SQRT(J172^2+K172^2)</f>
        <v>2.3915225360787</v>
      </c>
      <c r="M172" s="53" t="n">
        <f aca="false">IF(G172="","",MAX(0,G172-1.96*L172/100))</f>
        <v>0.371527034525059</v>
      </c>
      <c r="N172" s="53" t="n">
        <f aca="false">IF(G172="","",MIN(1,G172+1.96*L172/100))</f>
        <v>0.465274717939344</v>
      </c>
      <c r="O172" s="52" t="n">
        <f aca="false">ROUND(S172*W172,0)</f>
        <v>81</v>
      </c>
      <c r="P172" s="52" t="n">
        <f aca="false">IF(F172="","",ROUND(SQRT((F172*L172/100)^2+(G172*O172)^2),0))</f>
        <v>40</v>
      </c>
      <c r="R172" s="54" t="n">
        <v>-8.94310359578799</v>
      </c>
      <c r="S172" s="55" t="n">
        <f aca="false">U172*V172*$F$5</f>
        <v>912.990356083086</v>
      </c>
      <c r="T172" s="56" t="n">
        <f aca="false">MAX(0,MIN(1,R172/100+$D$5))</f>
        <v>0.418125071150535</v>
      </c>
      <c r="U172" s="56" t="n">
        <v>0.61646884272997</v>
      </c>
      <c r="V172" s="55" t="n">
        <v>1481</v>
      </c>
      <c r="W172" s="56" t="n">
        <v>0.0887445098984521</v>
      </c>
      <c r="X172" s="57" t="s">
        <v>135</v>
      </c>
      <c r="Y172" s="57" t="s">
        <v>130</v>
      </c>
    </row>
    <row r="173" customFormat="false" ht="15" hidden="false" customHeight="false" outlineLevel="0" collapsed="false">
      <c r="A173" s="25" t="s">
        <v>197</v>
      </c>
      <c r="B173" s="25" t="s">
        <v>319</v>
      </c>
      <c r="C173" s="25" t="s">
        <v>320</v>
      </c>
      <c r="D173" s="52" t="n">
        <f aca="false">ROUND(S173*T173,0)</f>
        <v>515</v>
      </c>
      <c r="E173" s="52" t="n">
        <f aca="false">ROUND(S173,0)-D173</f>
        <v>504</v>
      </c>
      <c r="F173" s="52" t="n">
        <f aca="false">IF(COUNTA(D173:E173)=0,"",SUM(D173:E173))</f>
        <v>1019</v>
      </c>
      <c r="G173" s="53" t="n">
        <f aca="false">IF(OR(F173="",F173=0),"",D173/F173)</f>
        <v>0.505397448478901</v>
      </c>
      <c r="H173" s="53" t="n">
        <f aca="false">IF(OR(F173="",F173=0),"",E173/F173)</f>
        <v>0.494602551521099</v>
      </c>
      <c r="I173" s="25" t="s">
        <v>128</v>
      </c>
      <c r="J173" s="28" t="n">
        <v>1.88612725432908</v>
      </c>
      <c r="K173" s="28" t="n">
        <f aca="false">$K$8</f>
        <v>0.296197623206382</v>
      </c>
      <c r="L173" s="28" t="n">
        <f aca="false">SQRT(J173^2+K173^2)</f>
        <v>1.909243057213</v>
      </c>
      <c r="M173" s="53" t="n">
        <f aca="false">IF(G173="","",MAX(0,G173-1.96*L173/100))</f>
        <v>0.467976284557526</v>
      </c>
      <c r="N173" s="53" t="n">
        <f aca="false">IF(G173="","",MIN(1,G173+1.96*L173/100))</f>
        <v>0.542818612400276</v>
      </c>
      <c r="O173" s="52" t="n">
        <f aca="false">ROUND(S173*W173,0)</f>
        <v>70</v>
      </c>
      <c r="P173" s="52" t="n">
        <f aca="false">IF(F173="","",ROUND(SQRT((F173*L173/100)^2+(G173*O173)^2),0))</f>
        <v>40</v>
      </c>
      <c r="R173" s="54" t="n">
        <v>-0.219048870317139</v>
      </c>
      <c r="S173" s="55" t="n">
        <f aca="false">U173*V173*$F$5</f>
        <v>1018.96641574986</v>
      </c>
      <c r="T173" s="56" t="n">
        <f aca="false">MAX(0,MIN(1,R173/100+$D$5))</f>
        <v>0.505365618405243</v>
      </c>
      <c r="U173" s="56" t="n">
        <v>0.581933989577302</v>
      </c>
      <c r="V173" s="55" t="n">
        <v>1751</v>
      </c>
      <c r="W173" s="56" t="n">
        <v>0.0684752145190268</v>
      </c>
      <c r="X173" s="57" t="s">
        <v>168</v>
      </c>
      <c r="Y173" s="57" t="s">
        <v>130</v>
      </c>
    </row>
    <row r="174" customFormat="false" ht="15" hidden="false" customHeight="false" outlineLevel="0" collapsed="false">
      <c r="A174" s="25" t="s">
        <v>197</v>
      </c>
      <c r="B174" s="25" t="s">
        <v>319</v>
      </c>
      <c r="C174" s="25" t="s">
        <v>321</v>
      </c>
      <c r="D174" s="52" t="n">
        <f aca="false">ROUND(S174*T174,0)</f>
        <v>622</v>
      </c>
      <c r="E174" s="52" t="n">
        <f aca="false">ROUND(S174,0)-D174</f>
        <v>609</v>
      </c>
      <c r="F174" s="52" t="n">
        <f aca="false">IF(COUNTA(D174:E174)=0,"",SUM(D174:E174))</f>
        <v>1231</v>
      </c>
      <c r="G174" s="53" t="n">
        <f aca="false">IF(OR(F174="",F174=0),"",D174/F174)</f>
        <v>0.505280259951259</v>
      </c>
      <c r="H174" s="53" t="n">
        <f aca="false">IF(OR(F174="",F174=0),"",E174/F174)</f>
        <v>0.494719740048741</v>
      </c>
      <c r="I174" s="25" t="s">
        <v>128</v>
      </c>
      <c r="J174" s="28" t="n">
        <v>1.88612725432908</v>
      </c>
      <c r="K174" s="28" t="n">
        <f aca="false">$K$8</f>
        <v>0.296197623206382</v>
      </c>
      <c r="L174" s="28" t="n">
        <f aca="false">SQRT(J174^2+K174^2)</f>
        <v>1.909243057213</v>
      </c>
      <c r="M174" s="53" t="n">
        <f aca="false">IF(G174="","",MAX(0,G174-1.96*L174/100))</f>
        <v>0.467859096029884</v>
      </c>
      <c r="N174" s="53" t="n">
        <f aca="false">IF(G174="","",MIN(1,G174+1.96*L174/100))</f>
        <v>0.542701423872634</v>
      </c>
      <c r="O174" s="52" t="n">
        <f aca="false">ROUND(S174*W174,0)</f>
        <v>84</v>
      </c>
      <c r="P174" s="52" t="n">
        <f aca="false">IF(F174="","",ROUND(SQRT((F174*L174/100)^2+(G174*O174)^2),0))</f>
        <v>49</v>
      </c>
      <c r="R174" s="54" t="n">
        <v>-0.247210345296811</v>
      </c>
      <c r="S174" s="55" t="n">
        <f aca="false">U174*V174*$F$5</f>
        <v>1230.79069767442</v>
      </c>
      <c r="T174" s="56" t="n">
        <f aca="false">MAX(0,MIN(1,R174/100+$D$5))</f>
        <v>0.505084003655447</v>
      </c>
      <c r="U174" s="56" t="n">
        <v>0.609302325581395</v>
      </c>
      <c r="V174" s="55" t="n">
        <v>2020</v>
      </c>
      <c r="W174" s="56" t="n">
        <v>0.0684752145190268</v>
      </c>
      <c r="X174" s="57" t="s">
        <v>168</v>
      </c>
      <c r="Y174" s="57" t="s">
        <v>130</v>
      </c>
    </row>
    <row r="175" customFormat="false" ht="15" hidden="false" customHeight="false" outlineLevel="0" collapsed="false">
      <c r="A175" s="25" t="s">
        <v>197</v>
      </c>
      <c r="B175" s="25" t="s">
        <v>319</v>
      </c>
      <c r="C175" s="25" t="s">
        <v>322</v>
      </c>
      <c r="D175" s="52" t="n">
        <f aca="false">ROUND(S175*T175,0)</f>
        <v>281</v>
      </c>
      <c r="E175" s="52" t="n">
        <f aca="false">ROUND(S175,0)-D175</f>
        <v>273</v>
      </c>
      <c r="F175" s="52" t="n">
        <f aca="false">IF(COUNTA(D175:E175)=0,"",SUM(D175:E175))</f>
        <v>554</v>
      </c>
      <c r="G175" s="53" t="n">
        <f aca="false">IF(OR(F175="",F175=0),"",D175/F175)</f>
        <v>0.507220216606498</v>
      </c>
      <c r="H175" s="53" t="n">
        <f aca="false">IF(OR(F175="",F175=0),"",E175/F175)</f>
        <v>0.492779783393502</v>
      </c>
      <c r="I175" s="25" t="s">
        <v>128</v>
      </c>
      <c r="J175" s="28" t="n">
        <v>3.71103496666907</v>
      </c>
      <c r="K175" s="28" t="n">
        <f aca="false">$K$8</f>
        <v>0.296197623206382</v>
      </c>
      <c r="L175" s="28" t="n">
        <f aca="false">SQRT(J175^2+K175^2)</f>
        <v>3.72283676191068</v>
      </c>
      <c r="M175" s="53" t="n">
        <f aca="false">IF(G175="","",MAX(0,G175-1.96*L175/100))</f>
        <v>0.434252616073049</v>
      </c>
      <c r="N175" s="53" t="n">
        <f aca="false">IF(G175="","",MIN(1,G175+1.96*L175/100))</f>
        <v>0.580187817139948</v>
      </c>
      <c r="O175" s="52" t="n">
        <f aca="false">ROUND(S175*W175,0)</f>
        <v>82</v>
      </c>
      <c r="P175" s="52" t="n">
        <f aca="false">IF(F175="","",ROUND(SQRT((F175*L175/100)^2+(G175*O175)^2),0))</f>
        <v>46</v>
      </c>
      <c r="R175" s="54" t="n">
        <v>-0.111008717078207</v>
      </c>
      <c r="S175" s="55" t="n">
        <f aca="false">U175*V175*$F$5</f>
        <v>553.927710843374</v>
      </c>
      <c r="T175" s="56" t="n">
        <f aca="false">MAX(0,MIN(1,R175/100+$D$5))</f>
        <v>0.506446019937633</v>
      </c>
      <c r="U175" s="56" t="n">
        <v>0.674698795180723</v>
      </c>
      <c r="V175" s="55" t="n">
        <v>821</v>
      </c>
      <c r="W175" s="56" t="n">
        <v>0.148097331980838</v>
      </c>
      <c r="X175" s="57" t="s">
        <v>129</v>
      </c>
      <c r="Y175" s="57" t="s">
        <v>130</v>
      </c>
    </row>
    <row r="176" customFormat="false" ht="15" hidden="false" customHeight="false" outlineLevel="0" collapsed="false">
      <c r="A176" s="25" t="s">
        <v>197</v>
      </c>
      <c r="B176" s="25" t="s">
        <v>319</v>
      </c>
      <c r="C176" s="25" t="s">
        <v>323</v>
      </c>
      <c r="D176" s="52" t="n">
        <f aca="false">ROUND(S176*T176,0)</f>
        <v>327</v>
      </c>
      <c r="E176" s="52" t="n">
        <f aca="false">ROUND(S176,0)-D176</f>
        <v>311</v>
      </c>
      <c r="F176" s="52" t="n">
        <f aca="false">IF(COUNTA(D176:E176)=0,"",SUM(D176:E176))</f>
        <v>638</v>
      </c>
      <c r="G176" s="53" t="n">
        <f aca="false">IF(OR(F176="",F176=0),"",D176/F176)</f>
        <v>0.512539184952978</v>
      </c>
      <c r="H176" s="53" t="n">
        <f aca="false">IF(OR(F176="",F176=0),"",E176/F176)</f>
        <v>0.487460815047022</v>
      </c>
      <c r="I176" s="25" t="s">
        <v>128</v>
      </c>
      <c r="J176" s="28" t="n">
        <v>2.37310914384046</v>
      </c>
      <c r="K176" s="28" t="n">
        <f aca="false">$K$8</f>
        <v>0.296197623206382</v>
      </c>
      <c r="L176" s="28" t="n">
        <f aca="false">SQRT(J176^2+K176^2)</f>
        <v>2.3915225360787</v>
      </c>
      <c r="M176" s="53" t="n">
        <f aca="false">IF(G176="","",MAX(0,G176-1.96*L176/100))</f>
        <v>0.465665343245835</v>
      </c>
      <c r="N176" s="53" t="n">
        <f aca="false">IF(G176="","",MIN(1,G176+1.96*L176/100))</f>
        <v>0.559413026660121</v>
      </c>
      <c r="O176" s="52" t="n">
        <f aca="false">ROUND(S176*W176,0)</f>
        <v>57</v>
      </c>
      <c r="P176" s="52" t="n">
        <f aca="false">IF(F176="","",ROUND(SQRT((F176*L176/100)^2+(G176*O176)^2),0))</f>
        <v>33</v>
      </c>
      <c r="R176" s="54" t="n">
        <v>0.537488359287232</v>
      </c>
      <c r="S176" s="55" t="n">
        <f aca="false">U176*V176*$F$5</f>
        <v>638.017946161515</v>
      </c>
      <c r="T176" s="56" t="n">
        <f aca="false">MAX(0,MIN(1,R176/100+$D$5))</f>
        <v>0.512930990701287</v>
      </c>
      <c r="U176" s="56" t="n">
        <v>0.626121635094716</v>
      </c>
      <c r="V176" s="55" t="n">
        <v>1019</v>
      </c>
      <c r="W176" s="56" t="n">
        <v>0.0887445098984521</v>
      </c>
      <c r="X176" s="57" t="s">
        <v>135</v>
      </c>
      <c r="Y176" s="57" t="s">
        <v>130</v>
      </c>
    </row>
    <row r="177" customFormat="false" ht="15" hidden="false" customHeight="false" outlineLevel="0" collapsed="false">
      <c r="A177" s="25" t="s">
        <v>197</v>
      </c>
      <c r="B177" s="25" t="s">
        <v>319</v>
      </c>
      <c r="C177" s="25" t="s">
        <v>324</v>
      </c>
      <c r="D177" s="52" t="n">
        <f aca="false">ROUND(S177*T177,0)</f>
        <v>426</v>
      </c>
      <c r="E177" s="52" t="n">
        <f aca="false">ROUND(S177,0)-D177</f>
        <v>430</v>
      </c>
      <c r="F177" s="52" t="n">
        <f aca="false">IF(COUNTA(D177:E177)=0,"",SUM(D177:E177))</f>
        <v>856</v>
      </c>
      <c r="G177" s="53" t="n">
        <f aca="false">IF(OR(F177="",F177=0),"",D177/F177)</f>
        <v>0.497663551401869</v>
      </c>
      <c r="H177" s="53" t="n">
        <f aca="false">IF(OR(F177="",F177=0),"",E177/F177)</f>
        <v>0.502336448598131</v>
      </c>
      <c r="I177" s="25" t="s">
        <v>128</v>
      </c>
      <c r="J177" s="28" t="n">
        <v>2.37310914384046</v>
      </c>
      <c r="K177" s="28" t="n">
        <f aca="false">$K$8</f>
        <v>0.296197623206382</v>
      </c>
      <c r="L177" s="28" t="n">
        <f aca="false">SQRT(J177^2+K177^2)</f>
        <v>2.3915225360787</v>
      </c>
      <c r="M177" s="53" t="n">
        <f aca="false">IF(G177="","",MAX(0,G177-1.96*L177/100))</f>
        <v>0.450789709694727</v>
      </c>
      <c r="N177" s="53" t="n">
        <f aca="false">IF(G177="","",MIN(1,G177+1.96*L177/100))</f>
        <v>0.544537393109012</v>
      </c>
      <c r="O177" s="52" t="n">
        <f aca="false">ROUND(S177*W177,0)</f>
        <v>76</v>
      </c>
      <c r="P177" s="52" t="n">
        <f aca="false">IF(F177="","",ROUND(SQRT((F177*L177/100)^2+(G177*O177)^2),0))</f>
        <v>43</v>
      </c>
      <c r="R177" s="54" t="n">
        <v>-0.928872681903463</v>
      </c>
      <c r="S177" s="55" t="n">
        <f aca="false">U177*V177*$F$5</f>
        <v>855.646785437645</v>
      </c>
      <c r="T177" s="56" t="n">
        <f aca="false">MAX(0,MIN(1,R177/100+$D$5))</f>
        <v>0.49826738028938</v>
      </c>
      <c r="U177" s="56" t="n">
        <v>0.66847405112316</v>
      </c>
      <c r="V177" s="55" t="n">
        <v>1280</v>
      </c>
      <c r="W177" s="56" t="n">
        <v>0.0887445098984521</v>
      </c>
      <c r="X177" s="57" t="s">
        <v>135</v>
      </c>
      <c r="Y177" s="57" t="s">
        <v>130</v>
      </c>
    </row>
    <row r="178" customFormat="false" ht="15" hidden="false" customHeight="false" outlineLevel="0" collapsed="false">
      <c r="A178" s="25" t="s">
        <v>197</v>
      </c>
      <c r="B178" s="25" t="s">
        <v>319</v>
      </c>
      <c r="C178" s="25" t="s">
        <v>325</v>
      </c>
      <c r="D178" s="52" t="n">
        <f aca="false">ROUND(S178*T178,0)</f>
        <v>274</v>
      </c>
      <c r="E178" s="52" t="n">
        <f aca="false">ROUND(S178,0)-D178</f>
        <v>293</v>
      </c>
      <c r="F178" s="52" t="n">
        <f aca="false">IF(COUNTA(D178:E178)=0,"",SUM(D178:E178))</f>
        <v>567</v>
      </c>
      <c r="G178" s="53" t="n">
        <f aca="false">IF(OR(F178="",F178=0),"",D178/F178)</f>
        <v>0.483245149911817</v>
      </c>
      <c r="H178" s="53" t="n">
        <f aca="false">IF(OR(F178="",F178=0),"",E178/F178)</f>
        <v>0.516754850088183</v>
      </c>
      <c r="I178" s="25" t="s">
        <v>128</v>
      </c>
      <c r="J178" s="28" t="n">
        <v>3.71103496666907</v>
      </c>
      <c r="K178" s="28" t="n">
        <f aca="false">$K$8</f>
        <v>0.296197623206382</v>
      </c>
      <c r="L178" s="28" t="n">
        <f aca="false">SQRT(J178^2+K178^2)</f>
        <v>3.72283676191068</v>
      </c>
      <c r="M178" s="53" t="n">
        <f aca="false">IF(G178="","",MAX(0,G178-1.96*L178/100))</f>
        <v>0.410277549378367</v>
      </c>
      <c r="N178" s="53" t="n">
        <f aca="false">IF(G178="","",MIN(1,G178+1.96*L178/100))</f>
        <v>0.556212750445266</v>
      </c>
      <c r="O178" s="52" t="n">
        <f aca="false">ROUND(S178*W178,0)</f>
        <v>84</v>
      </c>
      <c r="P178" s="52" t="n">
        <f aca="false">IF(F178="","",ROUND(SQRT((F178*L178/100)^2+(G178*O178)^2),0))</f>
        <v>46</v>
      </c>
      <c r="R178" s="54" t="n">
        <v>-2.35579092658885</v>
      </c>
      <c r="S178" s="55" t="n">
        <f aca="false">U178*V178*$F$5</f>
        <v>566.944444444444</v>
      </c>
      <c r="T178" s="56" t="n">
        <f aca="false">MAX(0,MIN(1,R178/100+$D$5))</f>
        <v>0.483998197842526</v>
      </c>
      <c r="U178" s="56" t="n">
        <v>0.722222222222222</v>
      </c>
      <c r="V178" s="55" t="n">
        <v>785</v>
      </c>
      <c r="W178" s="56" t="n">
        <v>0.148097331980838</v>
      </c>
      <c r="X178" s="57" t="s">
        <v>129</v>
      </c>
      <c r="Y178" s="57" t="s">
        <v>130</v>
      </c>
    </row>
    <row r="179" customFormat="false" ht="15" hidden="false" customHeight="false" outlineLevel="0" collapsed="false">
      <c r="A179" s="25" t="s">
        <v>197</v>
      </c>
      <c r="B179" s="25" t="s">
        <v>319</v>
      </c>
      <c r="C179" s="25" t="s">
        <v>326</v>
      </c>
      <c r="D179" s="52" t="n">
        <f aca="false">ROUND(S179*T179,0)</f>
        <v>354</v>
      </c>
      <c r="E179" s="52" t="n">
        <f aca="false">ROUND(S179,0)-D179</f>
        <v>305</v>
      </c>
      <c r="F179" s="52" t="n">
        <f aca="false">IF(COUNTA(D179:E179)=0,"",SUM(D179:E179))</f>
        <v>659</v>
      </c>
      <c r="G179" s="53" t="n">
        <f aca="false">IF(OR(F179="",F179=0),"",D179/F179)</f>
        <v>0.537177541729894</v>
      </c>
      <c r="H179" s="53" t="n">
        <f aca="false">IF(OR(F179="",F179=0),"",E179/F179)</f>
        <v>0.462822458270106</v>
      </c>
      <c r="I179" s="25" t="s">
        <v>128</v>
      </c>
      <c r="J179" s="28" t="n">
        <v>2.37310914384046</v>
      </c>
      <c r="K179" s="28" t="n">
        <f aca="false">$K$8</f>
        <v>0.296197623206382</v>
      </c>
      <c r="L179" s="28" t="n">
        <f aca="false">SQRT(J179^2+K179^2)</f>
        <v>2.3915225360787</v>
      </c>
      <c r="M179" s="53" t="n">
        <f aca="false">IF(G179="","",MAX(0,G179-1.96*L179/100))</f>
        <v>0.490303700022751</v>
      </c>
      <c r="N179" s="53" t="n">
        <f aca="false">IF(G179="","",MIN(1,G179+1.96*L179/100))</f>
        <v>0.584051383437036</v>
      </c>
      <c r="O179" s="52" t="n">
        <f aca="false">ROUND(S179*W179,0)</f>
        <v>59</v>
      </c>
      <c r="P179" s="52" t="n">
        <f aca="false">IF(F179="","",ROUND(SQRT((F179*L179/100)^2+(G179*O179)^2),0))</f>
        <v>35</v>
      </c>
      <c r="R179" s="54" t="n">
        <v>2.91990443895391</v>
      </c>
      <c r="S179" s="55" t="n">
        <f aca="false">U179*V179*$F$5</f>
        <v>659.344556677891</v>
      </c>
      <c r="T179" s="56" t="n">
        <f aca="false">MAX(0,MIN(1,R179/100+$D$5))</f>
        <v>0.536755151497954</v>
      </c>
      <c r="U179" s="56" t="n">
        <v>0.72615039281706</v>
      </c>
      <c r="V179" s="55" t="n">
        <v>908</v>
      </c>
      <c r="W179" s="56" t="n">
        <v>0.0887445098984521</v>
      </c>
      <c r="X179" s="57" t="s">
        <v>135</v>
      </c>
      <c r="Y179" s="57" t="s">
        <v>130</v>
      </c>
    </row>
    <row r="180" customFormat="false" ht="15" hidden="false" customHeight="false" outlineLevel="0" collapsed="false">
      <c r="A180" s="25" t="s">
        <v>197</v>
      </c>
      <c r="B180" s="25" t="s">
        <v>319</v>
      </c>
      <c r="C180" s="25" t="s">
        <v>327</v>
      </c>
      <c r="D180" s="52" t="n">
        <f aca="false">ROUND(S180*T180,0)</f>
        <v>459</v>
      </c>
      <c r="E180" s="52" t="n">
        <f aca="false">ROUND(S180,0)-D180</f>
        <v>441</v>
      </c>
      <c r="F180" s="52" t="n">
        <f aca="false">IF(COUNTA(D180:E180)=0,"",SUM(D180:E180))</f>
        <v>900</v>
      </c>
      <c r="G180" s="53" t="n">
        <f aca="false">IF(OR(F180="",F180=0),"",D180/F180)</f>
        <v>0.51</v>
      </c>
      <c r="H180" s="53" t="n">
        <f aca="false">IF(OR(F180="",F180=0),"",E180/F180)</f>
        <v>0.49</v>
      </c>
      <c r="I180" s="25" t="s">
        <v>128</v>
      </c>
      <c r="J180" s="28" t="n">
        <v>2.37310914384046</v>
      </c>
      <c r="K180" s="28" t="n">
        <f aca="false">$K$8</f>
        <v>0.296197623206382</v>
      </c>
      <c r="L180" s="28" t="n">
        <f aca="false">SQRT(J180^2+K180^2)</f>
        <v>2.3915225360787</v>
      </c>
      <c r="M180" s="53" t="n">
        <f aca="false">IF(G180="","",MAX(0,G180-1.96*L180/100))</f>
        <v>0.463126158292857</v>
      </c>
      <c r="N180" s="53" t="n">
        <f aca="false">IF(G180="","",MIN(1,G180+1.96*L180/100))</f>
        <v>0.556873841707143</v>
      </c>
      <c r="O180" s="52" t="n">
        <f aca="false">ROUND(S180*W180,0)</f>
        <v>80</v>
      </c>
      <c r="P180" s="52" t="n">
        <f aca="false">IF(F180="","",ROUND(SQRT((F180*L180/100)^2+(G180*O180)^2),0))</f>
        <v>46</v>
      </c>
      <c r="R180" s="54" t="n">
        <v>0.266414936643526</v>
      </c>
      <c r="S180" s="55" t="n">
        <f aca="false">U180*V180*$F$5</f>
        <v>900.130434782609</v>
      </c>
      <c r="T180" s="56" t="n">
        <f aca="false">MAX(0,MIN(1,R180/100+$D$5))</f>
        <v>0.51022025647485</v>
      </c>
      <c r="U180" s="56" t="n">
        <v>0.707093821510297</v>
      </c>
      <c r="V180" s="55" t="n">
        <v>1273</v>
      </c>
      <c r="W180" s="56" t="n">
        <v>0.0887445098984521</v>
      </c>
      <c r="X180" s="57" t="s">
        <v>135</v>
      </c>
      <c r="Y180" s="57" t="s">
        <v>130</v>
      </c>
    </row>
    <row r="181" customFormat="false" ht="15" hidden="false" customHeight="false" outlineLevel="0" collapsed="false">
      <c r="A181" s="25" t="s">
        <v>197</v>
      </c>
      <c r="B181" s="25" t="s">
        <v>328</v>
      </c>
      <c r="C181" s="25" t="s">
        <v>329</v>
      </c>
      <c r="D181" s="52" t="n">
        <f aca="false">ROUND(S181*T181,0)</f>
        <v>170</v>
      </c>
      <c r="E181" s="52" t="n">
        <f aca="false">ROUND(S181,0)-D181</f>
        <v>221</v>
      </c>
      <c r="F181" s="52" t="n">
        <f aca="false">IF(COUNTA(D181:E181)=0,"",SUM(D181:E181))</f>
        <v>391</v>
      </c>
      <c r="G181" s="53" t="n">
        <f aca="false">IF(OR(F181="",F181=0),"",D181/F181)</f>
        <v>0.434782608695652</v>
      </c>
      <c r="H181" s="53" t="n">
        <f aca="false">IF(OR(F181="",F181=0),"",E181/F181)</f>
        <v>0.565217391304348</v>
      </c>
      <c r="I181" s="25" t="s">
        <v>128</v>
      </c>
      <c r="J181" s="28" t="n">
        <v>3.71103496666907</v>
      </c>
      <c r="K181" s="28" t="n">
        <f aca="false">$K$8</f>
        <v>0.296197623206382</v>
      </c>
      <c r="L181" s="28" t="n">
        <f aca="false">SQRT(J181^2+K181^2)</f>
        <v>3.72283676191068</v>
      </c>
      <c r="M181" s="53" t="n">
        <f aca="false">IF(G181="","",MAX(0,G181-1.96*L181/100))</f>
        <v>0.361815008162203</v>
      </c>
      <c r="N181" s="53" t="n">
        <f aca="false">IF(G181="","",MIN(1,G181+1.96*L181/100))</f>
        <v>0.507750209229102</v>
      </c>
      <c r="O181" s="52" t="n">
        <f aca="false">ROUND(S181*W181,0)</f>
        <v>58</v>
      </c>
      <c r="P181" s="52" t="n">
        <f aca="false">IF(F181="","",ROUND(SQRT((F181*L181/100)^2+(G181*O181)^2),0))</f>
        <v>29</v>
      </c>
      <c r="R181" s="54" t="n">
        <v>-7.24573041629358</v>
      </c>
      <c r="S181" s="55" t="n">
        <f aca="false">U181*V181*$F$5</f>
        <v>390.71668667467</v>
      </c>
      <c r="T181" s="56" t="n">
        <f aca="false">MAX(0,MIN(1,R181/100+$D$5))</f>
        <v>0.435098802945479</v>
      </c>
      <c r="U181" s="56" t="n">
        <v>0.464585834333733</v>
      </c>
      <c r="V181" s="55" t="n">
        <v>841</v>
      </c>
      <c r="W181" s="56" t="n">
        <v>0.148097331980838</v>
      </c>
      <c r="X181" s="57" t="s">
        <v>129</v>
      </c>
      <c r="Y181" s="57" t="s">
        <v>130</v>
      </c>
    </row>
    <row r="182" customFormat="false" ht="15" hidden="false" customHeight="false" outlineLevel="0" collapsed="false">
      <c r="A182" s="25" t="s">
        <v>197</v>
      </c>
      <c r="B182" s="25" t="s">
        <v>328</v>
      </c>
      <c r="C182" s="25" t="s">
        <v>330</v>
      </c>
      <c r="D182" s="52" t="n">
        <f aca="false">ROUND(S182*T182,0)</f>
        <v>129</v>
      </c>
      <c r="E182" s="52" t="n">
        <f aca="false">ROUND(S182,0)-D182</f>
        <v>187</v>
      </c>
      <c r="F182" s="52" t="n">
        <f aca="false">IF(COUNTA(D182:E182)=0,"",SUM(D182:E182))</f>
        <v>316</v>
      </c>
      <c r="G182" s="53" t="n">
        <f aca="false">IF(OR(F182="",F182=0),"",D182/F182)</f>
        <v>0.408227848101266</v>
      </c>
      <c r="H182" s="53" t="n">
        <f aca="false">IF(OR(F182="",F182=0),"",E182/F182)</f>
        <v>0.591772151898734</v>
      </c>
      <c r="I182" s="25" t="s">
        <v>128</v>
      </c>
      <c r="J182" s="28" t="n">
        <v>3.71103496666907</v>
      </c>
      <c r="K182" s="28" t="n">
        <f aca="false">$K$8</f>
        <v>0.296197623206382</v>
      </c>
      <c r="L182" s="28" t="n">
        <f aca="false">SQRT(J182^2+K182^2)</f>
        <v>3.72283676191068</v>
      </c>
      <c r="M182" s="53" t="n">
        <f aca="false">IF(G182="","",MAX(0,G182-1.96*L182/100))</f>
        <v>0.335260247567816</v>
      </c>
      <c r="N182" s="53" t="n">
        <f aca="false">IF(G182="","",MIN(1,G182+1.96*L182/100))</f>
        <v>0.481195448634715</v>
      </c>
      <c r="O182" s="52" t="n">
        <f aca="false">ROUND(S182*W182,0)</f>
        <v>47</v>
      </c>
      <c r="P182" s="52" t="n">
        <f aca="false">IF(F182="","",ROUND(SQRT((F182*L182/100)^2+(G182*O182)^2),0))</f>
        <v>23</v>
      </c>
      <c r="R182" s="54" t="n">
        <v>-10.1045345614356</v>
      </c>
      <c r="S182" s="55" t="n">
        <f aca="false">U182*V182*$F$5</f>
        <v>316.23569023569</v>
      </c>
      <c r="T182" s="56" t="n">
        <f aca="false">MAX(0,MIN(1,R182/100+$D$5))</f>
        <v>0.406510761494059</v>
      </c>
      <c r="U182" s="56" t="n">
        <v>0.508417508417508</v>
      </c>
      <c r="V182" s="55" t="n">
        <v>622</v>
      </c>
      <c r="W182" s="56" t="n">
        <v>0.148097331980838</v>
      </c>
      <c r="X182" s="57" t="s">
        <v>129</v>
      </c>
      <c r="Y182" s="57" t="s">
        <v>130</v>
      </c>
    </row>
    <row r="183" customFormat="false" ht="15" hidden="false" customHeight="false" outlineLevel="0" collapsed="false">
      <c r="A183" s="25" t="s">
        <v>197</v>
      </c>
      <c r="B183" s="25" t="s">
        <v>328</v>
      </c>
      <c r="C183" s="25" t="s">
        <v>331</v>
      </c>
      <c r="D183" s="52" t="n">
        <f aca="false">ROUND(S183*T183,0)</f>
        <v>283</v>
      </c>
      <c r="E183" s="52" t="n">
        <f aca="false">ROUND(S183,0)-D183</f>
        <v>401</v>
      </c>
      <c r="F183" s="52" t="n">
        <f aca="false">IF(COUNTA(D183:E183)=0,"",SUM(D183:E183))</f>
        <v>684</v>
      </c>
      <c r="G183" s="53" t="n">
        <f aca="false">IF(OR(F183="",F183=0),"",D183/F183)</f>
        <v>0.41374269005848</v>
      </c>
      <c r="H183" s="53" t="n">
        <f aca="false">IF(OR(F183="",F183=0),"",E183/F183)</f>
        <v>0.586257309941521</v>
      </c>
      <c r="I183" s="25" t="s">
        <v>128</v>
      </c>
      <c r="J183" s="28" t="n">
        <v>2.37310914384046</v>
      </c>
      <c r="K183" s="28" t="n">
        <f aca="false">$K$8</f>
        <v>0.296197623206382</v>
      </c>
      <c r="L183" s="28" t="n">
        <f aca="false">SQRT(J183^2+K183^2)</f>
        <v>2.3915225360787</v>
      </c>
      <c r="M183" s="53" t="n">
        <f aca="false">IF(G183="","",MAX(0,G183-1.96*L183/100))</f>
        <v>0.366868848351337</v>
      </c>
      <c r="N183" s="53" t="n">
        <f aca="false">IF(G183="","",MIN(1,G183+1.96*L183/100))</f>
        <v>0.460616531765622</v>
      </c>
      <c r="O183" s="52" t="n">
        <f aca="false">ROUND(S183*W183,0)</f>
        <v>61</v>
      </c>
      <c r="P183" s="52" t="n">
        <f aca="false">IF(F183="","",ROUND(SQRT((F183*L183/100)^2+(G183*O183)^2),0))</f>
        <v>30</v>
      </c>
      <c r="R183" s="54" t="n">
        <v>-9.39978203840898</v>
      </c>
      <c r="S183" s="55" t="n">
        <f aca="false">U183*V183*$F$5</f>
        <v>684.341030195382</v>
      </c>
      <c r="T183" s="56" t="n">
        <f aca="false">MAX(0,MIN(1,R183/100+$D$5))</f>
        <v>0.413558286724325</v>
      </c>
      <c r="U183" s="56" t="n">
        <v>0.587921847246892</v>
      </c>
      <c r="V183" s="55" t="n">
        <v>1164</v>
      </c>
      <c r="W183" s="56" t="n">
        <v>0.0887445098984521</v>
      </c>
      <c r="X183" s="57" t="s">
        <v>135</v>
      </c>
      <c r="Y183" s="57" t="s">
        <v>130</v>
      </c>
    </row>
    <row r="184" customFormat="false" ht="15" hidden="false" customHeight="false" outlineLevel="0" collapsed="false">
      <c r="A184" s="25" t="s">
        <v>197</v>
      </c>
      <c r="B184" s="25" t="s">
        <v>332</v>
      </c>
      <c r="C184" s="25" t="s">
        <v>333</v>
      </c>
      <c r="D184" s="52" t="n">
        <f aca="false">ROUND(S184*T184,0)</f>
        <v>718</v>
      </c>
      <c r="E184" s="52" t="n">
        <f aca="false">ROUND(S184,0)-D184</f>
        <v>701</v>
      </c>
      <c r="F184" s="52" t="n">
        <f aca="false">IF(COUNTA(D184:E184)=0,"",SUM(D184:E184))</f>
        <v>1419</v>
      </c>
      <c r="G184" s="53" t="n">
        <f aca="false">IF(OR(F184="",F184=0),"",D184/F184)</f>
        <v>0.505990133897111</v>
      </c>
      <c r="H184" s="53" t="n">
        <f aca="false">IF(OR(F184="",F184=0),"",E184/F184)</f>
        <v>0.494009866102889</v>
      </c>
      <c r="I184" s="25" t="s">
        <v>128</v>
      </c>
      <c r="J184" s="28" t="n">
        <v>1.88612725432908</v>
      </c>
      <c r="K184" s="28" t="n">
        <f aca="false">$K$8</f>
        <v>0.296197623206382</v>
      </c>
      <c r="L184" s="28" t="n">
        <f aca="false">SQRT(J184^2+K184^2)</f>
        <v>1.909243057213</v>
      </c>
      <c r="M184" s="53" t="n">
        <f aca="false">IF(G184="","",MAX(0,G184-1.96*L184/100))</f>
        <v>0.468568969975736</v>
      </c>
      <c r="N184" s="53" t="n">
        <f aca="false">IF(G184="","",MIN(1,G184+1.96*L184/100))</f>
        <v>0.543411297818486</v>
      </c>
      <c r="O184" s="52" t="n">
        <f aca="false">ROUND(S184*W184,0)</f>
        <v>97</v>
      </c>
      <c r="P184" s="52" t="n">
        <f aca="false">IF(F184="","",ROUND(SQRT((F184*L184/100)^2+(G184*O184)^2),0))</f>
        <v>56</v>
      </c>
      <c r="R184" s="54" t="n">
        <v>-0.139049505488803</v>
      </c>
      <c r="S184" s="55" t="n">
        <f aca="false">U184*V184*$F$5</f>
        <v>1418.72759856631</v>
      </c>
      <c r="T184" s="56" t="n">
        <f aca="false">MAX(0,MIN(1,R184/100+$D$5))</f>
        <v>0.506165612053527</v>
      </c>
      <c r="U184" s="56" t="n">
        <v>0.636200716845878</v>
      </c>
      <c r="V184" s="55" t="n">
        <v>2230</v>
      </c>
      <c r="W184" s="56" t="n">
        <v>0.0684752145190268</v>
      </c>
      <c r="X184" s="57" t="s">
        <v>168</v>
      </c>
      <c r="Y184" s="57" t="s">
        <v>130</v>
      </c>
    </row>
    <row r="185" customFormat="false" ht="15" hidden="false" customHeight="false" outlineLevel="0" collapsed="false">
      <c r="A185" s="25" t="s">
        <v>197</v>
      </c>
      <c r="B185" s="25" t="s">
        <v>332</v>
      </c>
      <c r="C185" s="25" t="s">
        <v>334</v>
      </c>
      <c r="D185" s="52" t="n">
        <f aca="false">ROUND(S185*T185,0)</f>
        <v>342</v>
      </c>
      <c r="E185" s="52" t="n">
        <f aca="false">ROUND(S185,0)-D185</f>
        <v>319</v>
      </c>
      <c r="F185" s="52" t="n">
        <f aca="false">IF(COUNTA(D185:E185)=0,"",SUM(D185:E185))</f>
        <v>661</v>
      </c>
      <c r="G185" s="53" t="n">
        <f aca="false">IF(OR(F185="",F185=0),"",D185/F185)</f>
        <v>0.517397881996974</v>
      </c>
      <c r="H185" s="53" t="n">
        <f aca="false">IF(OR(F185="",F185=0),"",E185/F185)</f>
        <v>0.482602118003026</v>
      </c>
      <c r="I185" s="25" t="s">
        <v>128</v>
      </c>
      <c r="J185" s="28" t="n">
        <v>2.37310914384046</v>
      </c>
      <c r="K185" s="28" t="n">
        <f aca="false">$K$8</f>
        <v>0.296197623206382</v>
      </c>
      <c r="L185" s="28" t="n">
        <f aca="false">SQRT(J185^2+K185^2)</f>
        <v>2.3915225360787</v>
      </c>
      <c r="M185" s="53" t="n">
        <f aca="false">IF(G185="","",MAX(0,G185-1.96*L185/100))</f>
        <v>0.470524040289832</v>
      </c>
      <c r="N185" s="53" t="n">
        <f aca="false">IF(G185="","",MIN(1,G185+1.96*L185/100))</f>
        <v>0.564271723704117</v>
      </c>
      <c r="O185" s="52" t="n">
        <f aca="false">ROUND(S185*W185,0)</f>
        <v>59</v>
      </c>
      <c r="P185" s="52" t="n">
        <f aca="false">IF(F185="","",ROUND(SQRT((F185*L185/100)^2+(G185*O185)^2),0))</f>
        <v>34</v>
      </c>
      <c r="R185" s="54" t="n">
        <v>0.967371022438248</v>
      </c>
      <c r="S185" s="55" t="n">
        <f aca="false">U185*V185*$F$5</f>
        <v>660.903056768559</v>
      </c>
      <c r="T185" s="56" t="n">
        <f aca="false">MAX(0,MIN(1,R185/100+$D$5))</f>
        <v>0.517229817332797</v>
      </c>
      <c r="U185" s="56" t="n">
        <v>0.566812227074236</v>
      </c>
      <c r="V185" s="55" t="n">
        <v>1166</v>
      </c>
      <c r="W185" s="56" t="n">
        <v>0.0887445098984521</v>
      </c>
      <c r="X185" s="57" t="s">
        <v>135</v>
      </c>
      <c r="Y185" s="57" t="s">
        <v>130</v>
      </c>
    </row>
    <row r="186" customFormat="false" ht="15" hidden="false" customHeight="false" outlineLevel="0" collapsed="false">
      <c r="A186" s="25" t="s">
        <v>197</v>
      </c>
      <c r="B186" s="25" t="s">
        <v>332</v>
      </c>
      <c r="C186" s="25" t="s">
        <v>335</v>
      </c>
      <c r="D186" s="52" t="n">
        <f aca="false">ROUND(S186*T186,0)</f>
        <v>963</v>
      </c>
      <c r="E186" s="52" t="n">
        <f aca="false">ROUND(S186,0)-D186</f>
        <v>716</v>
      </c>
      <c r="F186" s="52" t="n">
        <f aca="false">IF(COUNTA(D186:E186)=0,"",SUM(D186:E186))</f>
        <v>1679</v>
      </c>
      <c r="G186" s="53" t="n">
        <f aca="false">IF(OR(F186="",F186=0),"",D186/F186)</f>
        <v>0.57355568790947</v>
      </c>
      <c r="H186" s="53" t="n">
        <f aca="false">IF(OR(F186="",F186=0),"",E186/F186)</f>
        <v>0.42644431209053</v>
      </c>
      <c r="I186" s="25" t="s">
        <v>128</v>
      </c>
      <c r="J186" s="28" t="n">
        <v>1.88612725432908</v>
      </c>
      <c r="K186" s="28" t="n">
        <f aca="false">$K$8</f>
        <v>0.296197623206382</v>
      </c>
      <c r="L186" s="28" t="n">
        <f aca="false">SQRT(J186^2+K186^2)</f>
        <v>1.909243057213</v>
      </c>
      <c r="M186" s="53" t="n">
        <f aca="false">IF(G186="","",MAX(0,G186-1.96*L186/100))</f>
        <v>0.536134523988095</v>
      </c>
      <c r="N186" s="53" t="n">
        <f aca="false">IF(G186="","",MIN(1,G186+1.96*L186/100))</f>
        <v>0.610976851830845</v>
      </c>
      <c r="O186" s="52" t="n">
        <f aca="false">ROUND(S186*W186,0)</f>
        <v>115</v>
      </c>
      <c r="P186" s="52" t="n">
        <f aca="false">IF(F186="","",ROUND(SQRT((F186*L186/100)^2+(G186*O186)^2),0))</f>
        <v>73</v>
      </c>
      <c r="R186" s="54" t="n">
        <v>6.60675174216741</v>
      </c>
      <c r="S186" s="55" t="n">
        <f aca="false">U186*V186*$F$5</f>
        <v>1678.57188498403</v>
      </c>
      <c r="T186" s="56" t="n">
        <f aca="false">MAX(0,MIN(1,R186/100+$D$5))</f>
        <v>0.573623624530089</v>
      </c>
      <c r="U186" s="56" t="n">
        <v>0.625399361022364</v>
      </c>
      <c r="V186" s="55" t="n">
        <v>2684</v>
      </c>
      <c r="W186" s="56" t="n">
        <v>0.0684752145190268</v>
      </c>
      <c r="X186" s="57" t="s">
        <v>168</v>
      </c>
      <c r="Y186" s="57" t="s">
        <v>130</v>
      </c>
    </row>
    <row r="187" customFormat="false" ht="15" hidden="false" customHeight="false" outlineLevel="0" collapsed="false">
      <c r="A187" s="25" t="s">
        <v>197</v>
      </c>
      <c r="B187" s="25" t="s">
        <v>332</v>
      </c>
      <c r="C187" s="25" t="s">
        <v>336</v>
      </c>
      <c r="D187" s="52" t="n">
        <f aca="false">ROUND(S187*T187,0)</f>
        <v>428</v>
      </c>
      <c r="E187" s="52" t="n">
        <f aca="false">ROUND(S187,0)-D187</f>
        <v>440</v>
      </c>
      <c r="F187" s="52" t="n">
        <f aca="false">IF(COUNTA(D187:E187)=0,"",SUM(D187:E187))</f>
        <v>868</v>
      </c>
      <c r="G187" s="53" t="n">
        <f aca="false">IF(OR(F187="",F187=0),"",D187/F187)</f>
        <v>0.493087557603687</v>
      </c>
      <c r="H187" s="53" t="n">
        <f aca="false">IF(OR(F187="",F187=0),"",E187/F187)</f>
        <v>0.506912442396313</v>
      </c>
      <c r="I187" s="25" t="s">
        <v>128</v>
      </c>
      <c r="J187" s="28" t="n">
        <v>2.37310914384046</v>
      </c>
      <c r="K187" s="28" t="n">
        <f aca="false">$K$8</f>
        <v>0.296197623206382</v>
      </c>
      <c r="L187" s="28" t="n">
        <f aca="false">SQRT(J187^2+K187^2)</f>
        <v>2.3915225360787</v>
      </c>
      <c r="M187" s="53" t="n">
        <f aca="false">IF(G187="","",MAX(0,G187-1.96*L187/100))</f>
        <v>0.446213715896544</v>
      </c>
      <c r="N187" s="53" t="n">
        <f aca="false">IF(G187="","",MIN(1,G187+1.96*L187/100))</f>
        <v>0.539961399310829</v>
      </c>
      <c r="O187" s="52" t="n">
        <f aca="false">ROUND(S187*W187,0)</f>
        <v>77</v>
      </c>
      <c r="P187" s="52" t="n">
        <f aca="false">IF(F187="","",ROUND(SQRT((F187*L187/100)^2+(G187*O187)^2),0))</f>
        <v>43</v>
      </c>
      <c r="R187" s="54" t="n">
        <v>-1.43110636973235</v>
      </c>
      <c r="S187" s="55" t="n">
        <f aca="false">U187*V187*$F$5</f>
        <v>868.364696734059</v>
      </c>
      <c r="T187" s="56" t="n">
        <f aca="false">MAX(0,MIN(1,R187/100+$D$5))</f>
        <v>0.493245043411091</v>
      </c>
      <c r="U187" s="56" t="n">
        <v>0.669517884914464</v>
      </c>
      <c r="V187" s="55" t="n">
        <v>1297</v>
      </c>
      <c r="W187" s="56" t="n">
        <v>0.0887445098984521</v>
      </c>
      <c r="X187" s="57" t="s">
        <v>135</v>
      </c>
      <c r="Y187" s="57" t="s">
        <v>130</v>
      </c>
    </row>
    <row r="188" customFormat="false" ht="15" hidden="false" customHeight="false" outlineLevel="0" collapsed="false">
      <c r="A188" s="25" t="s">
        <v>197</v>
      </c>
      <c r="B188" s="25" t="s">
        <v>332</v>
      </c>
      <c r="C188" s="25" t="s">
        <v>337</v>
      </c>
      <c r="D188" s="52" t="n">
        <f aca="false">ROUND(S188*T188,0)</f>
        <v>915</v>
      </c>
      <c r="E188" s="52" t="n">
        <f aca="false">ROUND(S188,0)-D188</f>
        <v>574</v>
      </c>
      <c r="F188" s="52" t="n">
        <f aca="false">IF(COUNTA(D188:E188)=0,"",SUM(D188:E188))</f>
        <v>1489</v>
      </c>
      <c r="G188" s="53" t="n">
        <f aca="false">IF(OR(F188="",F188=0),"",D188/F188)</f>
        <v>0.614506380120887</v>
      </c>
      <c r="H188" s="53" t="n">
        <f aca="false">IF(OR(F188="",F188=0),"",E188/F188)</f>
        <v>0.385493619879114</v>
      </c>
      <c r="I188" s="25" t="s">
        <v>128</v>
      </c>
      <c r="J188" s="28" t="n">
        <v>1.88612725432908</v>
      </c>
      <c r="K188" s="28" t="n">
        <f aca="false">$K$8</f>
        <v>0.296197623206382</v>
      </c>
      <c r="L188" s="28" t="n">
        <f aca="false">SQRT(J188^2+K188^2)</f>
        <v>1.909243057213</v>
      </c>
      <c r="M188" s="53" t="n">
        <f aca="false">IF(G188="","",MAX(0,G188-1.96*L188/100))</f>
        <v>0.577085216199512</v>
      </c>
      <c r="N188" s="53" t="n">
        <f aca="false">IF(G188="","",MIN(1,G188+1.96*L188/100))</f>
        <v>0.651927544042261</v>
      </c>
      <c r="O188" s="52" t="n">
        <f aca="false">ROUND(S188*W188,0)</f>
        <v>102</v>
      </c>
      <c r="P188" s="52" t="n">
        <f aca="false">IF(F188="","",ROUND(SQRT((F188*L188/100)^2+(G188*O188)^2),0))</f>
        <v>69</v>
      </c>
      <c r="R188" s="54" t="n">
        <v>10.710842399924</v>
      </c>
      <c r="S188" s="55" t="n">
        <f aca="false">U188*V188*$F$5</f>
        <v>1488.84887459807</v>
      </c>
      <c r="T188" s="56" t="n">
        <f aca="false">MAX(0,MIN(1,R188/100+$D$5))</f>
        <v>0.614664531107655</v>
      </c>
      <c r="U188" s="56" t="n">
        <v>0.650436380339917</v>
      </c>
      <c r="V188" s="55" t="n">
        <v>2289</v>
      </c>
      <c r="W188" s="56" t="n">
        <v>0.0684752145190268</v>
      </c>
      <c r="X188" s="57" t="s">
        <v>168</v>
      </c>
      <c r="Y188" s="57" t="s">
        <v>130</v>
      </c>
    </row>
    <row r="189" customFormat="false" ht="15" hidden="false" customHeight="false" outlineLevel="0" collapsed="false">
      <c r="A189" s="25" t="s">
        <v>197</v>
      </c>
      <c r="B189" s="25" t="s">
        <v>332</v>
      </c>
      <c r="C189" s="25" t="s">
        <v>338</v>
      </c>
      <c r="D189" s="52" t="n">
        <f aca="false">ROUND(S189*T189,0)</f>
        <v>899</v>
      </c>
      <c r="E189" s="52" t="n">
        <f aca="false">ROUND(S189,0)-D189</f>
        <v>581</v>
      </c>
      <c r="F189" s="52" t="n">
        <f aca="false">IF(COUNTA(D189:E189)=0,"",SUM(D189:E189))</f>
        <v>1480</v>
      </c>
      <c r="G189" s="53" t="n">
        <f aca="false">IF(OR(F189="",F189=0),"",D189/F189)</f>
        <v>0.607432432432432</v>
      </c>
      <c r="H189" s="53" t="n">
        <f aca="false">IF(OR(F189="",F189=0),"",E189/F189)</f>
        <v>0.392567567567568</v>
      </c>
      <c r="I189" s="25" t="s">
        <v>128</v>
      </c>
      <c r="J189" s="28" t="n">
        <v>1.88612725432908</v>
      </c>
      <c r="K189" s="28" t="n">
        <f aca="false">$K$8</f>
        <v>0.296197623206382</v>
      </c>
      <c r="L189" s="28" t="n">
        <f aca="false">SQRT(J189^2+K189^2)</f>
        <v>1.909243057213</v>
      </c>
      <c r="M189" s="53" t="n">
        <f aca="false">IF(G189="","",MAX(0,G189-1.96*L189/100))</f>
        <v>0.570011268511058</v>
      </c>
      <c r="N189" s="53" t="n">
        <f aca="false">IF(G189="","",MIN(1,G189+1.96*L189/100))</f>
        <v>0.644853596353807</v>
      </c>
      <c r="O189" s="52" t="n">
        <f aca="false">ROUND(S189*W189,0)</f>
        <v>101</v>
      </c>
      <c r="P189" s="52" t="n">
        <f aca="false">IF(F189="","",ROUND(SQRT((F189*L189/100)^2+(G189*O189)^2),0))</f>
        <v>68</v>
      </c>
      <c r="R189" s="54" t="n">
        <v>10.0044988613655</v>
      </c>
      <c r="S189" s="55" t="n">
        <f aca="false">U189*V189*$F$5</f>
        <v>1480.29868819374</v>
      </c>
      <c r="T189" s="56" t="n">
        <f aca="false">MAX(0,MIN(1,R189/100+$D$5))</f>
        <v>0.60760109572207</v>
      </c>
      <c r="U189" s="56" t="n">
        <v>0.714429868819374</v>
      </c>
      <c r="V189" s="55" t="n">
        <v>2072</v>
      </c>
      <c r="W189" s="56" t="n">
        <v>0.0684752145190268</v>
      </c>
      <c r="X189" s="57" t="s">
        <v>168</v>
      </c>
      <c r="Y189" s="57" t="s">
        <v>130</v>
      </c>
    </row>
    <row r="190" customFormat="false" ht="15" hidden="false" customHeight="false" outlineLevel="0" collapsed="false">
      <c r="A190" s="25" t="s">
        <v>197</v>
      </c>
      <c r="B190" s="25" t="s">
        <v>332</v>
      </c>
      <c r="C190" s="25" t="s">
        <v>339</v>
      </c>
      <c r="D190" s="52" t="n">
        <f aca="false">ROUND(S190*T190,0)</f>
        <v>402</v>
      </c>
      <c r="E190" s="52" t="n">
        <f aca="false">ROUND(S190,0)-D190</f>
        <v>374</v>
      </c>
      <c r="F190" s="52" t="n">
        <f aca="false">IF(COUNTA(D190:E190)=0,"",SUM(D190:E190))</f>
        <v>776</v>
      </c>
      <c r="G190" s="53" t="n">
        <f aca="false">IF(OR(F190="",F190=0),"",D190/F190)</f>
        <v>0.518041237113402</v>
      </c>
      <c r="H190" s="53" t="n">
        <f aca="false">IF(OR(F190="",F190=0),"",E190/F190)</f>
        <v>0.481958762886598</v>
      </c>
      <c r="I190" s="25" t="s">
        <v>128</v>
      </c>
      <c r="J190" s="28" t="n">
        <v>2.37310914384046</v>
      </c>
      <c r="K190" s="28" t="n">
        <f aca="false">$K$8</f>
        <v>0.296197623206382</v>
      </c>
      <c r="L190" s="28" t="n">
        <f aca="false">SQRT(J190^2+K190^2)</f>
        <v>2.3915225360787</v>
      </c>
      <c r="M190" s="53" t="n">
        <f aca="false">IF(G190="","",MAX(0,G190-1.96*L190/100))</f>
        <v>0.47116739540626</v>
      </c>
      <c r="N190" s="53" t="n">
        <f aca="false">IF(G190="","",MIN(1,G190+1.96*L190/100))</f>
        <v>0.564915078820545</v>
      </c>
      <c r="O190" s="52" t="n">
        <f aca="false">ROUND(S190*W190,0)</f>
        <v>69</v>
      </c>
      <c r="P190" s="52" t="n">
        <f aca="false">IF(F190="","",ROUND(SQRT((F190*L190/100)^2+(G190*O190)^2),0))</f>
        <v>40</v>
      </c>
      <c r="R190" s="54" t="n">
        <v>1.11435150779835</v>
      </c>
      <c r="S190" s="55" t="n">
        <f aca="false">U190*V190*$F$5</f>
        <v>775.595171773445</v>
      </c>
      <c r="T190" s="56" t="n">
        <f aca="false">MAX(0,MIN(1,R190/100+$D$5))</f>
        <v>0.518699622186398</v>
      </c>
      <c r="U190" s="56" t="n">
        <v>0.70380687093779</v>
      </c>
      <c r="V190" s="55" t="n">
        <v>1102</v>
      </c>
      <c r="W190" s="56" t="n">
        <v>0.0887445098984521</v>
      </c>
      <c r="X190" s="57" t="s">
        <v>135</v>
      </c>
      <c r="Y190" s="57" t="s">
        <v>130</v>
      </c>
    </row>
    <row r="191" customFormat="false" ht="15" hidden="false" customHeight="false" outlineLevel="0" collapsed="false">
      <c r="A191" s="25" t="s">
        <v>197</v>
      </c>
      <c r="B191" s="25" t="s">
        <v>332</v>
      </c>
      <c r="C191" s="25" t="s">
        <v>340</v>
      </c>
      <c r="D191" s="52" t="n">
        <f aca="false">ROUND(S191*T191,0)</f>
        <v>1085</v>
      </c>
      <c r="E191" s="52" t="n">
        <f aca="false">ROUND(S191,0)-D191</f>
        <v>1030</v>
      </c>
      <c r="F191" s="52" t="n">
        <f aca="false">IF(COUNTA(D191:E191)=0,"",SUM(D191:E191))</f>
        <v>2115</v>
      </c>
      <c r="G191" s="53" t="n">
        <f aca="false">IF(OR(F191="",F191=0),"",D191/F191)</f>
        <v>0.513002364066194</v>
      </c>
      <c r="H191" s="53" t="n">
        <f aca="false">IF(OR(F191="",F191=0),"",E191/F191)</f>
        <v>0.486997635933806</v>
      </c>
      <c r="I191" s="25" t="s">
        <v>128</v>
      </c>
      <c r="J191" s="28" t="n">
        <v>1.88612725432908</v>
      </c>
      <c r="K191" s="28" t="n">
        <f aca="false">$K$8</f>
        <v>0.296197623206382</v>
      </c>
      <c r="L191" s="28" t="n">
        <f aca="false">SQRT(J191^2+K191^2)</f>
        <v>1.909243057213</v>
      </c>
      <c r="M191" s="53" t="n">
        <f aca="false">IF(G191="","",MAX(0,G191-1.96*L191/100))</f>
        <v>0.475581200144819</v>
      </c>
      <c r="N191" s="53" t="n">
        <f aca="false">IF(G191="","",MIN(1,G191+1.96*L191/100))</f>
        <v>0.550423527987569</v>
      </c>
      <c r="O191" s="52" t="n">
        <f aca="false">ROUND(S191*W191,0)</f>
        <v>145</v>
      </c>
      <c r="P191" s="52" t="n">
        <f aca="false">IF(F191="","",ROUND(SQRT((F191*L191/100)^2+(G191*O191)^2),0))</f>
        <v>85</v>
      </c>
      <c r="R191" s="54" t="n">
        <v>0.558984163644471</v>
      </c>
      <c r="S191" s="55" t="n">
        <f aca="false">U191*V191*$F$5</f>
        <v>2115.3476992871</v>
      </c>
      <c r="T191" s="56" t="n">
        <f aca="false">MAX(0,MIN(1,R191/100+$D$5))</f>
        <v>0.513145948744859</v>
      </c>
      <c r="U191" s="56" t="n">
        <v>0.658781594296824</v>
      </c>
      <c r="V191" s="55" t="n">
        <v>3211</v>
      </c>
      <c r="W191" s="56" t="n">
        <v>0.0684752145190268</v>
      </c>
      <c r="X191" s="57" t="s">
        <v>168</v>
      </c>
      <c r="Y191" s="57" t="s">
        <v>130</v>
      </c>
    </row>
    <row r="192" customFormat="false" ht="15" hidden="false" customHeight="false" outlineLevel="0" collapsed="false">
      <c r="A192" s="25" t="s">
        <v>197</v>
      </c>
      <c r="B192" s="25" t="s">
        <v>341</v>
      </c>
      <c r="C192" s="25" t="s">
        <v>342</v>
      </c>
      <c r="D192" s="52" t="n">
        <f aca="false">ROUND(S192*T192,0)</f>
        <v>773</v>
      </c>
      <c r="E192" s="52" t="n">
        <f aca="false">ROUND(S192,0)-D192</f>
        <v>725</v>
      </c>
      <c r="F192" s="52" t="n">
        <f aca="false">IF(COUNTA(D192:E192)=0,"",SUM(D192:E192))</f>
        <v>1498</v>
      </c>
      <c r="G192" s="53" t="n">
        <f aca="false">IF(OR(F192="",F192=0),"",D192/F192)</f>
        <v>0.516021361815754</v>
      </c>
      <c r="H192" s="53" t="n">
        <f aca="false">IF(OR(F192="",F192=0),"",E192/F192)</f>
        <v>0.483978638184246</v>
      </c>
      <c r="I192" s="25" t="s">
        <v>128</v>
      </c>
      <c r="J192" s="28" t="n">
        <v>1.88612725432908</v>
      </c>
      <c r="K192" s="28" t="n">
        <f aca="false">$K$8</f>
        <v>0.296197623206382</v>
      </c>
      <c r="L192" s="28" t="n">
        <f aca="false">SQRT(J192^2+K192^2)</f>
        <v>1.909243057213</v>
      </c>
      <c r="M192" s="53" t="n">
        <f aca="false">IF(G192="","",MAX(0,G192-1.96*L192/100))</f>
        <v>0.478600197894379</v>
      </c>
      <c r="N192" s="53" t="n">
        <f aca="false">IF(G192="","",MIN(1,G192+1.96*L192/100))</f>
        <v>0.553442525737129</v>
      </c>
      <c r="O192" s="52" t="n">
        <f aca="false">ROUND(S192*W192,0)</f>
        <v>103</v>
      </c>
      <c r="P192" s="52" t="n">
        <f aca="false">IF(F192="","",ROUND(SQRT((F192*L192/100)^2+(G192*O192)^2),0))</f>
        <v>60</v>
      </c>
      <c r="R192" s="54" t="n">
        <v>0.879446283676452</v>
      </c>
      <c r="S192" s="55" t="n">
        <f aca="false">U192*V192*$F$5</f>
        <v>1497.74778574441</v>
      </c>
      <c r="T192" s="56" t="n">
        <f aca="false">MAX(0,MIN(1,R192/100+$D$5))</f>
        <v>0.516350569945179</v>
      </c>
      <c r="U192" s="56" t="n">
        <v>0.638970898355124</v>
      </c>
      <c r="V192" s="55" t="n">
        <v>2344</v>
      </c>
      <c r="W192" s="56" t="n">
        <v>0.0684752145190268</v>
      </c>
      <c r="X192" s="57" t="s">
        <v>168</v>
      </c>
      <c r="Y192" s="57" t="s">
        <v>130</v>
      </c>
    </row>
    <row r="193" customFormat="false" ht="15" hidden="false" customHeight="false" outlineLevel="0" collapsed="false">
      <c r="A193" s="25" t="s">
        <v>197</v>
      </c>
      <c r="B193" s="25" t="s">
        <v>341</v>
      </c>
      <c r="C193" s="25" t="s">
        <v>343</v>
      </c>
      <c r="D193" s="52" t="n">
        <f aca="false">ROUND(S193*T193,0)</f>
        <v>1057</v>
      </c>
      <c r="E193" s="52" t="n">
        <f aca="false">ROUND(S193,0)-D193</f>
        <v>985</v>
      </c>
      <c r="F193" s="52" t="n">
        <f aca="false">IF(COUNTA(D193:E193)=0,"",SUM(D193:E193))</f>
        <v>2042</v>
      </c>
      <c r="G193" s="53" t="n">
        <f aca="false">IF(OR(F193="",F193=0),"",D193/F193)</f>
        <v>0.517629774730656</v>
      </c>
      <c r="H193" s="53" t="n">
        <f aca="false">IF(OR(F193="",F193=0),"",E193/F193)</f>
        <v>0.482370225269344</v>
      </c>
      <c r="I193" s="25" t="s">
        <v>128</v>
      </c>
      <c r="J193" s="28" t="n">
        <v>1.88612725432908</v>
      </c>
      <c r="K193" s="28" t="n">
        <f aca="false">$K$8</f>
        <v>0.296197623206382</v>
      </c>
      <c r="L193" s="28" t="n">
        <f aca="false">SQRT(J193^2+K193^2)</f>
        <v>1.909243057213</v>
      </c>
      <c r="M193" s="53" t="n">
        <f aca="false">IF(G193="","",MAX(0,G193-1.96*L193/100))</f>
        <v>0.480208610809281</v>
      </c>
      <c r="N193" s="53" t="n">
        <f aca="false">IF(G193="","",MIN(1,G193+1.96*L193/100))</f>
        <v>0.555050938652031</v>
      </c>
      <c r="O193" s="52" t="n">
        <f aca="false">ROUND(S193*W193,0)</f>
        <v>140</v>
      </c>
      <c r="P193" s="52" t="n">
        <f aca="false">IF(F193="","",ROUND(SQRT((F193*L193/100)^2+(G193*O193)^2),0))</f>
        <v>82</v>
      </c>
      <c r="R193" s="54" t="n">
        <v>1.00791296524446</v>
      </c>
      <c r="S193" s="55" t="n">
        <f aca="false">U193*V193*$F$5</f>
        <v>2042.15796344647</v>
      </c>
      <c r="T193" s="56" t="n">
        <f aca="false">MAX(0,MIN(1,R193/100+$D$5))</f>
        <v>0.517635236760859</v>
      </c>
      <c r="U193" s="56" t="n">
        <v>0.682767624020887</v>
      </c>
      <c r="V193" s="55" t="n">
        <v>2991</v>
      </c>
      <c r="W193" s="56" t="n">
        <v>0.0684752145190268</v>
      </c>
      <c r="X193" s="57" t="s">
        <v>168</v>
      </c>
      <c r="Y193" s="57" t="s">
        <v>130</v>
      </c>
    </row>
    <row r="194" customFormat="false" ht="15" hidden="false" customHeight="false" outlineLevel="0" collapsed="false">
      <c r="A194" s="25" t="s">
        <v>197</v>
      </c>
      <c r="B194" s="25" t="s">
        <v>341</v>
      </c>
      <c r="C194" s="25" t="s">
        <v>344</v>
      </c>
      <c r="D194" s="52" t="n">
        <f aca="false">ROUND(S194*T194,0)</f>
        <v>802</v>
      </c>
      <c r="E194" s="52" t="n">
        <f aca="false">ROUND(S194,0)-D194</f>
        <v>888</v>
      </c>
      <c r="F194" s="52" t="n">
        <f aca="false">IF(COUNTA(D194:E194)=0,"",SUM(D194:E194))</f>
        <v>1690</v>
      </c>
      <c r="G194" s="53" t="n">
        <f aca="false">IF(OR(F194="",F194=0),"",D194/F194)</f>
        <v>0.474556213017751</v>
      </c>
      <c r="H194" s="53" t="n">
        <f aca="false">IF(OR(F194="",F194=0),"",E194/F194)</f>
        <v>0.525443786982249</v>
      </c>
      <c r="I194" s="25" t="s">
        <v>128</v>
      </c>
      <c r="J194" s="28" t="n">
        <v>1.88612725432908</v>
      </c>
      <c r="K194" s="28" t="n">
        <f aca="false">$K$8</f>
        <v>0.296197623206382</v>
      </c>
      <c r="L194" s="28" t="n">
        <f aca="false">SQRT(J194^2+K194^2)</f>
        <v>1.909243057213</v>
      </c>
      <c r="M194" s="53" t="n">
        <f aca="false">IF(G194="","",MAX(0,G194-1.96*L194/100))</f>
        <v>0.437135049096377</v>
      </c>
      <c r="N194" s="53" t="n">
        <f aca="false">IF(G194="","",MIN(1,G194+1.96*L194/100))</f>
        <v>0.511977376939126</v>
      </c>
      <c r="O194" s="52" t="n">
        <f aca="false">ROUND(S194*W194,0)</f>
        <v>116</v>
      </c>
      <c r="P194" s="52" t="n">
        <f aca="false">IF(F194="","",ROUND(SQRT((F194*L194/100)^2+(G194*O194)^2),0))</f>
        <v>64</v>
      </c>
      <c r="R194" s="54" t="n">
        <v>-3.30209705464558</v>
      </c>
      <c r="S194" s="55" t="n">
        <f aca="false">U194*V194*$F$5</f>
        <v>1690.06787762906</v>
      </c>
      <c r="T194" s="56" t="n">
        <f aca="false">MAX(0,MIN(1,R194/100+$D$5))</f>
        <v>0.474535136561959</v>
      </c>
      <c r="U194" s="56" t="n">
        <v>0.651529636711281</v>
      </c>
      <c r="V194" s="55" t="n">
        <v>2594</v>
      </c>
      <c r="W194" s="56" t="n">
        <v>0.0684752145190268</v>
      </c>
      <c r="X194" s="57" t="s">
        <v>168</v>
      </c>
      <c r="Y194" s="57" t="s">
        <v>130</v>
      </c>
    </row>
    <row r="195" customFormat="false" ht="15" hidden="false" customHeight="false" outlineLevel="0" collapsed="false">
      <c r="A195" s="25" t="s">
        <v>197</v>
      </c>
      <c r="B195" s="25" t="s">
        <v>341</v>
      </c>
      <c r="C195" s="25" t="s">
        <v>345</v>
      </c>
      <c r="D195" s="52" t="n">
        <f aca="false">ROUND(S195*T195,0)</f>
        <v>632</v>
      </c>
      <c r="E195" s="52" t="n">
        <f aca="false">ROUND(S195,0)-D195</f>
        <v>514</v>
      </c>
      <c r="F195" s="52" t="n">
        <f aca="false">IF(COUNTA(D195:E195)=0,"",SUM(D195:E195))</f>
        <v>1146</v>
      </c>
      <c r="G195" s="53" t="n">
        <f aca="false">IF(OR(F195="",F195=0),"",D195/F195)</f>
        <v>0.551483420593368</v>
      </c>
      <c r="H195" s="53" t="n">
        <f aca="false">IF(OR(F195="",F195=0),"",E195/F195)</f>
        <v>0.448516579406632</v>
      </c>
      <c r="I195" s="25" t="s">
        <v>128</v>
      </c>
      <c r="J195" s="28" t="n">
        <v>1.88612725432908</v>
      </c>
      <c r="K195" s="28" t="n">
        <f aca="false">$K$8</f>
        <v>0.296197623206382</v>
      </c>
      <c r="L195" s="28" t="n">
        <f aca="false">SQRT(J195^2+K195^2)</f>
        <v>1.909243057213</v>
      </c>
      <c r="M195" s="53" t="n">
        <f aca="false">IF(G195="","",MAX(0,G195-1.96*L195/100))</f>
        <v>0.514062256671993</v>
      </c>
      <c r="N195" s="53" t="n">
        <f aca="false">IF(G195="","",MIN(1,G195+1.96*L195/100))</f>
        <v>0.588904584514743</v>
      </c>
      <c r="O195" s="52" t="n">
        <f aca="false">ROUND(S195*W195,0)</f>
        <v>78</v>
      </c>
      <c r="P195" s="52" t="n">
        <f aca="false">IF(F195="","",ROUND(SQRT((F195*L195/100)^2+(G195*O195)^2),0))</f>
        <v>48</v>
      </c>
      <c r="R195" s="54" t="n">
        <v>4.38603422382503</v>
      </c>
      <c r="S195" s="55" t="n">
        <f aca="false">U195*V195*$F$5</f>
        <v>1145.8001397624</v>
      </c>
      <c r="T195" s="56" t="n">
        <f aca="false">MAX(0,MIN(1,R195/100+$D$5))</f>
        <v>0.551416449346665</v>
      </c>
      <c r="U195" s="56" t="n">
        <v>0.640111809923131</v>
      </c>
      <c r="V195" s="55" t="n">
        <v>1790</v>
      </c>
      <c r="W195" s="56" t="n">
        <v>0.0684752145190268</v>
      </c>
      <c r="X195" s="57" t="s">
        <v>168</v>
      </c>
      <c r="Y195" s="57" t="s">
        <v>130</v>
      </c>
    </row>
    <row r="196" customFormat="false" ht="15" hidden="false" customHeight="false" outlineLevel="0" collapsed="false">
      <c r="A196" s="25" t="s">
        <v>197</v>
      </c>
      <c r="B196" s="25" t="s">
        <v>341</v>
      </c>
      <c r="C196" s="25" t="s">
        <v>346</v>
      </c>
      <c r="D196" s="52" t="n">
        <f aca="false">ROUND(S196*T196,0)</f>
        <v>1486</v>
      </c>
      <c r="E196" s="52" t="n">
        <f aca="false">ROUND(S196,0)-D196</f>
        <v>1234</v>
      </c>
      <c r="F196" s="52" t="n">
        <f aca="false">IF(COUNTA(D196:E196)=0,"",SUM(D196:E196))</f>
        <v>2720</v>
      </c>
      <c r="G196" s="53" t="n">
        <f aca="false">IF(OR(F196="",F196=0),"",D196/F196)</f>
        <v>0.546323529411765</v>
      </c>
      <c r="H196" s="53" t="n">
        <f aca="false">IF(OR(F196="",F196=0),"",E196/F196)</f>
        <v>0.453676470588235</v>
      </c>
      <c r="I196" s="25" t="s">
        <v>128</v>
      </c>
      <c r="J196" s="28" t="n">
        <v>1.88612725432908</v>
      </c>
      <c r="K196" s="28" t="n">
        <f aca="false">$K$8</f>
        <v>0.296197623206382</v>
      </c>
      <c r="L196" s="28" t="n">
        <f aca="false">SQRT(J196^2+K196^2)</f>
        <v>1.909243057213</v>
      </c>
      <c r="M196" s="53" t="n">
        <f aca="false">IF(G196="","",MAX(0,G196-1.96*L196/100))</f>
        <v>0.50890236549039</v>
      </c>
      <c r="N196" s="53" t="n">
        <f aca="false">IF(G196="","",MIN(1,G196+1.96*L196/100))</f>
        <v>0.58374469333314</v>
      </c>
      <c r="O196" s="52" t="n">
        <f aca="false">ROUND(S196*W196,0)</f>
        <v>186</v>
      </c>
      <c r="P196" s="52" t="n">
        <f aca="false">IF(F196="","",ROUND(SQRT((F196*L196/100)^2+(G196*O196)^2),0))</f>
        <v>114</v>
      </c>
      <c r="R196" s="54" t="n">
        <v>3.88971698178879</v>
      </c>
      <c r="S196" s="55" t="n">
        <f aca="false">U196*V196*$F$5</f>
        <v>2719.88153310105</v>
      </c>
      <c r="T196" s="56" t="n">
        <f aca="false">MAX(0,MIN(1,R196/100+$D$5))</f>
        <v>0.546453276926303</v>
      </c>
      <c r="U196" s="56" t="n">
        <v>0.592566782810685</v>
      </c>
      <c r="V196" s="55" t="n">
        <v>4590</v>
      </c>
      <c r="W196" s="56" t="n">
        <v>0.0684752145190268</v>
      </c>
      <c r="X196" s="57" t="s">
        <v>168</v>
      </c>
      <c r="Y196" s="57" t="s">
        <v>130</v>
      </c>
    </row>
    <row r="197" customFormat="false" ht="15" hidden="false" customHeight="false" outlineLevel="0" collapsed="false">
      <c r="A197" s="25" t="s">
        <v>197</v>
      </c>
      <c r="B197" s="25" t="s">
        <v>341</v>
      </c>
      <c r="C197" s="25" t="s">
        <v>347</v>
      </c>
      <c r="D197" s="52" t="n">
        <f aca="false">ROUND(S197*T197,0)</f>
        <v>517</v>
      </c>
      <c r="E197" s="52" t="n">
        <f aca="false">ROUND(S197,0)-D197</f>
        <v>452</v>
      </c>
      <c r="F197" s="52" t="n">
        <f aca="false">IF(COUNTA(D197:E197)=0,"",SUM(D197:E197))</f>
        <v>969</v>
      </c>
      <c r="G197" s="53" t="n">
        <f aca="false">IF(OR(F197="",F197=0),"",D197/F197)</f>
        <v>0.533539731682147</v>
      </c>
      <c r="H197" s="53" t="n">
        <f aca="false">IF(OR(F197="",F197=0),"",E197/F197)</f>
        <v>0.466460268317854</v>
      </c>
      <c r="I197" s="25" t="s">
        <v>128</v>
      </c>
      <c r="J197" s="28" t="n">
        <v>1.88612725432908</v>
      </c>
      <c r="K197" s="28" t="n">
        <f aca="false">$K$8</f>
        <v>0.296197623206382</v>
      </c>
      <c r="L197" s="28" t="n">
        <f aca="false">SQRT(J197^2+K197^2)</f>
        <v>1.909243057213</v>
      </c>
      <c r="M197" s="53" t="n">
        <f aca="false">IF(G197="","",MAX(0,G197-1.96*L197/100))</f>
        <v>0.496118567760772</v>
      </c>
      <c r="N197" s="53" t="n">
        <f aca="false">IF(G197="","",MIN(1,G197+1.96*L197/100))</f>
        <v>0.570960895603521</v>
      </c>
      <c r="O197" s="52" t="n">
        <f aca="false">ROUND(S197*W197,0)</f>
        <v>66</v>
      </c>
      <c r="P197" s="52" t="n">
        <f aca="false">IF(F197="","",ROUND(SQRT((F197*L197/100)^2+(G197*O197)^2),0))</f>
        <v>40</v>
      </c>
      <c r="R197" s="54" t="n">
        <v>2.55877092715539</v>
      </c>
      <c r="S197" s="55" t="n">
        <f aca="false">U197*V197*$F$5</f>
        <v>969.162629757786</v>
      </c>
      <c r="T197" s="56" t="n">
        <f aca="false">MAX(0,MIN(1,R197/100+$D$5))</f>
        <v>0.533143816379969</v>
      </c>
      <c r="U197" s="56" t="n">
        <v>0.54325259515571</v>
      </c>
      <c r="V197" s="55" t="n">
        <v>1784</v>
      </c>
      <c r="W197" s="56" t="n">
        <v>0.0684752145190268</v>
      </c>
      <c r="X197" s="57" t="s">
        <v>168</v>
      </c>
      <c r="Y197" s="57" t="s">
        <v>130</v>
      </c>
    </row>
    <row r="198" customFormat="false" ht="15" hidden="false" customHeight="false" outlineLevel="0" collapsed="false">
      <c r="A198" s="25" t="s">
        <v>197</v>
      </c>
      <c r="B198" s="25" t="s">
        <v>341</v>
      </c>
      <c r="C198" s="25" t="s">
        <v>348</v>
      </c>
      <c r="D198" s="52" t="n">
        <f aca="false">ROUND(S198*T198,0)</f>
        <v>517</v>
      </c>
      <c r="E198" s="52" t="n">
        <f aca="false">ROUND(S198,0)-D198</f>
        <v>413</v>
      </c>
      <c r="F198" s="52" t="n">
        <f aca="false">IF(COUNTA(D198:E198)=0,"",SUM(D198:E198))</f>
        <v>930</v>
      </c>
      <c r="G198" s="53" t="n">
        <f aca="false">IF(OR(F198="",F198=0),"",D198/F198)</f>
        <v>0.555913978494624</v>
      </c>
      <c r="H198" s="53" t="n">
        <f aca="false">IF(OR(F198="",F198=0),"",E198/F198)</f>
        <v>0.444086021505376</v>
      </c>
      <c r="I198" s="25" t="s">
        <v>128</v>
      </c>
      <c r="J198" s="28" t="n">
        <v>2.37310914384046</v>
      </c>
      <c r="K198" s="28" t="n">
        <f aca="false">$K$8</f>
        <v>0.296197623206382</v>
      </c>
      <c r="L198" s="28" t="n">
        <f aca="false">SQRT(J198^2+K198^2)</f>
        <v>2.3915225360787</v>
      </c>
      <c r="M198" s="53" t="n">
        <f aca="false">IF(G198="","",MAX(0,G198-1.96*L198/100))</f>
        <v>0.509040136787481</v>
      </c>
      <c r="N198" s="53" t="n">
        <f aca="false">IF(G198="","",MIN(1,G198+1.96*L198/100))</f>
        <v>0.602787820201766</v>
      </c>
      <c r="O198" s="52" t="n">
        <f aca="false">ROUND(S198*W198,0)</f>
        <v>83</v>
      </c>
      <c r="P198" s="52" t="n">
        <f aca="false">IF(F198="","",ROUND(SQRT((F198*L198/100)^2+(G198*O198)^2),0))</f>
        <v>51</v>
      </c>
      <c r="R198" s="54" t="n">
        <v>4.86122701857011</v>
      </c>
      <c r="S198" s="55" t="n">
        <f aca="false">U198*V198*$F$5</f>
        <v>929.805201992252</v>
      </c>
      <c r="T198" s="56" t="n">
        <f aca="false">MAX(0,MIN(1,R198/100+$D$5))</f>
        <v>0.556168377294116</v>
      </c>
      <c r="U198" s="56" t="n">
        <v>0.496956281128943</v>
      </c>
      <c r="V198" s="55" t="n">
        <v>1871</v>
      </c>
      <c r="W198" s="56" t="n">
        <v>0.0887445098984521</v>
      </c>
      <c r="X198" s="57" t="s">
        <v>135</v>
      </c>
      <c r="Y198" s="57" t="s">
        <v>130</v>
      </c>
    </row>
    <row r="199" customFormat="false" ht="15" hidden="false" customHeight="false" outlineLevel="0" collapsed="false">
      <c r="A199" s="25" t="s">
        <v>197</v>
      </c>
      <c r="B199" s="25" t="s">
        <v>341</v>
      </c>
      <c r="C199" s="25" t="s">
        <v>349</v>
      </c>
      <c r="D199" s="52" t="n">
        <f aca="false">ROUND(S199*T199,0)</f>
        <v>549</v>
      </c>
      <c r="E199" s="52" t="n">
        <f aca="false">ROUND(S199,0)-D199</f>
        <v>495</v>
      </c>
      <c r="F199" s="52" t="n">
        <f aca="false">IF(COUNTA(D199:E199)=0,"",SUM(D199:E199))</f>
        <v>1044</v>
      </c>
      <c r="G199" s="53" t="n">
        <f aca="false">IF(OR(F199="",F199=0),"",D199/F199)</f>
        <v>0.525862068965517</v>
      </c>
      <c r="H199" s="53" t="n">
        <f aca="false">IF(OR(F199="",F199=0),"",E199/F199)</f>
        <v>0.474137931034483</v>
      </c>
      <c r="I199" s="25" t="s">
        <v>128</v>
      </c>
      <c r="J199" s="28" t="n">
        <v>1.88612725432908</v>
      </c>
      <c r="K199" s="28" t="n">
        <f aca="false">$K$8</f>
        <v>0.296197623206382</v>
      </c>
      <c r="L199" s="28" t="n">
        <f aca="false">SQRT(J199^2+K199^2)</f>
        <v>1.909243057213</v>
      </c>
      <c r="M199" s="53" t="n">
        <f aca="false">IF(G199="","",MAX(0,G199-1.96*L199/100))</f>
        <v>0.488440905044142</v>
      </c>
      <c r="N199" s="53" t="n">
        <f aca="false">IF(G199="","",MIN(1,G199+1.96*L199/100))</f>
        <v>0.563283232886892</v>
      </c>
      <c r="O199" s="52" t="n">
        <f aca="false">ROUND(S199*W199,0)</f>
        <v>71</v>
      </c>
      <c r="P199" s="52" t="n">
        <f aca="false">IF(F199="","",ROUND(SQRT((F199*L199/100)^2+(G199*O199)^2),0))</f>
        <v>42</v>
      </c>
      <c r="R199" s="54" t="n">
        <v>1.81036219004655</v>
      </c>
      <c r="S199" s="55" t="n">
        <f aca="false">U199*V199*$F$5</f>
        <v>1044.14424242424</v>
      </c>
      <c r="T199" s="56" t="n">
        <f aca="false">MAX(0,MIN(1,R199/100+$D$5))</f>
        <v>0.52565972900888</v>
      </c>
      <c r="U199" s="56" t="n">
        <v>0.59939393939394</v>
      </c>
      <c r="V199" s="55" t="n">
        <v>1742</v>
      </c>
      <c r="W199" s="56" t="n">
        <v>0.0684752145190268</v>
      </c>
      <c r="X199" s="57" t="s">
        <v>168</v>
      </c>
      <c r="Y199" s="57" t="s">
        <v>130</v>
      </c>
    </row>
    <row r="200" customFormat="false" ht="15" hidden="false" customHeight="false" outlineLevel="0" collapsed="false">
      <c r="A200" s="25" t="s">
        <v>197</v>
      </c>
      <c r="B200" s="25" t="s">
        <v>350</v>
      </c>
      <c r="C200" s="25" t="s">
        <v>351</v>
      </c>
      <c r="D200" s="52" t="n">
        <f aca="false">ROUND(S200*T200,0)</f>
        <v>1228</v>
      </c>
      <c r="E200" s="52" t="n">
        <f aca="false">ROUND(S200,0)-D200</f>
        <v>1405</v>
      </c>
      <c r="F200" s="52" t="n">
        <f aca="false">IF(COUNTA(D200:E200)=0,"",SUM(D200:E200))</f>
        <v>2633</v>
      </c>
      <c r="G200" s="53" t="n">
        <f aca="false">IF(OR(F200="",F200=0),"",D200/F200)</f>
        <v>0.466388150398785</v>
      </c>
      <c r="H200" s="53" t="n">
        <f aca="false">IF(OR(F200="",F200=0),"",E200/F200)</f>
        <v>0.533611849601215</v>
      </c>
      <c r="I200" s="25" t="s">
        <v>128</v>
      </c>
      <c r="J200" s="28" t="n">
        <v>1.88612725432908</v>
      </c>
      <c r="K200" s="28" t="n">
        <f aca="false">$K$8</f>
        <v>0.296197623206382</v>
      </c>
      <c r="L200" s="28" t="n">
        <f aca="false">SQRT(J200^2+K200^2)</f>
        <v>1.909243057213</v>
      </c>
      <c r="M200" s="53" t="n">
        <f aca="false">IF(G200="","",MAX(0,G200-1.96*L200/100))</f>
        <v>0.42896698647741</v>
      </c>
      <c r="N200" s="53" t="n">
        <f aca="false">IF(G200="","",MIN(1,G200+1.96*L200/100))</f>
        <v>0.50380931432016</v>
      </c>
      <c r="O200" s="52" t="n">
        <f aca="false">ROUND(S200*W200,0)</f>
        <v>180</v>
      </c>
      <c r="P200" s="52" t="n">
        <f aca="false">IF(F200="","",ROUND(SQRT((F200*L200/100)^2+(G200*O200)^2),0))</f>
        <v>98</v>
      </c>
      <c r="R200" s="54" t="n">
        <v>-4.12556004494672</v>
      </c>
      <c r="S200" s="55" t="n">
        <f aca="false">U200*V200*$F$5</f>
        <v>2632.829612885</v>
      </c>
      <c r="T200" s="56" t="n">
        <f aca="false">MAX(0,MIN(1,R200/100+$D$5))</f>
        <v>0.466300506658947</v>
      </c>
      <c r="U200" s="56" t="n">
        <v>0.704718847131958</v>
      </c>
      <c r="V200" s="55" t="n">
        <v>3736</v>
      </c>
      <c r="W200" s="56" t="n">
        <v>0.0684752145190268</v>
      </c>
      <c r="X200" s="57" t="s">
        <v>168</v>
      </c>
      <c r="Y200" s="57" t="s">
        <v>130</v>
      </c>
    </row>
    <row r="201" customFormat="false" ht="15" hidden="false" customHeight="false" outlineLevel="0" collapsed="false">
      <c r="A201" s="25" t="s">
        <v>197</v>
      </c>
      <c r="B201" s="25" t="s">
        <v>350</v>
      </c>
      <c r="C201" s="25" t="s">
        <v>352</v>
      </c>
      <c r="D201" s="52" t="n">
        <f aca="false">ROUND(S201*T201,0)</f>
        <v>765</v>
      </c>
      <c r="E201" s="52" t="n">
        <f aca="false">ROUND(S201,0)-D201</f>
        <v>1214</v>
      </c>
      <c r="F201" s="52" t="n">
        <f aca="false">IF(COUNTA(D201:E201)=0,"",SUM(D201:E201))</f>
        <v>1979</v>
      </c>
      <c r="G201" s="53" t="n">
        <f aca="false">IF(OR(F201="",F201=0),"",D201/F201)</f>
        <v>0.38655886811521</v>
      </c>
      <c r="H201" s="53" t="n">
        <f aca="false">IF(OR(F201="",F201=0),"",E201/F201)</f>
        <v>0.61344113188479</v>
      </c>
      <c r="I201" s="25" t="s">
        <v>128</v>
      </c>
      <c r="J201" s="28" t="n">
        <v>1.88612725432908</v>
      </c>
      <c r="K201" s="28" t="n">
        <f aca="false">$K$8</f>
        <v>0.296197623206382</v>
      </c>
      <c r="L201" s="28" t="n">
        <f aca="false">SQRT(J201^2+K201^2)</f>
        <v>1.909243057213</v>
      </c>
      <c r="M201" s="53" t="n">
        <f aca="false">IF(G201="","",MAX(0,G201-1.96*L201/100))</f>
        <v>0.349137704193835</v>
      </c>
      <c r="N201" s="53" t="n">
        <f aca="false">IF(G201="","",MIN(1,G201+1.96*L201/100))</f>
        <v>0.423980032036585</v>
      </c>
      <c r="O201" s="52" t="n">
        <f aca="false">ROUND(S201*W201,0)</f>
        <v>136</v>
      </c>
      <c r="P201" s="52" t="n">
        <f aca="false">IF(F201="","",ROUND(SQRT((F201*L201/100)^2+(G201*O201)^2),0))</f>
        <v>65</v>
      </c>
      <c r="R201" s="54" t="n">
        <v>-12.1084367360587</v>
      </c>
      <c r="S201" s="55" t="n">
        <f aca="false">U201*V201*$F$5</f>
        <v>1979.37527114968</v>
      </c>
      <c r="T201" s="56" t="n">
        <f aca="false">MAX(0,MIN(1,R201/100+$D$5))</f>
        <v>0.386471739747827</v>
      </c>
      <c r="U201" s="56" t="n">
        <v>0.718727404193782</v>
      </c>
      <c r="V201" s="55" t="n">
        <v>2754</v>
      </c>
      <c r="W201" s="56" t="n">
        <v>0.0684752145190268</v>
      </c>
      <c r="X201" s="57" t="s">
        <v>168</v>
      </c>
      <c r="Y201" s="57" t="s">
        <v>130</v>
      </c>
    </row>
    <row r="202" customFormat="false" ht="15" hidden="false" customHeight="false" outlineLevel="0" collapsed="false">
      <c r="A202" s="25" t="s">
        <v>197</v>
      </c>
      <c r="B202" s="25" t="s">
        <v>353</v>
      </c>
      <c r="C202" s="25" t="s">
        <v>354</v>
      </c>
      <c r="D202" s="52" t="n">
        <f aca="false">ROUND(S202*T202,0)</f>
        <v>888</v>
      </c>
      <c r="E202" s="52" t="n">
        <f aca="false">ROUND(S202,0)-D202</f>
        <v>881</v>
      </c>
      <c r="F202" s="52" t="n">
        <f aca="false">IF(COUNTA(D202:E202)=0,"",SUM(D202:E202))</f>
        <v>1769</v>
      </c>
      <c r="G202" s="53" t="n">
        <f aca="false">IF(OR(F202="",F202=0),"",D202/F202)</f>
        <v>0.501978518937253</v>
      </c>
      <c r="H202" s="53" t="n">
        <f aca="false">IF(OR(F202="",F202=0),"",E202/F202)</f>
        <v>0.498021481062747</v>
      </c>
      <c r="I202" s="25" t="s">
        <v>128</v>
      </c>
      <c r="J202" s="28" t="n">
        <v>1.88612725432908</v>
      </c>
      <c r="K202" s="28" t="n">
        <f aca="false">$K$8</f>
        <v>0.296197623206382</v>
      </c>
      <c r="L202" s="28" t="n">
        <f aca="false">SQRT(J202^2+K202^2)</f>
        <v>1.909243057213</v>
      </c>
      <c r="M202" s="53" t="n">
        <f aca="false">IF(G202="","",MAX(0,G202-1.96*L202/100))</f>
        <v>0.464557355015878</v>
      </c>
      <c r="N202" s="53" t="n">
        <f aca="false">IF(G202="","",MIN(1,G202+1.96*L202/100))</f>
        <v>0.539399682858628</v>
      </c>
      <c r="O202" s="52" t="n">
        <f aca="false">ROUND(S202*W202,0)</f>
        <v>121</v>
      </c>
      <c r="P202" s="52" t="n">
        <f aca="false">IF(F202="","",ROUND(SQRT((F202*L202/100)^2+(G202*O202)^2),0))</f>
        <v>69</v>
      </c>
      <c r="R202" s="54" t="n">
        <v>-0.546852834390178</v>
      </c>
      <c r="S202" s="55" t="n">
        <f aca="false">U202*V202*$F$5</f>
        <v>1769.05616020897</v>
      </c>
      <c r="T202" s="56" t="n">
        <f aca="false">MAX(0,MIN(1,R202/100+$D$5))</f>
        <v>0.502087578764513</v>
      </c>
      <c r="U202" s="56" t="n">
        <v>0.760557248585111</v>
      </c>
      <c r="V202" s="55" t="n">
        <v>2326</v>
      </c>
      <c r="W202" s="56" t="n">
        <v>0.0684752145190268</v>
      </c>
      <c r="X202" s="57" t="s">
        <v>168</v>
      </c>
      <c r="Y202" s="57" t="s">
        <v>130</v>
      </c>
    </row>
    <row r="203" customFormat="false" ht="15" hidden="false" customHeight="false" outlineLevel="0" collapsed="false">
      <c r="A203" s="25" t="s">
        <v>197</v>
      </c>
      <c r="B203" s="25" t="s">
        <v>353</v>
      </c>
      <c r="C203" s="25" t="s">
        <v>355</v>
      </c>
      <c r="D203" s="52" t="n">
        <f aca="false">ROUND(S203*T203,0)</f>
        <v>629</v>
      </c>
      <c r="E203" s="52" t="n">
        <f aca="false">ROUND(S203,0)-D203</f>
        <v>676</v>
      </c>
      <c r="F203" s="52" t="n">
        <f aca="false">IF(COUNTA(D203:E203)=0,"",SUM(D203:E203))</f>
        <v>1305</v>
      </c>
      <c r="G203" s="53" t="n">
        <f aca="false">IF(OR(F203="",F203=0),"",D203/F203)</f>
        <v>0.481992337164751</v>
      </c>
      <c r="H203" s="53" t="n">
        <f aca="false">IF(OR(F203="",F203=0),"",E203/F203)</f>
        <v>0.518007662835249</v>
      </c>
      <c r="I203" s="25" t="s">
        <v>128</v>
      </c>
      <c r="J203" s="28" t="n">
        <v>1.88612725432908</v>
      </c>
      <c r="K203" s="28" t="n">
        <f aca="false">$K$8</f>
        <v>0.296197623206382</v>
      </c>
      <c r="L203" s="28" t="n">
        <f aca="false">SQRT(J203^2+K203^2)</f>
        <v>1.909243057213</v>
      </c>
      <c r="M203" s="53" t="n">
        <f aca="false">IF(G203="","",MAX(0,G203-1.96*L203/100))</f>
        <v>0.444571173243376</v>
      </c>
      <c r="N203" s="53" t="n">
        <f aca="false">IF(G203="","",MIN(1,G203+1.96*L203/100))</f>
        <v>0.519413501086126</v>
      </c>
      <c r="O203" s="52" t="n">
        <f aca="false">ROUND(S203*W203,0)</f>
        <v>89</v>
      </c>
      <c r="P203" s="52" t="n">
        <f aca="false">IF(F203="","",ROUND(SQRT((F203*L203/100)^2+(G203*O203)^2),0))</f>
        <v>50</v>
      </c>
      <c r="R203" s="54" t="n">
        <v>-2.52787121170914</v>
      </c>
      <c r="S203" s="55" t="n">
        <f aca="false">U203*V203*$F$5</f>
        <v>1304.62964959569</v>
      </c>
      <c r="T203" s="56" t="n">
        <f aca="false">MAX(0,MIN(1,R203/100+$D$5))</f>
        <v>0.482277394991323</v>
      </c>
      <c r="U203" s="56" t="n">
        <v>0.666307277628032</v>
      </c>
      <c r="V203" s="55" t="n">
        <v>1958</v>
      </c>
      <c r="W203" s="56" t="n">
        <v>0.0684752145190268</v>
      </c>
      <c r="X203" s="57" t="s">
        <v>168</v>
      </c>
      <c r="Y203" s="57" t="s">
        <v>130</v>
      </c>
    </row>
    <row r="204" customFormat="false" ht="15" hidden="false" customHeight="false" outlineLevel="0" collapsed="false">
      <c r="A204" s="25" t="s">
        <v>197</v>
      </c>
      <c r="B204" s="25" t="s">
        <v>353</v>
      </c>
      <c r="C204" s="25" t="s">
        <v>356</v>
      </c>
      <c r="D204" s="52" t="n">
        <f aca="false">ROUND(S204*T204,0)</f>
        <v>643</v>
      </c>
      <c r="E204" s="52" t="n">
        <f aca="false">ROUND(S204,0)-D204</f>
        <v>671</v>
      </c>
      <c r="F204" s="52" t="n">
        <f aca="false">IF(COUNTA(D204:E204)=0,"",SUM(D204:E204))</f>
        <v>1314</v>
      </c>
      <c r="G204" s="53" t="n">
        <f aca="false">IF(OR(F204="",F204=0),"",D204/F204)</f>
        <v>0.489345509893455</v>
      </c>
      <c r="H204" s="53" t="n">
        <f aca="false">IF(OR(F204="",F204=0),"",E204/F204)</f>
        <v>0.510654490106545</v>
      </c>
      <c r="I204" s="25" t="s">
        <v>128</v>
      </c>
      <c r="J204" s="28" t="n">
        <v>1.88612725432908</v>
      </c>
      <c r="K204" s="28" t="n">
        <f aca="false">$K$8</f>
        <v>0.296197623206382</v>
      </c>
      <c r="L204" s="28" t="n">
        <f aca="false">SQRT(J204^2+K204^2)</f>
        <v>1.909243057213</v>
      </c>
      <c r="M204" s="53" t="n">
        <f aca="false">IF(G204="","",MAX(0,G204-1.96*L204/100))</f>
        <v>0.45192434597208</v>
      </c>
      <c r="N204" s="53" t="n">
        <f aca="false">IF(G204="","",MIN(1,G204+1.96*L204/100))</f>
        <v>0.52676667381483</v>
      </c>
      <c r="O204" s="52" t="n">
        <f aca="false">ROUND(S204*W204,0)</f>
        <v>90</v>
      </c>
      <c r="P204" s="52" t="n">
        <f aca="false">IF(F204="","",ROUND(SQRT((F204*L204/100)^2+(G204*O204)^2),0))</f>
        <v>51</v>
      </c>
      <c r="R204" s="54" t="n">
        <v>-1.83983042854992</v>
      </c>
      <c r="S204" s="55" t="n">
        <f aca="false">U204*V204*$F$5</f>
        <v>1313.96987951807</v>
      </c>
      <c r="T204" s="56" t="n">
        <f aca="false">MAX(0,MIN(1,R204/100+$D$5))</f>
        <v>0.489157802822916</v>
      </c>
      <c r="U204" s="56" t="n">
        <v>0.756024096385542</v>
      </c>
      <c r="V204" s="55" t="n">
        <v>1738</v>
      </c>
      <c r="W204" s="56" t="n">
        <v>0.0684752145190268</v>
      </c>
      <c r="X204" s="57" t="s">
        <v>168</v>
      </c>
      <c r="Y204" s="57" t="s">
        <v>130</v>
      </c>
    </row>
    <row r="205" customFormat="false" ht="15" hidden="false" customHeight="false" outlineLevel="0" collapsed="false">
      <c r="A205" s="25" t="s">
        <v>197</v>
      </c>
      <c r="B205" s="25" t="s">
        <v>353</v>
      </c>
      <c r="C205" s="25" t="s">
        <v>357</v>
      </c>
      <c r="D205" s="52" t="n">
        <f aca="false">ROUND(S205*T205,0)</f>
        <v>1384</v>
      </c>
      <c r="E205" s="52" t="n">
        <f aca="false">ROUND(S205,0)-D205</f>
        <v>1460</v>
      </c>
      <c r="F205" s="52" t="n">
        <f aca="false">IF(COUNTA(D205:E205)=0,"",SUM(D205:E205))</f>
        <v>2844</v>
      </c>
      <c r="G205" s="53" t="n">
        <f aca="false">IF(OR(F205="",F205=0),"",D205/F205)</f>
        <v>0.486638537271449</v>
      </c>
      <c r="H205" s="53" t="n">
        <f aca="false">IF(OR(F205="",F205=0),"",E205/F205)</f>
        <v>0.513361462728551</v>
      </c>
      <c r="I205" s="25" t="s">
        <v>128</v>
      </c>
      <c r="J205" s="28" t="n">
        <v>1.88612725432908</v>
      </c>
      <c r="K205" s="28" t="n">
        <f aca="false">$K$8</f>
        <v>0.296197623206382</v>
      </c>
      <c r="L205" s="28" t="n">
        <f aca="false">SQRT(J205^2+K205^2)</f>
        <v>1.909243057213</v>
      </c>
      <c r="M205" s="53" t="n">
        <f aca="false">IF(G205="","",MAX(0,G205-1.96*L205/100))</f>
        <v>0.449217373350074</v>
      </c>
      <c r="N205" s="53" t="n">
        <f aca="false">IF(G205="","",MIN(1,G205+1.96*L205/100))</f>
        <v>0.524059701192824</v>
      </c>
      <c r="O205" s="52" t="n">
        <f aca="false">ROUND(S205*W205,0)</f>
        <v>195</v>
      </c>
      <c r="P205" s="52" t="n">
        <f aca="false">IF(F205="","",ROUND(SQRT((F205*L205/100)^2+(G205*O205)^2),0))</f>
        <v>109</v>
      </c>
      <c r="R205" s="54" t="n">
        <v>-2.09433290696017</v>
      </c>
      <c r="S205" s="55" t="n">
        <f aca="false">U205*V205*$F$5</f>
        <v>2844.46927374302</v>
      </c>
      <c r="T205" s="56" t="n">
        <f aca="false">MAX(0,MIN(1,R205/100+$D$5))</f>
        <v>0.486612778038813</v>
      </c>
      <c r="U205" s="56" t="n">
        <v>0.670391061452514</v>
      </c>
      <c r="V205" s="55" t="n">
        <v>4243</v>
      </c>
      <c r="W205" s="56" t="n">
        <v>0.0684752145190268</v>
      </c>
      <c r="X205" s="57" t="s">
        <v>168</v>
      </c>
      <c r="Y205" s="57" t="s">
        <v>130</v>
      </c>
    </row>
    <row r="206" customFormat="false" ht="15" hidden="false" customHeight="false" outlineLevel="0" collapsed="false">
      <c r="A206" s="25" t="s">
        <v>197</v>
      </c>
      <c r="B206" s="25" t="s">
        <v>353</v>
      </c>
      <c r="C206" s="25" t="s">
        <v>358</v>
      </c>
      <c r="D206" s="52" t="n">
        <f aca="false">ROUND(S206*T206,0)</f>
        <v>562</v>
      </c>
      <c r="E206" s="52" t="n">
        <f aca="false">ROUND(S206,0)-D206</f>
        <v>534</v>
      </c>
      <c r="F206" s="52" t="n">
        <f aca="false">IF(COUNTA(D206:E206)=0,"",SUM(D206:E206))</f>
        <v>1096</v>
      </c>
      <c r="G206" s="53" t="n">
        <f aca="false">IF(OR(F206="",F206=0),"",D206/F206)</f>
        <v>0.512773722627737</v>
      </c>
      <c r="H206" s="53" t="n">
        <f aca="false">IF(OR(F206="",F206=0),"",E206/F206)</f>
        <v>0.487226277372263</v>
      </c>
      <c r="I206" s="25" t="s">
        <v>128</v>
      </c>
      <c r="J206" s="28" t="n">
        <v>1.88612725432908</v>
      </c>
      <c r="K206" s="28" t="n">
        <f aca="false">$K$8</f>
        <v>0.296197623206382</v>
      </c>
      <c r="L206" s="28" t="n">
        <f aca="false">SQRT(J206^2+K206^2)</f>
        <v>1.909243057213</v>
      </c>
      <c r="M206" s="53" t="n">
        <f aca="false">IF(G206="","",MAX(0,G206-1.96*L206/100))</f>
        <v>0.475352558706362</v>
      </c>
      <c r="N206" s="53" t="n">
        <f aca="false">IF(G206="","",MIN(1,G206+1.96*L206/100))</f>
        <v>0.550194886549112</v>
      </c>
      <c r="O206" s="52" t="n">
        <f aca="false">ROUND(S206*W206,0)</f>
        <v>75</v>
      </c>
      <c r="P206" s="52" t="n">
        <f aca="false">IF(F206="","",ROUND(SQRT((F206*L206/100)^2+(G206*O206)^2),0))</f>
        <v>44</v>
      </c>
      <c r="R206" s="54" t="n">
        <v>0.570282444802651</v>
      </c>
      <c r="S206" s="55" t="n">
        <f aca="false">U206*V206*$F$5</f>
        <v>1095.71313506815</v>
      </c>
      <c r="T206" s="56" t="n">
        <f aca="false">MAX(0,MIN(1,R206/100+$D$5))</f>
        <v>0.513258931556441</v>
      </c>
      <c r="U206" s="56" t="n">
        <v>0.668525402726146</v>
      </c>
      <c r="V206" s="55" t="n">
        <v>1639</v>
      </c>
      <c r="W206" s="56" t="n">
        <v>0.0684752145190268</v>
      </c>
      <c r="X206" s="57" t="s">
        <v>168</v>
      </c>
      <c r="Y206" s="57" t="s">
        <v>130</v>
      </c>
    </row>
    <row r="207" customFormat="false" ht="15" hidden="false" customHeight="false" outlineLevel="0" collapsed="false">
      <c r="A207" s="25" t="s">
        <v>197</v>
      </c>
      <c r="B207" s="25" t="s">
        <v>353</v>
      </c>
      <c r="C207" s="25" t="s">
        <v>359</v>
      </c>
      <c r="D207" s="52" t="n">
        <f aca="false">ROUND(S207*T207,0)</f>
        <v>547</v>
      </c>
      <c r="E207" s="52" t="n">
        <f aca="false">ROUND(S207,0)-D207</f>
        <v>477</v>
      </c>
      <c r="F207" s="52" t="n">
        <f aca="false">IF(COUNTA(D207:E207)=0,"",SUM(D207:E207))</f>
        <v>1024</v>
      </c>
      <c r="G207" s="53" t="n">
        <f aca="false">IF(OR(F207="",F207=0),"",D207/F207)</f>
        <v>0.5341796875</v>
      </c>
      <c r="H207" s="53" t="n">
        <f aca="false">IF(OR(F207="",F207=0),"",E207/F207)</f>
        <v>0.4658203125</v>
      </c>
      <c r="I207" s="25" t="s">
        <v>128</v>
      </c>
      <c r="J207" s="28" t="n">
        <v>1.88612725432908</v>
      </c>
      <c r="K207" s="28" t="n">
        <f aca="false">$K$8</f>
        <v>0.296197623206382</v>
      </c>
      <c r="L207" s="28" t="n">
        <f aca="false">SQRT(J207^2+K207^2)</f>
        <v>1.909243057213</v>
      </c>
      <c r="M207" s="53" t="n">
        <f aca="false">IF(G207="","",MAX(0,G207-1.96*L207/100))</f>
        <v>0.496758523578625</v>
      </c>
      <c r="N207" s="53" t="n">
        <f aca="false">IF(G207="","",MIN(1,G207+1.96*L207/100))</f>
        <v>0.571600851421375</v>
      </c>
      <c r="O207" s="52" t="n">
        <f aca="false">ROUND(S207*W207,0)</f>
        <v>70</v>
      </c>
      <c r="P207" s="52" t="n">
        <f aca="false">IF(F207="","",ROUND(SQRT((F207*L207/100)^2+(G207*O207)^2),0))</f>
        <v>42</v>
      </c>
      <c r="R207" s="54" t="n">
        <v>2.66935066033716</v>
      </c>
      <c r="S207" s="55" t="n">
        <f aca="false">U207*V207*$F$5</f>
        <v>1023.63518138262</v>
      </c>
      <c r="T207" s="56" t="n">
        <f aca="false">MAX(0,MIN(1,R207/100+$D$5))</f>
        <v>0.534249613711786</v>
      </c>
      <c r="U207" s="56" t="n">
        <v>0.731690622861054</v>
      </c>
      <c r="V207" s="55" t="n">
        <v>1399</v>
      </c>
      <c r="W207" s="56" t="n">
        <v>0.0684752145190268</v>
      </c>
      <c r="X207" s="57" t="s">
        <v>168</v>
      </c>
      <c r="Y207" s="57" t="s">
        <v>130</v>
      </c>
    </row>
    <row r="208" customFormat="false" ht="15" hidden="false" customHeight="false" outlineLevel="0" collapsed="false">
      <c r="A208" s="25" t="s">
        <v>197</v>
      </c>
      <c r="B208" s="25" t="s">
        <v>360</v>
      </c>
      <c r="C208" s="25" t="s">
        <v>361</v>
      </c>
      <c r="D208" s="52" t="n">
        <f aca="false">ROUND(S208*T208,0)</f>
        <v>187</v>
      </c>
      <c r="E208" s="52" t="n">
        <f aca="false">ROUND(S208,0)-D208</f>
        <v>417</v>
      </c>
      <c r="F208" s="52" t="n">
        <f aca="false">IF(COUNTA(D208:E208)=0,"",SUM(D208:E208))</f>
        <v>604</v>
      </c>
      <c r="G208" s="53" t="n">
        <f aca="false">IF(OR(F208="",F208=0),"",D208/F208)</f>
        <v>0.309602649006623</v>
      </c>
      <c r="H208" s="53" t="n">
        <f aca="false">IF(OR(F208="",F208=0),"",E208/F208)</f>
        <v>0.690397350993378</v>
      </c>
      <c r="I208" s="25" t="s">
        <v>128</v>
      </c>
      <c r="J208" s="28" t="n">
        <v>2.37310914384046</v>
      </c>
      <c r="K208" s="28" t="n">
        <f aca="false">$K$8</f>
        <v>0.296197623206382</v>
      </c>
      <c r="L208" s="28" t="n">
        <f aca="false">SQRT(J208^2+K208^2)</f>
        <v>2.3915225360787</v>
      </c>
      <c r="M208" s="53" t="n">
        <f aca="false">IF(G208="","",MAX(0,G208-1.96*L208/100))</f>
        <v>0.26272880729948</v>
      </c>
      <c r="N208" s="53" t="n">
        <f aca="false">IF(G208="","",MIN(1,G208+1.96*L208/100))</f>
        <v>0.356476490713765</v>
      </c>
      <c r="O208" s="52" t="n">
        <f aca="false">ROUND(S208*W208,0)</f>
        <v>54</v>
      </c>
      <c r="P208" s="52" t="n">
        <f aca="false">IF(F208="","",ROUND(SQRT((F208*L208/100)^2+(G208*O208)^2),0))</f>
        <v>22</v>
      </c>
      <c r="R208" s="54" t="n">
        <v>-19.820823271065</v>
      </c>
      <c r="S208" s="55" t="n">
        <f aca="false">U208*V208*$F$5</f>
        <v>604.352941176471</v>
      </c>
      <c r="T208" s="56" t="n">
        <f aca="false">MAX(0,MIN(1,R208/100+$D$5))</f>
        <v>0.309347874397765</v>
      </c>
      <c r="U208" s="56" t="n">
        <v>0.647058823529412</v>
      </c>
      <c r="V208" s="55" t="n">
        <v>934</v>
      </c>
      <c r="W208" s="56" t="n">
        <v>0.0887445098984521</v>
      </c>
      <c r="X208" s="57" t="s">
        <v>135</v>
      </c>
      <c r="Y208" s="57" t="s">
        <v>130</v>
      </c>
    </row>
    <row r="209" customFormat="false" ht="15" hidden="false" customHeight="false" outlineLevel="0" collapsed="false">
      <c r="A209" s="25" t="s">
        <v>197</v>
      </c>
      <c r="B209" s="25" t="s">
        <v>360</v>
      </c>
      <c r="C209" s="25" t="s">
        <v>362</v>
      </c>
      <c r="D209" s="52" t="n">
        <f aca="false">ROUND(S209*T209,0)</f>
        <v>639</v>
      </c>
      <c r="E209" s="52" t="n">
        <f aca="false">ROUND(S209,0)-D209</f>
        <v>1318</v>
      </c>
      <c r="F209" s="52" t="n">
        <f aca="false">IF(COUNTA(D209:E209)=0,"",SUM(D209:E209))</f>
        <v>1957</v>
      </c>
      <c r="G209" s="53" t="n">
        <f aca="false">IF(OR(F209="",F209=0),"",D209/F209)</f>
        <v>0.326520183955033</v>
      </c>
      <c r="H209" s="53" t="n">
        <f aca="false">IF(OR(F209="",F209=0),"",E209/F209)</f>
        <v>0.673479816044967</v>
      </c>
      <c r="I209" s="25" t="s">
        <v>128</v>
      </c>
      <c r="J209" s="28" t="n">
        <v>1.88612725432908</v>
      </c>
      <c r="K209" s="28" t="n">
        <f aca="false">$K$8</f>
        <v>0.296197623206382</v>
      </c>
      <c r="L209" s="28" t="n">
        <f aca="false">SQRT(J209^2+K209^2)</f>
        <v>1.909243057213</v>
      </c>
      <c r="M209" s="53" t="n">
        <f aca="false">IF(G209="","",MAX(0,G209-1.96*L209/100))</f>
        <v>0.289099020033658</v>
      </c>
      <c r="N209" s="53" t="n">
        <f aca="false">IF(G209="","",MIN(1,G209+1.96*L209/100))</f>
        <v>0.363941347876408</v>
      </c>
      <c r="O209" s="52" t="n">
        <f aca="false">ROUND(S209*W209,0)</f>
        <v>134</v>
      </c>
      <c r="P209" s="52" t="n">
        <f aca="false">IF(F209="","",ROUND(SQRT((F209*L209/100)^2+(G209*O209)^2),0))</f>
        <v>58</v>
      </c>
      <c r="R209" s="54" t="n">
        <v>-18.0782411486799</v>
      </c>
      <c r="S209" s="55" t="n">
        <f aca="false">U209*V209*$F$5</f>
        <v>1956.62307176392</v>
      </c>
      <c r="T209" s="56" t="n">
        <f aca="false">MAX(0,MIN(1,R209/100+$D$5))</f>
        <v>0.326773695621616</v>
      </c>
      <c r="U209" s="56" t="n">
        <v>0.641515761234071</v>
      </c>
      <c r="V209" s="55" t="n">
        <v>3050</v>
      </c>
      <c r="W209" s="56" t="n">
        <v>0.0684752145190268</v>
      </c>
      <c r="X209" s="57" t="s">
        <v>168</v>
      </c>
      <c r="Y209" s="57" t="s">
        <v>130</v>
      </c>
    </row>
    <row r="210" customFormat="false" ht="15" hidden="false" customHeight="false" outlineLevel="0" collapsed="false">
      <c r="A210" s="25" t="s">
        <v>197</v>
      </c>
      <c r="B210" s="25" t="s">
        <v>360</v>
      </c>
      <c r="C210" s="25" t="s">
        <v>363</v>
      </c>
      <c r="D210" s="52" t="n">
        <f aca="false">ROUND(S210*T210,0)</f>
        <v>149</v>
      </c>
      <c r="E210" s="52" t="n">
        <f aca="false">ROUND(S210,0)-D210</f>
        <v>393</v>
      </c>
      <c r="F210" s="52" t="n">
        <f aca="false">IF(COUNTA(D210:E210)=0,"",SUM(D210:E210))</f>
        <v>542</v>
      </c>
      <c r="G210" s="53" t="n">
        <f aca="false">IF(OR(F210="",F210=0),"",D210/F210)</f>
        <v>0.274907749077491</v>
      </c>
      <c r="H210" s="53" t="n">
        <f aca="false">IF(OR(F210="",F210=0),"",E210/F210)</f>
        <v>0.725092250922509</v>
      </c>
      <c r="I210" s="25" t="s">
        <v>128</v>
      </c>
      <c r="J210" s="28" t="n">
        <v>3.71103496666907</v>
      </c>
      <c r="K210" s="28" t="n">
        <f aca="false">$K$8</f>
        <v>0.296197623206382</v>
      </c>
      <c r="L210" s="28" t="n">
        <f aca="false">SQRT(J210^2+K210^2)</f>
        <v>3.72283676191068</v>
      </c>
      <c r="M210" s="53" t="n">
        <f aca="false">IF(G210="","",MAX(0,G210-1.96*L210/100))</f>
        <v>0.201940148544041</v>
      </c>
      <c r="N210" s="53" t="n">
        <f aca="false">IF(G210="","",MIN(1,G210+1.96*L210/100))</f>
        <v>0.34787534961094</v>
      </c>
      <c r="O210" s="52" t="n">
        <f aca="false">ROUND(S210*W210,0)</f>
        <v>80</v>
      </c>
      <c r="P210" s="52" t="n">
        <f aca="false">IF(F210="","",ROUND(SQRT((F210*L210/100)^2+(G210*O210)^2),0))</f>
        <v>30</v>
      </c>
      <c r="R210" s="54" t="n">
        <v>-23.3541281599733</v>
      </c>
      <c r="S210" s="55" t="n">
        <f aca="false">U210*V210*$F$5</f>
        <v>542.370466321243</v>
      </c>
      <c r="T210" s="56" t="n">
        <f aca="false">MAX(0,MIN(1,R210/100+$D$5))</f>
        <v>0.274014825508682</v>
      </c>
      <c r="U210" s="56" t="n">
        <v>0.660621761658031</v>
      </c>
      <c r="V210" s="55" t="n">
        <v>821</v>
      </c>
      <c r="W210" s="56" t="n">
        <v>0.148097331980838</v>
      </c>
      <c r="X210" s="57" t="s">
        <v>129</v>
      </c>
      <c r="Y210" s="57" t="s">
        <v>130</v>
      </c>
    </row>
    <row r="211" customFormat="false" ht="15" hidden="false" customHeight="false" outlineLevel="0" collapsed="false">
      <c r="A211" s="25" t="s">
        <v>197</v>
      </c>
      <c r="B211" s="25" t="s">
        <v>364</v>
      </c>
      <c r="C211" s="25" t="s">
        <v>364</v>
      </c>
      <c r="D211" s="52" t="n">
        <f aca="false">ROUND(S211*T211,0)</f>
        <v>932</v>
      </c>
      <c r="E211" s="52" t="n">
        <f aca="false">ROUND(S211,0)-D211</f>
        <v>1808</v>
      </c>
      <c r="F211" s="52" t="n">
        <f aca="false">IF(COUNTA(D211:E211)=0,"",SUM(D211:E211))</f>
        <v>2740</v>
      </c>
      <c r="G211" s="53" t="n">
        <f aca="false">IF(OR(F211="",F211=0),"",D211/F211)</f>
        <v>0.34014598540146</v>
      </c>
      <c r="H211" s="53" t="n">
        <f aca="false">IF(OR(F211="",F211=0),"",E211/F211)</f>
        <v>0.65985401459854</v>
      </c>
      <c r="I211" s="25" t="s">
        <v>128</v>
      </c>
      <c r="J211" s="28" t="n">
        <v>1.88612725432908</v>
      </c>
      <c r="K211" s="28" t="n">
        <f aca="false">$K$8</f>
        <v>0.296197623206382</v>
      </c>
      <c r="L211" s="28" t="n">
        <f aca="false">SQRT(J211^2+K211^2)</f>
        <v>1.909243057213</v>
      </c>
      <c r="M211" s="53" t="n">
        <f aca="false">IF(G211="","",MAX(0,G211-1.96*L211/100))</f>
        <v>0.302724821480085</v>
      </c>
      <c r="N211" s="53" t="n">
        <f aca="false">IF(G211="","",MIN(1,G211+1.96*L211/100))</f>
        <v>0.377567149322835</v>
      </c>
      <c r="O211" s="52" t="n">
        <f aca="false">ROUND(S211*W211,0)</f>
        <v>188</v>
      </c>
      <c r="P211" s="52" t="n">
        <f aca="false">IF(F211="","",ROUND(SQRT((F211*L211/100)^2+(G211*O211)^2),0))</f>
        <v>83</v>
      </c>
      <c r="R211" s="54" t="n">
        <v>-16.7387803628102</v>
      </c>
      <c r="S211" s="55" t="n">
        <f aca="false">U211*V211*$F$5</f>
        <v>2739.5017118778</v>
      </c>
      <c r="T211" s="56" t="n">
        <f aca="false">MAX(0,MIN(1,R211/100+$D$5))</f>
        <v>0.340168303480313</v>
      </c>
      <c r="U211" s="56" t="n">
        <v>0.708980774295497</v>
      </c>
      <c r="V211" s="55" t="n">
        <v>3864</v>
      </c>
      <c r="W211" s="56" t="n">
        <v>0.0684752145190268</v>
      </c>
      <c r="X211" s="57" t="s">
        <v>168</v>
      </c>
      <c r="Y211" s="57" t="s">
        <v>130</v>
      </c>
    </row>
    <row r="212" customFormat="false" ht="15" hidden="false" customHeight="false" outlineLevel="0" collapsed="false">
      <c r="A212" s="25" t="s">
        <v>197</v>
      </c>
      <c r="B212" s="25" t="s">
        <v>365</v>
      </c>
      <c r="C212" s="25" t="s">
        <v>366</v>
      </c>
      <c r="D212" s="52" t="n">
        <f aca="false">ROUND(S212*T212,0)</f>
        <v>655</v>
      </c>
      <c r="E212" s="52" t="n">
        <f aca="false">ROUND(S212,0)-D212</f>
        <v>715</v>
      </c>
      <c r="F212" s="52" t="n">
        <f aca="false">IF(COUNTA(D212:E212)=0,"",SUM(D212:E212))</f>
        <v>1370</v>
      </c>
      <c r="G212" s="53" t="n">
        <f aca="false">IF(OR(F212="",F212=0),"",D212/F212)</f>
        <v>0.478102189781022</v>
      </c>
      <c r="H212" s="53" t="n">
        <f aca="false">IF(OR(F212="",F212=0),"",E212/F212)</f>
        <v>0.521897810218978</v>
      </c>
      <c r="I212" s="25" t="s">
        <v>128</v>
      </c>
      <c r="J212" s="28" t="n">
        <v>1.88612725432908</v>
      </c>
      <c r="K212" s="28" t="n">
        <f aca="false">$K$8</f>
        <v>0.296197623206382</v>
      </c>
      <c r="L212" s="28" t="n">
        <f aca="false">SQRT(J212^2+K212^2)</f>
        <v>1.909243057213</v>
      </c>
      <c r="M212" s="53" t="n">
        <f aca="false">IF(G212="","",MAX(0,G212-1.96*L212/100))</f>
        <v>0.440681025859647</v>
      </c>
      <c r="N212" s="53" t="n">
        <f aca="false">IF(G212="","",MIN(1,G212+1.96*L212/100))</f>
        <v>0.515523353702397</v>
      </c>
      <c r="O212" s="52" t="n">
        <f aca="false">ROUND(S212*W212,0)</f>
        <v>94</v>
      </c>
      <c r="P212" s="52" t="n">
        <f aca="false">IF(F212="","",ROUND(SQRT((F212*L212/100)^2+(G212*O212)^2),0))</f>
        <v>52</v>
      </c>
      <c r="R212" s="54" t="n">
        <v>-2.93788484326814</v>
      </c>
      <c r="S212" s="55" t="n">
        <f aca="false">U212*V212*$F$5</f>
        <v>1370.10933470861</v>
      </c>
      <c r="T212" s="56" t="n">
        <f aca="false">MAX(0,MIN(1,R212/100+$D$5))</f>
        <v>0.478177258675733</v>
      </c>
      <c r="U212" s="56" t="n">
        <v>0.670964414646725</v>
      </c>
      <c r="V212" s="55" t="n">
        <v>2042</v>
      </c>
      <c r="W212" s="56" t="n">
        <v>0.0684752145190268</v>
      </c>
      <c r="X212" s="57" t="s">
        <v>168</v>
      </c>
      <c r="Y212" s="57" t="s">
        <v>130</v>
      </c>
    </row>
    <row r="213" customFormat="false" ht="15" hidden="false" customHeight="false" outlineLevel="0" collapsed="false">
      <c r="A213" s="25" t="s">
        <v>197</v>
      </c>
      <c r="B213" s="25" t="s">
        <v>365</v>
      </c>
      <c r="C213" s="25" t="s">
        <v>367</v>
      </c>
      <c r="D213" s="52" t="n">
        <f aca="false">ROUND(S213*T213,0)</f>
        <v>470</v>
      </c>
      <c r="E213" s="52" t="n">
        <f aca="false">ROUND(S213,0)-D213</f>
        <v>506</v>
      </c>
      <c r="F213" s="52" t="n">
        <f aca="false">IF(COUNTA(D213:E213)=0,"",SUM(D213:E213))</f>
        <v>976</v>
      </c>
      <c r="G213" s="53" t="n">
        <f aca="false">IF(OR(F213="",F213=0),"",D213/F213)</f>
        <v>0.48155737704918</v>
      </c>
      <c r="H213" s="53" t="n">
        <f aca="false">IF(OR(F213="",F213=0),"",E213/F213)</f>
        <v>0.51844262295082</v>
      </c>
      <c r="I213" s="25" t="s">
        <v>128</v>
      </c>
      <c r="J213" s="28" t="n">
        <v>1.88612725432908</v>
      </c>
      <c r="K213" s="28" t="n">
        <f aca="false">$K$8</f>
        <v>0.296197623206382</v>
      </c>
      <c r="L213" s="28" t="n">
        <f aca="false">SQRT(J213^2+K213^2)</f>
        <v>1.909243057213</v>
      </c>
      <c r="M213" s="53" t="n">
        <f aca="false">IF(G213="","",MAX(0,G213-1.96*L213/100))</f>
        <v>0.444136213127806</v>
      </c>
      <c r="N213" s="53" t="n">
        <f aca="false">IF(G213="","",MIN(1,G213+1.96*L213/100))</f>
        <v>0.518978540970555</v>
      </c>
      <c r="O213" s="52" t="n">
        <f aca="false">ROUND(S213*W213,0)</f>
        <v>67</v>
      </c>
      <c r="P213" s="52" t="n">
        <f aca="false">IF(F213="","",ROUND(SQRT((F213*L213/100)^2+(G213*O213)^2),0))</f>
        <v>37</v>
      </c>
      <c r="R213" s="54" t="n">
        <v>-2.54358552655147</v>
      </c>
      <c r="S213" s="55" t="n">
        <f aca="false">U213*V213*$F$5</f>
        <v>975.592154420922</v>
      </c>
      <c r="T213" s="56" t="n">
        <f aca="false">MAX(0,MIN(1,R213/100+$D$5))</f>
        <v>0.4821202518429</v>
      </c>
      <c r="U213" s="56" t="n">
        <v>0.599626400996264</v>
      </c>
      <c r="V213" s="55" t="n">
        <v>1627</v>
      </c>
      <c r="W213" s="56" t="n">
        <v>0.0684752145190268</v>
      </c>
      <c r="X213" s="57" t="s">
        <v>168</v>
      </c>
      <c r="Y213" s="57" t="s">
        <v>130</v>
      </c>
    </row>
    <row r="214" customFormat="false" ht="15" hidden="false" customHeight="false" outlineLevel="0" collapsed="false">
      <c r="A214" s="25" t="s">
        <v>197</v>
      </c>
      <c r="B214" s="25" t="s">
        <v>365</v>
      </c>
      <c r="C214" s="25" t="s">
        <v>368</v>
      </c>
      <c r="D214" s="52" t="n">
        <f aca="false">ROUND(S214*T214,0)</f>
        <v>527</v>
      </c>
      <c r="E214" s="52" t="n">
        <f aca="false">ROUND(S214,0)-D214</f>
        <v>410</v>
      </c>
      <c r="F214" s="52" t="n">
        <f aca="false">IF(COUNTA(D214:E214)=0,"",SUM(D214:E214))</f>
        <v>937</v>
      </c>
      <c r="G214" s="53" t="n">
        <f aca="false">IF(OR(F214="",F214=0),"",D214/F214)</f>
        <v>0.562433297758805</v>
      </c>
      <c r="H214" s="53" t="n">
        <f aca="false">IF(OR(F214="",F214=0),"",E214/F214)</f>
        <v>0.437566702241195</v>
      </c>
      <c r="I214" s="25" t="s">
        <v>128</v>
      </c>
      <c r="J214" s="28" t="n">
        <v>1.88612725432908</v>
      </c>
      <c r="K214" s="28" t="n">
        <f aca="false">$K$8</f>
        <v>0.296197623206382</v>
      </c>
      <c r="L214" s="28" t="n">
        <f aca="false">SQRT(J214^2+K214^2)</f>
        <v>1.909243057213</v>
      </c>
      <c r="M214" s="53" t="n">
        <f aca="false">IF(G214="","",MAX(0,G214-1.96*L214/100))</f>
        <v>0.52501213383743</v>
      </c>
      <c r="N214" s="53" t="n">
        <f aca="false">IF(G214="","",MIN(1,G214+1.96*L214/100))</f>
        <v>0.59985446168018</v>
      </c>
      <c r="O214" s="52" t="n">
        <f aca="false">ROUND(S214*W214,0)</f>
        <v>64</v>
      </c>
      <c r="P214" s="52" t="n">
        <f aca="false">IF(F214="","",ROUND(SQRT((F214*L214/100)^2+(G214*O214)^2),0))</f>
        <v>40</v>
      </c>
      <c r="R214" s="54" t="n">
        <v>5.52728794124863</v>
      </c>
      <c r="S214" s="55" t="n">
        <f aca="false">U214*V214*$F$5</f>
        <v>936.993243243243</v>
      </c>
      <c r="T214" s="56" t="n">
        <f aca="false">MAX(0,MIN(1,R214/100+$D$5))</f>
        <v>0.562828986520901</v>
      </c>
      <c r="U214" s="56" t="n">
        <v>0.506756756756757</v>
      </c>
      <c r="V214" s="55" t="n">
        <v>1849</v>
      </c>
      <c r="W214" s="56" t="n">
        <v>0.0684752145190268</v>
      </c>
      <c r="X214" s="57" t="s">
        <v>168</v>
      </c>
      <c r="Y214" s="57" t="s">
        <v>130</v>
      </c>
    </row>
    <row r="215" customFormat="false" ht="15" hidden="false" customHeight="false" outlineLevel="0" collapsed="false">
      <c r="A215" s="25" t="s">
        <v>197</v>
      </c>
      <c r="B215" s="25" t="s">
        <v>365</v>
      </c>
      <c r="C215" s="25" t="s">
        <v>369</v>
      </c>
      <c r="D215" s="52" t="n">
        <f aca="false">ROUND(S215*T215,0)</f>
        <v>598</v>
      </c>
      <c r="E215" s="52" t="n">
        <f aca="false">ROUND(S215,0)-D215</f>
        <v>406</v>
      </c>
      <c r="F215" s="52" t="n">
        <f aca="false">IF(COUNTA(D215:E215)=0,"",SUM(D215:E215))</f>
        <v>1004</v>
      </c>
      <c r="G215" s="53" t="n">
        <f aca="false">IF(OR(F215="",F215=0),"",D215/F215)</f>
        <v>0.595617529880478</v>
      </c>
      <c r="H215" s="53" t="n">
        <f aca="false">IF(OR(F215="",F215=0),"",E215/F215)</f>
        <v>0.404382470119522</v>
      </c>
      <c r="I215" s="25" t="s">
        <v>128</v>
      </c>
      <c r="J215" s="28" t="n">
        <v>1.88612725432908</v>
      </c>
      <c r="K215" s="28" t="n">
        <f aca="false">$K$8</f>
        <v>0.296197623206382</v>
      </c>
      <c r="L215" s="28" t="n">
        <f aca="false">SQRT(J215^2+K215^2)</f>
        <v>1.909243057213</v>
      </c>
      <c r="M215" s="53" t="n">
        <f aca="false">IF(G215="","",MAX(0,G215-1.96*L215/100))</f>
        <v>0.558196365959103</v>
      </c>
      <c r="N215" s="53" t="n">
        <f aca="false">IF(G215="","",MIN(1,G215+1.96*L215/100))</f>
        <v>0.633038693801853</v>
      </c>
      <c r="O215" s="52" t="n">
        <f aca="false">ROUND(S215*W215,0)</f>
        <v>69</v>
      </c>
      <c r="P215" s="52" t="n">
        <f aca="false">IF(F215="","",ROUND(SQRT((F215*L215/100)^2+(G215*O215)^2),0))</f>
        <v>45</v>
      </c>
      <c r="R215" s="54" t="n">
        <v>8.81741912565323</v>
      </c>
      <c r="S215" s="55" t="n">
        <f aca="false">U215*V215*$F$5</f>
        <v>1003.94947569113</v>
      </c>
      <c r="T215" s="56" t="n">
        <f aca="false">MAX(0,MIN(1,R215/100+$D$5))</f>
        <v>0.595730298364947</v>
      </c>
      <c r="U215" s="56" t="n">
        <v>0.473784556720686</v>
      </c>
      <c r="V215" s="55" t="n">
        <v>2119</v>
      </c>
      <c r="W215" s="56" t="n">
        <v>0.0684752145190268</v>
      </c>
      <c r="X215" s="57" t="s">
        <v>168</v>
      </c>
      <c r="Y215" s="57" t="s">
        <v>130</v>
      </c>
    </row>
    <row r="216" customFormat="false" ht="15" hidden="false" customHeight="false" outlineLevel="0" collapsed="false">
      <c r="A216" s="25" t="s">
        <v>197</v>
      </c>
      <c r="B216" s="25" t="s">
        <v>365</v>
      </c>
      <c r="C216" s="25" t="s">
        <v>370</v>
      </c>
      <c r="D216" s="52" t="n">
        <f aca="false">ROUND(S216*T216,0)</f>
        <v>221</v>
      </c>
      <c r="E216" s="52" t="n">
        <f aca="false">ROUND(S216,0)-D216</f>
        <v>178</v>
      </c>
      <c r="F216" s="52" t="n">
        <f aca="false">IF(COUNTA(D216:E216)=0,"",SUM(D216:E216))</f>
        <v>399</v>
      </c>
      <c r="G216" s="53" t="n">
        <f aca="false">IF(OR(F216="",F216=0),"",D216/F216)</f>
        <v>0.553884711779449</v>
      </c>
      <c r="H216" s="53" t="n">
        <f aca="false">IF(OR(F216="",F216=0),"",E216/F216)</f>
        <v>0.446115288220551</v>
      </c>
      <c r="I216" s="25" t="s">
        <v>128</v>
      </c>
      <c r="J216" s="28" t="n">
        <v>3.71103496666907</v>
      </c>
      <c r="K216" s="28" t="n">
        <f aca="false">$K$8</f>
        <v>0.296197623206382</v>
      </c>
      <c r="L216" s="28" t="n">
        <f aca="false">SQRT(J216^2+K216^2)</f>
        <v>3.72283676191068</v>
      </c>
      <c r="M216" s="53" t="n">
        <f aca="false">IF(G216="","",MAX(0,G216-1.96*L216/100))</f>
        <v>0.480917111245999</v>
      </c>
      <c r="N216" s="53" t="n">
        <f aca="false">IF(G216="","",MIN(1,G216+1.96*L216/100))</f>
        <v>0.626852312312898</v>
      </c>
      <c r="O216" s="52" t="n">
        <f aca="false">ROUND(S216*W216,0)</f>
        <v>59</v>
      </c>
      <c r="P216" s="52" t="n">
        <f aca="false">IF(F216="","",ROUND(SQRT((F216*L216/100)^2+(G216*O216)^2),0))</f>
        <v>36</v>
      </c>
      <c r="R216" s="54" t="n">
        <v>4.61161252250168</v>
      </c>
      <c r="S216" s="55" t="n">
        <f aca="false">U216*V216*$F$5</f>
        <v>398.675306957708</v>
      </c>
      <c r="T216" s="56" t="n">
        <f aca="false">MAX(0,MIN(1,R216/100+$D$5))</f>
        <v>0.553672232333432</v>
      </c>
      <c r="U216" s="56" t="n">
        <v>0.522510231923602</v>
      </c>
      <c r="V216" s="55" t="n">
        <v>763</v>
      </c>
      <c r="W216" s="56" t="n">
        <v>0.148097331980838</v>
      </c>
      <c r="X216" s="57" t="s">
        <v>129</v>
      </c>
      <c r="Y216" s="57" t="s">
        <v>130</v>
      </c>
    </row>
    <row r="217" customFormat="false" ht="15" hidden="false" customHeight="false" outlineLevel="0" collapsed="false">
      <c r="A217" s="25" t="s">
        <v>197</v>
      </c>
      <c r="B217" s="25" t="s">
        <v>365</v>
      </c>
      <c r="C217" s="25" t="s">
        <v>371</v>
      </c>
      <c r="D217" s="52" t="n">
        <f aca="false">ROUND(S217*T217,0)</f>
        <v>315</v>
      </c>
      <c r="E217" s="52" t="n">
        <f aca="false">ROUND(S217,0)-D217</f>
        <v>205</v>
      </c>
      <c r="F217" s="52" t="n">
        <f aca="false">IF(COUNTA(D217:E217)=0,"",SUM(D217:E217))</f>
        <v>520</v>
      </c>
      <c r="G217" s="53" t="n">
        <f aca="false">IF(OR(F217="",F217=0),"",D217/F217)</f>
        <v>0.605769230769231</v>
      </c>
      <c r="H217" s="53" t="n">
        <f aca="false">IF(OR(F217="",F217=0),"",E217/F217)</f>
        <v>0.394230769230769</v>
      </c>
      <c r="I217" s="25" t="s">
        <v>128</v>
      </c>
      <c r="J217" s="28" t="n">
        <v>3.71103496666907</v>
      </c>
      <c r="K217" s="28" t="n">
        <f aca="false">$K$8</f>
        <v>0.296197623206382</v>
      </c>
      <c r="L217" s="28" t="n">
        <f aca="false">SQRT(J217^2+K217^2)</f>
        <v>3.72283676191068</v>
      </c>
      <c r="M217" s="53" t="n">
        <f aca="false">IF(G217="","",MAX(0,G217-1.96*L217/100))</f>
        <v>0.532801630235781</v>
      </c>
      <c r="N217" s="53" t="n">
        <f aca="false">IF(G217="","",MIN(1,G217+1.96*L217/100))</f>
        <v>0.67873683130268</v>
      </c>
      <c r="O217" s="52" t="n">
        <f aca="false">ROUND(S217*W217,0)</f>
        <v>77</v>
      </c>
      <c r="P217" s="52" t="n">
        <f aca="false">IF(F217="","",ROUND(SQRT((F217*L217/100)^2+(G217*O217)^2),0))</f>
        <v>51</v>
      </c>
      <c r="R217" s="54" t="n">
        <v>9.87623575061057</v>
      </c>
      <c r="S217" s="55" t="n">
        <f aca="false">U217*V217*$F$5</f>
        <v>520.227272727273</v>
      </c>
      <c r="T217" s="56" t="n">
        <f aca="false">MAX(0,MIN(1,R217/100+$D$5))</f>
        <v>0.60631846461452</v>
      </c>
      <c r="U217" s="56" t="n">
        <v>0.367132867132867</v>
      </c>
      <c r="V217" s="55" t="n">
        <v>1417</v>
      </c>
      <c r="W217" s="56" t="n">
        <v>0.148097331980838</v>
      </c>
      <c r="X217" s="57" t="s">
        <v>129</v>
      </c>
      <c r="Y217" s="57" t="s">
        <v>130</v>
      </c>
    </row>
    <row r="218" customFormat="false" ht="15" hidden="false" customHeight="false" outlineLevel="0" collapsed="false">
      <c r="A218" s="25" t="s">
        <v>197</v>
      </c>
      <c r="B218" s="25" t="s">
        <v>365</v>
      </c>
      <c r="C218" s="25" t="s">
        <v>372</v>
      </c>
      <c r="D218" s="52" t="n">
        <f aca="false">ROUND(S218*T218,0)</f>
        <v>388</v>
      </c>
      <c r="E218" s="52" t="n">
        <f aca="false">ROUND(S218,0)-D218</f>
        <v>299</v>
      </c>
      <c r="F218" s="52" t="n">
        <f aca="false">IF(COUNTA(D218:E218)=0,"",SUM(D218:E218))</f>
        <v>687</v>
      </c>
      <c r="G218" s="53" t="n">
        <f aca="false">IF(OR(F218="",F218=0),"",D218/F218)</f>
        <v>0.564774381368268</v>
      </c>
      <c r="H218" s="53" t="n">
        <f aca="false">IF(OR(F218="",F218=0),"",E218/F218)</f>
        <v>0.435225618631732</v>
      </c>
      <c r="I218" s="25" t="s">
        <v>128</v>
      </c>
      <c r="J218" s="28" t="n">
        <v>2.37310914384046</v>
      </c>
      <c r="K218" s="28" t="n">
        <f aca="false">$K$8</f>
        <v>0.296197623206382</v>
      </c>
      <c r="L218" s="28" t="n">
        <f aca="false">SQRT(J218^2+K218^2)</f>
        <v>2.3915225360787</v>
      </c>
      <c r="M218" s="53" t="n">
        <f aca="false">IF(G218="","",MAX(0,G218-1.96*L218/100))</f>
        <v>0.517900539661125</v>
      </c>
      <c r="N218" s="53" t="n">
        <f aca="false">IF(G218="","",MIN(1,G218+1.96*L218/100))</f>
        <v>0.61164822307541</v>
      </c>
      <c r="O218" s="52" t="n">
        <f aca="false">ROUND(S218*W218,0)</f>
        <v>61</v>
      </c>
      <c r="P218" s="52" t="n">
        <f aca="false">IF(F218="","",ROUND(SQRT((F218*L218/100)^2+(G218*O218)^2),0))</f>
        <v>38</v>
      </c>
      <c r="R218" s="54" t="n">
        <v>5.66317634299599</v>
      </c>
      <c r="S218" s="55" t="n">
        <f aca="false">U218*V218*$F$5</f>
        <v>687.489614243323</v>
      </c>
      <c r="T218" s="56" t="n">
        <f aca="false">MAX(0,MIN(1,R218/100+$D$5))</f>
        <v>0.564187870538375</v>
      </c>
      <c r="U218" s="56" t="n">
        <v>0.510385756676558</v>
      </c>
      <c r="V218" s="55" t="n">
        <v>1347</v>
      </c>
      <c r="W218" s="56" t="n">
        <v>0.0887445098984521</v>
      </c>
      <c r="X218" s="57" t="s">
        <v>135</v>
      </c>
      <c r="Y218" s="57" t="s">
        <v>130</v>
      </c>
    </row>
    <row r="219" customFormat="false" ht="15" hidden="false" customHeight="false" outlineLevel="0" collapsed="false">
      <c r="A219" s="25" t="s">
        <v>197</v>
      </c>
      <c r="B219" s="25" t="s">
        <v>365</v>
      </c>
      <c r="C219" s="25" t="s">
        <v>373</v>
      </c>
      <c r="D219" s="52" t="n">
        <f aca="false">ROUND(S219*T219,0)</f>
        <v>217</v>
      </c>
      <c r="E219" s="52" t="n">
        <f aca="false">ROUND(S219,0)-D219</f>
        <v>233</v>
      </c>
      <c r="F219" s="52" t="n">
        <f aca="false">IF(COUNTA(D219:E219)=0,"",SUM(D219:E219))</f>
        <v>450</v>
      </c>
      <c r="G219" s="53" t="n">
        <f aca="false">IF(OR(F219="",F219=0),"",D219/F219)</f>
        <v>0.482222222222222</v>
      </c>
      <c r="H219" s="53" t="n">
        <f aca="false">IF(OR(F219="",F219=0),"",E219/F219)</f>
        <v>0.517777777777778</v>
      </c>
      <c r="I219" s="25" t="s">
        <v>128</v>
      </c>
      <c r="J219" s="28" t="n">
        <v>3.71103496666907</v>
      </c>
      <c r="K219" s="28" t="n">
        <f aca="false">$K$8</f>
        <v>0.296197623206382</v>
      </c>
      <c r="L219" s="28" t="n">
        <f aca="false">SQRT(J219^2+K219^2)</f>
        <v>3.72283676191068</v>
      </c>
      <c r="M219" s="53" t="n">
        <f aca="false">IF(G219="","",MAX(0,G219-1.96*L219/100))</f>
        <v>0.409254621688773</v>
      </c>
      <c r="N219" s="53" t="n">
        <f aca="false">IF(G219="","",MIN(1,G219+1.96*L219/100))</f>
        <v>0.555189822755672</v>
      </c>
      <c r="O219" s="52" t="n">
        <f aca="false">ROUND(S219*W219,0)</f>
        <v>67</v>
      </c>
      <c r="P219" s="52" t="n">
        <f aca="false">IF(F219="","",ROUND(SQRT((F219*L219/100)^2+(G219*O219)^2),0))</f>
        <v>36</v>
      </c>
      <c r="R219" s="54" t="n">
        <v>-2.48600011835881</v>
      </c>
      <c r="S219" s="55" t="n">
        <f aca="false">U219*V219*$F$5</f>
        <v>449.830708661417</v>
      </c>
      <c r="T219" s="56" t="n">
        <f aca="false">MAX(0,MIN(1,R219/100+$D$5))</f>
        <v>0.482696105924827</v>
      </c>
      <c r="U219" s="56" t="n">
        <v>0.562992125984252</v>
      </c>
      <c r="V219" s="55" t="n">
        <v>799</v>
      </c>
      <c r="W219" s="56" t="n">
        <v>0.148097331980838</v>
      </c>
      <c r="X219" s="57" t="s">
        <v>129</v>
      </c>
      <c r="Y219" s="57" t="s">
        <v>130</v>
      </c>
    </row>
    <row r="220" customFormat="false" ht="15" hidden="false" customHeight="false" outlineLevel="0" collapsed="false">
      <c r="A220" s="25" t="s">
        <v>197</v>
      </c>
      <c r="B220" s="25" t="s">
        <v>365</v>
      </c>
      <c r="C220" s="25" t="s">
        <v>374</v>
      </c>
      <c r="D220" s="52" t="n">
        <f aca="false">ROUND(S220*T220,0)</f>
        <v>417</v>
      </c>
      <c r="E220" s="52" t="n">
        <f aca="false">ROUND(S220,0)-D220</f>
        <v>366</v>
      </c>
      <c r="F220" s="52" t="n">
        <f aca="false">IF(COUNTA(D220:E220)=0,"",SUM(D220:E220))</f>
        <v>783</v>
      </c>
      <c r="G220" s="53" t="n">
        <f aca="false">IF(OR(F220="",F220=0),"",D220/F220)</f>
        <v>0.532567049808429</v>
      </c>
      <c r="H220" s="53" t="n">
        <f aca="false">IF(OR(F220="",F220=0),"",E220/F220)</f>
        <v>0.467432950191571</v>
      </c>
      <c r="I220" s="25" t="s">
        <v>128</v>
      </c>
      <c r="J220" s="28" t="n">
        <v>2.37310914384046</v>
      </c>
      <c r="K220" s="28" t="n">
        <f aca="false">$K$8</f>
        <v>0.296197623206382</v>
      </c>
      <c r="L220" s="28" t="n">
        <f aca="false">SQRT(J220^2+K220^2)</f>
        <v>2.3915225360787</v>
      </c>
      <c r="M220" s="53" t="n">
        <f aca="false">IF(G220="","",MAX(0,G220-1.96*L220/100))</f>
        <v>0.485693208101287</v>
      </c>
      <c r="N220" s="53" t="n">
        <f aca="false">IF(G220="","",MIN(1,G220+1.96*L220/100))</f>
        <v>0.579440891515572</v>
      </c>
      <c r="O220" s="52" t="n">
        <f aca="false">ROUND(S220*W220,0)</f>
        <v>69</v>
      </c>
      <c r="P220" s="52" t="n">
        <f aca="false">IF(F220="","",ROUND(SQRT((F220*L220/100)^2+(G220*O220)^2),0))</f>
        <v>41</v>
      </c>
      <c r="R220" s="54" t="n">
        <v>2.59366263068367</v>
      </c>
      <c r="S220" s="55" t="n">
        <f aca="false">U220*V220*$F$5</f>
        <v>782.513274336283</v>
      </c>
      <c r="T220" s="56" t="n">
        <f aca="false">MAX(0,MIN(1,R220/100+$D$5))</f>
        <v>0.533492733415251</v>
      </c>
      <c r="U220" s="56" t="n">
        <v>0.495575221238938</v>
      </c>
      <c r="V220" s="55" t="n">
        <v>1579</v>
      </c>
      <c r="W220" s="56" t="n">
        <v>0.0887445098984521</v>
      </c>
      <c r="X220" s="57" t="s">
        <v>135</v>
      </c>
      <c r="Y220" s="57" t="s">
        <v>130</v>
      </c>
    </row>
    <row r="221" customFormat="false" ht="15" hidden="false" customHeight="false" outlineLevel="0" collapsed="false">
      <c r="A221" s="25" t="s">
        <v>197</v>
      </c>
      <c r="B221" s="25" t="s">
        <v>365</v>
      </c>
      <c r="C221" s="25" t="s">
        <v>375</v>
      </c>
      <c r="D221" s="52" t="n">
        <f aca="false">ROUND(S221*T221,0)</f>
        <v>664</v>
      </c>
      <c r="E221" s="52" t="n">
        <f aca="false">ROUND(S221,0)-D221</f>
        <v>731</v>
      </c>
      <c r="F221" s="52" t="n">
        <f aca="false">IF(COUNTA(D221:E221)=0,"",SUM(D221:E221))</f>
        <v>1395</v>
      </c>
      <c r="G221" s="53" t="n">
        <f aca="false">IF(OR(F221="",F221=0),"",D221/F221)</f>
        <v>0.475985663082437</v>
      </c>
      <c r="H221" s="53" t="n">
        <f aca="false">IF(OR(F221="",F221=0),"",E221/F221)</f>
        <v>0.524014336917563</v>
      </c>
      <c r="I221" s="25" t="s">
        <v>128</v>
      </c>
      <c r="J221" s="28" t="n">
        <v>1.88612725432908</v>
      </c>
      <c r="K221" s="28" t="n">
        <f aca="false">$K$8</f>
        <v>0.296197623206382</v>
      </c>
      <c r="L221" s="28" t="n">
        <f aca="false">SQRT(J221^2+K221^2)</f>
        <v>1.909243057213</v>
      </c>
      <c r="M221" s="53" t="n">
        <f aca="false">IF(G221="","",MAX(0,G221-1.96*L221/100))</f>
        <v>0.438564499161062</v>
      </c>
      <c r="N221" s="53" t="n">
        <f aca="false">IF(G221="","",MIN(1,G221+1.96*L221/100))</f>
        <v>0.513406827003812</v>
      </c>
      <c r="O221" s="52" t="n">
        <f aca="false">ROUND(S221*W221,0)</f>
        <v>96</v>
      </c>
      <c r="P221" s="52" t="n">
        <f aca="false">IF(F221="","",ROUND(SQRT((F221*L221/100)^2+(G221*O221)^2),0))</f>
        <v>53</v>
      </c>
      <c r="R221" s="54" t="n">
        <v>-3.18534958302236</v>
      </c>
      <c r="S221" s="55" t="n">
        <f aca="false">U221*V221*$F$5</f>
        <v>1394.83442469598</v>
      </c>
      <c r="T221" s="56" t="n">
        <f aca="false">MAX(0,MIN(1,R221/100+$D$5))</f>
        <v>0.475702611278191</v>
      </c>
      <c r="U221" s="56" t="n">
        <v>0.642188961646399</v>
      </c>
      <c r="V221" s="55" t="n">
        <v>2172</v>
      </c>
      <c r="W221" s="56" t="n">
        <v>0.0684752145190268</v>
      </c>
      <c r="X221" s="57" t="s">
        <v>168</v>
      </c>
      <c r="Y221" s="57" t="s">
        <v>130</v>
      </c>
    </row>
    <row r="222" customFormat="false" ht="15" hidden="false" customHeight="false" outlineLevel="0" collapsed="false">
      <c r="A222" s="25" t="s">
        <v>197</v>
      </c>
      <c r="B222" s="25" t="s">
        <v>365</v>
      </c>
      <c r="C222" s="25" t="s">
        <v>376</v>
      </c>
      <c r="D222" s="52" t="n">
        <f aca="false">ROUND(S222*T222,0)</f>
        <v>564</v>
      </c>
      <c r="E222" s="52" t="n">
        <f aca="false">ROUND(S222,0)-D222</f>
        <v>568</v>
      </c>
      <c r="F222" s="52" t="n">
        <f aca="false">IF(COUNTA(D222:E222)=0,"",SUM(D222:E222))</f>
        <v>1132</v>
      </c>
      <c r="G222" s="53" t="n">
        <f aca="false">IF(OR(F222="",F222=0),"",D222/F222)</f>
        <v>0.498233215547703</v>
      </c>
      <c r="H222" s="53" t="n">
        <f aca="false">IF(OR(F222="",F222=0),"",E222/F222)</f>
        <v>0.501766784452297</v>
      </c>
      <c r="I222" s="25" t="s">
        <v>128</v>
      </c>
      <c r="J222" s="28" t="n">
        <v>1.88612725432908</v>
      </c>
      <c r="K222" s="28" t="n">
        <f aca="false">$K$8</f>
        <v>0.296197623206382</v>
      </c>
      <c r="L222" s="28" t="n">
        <f aca="false">SQRT(J222^2+K222^2)</f>
        <v>1.909243057213</v>
      </c>
      <c r="M222" s="53" t="n">
        <f aca="false">IF(G222="","",MAX(0,G222-1.96*L222/100))</f>
        <v>0.460812051626328</v>
      </c>
      <c r="N222" s="53" t="n">
        <f aca="false">IF(G222="","",MIN(1,G222+1.96*L222/100))</f>
        <v>0.535654379469078</v>
      </c>
      <c r="O222" s="52" t="n">
        <f aca="false">ROUND(S222*W222,0)</f>
        <v>78</v>
      </c>
      <c r="P222" s="52" t="n">
        <f aca="false">IF(F222="","",ROUND(SQRT((F222*L222/100)^2+(G222*O222)^2),0))</f>
        <v>44</v>
      </c>
      <c r="R222" s="54" t="n">
        <v>-0.900041495120401</v>
      </c>
      <c r="S222" s="55" t="n">
        <f aca="false">U222*V222*$F$5</f>
        <v>1132.25997719498</v>
      </c>
      <c r="T222" s="56" t="n">
        <f aca="false">MAX(0,MIN(1,R222/100+$D$5))</f>
        <v>0.498555692157211</v>
      </c>
      <c r="U222" s="56" t="n">
        <v>0.652223489167617</v>
      </c>
      <c r="V222" s="55" t="n">
        <v>1736</v>
      </c>
      <c r="W222" s="56" t="n">
        <v>0.0684752145190268</v>
      </c>
      <c r="X222" s="57" t="s">
        <v>168</v>
      </c>
      <c r="Y222" s="57" t="s">
        <v>130</v>
      </c>
    </row>
    <row r="223" customFormat="false" ht="15" hidden="false" customHeight="false" outlineLevel="0" collapsed="false">
      <c r="A223" s="25" t="s">
        <v>197</v>
      </c>
      <c r="B223" s="25" t="s">
        <v>365</v>
      </c>
      <c r="C223" s="25" t="s">
        <v>377</v>
      </c>
      <c r="D223" s="52" t="n">
        <f aca="false">ROUND(S223*T223,0)</f>
        <v>447</v>
      </c>
      <c r="E223" s="52" t="n">
        <f aca="false">ROUND(S223,0)-D223</f>
        <v>408</v>
      </c>
      <c r="F223" s="52" t="n">
        <f aca="false">IF(COUNTA(D223:E223)=0,"",SUM(D223:E223))</f>
        <v>855</v>
      </c>
      <c r="G223" s="53" t="n">
        <f aca="false">IF(OR(F223="",F223=0),"",D223/F223)</f>
        <v>0.52280701754386</v>
      </c>
      <c r="H223" s="53" t="n">
        <f aca="false">IF(OR(F223="",F223=0),"",E223/F223)</f>
        <v>0.47719298245614</v>
      </c>
      <c r="I223" s="25" t="s">
        <v>128</v>
      </c>
      <c r="J223" s="28" t="n">
        <v>2.37310914384046</v>
      </c>
      <c r="K223" s="28" t="n">
        <f aca="false">$K$8</f>
        <v>0.296197623206382</v>
      </c>
      <c r="L223" s="28" t="n">
        <f aca="false">SQRT(J223^2+K223^2)</f>
        <v>2.3915225360787</v>
      </c>
      <c r="M223" s="53" t="n">
        <f aca="false">IF(G223="","",MAX(0,G223-1.96*L223/100))</f>
        <v>0.475933175836717</v>
      </c>
      <c r="N223" s="53" t="n">
        <f aca="false">IF(G223="","",MIN(1,G223+1.96*L223/100))</f>
        <v>0.569680859251002</v>
      </c>
      <c r="O223" s="52" t="n">
        <f aca="false">ROUND(S223*W223,0)</f>
        <v>76</v>
      </c>
      <c r="P223" s="52" t="n">
        <f aca="false">IF(F223="","",ROUND(SQRT((F223*L223/100)^2+(G223*O223)^2),0))</f>
        <v>45</v>
      </c>
      <c r="R223" s="54" t="n">
        <v>1.45753031709966</v>
      </c>
      <c r="S223" s="55" t="n">
        <f aca="false">U223*V223*$F$5</f>
        <v>855.159618008186</v>
      </c>
      <c r="T223" s="56" t="n">
        <f aca="false">MAX(0,MIN(1,R223/100+$D$5))</f>
        <v>0.522131410279411</v>
      </c>
      <c r="U223" s="56" t="n">
        <v>0.589358799454298</v>
      </c>
      <c r="V223" s="55" t="n">
        <v>1451</v>
      </c>
      <c r="W223" s="56" t="n">
        <v>0.0887445098984521</v>
      </c>
      <c r="X223" s="57" t="s">
        <v>135</v>
      </c>
      <c r="Y223" s="57" t="s">
        <v>130</v>
      </c>
    </row>
    <row r="224" customFormat="false" ht="15" hidden="false" customHeight="false" outlineLevel="0" collapsed="false">
      <c r="A224" s="25" t="s">
        <v>378</v>
      </c>
      <c r="B224" s="25" t="s">
        <v>379</v>
      </c>
      <c r="C224" s="25" t="s">
        <v>380</v>
      </c>
      <c r="D224" s="52" t="n">
        <f aca="false">ROUND(S224*T224,0)</f>
        <v>358</v>
      </c>
      <c r="E224" s="52" t="n">
        <f aca="false">ROUND(S224,0)-D224</f>
        <v>876</v>
      </c>
      <c r="F224" s="52" t="n">
        <f aca="false">IF(COUNTA(D224:E224)=0,"",SUM(D224:E224))</f>
        <v>1234</v>
      </c>
      <c r="G224" s="53" t="n">
        <f aca="false">IF(OR(F224="",F224=0),"",D224/F224)</f>
        <v>0.290113452188007</v>
      </c>
      <c r="H224" s="53" t="n">
        <f aca="false">IF(OR(F224="",F224=0),"",E224/F224)</f>
        <v>0.709886547811994</v>
      </c>
      <c r="I224" s="25" t="s">
        <v>128</v>
      </c>
      <c r="J224" s="28" t="n">
        <v>1.88612725432908</v>
      </c>
      <c r="K224" s="28" t="n">
        <f aca="false">$K$8</f>
        <v>0.296197623206382</v>
      </c>
      <c r="L224" s="28" t="n">
        <f aca="false">SQRT(J224^2+K224^2)</f>
        <v>1.909243057213</v>
      </c>
      <c r="M224" s="53" t="n">
        <f aca="false">IF(G224="","",MAX(0,G224-1.96*L224/100))</f>
        <v>0.252692288266632</v>
      </c>
      <c r="N224" s="53" t="n">
        <f aca="false">IF(G224="","",MIN(1,G224+1.96*L224/100))</f>
        <v>0.327534616109381</v>
      </c>
      <c r="O224" s="52" t="n">
        <f aca="false">ROUND(S224*W224,0)</f>
        <v>85</v>
      </c>
      <c r="P224" s="52" t="n">
        <f aca="false">IF(F224="","",ROUND(SQRT((F224*L224/100)^2+(G224*O224)^2),0))</f>
        <v>34</v>
      </c>
      <c r="R224" s="54" t="n">
        <v>-21.7589549097564</v>
      </c>
      <c r="S224" s="55" t="n">
        <f aca="false">U224*V224*$F$5</f>
        <v>1234.45226917058</v>
      </c>
      <c r="T224" s="56" t="n">
        <f aca="false">MAX(0,MIN(1,R224/100+$D$5))</f>
        <v>0.28996655801085</v>
      </c>
      <c r="U224" s="56" t="n">
        <v>0.618153364632238</v>
      </c>
      <c r="V224" s="55" t="n">
        <v>1997</v>
      </c>
      <c r="W224" s="56" t="n">
        <v>0.0684752145190268</v>
      </c>
      <c r="X224" s="57" t="s">
        <v>168</v>
      </c>
      <c r="Y224" s="57" t="s">
        <v>130</v>
      </c>
    </row>
    <row r="225" customFormat="false" ht="15" hidden="false" customHeight="false" outlineLevel="0" collapsed="false">
      <c r="A225" s="25" t="s">
        <v>378</v>
      </c>
      <c r="B225" s="25" t="s">
        <v>381</v>
      </c>
      <c r="C225" s="25" t="s">
        <v>382</v>
      </c>
      <c r="D225" s="52" t="n">
        <f aca="false">ROUND(S225*T225,0)</f>
        <v>1019</v>
      </c>
      <c r="E225" s="52" t="n">
        <f aca="false">ROUND(S225,0)-D225</f>
        <v>2131</v>
      </c>
      <c r="F225" s="52" t="n">
        <f aca="false">IF(COUNTA(D225:E225)=0,"",SUM(D225:E225))</f>
        <v>3150</v>
      </c>
      <c r="G225" s="53" t="n">
        <f aca="false">IF(OR(F225="",F225=0),"",D225/F225)</f>
        <v>0.323492063492064</v>
      </c>
      <c r="H225" s="53" t="n">
        <f aca="false">IF(OR(F225="",F225=0),"",E225/F225)</f>
        <v>0.676507936507937</v>
      </c>
      <c r="I225" s="25" t="s">
        <v>128</v>
      </c>
      <c r="J225" s="28" t="n">
        <v>1.88612725432908</v>
      </c>
      <c r="K225" s="28" t="n">
        <f aca="false">$K$8</f>
        <v>0.296197623206382</v>
      </c>
      <c r="L225" s="28" t="n">
        <f aca="false">SQRT(J225^2+K225^2)</f>
        <v>1.909243057213</v>
      </c>
      <c r="M225" s="53" t="n">
        <f aca="false">IF(G225="","",MAX(0,G225-1.96*L225/100))</f>
        <v>0.286070899570689</v>
      </c>
      <c r="N225" s="53" t="n">
        <f aca="false">IF(G225="","",MIN(1,G225+1.96*L225/100))</f>
        <v>0.360913227413438</v>
      </c>
      <c r="O225" s="52" t="n">
        <f aca="false">ROUND(S225*W225,0)</f>
        <v>216</v>
      </c>
      <c r="P225" s="52" t="n">
        <f aca="false">IF(F225="","",ROUND(SQRT((F225*L225/100)^2+(G225*O225)^2),0))</f>
        <v>92</v>
      </c>
      <c r="R225" s="54" t="n">
        <v>-18.4038832242663</v>
      </c>
      <c r="S225" s="55" t="n">
        <f aca="false">U225*V225*$F$5</f>
        <v>3150.44851429639</v>
      </c>
      <c r="T225" s="56" t="n">
        <f aca="false">MAX(0,MIN(1,R225/100+$D$5))</f>
        <v>0.323517274865752</v>
      </c>
      <c r="U225" s="56" t="n">
        <v>0.56157727527565</v>
      </c>
      <c r="V225" s="55" t="n">
        <v>5610</v>
      </c>
      <c r="W225" s="56" t="n">
        <v>0.0684752145190268</v>
      </c>
      <c r="X225" s="57" t="s">
        <v>168</v>
      </c>
      <c r="Y225" s="57" t="s">
        <v>130</v>
      </c>
    </row>
    <row r="226" customFormat="false" ht="15" hidden="false" customHeight="false" outlineLevel="0" collapsed="false">
      <c r="A226" s="25" t="s">
        <v>378</v>
      </c>
      <c r="B226" s="25" t="s">
        <v>383</v>
      </c>
      <c r="C226" s="25" t="s">
        <v>384</v>
      </c>
      <c r="D226" s="52" t="n">
        <f aca="false">ROUND(S226*T226,0)</f>
        <v>385</v>
      </c>
      <c r="E226" s="52" t="n">
        <f aca="false">ROUND(S226,0)-D226</f>
        <v>786</v>
      </c>
      <c r="F226" s="52" t="n">
        <f aca="false">IF(COUNTA(D226:E226)=0,"",SUM(D226:E226))</f>
        <v>1171</v>
      </c>
      <c r="G226" s="53" t="n">
        <f aca="false">IF(OR(F226="",F226=0),"",D226/F226)</f>
        <v>0.328778821520068</v>
      </c>
      <c r="H226" s="53" t="n">
        <f aca="false">IF(OR(F226="",F226=0),"",E226/F226)</f>
        <v>0.671221178479932</v>
      </c>
      <c r="I226" s="25" t="s">
        <v>128</v>
      </c>
      <c r="J226" s="28" t="n">
        <v>1.88612725432908</v>
      </c>
      <c r="K226" s="28" t="n">
        <f aca="false">$K$8</f>
        <v>0.296197623206382</v>
      </c>
      <c r="L226" s="28" t="n">
        <f aca="false">SQRT(J226^2+K226^2)</f>
        <v>1.909243057213</v>
      </c>
      <c r="M226" s="53" t="n">
        <f aca="false">IF(G226="","",MAX(0,G226-1.96*L226/100))</f>
        <v>0.291357657598694</v>
      </c>
      <c r="N226" s="53" t="n">
        <f aca="false">IF(G226="","",MIN(1,G226+1.96*L226/100))</f>
        <v>0.366199985441443</v>
      </c>
      <c r="O226" s="52" t="n">
        <f aca="false">ROUND(S226*W226,0)</f>
        <v>80</v>
      </c>
      <c r="P226" s="52" t="n">
        <f aca="false">IF(F226="","",ROUND(SQRT((F226*L226/100)^2+(G226*O226)^2),0))</f>
        <v>35</v>
      </c>
      <c r="R226" s="54" t="n">
        <v>-17.8950912493493</v>
      </c>
      <c r="S226" s="55" t="n">
        <f aca="false">U226*V226*$F$5</f>
        <v>1170.82273494654</v>
      </c>
      <c r="T226" s="56" t="n">
        <f aca="false">MAX(0,MIN(1,R226/100+$D$5))</f>
        <v>0.328605194614922</v>
      </c>
      <c r="U226" s="56" t="n">
        <v>0.625773776027012</v>
      </c>
      <c r="V226" s="55" t="n">
        <v>1871</v>
      </c>
      <c r="W226" s="56" t="n">
        <v>0.0684752145190268</v>
      </c>
      <c r="X226" s="57" t="s">
        <v>168</v>
      </c>
      <c r="Y226" s="57" t="s">
        <v>130</v>
      </c>
    </row>
    <row r="227" customFormat="false" ht="15" hidden="false" customHeight="false" outlineLevel="0" collapsed="false">
      <c r="A227" s="25" t="s">
        <v>385</v>
      </c>
      <c r="B227" s="25" t="s">
        <v>386</v>
      </c>
      <c r="C227" s="25" t="s">
        <v>387</v>
      </c>
      <c r="D227" s="52" t="n">
        <f aca="false">ROUND(S227*T227,0)</f>
        <v>574</v>
      </c>
      <c r="E227" s="52" t="n">
        <f aca="false">ROUND(S227,0)-D227</f>
        <v>830</v>
      </c>
      <c r="F227" s="52" t="n">
        <f aca="false">IF(COUNTA(D227:E227)=0,"",SUM(D227:E227))</f>
        <v>1404</v>
      </c>
      <c r="G227" s="53" t="n">
        <f aca="false">IF(OR(F227="",F227=0),"",D227/F227)</f>
        <v>0.408831908831909</v>
      </c>
      <c r="H227" s="53" t="n">
        <f aca="false">IF(OR(F227="",F227=0),"",E227/F227)</f>
        <v>0.591168091168091</v>
      </c>
      <c r="I227" s="25" t="s">
        <v>128</v>
      </c>
      <c r="J227" s="28" t="n">
        <v>1.88612725432908</v>
      </c>
      <c r="K227" s="28" t="n">
        <f aca="false">$K$8</f>
        <v>0.296197623206382</v>
      </c>
      <c r="L227" s="28" t="n">
        <f aca="false">SQRT(J227^2+K227^2)</f>
        <v>1.909243057213</v>
      </c>
      <c r="M227" s="53" t="n">
        <f aca="false">IF(G227="","",MAX(0,G227-1.96*L227/100))</f>
        <v>0.371410744910534</v>
      </c>
      <c r="N227" s="53" t="n">
        <f aca="false">IF(G227="","",MIN(1,G227+1.96*L227/100))</f>
        <v>0.446253072753284</v>
      </c>
      <c r="O227" s="52" t="n">
        <f aca="false">ROUND(S227*W227,0)</f>
        <v>96</v>
      </c>
      <c r="P227" s="52" t="n">
        <f aca="false">IF(F227="","",ROUND(SQRT((F227*L227/100)^2+(G227*O227)^2),0))</f>
        <v>48</v>
      </c>
      <c r="R227" s="54" t="n">
        <v>-9.84454278882512</v>
      </c>
      <c r="S227" s="55" t="n">
        <f aca="false">U227*V227*$F$5</f>
        <v>1403.51261829653</v>
      </c>
      <c r="T227" s="56" t="n">
        <f aca="false">MAX(0,MIN(1,R227/100+$D$5))</f>
        <v>0.409110679220164</v>
      </c>
      <c r="U227" s="56" t="n">
        <v>0.669295478443743</v>
      </c>
      <c r="V227" s="55" t="n">
        <v>2097</v>
      </c>
      <c r="W227" s="56" t="n">
        <v>0.0684752145190268</v>
      </c>
      <c r="X227" s="57" t="s">
        <v>168</v>
      </c>
      <c r="Y227" s="57" t="s">
        <v>130</v>
      </c>
    </row>
    <row r="228" customFormat="false" ht="15" hidden="false" customHeight="false" outlineLevel="0" collapsed="false">
      <c r="A228" s="25" t="s">
        <v>385</v>
      </c>
      <c r="B228" s="25" t="s">
        <v>386</v>
      </c>
      <c r="C228" s="25" t="s">
        <v>388</v>
      </c>
      <c r="D228" s="52" t="n">
        <f aca="false">ROUND(S228*T228,0)</f>
        <v>605</v>
      </c>
      <c r="E228" s="52" t="n">
        <f aca="false">ROUND(S228,0)-D228</f>
        <v>708</v>
      </c>
      <c r="F228" s="52" t="n">
        <f aca="false">IF(COUNTA(D228:E228)=0,"",SUM(D228:E228))</f>
        <v>1313</v>
      </c>
      <c r="G228" s="53" t="n">
        <f aca="false">IF(OR(F228="",F228=0),"",D228/F228)</f>
        <v>0.460776846915461</v>
      </c>
      <c r="H228" s="53" t="n">
        <f aca="false">IF(OR(F228="",F228=0),"",E228/F228)</f>
        <v>0.539223153084539</v>
      </c>
      <c r="I228" s="25" t="s">
        <v>128</v>
      </c>
      <c r="J228" s="28" t="n">
        <v>1.88612725432908</v>
      </c>
      <c r="K228" s="28" t="n">
        <f aca="false">$K$8</f>
        <v>0.296197623206382</v>
      </c>
      <c r="L228" s="28" t="n">
        <f aca="false">SQRT(J228^2+K228^2)</f>
        <v>1.909243057213</v>
      </c>
      <c r="M228" s="53" t="n">
        <f aca="false">IF(G228="","",MAX(0,G228-1.96*L228/100))</f>
        <v>0.423355682994086</v>
      </c>
      <c r="N228" s="53" t="n">
        <f aca="false">IF(G228="","",MIN(1,G228+1.96*L228/100))</f>
        <v>0.498198010836836</v>
      </c>
      <c r="O228" s="52" t="n">
        <f aca="false">ROUND(S228*W228,0)</f>
        <v>90</v>
      </c>
      <c r="P228" s="52" t="n">
        <f aca="false">IF(F228="","",ROUND(SQRT((F228*L228/100)^2+(G228*O228)^2),0))</f>
        <v>48</v>
      </c>
      <c r="R228" s="54" t="n">
        <v>-4.63671976906017</v>
      </c>
      <c r="S228" s="55" t="n">
        <f aca="false">U228*V228*$F$5</f>
        <v>1312.76307554761</v>
      </c>
      <c r="T228" s="56" t="n">
        <f aca="false">MAX(0,MIN(1,R228/100+$D$5))</f>
        <v>0.461188909417813</v>
      </c>
      <c r="U228" s="56" t="n">
        <v>0.593205185516316</v>
      </c>
      <c r="V228" s="55" t="n">
        <v>2213</v>
      </c>
      <c r="W228" s="56" t="n">
        <v>0.0684752145190268</v>
      </c>
      <c r="X228" s="57" t="s">
        <v>168</v>
      </c>
      <c r="Y228" s="57" t="s">
        <v>130</v>
      </c>
    </row>
    <row r="229" customFormat="false" ht="15" hidden="false" customHeight="false" outlineLevel="0" collapsed="false">
      <c r="A229" s="25" t="s">
        <v>385</v>
      </c>
      <c r="B229" s="25" t="s">
        <v>389</v>
      </c>
      <c r="C229" s="25" t="s">
        <v>390</v>
      </c>
      <c r="D229" s="52" t="n">
        <f aca="false">ROUND(S229*T229,0)</f>
        <v>630</v>
      </c>
      <c r="E229" s="52" t="n">
        <f aca="false">ROUND(S229,0)-D229</f>
        <v>904</v>
      </c>
      <c r="F229" s="52" t="n">
        <f aca="false">IF(COUNTA(D229:E229)=0,"",SUM(D229:E229))</f>
        <v>1534</v>
      </c>
      <c r="G229" s="53" t="n">
        <f aca="false">IF(OR(F229="",F229=0),"",D229/F229)</f>
        <v>0.410691003911343</v>
      </c>
      <c r="H229" s="53" t="n">
        <f aca="false">IF(OR(F229="",F229=0),"",E229/F229)</f>
        <v>0.589308996088657</v>
      </c>
      <c r="I229" s="25" t="s">
        <v>231</v>
      </c>
      <c r="J229" s="28" t="n">
        <v>1.88612725432908</v>
      </c>
      <c r="K229" s="28" t="n">
        <f aca="false">$K$8</f>
        <v>0.296197623206382</v>
      </c>
      <c r="L229" s="28" t="n">
        <f aca="false">SQRT(J229^2+K229^2)</f>
        <v>1.909243057213</v>
      </c>
      <c r="M229" s="53" t="n">
        <f aca="false">IF(G229="","",MAX(0,G229-1.96*L229/100))</f>
        <v>0.373269839989968</v>
      </c>
      <c r="N229" s="53" t="n">
        <f aca="false">IF(G229="","",MIN(1,G229+1.96*L229/100))</f>
        <v>0.448112167832718</v>
      </c>
      <c r="O229" s="52" t="n">
        <f aca="false">ROUND(S229*W229,0)</f>
        <v>105</v>
      </c>
      <c r="P229" s="52" t="n">
        <f aca="false">IF(F229="","",ROUND(SQRT((F229*L229/100)^2+(G229*O229)^2),0))</f>
        <v>52</v>
      </c>
      <c r="R229" s="54" t="n">
        <v>-9.6904417222351</v>
      </c>
      <c r="S229" s="55" t="n">
        <f aca="false">U229*V229*$F$5</f>
        <v>1533.89973598051</v>
      </c>
      <c r="T229" s="56" t="n">
        <f aca="false">MAX(0,MIN(1,R229/100+$D$5))</f>
        <v>0.410651689886064</v>
      </c>
      <c r="U229" s="56" t="n">
        <v>0.872029412154921</v>
      </c>
      <c r="V229" s="55" t="n">
        <v>1759</v>
      </c>
      <c r="W229" s="56" t="n">
        <v>0.0684752145190268</v>
      </c>
      <c r="X229" s="57" t="s">
        <v>168</v>
      </c>
      <c r="Y229" s="57" t="s">
        <v>130</v>
      </c>
    </row>
    <row r="230" customFormat="false" ht="15" hidden="false" customHeight="false" outlineLevel="0" collapsed="false">
      <c r="A230" s="25" t="s">
        <v>385</v>
      </c>
      <c r="B230" s="25" t="s">
        <v>389</v>
      </c>
      <c r="C230" s="25" t="s">
        <v>391</v>
      </c>
      <c r="D230" s="52" t="n">
        <f aca="false">ROUND(S230*T230,0)</f>
        <v>655</v>
      </c>
      <c r="E230" s="52" t="n">
        <f aca="false">ROUND(S230,0)-D230</f>
        <v>917</v>
      </c>
      <c r="F230" s="52" t="n">
        <f aca="false">IF(COUNTA(D230:E230)=0,"",SUM(D230:E230))</f>
        <v>1572</v>
      </c>
      <c r="G230" s="53" t="n">
        <f aca="false">IF(OR(F230="",F230=0),"",D230/F230)</f>
        <v>0.416666666666667</v>
      </c>
      <c r="H230" s="53" t="n">
        <f aca="false">IF(OR(F230="",F230=0),"",E230/F230)</f>
        <v>0.583333333333333</v>
      </c>
      <c r="I230" s="25" t="s">
        <v>231</v>
      </c>
      <c r="J230" s="28" t="n">
        <v>1.88612725432908</v>
      </c>
      <c r="K230" s="28" t="n">
        <f aca="false">$K$8</f>
        <v>0.296197623206382</v>
      </c>
      <c r="L230" s="28" t="n">
        <f aca="false">SQRT(J230^2+K230^2)</f>
        <v>1.909243057213</v>
      </c>
      <c r="M230" s="53" t="n">
        <f aca="false">IF(G230="","",MAX(0,G230-1.96*L230/100))</f>
        <v>0.379245502745292</v>
      </c>
      <c r="N230" s="53" t="n">
        <f aca="false">IF(G230="","",MIN(1,G230+1.96*L230/100))</f>
        <v>0.454087830588042</v>
      </c>
      <c r="O230" s="52" t="n">
        <f aca="false">ROUND(S230*W230,0)</f>
        <v>108</v>
      </c>
      <c r="P230" s="52" t="n">
        <f aca="false">IF(F230="","",ROUND(SQRT((F230*L230/100)^2+(G230*O230)^2),0))</f>
        <v>54</v>
      </c>
      <c r="R230" s="54" t="n">
        <v>-9.08913379973001</v>
      </c>
      <c r="S230" s="55" t="n">
        <f aca="false">U230*V230*$F$5</f>
        <v>1572.45918367347</v>
      </c>
      <c r="T230" s="56" t="n">
        <f aca="false">MAX(0,MIN(1,R230/100+$D$5))</f>
        <v>0.416664769111115</v>
      </c>
      <c r="U230" s="56" t="n">
        <v>0.939342403628118</v>
      </c>
      <c r="V230" s="55" t="n">
        <v>1674</v>
      </c>
      <c r="W230" s="56" t="n">
        <v>0.0684752145190268</v>
      </c>
      <c r="X230" s="57" t="s">
        <v>168</v>
      </c>
      <c r="Y230" s="57" t="s">
        <v>130</v>
      </c>
    </row>
    <row r="231" customFormat="false" ht="15" hidden="false" customHeight="false" outlineLevel="0" collapsed="false">
      <c r="A231" s="25" t="s">
        <v>385</v>
      </c>
      <c r="B231" s="25" t="s">
        <v>392</v>
      </c>
      <c r="C231" s="25" t="s">
        <v>393</v>
      </c>
      <c r="D231" s="52" t="n">
        <f aca="false">ROUND(S231*T231,0)</f>
        <v>472</v>
      </c>
      <c r="E231" s="52" t="n">
        <f aca="false">ROUND(S231,0)-D231</f>
        <v>544</v>
      </c>
      <c r="F231" s="52" t="n">
        <f aca="false">IF(COUNTA(D231:E231)=0,"",SUM(D231:E231))</f>
        <v>1016</v>
      </c>
      <c r="G231" s="53" t="n">
        <f aca="false">IF(OR(F231="",F231=0),"",D231/F231)</f>
        <v>0.464566929133858</v>
      </c>
      <c r="H231" s="53" t="n">
        <f aca="false">IF(OR(F231="",F231=0),"",E231/F231)</f>
        <v>0.535433070866142</v>
      </c>
      <c r="I231" s="25" t="s">
        <v>128</v>
      </c>
      <c r="J231" s="28" t="n">
        <v>1.88612725432908</v>
      </c>
      <c r="K231" s="28" t="n">
        <f aca="false">$K$8</f>
        <v>0.296197623206382</v>
      </c>
      <c r="L231" s="28" t="n">
        <f aca="false">SQRT(J231^2+K231^2)</f>
        <v>1.909243057213</v>
      </c>
      <c r="M231" s="53" t="n">
        <f aca="false">IF(G231="","",MAX(0,G231-1.96*L231/100))</f>
        <v>0.427145765212483</v>
      </c>
      <c r="N231" s="53" t="n">
        <f aca="false">IF(G231="","",MIN(1,G231+1.96*L231/100))</f>
        <v>0.501988093055233</v>
      </c>
      <c r="O231" s="52" t="n">
        <f aca="false">ROUND(S231*W231,0)</f>
        <v>70</v>
      </c>
      <c r="P231" s="52" t="n">
        <f aca="false">IF(F231="","",ROUND(SQRT((F231*L231/100)^2+(G231*O231)^2),0))</f>
        <v>38</v>
      </c>
      <c r="R231" s="54" t="n">
        <v>-4.27019355813245</v>
      </c>
      <c r="S231" s="55" t="n">
        <f aca="false">U231*V231*$F$5</f>
        <v>1015.97556912826</v>
      </c>
      <c r="T231" s="56" t="n">
        <f aca="false">MAX(0,MIN(1,R231/100+$D$5))</f>
        <v>0.46485417152709</v>
      </c>
      <c r="U231" s="56" t="n">
        <v>0.529705719044975</v>
      </c>
      <c r="V231" s="55" t="n">
        <v>1918</v>
      </c>
      <c r="W231" s="56" t="n">
        <v>0.0684752145190268</v>
      </c>
      <c r="X231" s="57" t="s">
        <v>168</v>
      </c>
      <c r="Y231" s="57" t="s">
        <v>130</v>
      </c>
    </row>
    <row r="232" customFormat="false" ht="15" hidden="false" customHeight="false" outlineLevel="0" collapsed="false">
      <c r="A232" s="25" t="s">
        <v>385</v>
      </c>
      <c r="B232" s="25" t="s">
        <v>260</v>
      </c>
      <c r="C232" s="25" t="s">
        <v>394</v>
      </c>
      <c r="D232" s="52" t="n">
        <f aca="false">ROUND(S232*T232,0)</f>
        <v>634</v>
      </c>
      <c r="E232" s="52" t="n">
        <f aca="false">ROUND(S232,0)-D232</f>
        <v>353</v>
      </c>
      <c r="F232" s="52" t="n">
        <f aca="false">IF(COUNTA(D232:E232)=0,"",SUM(D232:E232))</f>
        <v>987</v>
      </c>
      <c r="G232" s="53" t="n">
        <f aca="false">IF(OR(F232="",F232=0),"",D232/F232)</f>
        <v>0.642350557244174</v>
      </c>
      <c r="H232" s="53" t="n">
        <f aca="false">IF(OR(F232="",F232=0),"",E232/F232)</f>
        <v>0.357649442755826</v>
      </c>
      <c r="I232" s="25" t="s">
        <v>128</v>
      </c>
      <c r="J232" s="28" t="n">
        <v>1.88612725432908</v>
      </c>
      <c r="K232" s="28" t="n">
        <f aca="false">$K$8</f>
        <v>0.296197623206382</v>
      </c>
      <c r="L232" s="28" t="n">
        <f aca="false">SQRT(J232^2+K232^2)</f>
        <v>1.909243057213</v>
      </c>
      <c r="M232" s="53" t="n">
        <f aca="false">IF(G232="","",MAX(0,G232-1.96*L232/100))</f>
        <v>0.604929393322799</v>
      </c>
      <c r="N232" s="53" t="n">
        <f aca="false">IF(G232="","",MIN(1,G232+1.96*L232/100))</f>
        <v>0.679771721165549</v>
      </c>
      <c r="O232" s="52" t="n">
        <f aca="false">ROUND(S232*W232,0)</f>
        <v>68</v>
      </c>
      <c r="P232" s="52" t="n">
        <f aca="false">IF(F232="","",ROUND(SQRT((F232*L232/100)^2+(G232*O232)^2),0))</f>
        <v>48</v>
      </c>
      <c r="R232" s="54" t="n">
        <v>13.4802124084824</v>
      </c>
      <c r="S232" s="55" t="n">
        <f aca="false">U232*V232*$F$5</f>
        <v>986.587092297016</v>
      </c>
      <c r="T232" s="56" t="n">
        <f aca="false">MAX(0,MIN(1,R232/100+$D$5))</f>
        <v>0.642358231193239</v>
      </c>
      <c r="U232" s="56" t="n">
        <v>0.664816099930604</v>
      </c>
      <c r="V232" s="55" t="n">
        <v>1484</v>
      </c>
      <c r="W232" s="56" t="n">
        <v>0.0684752145190268</v>
      </c>
      <c r="X232" s="57" t="s">
        <v>168</v>
      </c>
      <c r="Y232" s="57" t="s">
        <v>130</v>
      </c>
    </row>
    <row r="233" customFormat="false" ht="15" hidden="false" customHeight="false" outlineLevel="0" collapsed="false">
      <c r="A233" s="25" t="s">
        <v>385</v>
      </c>
      <c r="B233" s="25" t="s">
        <v>260</v>
      </c>
      <c r="C233" s="25" t="s">
        <v>395</v>
      </c>
      <c r="D233" s="52" t="n">
        <f aca="false">ROUND(S233*T233,0)</f>
        <v>880</v>
      </c>
      <c r="E233" s="52" t="n">
        <f aca="false">ROUND(S233,0)-D233</f>
        <v>545</v>
      </c>
      <c r="F233" s="52" t="n">
        <f aca="false">IF(COUNTA(D233:E233)=0,"",SUM(D233:E233))</f>
        <v>1425</v>
      </c>
      <c r="G233" s="53" t="n">
        <f aca="false">IF(OR(F233="",F233=0),"",D233/F233)</f>
        <v>0.617543859649123</v>
      </c>
      <c r="H233" s="53" t="n">
        <f aca="false">IF(OR(F233="",F233=0),"",E233/F233)</f>
        <v>0.382456140350877</v>
      </c>
      <c r="I233" s="25" t="s">
        <v>128</v>
      </c>
      <c r="J233" s="28" t="n">
        <v>1.88612725432908</v>
      </c>
      <c r="K233" s="28" t="n">
        <f aca="false">$K$8</f>
        <v>0.296197623206382</v>
      </c>
      <c r="L233" s="28" t="n">
        <f aca="false">SQRT(J233^2+K233^2)</f>
        <v>1.909243057213</v>
      </c>
      <c r="M233" s="53" t="n">
        <f aca="false">IF(G233="","",MAX(0,G233-1.96*L233/100))</f>
        <v>0.580122695727748</v>
      </c>
      <c r="N233" s="53" t="n">
        <f aca="false">IF(G233="","",MIN(1,G233+1.96*L233/100))</f>
        <v>0.654965023570498</v>
      </c>
      <c r="O233" s="52" t="n">
        <f aca="false">ROUND(S233*W233,0)</f>
        <v>98</v>
      </c>
      <c r="P233" s="52" t="n">
        <f aca="false">IF(F233="","",ROUND(SQRT((F233*L233/100)^2+(G233*O233)^2),0))</f>
        <v>66</v>
      </c>
      <c r="R233" s="54" t="n">
        <v>11.0194899697522</v>
      </c>
      <c r="S233" s="55" t="n">
        <f aca="false">U233*V233*$F$5</f>
        <v>1424.50747808149</v>
      </c>
      <c r="T233" s="56" t="n">
        <f aca="false">MAX(0,MIN(1,R233/100+$D$5))</f>
        <v>0.617751006805936</v>
      </c>
      <c r="U233" s="56" t="n">
        <v>0.715832903558535</v>
      </c>
      <c r="V233" s="55" t="n">
        <v>1990</v>
      </c>
      <c r="W233" s="56" t="n">
        <v>0.0684752145190268</v>
      </c>
      <c r="X233" s="57" t="s">
        <v>168</v>
      </c>
      <c r="Y233" s="57" t="s">
        <v>130</v>
      </c>
    </row>
    <row r="234" customFormat="false" ht="15" hidden="false" customHeight="false" outlineLevel="0" collapsed="false">
      <c r="A234" s="25" t="s">
        <v>385</v>
      </c>
      <c r="B234" s="25" t="s">
        <v>260</v>
      </c>
      <c r="C234" s="25" t="s">
        <v>396</v>
      </c>
      <c r="D234" s="52" t="n">
        <f aca="false">ROUND(S234*T234,0)</f>
        <v>629</v>
      </c>
      <c r="E234" s="52" t="n">
        <f aca="false">ROUND(S234,0)-D234</f>
        <v>329</v>
      </c>
      <c r="F234" s="52" t="n">
        <f aca="false">IF(COUNTA(D234:E234)=0,"",SUM(D234:E234))</f>
        <v>958</v>
      </c>
      <c r="G234" s="53" t="n">
        <f aca="false">IF(OR(F234="",F234=0),"",D234/F234)</f>
        <v>0.656576200417537</v>
      </c>
      <c r="H234" s="53" t="n">
        <f aca="false">IF(OR(F234="",F234=0),"",E234/F234)</f>
        <v>0.343423799582463</v>
      </c>
      <c r="I234" s="25" t="s">
        <v>128</v>
      </c>
      <c r="J234" s="28" t="n">
        <v>1.88612725432908</v>
      </c>
      <c r="K234" s="28" t="n">
        <f aca="false">$K$8</f>
        <v>0.296197623206382</v>
      </c>
      <c r="L234" s="28" t="n">
        <f aca="false">SQRT(J234^2+K234^2)</f>
        <v>1.909243057213</v>
      </c>
      <c r="M234" s="53" t="n">
        <f aca="false">IF(G234="","",MAX(0,G234-1.96*L234/100))</f>
        <v>0.619155036496162</v>
      </c>
      <c r="N234" s="53" t="n">
        <f aca="false">IF(G234="","",MIN(1,G234+1.96*L234/100))</f>
        <v>0.693997364338911</v>
      </c>
      <c r="O234" s="52" t="n">
        <f aca="false">ROUND(S234*W234,0)</f>
        <v>66</v>
      </c>
      <c r="P234" s="52" t="n">
        <f aca="false">IF(F234="","",ROUND(SQRT((F234*L234/100)^2+(G234*O234)^2),0))</f>
        <v>47</v>
      </c>
      <c r="R234" s="54" t="n">
        <v>14.878531684718</v>
      </c>
      <c r="S234" s="55" t="n">
        <f aca="false">U234*V234*$F$5</f>
        <v>957.929752066116</v>
      </c>
      <c r="T234" s="56" t="n">
        <f aca="false">MAX(0,MIN(1,R234/100+$D$5))</f>
        <v>0.656341423955595</v>
      </c>
      <c r="U234" s="56" t="n">
        <v>0.641184573002755</v>
      </c>
      <c r="V234" s="55" t="n">
        <v>1494</v>
      </c>
      <c r="W234" s="56" t="n">
        <v>0.0684752145190268</v>
      </c>
      <c r="X234" s="57" t="s">
        <v>168</v>
      </c>
      <c r="Y234" s="57" t="s">
        <v>130</v>
      </c>
    </row>
    <row r="235" customFormat="false" ht="15" hidden="false" customHeight="false" outlineLevel="0" collapsed="false">
      <c r="A235" s="25" t="s">
        <v>385</v>
      </c>
      <c r="B235" s="25" t="s">
        <v>260</v>
      </c>
      <c r="C235" s="25" t="s">
        <v>397</v>
      </c>
      <c r="D235" s="52" t="n">
        <f aca="false">ROUND(S235*T235,0)</f>
        <v>474</v>
      </c>
      <c r="E235" s="52" t="n">
        <f aca="false">ROUND(S235,0)-D235</f>
        <v>257</v>
      </c>
      <c r="F235" s="52" t="n">
        <f aca="false">IF(COUNTA(D235:E235)=0,"",SUM(D235:E235))</f>
        <v>731</v>
      </c>
      <c r="G235" s="53" t="n">
        <f aca="false">IF(OR(F235="",F235=0),"",D235/F235)</f>
        <v>0.648426812585499</v>
      </c>
      <c r="H235" s="53" t="n">
        <f aca="false">IF(OR(F235="",F235=0),"",E235/F235)</f>
        <v>0.351573187414501</v>
      </c>
      <c r="I235" s="25" t="s">
        <v>128</v>
      </c>
      <c r="J235" s="28" t="n">
        <v>2.37310914384046</v>
      </c>
      <c r="K235" s="28" t="n">
        <f aca="false">$K$8</f>
        <v>0.296197623206382</v>
      </c>
      <c r="L235" s="28" t="n">
        <f aca="false">SQRT(J235^2+K235^2)</f>
        <v>2.3915225360787</v>
      </c>
      <c r="M235" s="53" t="n">
        <f aca="false">IF(G235="","",MAX(0,G235-1.96*L235/100))</f>
        <v>0.601552970878357</v>
      </c>
      <c r="N235" s="53" t="n">
        <f aca="false">IF(G235="","",MIN(1,G235+1.96*L235/100))</f>
        <v>0.695300654292642</v>
      </c>
      <c r="O235" s="52" t="n">
        <f aca="false">ROUND(S235*W235,0)</f>
        <v>65</v>
      </c>
      <c r="P235" s="52" t="n">
        <f aca="false">IF(F235="","",ROUND(SQRT((F235*L235/100)^2+(G235*O235)^2),0))</f>
        <v>46</v>
      </c>
      <c r="R235" s="54" t="n">
        <v>14.1455936169412</v>
      </c>
      <c r="S235" s="55" t="n">
        <f aca="false">U235*V235*$F$5</f>
        <v>730.770032051282</v>
      </c>
      <c r="T235" s="56" t="n">
        <f aca="false">MAX(0,MIN(1,R235/100+$D$5))</f>
        <v>0.649012043277827</v>
      </c>
      <c r="U235" s="56" t="n">
        <v>0.561698717948718</v>
      </c>
      <c r="V235" s="55" t="n">
        <v>1301</v>
      </c>
      <c r="W235" s="56" t="n">
        <v>0.0887445098984521</v>
      </c>
      <c r="X235" s="57" t="s">
        <v>135</v>
      </c>
      <c r="Y235" s="57" t="s">
        <v>130</v>
      </c>
    </row>
    <row r="236" customFormat="false" ht="15" hidden="false" customHeight="false" outlineLevel="0" collapsed="false">
      <c r="A236" s="25" t="s">
        <v>385</v>
      </c>
      <c r="B236" s="25" t="s">
        <v>260</v>
      </c>
      <c r="C236" s="25" t="s">
        <v>398</v>
      </c>
      <c r="D236" s="52" t="n">
        <f aca="false">ROUND(S236*T236,0)</f>
        <v>606</v>
      </c>
      <c r="E236" s="52" t="n">
        <f aca="false">ROUND(S236,0)-D236</f>
        <v>377</v>
      </c>
      <c r="F236" s="52" t="n">
        <f aca="false">IF(COUNTA(D236:E236)=0,"",SUM(D236:E236))</f>
        <v>983</v>
      </c>
      <c r="G236" s="53" t="n">
        <f aca="false">IF(OR(F236="",F236=0),"",D236/F236)</f>
        <v>0.61648016276704</v>
      </c>
      <c r="H236" s="53" t="n">
        <f aca="false">IF(OR(F236="",F236=0),"",E236/F236)</f>
        <v>0.38351983723296</v>
      </c>
      <c r="I236" s="25" t="s">
        <v>128</v>
      </c>
      <c r="J236" s="28" t="n">
        <v>1.88612725432908</v>
      </c>
      <c r="K236" s="28" t="n">
        <f aca="false">$K$8</f>
        <v>0.296197623206382</v>
      </c>
      <c r="L236" s="28" t="n">
        <f aca="false">SQRT(J236^2+K236^2)</f>
        <v>1.909243057213</v>
      </c>
      <c r="M236" s="53" t="n">
        <f aca="false">IF(G236="","",MAX(0,G236-1.96*L236/100))</f>
        <v>0.579058998845665</v>
      </c>
      <c r="N236" s="53" t="n">
        <f aca="false">IF(G236="","",MIN(1,G236+1.96*L236/100))</f>
        <v>0.653901326688415</v>
      </c>
      <c r="O236" s="52" t="n">
        <f aca="false">ROUND(S236*W236,0)</f>
        <v>67</v>
      </c>
      <c r="P236" s="52" t="n">
        <f aca="false">IF(F236="","",ROUND(SQRT((F236*L236/100)^2+(G236*O236)^2),0))</f>
        <v>45</v>
      </c>
      <c r="R236" s="54" t="n">
        <v>10.8954896412411</v>
      </c>
      <c r="S236" s="55" t="n">
        <f aca="false">U236*V236*$F$5</f>
        <v>983.008610086101</v>
      </c>
      <c r="T236" s="56" t="n">
        <f aca="false">MAX(0,MIN(1,R236/100+$D$5))</f>
        <v>0.616511003520825</v>
      </c>
      <c r="U236" s="56" t="n">
        <v>0.600861008610086</v>
      </c>
      <c r="V236" s="55" t="n">
        <v>1636</v>
      </c>
      <c r="W236" s="56" t="n">
        <v>0.0684752145190268</v>
      </c>
      <c r="X236" s="57" t="s">
        <v>168</v>
      </c>
      <c r="Y236" s="57" t="s">
        <v>130</v>
      </c>
    </row>
    <row r="237" customFormat="false" ht="15" hidden="false" customHeight="false" outlineLevel="0" collapsed="false">
      <c r="A237" s="25" t="s">
        <v>385</v>
      </c>
      <c r="B237" s="25" t="s">
        <v>260</v>
      </c>
      <c r="C237" s="25" t="s">
        <v>399</v>
      </c>
      <c r="D237" s="52" t="n">
        <f aca="false">ROUND(S237*T237,0)</f>
        <v>746</v>
      </c>
      <c r="E237" s="52" t="n">
        <f aca="false">ROUND(S237,0)-D237</f>
        <v>440</v>
      </c>
      <c r="F237" s="52" t="n">
        <f aca="false">IF(COUNTA(D237:E237)=0,"",SUM(D237:E237))</f>
        <v>1186</v>
      </c>
      <c r="G237" s="53" t="n">
        <f aca="false">IF(OR(F237="",F237=0),"",D237/F237)</f>
        <v>0.629005059021922</v>
      </c>
      <c r="H237" s="53" t="n">
        <f aca="false">IF(OR(F237="",F237=0),"",E237/F237)</f>
        <v>0.370994940978078</v>
      </c>
      <c r="I237" s="25" t="s">
        <v>128</v>
      </c>
      <c r="J237" s="28" t="n">
        <v>1.88612725432908</v>
      </c>
      <c r="K237" s="28" t="n">
        <f aca="false">$K$8</f>
        <v>0.296197623206382</v>
      </c>
      <c r="L237" s="28" t="n">
        <f aca="false">SQRT(J237^2+K237^2)</f>
        <v>1.909243057213</v>
      </c>
      <c r="M237" s="53" t="n">
        <f aca="false">IF(G237="","",MAX(0,G237-1.96*L237/100))</f>
        <v>0.591583895100548</v>
      </c>
      <c r="N237" s="53" t="n">
        <f aca="false">IF(G237="","",MIN(1,G237+1.96*L237/100))</f>
        <v>0.666426222943297</v>
      </c>
      <c r="O237" s="52" t="n">
        <f aca="false">ROUND(S237*W237,0)</f>
        <v>81</v>
      </c>
      <c r="P237" s="52" t="n">
        <f aca="false">IF(F237="","",ROUND(SQRT((F237*L237/100)^2+(G237*O237)^2),0))</f>
        <v>56</v>
      </c>
      <c r="R237" s="54" t="n">
        <v>12.1910505228511</v>
      </c>
      <c r="S237" s="55" t="n">
        <f aca="false">U237*V237*$F$5</f>
        <v>1185.78507842306</v>
      </c>
      <c r="T237" s="56" t="n">
        <f aca="false">MAX(0,MIN(1,R237/100+$D$5))</f>
        <v>0.629466612336925</v>
      </c>
      <c r="U237" s="56" t="n">
        <v>0.508266214497669</v>
      </c>
      <c r="V237" s="55" t="n">
        <v>2333</v>
      </c>
      <c r="W237" s="56" t="n">
        <v>0.0684752145190268</v>
      </c>
      <c r="X237" s="57" t="s">
        <v>168</v>
      </c>
      <c r="Y237" s="57" t="s">
        <v>130</v>
      </c>
    </row>
    <row r="238" customFormat="false" ht="15" hidden="false" customHeight="false" outlineLevel="0" collapsed="false">
      <c r="A238" s="25" t="s">
        <v>385</v>
      </c>
      <c r="B238" s="25" t="s">
        <v>260</v>
      </c>
      <c r="C238" s="25" t="s">
        <v>400</v>
      </c>
      <c r="D238" s="52" t="n">
        <f aca="false">ROUND(S238*T238,0)</f>
        <v>596</v>
      </c>
      <c r="E238" s="52" t="n">
        <f aca="false">ROUND(S238,0)-D238</f>
        <v>409</v>
      </c>
      <c r="F238" s="52" t="n">
        <f aca="false">IF(COUNTA(D238:E238)=0,"",SUM(D238:E238))</f>
        <v>1005</v>
      </c>
      <c r="G238" s="53" t="n">
        <f aca="false">IF(OR(F238="",F238=0),"",D238/F238)</f>
        <v>0.593034825870647</v>
      </c>
      <c r="H238" s="53" t="n">
        <f aca="false">IF(OR(F238="",F238=0),"",E238/F238)</f>
        <v>0.406965174129353</v>
      </c>
      <c r="I238" s="25" t="s">
        <v>128</v>
      </c>
      <c r="J238" s="28" t="n">
        <v>1.88612725432908</v>
      </c>
      <c r="K238" s="28" t="n">
        <f aca="false">$K$8</f>
        <v>0.296197623206382</v>
      </c>
      <c r="L238" s="28" t="n">
        <f aca="false">SQRT(J238^2+K238^2)</f>
        <v>1.909243057213</v>
      </c>
      <c r="M238" s="53" t="n">
        <f aca="false">IF(G238="","",MAX(0,G238-1.96*L238/100))</f>
        <v>0.555613661949272</v>
      </c>
      <c r="N238" s="53" t="n">
        <f aca="false">IF(G238="","",MIN(1,G238+1.96*L238/100))</f>
        <v>0.630455989792022</v>
      </c>
      <c r="O238" s="52" t="n">
        <f aca="false">ROUND(S238*W238,0)</f>
        <v>69</v>
      </c>
      <c r="P238" s="52" t="n">
        <f aca="false">IF(F238="","",ROUND(SQRT((F238*L238/100)^2+(G238*O238)^2),0))</f>
        <v>45</v>
      </c>
      <c r="R238" s="54" t="n">
        <v>8.52904429223776</v>
      </c>
      <c r="S238" s="55" t="n">
        <f aca="false">U238*V238*$F$5</f>
        <v>1004.54761904762</v>
      </c>
      <c r="T238" s="56" t="n">
        <f aca="false">MAX(0,MIN(1,R238/100+$D$5))</f>
        <v>0.592846550030792</v>
      </c>
      <c r="U238" s="56" t="n">
        <v>0.738095238095238</v>
      </c>
      <c r="V238" s="55" t="n">
        <v>1361</v>
      </c>
      <c r="W238" s="56" t="n">
        <v>0.0684752145190268</v>
      </c>
      <c r="X238" s="57" t="s">
        <v>168</v>
      </c>
      <c r="Y238" s="57" t="s">
        <v>130</v>
      </c>
    </row>
    <row r="239" customFormat="false" ht="15" hidden="false" customHeight="false" outlineLevel="0" collapsed="false">
      <c r="A239" s="25" t="s">
        <v>385</v>
      </c>
      <c r="B239" s="25" t="s">
        <v>260</v>
      </c>
      <c r="C239" s="25" t="s">
        <v>401</v>
      </c>
      <c r="D239" s="52" t="n">
        <f aca="false">ROUND(S239*T239,0)</f>
        <v>453</v>
      </c>
      <c r="E239" s="52" t="n">
        <f aca="false">ROUND(S239,0)-D239</f>
        <v>245</v>
      </c>
      <c r="F239" s="52" t="n">
        <f aca="false">IF(COUNTA(D239:E239)=0,"",SUM(D239:E239))</f>
        <v>698</v>
      </c>
      <c r="G239" s="53" t="n">
        <f aca="false">IF(OR(F239="",F239=0),"",D239/F239)</f>
        <v>0.648997134670487</v>
      </c>
      <c r="H239" s="53" t="n">
        <f aca="false">IF(OR(F239="",F239=0),"",E239/F239)</f>
        <v>0.351002865329513</v>
      </c>
      <c r="I239" s="25" t="s">
        <v>128</v>
      </c>
      <c r="J239" s="28" t="n">
        <v>2.37310914384046</v>
      </c>
      <c r="K239" s="28" t="n">
        <f aca="false">$K$8</f>
        <v>0.296197623206382</v>
      </c>
      <c r="L239" s="28" t="n">
        <f aca="false">SQRT(J239^2+K239^2)</f>
        <v>2.3915225360787</v>
      </c>
      <c r="M239" s="53" t="n">
        <f aca="false">IF(G239="","",MAX(0,G239-1.96*L239/100))</f>
        <v>0.602123292963345</v>
      </c>
      <c r="N239" s="53" t="n">
        <f aca="false">IF(G239="","",MIN(1,G239+1.96*L239/100))</f>
        <v>0.69587097637763</v>
      </c>
      <c r="O239" s="52" t="n">
        <f aca="false">ROUND(S239*W239,0)</f>
        <v>62</v>
      </c>
      <c r="P239" s="52" t="n">
        <f aca="false">IF(F239="","",ROUND(SQRT((F239*L239/100)^2+(G239*O239)^2),0))</f>
        <v>44</v>
      </c>
      <c r="R239" s="54" t="n">
        <v>14.1878526271737</v>
      </c>
      <c r="S239" s="55" t="n">
        <f aca="false">U239*V239*$F$5</f>
        <v>697.629411764706</v>
      </c>
      <c r="T239" s="56" t="n">
        <f aca="false">MAX(0,MIN(1,R239/100+$D$5))</f>
        <v>0.649434633380152</v>
      </c>
      <c r="U239" s="56" t="n">
        <v>0.685294117647059</v>
      </c>
      <c r="V239" s="55" t="n">
        <v>1018</v>
      </c>
      <c r="W239" s="56" t="n">
        <v>0.0887445098984521</v>
      </c>
      <c r="X239" s="57" t="s">
        <v>135</v>
      </c>
      <c r="Y239" s="57" t="s">
        <v>130</v>
      </c>
    </row>
    <row r="240" customFormat="false" ht="15" hidden="false" customHeight="false" outlineLevel="0" collapsed="false">
      <c r="A240" s="25" t="s">
        <v>385</v>
      </c>
      <c r="B240" s="25" t="s">
        <v>260</v>
      </c>
      <c r="C240" s="25" t="s">
        <v>402</v>
      </c>
      <c r="D240" s="52" t="n">
        <f aca="false">ROUND(S240*T240,0)</f>
        <v>580</v>
      </c>
      <c r="E240" s="52" t="n">
        <f aca="false">ROUND(S240,0)-D240</f>
        <v>283</v>
      </c>
      <c r="F240" s="52" t="n">
        <f aca="false">IF(COUNTA(D240:E240)=0,"",SUM(D240:E240))</f>
        <v>863</v>
      </c>
      <c r="G240" s="53" t="n">
        <f aca="false">IF(OR(F240="",F240=0),"",D240/F240)</f>
        <v>0.6720741599073</v>
      </c>
      <c r="H240" s="53" t="n">
        <f aca="false">IF(OR(F240="",F240=0),"",E240/F240)</f>
        <v>0.3279258400927</v>
      </c>
      <c r="I240" s="25" t="s">
        <v>128</v>
      </c>
      <c r="J240" s="28" t="n">
        <v>2.37310914384046</v>
      </c>
      <c r="K240" s="28" t="n">
        <f aca="false">$K$8</f>
        <v>0.296197623206382</v>
      </c>
      <c r="L240" s="28" t="n">
        <f aca="false">SQRT(J240^2+K240^2)</f>
        <v>2.3915225360787</v>
      </c>
      <c r="M240" s="53" t="n">
        <f aca="false">IF(G240="","",MAX(0,G240-1.96*L240/100))</f>
        <v>0.625200318200158</v>
      </c>
      <c r="N240" s="53" t="n">
        <f aca="false">IF(G240="","",MIN(1,G240+1.96*L240/100))</f>
        <v>0.718948001614443</v>
      </c>
      <c r="O240" s="52" t="n">
        <f aca="false">ROUND(S240*W240,0)</f>
        <v>77</v>
      </c>
      <c r="P240" s="52" t="n">
        <f aca="false">IF(F240="","",ROUND(SQRT((F240*L240/100)^2+(G240*O240)^2),0))</f>
        <v>56</v>
      </c>
      <c r="R240" s="54" t="n">
        <v>16.4488607947886</v>
      </c>
      <c r="S240" s="55" t="n">
        <f aca="false">U240*V240*$F$5</f>
        <v>863.161290322581</v>
      </c>
      <c r="T240" s="56" t="n">
        <f aca="false">MAX(0,MIN(1,R240/100+$D$5))</f>
        <v>0.672044715056301</v>
      </c>
      <c r="U240" s="56" t="n">
        <v>0.551893408134642</v>
      </c>
      <c r="V240" s="55" t="n">
        <v>1564</v>
      </c>
      <c r="W240" s="56" t="n">
        <v>0.0887445098984521</v>
      </c>
      <c r="X240" s="57" t="s">
        <v>135</v>
      </c>
      <c r="Y240" s="57" t="s">
        <v>130</v>
      </c>
    </row>
    <row r="241" customFormat="false" ht="15" hidden="false" customHeight="false" outlineLevel="0" collapsed="false">
      <c r="A241" s="25" t="s">
        <v>385</v>
      </c>
      <c r="B241" s="25" t="s">
        <v>260</v>
      </c>
      <c r="C241" s="25" t="s">
        <v>403</v>
      </c>
      <c r="D241" s="52" t="n">
        <f aca="false">ROUND(S241*T241,0)</f>
        <v>705</v>
      </c>
      <c r="E241" s="52" t="n">
        <f aca="false">ROUND(S241,0)-D241</f>
        <v>426</v>
      </c>
      <c r="F241" s="52" t="n">
        <f aca="false">IF(COUNTA(D241:E241)=0,"",SUM(D241:E241))</f>
        <v>1131</v>
      </c>
      <c r="G241" s="53" t="n">
        <f aca="false">IF(OR(F241="",F241=0),"",D241/F241)</f>
        <v>0.623342175066313</v>
      </c>
      <c r="H241" s="53" t="n">
        <f aca="false">IF(OR(F241="",F241=0),"",E241/F241)</f>
        <v>0.376657824933687</v>
      </c>
      <c r="I241" s="25" t="s">
        <v>128</v>
      </c>
      <c r="J241" s="28" t="n">
        <v>1.88612725432908</v>
      </c>
      <c r="K241" s="28" t="n">
        <f aca="false">$K$8</f>
        <v>0.296197623206382</v>
      </c>
      <c r="L241" s="28" t="n">
        <f aca="false">SQRT(J241^2+K241^2)</f>
        <v>1.909243057213</v>
      </c>
      <c r="M241" s="53" t="n">
        <f aca="false">IF(G241="","",MAX(0,G241-1.96*L241/100))</f>
        <v>0.585921011144938</v>
      </c>
      <c r="N241" s="53" t="n">
        <f aca="false">IF(G241="","",MIN(1,G241+1.96*L241/100))</f>
        <v>0.660763338987688</v>
      </c>
      <c r="O241" s="52" t="n">
        <f aca="false">ROUND(S241*W241,0)</f>
        <v>77</v>
      </c>
      <c r="P241" s="52" t="n">
        <f aca="false">IF(F241="","",ROUND(SQRT((F241*L241/100)^2+(G241*O241)^2),0))</f>
        <v>53</v>
      </c>
      <c r="R241" s="54" t="n">
        <v>11.6124111669385</v>
      </c>
      <c r="S241" s="55" t="n">
        <f aca="false">U241*V241*$F$5</f>
        <v>1131.04550209205</v>
      </c>
      <c r="T241" s="56" t="n">
        <f aca="false">MAX(0,MIN(1,R241/100+$D$5))</f>
        <v>0.623680218777799</v>
      </c>
      <c r="U241" s="56" t="n">
        <v>0.582112970711297</v>
      </c>
      <c r="V241" s="55" t="n">
        <v>1943</v>
      </c>
      <c r="W241" s="56" t="n">
        <v>0.0684752145190268</v>
      </c>
      <c r="X241" s="57" t="s">
        <v>168</v>
      </c>
      <c r="Y241" s="57" t="s">
        <v>130</v>
      </c>
    </row>
    <row r="242" customFormat="false" ht="15" hidden="false" customHeight="false" outlineLevel="0" collapsed="false">
      <c r="A242" s="25" t="s">
        <v>385</v>
      </c>
      <c r="B242" s="25" t="s">
        <v>260</v>
      </c>
      <c r="C242" s="25" t="s">
        <v>404</v>
      </c>
      <c r="D242" s="52" t="n">
        <f aca="false">ROUND(S242*T242,0)</f>
        <v>516</v>
      </c>
      <c r="E242" s="52" t="n">
        <f aca="false">ROUND(S242,0)-D242</f>
        <v>224</v>
      </c>
      <c r="F242" s="52" t="n">
        <f aca="false">IF(COUNTA(D242:E242)=0,"",SUM(D242:E242))</f>
        <v>740</v>
      </c>
      <c r="G242" s="53" t="n">
        <f aca="false">IF(OR(F242="",F242=0),"",D242/F242)</f>
        <v>0.697297297297297</v>
      </c>
      <c r="H242" s="53" t="n">
        <f aca="false">IF(OR(F242="",F242=0),"",E242/F242)</f>
        <v>0.302702702702703</v>
      </c>
      <c r="I242" s="25" t="s">
        <v>128</v>
      </c>
      <c r="J242" s="28" t="n">
        <v>2.37310914384046</v>
      </c>
      <c r="K242" s="28" t="n">
        <f aca="false">$K$8</f>
        <v>0.296197623206382</v>
      </c>
      <c r="L242" s="28" t="n">
        <f aca="false">SQRT(J242^2+K242^2)</f>
        <v>2.3915225360787</v>
      </c>
      <c r="M242" s="53" t="n">
        <f aca="false">IF(G242="","",MAX(0,G242-1.96*L242/100))</f>
        <v>0.650423455590155</v>
      </c>
      <c r="N242" s="53" t="n">
        <f aca="false">IF(G242="","",MIN(1,G242+1.96*L242/100))</f>
        <v>0.74417113900444</v>
      </c>
      <c r="O242" s="52" t="n">
        <f aca="false">ROUND(S242*W242,0)</f>
        <v>66</v>
      </c>
      <c r="P242" s="52" t="n">
        <f aca="false">IF(F242="","",ROUND(SQRT((F242*L242/100)^2+(G242*O242)^2),0))</f>
        <v>49</v>
      </c>
      <c r="R242" s="54" t="n">
        <v>19.0170370115845</v>
      </c>
      <c r="S242" s="55" t="n">
        <f aca="false">U242*V242*$F$5</f>
        <v>740.0329218107</v>
      </c>
      <c r="T242" s="56" t="n">
        <f aca="false">MAX(0,MIN(1,R242/100+$D$5))</f>
        <v>0.69772647722426</v>
      </c>
      <c r="U242" s="56" t="n">
        <v>0.303292181069959</v>
      </c>
      <c r="V242" s="55" t="n">
        <v>2440</v>
      </c>
      <c r="W242" s="56" t="n">
        <v>0.0887445098984521</v>
      </c>
      <c r="X242" s="57" t="s">
        <v>135</v>
      </c>
      <c r="Y242" s="57" t="s">
        <v>130</v>
      </c>
    </row>
    <row r="243" customFormat="false" ht="15" hidden="false" customHeight="false" outlineLevel="0" collapsed="false">
      <c r="A243" s="25" t="s">
        <v>385</v>
      </c>
      <c r="B243" s="25" t="s">
        <v>260</v>
      </c>
      <c r="C243" s="25" t="s">
        <v>405</v>
      </c>
      <c r="D243" s="52" t="n">
        <f aca="false">ROUND(S243*T243,0)</f>
        <v>553</v>
      </c>
      <c r="E243" s="52" t="n">
        <f aca="false">ROUND(S243,0)-D243</f>
        <v>318</v>
      </c>
      <c r="F243" s="52" t="n">
        <f aca="false">IF(COUNTA(D243:E243)=0,"",SUM(D243:E243))</f>
        <v>871</v>
      </c>
      <c r="G243" s="53" t="n">
        <f aca="false">IF(OR(F243="",F243=0),"",D243/F243)</f>
        <v>0.634902411021814</v>
      </c>
      <c r="H243" s="53" t="n">
        <f aca="false">IF(OR(F243="",F243=0),"",E243/F243)</f>
        <v>0.365097588978186</v>
      </c>
      <c r="I243" s="25" t="s">
        <v>128</v>
      </c>
      <c r="J243" s="28" t="n">
        <v>2.37310914384046</v>
      </c>
      <c r="K243" s="28" t="n">
        <f aca="false">$K$8</f>
        <v>0.296197623206382</v>
      </c>
      <c r="L243" s="28" t="n">
        <f aca="false">SQRT(J243^2+K243^2)</f>
        <v>2.3915225360787</v>
      </c>
      <c r="M243" s="53" t="n">
        <f aca="false">IF(G243="","",MAX(0,G243-1.96*L243/100))</f>
        <v>0.588028569314671</v>
      </c>
      <c r="N243" s="53" t="n">
        <f aca="false">IF(G243="","",MIN(1,G243+1.96*L243/100))</f>
        <v>0.681776252728957</v>
      </c>
      <c r="O243" s="52" t="n">
        <f aca="false">ROUND(S243*W243,0)</f>
        <v>77</v>
      </c>
      <c r="P243" s="52" t="n">
        <f aca="false">IF(F243="","",ROUND(SQRT((F243*L243/100)^2+(G243*O243)^2),0))</f>
        <v>53</v>
      </c>
      <c r="R243" s="54" t="n">
        <v>12.789193750414</v>
      </c>
      <c r="S243" s="55" t="n">
        <f aca="false">U243*V243*$F$5</f>
        <v>870.802226935313</v>
      </c>
      <c r="T243" s="56" t="n">
        <f aca="false">MAX(0,MIN(1,R243/100+$D$5))</f>
        <v>0.635448044612554</v>
      </c>
      <c r="U243" s="56" t="n">
        <v>0.449098621420997</v>
      </c>
      <c r="V243" s="55" t="n">
        <v>1939</v>
      </c>
      <c r="W243" s="56" t="n">
        <v>0.0887445098984521</v>
      </c>
      <c r="X243" s="57" t="s">
        <v>135</v>
      </c>
      <c r="Y243" s="57" t="s">
        <v>130</v>
      </c>
    </row>
    <row r="244" customFormat="false" ht="15" hidden="false" customHeight="false" outlineLevel="0" collapsed="false">
      <c r="A244" s="25" t="s">
        <v>385</v>
      </c>
      <c r="B244" s="25" t="s">
        <v>260</v>
      </c>
      <c r="C244" s="25" t="s">
        <v>406</v>
      </c>
      <c r="D244" s="52" t="n">
        <f aca="false">ROUND(S244*T244,0)</f>
        <v>156</v>
      </c>
      <c r="E244" s="52" t="n">
        <f aca="false">ROUND(S244,0)-D244</f>
        <v>59</v>
      </c>
      <c r="F244" s="52" t="n">
        <f aca="false">IF(COUNTA(D244:E244)=0,"",SUM(D244:E244))</f>
        <v>215</v>
      </c>
      <c r="G244" s="53" t="n">
        <f aca="false">IF(OR(F244="",F244=0),"",D244/F244)</f>
        <v>0.725581395348837</v>
      </c>
      <c r="H244" s="53" t="n">
        <f aca="false">IF(OR(F244="",F244=0),"",E244/F244)</f>
        <v>0.274418604651163</v>
      </c>
      <c r="I244" s="25" t="s">
        <v>128</v>
      </c>
      <c r="J244" s="28" t="n">
        <v>3.71103496666907</v>
      </c>
      <c r="K244" s="28" t="n">
        <f aca="false">$K$8</f>
        <v>0.296197623206382</v>
      </c>
      <c r="L244" s="28" t="n">
        <f aca="false">SQRT(J244^2+K244^2)</f>
        <v>3.72283676191068</v>
      </c>
      <c r="M244" s="53" t="n">
        <f aca="false">IF(G244="","",MAX(0,G244-1.96*L244/100))</f>
        <v>0.652613794815388</v>
      </c>
      <c r="N244" s="53" t="n">
        <f aca="false">IF(G244="","",MIN(1,G244+1.96*L244/100))</f>
        <v>0.798548995882287</v>
      </c>
      <c r="O244" s="52" t="n">
        <f aca="false">ROUND(S244*W244,0)</f>
        <v>32</v>
      </c>
      <c r="P244" s="52" t="n">
        <f aca="false">IF(F244="","",ROUND(SQRT((F244*L244/100)^2+(G244*O244)^2),0))</f>
        <v>25</v>
      </c>
      <c r="R244" s="54" t="n">
        <v>21.5380512998202</v>
      </c>
      <c r="S244" s="55" t="n">
        <f aca="false">U244*V244*$F$5</f>
        <v>215.348525469169</v>
      </c>
      <c r="T244" s="56" t="n">
        <f aca="false">MAX(0,MIN(1,R244/100+$D$5))</f>
        <v>0.722936620106617</v>
      </c>
      <c r="U244" s="56" t="n">
        <v>0.281501340482574</v>
      </c>
      <c r="V244" s="55" t="n">
        <v>765</v>
      </c>
      <c r="W244" s="56" t="n">
        <v>0.148097331980838</v>
      </c>
      <c r="X244" s="57" t="s">
        <v>129</v>
      </c>
      <c r="Y244" s="57" t="s">
        <v>130</v>
      </c>
    </row>
    <row r="245" customFormat="false" ht="15" hidden="false" customHeight="false" outlineLevel="0" collapsed="false">
      <c r="A245" s="25" t="s">
        <v>385</v>
      </c>
      <c r="B245" s="25" t="s">
        <v>260</v>
      </c>
      <c r="C245" s="25" t="s">
        <v>407</v>
      </c>
      <c r="D245" s="52" t="n">
        <f aca="false">ROUND(S245*T245,0)</f>
        <v>325</v>
      </c>
      <c r="E245" s="52" t="n">
        <f aca="false">ROUND(S245,0)-D245</f>
        <v>116</v>
      </c>
      <c r="F245" s="52" t="n">
        <f aca="false">IF(COUNTA(D245:E245)=0,"",SUM(D245:E245))</f>
        <v>441</v>
      </c>
      <c r="G245" s="53" t="n">
        <f aca="false">IF(OR(F245="",F245=0),"",D245/F245)</f>
        <v>0.736961451247166</v>
      </c>
      <c r="H245" s="53" t="n">
        <f aca="false">IF(OR(F245="",F245=0),"",E245/F245)</f>
        <v>0.263038548752834</v>
      </c>
      <c r="I245" s="25" t="s">
        <v>128</v>
      </c>
      <c r="J245" s="28" t="n">
        <v>3.71103496666907</v>
      </c>
      <c r="K245" s="28" t="n">
        <f aca="false">$K$8</f>
        <v>0.296197623206382</v>
      </c>
      <c r="L245" s="28" t="n">
        <f aca="false">SQRT(J245^2+K245^2)</f>
        <v>3.72283676191068</v>
      </c>
      <c r="M245" s="53" t="n">
        <f aca="false">IF(G245="","",MAX(0,G245-1.96*L245/100))</f>
        <v>0.663993850713716</v>
      </c>
      <c r="N245" s="53" t="n">
        <f aca="false">IF(G245="","",MIN(1,G245+1.96*L245/100))</f>
        <v>0.809929051780615</v>
      </c>
      <c r="O245" s="52" t="n">
        <f aca="false">ROUND(S245*W245,0)</f>
        <v>65</v>
      </c>
      <c r="P245" s="52" t="n">
        <f aca="false">IF(F245="","",ROUND(SQRT((F245*L245/100)^2+(G245*O245)^2),0))</f>
        <v>51</v>
      </c>
      <c r="R245" s="54" t="n">
        <v>22.9089566197985</v>
      </c>
      <c r="S245" s="55" t="n">
        <f aca="false">U245*V245*$F$5</f>
        <v>440.805484147387</v>
      </c>
      <c r="T245" s="56" t="n">
        <f aca="false">MAX(0,MIN(1,R245/100+$D$5))</f>
        <v>0.7366456733064</v>
      </c>
      <c r="U245" s="56" t="n">
        <v>0.381319622964867</v>
      </c>
      <c r="V245" s="55" t="n">
        <v>1156</v>
      </c>
      <c r="W245" s="56" t="n">
        <v>0.148097331980838</v>
      </c>
      <c r="X245" s="57" t="s">
        <v>129</v>
      </c>
      <c r="Y245" s="57" t="s">
        <v>130</v>
      </c>
    </row>
    <row r="246" customFormat="false" ht="15" hidden="false" customHeight="false" outlineLevel="0" collapsed="false">
      <c r="A246" s="25" t="s">
        <v>385</v>
      </c>
      <c r="B246" s="25" t="s">
        <v>260</v>
      </c>
      <c r="C246" s="25" t="s">
        <v>408</v>
      </c>
      <c r="D246" s="52" t="n">
        <f aca="false">ROUND(S246*T246,0)</f>
        <v>271</v>
      </c>
      <c r="E246" s="52" t="n">
        <f aca="false">ROUND(S246,0)-D246</f>
        <v>97</v>
      </c>
      <c r="F246" s="52" t="n">
        <f aca="false">IF(COUNTA(D246:E246)=0,"",SUM(D246:E246))</f>
        <v>368</v>
      </c>
      <c r="G246" s="53" t="n">
        <f aca="false">IF(OR(F246="",F246=0),"",D246/F246)</f>
        <v>0.736413043478261</v>
      </c>
      <c r="H246" s="53" t="n">
        <f aca="false">IF(OR(F246="",F246=0),"",E246/F246)</f>
        <v>0.263586956521739</v>
      </c>
      <c r="I246" s="25" t="s">
        <v>128</v>
      </c>
      <c r="J246" s="28" t="n">
        <v>3.71103496666907</v>
      </c>
      <c r="K246" s="28" t="n">
        <f aca="false">$K$8</f>
        <v>0.296197623206382</v>
      </c>
      <c r="L246" s="28" t="n">
        <f aca="false">SQRT(J246^2+K246^2)</f>
        <v>3.72283676191068</v>
      </c>
      <c r="M246" s="53" t="n">
        <f aca="false">IF(G246="","",MAX(0,G246-1.96*L246/100))</f>
        <v>0.663445442944812</v>
      </c>
      <c r="N246" s="53" t="n">
        <f aca="false">IF(G246="","",MIN(1,G246+1.96*L246/100))</f>
        <v>0.80938064401171</v>
      </c>
      <c r="O246" s="52" t="n">
        <f aca="false">ROUND(S246*W246,0)</f>
        <v>54</v>
      </c>
      <c r="P246" s="52" t="n">
        <f aca="false">IF(F246="","",ROUND(SQRT((F246*L246/100)^2+(G246*O246)^2),0))</f>
        <v>42</v>
      </c>
      <c r="R246" s="54" t="n">
        <v>22.8351347390522</v>
      </c>
      <c r="S246" s="55" t="n">
        <f aca="false">U246*V246*$F$5</f>
        <v>367.804159445407</v>
      </c>
      <c r="T246" s="56" t="n">
        <f aca="false">MAX(0,MIN(1,R246/100+$D$5))</f>
        <v>0.735907454498937</v>
      </c>
      <c r="U246" s="56" t="n">
        <v>0.306759098786828</v>
      </c>
      <c r="V246" s="55" t="n">
        <v>1199</v>
      </c>
      <c r="W246" s="56" t="n">
        <v>0.148097331980838</v>
      </c>
      <c r="X246" s="57" t="s">
        <v>129</v>
      </c>
      <c r="Y246" s="57" t="s">
        <v>130</v>
      </c>
    </row>
    <row r="247" customFormat="false" ht="15" hidden="false" customHeight="false" outlineLevel="0" collapsed="false">
      <c r="A247" s="25" t="s">
        <v>385</v>
      </c>
      <c r="B247" s="25" t="s">
        <v>260</v>
      </c>
      <c r="C247" s="25" t="s">
        <v>409</v>
      </c>
      <c r="D247" s="52" t="n">
        <f aca="false">ROUND(S247*T247,0)</f>
        <v>361</v>
      </c>
      <c r="E247" s="52" t="n">
        <f aca="false">ROUND(S247,0)-D247</f>
        <v>113</v>
      </c>
      <c r="F247" s="52" t="n">
        <f aca="false">IF(COUNTA(D247:E247)=0,"",SUM(D247:E247))</f>
        <v>474</v>
      </c>
      <c r="G247" s="53" t="n">
        <f aca="false">IF(OR(F247="",F247=0),"",D247/F247)</f>
        <v>0.761603375527426</v>
      </c>
      <c r="H247" s="53" t="n">
        <f aca="false">IF(OR(F247="",F247=0),"",E247/F247)</f>
        <v>0.238396624472574</v>
      </c>
      <c r="I247" s="25" t="s">
        <v>128</v>
      </c>
      <c r="J247" s="28" t="n">
        <v>3.71103496666907</v>
      </c>
      <c r="K247" s="28" t="n">
        <f aca="false">$K$8</f>
        <v>0.296197623206382</v>
      </c>
      <c r="L247" s="28" t="n">
        <f aca="false">SQRT(J247^2+K247^2)</f>
        <v>3.72283676191068</v>
      </c>
      <c r="M247" s="53" t="n">
        <f aca="false">IF(G247="","",MAX(0,G247-1.96*L247/100))</f>
        <v>0.688635774993977</v>
      </c>
      <c r="N247" s="53" t="n">
        <f aca="false">IF(G247="","",MIN(1,G247+1.96*L247/100))</f>
        <v>0.834570976060876</v>
      </c>
      <c r="O247" s="52" t="n">
        <f aca="false">ROUND(S247*W247,0)</f>
        <v>70</v>
      </c>
      <c r="P247" s="52" t="n">
        <f aca="false">IF(F247="","",ROUND(SQRT((F247*L247/100)^2+(G247*O247)^2),0))</f>
        <v>56</v>
      </c>
      <c r="R247" s="54" t="n">
        <v>25.4369325942182</v>
      </c>
      <c r="S247" s="55" t="n">
        <f aca="false">U247*V247*$F$5</f>
        <v>473.687539936102</v>
      </c>
      <c r="T247" s="56" t="n">
        <f aca="false">MAX(0,MIN(1,R247/100+$D$5))</f>
        <v>0.761925433050596</v>
      </c>
      <c r="U247" s="56" t="n">
        <v>0.281789137380192</v>
      </c>
      <c r="V247" s="55" t="n">
        <v>1681</v>
      </c>
      <c r="W247" s="56" t="n">
        <v>0.148097331980838</v>
      </c>
      <c r="X247" s="57" t="s">
        <v>129</v>
      </c>
      <c r="Y247" s="57" t="s">
        <v>130</v>
      </c>
    </row>
    <row r="248" customFormat="false" ht="15" hidden="false" customHeight="false" outlineLevel="0" collapsed="false">
      <c r="A248" s="25" t="s">
        <v>385</v>
      </c>
      <c r="B248" s="25" t="s">
        <v>260</v>
      </c>
      <c r="C248" s="25" t="s">
        <v>410</v>
      </c>
      <c r="D248" s="52" t="n">
        <f aca="false">ROUND(S248*T248,0)</f>
        <v>675</v>
      </c>
      <c r="E248" s="52" t="n">
        <f aca="false">ROUND(S248,0)-D248</f>
        <v>161</v>
      </c>
      <c r="F248" s="52" t="n">
        <f aca="false">IF(COUNTA(D248:E248)=0,"",SUM(D248:E248))</f>
        <v>836</v>
      </c>
      <c r="G248" s="53" t="n">
        <f aca="false">IF(OR(F248="",F248=0),"",D248/F248)</f>
        <v>0.807416267942584</v>
      </c>
      <c r="H248" s="53" t="n">
        <f aca="false">IF(OR(F248="",F248=0),"",E248/F248)</f>
        <v>0.192583732057416</v>
      </c>
      <c r="I248" s="25" t="s">
        <v>128</v>
      </c>
      <c r="J248" s="28" t="n">
        <v>2.37310914384046</v>
      </c>
      <c r="K248" s="28" t="n">
        <f aca="false">$K$8</f>
        <v>0.296197623206382</v>
      </c>
      <c r="L248" s="28" t="n">
        <f aca="false">SQRT(J248^2+K248^2)</f>
        <v>2.3915225360787</v>
      </c>
      <c r="M248" s="53" t="n">
        <f aca="false">IF(G248="","",MAX(0,G248-1.96*L248/100))</f>
        <v>0.760542426235441</v>
      </c>
      <c r="N248" s="53" t="n">
        <f aca="false">IF(G248="","",MIN(1,G248+1.96*L248/100))</f>
        <v>0.854290109649726</v>
      </c>
      <c r="O248" s="52" t="n">
        <f aca="false">ROUND(S248*W248,0)</f>
        <v>74</v>
      </c>
      <c r="P248" s="52" t="n">
        <f aca="false">IF(F248="","",ROUND(SQRT((F248*L248/100)^2+(G248*O248)^2),0))</f>
        <v>63</v>
      </c>
      <c r="R248" s="54" t="n">
        <v>30.0692856863082</v>
      </c>
      <c r="S248" s="55" t="n">
        <f aca="false">U248*V248*$F$5</f>
        <v>835.622727272728</v>
      </c>
      <c r="T248" s="56" t="n">
        <f aca="false">MAX(0,MIN(1,R248/100+$D$5))</f>
        <v>0.808248963971497</v>
      </c>
      <c r="U248" s="56" t="n">
        <v>0.224147727272727</v>
      </c>
      <c r="V248" s="55" t="n">
        <v>3728</v>
      </c>
      <c r="W248" s="56" t="n">
        <v>0.0887445098984521</v>
      </c>
      <c r="X248" s="57" t="s">
        <v>135</v>
      </c>
      <c r="Y248" s="57" t="s">
        <v>130</v>
      </c>
    </row>
    <row r="249" customFormat="false" ht="15" hidden="false" customHeight="false" outlineLevel="0" collapsed="false">
      <c r="A249" s="25" t="s">
        <v>385</v>
      </c>
      <c r="B249" s="25" t="s">
        <v>260</v>
      </c>
      <c r="C249" s="25" t="s">
        <v>411</v>
      </c>
      <c r="D249" s="52" t="n">
        <f aca="false">ROUND(S249*T249,0)</f>
        <v>379</v>
      </c>
      <c r="E249" s="52" t="n">
        <f aca="false">ROUND(S249,0)-D249</f>
        <v>129</v>
      </c>
      <c r="F249" s="52" t="n">
        <f aca="false">IF(COUNTA(D249:E249)=0,"",SUM(D249:E249))</f>
        <v>508</v>
      </c>
      <c r="G249" s="53" t="n">
        <f aca="false">IF(OR(F249="",F249=0),"",D249/F249)</f>
        <v>0.746062992125984</v>
      </c>
      <c r="H249" s="53" t="n">
        <f aca="false">IF(OR(F249="",F249=0),"",E249/F249)</f>
        <v>0.253937007874016</v>
      </c>
      <c r="I249" s="25" t="s">
        <v>128</v>
      </c>
      <c r="J249" s="28" t="n">
        <v>3.71103496666907</v>
      </c>
      <c r="K249" s="28" t="n">
        <f aca="false">$K$8</f>
        <v>0.296197623206382</v>
      </c>
      <c r="L249" s="28" t="n">
        <f aca="false">SQRT(J249^2+K249^2)</f>
        <v>3.72283676191068</v>
      </c>
      <c r="M249" s="53" t="n">
        <f aca="false">IF(G249="","",MAX(0,G249-1.96*L249/100))</f>
        <v>0.673095391592535</v>
      </c>
      <c r="N249" s="53" t="n">
        <f aca="false">IF(G249="","",MIN(1,G249+1.96*L249/100))</f>
        <v>0.819030592659434</v>
      </c>
      <c r="O249" s="52" t="n">
        <f aca="false">ROUND(S249*W249,0)</f>
        <v>75</v>
      </c>
      <c r="P249" s="52" t="n">
        <f aca="false">IF(F249="","",ROUND(SQRT((F249*L249/100)^2+(G249*O249)^2),0))</f>
        <v>59</v>
      </c>
      <c r="R249" s="54" t="n">
        <v>23.9293642107235</v>
      </c>
      <c r="S249" s="55" t="n">
        <f aca="false">U249*V249*$F$5</f>
        <v>507.768014059754</v>
      </c>
      <c r="T249" s="56" t="n">
        <f aca="false">MAX(0,MIN(1,R249/100+$D$5))</f>
        <v>0.74684974921565</v>
      </c>
      <c r="U249" s="56" t="n">
        <v>0.272993555946104</v>
      </c>
      <c r="V249" s="55" t="n">
        <v>1860</v>
      </c>
      <c r="W249" s="56" t="n">
        <v>0.148097331980838</v>
      </c>
      <c r="X249" s="57" t="s">
        <v>129</v>
      </c>
      <c r="Y249" s="57" t="s">
        <v>130</v>
      </c>
    </row>
    <row r="250" customFormat="false" ht="15" hidden="false" customHeight="false" outlineLevel="0" collapsed="false">
      <c r="A250" s="25" t="s">
        <v>385</v>
      </c>
      <c r="B250" s="25" t="s">
        <v>260</v>
      </c>
      <c r="C250" s="25" t="s">
        <v>412</v>
      </c>
      <c r="D250" s="52" t="n">
        <f aca="false">ROUND(S250*T250,0)</f>
        <v>362</v>
      </c>
      <c r="E250" s="52" t="n">
        <f aca="false">ROUND(S250,0)-D250</f>
        <v>137</v>
      </c>
      <c r="F250" s="52" t="n">
        <f aca="false">IF(COUNTA(D250:E250)=0,"",SUM(D250:E250))</f>
        <v>499</v>
      </c>
      <c r="G250" s="53" t="n">
        <f aca="false">IF(OR(F250="",F250=0),"",D250/F250)</f>
        <v>0.725450901803607</v>
      </c>
      <c r="H250" s="53" t="n">
        <f aca="false">IF(OR(F250="",F250=0),"",E250/F250)</f>
        <v>0.274549098196393</v>
      </c>
      <c r="I250" s="25" t="s">
        <v>128</v>
      </c>
      <c r="J250" s="28" t="n">
        <v>3.71103496666907</v>
      </c>
      <c r="K250" s="28" t="n">
        <f aca="false">$K$8</f>
        <v>0.296197623206382</v>
      </c>
      <c r="L250" s="28" t="n">
        <f aca="false">SQRT(J250^2+K250^2)</f>
        <v>3.72283676191068</v>
      </c>
      <c r="M250" s="53" t="n">
        <f aca="false">IF(G250="","",MAX(0,G250-1.96*L250/100))</f>
        <v>0.652483301270158</v>
      </c>
      <c r="N250" s="53" t="n">
        <f aca="false">IF(G250="","",MIN(1,G250+1.96*L250/100))</f>
        <v>0.798418502337057</v>
      </c>
      <c r="O250" s="52" t="n">
        <f aca="false">ROUND(S250*W250,0)</f>
        <v>74</v>
      </c>
      <c r="P250" s="52" t="n">
        <f aca="false">IF(F250="","",ROUND(SQRT((F250*L250/100)^2+(G250*O250)^2),0))</f>
        <v>57</v>
      </c>
      <c r="R250" s="54" t="n">
        <v>21.790010157433</v>
      </c>
      <c r="S250" s="55" t="n">
        <f aca="false">U250*V250*$F$5</f>
        <v>498.871436256052</v>
      </c>
      <c r="T250" s="56" t="n">
        <f aca="false">MAX(0,MIN(1,R250/100+$D$5))</f>
        <v>0.725456208682745</v>
      </c>
      <c r="U250" s="56" t="n">
        <v>0.267348036578806</v>
      </c>
      <c r="V250" s="55" t="n">
        <v>1866</v>
      </c>
      <c r="W250" s="56" t="n">
        <v>0.148097331980838</v>
      </c>
      <c r="X250" s="57" t="s">
        <v>129</v>
      </c>
      <c r="Y250" s="57" t="s">
        <v>130</v>
      </c>
    </row>
    <row r="251" customFormat="false" ht="15" hidden="false" customHeight="false" outlineLevel="0" collapsed="false">
      <c r="A251" s="25" t="s">
        <v>385</v>
      </c>
      <c r="B251" s="25" t="s">
        <v>260</v>
      </c>
      <c r="C251" s="25" t="s">
        <v>413</v>
      </c>
      <c r="D251" s="52" t="n">
        <f aca="false">ROUND(S251*T251,0)</f>
        <v>401</v>
      </c>
      <c r="E251" s="52" t="n">
        <f aca="false">ROUND(S251,0)-D251</f>
        <v>133</v>
      </c>
      <c r="F251" s="52" t="n">
        <f aca="false">IF(COUNTA(D251:E251)=0,"",SUM(D251:E251))</f>
        <v>534</v>
      </c>
      <c r="G251" s="53" t="n">
        <f aca="false">IF(OR(F251="",F251=0),"",D251/F251)</f>
        <v>0.750936329588015</v>
      </c>
      <c r="H251" s="53" t="n">
        <f aca="false">IF(OR(F251="",F251=0),"",E251/F251)</f>
        <v>0.249063670411985</v>
      </c>
      <c r="I251" s="25" t="s">
        <v>128</v>
      </c>
      <c r="J251" s="28" t="n">
        <v>3.71103496666907</v>
      </c>
      <c r="K251" s="28" t="n">
        <f aca="false">$K$8</f>
        <v>0.296197623206382</v>
      </c>
      <c r="L251" s="28" t="n">
        <f aca="false">SQRT(J251^2+K251^2)</f>
        <v>3.72283676191068</v>
      </c>
      <c r="M251" s="53" t="n">
        <f aca="false">IF(G251="","",MAX(0,G251-1.96*L251/100))</f>
        <v>0.677968729054566</v>
      </c>
      <c r="N251" s="53" t="n">
        <f aca="false">IF(G251="","",MIN(1,G251+1.96*L251/100))</f>
        <v>0.823903930121464</v>
      </c>
      <c r="O251" s="52" t="n">
        <f aca="false">ROUND(S251*W251,0)</f>
        <v>79</v>
      </c>
      <c r="P251" s="52" t="n">
        <f aca="false">IF(F251="","",ROUND(SQRT((F251*L251/100)^2+(G251*O251)^2),0))</f>
        <v>63</v>
      </c>
      <c r="R251" s="54" t="n">
        <v>24.3095420117967</v>
      </c>
      <c r="S251" s="55" t="n">
        <f aca="false">U251*V251*$F$5</f>
        <v>533.985148514852</v>
      </c>
      <c r="T251" s="56" t="n">
        <f aca="false">MAX(0,MIN(1,R251/100+$D$5))</f>
        <v>0.750651527226381</v>
      </c>
      <c r="U251" s="56" t="n">
        <v>0.698019801980198</v>
      </c>
      <c r="V251" s="55" t="n">
        <v>765</v>
      </c>
      <c r="W251" s="56" t="n">
        <v>0.148097331980838</v>
      </c>
      <c r="X251" s="57" t="s">
        <v>129</v>
      </c>
      <c r="Y251" s="57" t="s">
        <v>130</v>
      </c>
    </row>
    <row r="252" customFormat="false" ht="15" hidden="false" customHeight="false" outlineLevel="0" collapsed="false">
      <c r="A252" s="25" t="s">
        <v>385</v>
      </c>
      <c r="B252" s="25" t="s">
        <v>260</v>
      </c>
      <c r="C252" s="25" t="s">
        <v>414</v>
      </c>
      <c r="D252" s="52" t="n">
        <f aca="false">ROUND(S252*T252,0)</f>
        <v>577</v>
      </c>
      <c r="E252" s="52" t="n">
        <f aca="false">ROUND(S252,0)-D252</f>
        <v>221</v>
      </c>
      <c r="F252" s="52" t="n">
        <f aca="false">IF(COUNTA(D252:E252)=0,"",SUM(D252:E252))</f>
        <v>798</v>
      </c>
      <c r="G252" s="53" t="n">
        <f aca="false">IF(OR(F252="",F252=0),"",D252/F252)</f>
        <v>0.723057644110276</v>
      </c>
      <c r="H252" s="53" t="n">
        <f aca="false">IF(OR(F252="",F252=0),"",E252/F252)</f>
        <v>0.276942355889724</v>
      </c>
      <c r="I252" s="25" t="s">
        <v>128</v>
      </c>
      <c r="J252" s="28" t="n">
        <v>2.37310914384046</v>
      </c>
      <c r="K252" s="28" t="n">
        <f aca="false">$K$8</f>
        <v>0.296197623206382</v>
      </c>
      <c r="L252" s="28" t="n">
        <f aca="false">SQRT(J252^2+K252^2)</f>
        <v>2.3915225360787</v>
      </c>
      <c r="M252" s="53" t="n">
        <f aca="false">IF(G252="","",MAX(0,G252-1.96*L252/100))</f>
        <v>0.676183802403133</v>
      </c>
      <c r="N252" s="53" t="n">
        <f aca="false">IF(G252="","",MIN(1,G252+1.96*L252/100))</f>
        <v>0.769931485817418</v>
      </c>
      <c r="O252" s="52" t="n">
        <f aca="false">ROUND(S252*W252,0)</f>
        <v>71</v>
      </c>
      <c r="P252" s="52" t="n">
        <f aca="false">IF(F252="","",ROUND(SQRT((F252*L252/100)^2+(G252*O252)^2),0))</f>
        <v>55</v>
      </c>
      <c r="R252" s="54" t="n">
        <v>21.5600516701775</v>
      </c>
      <c r="S252" s="55" t="n">
        <f aca="false">U252*V252*$F$5</f>
        <v>798.341340075854</v>
      </c>
      <c r="T252" s="56" t="n">
        <f aca="false">MAX(0,MIN(1,R252/100+$D$5))</f>
        <v>0.72315662381019</v>
      </c>
      <c r="U252" s="56" t="n">
        <v>0.465233881163085</v>
      </c>
      <c r="V252" s="55" t="n">
        <v>1716</v>
      </c>
      <c r="W252" s="56" t="n">
        <v>0.0887445098984521</v>
      </c>
      <c r="X252" s="57" t="s">
        <v>135</v>
      </c>
      <c r="Y252" s="57" t="s">
        <v>130</v>
      </c>
    </row>
    <row r="253" customFormat="false" ht="15" hidden="false" customHeight="false" outlineLevel="0" collapsed="false">
      <c r="A253" s="25" t="s">
        <v>385</v>
      </c>
      <c r="B253" s="25" t="s">
        <v>260</v>
      </c>
      <c r="C253" s="25" t="s">
        <v>415</v>
      </c>
      <c r="D253" s="52" t="n">
        <f aca="false">ROUND(S253*T253,0)</f>
        <v>468</v>
      </c>
      <c r="E253" s="52" t="n">
        <f aca="false">ROUND(S253,0)-D253</f>
        <v>214</v>
      </c>
      <c r="F253" s="52" t="n">
        <f aca="false">IF(COUNTA(D253:E253)=0,"",SUM(D253:E253))</f>
        <v>682</v>
      </c>
      <c r="G253" s="53" t="n">
        <f aca="false">IF(OR(F253="",F253=0),"",D253/F253)</f>
        <v>0.686217008797654</v>
      </c>
      <c r="H253" s="53" t="n">
        <f aca="false">IF(OR(F253="",F253=0),"",E253/F253)</f>
        <v>0.313782991202346</v>
      </c>
      <c r="I253" s="25" t="s">
        <v>128</v>
      </c>
      <c r="J253" s="28" t="n">
        <v>2.37310914384046</v>
      </c>
      <c r="K253" s="28" t="n">
        <f aca="false">$K$8</f>
        <v>0.296197623206382</v>
      </c>
      <c r="L253" s="28" t="n">
        <f aca="false">SQRT(J253^2+K253^2)</f>
        <v>2.3915225360787</v>
      </c>
      <c r="M253" s="53" t="n">
        <f aca="false">IF(G253="","",MAX(0,G253-1.96*L253/100))</f>
        <v>0.639343167090511</v>
      </c>
      <c r="N253" s="53" t="n">
        <f aca="false">IF(G253="","",MIN(1,G253+1.96*L253/100))</f>
        <v>0.733090850504797</v>
      </c>
      <c r="O253" s="52" t="n">
        <f aca="false">ROUND(S253*W253,0)</f>
        <v>61</v>
      </c>
      <c r="P253" s="52" t="n">
        <f aca="false">IF(F253="","",ROUND(SQRT((F253*L253/100)^2+(G253*O253)^2),0))</f>
        <v>45</v>
      </c>
      <c r="R253" s="54" t="n">
        <v>17.7848064000997</v>
      </c>
      <c r="S253" s="55" t="n">
        <f aca="false">U253*V253*$F$5</f>
        <v>682.091267235719</v>
      </c>
      <c r="T253" s="56" t="n">
        <f aca="false">MAX(0,MIN(1,R253/100+$D$5))</f>
        <v>0.685404171109412</v>
      </c>
      <c r="U253" s="56" t="n">
        <v>0.443204202232436</v>
      </c>
      <c r="V253" s="55" t="n">
        <v>1539</v>
      </c>
      <c r="W253" s="56" t="n">
        <v>0.0887445098984521</v>
      </c>
      <c r="X253" s="57" t="s">
        <v>135</v>
      </c>
      <c r="Y253" s="57" t="s">
        <v>130</v>
      </c>
    </row>
    <row r="254" customFormat="false" ht="15" hidden="false" customHeight="false" outlineLevel="0" collapsed="false">
      <c r="A254" s="25" t="s">
        <v>385</v>
      </c>
      <c r="B254" s="25" t="s">
        <v>260</v>
      </c>
      <c r="C254" s="25" t="s">
        <v>416</v>
      </c>
      <c r="D254" s="52" t="n">
        <f aca="false">ROUND(S254*T254,0)</f>
        <v>541</v>
      </c>
      <c r="E254" s="52" t="n">
        <f aca="false">ROUND(S254,0)-D254</f>
        <v>244</v>
      </c>
      <c r="F254" s="52" t="n">
        <f aca="false">IF(COUNTA(D254:E254)=0,"",SUM(D254:E254))</f>
        <v>785</v>
      </c>
      <c r="G254" s="53" t="n">
        <f aca="false">IF(OR(F254="",F254=0),"",D254/F254)</f>
        <v>0.689171974522293</v>
      </c>
      <c r="H254" s="53" t="n">
        <f aca="false">IF(OR(F254="",F254=0),"",E254/F254)</f>
        <v>0.310828025477707</v>
      </c>
      <c r="I254" s="25" t="s">
        <v>128</v>
      </c>
      <c r="J254" s="28" t="n">
        <v>2.37310914384046</v>
      </c>
      <c r="K254" s="28" t="n">
        <f aca="false">$K$8</f>
        <v>0.296197623206382</v>
      </c>
      <c r="L254" s="28" t="n">
        <f aca="false">SQRT(J254^2+K254^2)</f>
        <v>2.3915225360787</v>
      </c>
      <c r="M254" s="53" t="n">
        <f aca="false">IF(G254="","",MAX(0,G254-1.96*L254/100))</f>
        <v>0.64229813281515</v>
      </c>
      <c r="N254" s="53" t="n">
        <f aca="false">IF(G254="","",MIN(1,G254+1.96*L254/100))</f>
        <v>0.736045816229436</v>
      </c>
      <c r="O254" s="52" t="n">
        <f aca="false">ROUND(S254*W254,0)</f>
        <v>70</v>
      </c>
      <c r="P254" s="52" t="n">
        <f aca="false">IF(F254="","",ROUND(SQRT((F254*L254/100)^2+(G254*O254)^2),0))</f>
        <v>52</v>
      </c>
      <c r="R254" s="54" t="n">
        <v>18.0790905618607</v>
      </c>
      <c r="S254" s="55" t="n">
        <f aca="false">U254*V254*$F$5</f>
        <v>785.450874831763</v>
      </c>
      <c r="T254" s="56" t="n">
        <f aca="false">MAX(0,MIN(1,R254/100+$D$5))</f>
        <v>0.688347012727022</v>
      </c>
      <c r="U254" s="56" t="n">
        <v>0.534320323014805</v>
      </c>
      <c r="V254" s="55" t="n">
        <v>1470</v>
      </c>
      <c r="W254" s="56" t="n">
        <v>0.0887445098984521</v>
      </c>
      <c r="X254" s="57" t="s">
        <v>135</v>
      </c>
      <c r="Y254" s="57" t="s">
        <v>130</v>
      </c>
    </row>
    <row r="255" customFormat="false" ht="15" hidden="false" customHeight="false" outlineLevel="0" collapsed="false">
      <c r="A255" s="25" t="s">
        <v>385</v>
      </c>
      <c r="B255" s="25" t="s">
        <v>260</v>
      </c>
      <c r="C255" s="25" t="s">
        <v>417</v>
      </c>
      <c r="D255" s="52" t="n">
        <f aca="false">ROUND(S255*T255,0)</f>
        <v>952</v>
      </c>
      <c r="E255" s="52" t="n">
        <f aca="false">ROUND(S255,0)-D255</f>
        <v>476</v>
      </c>
      <c r="F255" s="52" t="n">
        <f aca="false">IF(COUNTA(D255:E255)=0,"",SUM(D255:E255))</f>
        <v>1428</v>
      </c>
      <c r="G255" s="53" t="n">
        <f aca="false">IF(OR(F255="",F255=0),"",D255/F255)</f>
        <v>0.666666666666667</v>
      </c>
      <c r="H255" s="53" t="n">
        <f aca="false">IF(OR(F255="",F255=0),"",E255/F255)</f>
        <v>0.333333333333333</v>
      </c>
      <c r="I255" s="25" t="s">
        <v>231</v>
      </c>
      <c r="J255" s="28" t="n">
        <v>1.88612725432908</v>
      </c>
      <c r="K255" s="28" t="n">
        <f aca="false">$K$8</f>
        <v>0.296197623206382</v>
      </c>
      <c r="L255" s="28" t="n">
        <f aca="false">SQRT(J255^2+K255^2)</f>
        <v>1.909243057213</v>
      </c>
      <c r="M255" s="53" t="n">
        <f aca="false">IF(G255="","",MAX(0,G255-1.96*L255/100))</f>
        <v>0.629245502745292</v>
      </c>
      <c r="N255" s="53" t="n">
        <f aca="false">IF(G255="","",MIN(1,G255+1.96*L255/100))</f>
        <v>0.704087830588042</v>
      </c>
      <c r="O255" s="52" t="n">
        <f aca="false">ROUND(S255*W255,0)</f>
        <v>98</v>
      </c>
      <c r="P255" s="52" t="n">
        <f aca="false">IF(F255="","",ROUND(SQRT((F255*L255/100)^2+(G255*O255)^2),0))</f>
        <v>71</v>
      </c>
      <c r="R255" s="54" t="n">
        <v>15.8625599085985</v>
      </c>
      <c r="S255" s="55" t="n">
        <f aca="false">U255*V255*$F$5</f>
        <v>1428.36591156443</v>
      </c>
      <c r="T255" s="56" t="n">
        <f aca="false">MAX(0,MIN(1,R255/100+$D$5))</f>
        <v>0.666181706194399</v>
      </c>
      <c r="U255" s="56" t="n">
        <v>0.904029057952171</v>
      </c>
      <c r="V255" s="55" t="n">
        <v>1580</v>
      </c>
      <c r="W255" s="56" t="n">
        <v>0.0684752145190268</v>
      </c>
      <c r="X255" s="57" t="s">
        <v>168</v>
      </c>
      <c r="Y255" s="57" t="s">
        <v>130</v>
      </c>
    </row>
    <row r="256" customFormat="false" ht="15" hidden="false" customHeight="false" outlineLevel="0" collapsed="false">
      <c r="A256" s="25" t="s">
        <v>385</v>
      </c>
      <c r="B256" s="25" t="s">
        <v>418</v>
      </c>
      <c r="C256" s="25" t="s">
        <v>419</v>
      </c>
      <c r="D256" s="52" t="n">
        <f aca="false">ROUND(S256*T256,0)</f>
        <v>390</v>
      </c>
      <c r="E256" s="52" t="n">
        <f aca="false">ROUND(S256,0)-D256</f>
        <v>329</v>
      </c>
      <c r="F256" s="52" t="n">
        <f aca="false">IF(COUNTA(D256:E256)=0,"",SUM(D256:E256))</f>
        <v>719</v>
      </c>
      <c r="G256" s="53" t="n">
        <f aca="false">IF(OR(F256="",F256=0),"",D256/F256)</f>
        <v>0.542420027816412</v>
      </c>
      <c r="H256" s="53" t="n">
        <f aca="false">IF(OR(F256="",F256=0),"",E256/F256)</f>
        <v>0.457579972183588</v>
      </c>
      <c r="I256" s="25" t="s">
        <v>128</v>
      </c>
      <c r="J256" s="28" t="n">
        <v>2.37310914384046</v>
      </c>
      <c r="K256" s="28" t="n">
        <f aca="false">$K$8</f>
        <v>0.296197623206382</v>
      </c>
      <c r="L256" s="28" t="n">
        <f aca="false">SQRT(J256^2+K256^2)</f>
        <v>2.3915225360787</v>
      </c>
      <c r="M256" s="53" t="n">
        <f aca="false">IF(G256="","",MAX(0,G256-1.96*L256/100))</f>
        <v>0.495546186109269</v>
      </c>
      <c r="N256" s="53" t="n">
        <f aca="false">IF(G256="","",MIN(1,G256+1.96*L256/100))</f>
        <v>0.589293869523554</v>
      </c>
      <c r="O256" s="52" t="n">
        <f aca="false">ROUND(S256*W256,0)</f>
        <v>64</v>
      </c>
      <c r="P256" s="52" t="n">
        <f aca="false">IF(F256="","",ROUND(SQRT((F256*L256/100)^2+(G256*O256)^2),0))</f>
        <v>39</v>
      </c>
      <c r="R256" s="54" t="n">
        <v>3.55383418849496</v>
      </c>
      <c r="S256" s="55" t="n">
        <f aca="false">U256*V256*$F$5</f>
        <v>718.755218216319</v>
      </c>
      <c r="T256" s="56" t="n">
        <f aca="false">MAX(0,MIN(1,R256/100+$D$5))</f>
        <v>0.543094448993364</v>
      </c>
      <c r="U256" s="56" t="n">
        <v>0.675521821631879</v>
      </c>
      <c r="V256" s="55" t="n">
        <v>1064</v>
      </c>
      <c r="W256" s="56" t="n">
        <v>0.0887445098984521</v>
      </c>
      <c r="X256" s="57" t="s">
        <v>135</v>
      </c>
      <c r="Y256" s="57" t="s">
        <v>130</v>
      </c>
    </row>
    <row r="257" customFormat="false" ht="15" hidden="false" customHeight="false" outlineLevel="0" collapsed="false">
      <c r="A257" s="25" t="s">
        <v>385</v>
      </c>
      <c r="B257" s="25" t="s">
        <v>418</v>
      </c>
      <c r="C257" s="25" t="s">
        <v>420</v>
      </c>
      <c r="D257" s="52" t="n">
        <f aca="false">ROUND(S257*T257,0)</f>
        <v>497</v>
      </c>
      <c r="E257" s="52" t="n">
        <f aca="false">ROUND(S257,0)-D257</f>
        <v>432</v>
      </c>
      <c r="F257" s="52" t="n">
        <f aca="false">IF(COUNTA(D257:E257)=0,"",SUM(D257:E257))</f>
        <v>929</v>
      </c>
      <c r="G257" s="53" t="n">
        <f aca="false">IF(OR(F257="",F257=0),"",D257/F257)</f>
        <v>0.534983853606028</v>
      </c>
      <c r="H257" s="53" t="n">
        <f aca="false">IF(OR(F257="",F257=0),"",E257/F257)</f>
        <v>0.465016146393972</v>
      </c>
      <c r="I257" s="25" t="s">
        <v>128</v>
      </c>
      <c r="J257" s="28" t="n">
        <v>2.37310914384046</v>
      </c>
      <c r="K257" s="28" t="n">
        <f aca="false">$K$8</f>
        <v>0.296197623206382</v>
      </c>
      <c r="L257" s="28" t="n">
        <f aca="false">SQRT(J257^2+K257^2)</f>
        <v>2.3915225360787</v>
      </c>
      <c r="M257" s="53" t="n">
        <f aca="false">IF(G257="","",MAX(0,G257-1.96*L257/100))</f>
        <v>0.488110011898885</v>
      </c>
      <c r="N257" s="53" t="n">
        <f aca="false">IF(G257="","",MIN(1,G257+1.96*L257/100))</f>
        <v>0.581857695313171</v>
      </c>
      <c r="O257" s="52" t="n">
        <f aca="false">ROUND(S257*W257,0)</f>
        <v>82</v>
      </c>
      <c r="P257" s="52" t="n">
        <f aca="false">IF(F257="","",ROUND(SQRT((F257*L257/100)^2+(G257*O257)^2),0))</f>
        <v>49</v>
      </c>
      <c r="R257" s="54" t="n">
        <v>2.74938705966632</v>
      </c>
      <c r="S257" s="55" t="n">
        <f aca="false">U257*V257*$F$5</f>
        <v>929.064439140811</v>
      </c>
      <c r="T257" s="56" t="n">
        <f aca="false">MAX(0,MIN(1,R257/100+$D$5))</f>
        <v>0.535049977705078</v>
      </c>
      <c r="U257" s="56" t="n">
        <v>0.720763723150358</v>
      </c>
      <c r="V257" s="55" t="n">
        <v>1289</v>
      </c>
      <c r="W257" s="56" t="n">
        <v>0.0887445098984521</v>
      </c>
      <c r="X257" s="57" t="s">
        <v>135</v>
      </c>
      <c r="Y257" s="57" t="s">
        <v>130</v>
      </c>
    </row>
    <row r="258" customFormat="false" ht="15" hidden="false" customHeight="false" outlineLevel="0" collapsed="false">
      <c r="A258" s="25" t="s">
        <v>385</v>
      </c>
      <c r="B258" s="25" t="s">
        <v>418</v>
      </c>
      <c r="C258" s="25" t="s">
        <v>421</v>
      </c>
      <c r="D258" s="52" t="n">
        <f aca="false">ROUND(S258*T258,0)</f>
        <v>555</v>
      </c>
      <c r="E258" s="52" t="n">
        <f aca="false">ROUND(S258,0)-D258</f>
        <v>435</v>
      </c>
      <c r="F258" s="52" t="n">
        <f aca="false">IF(COUNTA(D258:E258)=0,"",SUM(D258:E258))</f>
        <v>990</v>
      </c>
      <c r="G258" s="53" t="n">
        <f aca="false">IF(OR(F258="",F258=0),"",D258/F258)</f>
        <v>0.560606060606061</v>
      </c>
      <c r="H258" s="53" t="n">
        <f aca="false">IF(OR(F258="",F258=0),"",E258/F258)</f>
        <v>0.439393939393939</v>
      </c>
      <c r="I258" s="25" t="s">
        <v>128</v>
      </c>
      <c r="J258" s="28" t="n">
        <v>1.88612725432908</v>
      </c>
      <c r="K258" s="28" t="n">
        <f aca="false">$K$8</f>
        <v>0.296197623206382</v>
      </c>
      <c r="L258" s="28" t="n">
        <f aca="false">SQRT(J258^2+K258^2)</f>
        <v>1.909243057213</v>
      </c>
      <c r="M258" s="53" t="n">
        <f aca="false">IF(G258="","",MAX(0,G258-1.96*L258/100))</f>
        <v>0.523184896684686</v>
      </c>
      <c r="N258" s="53" t="n">
        <f aca="false">IF(G258="","",MIN(1,G258+1.96*L258/100))</f>
        <v>0.598027224527435</v>
      </c>
      <c r="O258" s="52" t="n">
        <f aca="false">ROUND(S258*W258,0)</f>
        <v>68</v>
      </c>
      <c r="P258" s="52" t="n">
        <f aca="false">IF(F258="","",ROUND(SQRT((F258*L258/100)^2+(G258*O258)^2),0))</f>
        <v>43</v>
      </c>
      <c r="R258" s="54" t="n">
        <v>5.24632188188012</v>
      </c>
      <c r="S258" s="55" t="n">
        <f aca="false">U258*V258*$F$5</f>
        <v>990.257425742575</v>
      </c>
      <c r="T258" s="56" t="n">
        <f aca="false">MAX(0,MIN(1,R258/100+$D$5))</f>
        <v>0.560019325927216</v>
      </c>
      <c r="U258" s="56" t="n">
        <v>0.601980198019802</v>
      </c>
      <c r="V258" s="55" t="n">
        <v>1645</v>
      </c>
      <c r="W258" s="56" t="n">
        <v>0.0684752145190268</v>
      </c>
      <c r="X258" s="57" t="s">
        <v>168</v>
      </c>
      <c r="Y258" s="57" t="s">
        <v>130</v>
      </c>
    </row>
    <row r="259" customFormat="false" ht="15" hidden="false" customHeight="false" outlineLevel="0" collapsed="false">
      <c r="A259" s="25" t="s">
        <v>385</v>
      </c>
      <c r="B259" s="25" t="s">
        <v>418</v>
      </c>
      <c r="C259" s="25" t="s">
        <v>422</v>
      </c>
      <c r="D259" s="52" t="n">
        <f aca="false">ROUND(S259*T259,0)</f>
        <v>262</v>
      </c>
      <c r="E259" s="52" t="n">
        <f aca="false">ROUND(S259,0)-D259</f>
        <v>252</v>
      </c>
      <c r="F259" s="52" t="n">
        <f aca="false">IF(COUNTA(D259:E259)=0,"",SUM(D259:E259))</f>
        <v>514</v>
      </c>
      <c r="G259" s="53" t="n">
        <f aca="false">IF(OR(F259="",F259=0),"",D259/F259)</f>
        <v>0.509727626459144</v>
      </c>
      <c r="H259" s="53" t="n">
        <f aca="false">IF(OR(F259="",F259=0),"",E259/F259)</f>
        <v>0.490272373540856</v>
      </c>
      <c r="I259" s="25" t="s">
        <v>128</v>
      </c>
      <c r="J259" s="28" t="n">
        <v>3.71103496666907</v>
      </c>
      <c r="K259" s="28" t="n">
        <f aca="false">$K$8</f>
        <v>0.296197623206382</v>
      </c>
      <c r="L259" s="28" t="n">
        <f aca="false">SQRT(J259^2+K259^2)</f>
        <v>3.72283676191068</v>
      </c>
      <c r="M259" s="53" t="n">
        <f aca="false">IF(G259="","",MAX(0,G259-1.96*L259/100))</f>
        <v>0.436760025925695</v>
      </c>
      <c r="N259" s="53" t="n">
        <f aca="false">IF(G259="","",MIN(1,G259+1.96*L259/100))</f>
        <v>0.582695226992593</v>
      </c>
      <c r="O259" s="52" t="n">
        <f aca="false">ROUND(S259*W259,0)</f>
        <v>76</v>
      </c>
      <c r="P259" s="52" t="n">
        <f aca="false">IF(F259="","",ROUND(SQRT((F259*L259/100)^2+(G259*O259)^2),0))</f>
        <v>43</v>
      </c>
      <c r="R259" s="54" t="n">
        <v>0.290001524067785</v>
      </c>
      <c r="S259" s="55" t="n">
        <f aca="false">U259*V259*$F$5</f>
        <v>513.768181818182</v>
      </c>
      <c r="T259" s="56" t="n">
        <f aca="false">MAX(0,MIN(1,R259/100+$D$5))</f>
        <v>0.510456122349093</v>
      </c>
      <c r="U259" s="56" t="n">
        <v>0.547727272727273</v>
      </c>
      <c r="V259" s="55" t="n">
        <v>938</v>
      </c>
      <c r="W259" s="56" t="n">
        <v>0.148097331980838</v>
      </c>
      <c r="X259" s="57" t="s">
        <v>129</v>
      </c>
      <c r="Y259" s="57" t="s">
        <v>130</v>
      </c>
    </row>
    <row r="260" customFormat="false" ht="15" hidden="false" customHeight="false" outlineLevel="0" collapsed="false">
      <c r="A260" s="25" t="s">
        <v>385</v>
      </c>
      <c r="B260" s="25" t="s">
        <v>418</v>
      </c>
      <c r="C260" s="25" t="s">
        <v>423</v>
      </c>
      <c r="D260" s="52" t="n">
        <f aca="false">ROUND(S260*T260,0)</f>
        <v>445</v>
      </c>
      <c r="E260" s="52" t="n">
        <f aca="false">ROUND(S260,0)-D260</f>
        <v>347</v>
      </c>
      <c r="F260" s="52" t="n">
        <f aca="false">IF(COUNTA(D260:E260)=0,"",SUM(D260:E260))</f>
        <v>792</v>
      </c>
      <c r="G260" s="53" t="n">
        <f aca="false">IF(OR(F260="",F260=0),"",D260/F260)</f>
        <v>0.561868686868687</v>
      </c>
      <c r="H260" s="53" t="n">
        <f aca="false">IF(OR(F260="",F260=0),"",E260/F260)</f>
        <v>0.438131313131313</v>
      </c>
      <c r="I260" s="25" t="s">
        <v>128</v>
      </c>
      <c r="J260" s="28" t="n">
        <v>2.37310914384046</v>
      </c>
      <c r="K260" s="28" t="n">
        <f aca="false">$K$8</f>
        <v>0.296197623206382</v>
      </c>
      <c r="L260" s="28" t="n">
        <f aca="false">SQRT(J260^2+K260^2)</f>
        <v>2.3915225360787</v>
      </c>
      <c r="M260" s="53" t="n">
        <f aca="false">IF(G260="","",MAX(0,G260-1.96*L260/100))</f>
        <v>0.514994845161544</v>
      </c>
      <c r="N260" s="53" t="n">
        <f aca="false">IF(G260="","",MIN(1,G260+1.96*L260/100))</f>
        <v>0.608742528575829</v>
      </c>
      <c r="O260" s="52" t="n">
        <f aca="false">ROUND(S260*W260,0)</f>
        <v>70</v>
      </c>
      <c r="P260" s="52" t="n">
        <f aca="false">IF(F260="","",ROUND(SQRT((F260*L260/100)^2+(G260*O260)^2),0))</f>
        <v>44</v>
      </c>
      <c r="R260" s="54" t="n">
        <v>5.45621579915919</v>
      </c>
      <c r="S260" s="55" t="n">
        <f aca="false">U260*V260*$F$5</f>
        <v>792.466367713005</v>
      </c>
      <c r="T260" s="56" t="n">
        <f aca="false">MAX(0,MIN(1,R260/100+$D$5))</f>
        <v>0.562118265100007</v>
      </c>
      <c r="U260" s="56" t="n">
        <v>0.56203288490284</v>
      </c>
      <c r="V260" s="55" t="n">
        <v>1410</v>
      </c>
      <c r="W260" s="56" t="n">
        <v>0.0887445098984521</v>
      </c>
      <c r="X260" s="57" t="s">
        <v>135</v>
      </c>
      <c r="Y260" s="57" t="s">
        <v>130</v>
      </c>
    </row>
    <row r="261" customFormat="false" ht="15" hidden="false" customHeight="false" outlineLevel="0" collapsed="false">
      <c r="A261" s="25" t="s">
        <v>385</v>
      </c>
      <c r="B261" s="25" t="s">
        <v>418</v>
      </c>
      <c r="C261" s="25" t="s">
        <v>424</v>
      </c>
      <c r="D261" s="52" t="n">
        <f aca="false">ROUND(S261*T261,0)</f>
        <v>449</v>
      </c>
      <c r="E261" s="52" t="n">
        <f aca="false">ROUND(S261,0)-D261</f>
        <v>391</v>
      </c>
      <c r="F261" s="52" t="n">
        <f aca="false">IF(COUNTA(D261:E261)=0,"",SUM(D261:E261))</f>
        <v>840</v>
      </c>
      <c r="G261" s="53" t="n">
        <f aca="false">IF(OR(F261="",F261=0),"",D261/F261)</f>
        <v>0.53452380952381</v>
      </c>
      <c r="H261" s="53" t="n">
        <f aca="false">IF(OR(F261="",F261=0),"",E261/F261)</f>
        <v>0.465476190476191</v>
      </c>
      <c r="I261" s="25" t="s">
        <v>128</v>
      </c>
      <c r="J261" s="28" t="n">
        <v>2.37310914384046</v>
      </c>
      <c r="K261" s="28" t="n">
        <f aca="false">$K$8</f>
        <v>0.296197623206382</v>
      </c>
      <c r="L261" s="28" t="n">
        <f aca="false">SQRT(J261^2+K261^2)</f>
        <v>2.3915225360787</v>
      </c>
      <c r="M261" s="53" t="n">
        <f aca="false">IF(G261="","",MAX(0,G261-1.96*L261/100))</f>
        <v>0.487649967816667</v>
      </c>
      <c r="N261" s="53" t="n">
        <f aca="false">IF(G261="","",MIN(1,G261+1.96*L261/100))</f>
        <v>0.581397651230952</v>
      </c>
      <c r="O261" s="52" t="n">
        <f aca="false">ROUND(S261*W261,0)</f>
        <v>75</v>
      </c>
      <c r="P261" s="52" t="n">
        <f aca="false">IF(F261="","",ROUND(SQRT((F261*L261/100)^2+(G261*O261)^2),0))</f>
        <v>45</v>
      </c>
      <c r="R261" s="54" t="n">
        <v>2.73959398185979</v>
      </c>
      <c r="S261" s="55" t="n">
        <f aca="false">U261*V261*$F$5</f>
        <v>839.707716289945</v>
      </c>
      <c r="T261" s="56" t="n">
        <f aca="false">MAX(0,MIN(1,R261/100+$D$5))</f>
        <v>0.534952046927013</v>
      </c>
      <c r="U261" s="56" t="n">
        <v>0.624318004676539</v>
      </c>
      <c r="V261" s="55" t="n">
        <v>1345</v>
      </c>
      <c r="W261" s="56" t="n">
        <v>0.0887445098984521</v>
      </c>
      <c r="X261" s="57" t="s">
        <v>135</v>
      </c>
      <c r="Y261" s="57" t="s">
        <v>130</v>
      </c>
    </row>
    <row r="262" customFormat="false" ht="15" hidden="false" customHeight="false" outlineLevel="0" collapsed="false">
      <c r="A262" s="25" t="s">
        <v>385</v>
      </c>
      <c r="B262" s="25" t="s">
        <v>418</v>
      </c>
      <c r="C262" s="25" t="s">
        <v>425</v>
      </c>
      <c r="D262" s="52" t="n">
        <f aca="false">ROUND(S262*T262,0)</f>
        <v>284</v>
      </c>
      <c r="E262" s="52" t="n">
        <f aca="false">ROUND(S262,0)-D262</f>
        <v>230</v>
      </c>
      <c r="F262" s="52" t="n">
        <f aca="false">IF(COUNTA(D262:E262)=0,"",SUM(D262:E262))</f>
        <v>514</v>
      </c>
      <c r="G262" s="53" t="n">
        <f aca="false">IF(OR(F262="",F262=0),"",D262/F262)</f>
        <v>0.552529182879378</v>
      </c>
      <c r="H262" s="53" t="n">
        <f aca="false">IF(OR(F262="",F262=0),"",E262/F262)</f>
        <v>0.447470817120623</v>
      </c>
      <c r="I262" s="25" t="s">
        <v>128</v>
      </c>
      <c r="J262" s="28" t="n">
        <v>3.71103496666907</v>
      </c>
      <c r="K262" s="28" t="n">
        <f aca="false">$K$8</f>
        <v>0.296197623206382</v>
      </c>
      <c r="L262" s="28" t="n">
        <f aca="false">SQRT(J262^2+K262^2)</f>
        <v>3.72283676191068</v>
      </c>
      <c r="M262" s="53" t="n">
        <f aca="false">IF(G262="","",MAX(0,G262-1.96*L262/100))</f>
        <v>0.479561582345928</v>
      </c>
      <c r="N262" s="53" t="n">
        <f aca="false">IF(G262="","",MIN(1,G262+1.96*L262/100))</f>
        <v>0.625496783412827</v>
      </c>
      <c r="O262" s="52" t="n">
        <f aca="false">ROUND(S262*W262,0)</f>
        <v>76</v>
      </c>
      <c r="P262" s="52" t="n">
        <f aca="false">IF(F262="","",ROUND(SQRT((F262*L262/100)^2+(G262*O262)^2),0))</f>
        <v>46</v>
      </c>
      <c r="R262" s="54" t="n">
        <v>4.51954960166635</v>
      </c>
      <c r="S262" s="55" t="n">
        <f aca="false">U262*V262*$F$5</f>
        <v>514.18359375</v>
      </c>
      <c r="T262" s="56" t="n">
        <f aca="false">MAX(0,MIN(1,R262/100+$D$5))</f>
        <v>0.552751603125078</v>
      </c>
      <c r="U262" s="56" t="n">
        <v>0.641927083333333</v>
      </c>
      <c r="V262" s="55" t="n">
        <v>801</v>
      </c>
      <c r="W262" s="56" t="n">
        <v>0.148097331980838</v>
      </c>
      <c r="X262" s="57" t="s">
        <v>129</v>
      </c>
      <c r="Y262" s="57" t="s">
        <v>130</v>
      </c>
    </row>
    <row r="263" customFormat="false" ht="15" hidden="false" customHeight="false" outlineLevel="0" collapsed="false">
      <c r="A263" s="25" t="s">
        <v>385</v>
      </c>
      <c r="B263" s="25" t="s">
        <v>418</v>
      </c>
      <c r="C263" s="25" t="s">
        <v>426</v>
      </c>
      <c r="D263" s="52" t="n">
        <f aca="false">ROUND(S263*T263,0)</f>
        <v>410</v>
      </c>
      <c r="E263" s="52" t="n">
        <f aca="false">ROUND(S263,0)-D263</f>
        <v>296</v>
      </c>
      <c r="F263" s="52" t="n">
        <f aca="false">IF(COUNTA(D263:E263)=0,"",SUM(D263:E263))</f>
        <v>706</v>
      </c>
      <c r="G263" s="53" t="n">
        <f aca="false">IF(OR(F263="",F263=0),"",D263/F263)</f>
        <v>0.580736543909349</v>
      </c>
      <c r="H263" s="53" t="n">
        <f aca="false">IF(OR(F263="",F263=0),"",E263/F263)</f>
        <v>0.419263456090652</v>
      </c>
      <c r="I263" s="25" t="s">
        <v>128</v>
      </c>
      <c r="J263" s="28" t="n">
        <v>2.37310914384046</v>
      </c>
      <c r="K263" s="28" t="n">
        <f aca="false">$K$8</f>
        <v>0.296197623206382</v>
      </c>
      <c r="L263" s="28" t="n">
        <f aca="false">SQRT(J263^2+K263^2)</f>
        <v>2.3915225360787</v>
      </c>
      <c r="M263" s="53" t="n">
        <f aca="false">IF(G263="","",MAX(0,G263-1.96*L263/100))</f>
        <v>0.533862702202206</v>
      </c>
      <c r="N263" s="53" t="n">
        <f aca="false">IF(G263="","",MIN(1,G263+1.96*L263/100))</f>
        <v>0.627610385616491</v>
      </c>
      <c r="O263" s="52" t="n">
        <f aca="false">ROUND(S263*W263,0)</f>
        <v>63</v>
      </c>
      <c r="P263" s="52" t="n">
        <f aca="false">IF(F263="","",ROUND(SQRT((F263*L263/100)^2+(G263*O263)^2),0))</f>
        <v>40</v>
      </c>
      <c r="R263" s="54" t="n">
        <v>7.33024052327784</v>
      </c>
      <c r="S263" s="55" t="n">
        <f aca="false">U263*V263*$F$5</f>
        <v>705.860894941635</v>
      </c>
      <c r="T263" s="56" t="n">
        <f aca="false">MAX(0,MIN(1,R263/100+$D$5))</f>
        <v>0.580858512341193</v>
      </c>
      <c r="U263" s="56" t="n">
        <v>0.607976653696498</v>
      </c>
      <c r="V263" s="55" t="n">
        <v>1161</v>
      </c>
      <c r="W263" s="56" t="n">
        <v>0.0887445098984521</v>
      </c>
      <c r="X263" s="57" t="s">
        <v>135</v>
      </c>
      <c r="Y263" s="57" t="s">
        <v>130</v>
      </c>
    </row>
    <row r="264" customFormat="false" ht="15" hidden="false" customHeight="false" outlineLevel="0" collapsed="false">
      <c r="A264" s="25" t="s">
        <v>385</v>
      </c>
      <c r="B264" s="25" t="s">
        <v>418</v>
      </c>
      <c r="C264" s="25" t="s">
        <v>427</v>
      </c>
      <c r="D264" s="52" t="n">
        <f aca="false">ROUND(S264*T264,0)</f>
        <v>260</v>
      </c>
      <c r="E264" s="52" t="n">
        <f aca="false">ROUND(S264,0)-D264</f>
        <v>169</v>
      </c>
      <c r="F264" s="52" t="n">
        <f aca="false">IF(COUNTA(D264:E264)=0,"",SUM(D264:E264))</f>
        <v>429</v>
      </c>
      <c r="G264" s="53" t="n">
        <f aca="false">IF(OR(F264="",F264=0),"",D264/F264)</f>
        <v>0.606060606060606</v>
      </c>
      <c r="H264" s="53" t="n">
        <f aca="false">IF(OR(F264="",F264=0),"",E264/F264)</f>
        <v>0.393939393939394</v>
      </c>
      <c r="I264" s="25" t="s">
        <v>128</v>
      </c>
      <c r="J264" s="28" t="n">
        <v>3.71103496666907</v>
      </c>
      <c r="K264" s="28" t="n">
        <f aca="false">$K$8</f>
        <v>0.296197623206382</v>
      </c>
      <c r="L264" s="28" t="n">
        <f aca="false">SQRT(J264^2+K264^2)</f>
        <v>3.72283676191068</v>
      </c>
      <c r="M264" s="53" t="n">
        <f aca="false">IF(G264="","",MAX(0,G264-1.96*L264/100))</f>
        <v>0.533093005527157</v>
      </c>
      <c r="N264" s="53" t="n">
        <f aca="false">IF(G264="","",MIN(1,G264+1.96*L264/100))</f>
        <v>0.679028206594055</v>
      </c>
      <c r="O264" s="52" t="n">
        <f aca="false">ROUND(S264*W264,0)</f>
        <v>64</v>
      </c>
      <c r="P264" s="52" t="n">
        <f aca="false">IF(F264="","",ROUND(SQRT((F264*L264/100)^2+(G264*O264)^2),0))</f>
        <v>42</v>
      </c>
      <c r="R264" s="54" t="n">
        <v>9.72982663703746</v>
      </c>
      <c r="S264" s="55" t="n">
        <f aca="false">U264*V264*$F$5</f>
        <v>429.344262295082</v>
      </c>
      <c r="T264" s="56" t="n">
        <f aca="false">MAX(0,MIN(1,R264/100+$D$5))</f>
        <v>0.604854373478789</v>
      </c>
      <c r="U264" s="56" t="n">
        <v>0.55327868852459</v>
      </c>
      <c r="V264" s="55" t="n">
        <v>776</v>
      </c>
      <c r="W264" s="56" t="n">
        <v>0.148097331980838</v>
      </c>
      <c r="X264" s="57" t="s">
        <v>129</v>
      </c>
      <c r="Y264" s="57" t="s">
        <v>130</v>
      </c>
    </row>
    <row r="265" customFormat="false" ht="15" hidden="false" customHeight="false" outlineLevel="0" collapsed="false">
      <c r="A265" s="25" t="s">
        <v>385</v>
      </c>
      <c r="B265" s="25" t="s">
        <v>418</v>
      </c>
      <c r="C265" s="25" t="s">
        <v>428</v>
      </c>
      <c r="D265" s="52" t="n">
        <f aca="false">ROUND(S265*T265,0)</f>
        <v>282</v>
      </c>
      <c r="E265" s="52" t="n">
        <f aca="false">ROUND(S265,0)-D265</f>
        <v>262</v>
      </c>
      <c r="F265" s="52" t="n">
        <f aca="false">IF(COUNTA(D265:E265)=0,"",SUM(D265:E265))</f>
        <v>544</v>
      </c>
      <c r="G265" s="53" t="n">
        <f aca="false">IF(OR(F265="",F265=0),"",D265/F265)</f>
        <v>0.518382352941177</v>
      </c>
      <c r="H265" s="53" t="n">
        <f aca="false">IF(OR(F265="",F265=0),"",E265/F265)</f>
        <v>0.481617647058824</v>
      </c>
      <c r="I265" s="25" t="s">
        <v>128</v>
      </c>
      <c r="J265" s="28" t="n">
        <v>3.71103496666907</v>
      </c>
      <c r="K265" s="28" t="n">
        <f aca="false">$K$8</f>
        <v>0.296197623206382</v>
      </c>
      <c r="L265" s="28" t="n">
        <f aca="false">SQRT(J265^2+K265^2)</f>
        <v>3.72283676191068</v>
      </c>
      <c r="M265" s="53" t="n">
        <f aca="false">IF(G265="","",MAX(0,G265-1.96*L265/100))</f>
        <v>0.445414752407727</v>
      </c>
      <c r="N265" s="53" t="n">
        <f aca="false">IF(G265="","",MIN(1,G265+1.96*L265/100))</f>
        <v>0.591349953474626</v>
      </c>
      <c r="O265" s="52" t="n">
        <f aca="false">ROUND(S265*W265,0)</f>
        <v>81</v>
      </c>
      <c r="P265" s="52" t="n">
        <f aca="false">IF(F265="","",ROUND(SQRT((F265*L265/100)^2+(G265*O265)^2),0))</f>
        <v>47</v>
      </c>
      <c r="R265" s="54" t="n">
        <v>1.18385690058591</v>
      </c>
      <c r="S265" s="55" t="n">
        <f aca="false">U265*V265*$F$5</f>
        <v>543.75093399751</v>
      </c>
      <c r="T265" s="56" t="n">
        <f aca="false">MAX(0,MIN(1,R265/100+$D$5))</f>
        <v>0.519394676114274</v>
      </c>
      <c r="U265" s="56" t="n">
        <v>0.687422166874222</v>
      </c>
      <c r="V265" s="55" t="n">
        <v>791</v>
      </c>
      <c r="W265" s="56" t="n">
        <v>0.148097331980838</v>
      </c>
      <c r="X265" s="57" t="s">
        <v>129</v>
      </c>
      <c r="Y265" s="57" t="s">
        <v>130</v>
      </c>
    </row>
    <row r="266" customFormat="false" ht="15" hidden="false" customHeight="false" outlineLevel="0" collapsed="false">
      <c r="A266" s="25" t="s">
        <v>385</v>
      </c>
      <c r="B266" s="25" t="s">
        <v>418</v>
      </c>
      <c r="C266" s="25" t="s">
        <v>429</v>
      </c>
      <c r="D266" s="52" t="n">
        <f aca="false">ROUND(S266*T266,0)</f>
        <v>353</v>
      </c>
      <c r="E266" s="52" t="n">
        <f aca="false">ROUND(S266,0)-D266</f>
        <v>300</v>
      </c>
      <c r="F266" s="52" t="n">
        <f aca="false">IF(COUNTA(D266:E266)=0,"",SUM(D266:E266))</f>
        <v>653</v>
      </c>
      <c r="G266" s="53" t="n">
        <f aca="false">IF(OR(F266="",F266=0),"",D266/F266)</f>
        <v>0.540581929555896</v>
      </c>
      <c r="H266" s="53" t="n">
        <f aca="false">IF(OR(F266="",F266=0),"",E266/F266)</f>
        <v>0.459418070444104</v>
      </c>
      <c r="I266" s="25" t="s">
        <v>128</v>
      </c>
      <c r="J266" s="28" t="n">
        <v>2.37310914384046</v>
      </c>
      <c r="K266" s="28" t="n">
        <f aca="false">$K$8</f>
        <v>0.296197623206382</v>
      </c>
      <c r="L266" s="28" t="n">
        <f aca="false">SQRT(J266^2+K266^2)</f>
        <v>2.3915225360787</v>
      </c>
      <c r="M266" s="53" t="n">
        <f aca="false">IF(G266="","",MAX(0,G266-1.96*L266/100))</f>
        <v>0.493708087848753</v>
      </c>
      <c r="N266" s="53" t="n">
        <f aca="false">IF(G266="","",MIN(1,G266+1.96*L266/100))</f>
        <v>0.587455771263039</v>
      </c>
      <c r="O266" s="52" t="n">
        <f aca="false">ROUND(S266*W266,0)</f>
        <v>58</v>
      </c>
      <c r="P266" s="52" t="n">
        <f aca="false">IF(F266="","",ROUND(SQRT((F266*L266/100)^2+(G266*O266)^2),0))</f>
        <v>35</v>
      </c>
      <c r="R266" s="54" t="n">
        <v>3.29031200599786</v>
      </c>
      <c r="S266" s="55" t="n">
        <f aca="false">U266*V266*$F$5</f>
        <v>652.778593913956</v>
      </c>
      <c r="T266" s="56" t="n">
        <f aca="false">MAX(0,MIN(1,R266/100+$D$5))</f>
        <v>0.540459227168393</v>
      </c>
      <c r="U266" s="56" t="n">
        <v>0.677859391395593</v>
      </c>
      <c r="V266" s="55" t="n">
        <v>963</v>
      </c>
      <c r="W266" s="56" t="n">
        <v>0.0887445098984521</v>
      </c>
      <c r="X266" s="57" t="s">
        <v>135</v>
      </c>
      <c r="Y266" s="57" t="s">
        <v>130</v>
      </c>
    </row>
    <row r="267" customFormat="false" ht="15" hidden="false" customHeight="false" outlineLevel="0" collapsed="false">
      <c r="A267" s="25" t="s">
        <v>385</v>
      </c>
      <c r="B267" s="25" t="s">
        <v>418</v>
      </c>
      <c r="C267" s="25" t="s">
        <v>430</v>
      </c>
      <c r="D267" s="52" t="n">
        <f aca="false">ROUND(S267*T267,0)</f>
        <v>440</v>
      </c>
      <c r="E267" s="52" t="n">
        <f aca="false">ROUND(S267,0)-D267</f>
        <v>330</v>
      </c>
      <c r="F267" s="52" t="n">
        <f aca="false">IF(COUNTA(D267:E267)=0,"",SUM(D267:E267))</f>
        <v>770</v>
      </c>
      <c r="G267" s="53" t="n">
        <f aca="false">IF(OR(F267="",F267=0),"",D267/F267)</f>
        <v>0.571428571428571</v>
      </c>
      <c r="H267" s="53" t="n">
        <f aca="false">IF(OR(F267="",F267=0),"",E267/F267)</f>
        <v>0.428571428571429</v>
      </c>
      <c r="I267" s="25" t="s">
        <v>128</v>
      </c>
      <c r="J267" s="28" t="n">
        <v>2.37310914384046</v>
      </c>
      <c r="K267" s="28" t="n">
        <f aca="false">$K$8</f>
        <v>0.296197623206382</v>
      </c>
      <c r="L267" s="28" t="n">
        <f aca="false">SQRT(J267^2+K267^2)</f>
        <v>2.3915225360787</v>
      </c>
      <c r="M267" s="53" t="n">
        <f aca="false">IF(G267="","",MAX(0,G267-1.96*L267/100))</f>
        <v>0.524554729721429</v>
      </c>
      <c r="N267" s="53" t="n">
        <f aca="false">IF(G267="","",MIN(1,G267+1.96*L267/100))</f>
        <v>0.618302413135714</v>
      </c>
      <c r="O267" s="52" t="n">
        <f aca="false">ROUND(S267*W267,0)</f>
        <v>68</v>
      </c>
      <c r="P267" s="52" t="n">
        <f aca="false">IF(F267="","",ROUND(SQRT((F267*L267/100)^2+(G267*O267)^2),0))</f>
        <v>43</v>
      </c>
      <c r="R267" s="54" t="n">
        <v>6.40137659820891</v>
      </c>
      <c r="S267" s="55" t="n">
        <f aca="false">U267*V267*$F$5</f>
        <v>770.401725790987</v>
      </c>
      <c r="T267" s="56" t="n">
        <f aca="false">MAX(0,MIN(1,R267/100+$D$5))</f>
        <v>0.571569873090504</v>
      </c>
      <c r="U267" s="56" t="n">
        <v>0.674017257909875</v>
      </c>
      <c r="V267" s="55" t="n">
        <v>1143</v>
      </c>
      <c r="W267" s="56" t="n">
        <v>0.0887445098984521</v>
      </c>
      <c r="X267" s="57" t="s">
        <v>135</v>
      </c>
      <c r="Y267" s="57" t="s">
        <v>130</v>
      </c>
    </row>
    <row r="268" customFormat="false" ht="15" hidden="false" customHeight="false" outlineLevel="0" collapsed="false">
      <c r="A268" s="25" t="s">
        <v>385</v>
      </c>
      <c r="B268" s="25" t="s">
        <v>418</v>
      </c>
      <c r="C268" s="25" t="s">
        <v>431</v>
      </c>
      <c r="D268" s="52" t="n">
        <f aca="false">ROUND(S268*T268,0)</f>
        <v>345</v>
      </c>
      <c r="E268" s="52" t="n">
        <f aca="false">ROUND(S268,0)-D268</f>
        <v>322</v>
      </c>
      <c r="F268" s="52" t="n">
        <f aca="false">IF(COUNTA(D268:E268)=0,"",SUM(D268:E268))</f>
        <v>667</v>
      </c>
      <c r="G268" s="53" t="n">
        <f aca="false">IF(OR(F268="",F268=0),"",D268/F268)</f>
        <v>0.517241379310345</v>
      </c>
      <c r="H268" s="53" t="n">
        <f aca="false">IF(OR(F268="",F268=0),"",E268/F268)</f>
        <v>0.482758620689655</v>
      </c>
      <c r="I268" s="25" t="s">
        <v>128</v>
      </c>
      <c r="J268" s="28" t="n">
        <v>2.37310914384046</v>
      </c>
      <c r="K268" s="28" t="n">
        <f aca="false">$K$8</f>
        <v>0.296197623206382</v>
      </c>
      <c r="L268" s="28" t="n">
        <f aca="false">SQRT(J268^2+K268^2)</f>
        <v>2.3915225360787</v>
      </c>
      <c r="M268" s="53" t="n">
        <f aca="false">IF(G268="","",MAX(0,G268-1.96*L268/100))</f>
        <v>0.470367537603202</v>
      </c>
      <c r="N268" s="53" t="n">
        <f aca="false">IF(G268="","",MIN(1,G268+1.96*L268/100))</f>
        <v>0.564115221017488</v>
      </c>
      <c r="O268" s="52" t="n">
        <f aca="false">ROUND(S268*W268,0)</f>
        <v>59</v>
      </c>
      <c r="P268" s="52" t="n">
        <f aca="false">IF(F268="","",ROUND(SQRT((F268*L268/100)^2+(G268*O268)^2),0))</f>
        <v>34</v>
      </c>
      <c r="R268" s="54" t="n">
        <v>0.947355116545983</v>
      </c>
      <c r="S268" s="55" t="n">
        <f aca="false">U268*V268*$F$5</f>
        <v>666.944444444445</v>
      </c>
      <c r="T268" s="56" t="n">
        <f aca="false">MAX(0,MIN(1,R268/100+$D$5))</f>
        <v>0.517029658273875</v>
      </c>
      <c r="U268" s="56" t="n">
        <v>0.614695340501792</v>
      </c>
      <c r="V268" s="55" t="n">
        <v>1085</v>
      </c>
      <c r="W268" s="56" t="n">
        <v>0.0887445098984521</v>
      </c>
      <c r="X268" s="57" t="s">
        <v>135</v>
      </c>
      <c r="Y268" s="57" t="s">
        <v>130</v>
      </c>
    </row>
    <row r="269" customFormat="false" ht="15" hidden="false" customHeight="false" outlineLevel="0" collapsed="false">
      <c r="A269" s="25" t="s">
        <v>385</v>
      </c>
      <c r="B269" s="25" t="s">
        <v>418</v>
      </c>
      <c r="C269" s="25" t="s">
        <v>432</v>
      </c>
      <c r="D269" s="52" t="n">
        <f aca="false">ROUND(S269*T269,0)</f>
        <v>764</v>
      </c>
      <c r="E269" s="52" t="n">
        <f aca="false">ROUND(S269,0)-D269</f>
        <v>562</v>
      </c>
      <c r="F269" s="52" t="n">
        <f aca="false">IF(COUNTA(D269:E269)=0,"",SUM(D269:E269))</f>
        <v>1326</v>
      </c>
      <c r="G269" s="53" t="n">
        <f aca="false">IF(OR(F269="",F269=0),"",D269/F269)</f>
        <v>0.576168929110106</v>
      </c>
      <c r="H269" s="53" t="n">
        <f aca="false">IF(OR(F269="",F269=0),"",E269/F269)</f>
        <v>0.423831070889894</v>
      </c>
      <c r="I269" s="25" t="s">
        <v>128</v>
      </c>
      <c r="J269" s="28" t="n">
        <v>1.88612725432908</v>
      </c>
      <c r="K269" s="28" t="n">
        <f aca="false">$K$8</f>
        <v>0.296197623206382</v>
      </c>
      <c r="L269" s="28" t="n">
        <f aca="false">SQRT(J269^2+K269^2)</f>
        <v>1.909243057213</v>
      </c>
      <c r="M269" s="53" t="n">
        <f aca="false">IF(G269="","",MAX(0,G269-1.96*L269/100))</f>
        <v>0.538747765188731</v>
      </c>
      <c r="N269" s="53" t="n">
        <f aca="false">IF(G269="","",MIN(1,G269+1.96*L269/100))</f>
        <v>0.61359009303148</v>
      </c>
      <c r="O269" s="52" t="n">
        <f aca="false">ROUND(S269*W269,0)</f>
        <v>91</v>
      </c>
      <c r="P269" s="52" t="n">
        <f aca="false">IF(F269="","",ROUND(SQRT((F269*L269/100)^2+(G269*O269)^2),0))</f>
        <v>58</v>
      </c>
      <c r="R269" s="54" t="n">
        <v>6.87880342274939</v>
      </c>
      <c r="S269" s="55" t="n">
        <f aca="false">U269*V269*$F$5</f>
        <v>1325.7421875</v>
      </c>
      <c r="T269" s="56" t="n">
        <f aca="false">MAX(0,MIN(1,R269/100+$D$5))</f>
        <v>0.576344141335909</v>
      </c>
      <c r="U269" s="56" t="n">
        <v>0.61376953125</v>
      </c>
      <c r="V269" s="55" t="n">
        <v>2160</v>
      </c>
      <c r="W269" s="56" t="n">
        <v>0.0684752145190268</v>
      </c>
      <c r="X269" s="57" t="s">
        <v>168</v>
      </c>
      <c r="Y269" s="57" t="s">
        <v>130</v>
      </c>
    </row>
    <row r="270" customFormat="false" ht="15" hidden="false" customHeight="false" outlineLevel="0" collapsed="false">
      <c r="A270" s="25" t="s">
        <v>385</v>
      </c>
      <c r="B270" s="25" t="s">
        <v>418</v>
      </c>
      <c r="C270" s="25" t="s">
        <v>433</v>
      </c>
      <c r="D270" s="52" t="n">
        <f aca="false">ROUND(S270*T270,0)</f>
        <v>414</v>
      </c>
      <c r="E270" s="52" t="n">
        <f aca="false">ROUND(S270,0)-D270</f>
        <v>388</v>
      </c>
      <c r="F270" s="52" t="n">
        <f aca="false">IF(COUNTA(D270:E270)=0,"",SUM(D270:E270))</f>
        <v>802</v>
      </c>
      <c r="G270" s="53" t="n">
        <f aca="false">IF(OR(F270="",F270=0),"",D270/F270)</f>
        <v>0.516209476309227</v>
      </c>
      <c r="H270" s="53" t="n">
        <f aca="false">IF(OR(F270="",F270=0),"",E270/F270)</f>
        <v>0.483790523690773</v>
      </c>
      <c r="I270" s="25" t="s">
        <v>128</v>
      </c>
      <c r="J270" s="28" t="n">
        <v>2.37310914384046</v>
      </c>
      <c r="K270" s="28" t="n">
        <f aca="false">$K$8</f>
        <v>0.296197623206382</v>
      </c>
      <c r="L270" s="28" t="n">
        <f aca="false">SQRT(J270^2+K270^2)</f>
        <v>2.3915225360787</v>
      </c>
      <c r="M270" s="53" t="n">
        <f aca="false">IF(G270="","",MAX(0,G270-1.96*L270/100))</f>
        <v>0.469335634602084</v>
      </c>
      <c r="N270" s="53" t="n">
        <f aca="false">IF(G270="","",MIN(1,G270+1.96*L270/100))</f>
        <v>0.56308331801637</v>
      </c>
      <c r="O270" s="52" t="n">
        <f aca="false">ROUND(S270*W270,0)</f>
        <v>71</v>
      </c>
      <c r="P270" s="52" t="n">
        <f aca="false">IF(F270="","",ROUND(SQRT((F270*L270/100)^2+(G270*O270)^2),0))</f>
        <v>41</v>
      </c>
      <c r="R270" s="54" t="n">
        <v>0.856856827160008</v>
      </c>
      <c r="S270" s="55" t="n">
        <f aca="false">U270*V270*$F$5</f>
        <v>802.258193445244</v>
      </c>
      <c r="T270" s="56" t="n">
        <f aca="false">MAX(0,MIN(1,R270/100+$D$5))</f>
        <v>0.516124675380015</v>
      </c>
      <c r="U270" s="56" t="n">
        <v>0.619504396482814</v>
      </c>
      <c r="V270" s="55" t="n">
        <v>1295</v>
      </c>
      <c r="W270" s="56" t="n">
        <v>0.0887445098984521</v>
      </c>
      <c r="X270" s="57" t="s">
        <v>135</v>
      </c>
      <c r="Y270" s="57" t="s">
        <v>130</v>
      </c>
    </row>
    <row r="271" customFormat="false" ht="15" hidden="false" customHeight="false" outlineLevel="0" collapsed="false">
      <c r="A271" s="25" t="s">
        <v>385</v>
      </c>
      <c r="B271" s="25" t="s">
        <v>418</v>
      </c>
      <c r="C271" s="25" t="s">
        <v>434</v>
      </c>
      <c r="D271" s="52" t="n">
        <f aca="false">ROUND(S271*T271,0)</f>
        <v>413</v>
      </c>
      <c r="E271" s="52" t="n">
        <f aca="false">ROUND(S271,0)-D271</f>
        <v>370</v>
      </c>
      <c r="F271" s="52" t="n">
        <f aca="false">IF(COUNTA(D271:E271)=0,"",SUM(D271:E271))</f>
        <v>783</v>
      </c>
      <c r="G271" s="53" t="n">
        <f aca="false">IF(OR(F271="",F271=0),"",D271/F271)</f>
        <v>0.527458492975734</v>
      </c>
      <c r="H271" s="53" t="n">
        <f aca="false">IF(OR(F271="",F271=0),"",E271/F271)</f>
        <v>0.472541507024266</v>
      </c>
      <c r="I271" s="25" t="s">
        <v>128</v>
      </c>
      <c r="J271" s="28" t="n">
        <v>2.37310914384046</v>
      </c>
      <c r="K271" s="28" t="n">
        <f aca="false">$K$8</f>
        <v>0.296197623206382</v>
      </c>
      <c r="L271" s="28" t="n">
        <f aca="false">SQRT(J271^2+K271^2)</f>
        <v>2.3915225360787</v>
      </c>
      <c r="M271" s="53" t="n">
        <f aca="false">IF(G271="","",MAX(0,G271-1.96*L271/100))</f>
        <v>0.480584651268592</v>
      </c>
      <c r="N271" s="53" t="n">
        <f aca="false">IF(G271="","",MIN(1,G271+1.96*L271/100))</f>
        <v>0.574332334682877</v>
      </c>
      <c r="O271" s="52" t="n">
        <f aca="false">ROUND(S271*W271,0)</f>
        <v>69</v>
      </c>
      <c r="P271" s="52" t="n">
        <f aca="false">IF(F271="","",ROUND(SQRT((F271*L271/100)^2+(G271*O271)^2),0))</f>
        <v>41</v>
      </c>
      <c r="R271" s="54" t="n">
        <v>2.00074881586118</v>
      </c>
      <c r="S271" s="55" t="n">
        <f aca="false">U271*V271*$F$5</f>
        <v>782.654941373534</v>
      </c>
      <c r="T271" s="56" t="n">
        <f aca="false">MAX(0,MIN(1,R271/100+$D$5))</f>
        <v>0.527563595267027</v>
      </c>
      <c r="U271" s="56" t="n">
        <v>0.654941373534338</v>
      </c>
      <c r="V271" s="55" t="n">
        <v>1195</v>
      </c>
      <c r="W271" s="56" t="n">
        <v>0.0887445098984521</v>
      </c>
      <c r="X271" s="57" t="s">
        <v>135</v>
      </c>
      <c r="Y271" s="57" t="s">
        <v>130</v>
      </c>
    </row>
    <row r="272" customFormat="false" ht="15" hidden="false" customHeight="false" outlineLevel="0" collapsed="false">
      <c r="A272" s="25" t="s">
        <v>385</v>
      </c>
      <c r="B272" s="25" t="s">
        <v>418</v>
      </c>
      <c r="C272" s="25" t="s">
        <v>435</v>
      </c>
      <c r="D272" s="52" t="n">
        <f aca="false">ROUND(S272*T272,0)</f>
        <v>403</v>
      </c>
      <c r="E272" s="52" t="n">
        <f aca="false">ROUND(S272,0)-D272</f>
        <v>354</v>
      </c>
      <c r="F272" s="52" t="n">
        <f aca="false">IF(COUNTA(D272:E272)=0,"",SUM(D272:E272))</f>
        <v>757</v>
      </c>
      <c r="G272" s="53" t="n">
        <f aca="false">IF(OR(F272="",F272=0),"",D272/F272)</f>
        <v>0.532364597093791</v>
      </c>
      <c r="H272" s="53" t="n">
        <f aca="false">IF(OR(F272="",F272=0),"",E272/F272)</f>
        <v>0.467635402906209</v>
      </c>
      <c r="I272" s="25" t="s">
        <v>128</v>
      </c>
      <c r="J272" s="28" t="n">
        <v>2.37310914384046</v>
      </c>
      <c r="K272" s="28" t="n">
        <f aca="false">$K$8</f>
        <v>0.296197623206382</v>
      </c>
      <c r="L272" s="28" t="n">
        <f aca="false">SQRT(J272^2+K272^2)</f>
        <v>2.3915225360787</v>
      </c>
      <c r="M272" s="53" t="n">
        <f aca="false">IF(G272="","",MAX(0,G272-1.96*L272/100))</f>
        <v>0.485490755386649</v>
      </c>
      <c r="N272" s="53" t="n">
        <f aca="false">IF(G272="","",MIN(1,G272+1.96*L272/100))</f>
        <v>0.579238438800934</v>
      </c>
      <c r="O272" s="52" t="n">
        <f aca="false">ROUND(S272*W272,0)</f>
        <v>67</v>
      </c>
      <c r="P272" s="52" t="n">
        <f aca="false">IF(F272="","",ROUND(SQRT((F272*L272/100)^2+(G272*O272)^2),0))</f>
        <v>40</v>
      </c>
      <c r="R272" s="54" t="n">
        <v>2.4157845433131</v>
      </c>
      <c r="S272" s="55" t="n">
        <f aca="false">U272*V272*$F$5</f>
        <v>757.186813186813</v>
      </c>
      <c r="T272" s="56" t="n">
        <f aca="false">MAX(0,MIN(1,R272/100+$D$5))</f>
        <v>0.531713952541546</v>
      </c>
      <c r="U272" s="56" t="n">
        <v>0.637362637362637</v>
      </c>
      <c r="V272" s="55" t="n">
        <v>1188</v>
      </c>
      <c r="W272" s="56" t="n">
        <v>0.0887445098984521</v>
      </c>
      <c r="X272" s="57" t="s">
        <v>135</v>
      </c>
      <c r="Y272" s="57" t="s">
        <v>130</v>
      </c>
    </row>
    <row r="273" customFormat="false" ht="15" hidden="false" customHeight="false" outlineLevel="0" collapsed="false">
      <c r="A273" s="25" t="s">
        <v>385</v>
      </c>
      <c r="B273" s="25" t="s">
        <v>436</v>
      </c>
      <c r="C273" s="25" t="s">
        <v>437</v>
      </c>
      <c r="D273" s="52" t="n">
        <f aca="false">ROUND(S273*T273,0)</f>
        <v>710</v>
      </c>
      <c r="E273" s="52" t="n">
        <f aca="false">ROUND(S273,0)-D273</f>
        <v>1148</v>
      </c>
      <c r="F273" s="52" t="n">
        <f aca="false">IF(COUNTA(D273:E273)=0,"",SUM(D273:E273))</f>
        <v>1858</v>
      </c>
      <c r="G273" s="53" t="n">
        <f aca="false">IF(OR(F273="",F273=0),"",D273/F273)</f>
        <v>0.382131324004306</v>
      </c>
      <c r="H273" s="53" t="n">
        <f aca="false">IF(OR(F273="",F273=0),"",E273/F273)</f>
        <v>0.617868675995694</v>
      </c>
      <c r="I273" s="25" t="s">
        <v>128</v>
      </c>
      <c r="J273" s="28" t="n">
        <v>1.88612725432908</v>
      </c>
      <c r="K273" s="28" t="n">
        <f aca="false">$K$8</f>
        <v>0.296197623206382</v>
      </c>
      <c r="L273" s="28" t="n">
        <f aca="false">SQRT(J273^2+K273^2)</f>
        <v>1.909243057213</v>
      </c>
      <c r="M273" s="53" t="n">
        <f aca="false">IF(G273="","",MAX(0,G273-1.96*L273/100))</f>
        <v>0.344710160082931</v>
      </c>
      <c r="N273" s="53" t="n">
        <f aca="false">IF(G273="","",MIN(1,G273+1.96*L273/100))</f>
        <v>0.419552487925681</v>
      </c>
      <c r="O273" s="52" t="n">
        <f aca="false">ROUND(S273*W273,0)</f>
        <v>127</v>
      </c>
      <c r="P273" s="52" t="n">
        <f aca="false">IF(F273="","",ROUND(SQRT((F273*L273/100)^2+(G273*O273)^2),0))</f>
        <v>60</v>
      </c>
      <c r="R273" s="54" t="n">
        <v>-12.5504224196193</v>
      </c>
      <c r="S273" s="55" t="n">
        <f aca="false">U273*V273*$F$5</f>
        <v>1857.89473684211</v>
      </c>
      <c r="T273" s="56" t="n">
        <f aca="false">MAX(0,MIN(1,R273/100+$D$5))</f>
        <v>0.382051882912222</v>
      </c>
      <c r="U273" s="56" t="n">
        <v>0.657894736842106</v>
      </c>
      <c r="V273" s="55" t="n">
        <v>2824</v>
      </c>
      <c r="W273" s="56" t="n">
        <v>0.0684752145190268</v>
      </c>
      <c r="X273" s="57" t="s">
        <v>168</v>
      </c>
      <c r="Y273" s="57" t="s">
        <v>130</v>
      </c>
    </row>
    <row r="274" customFormat="false" ht="15" hidden="false" customHeight="false" outlineLevel="0" collapsed="false">
      <c r="A274" s="25" t="s">
        <v>385</v>
      </c>
      <c r="B274" s="25" t="s">
        <v>436</v>
      </c>
      <c r="C274" s="25" t="s">
        <v>438</v>
      </c>
      <c r="D274" s="52" t="n">
        <f aca="false">ROUND(S274*T274,0)</f>
        <v>644</v>
      </c>
      <c r="E274" s="52" t="n">
        <f aca="false">ROUND(S274,0)-D274</f>
        <v>956</v>
      </c>
      <c r="F274" s="52" t="n">
        <f aca="false">IF(COUNTA(D274:E274)=0,"",SUM(D274:E274))</f>
        <v>1600</v>
      </c>
      <c r="G274" s="53" t="n">
        <f aca="false">IF(OR(F274="",F274=0),"",D274/F274)</f>
        <v>0.4025</v>
      </c>
      <c r="H274" s="53" t="n">
        <f aca="false">IF(OR(F274="",F274=0),"",E274/F274)</f>
        <v>0.5975</v>
      </c>
      <c r="I274" s="25" t="s">
        <v>128</v>
      </c>
      <c r="J274" s="28" t="n">
        <v>1.88612725432908</v>
      </c>
      <c r="K274" s="28" t="n">
        <f aca="false">$K$8</f>
        <v>0.296197623206382</v>
      </c>
      <c r="L274" s="28" t="n">
        <f aca="false">SQRT(J274^2+K274^2)</f>
        <v>1.909243057213</v>
      </c>
      <c r="M274" s="53" t="n">
        <f aca="false">IF(G274="","",MAX(0,G274-1.96*L274/100))</f>
        <v>0.365078836078625</v>
      </c>
      <c r="N274" s="53" t="n">
        <f aca="false">IF(G274="","",MIN(1,G274+1.96*L274/100))</f>
        <v>0.439921163921375</v>
      </c>
      <c r="O274" s="52" t="n">
        <f aca="false">ROUND(S274*W274,0)</f>
        <v>110</v>
      </c>
      <c r="P274" s="52" t="n">
        <f aca="false">IF(F274="","",ROUND(SQRT((F274*L274/100)^2+(G274*O274)^2),0))</f>
        <v>54</v>
      </c>
      <c r="R274" s="54" t="n">
        <v>-10.5342263893878</v>
      </c>
      <c r="S274" s="55" t="n">
        <f aca="false">U274*V274*$F$5</f>
        <v>1600.33208176888</v>
      </c>
      <c r="T274" s="56" t="n">
        <f aca="false">MAX(0,MIN(1,R274/100+$D$5))</f>
        <v>0.402213843214537</v>
      </c>
      <c r="U274" s="56" t="n">
        <v>0.667918231122236</v>
      </c>
      <c r="V274" s="55" t="n">
        <v>2396</v>
      </c>
      <c r="W274" s="56" t="n">
        <v>0.0684752145190268</v>
      </c>
      <c r="X274" s="57" t="s">
        <v>168</v>
      </c>
      <c r="Y274" s="57" t="s">
        <v>130</v>
      </c>
    </row>
    <row r="275" customFormat="false" ht="15" hidden="false" customHeight="false" outlineLevel="0" collapsed="false">
      <c r="A275" s="25" t="s">
        <v>385</v>
      </c>
      <c r="B275" s="25" t="s">
        <v>436</v>
      </c>
      <c r="C275" s="25" t="s">
        <v>439</v>
      </c>
      <c r="D275" s="52" t="n">
        <f aca="false">ROUND(S275*T275,0)</f>
        <v>330</v>
      </c>
      <c r="E275" s="52" t="n">
        <f aca="false">ROUND(S275,0)-D275</f>
        <v>633</v>
      </c>
      <c r="F275" s="52" t="n">
        <f aca="false">IF(COUNTA(D275:E275)=0,"",SUM(D275:E275))</f>
        <v>963</v>
      </c>
      <c r="G275" s="53" t="n">
        <f aca="false">IF(OR(F275="",F275=0),"",D275/F275)</f>
        <v>0.342679127725857</v>
      </c>
      <c r="H275" s="53" t="n">
        <f aca="false">IF(OR(F275="",F275=0),"",E275/F275)</f>
        <v>0.657320872274143</v>
      </c>
      <c r="I275" s="25" t="s">
        <v>128</v>
      </c>
      <c r="J275" s="28" t="n">
        <v>1.88612725432908</v>
      </c>
      <c r="K275" s="28" t="n">
        <f aca="false">$K$8</f>
        <v>0.296197623206382</v>
      </c>
      <c r="L275" s="28" t="n">
        <f aca="false">SQRT(J275^2+K275^2)</f>
        <v>1.909243057213</v>
      </c>
      <c r="M275" s="53" t="n">
        <f aca="false">IF(G275="","",MAX(0,G275-1.96*L275/100))</f>
        <v>0.305257963804482</v>
      </c>
      <c r="N275" s="53" t="n">
        <f aca="false">IF(G275="","",MIN(1,G275+1.96*L275/100))</f>
        <v>0.380100291647232</v>
      </c>
      <c r="O275" s="52" t="n">
        <f aca="false">ROUND(S275*W275,0)</f>
        <v>66</v>
      </c>
      <c r="P275" s="52" t="n">
        <f aca="false">IF(F275="","",ROUND(SQRT((F275*L275/100)^2+(G275*O275)^2),0))</f>
        <v>29</v>
      </c>
      <c r="R275" s="54" t="n">
        <v>-16.5002518991642</v>
      </c>
      <c r="S275" s="55" t="n">
        <f aca="false">U275*V275*$F$5</f>
        <v>963.38125</v>
      </c>
      <c r="T275" s="56" t="n">
        <f aca="false">MAX(0,MIN(1,R275/100+$D$5))</f>
        <v>0.342553588116773</v>
      </c>
      <c r="U275" s="56" t="n">
        <v>0.640972222222222</v>
      </c>
      <c r="V275" s="55" t="n">
        <v>1503</v>
      </c>
      <c r="W275" s="56" t="n">
        <v>0.0684752145190268</v>
      </c>
      <c r="X275" s="57" t="s">
        <v>168</v>
      </c>
      <c r="Y275" s="57" t="s">
        <v>130</v>
      </c>
    </row>
    <row r="276" customFormat="false" ht="15" hidden="false" customHeight="false" outlineLevel="0" collapsed="false">
      <c r="A276" s="25" t="s">
        <v>385</v>
      </c>
      <c r="B276" s="25" t="s">
        <v>440</v>
      </c>
      <c r="C276" s="25" t="s">
        <v>440</v>
      </c>
      <c r="D276" s="52" t="n">
        <f aca="false">ROUND(S276*T276,0)</f>
        <v>33</v>
      </c>
      <c r="E276" s="52" t="n">
        <f aca="false">ROUND(S276,0)-D276</f>
        <v>64</v>
      </c>
      <c r="F276" s="52" t="n">
        <f aca="false">IF(COUNTA(D276:E276)=0,"",SUM(D276:E276))</f>
        <v>97</v>
      </c>
      <c r="G276" s="53" t="n">
        <f aca="false">IF(OR(F276="",F276=0),"",D276/F276)</f>
        <v>0.34020618556701</v>
      </c>
      <c r="H276" s="53" t="n">
        <f aca="false">IF(OR(F276="",F276=0),"",E276/F276)</f>
        <v>0.65979381443299</v>
      </c>
      <c r="I276" s="25" t="s">
        <v>128</v>
      </c>
      <c r="J276" s="28" t="n">
        <v>3.71103496666907</v>
      </c>
      <c r="K276" s="28" t="n">
        <f aca="false">$K$8</f>
        <v>0.296197623206382</v>
      </c>
      <c r="L276" s="28" t="n">
        <f aca="false">SQRT(J276^2+K276^2)</f>
        <v>3.72283676191068</v>
      </c>
      <c r="M276" s="53" t="n">
        <f aca="false">IF(G276="","",MAX(0,G276-1.96*L276/100))</f>
        <v>0.267238585033561</v>
      </c>
      <c r="N276" s="53" t="n">
        <f aca="false">IF(G276="","",MIN(1,G276+1.96*L276/100))</f>
        <v>0.41317378610046</v>
      </c>
      <c r="O276" s="52" t="n">
        <f aca="false">ROUND(S276*W276,0)</f>
        <v>14</v>
      </c>
      <c r="P276" s="52" t="n">
        <f aca="false">IF(F276="","",ROUND(SQRT((F276*L276/100)^2+(G276*O276)^2),0))</f>
        <v>6</v>
      </c>
      <c r="R276" s="54" t="n">
        <v>-16.4838434236128</v>
      </c>
      <c r="S276" s="55" t="n">
        <f aca="false">U276*V276*$F$5</f>
        <v>97.2992700729927</v>
      </c>
      <c r="T276" s="56" t="n">
        <f aca="false">MAX(0,MIN(1,R276/100+$D$5))</f>
        <v>0.342717672872287</v>
      </c>
      <c r="U276" s="56" t="n">
        <v>0.627737226277372</v>
      </c>
      <c r="V276" s="55" t="n">
        <v>155</v>
      </c>
      <c r="W276" s="56" t="n">
        <v>0.148097331980838</v>
      </c>
      <c r="X276" s="57" t="s">
        <v>129</v>
      </c>
      <c r="Y276" s="57" t="s">
        <v>130</v>
      </c>
    </row>
    <row r="277" customFormat="false" ht="15" hidden="false" customHeight="false" outlineLevel="0" collapsed="false">
      <c r="A277" s="25" t="s">
        <v>385</v>
      </c>
      <c r="B277" s="25" t="s">
        <v>441</v>
      </c>
      <c r="C277" s="25" t="s">
        <v>442</v>
      </c>
      <c r="D277" s="52" t="n">
        <f aca="false">ROUND(S277*T277,0)</f>
        <v>602</v>
      </c>
      <c r="E277" s="52" t="n">
        <f aca="false">ROUND(S277,0)-D277</f>
        <v>815</v>
      </c>
      <c r="F277" s="52" t="n">
        <f aca="false">IF(COUNTA(D277:E277)=0,"",SUM(D277:E277))</f>
        <v>1417</v>
      </c>
      <c r="G277" s="53" t="n">
        <f aca="false">IF(OR(F277="",F277=0),"",D277/F277)</f>
        <v>0.42484121383204</v>
      </c>
      <c r="H277" s="53" t="n">
        <f aca="false">IF(OR(F277="",F277=0),"",E277/F277)</f>
        <v>0.575158786167961</v>
      </c>
      <c r="I277" s="25" t="s">
        <v>128</v>
      </c>
      <c r="J277" s="28" t="n">
        <v>1.88612725432908</v>
      </c>
      <c r="K277" s="28" t="n">
        <f aca="false">$K$8</f>
        <v>0.296197623206382</v>
      </c>
      <c r="L277" s="28" t="n">
        <f aca="false">SQRT(J277^2+K277^2)</f>
        <v>1.909243057213</v>
      </c>
      <c r="M277" s="53" t="n">
        <f aca="false">IF(G277="","",MAX(0,G277-1.96*L277/100))</f>
        <v>0.387420049910665</v>
      </c>
      <c r="N277" s="53" t="n">
        <f aca="false">IF(G277="","",MIN(1,G277+1.96*L277/100))</f>
        <v>0.462262377753414</v>
      </c>
      <c r="O277" s="52" t="n">
        <f aca="false">ROUND(S277*W277,0)</f>
        <v>97</v>
      </c>
      <c r="P277" s="52" t="n">
        <f aca="false">IF(F277="","",ROUND(SQRT((F277*L277/100)^2+(G277*O277)^2),0))</f>
        <v>49</v>
      </c>
      <c r="R277" s="54" t="n">
        <v>-8.29634698398501</v>
      </c>
      <c r="S277" s="55" t="n">
        <f aca="false">U277*V277*$F$5</f>
        <v>1417.27954319762</v>
      </c>
      <c r="T277" s="56" t="n">
        <f aca="false">MAX(0,MIN(1,R277/100+$D$5))</f>
        <v>0.424592637268565</v>
      </c>
      <c r="U277" s="56" t="n">
        <v>0.641012909632572</v>
      </c>
      <c r="V277" s="55" t="n">
        <v>2211</v>
      </c>
      <c r="W277" s="56" t="n">
        <v>0.0684752145190268</v>
      </c>
      <c r="X277" s="57" t="s">
        <v>168</v>
      </c>
      <c r="Y277" s="57" t="s">
        <v>130</v>
      </c>
    </row>
    <row r="278" customFormat="false" ht="15" hidden="false" customHeight="false" outlineLevel="0" collapsed="false">
      <c r="A278" s="25" t="s">
        <v>385</v>
      </c>
      <c r="B278" s="25" t="s">
        <v>441</v>
      </c>
      <c r="C278" s="25" t="s">
        <v>443</v>
      </c>
      <c r="D278" s="52" t="n">
        <f aca="false">ROUND(S278*T278,0)</f>
        <v>532</v>
      </c>
      <c r="E278" s="52" t="n">
        <f aca="false">ROUND(S278,0)-D278</f>
        <v>693</v>
      </c>
      <c r="F278" s="52" t="n">
        <f aca="false">IF(COUNTA(D278:E278)=0,"",SUM(D278:E278))</f>
        <v>1225</v>
      </c>
      <c r="G278" s="53" t="n">
        <f aca="false">IF(OR(F278="",F278=0),"",D278/F278)</f>
        <v>0.434285714285714</v>
      </c>
      <c r="H278" s="53" t="n">
        <f aca="false">IF(OR(F278="",F278=0),"",E278/F278)</f>
        <v>0.565714285714286</v>
      </c>
      <c r="I278" s="25" t="s">
        <v>128</v>
      </c>
      <c r="J278" s="28" t="n">
        <v>1.88612725432908</v>
      </c>
      <c r="K278" s="28" t="n">
        <f aca="false">$K$8</f>
        <v>0.296197623206382</v>
      </c>
      <c r="L278" s="28" t="n">
        <f aca="false">SQRT(J278^2+K278^2)</f>
        <v>1.909243057213</v>
      </c>
      <c r="M278" s="53" t="n">
        <f aca="false">IF(G278="","",MAX(0,G278-1.96*L278/100))</f>
        <v>0.396864550364339</v>
      </c>
      <c r="N278" s="53" t="n">
        <f aca="false">IF(G278="","",MIN(1,G278+1.96*L278/100))</f>
        <v>0.471706878207089</v>
      </c>
      <c r="O278" s="52" t="n">
        <f aca="false">ROUND(S278*W278,0)</f>
        <v>84</v>
      </c>
      <c r="P278" s="52" t="n">
        <f aca="false">IF(F278="","",ROUND(SQRT((F278*L278/100)^2+(G278*O278)^2),0))</f>
        <v>43</v>
      </c>
      <c r="R278" s="54" t="n">
        <v>-7.28321420745145</v>
      </c>
      <c r="S278" s="55" t="n">
        <f aca="false">U278*V278*$F$5</f>
        <v>1224.74062660503</v>
      </c>
      <c r="T278" s="56" t="n">
        <f aca="false">MAX(0,MIN(1,R278/100+$D$5))</f>
        <v>0.4347239650339</v>
      </c>
      <c r="U278" s="56" t="n">
        <v>0.629686697483308</v>
      </c>
      <c r="V278" s="55" t="n">
        <v>1945</v>
      </c>
      <c r="W278" s="56" t="n">
        <v>0.0684752145190268</v>
      </c>
      <c r="X278" s="57" t="s">
        <v>168</v>
      </c>
      <c r="Y278" s="57" t="s">
        <v>130</v>
      </c>
    </row>
    <row r="279" customFormat="false" ht="15" hidden="false" customHeight="false" outlineLevel="0" collapsed="false">
      <c r="A279" s="25" t="s">
        <v>385</v>
      </c>
      <c r="B279" s="25" t="s">
        <v>444</v>
      </c>
      <c r="C279" s="25" t="s">
        <v>444</v>
      </c>
      <c r="D279" s="52" t="n">
        <f aca="false">ROUND(S279*T279,0)</f>
        <v>144</v>
      </c>
      <c r="E279" s="52" t="n">
        <f aca="false">ROUND(S279,0)-D279</f>
        <v>216</v>
      </c>
      <c r="F279" s="52" t="n">
        <f aca="false">IF(COUNTA(D279:E279)=0,"",SUM(D279:E279))</f>
        <v>360</v>
      </c>
      <c r="G279" s="53" t="n">
        <f aca="false">IF(OR(F279="",F279=0),"",D279/F279)</f>
        <v>0.4</v>
      </c>
      <c r="H279" s="53" t="n">
        <f aca="false">IF(OR(F279="",F279=0),"",E279/F279)</f>
        <v>0.6</v>
      </c>
      <c r="I279" s="25" t="s">
        <v>128</v>
      </c>
      <c r="J279" s="28" t="n">
        <v>3.71103496666907</v>
      </c>
      <c r="K279" s="28" t="n">
        <f aca="false">$K$8</f>
        <v>0.296197623206382</v>
      </c>
      <c r="L279" s="28" t="n">
        <f aca="false">SQRT(J279^2+K279^2)</f>
        <v>3.72283676191068</v>
      </c>
      <c r="M279" s="53" t="n">
        <f aca="false">IF(G279="","",MAX(0,G279-1.96*L279/100))</f>
        <v>0.327032399466551</v>
      </c>
      <c r="N279" s="53" t="n">
        <f aca="false">IF(G279="","",MIN(1,G279+1.96*L279/100))</f>
        <v>0.472967600533449</v>
      </c>
      <c r="O279" s="52" t="n">
        <f aca="false">ROUND(S279*W279,0)</f>
        <v>53</v>
      </c>
      <c r="P279" s="52" t="n">
        <f aca="false">IF(F279="","",ROUND(SQRT((F279*L279/100)^2+(G279*O279)^2),0))</f>
        <v>25</v>
      </c>
      <c r="R279" s="54" t="n">
        <v>-10.8293665616732</v>
      </c>
      <c r="S279" s="55" t="n">
        <f aca="false">U279*V279*$F$5</f>
        <v>360.236842105263</v>
      </c>
      <c r="T279" s="56" t="n">
        <f aca="false">MAX(0,MIN(1,R279/100+$D$5))</f>
        <v>0.399262441491682</v>
      </c>
      <c r="U279" s="56" t="n">
        <v>0.513157894736842</v>
      </c>
      <c r="V279" s="55" t="n">
        <v>702</v>
      </c>
      <c r="W279" s="56" t="n">
        <v>0.148097331980838</v>
      </c>
      <c r="X279" s="57" t="s">
        <v>129</v>
      </c>
      <c r="Y279" s="57" t="s">
        <v>130</v>
      </c>
    </row>
    <row r="280" customFormat="false" ht="15" hidden="false" customHeight="false" outlineLevel="0" collapsed="false">
      <c r="A280" s="25" t="s">
        <v>385</v>
      </c>
      <c r="B280" s="25" t="s">
        <v>445</v>
      </c>
      <c r="C280" s="25" t="s">
        <v>446</v>
      </c>
      <c r="D280" s="52" t="n">
        <f aca="false">ROUND(S280*T280,0)</f>
        <v>572</v>
      </c>
      <c r="E280" s="52" t="n">
        <f aca="false">ROUND(S280,0)-D280</f>
        <v>251</v>
      </c>
      <c r="F280" s="52" t="n">
        <f aca="false">IF(COUNTA(D280:E280)=0,"",SUM(D280:E280))</f>
        <v>823</v>
      </c>
      <c r="G280" s="53" t="n">
        <f aca="false">IF(OR(F280="",F280=0),"",D280/F280)</f>
        <v>0.69501822600243</v>
      </c>
      <c r="H280" s="53" t="n">
        <f aca="false">IF(OR(F280="",F280=0),"",E280/F280)</f>
        <v>0.30498177399757</v>
      </c>
      <c r="I280" s="25" t="s">
        <v>231</v>
      </c>
      <c r="J280" s="28" t="n">
        <v>2.37310914384046</v>
      </c>
      <c r="K280" s="28" t="n">
        <f aca="false">$K$8</f>
        <v>0.296197623206382</v>
      </c>
      <c r="L280" s="28" t="n">
        <f aca="false">SQRT(J280^2+K280^2)</f>
        <v>2.3915225360787</v>
      </c>
      <c r="M280" s="53" t="n">
        <f aca="false">IF(G280="","",MAX(0,G280-1.96*L280/100))</f>
        <v>0.648144384295288</v>
      </c>
      <c r="N280" s="53" t="n">
        <f aca="false">IF(G280="","",MIN(1,G280+1.96*L280/100))</f>
        <v>0.741892067709573</v>
      </c>
      <c r="O280" s="52" t="n">
        <f aca="false">ROUND(S280*W280,0)</f>
        <v>73</v>
      </c>
      <c r="P280" s="52" t="n">
        <f aca="false">IF(F280="","",ROUND(SQRT((F280*L280/100)^2+(G280*O280)^2),0))</f>
        <v>54</v>
      </c>
      <c r="R280" s="54" t="n">
        <v>18.6871630044773</v>
      </c>
      <c r="S280" s="55" t="n">
        <f aca="false">U280*V280*$F$5</f>
        <v>823.448359141722</v>
      </c>
      <c r="T280" s="56" t="n">
        <f aca="false">MAX(0,MIN(1,R280/100+$D$5))</f>
        <v>0.694427737153188</v>
      </c>
      <c r="U280" s="56" t="n">
        <v>0.478193007631662</v>
      </c>
      <c r="V280" s="55" t="n">
        <v>1722</v>
      </c>
      <c r="W280" s="56" t="n">
        <v>0.0887445098984521</v>
      </c>
      <c r="X280" s="57" t="s">
        <v>135</v>
      </c>
      <c r="Y280" s="57" t="s">
        <v>130</v>
      </c>
    </row>
    <row r="281" customFormat="false" ht="15" hidden="false" customHeight="false" outlineLevel="0" collapsed="false">
      <c r="A281" s="25" t="s">
        <v>385</v>
      </c>
      <c r="B281" s="25" t="s">
        <v>445</v>
      </c>
      <c r="C281" s="25" t="s">
        <v>447</v>
      </c>
      <c r="D281" s="52" t="n">
        <f aca="false">ROUND(S281*T281,0)</f>
        <v>542</v>
      </c>
      <c r="E281" s="52" t="n">
        <f aca="false">ROUND(S281,0)-D281</f>
        <v>238</v>
      </c>
      <c r="F281" s="52" t="n">
        <f aca="false">IF(COUNTA(D281:E281)=0,"",SUM(D281:E281))</f>
        <v>780</v>
      </c>
      <c r="G281" s="53" t="n">
        <f aca="false">IF(OR(F281="",F281=0),"",D281/F281)</f>
        <v>0.694871794871795</v>
      </c>
      <c r="H281" s="53" t="n">
        <f aca="false">IF(OR(F281="",F281=0),"",E281/F281)</f>
        <v>0.305128205128205</v>
      </c>
      <c r="I281" s="25" t="s">
        <v>128</v>
      </c>
      <c r="J281" s="28" t="n">
        <v>2.37310914384046</v>
      </c>
      <c r="K281" s="28" t="n">
        <f aca="false">$K$8</f>
        <v>0.296197623206382</v>
      </c>
      <c r="L281" s="28" t="n">
        <f aca="false">SQRT(J281^2+K281^2)</f>
        <v>2.3915225360787</v>
      </c>
      <c r="M281" s="53" t="n">
        <f aca="false">IF(G281="","",MAX(0,G281-1.96*L281/100))</f>
        <v>0.647997953164652</v>
      </c>
      <c r="N281" s="53" t="n">
        <f aca="false">IF(G281="","",MIN(1,G281+1.96*L281/100))</f>
        <v>0.741745636578937</v>
      </c>
      <c r="O281" s="52" t="n">
        <f aca="false">ROUND(S281*W281,0)</f>
        <v>69</v>
      </c>
      <c r="P281" s="52" t="n">
        <f aca="false">IF(F281="","",ROUND(SQRT((F281*L281/100)^2+(G281*O281)^2),0))</f>
        <v>51</v>
      </c>
      <c r="R281" s="54" t="n">
        <v>18.7460077871471</v>
      </c>
      <c r="S281" s="55" t="n">
        <f aca="false">U281*V281*$F$5</f>
        <v>779.911439114391</v>
      </c>
      <c r="T281" s="56" t="n">
        <f aca="false">MAX(0,MIN(1,R281/100+$D$5))</f>
        <v>0.695016184979885</v>
      </c>
      <c r="U281" s="56" t="n">
        <v>0.420664206642066</v>
      </c>
      <c r="V281" s="55" t="n">
        <v>1854</v>
      </c>
      <c r="W281" s="56" t="n">
        <v>0.0887445098984521</v>
      </c>
      <c r="X281" s="57" t="s">
        <v>135</v>
      </c>
      <c r="Y281" s="57" t="s">
        <v>130</v>
      </c>
    </row>
    <row r="282" customFormat="false" ht="15" hidden="false" customHeight="false" outlineLevel="0" collapsed="false">
      <c r="A282" s="25" t="s">
        <v>385</v>
      </c>
      <c r="B282" s="25" t="s">
        <v>445</v>
      </c>
      <c r="C282" s="25" t="s">
        <v>448</v>
      </c>
      <c r="D282" s="52" t="n">
        <f aca="false">ROUND(S282*T282,0)</f>
        <v>437</v>
      </c>
      <c r="E282" s="52" t="n">
        <f aca="false">ROUND(S282,0)-D282</f>
        <v>166</v>
      </c>
      <c r="F282" s="52" t="n">
        <f aca="false">IF(COUNTA(D282:E282)=0,"",SUM(D282:E282))</f>
        <v>603</v>
      </c>
      <c r="G282" s="53" t="n">
        <f aca="false">IF(OR(F282="",F282=0),"",D282/F282)</f>
        <v>0.724709784411277</v>
      </c>
      <c r="H282" s="53" t="n">
        <f aca="false">IF(OR(F282="",F282=0),"",E282/F282)</f>
        <v>0.275290215588723</v>
      </c>
      <c r="I282" s="25" t="s">
        <v>128</v>
      </c>
      <c r="J282" s="28" t="n">
        <v>2.37310914384046</v>
      </c>
      <c r="K282" s="28" t="n">
        <f aca="false">$K$8</f>
        <v>0.296197623206382</v>
      </c>
      <c r="L282" s="28" t="n">
        <f aca="false">SQRT(J282^2+K282^2)</f>
        <v>2.3915225360787</v>
      </c>
      <c r="M282" s="53" t="n">
        <f aca="false">IF(G282="","",MAX(0,G282-1.96*L282/100))</f>
        <v>0.677835942704134</v>
      </c>
      <c r="N282" s="53" t="n">
        <f aca="false">IF(G282="","",MIN(1,G282+1.96*L282/100))</f>
        <v>0.77158362611842</v>
      </c>
      <c r="O282" s="52" t="n">
        <f aca="false">ROUND(S282*W282,0)</f>
        <v>54</v>
      </c>
      <c r="P282" s="52" t="n">
        <f aca="false">IF(F282="","",ROUND(SQRT((F282*L282/100)^2+(G282*O282)^2),0))</f>
        <v>42</v>
      </c>
      <c r="R282" s="54" t="n">
        <v>21.7829952980285</v>
      </c>
      <c r="S282" s="55" t="n">
        <f aca="false">U282*V282*$F$5</f>
        <v>602.870201096892</v>
      </c>
      <c r="T282" s="56" t="n">
        <f aca="false">MAX(0,MIN(1,R282/100+$D$5))</f>
        <v>0.725386060088699</v>
      </c>
      <c r="U282" s="56" t="n">
        <v>0.447897623400366</v>
      </c>
      <c r="V282" s="55" t="n">
        <v>1346</v>
      </c>
      <c r="W282" s="56" t="n">
        <v>0.0887445098984521</v>
      </c>
      <c r="X282" s="57" t="s">
        <v>135</v>
      </c>
      <c r="Y282" s="57" t="s">
        <v>130</v>
      </c>
    </row>
    <row r="283" customFormat="false" ht="15" hidden="false" customHeight="false" outlineLevel="0" collapsed="false">
      <c r="A283" s="25" t="s">
        <v>385</v>
      </c>
      <c r="B283" s="25" t="s">
        <v>445</v>
      </c>
      <c r="C283" s="25" t="s">
        <v>449</v>
      </c>
      <c r="D283" s="52" t="n">
        <f aca="false">ROUND(S283*T283,0)</f>
        <v>611</v>
      </c>
      <c r="E283" s="52" t="n">
        <f aca="false">ROUND(S283,0)-D283</f>
        <v>210</v>
      </c>
      <c r="F283" s="52" t="n">
        <f aca="false">IF(COUNTA(D283:E283)=0,"",SUM(D283:E283))</f>
        <v>821</v>
      </c>
      <c r="G283" s="53" t="n">
        <f aca="false">IF(OR(F283="",F283=0),"",D283/F283)</f>
        <v>0.7442143727162</v>
      </c>
      <c r="H283" s="53" t="n">
        <f aca="false">IF(OR(F283="",F283=0),"",E283/F283)</f>
        <v>0.2557856272838</v>
      </c>
      <c r="I283" s="25" t="s">
        <v>128</v>
      </c>
      <c r="J283" s="28" t="n">
        <v>2.37310914384046</v>
      </c>
      <c r="K283" s="28" t="n">
        <f aca="false">$K$8</f>
        <v>0.296197623206382</v>
      </c>
      <c r="L283" s="28" t="n">
        <f aca="false">SQRT(J283^2+K283^2)</f>
        <v>2.3915225360787</v>
      </c>
      <c r="M283" s="53" t="n">
        <f aca="false">IF(G283="","",MAX(0,G283-1.96*L283/100))</f>
        <v>0.697340531009057</v>
      </c>
      <c r="N283" s="53" t="n">
        <f aca="false">IF(G283="","",MIN(1,G283+1.96*L283/100))</f>
        <v>0.791088214423342</v>
      </c>
      <c r="O283" s="52" t="n">
        <f aca="false">ROUND(S283*W283,0)</f>
        <v>73</v>
      </c>
      <c r="P283" s="52" t="n">
        <f aca="false">IF(F283="","",ROUND(SQRT((F283*L283/100)^2+(G283*O283)^2),0))</f>
        <v>58</v>
      </c>
      <c r="R283" s="54" t="n">
        <v>23.6415903597049</v>
      </c>
      <c r="S283" s="55" t="n">
        <f aca="false">U283*V283*$F$5</f>
        <v>820.6703125</v>
      </c>
      <c r="T283" s="56" t="n">
        <f aca="false">MAX(0,MIN(1,R283/100+$D$5))</f>
        <v>0.743972010705463</v>
      </c>
      <c r="U283" s="56" t="n">
        <v>0.6765625</v>
      </c>
      <c r="V283" s="55" t="n">
        <v>1213</v>
      </c>
      <c r="W283" s="56" t="n">
        <v>0.0887445098984521</v>
      </c>
      <c r="X283" s="57" t="s">
        <v>135</v>
      </c>
      <c r="Y283" s="57" t="s">
        <v>130</v>
      </c>
    </row>
    <row r="284" customFormat="false" ht="15" hidden="false" customHeight="false" outlineLevel="0" collapsed="false">
      <c r="A284" s="25" t="s">
        <v>385</v>
      </c>
      <c r="B284" s="25" t="s">
        <v>445</v>
      </c>
      <c r="C284" s="25" t="s">
        <v>450</v>
      </c>
      <c r="D284" s="52" t="n">
        <f aca="false">ROUND(S284*T284,0)</f>
        <v>467</v>
      </c>
      <c r="E284" s="52" t="n">
        <f aca="false">ROUND(S284,0)-D284</f>
        <v>124</v>
      </c>
      <c r="F284" s="52" t="n">
        <f aca="false">IF(COUNTA(D284:E284)=0,"",SUM(D284:E284))</f>
        <v>591</v>
      </c>
      <c r="G284" s="53" t="n">
        <f aca="false">IF(OR(F284="",F284=0),"",D284/F284)</f>
        <v>0.790186125211506</v>
      </c>
      <c r="H284" s="53" t="n">
        <f aca="false">IF(OR(F284="",F284=0),"",E284/F284)</f>
        <v>0.209813874788494</v>
      </c>
      <c r="I284" s="25" t="s">
        <v>128</v>
      </c>
      <c r="J284" s="28" t="n">
        <v>2.37310914384046</v>
      </c>
      <c r="K284" s="28" t="n">
        <f aca="false">$K$8</f>
        <v>0.296197623206382</v>
      </c>
      <c r="L284" s="28" t="n">
        <f aca="false">SQRT(J284^2+K284^2)</f>
        <v>2.3915225360787</v>
      </c>
      <c r="M284" s="53" t="n">
        <f aca="false">IF(G284="","",MAX(0,G284-1.96*L284/100))</f>
        <v>0.743312283504363</v>
      </c>
      <c r="N284" s="53" t="n">
        <f aca="false">IF(G284="","",MIN(1,G284+1.96*L284/100))</f>
        <v>0.837059966918649</v>
      </c>
      <c r="O284" s="52" t="n">
        <f aca="false">ROUND(S284*W284,0)</f>
        <v>52</v>
      </c>
      <c r="P284" s="52" t="n">
        <f aca="false">IF(F284="","",ROUND(SQRT((F284*L284/100)^2+(G284*O284)^2),0))</f>
        <v>43</v>
      </c>
      <c r="R284" s="54" t="n">
        <v>28.3299453154849</v>
      </c>
      <c r="S284" s="55" t="n">
        <f aca="false">U284*V284*$F$5</f>
        <v>590.669623059868</v>
      </c>
      <c r="T284" s="56" t="n">
        <f aca="false">MAX(0,MIN(1,R284/100+$D$5))</f>
        <v>0.790855560263263</v>
      </c>
      <c r="U284" s="56" t="n">
        <v>0.297117516629712</v>
      </c>
      <c r="V284" s="55" t="n">
        <v>1988</v>
      </c>
      <c r="W284" s="56" t="n">
        <v>0.0887445098984521</v>
      </c>
      <c r="X284" s="57" t="s">
        <v>135</v>
      </c>
      <c r="Y284" s="57" t="s">
        <v>130</v>
      </c>
    </row>
    <row r="285" customFormat="false" ht="15" hidden="false" customHeight="false" outlineLevel="0" collapsed="false">
      <c r="A285" s="25" t="s">
        <v>385</v>
      </c>
      <c r="B285" s="25" t="s">
        <v>445</v>
      </c>
      <c r="C285" s="25" t="s">
        <v>451</v>
      </c>
      <c r="D285" s="52" t="n">
        <f aca="false">ROUND(S285*T285,0)</f>
        <v>471</v>
      </c>
      <c r="E285" s="52" t="n">
        <f aca="false">ROUND(S285,0)-D285</f>
        <v>220</v>
      </c>
      <c r="F285" s="52" t="n">
        <f aca="false">IF(COUNTA(D285:E285)=0,"",SUM(D285:E285))</f>
        <v>691</v>
      </c>
      <c r="G285" s="53" t="n">
        <f aca="false">IF(OR(F285="",F285=0),"",D285/F285)</f>
        <v>0.681620839363242</v>
      </c>
      <c r="H285" s="53" t="n">
        <f aca="false">IF(OR(F285="",F285=0),"",E285/F285)</f>
        <v>0.318379160636758</v>
      </c>
      <c r="I285" s="25" t="s">
        <v>128</v>
      </c>
      <c r="J285" s="28" t="n">
        <v>2.37310914384046</v>
      </c>
      <c r="K285" s="28" t="n">
        <f aca="false">$K$8</f>
        <v>0.296197623206382</v>
      </c>
      <c r="L285" s="28" t="n">
        <f aca="false">SQRT(J285^2+K285^2)</f>
        <v>2.3915225360787</v>
      </c>
      <c r="M285" s="53" t="n">
        <f aca="false">IF(G285="","",MAX(0,G285-1.96*L285/100))</f>
        <v>0.634746997656099</v>
      </c>
      <c r="N285" s="53" t="n">
        <f aca="false">IF(G285="","",MIN(1,G285+1.96*L285/100))</f>
        <v>0.728494681070384</v>
      </c>
      <c r="O285" s="52" t="n">
        <f aca="false">ROUND(S285*W285,0)</f>
        <v>61</v>
      </c>
      <c r="P285" s="52" t="n">
        <f aca="false">IF(F285="","",ROUND(SQRT((F285*L285/100)^2+(G285*O285)^2),0))</f>
        <v>45</v>
      </c>
      <c r="R285" s="54" t="n">
        <v>17.4268967287602</v>
      </c>
      <c r="S285" s="55" t="n">
        <f aca="false">U285*V285*$F$5</f>
        <v>691.24526600541</v>
      </c>
      <c r="T285" s="56" t="n">
        <f aca="false">MAX(0,MIN(1,R285/100+$D$5))</f>
        <v>0.681825074396017</v>
      </c>
      <c r="U285" s="56" t="n">
        <v>0.612263300270514</v>
      </c>
      <c r="V285" s="55" t="n">
        <v>1129</v>
      </c>
      <c r="W285" s="56" t="n">
        <v>0.0887445098984521</v>
      </c>
      <c r="X285" s="57" t="s">
        <v>135</v>
      </c>
      <c r="Y285" s="57" t="s">
        <v>130</v>
      </c>
    </row>
    <row r="286" customFormat="false" ht="15" hidden="false" customHeight="false" outlineLevel="0" collapsed="false">
      <c r="A286" s="25" t="s">
        <v>385</v>
      </c>
      <c r="B286" s="25" t="s">
        <v>445</v>
      </c>
      <c r="C286" s="25" t="s">
        <v>452</v>
      </c>
      <c r="D286" s="52" t="n">
        <f aca="false">ROUND(S286*T286,0)</f>
        <v>336</v>
      </c>
      <c r="E286" s="52" t="n">
        <f aca="false">ROUND(S286,0)-D286</f>
        <v>174</v>
      </c>
      <c r="F286" s="52" t="n">
        <f aca="false">IF(COUNTA(D286:E286)=0,"",SUM(D286:E286))</f>
        <v>510</v>
      </c>
      <c r="G286" s="53" t="n">
        <f aca="false">IF(OR(F286="",F286=0),"",D286/F286)</f>
        <v>0.658823529411765</v>
      </c>
      <c r="H286" s="53" t="n">
        <f aca="false">IF(OR(F286="",F286=0),"",E286/F286)</f>
        <v>0.341176470588235</v>
      </c>
      <c r="I286" s="25" t="s">
        <v>128</v>
      </c>
      <c r="J286" s="28" t="n">
        <v>3.71103496666907</v>
      </c>
      <c r="K286" s="28" t="n">
        <f aca="false">$K$8</f>
        <v>0.296197623206382</v>
      </c>
      <c r="L286" s="28" t="n">
        <f aca="false">SQRT(J286^2+K286^2)</f>
        <v>3.72283676191068</v>
      </c>
      <c r="M286" s="53" t="n">
        <f aca="false">IF(G286="","",MAX(0,G286-1.96*L286/100))</f>
        <v>0.585855928878315</v>
      </c>
      <c r="N286" s="53" t="n">
        <f aca="false">IF(G286="","",MIN(1,G286+1.96*L286/100))</f>
        <v>0.731791129945214</v>
      </c>
      <c r="O286" s="52" t="n">
        <f aca="false">ROUND(S286*W286,0)</f>
        <v>76</v>
      </c>
      <c r="P286" s="52" t="n">
        <f aca="false">IF(F286="","",ROUND(SQRT((F286*L286/100)^2+(G286*O286)^2),0))</f>
        <v>54</v>
      </c>
      <c r="R286" s="54" t="n">
        <v>15.1235247399295</v>
      </c>
      <c r="S286" s="55" t="n">
        <f aca="false">U286*V286*$F$5</f>
        <v>510.153409090909</v>
      </c>
      <c r="T286" s="56" t="n">
        <f aca="false">MAX(0,MIN(1,R286/100+$D$5))</f>
        <v>0.65879135450771</v>
      </c>
      <c r="U286" s="56" t="n">
        <v>0.368607954545455</v>
      </c>
      <c r="V286" s="55" t="n">
        <v>1384</v>
      </c>
      <c r="W286" s="56" t="n">
        <v>0.148097331980838</v>
      </c>
      <c r="X286" s="57" t="s">
        <v>129</v>
      </c>
      <c r="Y286" s="57" t="s">
        <v>130</v>
      </c>
    </row>
    <row r="287" customFormat="false" ht="15" hidden="false" customHeight="false" outlineLevel="0" collapsed="false">
      <c r="A287" s="25" t="s">
        <v>385</v>
      </c>
      <c r="B287" s="25" t="s">
        <v>445</v>
      </c>
      <c r="C287" s="25" t="s">
        <v>453</v>
      </c>
      <c r="D287" s="52" t="n">
        <f aca="false">ROUND(S287*T287,0)</f>
        <v>149</v>
      </c>
      <c r="E287" s="52" t="n">
        <f aca="false">ROUND(S287,0)-D287</f>
        <v>54</v>
      </c>
      <c r="F287" s="52" t="n">
        <f aca="false">IF(COUNTA(D287:E287)=0,"",SUM(D287:E287))</f>
        <v>203</v>
      </c>
      <c r="G287" s="53" t="n">
        <f aca="false">IF(OR(F287="",F287=0),"",D287/F287)</f>
        <v>0.733990147783251</v>
      </c>
      <c r="H287" s="53" t="n">
        <f aca="false">IF(OR(F287="",F287=0),"",E287/F287)</f>
        <v>0.266009852216749</v>
      </c>
      <c r="I287" s="25" t="s">
        <v>128</v>
      </c>
      <c r="J287" s="28" t="n">
        <v>3.71103496666907</v>
      </c>
      <c r="K287" s="28" t="n">
        <f aca="false">$K$8</f>
        <v>0.296197623206382</v>
      </c>
      <c r="L287" s="28" t="n">
        <f aca="false">SQRT(J287^2+K287^2)</f>
        <v>3.72283676191068</v>
      </c>
      <c r="M287" s="53" t="n">
        <f aca="false">IF(G287="","",MAX(0,G287-1.96*L287/100))</f>
        <v>0.661022547249802</v>
      </c>
      <c r="N287" s="53" t="n">
        <f aca="false">IF(G287="","",MIN(1,G287+1.96*L287/100))</f>
        <v>0.806957748316701</v>
      </c>
      <c r="O287" s="52" t="n">
        <f aca="false">ROUND(S287*W287,0)</f>
        <v>30</v>
      </c>
      <c r="P287" s="52" t="n">
        <f aca="false">IF(F287="","",ROUND(SQRT((F287*L287/100)^2+(G287*O287)^2),0))</f>
        <v>23</v>
      </c>
      <c r="R287" s="54" t="n">
        <v>22.4823569909964</v>
      </c>
      <c r="S287" s="55" t="n">
        <f aca="false">U287*V287*$F$5</f>
        <v>202.766550522648</v>
      </c>
      <c r="T287" s="56" t="n">
        <f aca="false">MAX(0,MIN(1,R287/100+$D$5))</f>
        <v>0.732379677018378</v>
      </c>
      <c r="U287" s="56" t="n">
        <v>0.369337979094077</v>
      </c>
      <c r="V287" s="55" t="n">
        <v>549</v>
      </c>
      <c r="W287" s="56" t="n">
        <v>0.148097331980838</v>
      </c>
      <c r="X287" s="57" t="s">
        <v>129</v>
      </c>
      <c r="Y287" s="57" t="s">
        <v>130</v>
      </c>
    </row>
    <row r="288" customFormat="false" ht="15" hidden="false" customHeight="false" outlineLevel="0" collapsed="false">
      <c r="A288" s="25" t="s">
        <v>385</v>
      </c>
      <c r="B288" s="25" t="s">
        <v>445</v>
      </c>
      <c r="C288" s="25" t="s">
        <v>454</v>
      </c>
      <c r="D288" s="52" t="n">
        <f aca="false">ROUND(S288*T288,0)</f>
        <v>234</v>
      </c>
      <c r="E288" s="52" t="n">
        <f aca="false">ROUND(S288,0)-D288</f>
        <v>84</v>
      </c>
      <c r="F288" s="52" t="n">
        <f aca="false">IF(COUNTA(D288:E288)=0,"",SUM(D288:E288))</f>
        <v>318</v>
      </c>
      <c r="G288" s="53" t="n">
        <f aca="false">IF(OR(F288="",F288=0),"",D288/F288)</f>
        <v>0.735849056603774</v>
      </c>
      <c r="H288" s="53" t="n">
        <f aca="false">IF(OR(F288="",F288=0),"",E288/F288)</f>
        <v>0.264150943396226</v>
      </c>
      <c r="I288" s="25" t="s">
        <v>128</v>
      </c>
      <c r="J288" s="28" t="n">
        <v>3.71103496666907</v>
      </c>
      <c r="K288" s="28" t="n">
        <f aca="false">$K$8</f>
        <v>0.296197623206382</v>
      </c>
      <c r="L288" s="28" t="n">
        <f aca="false">SQRT(J288^2+K288^2)</f>
        <v>3.72283676191068</v>
      </c>
      <c r="M288" s="53" t="n">
        <f aca="false">IF(G288="","",MAX(0,G288-1.96*L288/100))</f>
        <v>0.662881456070324</v>
      </c>
      <c r="N288" s="53" t="n">
        <f aca="false">IF(G288="","",MIN(1,G288+1.96*L288/100))</f>
        <v>0.808816657137223</v>
      </c>
      <c r="O288" s="52" t="n">
        <f aca="false">ROUND(S288*W288,0)</f>
        <v>47</v>
      </c>
      <c r="P288" s="52" t="n">
        <f aca="false">IF(F288="","",ROUND(SQRT((F288*L288/100)^2+(G288*O288)^2),0))</f>
        <v>37</v>
      </c>
      <c r="R288" s="54" t="n">
        <v>22.8374207555621</v>
      </c>
      <c r="S288" s="55" t="n">
        <f aca="false">U288*V288*$F$5</f>
        <v>318.271119842829</v>
      </c>
      <c r="T288" s="56" t="n">
        <f aca="false">MAX(0,MIN(1,R288/100+$D$5))</f>
        <v>0.735930314664036</v>
      </c>
      <c r="U288" s="56" t="n">
        <v>0.318271119842829</v>
      </c>
      <c r="V288" s="55" t="n">
        <v>1000</v>
      </c>
      <c r="W288" s="56" t="n">
        <v>0.148097331980838</v>
      </c>
      <c r="X288" s="57" t="s">
        <v>129</v>
      </c>
      <c r="Y288" s="57" t="s">
        <v>130</v>
      </c>
    </row>
    <row r="289" customFormat="false" ht="15" hidden="false" customHeight="false" outlineLevel="0" collapsed="false">
      <c r="A289" s="25" t="s">
        <v>385</v>
      </c>
      <c r="B289" s="25" t="s">
        <v>445</v>
      </c>
      <c r="C289" s="25" t="s">
        <v>455</v>
      </c>
      <c r="D289" s="52" t="n">
        <f aca="false">ROUND(S289*T289,0)</f>
        <v>237</v>
      </c>
      <c r="E289" s="52" t="n">
        <f aca="false">ROUND(S289,0)-D289</f>
        <v>114</v>
      </c>
      <c r="F289" s="52" t="n">
        <f aca="false">IF(COUNTA(D289:E289)=0,"",SUM(D289:E289))</f>
        <v>351</v>
      </c>
      <c r="G289" s="53" t="n">
        <f aca="false">IF(OR(F289="",F289=0),"",D289/F289)</f>
        <v>0.675213675213675</v>
      </c>
      <c r="H289" s="53" t="n">
        <f aca="false">IF(OR(F289="",F289=0),"",E289/F289)</f>
        <v>0.324786324786325</v>
      </c>
      <c r="I289" s="25" t="s">
        <v>128</v>
      </c>
      <c r="J289" s="28" t="n">
        <v>3.71103496666907</v>
      </c>
      <c r="K289" s="28" t="n">
        <f aca="false">$K$8</f>
        <v>0.296197623206382</v>
      </c>
      <c r="L289" s="28" t="n">
        <f aca="false">SQRT(J289^2+K289^2)</f>
        <v>3.72283676191068</v>
      </c>
      <c r="M289" s="53" t="n">
        <f aca="false">IF(G289="","",MAX(0,G289-1.96*L289/100))</f>
        <v>0.602246074680226</v>
      </c>
      <c r="N289" s="53" t="n">
        <f aca="false">IF(G289="","",MIN(1,G289+1.96*L289/100))</f>
        <v>0.748181275747125</v>
      </c>
      <c r="O289" s="52" t="n">
        <f aca="false">ROUND(S289*W289,0)</f>
        <v>52</v>
      </c>
      <c r="P289" s="52" t="n">
        <f aca="false">IF(F289="","",ROUND(SQRT((F289*L289/100)^2+(G289*O289)^2),0))</f>
        <v>37</v>
      </c>
      <c r="R289" s="54" t="n">
        <v>16.8094555362378</v>
      </c>
      <c r="S289" s="55" t="n">
        <f aca="false">U289*V289*$F$5</f>
        <v>350.591240875912</v>
      </c>
      <c r="T289" s="56" t="n">
        <f aca="false">MAX(0,MIN(1,R289/100+$D$5))</f>
        <v>0.675650662470792</v>
      </c>
      <c r="U289" s="56" t="n">
        <v>0.313868613138686</v>
      </c>
      <c r="V289" s="55" t="n">
        <v>1117</v>
      </c>
      <c r="W289" s="56" t="n">
        <v>0.148097331980838</v>
      </c>
      <c r="X289" s="57" t="s">
        <v>129</v>
      </c>
      <c r="Y289" s="57" t="s">
        <v>130</v>
      </c>
    </row>
    <row r="290" customFormat="false" ht="15" hidden="false" customHeight="false" outlineLevel="0" collapsed="false">
      <c r="A290" s="25" t="s">
        <v>385</v>
      </c>
      <c r="B290" s="25" t="s">
        <v>445</v>
      </c>
      <c r="C290" s="25" t="s">
        <v>456</v>
      </c>
      <c r="D290" s="52" t="n">
        <f aca="false">ROUND(S290*T290,0)</f>
        <v>1145</v>
      </c>
      <c r="E290" s="52" t="n">
        <f aca="false">ROUND(S290,0)-D290</f>
        <v>496</v>
      </c>
      <c r="F290" s="52" t="n">
        <f aca="false">IF(COUNTA(D290:E290)=0,"",SUM(D290:E290))</f>
        <v>1641</v>
      </c>
      <c r="G290" s="53" t="n">
        <f aca="false">IF(OR(F290="",F290=0),"",D290/F290)</f>
        <v>0.697745277269957</v>
      </c>
      <c r="H290" s="53" t="n">
        <f aca="false">IF(OR(F290="",F290=0),"",E290/F290)</f>
        <v>0.302254722730043</v>
      </c>
      <c r="I290" s="25" t="s">
        <v>231</v>
      </c>
      <c r="J290" s="28" t="n">
        <v>1.88612725432908</v>
      </c>
      <c r="K290" s="28" t="n">
        <f aca="false">$K$8</f>
        <v>0.296197623206382</v>
      </c>
      <c r="L290" s="28" t="n">
        <f aca="false">SQRT(J290^2+K290^2)</f>
        <v>1.909243057213</v>
      </c>
      <c r="M290" s="53" t="n">
        <f aca="false">IF(G290="","",MAX(0,G290-1.96*L290/100))</f>
        <v>0.660324113348583</v>
      </c>
      <c r="N290" s="53" t="n">
        <f aca="false">IF(G290="","",MIN(1,G290+1.96*L290/100))</f>
        <v>0.735166441191332</v>
      </c>
      <c r="O290" s="52" t="n">
        <f aca="false">ROUND(S290*W290,0)</f>
        <v>112</v>
      </c>
      <c r="P290" s="52" t="n">
        <f aca="false">IF(F290="","",ROUND(SQRT((F290*L290/100)^2+(G290*O290)^2),0))</f>
        <v>84</v>
      </c>
      <c r="R290" s="54" t="n">
        <v>19.0017406711584</v>
      </c>
      <c r="S290" s="55" t="n">
        <f aca="false">U290*V290*$F$5</f>
        <v>1641.003487384</v>
      </c>
      <c r="T290" s="56" t="n">
        <f aca="false">MAX(0,MIN(1,R290/100+$D$5))</f>
        <v>0.697573513819999</v>
      </c>
      <c r="U290" s="56" t="n">
        <v>0.752408751666208</v>
      </c>
      <c r="V290" s="55" t="n">
        <v>2181</v>
      </c>
      <c r="W290" s="56" t="n">
        <v>0.0684752145190268</v>
      </c>
      <c r="X290" s="57" t="s">
        <v>168</v>
      </c>
      <c r="Y290" s="57" t="s">
        <v>130</v>
      </c>
    </row>
    <row r="291" customFormat="false" ht="15" hidden="false" customHeight="false" outlineLevel="0" collapsed="false">
      <c r="A291" s="25" t="s">
        <v>385</v>
      </c>
      <c r="B291" s="25" t="s">
        <v>445</v>
      </c>
      <c r="C291" s="25" t="s">
        <v>457</v>
      </c>
      <c r="D291" s="52" t="n">
        <f aca="false">ROUND(S291*T291,0)</f>
        <v>621</v>
      </c>
      <c r="E291" s="52" t="n">
        <f aca="false">ROUND(S291,0)-D291</f>
        <v>305</v>
      </c>
      <c r="F291" s="52" t="n">
        <f aca="false">IF(COUNTA(D291:E291)=0,"",SUM(D291:E291))</f>
        <v>926</v>
      </c>
      <c r="G291" s="53" t="n">
        <f aca="false">IF(OR(F291="",F291=0),"",D291/F291)</f>
        <v>0.670626349892009</v>
      </c>
      <c r="H291" s="53" t="n">
        <f aca="false">IF(OR(F291="",F291=0),"",E291/F291)</f>
        <v>0.329373650107991</v>
      </c>
      <c r="I291" s="25" t="s">
        <v>128</v>
      </c>
      <c r="J291" s="28" t="n">
        <v>2.37310914384046</v>
      </c>
      <c r="K291" s="28" t="n">
        <f aca="false">$K$8</f>
        <v>0.296197623206382</v>
      </c>
      <c r="L291" s="28" t="n">
        <f aca="false">SQRT(J291^2+K291^2)</f>
        <v>2.3915225360787</v>
      </c>
      <c r="M291" s="53" t="n">
        <f aca="false">IF(G291="","",MAX(0,G291-1.96*L291/100))</f>
        <v>0.623752508184866</v>
      </c>
      <c r="N291" s="53" t="n">
        <f aca="false">IF(G291="","",MIN(1,G291+1.96*L291/100))</f>
        <v>0.717500191599151</v>
      </c>
      <c r="O291" s="52" t="n">
        <f aca="false">ROUND(S291*W291,0)</f>
        <v>82</v>
      </c>
      <c r="P291" s="52" t="n">
        <f aca="false">IF(F291="","",ROUND(SQRT((F291*L291/100)^2+(G291*O291)^2),0))</f>
        <v>59</v>
      </c>
      <c r="R291" s="54" t="n">
        <v>16.3646371746702</v>
      </c>
      <c r="S291" s="55" t="n">
        <f aca="false">U291*V291*$F$5</f>
        <v>925.647509578544</v>
      </c>
      <c r="T291" s="56" t="n">
        <f aca="false">MAX(0,MIN(1,R291/100+$D$5))</f>
        <v>0.671202478855116</v>
      </c>
      <c r="U291" s="56" t="n">
        <v>0.432950191570881</v>
      </c>
      <c r="V291" s="55" t="n">
        <v>2138</v>
      </c>
      <c r="W291" s="56" t="n">
        <v>0.0887445098984521</v>
      </c>
      <c r="X291" s="57" t="s">
        <v>135</v>
      </c>
      <c r="Y291" s="57" t="s">
        <v>130</v>
      </c>
    </row>
    <row r="292" customFormat="false" ht="15" hidden="false" customHeight="false" outlineLevel="0" collapsed="false">
      <c r="A292" s="25" t="s">
        <v>385</v>
      </c>
      <c r="B292" s="25" t="s">
        <v>458</v>
      </c>
      <c r="C292" s="25" t="s">
        <v>459</v>
      </c>
      <c r="D292" s="52" t="n">
        <f aca="false">ROUND(S292*T292,0)</f>
        <v>726</v>
      </c>
      <c r="E292" s="52" t="n">
        <f aca="false">ROUND(S292,0)-D292</f>
        <v>636</v>
      </c>
      <c r="F292" s="52" t="n">
        <f aca="false">IF(COUNTA(D292:E292)=0,"",SUM(D292:E292))</f>
        <v>1362</v>
      </c>
      <c r="G292" s="53" t="n">
        <f aca="false">IF(OR(F292="",F292=0),"",D292/F292)</f>
        <v>0.533039647577093</v>
      </c>
      <c r="H292" s="53" t="n">
        <f aca="false">IF(OR(F292="",F292=0),"",E292/F292)</f>
        <v>0.466960352422908</v>
      </c>
      <c r="I292" s="25" t="s">
        <v>128</v>
      </c>
      <c r="J292" s="28" t="n">
        <v>1.88612725432908</v>
      </c>
      <c r="K292" s="28" t="n">
        <f aca="false">$K$8</f>
        <v>0.296197623206382</v>
      </c>
      <c r="L292" s="28" t="n">
        <f aca="false">SQRT(J292^2+K292^2)</f>
        <v>1.909243057213</v>
      </c>
      <c r="M292" s="53" t="n">
        <f aca="false">IF(G292="","",MAX(0,G292-1.96*L292/100))</f>
        <v>0.495618483655718</v>
      </c>
      <c r="N292" s="53" t="n">
        <f aca="false">IF(G292="","",MIN(1,G292+1.96*L292/100))</f>
        <v>0.570460811498467</v>
      </c>
      <c r="O292" s="52" t="n">
        <f aca="false">ROUND(S292*W292,0)</f>
        <v>93</v>
      </c>
      <c r="P292" s="52" t="n">
        <f aca="false">IF(F292="","",ROUND(SQRT((F292*L292/100)^2+(G292*O292)^2),0))</f>
        <v>56</v>
      </c>
      <c r="R292" s="54" t="n">
        <v>2.52345426167891</v>
      </c>
      <c r="S292" s="55" t="n">
        <f aca="false">U292*V292*$F$5</f>
        <v>1362.48372781065</v>
      </c>
      <c r="T292" s="56" t="n">
        <f aca="false">MAX(0,MIN(1,R292/100+$D$5))</f>
        <v>0.532790649725204</v>
      </c>
      <c r="U292" s="56" t="n">
        <v>0.638165680473373</v>
      </c>
      <c r="V292" s="55" t="n">
        <v>2135</v>
      </c>
      <c r="W292" s="56" t="n">
        <v>0.0684752145190268</v>
      </c>
      <c r="X292" s="57" t="s">
        <v>168</v>
      </c>
      <c r="Y292" s="57" t="s">
        <v>130</v>
      </c>
    </row>
    <row r="293" customFormat="false" ht="15" hidden="false" customHeight="false" outlineLevel="0" collapsed="false">
      <c r="A293" s="25" t="s">
        <v>385</v>
      </c>
      <c r="B293" s="25" t="s">
        <v>458</v>
      </c>
      <c r="C293" s="25" t="s">
        <v>460</v>
      </c>
      <c r="D293" s="52" t="n">
        <f aca="false">ROUND(S293*T293,0)</f>
        <v>576</v>
      </c>
      <c r="E293" s="52" t="n">
        <f aca="false">ROUND(S293,0)-D293</f>
        <v>521</v>
      </c>
      <c r="F293" s="52" t="n">
        <f aca="false">IF(COUNTA(D293:E293)=0,"",SUM(D293:E293))</f>
        <v>1097</v>
      </c>
      <c r="G293" s="53" t="n">
        <f aca="false">IF(OR(F293="",F293=0),"",D293/F293)</f>
        <v>0.525068368277119</v>
      </c>
      <c r="H293" s="53" t="n">
        <f aca="false">IF(OR(F293="",F293=0),"",E293/F293)</f>
        <v>0.474931631722881</v>
      </c>
      <c r="I293" s="25" t="s">
        <v>231</v>
      </c>
      <c r="J293" s="28" t="n">
        <v>1.88612725432908</v>
      </c>
      <c r="K293" s="28" t="n">
        <f aca="false">$K$8</f>
        <v>0.296197623206382</v>
      </c>
      <c r="L293" s="28" t="n">
        <f aca="false">SQRT(J293^2+K293^2)</f>
        <v>1.909243057213</v>
      </c>
      <c r="M293" s="53" t="n">
        <f aca="false">IF(G293="","",MAX(0,G293-1.96*L293/100))</f>
        <v>0.487647204355745</v>
      </c>
      <c r="N293" s="53" t="n">
        <f aca="false">IF(G293="","",MIN(1,G293+1.96*L293/100))</f>
        <v>0.562489532198494</v>
      </c>
      <c r="O293" s="52" t="n">
        <f aca="false">ROUND(S293*W293,0)</f>
        <v>75</v>
      </c>
      <c r="P293" s="52" t="n">
        <f aca="false">IF(F293="","",ROUND(SQRT((F293*L293/100)^2+(G293*O293)^2),0))</f>
        <v>45</v>
      </c>
      <c r="R293" s="54" t="n">
        <v>1.74377694372724</v>
      </c>
      <c r="S293" s="55" t="n">
        <f aca="false">U293*V293*$F$5</f>
        <v>1096.75029446997</v>
      </c>
      <c r="T293" s="56" t="n">
        <f aca="false">MAX(0,MIN(1,R293/100+$D$5))</f>
        <v>0.524993876545687</v>
      </c>
      <c r="U293" s="56" t="n">
        <v>0.641801519406637</v>
      </c>
      <c r="V293" s="55" t="n">
        <v>1708.86210348014</v>
      </c>
      <c r="W293" s="56" t="n">
        <v>0.0684752145190268</v>
      </c>
      <c r="X293" s="57" t="s">
        <v>168</v>
      </c>
      <c r="Y293" s="57" t="s">
        <v>233</v>
      </c>
    </row>
    <row r="294" customFormat="false" ht="15" hidden="false" customHeight="false" outlineLevel="0" collapsed="false">
      <c r="A294" s="25" t="s">
        <v>385</v>
      </c>
      <c r="B294" s="25" t="s">
        <v>458</v>
      </c>
      <c r="C294" s="25" t="s">
        <v>461</v>
      </c>
      <c r="D294" s="52" t="n">
        <f aca="false">ROUND(S294*T294,0)</f>
        <v>315</v>
      </c>
      <c r="E294" s="52" t="n">
        <f aca="false">ROUND(S294,0)-D294</f>
        <v>266</v>
      </c>
      <c r="F294" s="52" t="n">
        <f aca="false">IF(COUNTA(D294:E294)=0,"",SUM(D294:E294))</f>
        <v>581</v>
      </c>
      <c r="G294" s="53" t="n">
        <f aca="false">IF(OR(F294="",F294=0),"",D294/F294)</f>
        <v>0.542168674698795</v>
      </c>
      <c r="H294" s="53" t="n">
        <f aca="false">IF(OR(F294="",F294=0),"",E294/F294)</f>
        <v>0.457831325301205</v>
      </c>
      <c r="I294" s="25" t="s">
        <v>231</v>
      </c>
      <c r="J294" s="28" t="n">
        <v>2.37310914384046</v>
      </c>
      <c r="K294" s="28" t="n">
        <f aca="false">$K$8</f>
        <v>0.296197623206382</v>
      </c>
      <c r="L294" s="28" t="n">
        <f aca="false">SQRT(J294^2+K294^2)</f>
        <v>2.3915225360787</v>
      </c>
      <c r="M294" s="53" t="n">
        <f aca="false">IF(G294="","",MAX(0,G294-1.96*L294/100))</f>
        <v>0.495294832991653</v>
      </c>
      <c r="N294" s="53" t="n">
        <f aca="false">IF(G294="","",MIN(1,G294+1.96*L294/100))</f>
        <v>0.589042516405938</v>
      </c>
      <c r="O294" s="52" t="n">
        <f aca="false">ROUND(S294*W294,0)</f>
        <v>52</v>
      </c>
      <c r="P294" s="52" t="n">
        <f aca="false">IF(F294="","",ROUND(SQRT((F294*L294/100)^2+(G294*O294)^2),0))</f>
        <v>31</v>
      </c>
      <c r="R294" s="54" t="n">
        <v>3.4675936398669</v>
      </c>
      <c r="S294" s="55" t="n">
        <f aca="false">U294*V294*$F$5</f>
        <v>581.035155413661</v>
      </c>
      <c r="T294" s="56" t="n">
        <f aca="false">MAX(0,MIN(1,R294/100+$D$5))</f>
        <v>0.542232043507084</v>
      </c>
      <c r="U294" s="56" t="n">
        <v>0.283708571979326</v>
      </c>
      <c r="V294" s="55" t="n">
        <v>2048</v>
      </c>
      <c r="W294" s="56" t="n">
        <v>0.0887445098984521</v>
      </c>
      <c r="X294" s="57" t="s">
        <v>135</v>
      </c>
      <c r="Y294" s="57" t="s">
        <v>130</v>
      </c>
    </row>
    <row r="295" customFormat="false" ht="15" hidden="false" customHeight="false" outlineLevel="0" collapsed="false">
      <c r="A295" s="25" t="s">
        <v>385</v>
      </c>
      <c r="B295" s="25" t="s">
        <v>458</v>
      </c>
      <c r="C295" s="25" t="s">
        <v>462</v>
      </c>
      <c r="D295" s="52" t="n">
        <f aca="false">ROUND(S295*T295,0)</f>
        <v>615</v>
      </c>
      <c r="E295" s="52" t="n">
        <f aca="false">ROUND(S295,0)-D295</f>
        <v>550</v>
      </c>
      <c r="F295" s="52" t="n">
        <f aca="false">IF(COUNTA(D295:E295)=0,"",SUM(D295:E295))</f>
        <v>1165</v>
      </c>
      <c r="G295" s="53" t="n">
        <f aca="false">IF(OR(F295="",F295=0),"",D295/F295)</f>
        <v>0.527896995708155</v>
      </c>
      <c r="H295" s="53" t="n">
        <f aca="false">IF(OR(F295="",F295=0),"",E295/F295)</f>
        <v>0.472103004291846</v>
      </c>
      <c r="I295" s="25" t="s">
        <v>231</v>
      </c>
      <c r="J295" s="28" t="n">
        <v>1.88612725432908</v>
      </c>
      <c r="K295" s="28" t="n">
        <f aca="false">$K$8</f>
        <v>0.296197623206382</v>
      </c>
      <c r="L295" s="28" t="n">
        <f aca="false">SQRT(J295^2+K295^2)</f>
        <v>1.909243057213</v>
      </c>
      <c r="M295" s="53" t="n">
        <f aca="false">IF(G295="","",MAX(0,G295-1.96*L295/100))</f>
        <v>0.49047583178678</v>
      </c>
      <c r="N295" s="53" t="n">
        <f aca="false">IF(G295="","",MIN(1,G295+1.96*L295/100))</f>
        <v>0.565318159629529</v>
      </c>
      <c r="O295" s="52" t="n">
        <f aca="false">ROUND(S295*W295,0)</f>
        <v>80</v>
      </c>
      <c r="P295" s="52" t="n">
        <f aca="false">IF(F295="","",ROUND(SQRT((F295*L295/100)^2+(G295*O295)^2),0))</f>
        <v>48</v>
      </c>
      <c r="R295" s="54" t="n">
        <v>2.052886302455</v>
      </c>
      <c r="S295" s="55" t="n">
        <f aca="false">U295*V295*$F$5</f>
        <v>1165.3300485926</v>
      </c>
      <c r="T295" s="56" t="n">
        <f aca="false">MAX(0,MIN(1,R295/100+$D$5))</f>
        <v>0.528084970132965</v>
      </c>
      <c r="U295" s="56" t="n">
        <v>0.60134773346046</v>
      </c>
      <c r="V295" s="55" t="n">
        <v>1937.86387434555</v>
      </c>
      <c r="W295" s="56" t="n">
        <v>0.0684752145190268</v>
      </c>
      <c r="X295" s="57" t="s">
        <v>168</v>
      </c>
      <c r="Y295" s="57" t="s">
        <v>233</v>
      </c>
    </row>
    <row r="296" customFormat="false" ht="15" hidden="false" customHeight="false" outlineLevel="0" collapsed="false">
      <c r="A296" s="25" t="s">
        <v>385</v>
      </c>
      <c r="B296" s="25" t="s">
        <v>458</v>
      </c>
      <c r="C296" s="25" t="s">
        <v>463</v>
      </c>
      <c r="D296" s="52" t="n">
        <f aca="false">ROUND(S296*T296,0)</f>
        <v>534</v>
      </c>
      <c r="E296" s="52" t="n">
        <f aca="false">ROUND(S296,0)-D296</f>
        <v>479</v>
      </c>
      <c r="F296" s="52" t="n">
        <f aca="false">IF(COUNTA(D296:E296)=0,"",SUM(D296:E296))</f>
        <v>1013</v>
      </c>
      <c r="G296" s="53" t="n">
        <f aca="false">IF(OR(F296="",F296=0),"",D296/F296)</f>
        <v>0.527147087857848</v>
      </c>
      <c r="H296" s="53" t="n">
        <f aca="false">IF(OR(F296="",F296=0),"",E296/F296)</f>
        <v>0.472852912142152</v>
      </c>
      <c r="I296" s="25" t="s">
        <v>128</v>
      </c>
      <c r="J296" s="28" t="n">
        <v>1.88612725432908</v>
      </c>
      <c r="K296" s="28" t="n">
        <f aca="false">$K$8</f>
        <v>0.296197623206382</v>
      </c>
      <c r="L296" s="28" t="n">
        <f aca="false">SQRT(J296^2+K296^2)</f>
        <v>1.909243057213</v>
      </c>
      <c r="M296" s="53" t="n">
        <f aca="false">IF(G296="","",MAX(0,G296-1.96*L296/100))</f>
        <v>0.489725923936473</v>
      </c>
      <c r="N296" s="53" t="n">
        <f aca="false">IF(G296="","",MIN(1,G296+1.96*L296/100))</f>
        <v>0.564568251779223</v>
      </c>
      <c r="O296" s="52" t="n">
        <f aca="false">ROUND(S296*W296,0)</f>
        <v>69</v>
      </c>
      <c r="P296" s="52" t="n">
        <f aca="false">IF(F296="","",ROUND(SQRT((F296*L296/100)^2+(G296*O296)^2),0))</f>
        <v>41</v>
      </c>
      <c r="R296" s="54" t="n">
        <v>1.99017549648479</v>
      </c>
      <c r="S296" s="55" t="n">
        <f aca="false">U296*V296*$F$5</f>
        <v>1012.91514143095</v>
      </c>
      <c r="T296" s="56" t="n">
        <f aca="false">MAX(0,MIN(1,R296/100+$D$5))</f>
        <v>0.527457862073263</v>
      </c>
      <c r="U296" s="56" t="n">
        <v>0.613144758735441</v>
      </c>
      <c r="V296" s="55" t="n">
        <v>1652</v>
      </c>
      <c r="W296" s="56" t="n">
        <v>0.0684752145190268</v>
      </c>
      <c r="X296" s="57" t="s">
        <v>168</v>
      </c>
      <c r="Y296" s="57" t="s">
        <v>130</v>
      </c>
    </row>
    <row r="297" customFormat="false" ht="15" hidden="false" customHeight="false" outlineLevel="0" collapsed="false">
      <c r="A297" s="25" t="s">
        <v>385</v>
      </c>
      <c r="B297" s="25" t="s">
        <v>458</v>
      </c>
      <c r="C297" s="25" t="s">
        <v>464</v>
      </c>
      <c r="D297" s="52" t="n">
        <f aca="false">ROUND(S297*T297,0)</f>
        <v>629</v>
      </c>
      <c r="E297" s="52" t="n">
        <f aca="false">ROUND(S297,0)-D297</f>
        <v>571</v>
      </c>
      <c r="F297" s="52" t="n">
        <f aca="false">IF(COUNTA(D297:E297)=0,"",SUM(D297:E297))</f>
        <v>1200</v>
      </c>
      <c r="G297" s="53" t="n">
        <f aca="false">IF(OR(F297="",F297=0),"",D297/F297)</f>
        <v>0.524166666666667</v>
      </c>
      <c r="H297" s="53" t="n">
        <f aca="false">IF(OR(F297="",F297=0),"",E297/F297)</f>
        <v>0.475833333333333</v>
      </c>
      <c r="I297" s="25" t="s">
        <v>231</v>
      </c>
      <c r="J297" s="28" t="n">
        <v>1.88612725432908</v>
      </c>
      <c r="K297" s="28" t="n">
        <f aca="false">$K$8</f>
        <v>0.296197623206382</v>
      </c>
      <c r="L297" s="28" t="n">
        <f aca="false">SQRT(J297^2+K297^2)</f>
        <v>1.909243057213</v>
      </c>
      <c r="M297" s="53" t="n">
        <f aca="false">IF(G297="","",MAX(0,G297-1.96*L297/100))</f>
        <v>0.486745502745292</v>
      </c>
      <c r="N297" s="53" t="n">
        <f aca="false">IF(G297="","",MIN(1,G297+1.96*L297/100))</f>
        <v>0.561587830588042</v>
      </c>
      <c r="O297" s="52" t="n">
        <f aca="false">ROUND(S297*W297,0)</f>
        <v>82</v>
      </c>
      <c r="P297" s="52" t="n">
        <f aca="false">IF(F297="","",ROUND(SQRT((F297*L297/100)^2+(G297*O297)^2),0))</f>
        <v>49</v>
      </c>
      <c r="R297" s="54" t="n">
        <v>1.67780001644876</v>
      </c>
      <c r="S297" s="55" t="n">
        <f aca="false">U297*V297*$F$5</f>
        <v>1199.88122011757</v>
      </c>
      <c r="T297" s="56" t="n">
        <f aca="false">MAX(0,MIN(1,R297/100+$D$5))</f>
        <v>0.524334107272902</v>
      </c>
      <c r="U297" s="56" t="n">
        <v>0.617879182182459</v>
      </c>
      <c r="V297" s="55" t="n">
        <v>1941.93501693871</v>
      </c>
      <c r="W297" s="56" t="n">
        <v>0.0684752145190268</v>
      </c>
      <c r="X297" s="57" t="s">
        <v>168</v>
      </c>
      <c r="Y297" s="57" t="s">
        <v>233</v>
      </c>
    </row>
    <row r="298" customFormat="false" ht="15" hidden="false" customHeight="false" outlineLevel="0" collapsed="false">
      <c r="A298" s="25" t="s">
        <v>385</v>
      </c>
      <c r="B298" s="25" t="s">
        <v>458</v>
      </c>
      <c r="C298" s="25" t="s">
        <v>465</v>
      </c>
      <c r="D298" s="52" t="n">
        <f aca="false">ROUND(S298*T298,0)</f>
        <v>315</v>
      </c>
      <c r="E298" s="52" t="n">
        <f aca="false">ROUND(S298,0)-D298</f>
        <v>294</v>
      </c>
      <c r="F298" s="52" t="n">
        <f aca="false">IF(COUNTA(D298:E298)=0,"",SUM(D298:E298))</f>
        <v>609</v>
      </c>
      <c r="G298" s="53" t="n">
        <f aca="false">IF(OR(F298="",F298=0),"",D298/F298)</f>
        <v>0.517241379310345</v>
      </c>
      <c r="H298" s="53" t="n">
        <f aca="false">IF(OR(F298="",F298=0),"",E298/F298)</f>
        <v>0.482758620689655</v>
      </c>
      <c r="I298" s="25" t="s">
        <v>231</v>
      </c>
      <c r="J298" s="28" t="n">
        <v>2.37310914384046</v>
      </c>
      <c r="K298" s="28" t="n">
        <f aca="false">$K$8</f>
        <v>0.296197623206382</v>
      </c>
      <c r="L298" s="28" t="n">
        <f aca="false">SQRT(J298^2+K298^2)</f>
        <v>2.3915225360787</v>
      </c>
      <c r="M298" s="53" t="n">
        <f aca="false">IF(G298="","",MAX(0,G298-1.96*L298/100))</f>
        <v>0.470367537603202</v>
      </c>
      <c r="N298" s="53" t="n">
        <f aca="false">IF(G298="","",MIN(1,G298+1.96*L298/100))</f>
        <v>0.564115221017488</v>
      </c>
      <c r="O298" s="52" t="n">
        <f aca="false">ROUND(S298*W298,0)</f>
        <v>54</v>
      </c>
      <c r="P298" s="52" t="n">
        <f aca="false">IF(F298="","",ROUND(SQRT((F298*L298/100)^2+(G298*O298)^2),0))</f>
        <v>32</v>
      </c>
      <c r="R298" s="54" t="n">
        <v>0.967439973205653</v>
      </c>
      <c r="S298" s="55" t="n">
        <f aca="false">U298*V298*$F$5</f>
        <v>609.080306436487</v>
      </c>
      <c r="T298" s="56" t="n">
        <f aca="false">MAX(0,MIN(1,R298/100+$D$5))</f>
        <v>0.517230506840471</v>
      </c>
      <c r="U298" s="56" t="n">
        <v>0.34508799231529</v>
      </c>
      <c r="V298" s="55" t="n">
        <v>1765</v>
      </c>
      <c r="W298" s="56" t="n">
        <v>0.0887445098984521</v>
      </c>
      <c r="X298" s="57" t="s">
        <v>135</v>
      </c>
      <c r="Y298" s="57" t="s">
        <v>130</v>
      </c>
    </row>
    <row r="299" customFormat="false" ht="15" hidden="false" customHeight="false" outlineLevel="0" collapsed="false">
      <c r="A299" s="25" t="s">
        <v>385</v>
      </c>
      <c r="B299" s="25" t="s">
        <v>466</v>
      </c>
      <c r="C299" s="25" t="s">
        <v>466</v>
      </c>
      <c r="D299" s="52" t="n">
        <f aca="false">ROUND(S299*T299,0)</f>
        <v>492</v>
      </c>
      <c r="E299" s="52" t="n">
        <f aca="false">ROUND(S299,0)-D299</f>
        <v>319</v>
      </c>
      <c r="F299" s="52" t="n">
        <f aca="false">IF(COUNTA(D299:E299)=0,"",SUM(D299:E299))</f>
        <v>811</v>
      </c>
      <c r="G299" s="53" t="n">
        <f aca="false">IF(OR(F299="",F299=0),"",D299/F299)</f>
        <v>0.606658446362515</v>
      </c>
      <c r="H299" s="53" t="n">
        <f aca="false">IF(OR(F299="",F299=0),"",E299/F299)</f>
        <v>0.393341553637485</v>
      </c>
      <c r="I299" s="25" t="s">
        <v>128</v>
      </c>
      <c r="J299" s="28" t="n">
        <v>2.37310914384046</v>
      </c>
      <c r="K299" s="28" t="n">
        <f aca="false">$K$8</f>
        <v>0.296197623206382</v>
      </c>
      <c r="L299" s="28" t="n">
        <f aca="false">SQRT(J299^2+K299^2)</f>
        <v>2.3915225360787</v>
      </c>
      <c r="M299" s="53" t="n">
        <f aca="false">IF(G299="","",MAX(0,G299-1.96*L299/100))</f>
        <v>0.559784604655373</v>
      </c>
      <c r="N299" s="53" t="n">
        <f aca="false">IF(G299="","",MIN(1,G299+1.96*L299/100))</f>
        <v>0.653532288069658</v>
      </c>
      <c r="O299" s="52" t="n">
        <f aca="false">ROUND(S299*W299,0)</f>
        <v>72</v>
      </c>
      <c r="P299" s="52" t="n">
        <f aca="false">IF(F299="","",ROUND(SQRT((F299*L299/100)^2+(G299*O299)^2),0))</f>
        <v>48</v>
      </c>
      <c r="R299" s="54" t="n">
        <v>9.90693389882842</v>
      </c>
      <c r="S299" s="55" t="n">
        <f aca="false">U299*V299*$F$5</f>
        <v>811.2722513089</v>
      </c>
      <c r="T299" s="56" t="n">
        <f aca="false">MAX(0,MIN(1,R299/100+$D$5))</f>
        <v>0.606625446096699</v>
      </c>
      <c r="U299" s="56" t="n">
        <v>0.424083769633508</v>
      </c>
      <c r="V299" s="55" t="n">
        <v>1913</v>
      </c>
      <c r="W299" s="56" t="n">
        <v>0.0887445098984521</v>
      </c>
      <c r="X299" s="57" t="s">
        <v>135</v>
      </c>
      <c r="Y299" s="57" t="s">
        <v>130</v>
      </c>
    </row>
    <row r="300" customFormat="false" ht="15" hidden="false" customHeight="false" outlineLevel="0" collapsed="false">
      <c r="A300" s="25" t="s">
        <v>385</v>
      </c>
      <c r="B300" s="25" t="s">
        <v>467</v>
      </c>
      <c r="C300" s="25" t="s">
        <v>467</v>
      </c>
      <c r="D300" s="52" t="n">
        <f aca="false">ROUND(S300*T300,0)</f>
        <v>77</v>
      </c>
      <c r="E300" s="52" t="n">
        <f aca="false">ROUND(S300,0)-D300</f>
        <v>67</v>
      </c>
      <c r="F300" s="52" t="n">
        <f aca="false">IF(COUNTA(D300:E300)=0,"",SUM(D300:E300))</f>
        <v>144</v>
      </c>
      <c r="G300" s="53" t="n">
        <f aca="false">IF(OR(F300="",F300=0),"",D300/F300)</f>
        <v>0.534722222222222</v>
      </c>
      <c r="H300" s="53" t="n">
        <f aca="false">IF(OR(F300="",F300=0),"",E300/F300)</f>
        <v>0.465277777777778</v>
      </c>
      <c r="I300" s="25" t="s">
        <v>128</v>
      </c>
      <c r="J300" s="28" t="n">
        <v>3.71103496666907</v>
      </c>
      <c r="K300" s="28" t="n">
        <f aca="false">$K$8</f>
        <v>0.296197623206382</v>
      </c>
      <c r="L300" s="28" t="n">
        <f aca="false">SQRT(J300^2+K300^2)</f>
        <v>3.72283676191068</v>
      </c>
      <c r="M300" s="53" t="n">
        <f aca="false">IF(G300="","",MAX(0,G300-1.96*L300/100))</f>
        <v>0.461754621688773</v>
      </c>
      <c r="N300" s="53" t="n">
        <f aca="false">IF(G300="","",MIN(1,G300+1.96*L300/100))</f>
        <v>0.607689822755672</v>
      </c>
      <c r="O300" s="52" t="n">
        <f aca="false">ROUND(S300*W300,0)</f>
        <v>21</v>
      </c>
      <c r="P300" s="52" t="n">
        <f aca="false">IF(F300="","",ROUND(SQRT((F300*L300/100)^2+(G300*O300)^2),0))</f>
        <v>12</v>
      </c>
      <c r="R300" s="54" t="n">
        <v>2.54028892297807</v>
      </c>
      <c r="S300" s="55" t="n">
        <f aca="false">U300*V300*$F$5</f>
        <v>143.630597014925</v>
      </c>
      <c r="T300" s="56" t="n">
        <f aca="false">MAX(0,MIN(1,R300/100+$D$5))</f>
        <v>0.532958996338195</v>
      </c>
      <c r="U300" s="56" t="n">
        <v>0.526119402985075</v>
      </c>
      <c r="V300" s="55" t="n">
        <v>273</v>
      </c>
      <c r="W300" s="56" t="n">
        <v>0.148097331980838</v>
      </c>
      <c r="X300" s="57" t="s">
        <v>129</v>
      </c>
      <c r="Y300" s="57" t="s">
        <v>130</v>
      </c>
    </row>
    <row r="301" customFormat="false" ht="15" hidden="false" customHeight="false" outlineLevel="0" collapsed="false">
      <c r="A301" s="25" t="s">
        <v>385</v>
      </c>
      <c r="B301" s="25" t="s">
        <v>292</v>
      </c>
      <c r="C301" s="25" t="s">
        <v>468</v>
      </c>
      <c r="D301" s="52" t="n">
        <f aca="false">ROUND(S301*T301,0)</f>
        <v>773</v>
      </c>
      <c r="E301" s="52" t="n">
        <f aca="false">ROUND(S301,0)-D301</f>
        <v>523</v>
      </c>
      <c r="F301" s="52" t="n">
        <f aca="false">IF(COUNTA(D301:E301)=0,"",SUM(D301:E301))</f>
        <v>1296</v>
      </c>
      <c r="G301" s="53" t="n">
        <f aca="false">IF(OR(F301="",F301=0),"",D301/F301)</f>
        <v>0.596450617283951</v>
      </c>
      <c r="H301" s="53" t="n">
        <f aca="false">IF(OR(F301="",F301=0),"",E301/F301)</f>
        <v>0.403549382716049</v>
      </c>
      <c r="I301" s="25" t="s">
        <v>128</v>
      </c>
      <c r="J301" s="28" t="n">
        <v>1.88612725432908</v>
      </c>
      <c r="K301" s="28" t="n">
        <f aca="false">$K$8</f>
        <v>0.296197623206382</v>
      </c>
      <c r="L301" s="28" t="n">
        <f aca="false">SQRT(J301^2+K301^2)</f>
        <v>1.909243057213</v>
      </c>
      <c r="M301" s="53" t="n">
        <f aca="false">IF(G301="","",MAX(0,G301-1.96*L301/100))</f>
        <v>0.559029453362576</v>
      </c>
      <c r="N301" s="53" t="n">
        <f aca="false">IF(G301="","",MIN(1,G301+1.96*L301/100))</f>
        <v>0.633871781205326</v>
      </c>
      <c r="O301" s="52" t="n">
        <f aca="false">ROUND(S301*W301,0)</f>
        <v>89</v>
      </c>
      <c r="P301" s="52" t="n">
        <f aca="false">IF(F301="","",ROUND(SQRT((F301*L301/100)^2+(G301*O301)^2),0))</f>
        <v>59</v>
      </c>
      <c r="R301" s="54" t="n">
        <v>8.91976093179532</v>
      </c>
      <c r="S301" s="55" t="n">
        <f aca="false">U301*V301*$F$5</f>
        <v>1296.13085052843</v>
      </c>
      <c r="T301" s="56" t="n">
        <f aca="false">MAX(0,MIN(1,R301/100+$D$5))</f>
        <v>0.596753716426368</v>
      </c>
      <c r="U301" s="56" t="n">
        <v>0.662304982385506</v>
      </c>
      <c r="V301" s="55" t="n">
        <v>1957</v>
      </c>
      <c r="W301" s="56" t="n">
        <v>0.0684752145190268</v>
      </c>
      <c r="X301" s="57" t="s">
        <v>168</v>
      </c>
      <c r="Y301" s="57" t="s">
        <v>130</v>
      </c>
    </row>
    <row r="302" customFormat="false" ht="15" hidden="false" customHeight="false" outlineLevel="0" collapsed="false">
      <c r="A302" s="25" t="s">
        <v>385</v>
      </c>
      <c r="B302" s="25" t="s">
        <v>292</v>
      </c>
      <c r="C302" s="25" t="s">
        <v>469</v>
      </c>
      <c r="D302" s="52" t="n">
        <f aca="false">ROUND(S302*T302,0)</f>
        <v>741</v>
      </c>
      <c r="E302" s="52" t="n">
        <f aca="false">ROUND(S302,0)-D302</f>
        <v>573</v>
      </c>
      <c r="F302" s="52" t="n">
        <f aca="false">IF(COUNTA(D302:E302)=0,"",SUM(D302:E302))</f>
        <v>1314</v>
      </c>
      <c r="G302" s="53" t="n">
        <f aca="false">IF(OR(F302="",F302=0),"",D302/F302)</f>
        <v>0.563926940639269</v>
      </c>
      <c r="H302" s="53" t="n">
        <f aca="false">IF(OR(F302="",F302=0),"",E302/F302)</f>
        <v>0.436073059360731</v>
      </c>
      <c r="I302" s="25" t="s">
        <v>128</v>
      </c>
      <c r="J302" s="28" t="n">
        <v>1.88612725432908</v>
      </c>
      <c r="K302" s="28" t="n">
        <f aca="false">$K$8</f>
        <v>0.296197623206382</v>
      </c>
      <c r="L302" s="28" t="n">
        <f aca="false">SQRT(J302^2+K302^2)</f>
        <v>1.909243057213</v>
      </c>
      <c r="M302" s="53" t="n">
        <f aca="false">IF(G302="","",MAX(0,G302-1.96*L302/100))</f>
        <v>0.526505776717895</v>
      </c>
      <c r="N302" s="53" t="n">
        <f aca="false">IF(G302="","",MIN(1,G302+1.96*L302/100))</f>
        <v>0.601348104560644</v>
      </c>
      <c r="O302" s="52" t="n">
        <f aca="false">ROUND(S302*W302,0)</f>
        <v>90</v>
      </c>
      <c r="P302" s="52" t="n">
        <f aca="false">IF(F302="","",ROUND(SQRT((F302*L302/100)^2+(G302*O302)^2),0))</f>
        <v>57</v>
      </c>
      <c r="R302" s="54" t="n">
        <v>5.63284679891564</v>
      </c>
      <c r="S302" s="55" t="n">
        <f aca="false">U302*V302*$F$5</f>
        <v>1313.559</v>
      </c>
      <c r="T302" s="56" t="n">
        <f aca="false">MAX(0,MIN(1,R302/100+$D$5))</f>
        <v>0.563884575097571</v>
      </c>
      <c r="U302" s="56" t="n">
        <v>0.6695</v>
      </c>
      <c r="V302" s="55" t="n">
        <v>1962</v>
      </c>
      <c r="W302" s="56" t="n">
        <v>0.0684752145190268</v>
      </c>
      <c r="X302" s="57" t="s">
        <v>168</v>
      </c>
      <c r="Y302" s="57" t="s">
        <v>130</v>
      </c>
    </row>
    <row r="303" customFormat="false" ht="15" hidden="false" customHeight="false" outlineLevel="0" collapsed="false">
      <c r="A303" s="25" t="s">
        <v>385</v>
      </c>
      <c r="B303" s="25" t="s">
        <v>292</v>
      </c>
      <c r="C303" s="25" t="s">
        <v>470</v>
      </c>
      <c r="D303" s="52" t="n">
        <f aca="false">ROUND(S303*T303,0)</f>
        <v>388</v>
      </c>
      <c r="E303" s="52" t="n">
        <f aca="false">ROUND(S303,0)-D303</f>
        <v>342</v>
      </c>
      <c r="F303" s="52" t="n">
        <f aca="false">IF(COUNTA(D303:E303)=0,"",SUM(D303:E303))</f>
        <v>730</v>
      </c>
      <c r="G303" s="53" t="n">
        <f aca="false">IF(OR(F303="",F303=0),"",D303/F303)</f>
        <v>0.531506849315069</v>
      </c>
      <c r="H303" s="53" t="n">
        <f aca="false">IF(OR(F303="",F303=0),"",E303/F303)</f>
        <v>0.468493150684932</v>
      </c>
      <c r="I303" s="25" t="s">
        <v>128</v>
      </c>
      <c r="J303" s="28" t="n">
        <v>2.37310914384046</v>
      </c>
      <c r="K303" s="28" t="n">
        <f aca="false">$K$8</f>
        <v>0.296197623206382</v>
      </c>
      <c r="L303" s="28" t="n">
        <f aca="false">SQRT(J303^2+K303^2)</f>
        <v>2.3915225360787</v>
      </c>
      <c r="M303" s="53" t="n">
        <f aca="false">IF(G303="","",MAX(0,G303-1.96*L303/100))</f>
        <v>0.484633007607926</v>
      </c>
      <c r="N303" s="53" t="n">
        <f aca="false">IF(G303="","",MIN(1,G303+1.96*L303/100))</f>
        <v>0.578380691022211</v>
      </c>
      <c r="O303" s="52" t="n">
        <f aca="false">ROUND(S303*W303,0)</f>
        <v>65</v>
      </c>
      <c r="P303" s="52" t="n">
        <f aca="false">IF(F303="","",ROUND(SQRT((F303*L303/100)^2+(G303*O303)^2),0))</f>
        <v>39</v>
      </c>
      <c r="R303" s="54" t="n">
        <v>2.30555398771669</v>
      </c>
      <c r="S303" s="55" t="n">
        <f aca="false">U303*V303*$F$5</f>
        <v>730.386706948641</v>
      </c>
      <c r="T303" s="56" t="n">
        <f aca="false">MAX(0,MIN(1,R303/100+$D$5))</f>
        <v>0.530611646985582</v>
      </c>
      <c r="U303" s="56" t="n">
        <v>0.731117824773414</v>
      </c>
      <c r="V303" s="55" t="n">
        <v>999</v>
      </c>
      <c r="W303" s="56" t="n">
        <v>0.0887445098984521</v>
      </c>
      <c r="X303" s="57" t="s">
        <v>135</v>
      </c>
      <c r="Y303" s="57" t="s">
        <v>130</v>
      </c>
    </row>
    <row r="304" customFormat="false" ht="15" hidden="false" customHeight="false" outlineLevel="0" collapsed="false">
      <c r="A304" s="25" t="s">
        <v>385</v>
      </c>
      <c r="B304" s="25" t="s">
        <v>292</v>
      </c>
      <c r="C304" s="25" t="s">
        <v>471</v>
      </c>
      <c r="D304" s="52" t="n">
        <f aca="false">ROUND(S304*T304,0)</f>
        <v>614</v>
      </c>
      <c r="E304" s="52" t="n">
        <f aca="false">ROUND(S304,0)-D304</f>
        <v>541</v>
      </c>
      <c r="F304" s="52" t="n">
        <f aca="false">IF(COUNTA(D304:E304)=0,"",SUM(D304:E304))</f>
        <v>1155</v>
      </c>
      <c r="G304" s="53" t="n">
        <f aca="false">IF(OR(F304="",F304=0),"",D304/F304)</f>
        <v>0.531601731601732</v>
      </c>
      <c r="H304" s="53" t="n">
        <f aca="false">IF(OR(F304="",F304=0),"",E304/F304)</f>
        <v>0.468398268398268</v>
      </c>
      <c r="I304" s="25" t="s">
        <v>128</v>
      </c>
      <c r="J304" s="28" t="n">
        <v>1.88612725432908</v>
      </c>
      <c r="K304" s="28" t="n">
        <f aca="false">$K$8</f>
        <v>0.296197623206382</v>
      </c>
      <c r="L304" s="28" t="n">
        <f aca="false">SQRT(J304^2+K304^2)</f>
        <v>1.909243057213</v>
      </c>
      <c r="M304" s="53" t="n">
        <f aca="false">IF(G304="","",MAX(0,G304-1.96*L304/100))</f>
        <v>0.494180567680357</v>
      </c>
      <c r="N304" s="53" t="n">
        <f aca="false">IF(G304="","",MIN(1,G304+1.96*L304/100))</f>
        <v>0.569022895523107</v>
      </c>
      <c r="O304" s="52" t="n">
        <f aca="false">ROUND(S304*W304,0)</f>
        <v>79</v>
      </c>
      <c r="P304" s="52" t="n">
        <f aca="false">IF(F304="","",ROUND(SQRT((F304*L304/100)^2+(G304*O304)^2),0))</f>
        <v>47</v>
      </c>
      <c r="R304" s="54" t="n">
        <v>2.41992849386902</v>
      </c>
      <c r="S304" s="55" t="n">
        <f aca="false">U304*V304*$F$5</f>
        <v>1154.58674351585</v>
      </c>
      <c r="T304" s="56" t="n">
        <f aca="false">MAX(0,MIN(1,R304/100+$D$5))</f>
        <v>0.531755392047105</v>
      </c>
      <c r="U304" s="56" t="n">
        <v>0.660518731988472</v>
      </c>
      <c r="V304" s="55" t="n">
        <v>1748</v>
      </c>
      <c r="W304" s="56" t="n">
        <v>0.0684752145190268</v>
      </c>
      <c r="X304" s="57" t="s">
        <v>168</v>
      </c>
      <c r="Y304" s="57" t="s">
        <v>130</v>
      </c>
    </row>
    <row r="305" customFormat="false" ht="15" hidden="false" customHeight="false" outlineLevel="0" collapsed="false">
      <c r="A305" s="25" t="s">
        <v>385</v>
      </c>
      <c r="B305" s="25" t="s">
        <v>292</v>
      </c>
      <c r="C305" s="25" t="s">
        <v>472</v>
      </c>
      <c r="D305" s="52" t="n">
        <f aca="false">ROUND(S305*T305,0)</f>
        <v>672</v>
      </c>
      <c r="E305" s="52" t="n">
        <f aca="false">ROUND(S305,0)-D305</f>
        <v>529</v>
      </c>
      <c r="F305" s="52" t="n">
        <f aca="false">IF(COUNTA(D305:E305)=0,"",SUM(D305:E305))</f>
        <v>1201</v>
      </c>
      <c r="G305" s="53" t="n">
        <f aca="false">IF(OR(F305="",F305=0),"",D305/F305)</f>
        <v>0.559533721898418</v>
      </c>
      <c r="H305" s="53" t="n">
        <f aca="false">IF(OR(F305="",F305=0),"",E305/F305)</f>
        <v>0.440466278101582</v>
      </c>
      <c r="I305" s="25" t="s">
        <v>128</v>
      </c>
      <c r="J305" s="28" t="n">
        <v>1.88612725432908</v>
      </c>
      <c r="K305" s="28" t="n">
        <f aca="false">$K$8</f>
        <v>0.296197623206382</v>
      </c>
      <c r="L305" s="28" t="n">
        <f aca="false">SQRT(J305^2+K305^2)</f>
        <v>1.909243057213</v>
      </c>
      <c r="M305" s="53" t="n">
        <f aca="false">IF(G305="","",MAX(0,G305-1.96*L305/100))</f>
        <v>0.522112557977043</v>
      </c>
      <c r="N305" s="53" t="n">
        <f aca="false">IF(G305="","",MIN(1,G305+1.96*L305/100))</f>
        <v>0.596954885819793</v>
      </c>
      <c r="O305" s="52" t="n">
        <f aca="false">ROUND(S305*W305,0)</f>
        <v>82</v>
      </c>
      <c r="P305" s="52" t="n">
        <f aca="false">IF(F305="","",ROUND(SQRT((F305*L305/100)^2+(G305*O305)^2),0))</f>
        <v>51</v>
      </c>
      <c r="R305" s="54" t="n">
        <v>5.22313061893148</v>
      </c>
      <c r="S305" s="55" t="n">
        <f aca="false">U305*V305*$F$5</f>
        <v>1201.08993448481</v>
      </c>
      <c r="T305" s="56" t="n">
        <f aca="false">MAX(0,MIN(1,R305/100+$D$5))</f>
        <v>0.559787413297729</v>
      </c>
      <c r="U305" s="56" t="n">
        <v>0.687909469922573</v>
      </c>
      <c r="V305" s="55" t="n">
        <v>1746</v>
      </c>
      <c r="W305" s="56" t="n">
        <v>0.0684752145190268</v>
      </c>
      <c r="X305" s="57" t="s">
        <v>168</v>
      </c>
      <c r="Y305" s="57" t="s">
        <v>130</v>
      </c>
    </row>
    <row r="306" customFormat="false" ht="15" hidden="false" customHeight="false" outlineLevel="0" collapsed="false">
      <c r="A306" s="25" t="s">
        <v>385</v>
      </c>
      <c r="B306" s="25" t="s">
        <v>292</v>
      </c>
      <c r="C306" s="25" t="s">
        <v>473</v>
      </c>
      <c r="D306" s="52" t="n">
        <f aca="false">ROUND(S306*T306,0)</f>
        <v>395</v>
      </c>
      <c r="E306" s="52" t="n">
        <f aca="false">ROUND(S306,0)-D306</f>
        <v>335</v>
      </c>
      <c r="F306" s="52" t="n">
        <f aca="false">IF(COUNTA(D306:E306)=0,"",SUM(D306:E306))</f>
        <v>730</v>
      </c>
      <c r="G306" s="53" t="n">
        <f aca="false">IF(OR(F306="",F306=0),"",D306/F306)</f>
        <v>0.541095890410959</v>
      </c>
      <c r="H306" s="53" t="n">
        <f aca="false">IF(OR(F306="",F306=0),"",E306/F306)</f>
        <v>0.458904109589041</v>
      </c>
      <c r="I306" s="25" t="s">
        <v>128</v>
      </c>
      <c r="J306" s="28" t="n">
        <v>2.37310914384046</v>
      </c>
      <c r="K306" s="28" t="n">
        <f aca="false">$K$8</f>
        <v>0.296197623206382</v>
      </c>
      <c r="L306" s="28" t="n">
        <f aca="false">SQRT(J306^2+K306^2)</f>
        <v>2.3915225360787</v>
      </c>
      <c r="M306" s="53" t="n">
        <f aca="false">IF(G306="","",MAX(0,G306-1.96*L306/100))</f>
        <v>0.494222048703816</v>
      </c>
      <c r="N306" s="53" t="n">
        <f aca="false">IF(G306="","",MIN(1,G306+1.96*L306/100))</f>
        <v>0.587969732118102</v>
      </c>
      <c r="O306" s="52" t="n">
        <f aca="false">ROUND(S306*W306,0)</f>
        <v>65</v>
      </c>
      <c r="P306" s="52" t="n">
        <f aca="false">IF(F306="","",ROUND(SQRT((F306*L306/100)^2+(G306*O306)^2),0))</f>
        <v>39</v>
      </c>
      <c r="R306" s="54" t="n">
        <v>3.33080579968537</v>
      </c>
      <c r="S306" s="55" t="n">
        <f aca="false">U306*V306*$F$5</f>
        <v>730.182352941177</v>
      </c>
      <c r="T306" s="56" t="n">
        <f aca="false">MAX(0,MIN(1,R306/100+$D$5))</f>
        <v>0.540864165105268</v>
      </c>
      <c r="U306" s="56" t="n">
        <v>0.647899159663866</v>
      </c>
      <c r="V306" s="55" t="n">
        <v>1127</v>
      </c>
      <c r="W306" s="56" t="n">
        <v>0.0887445098984521</v>
      </c>
      <c r="X306" s="57" t="s">
        <v>135</v>
      </c>
      <c r="Y306" s="57" t="s">
        <v>130</v>
      </c>
    </row>
    <row r="307" customFormat="false" ht="15" hidden="false" customHeight="false" outlineLevel="0" collapsed="false">
      <c r="A307" s="25" t="s">
        <v>385</v>
      </c>
      <c r="B307" s="25" t="s">
        <v>474</v>
      </c>
      <c r="C307" s="25" t="s">
        <v>475</v>
      </c>
      <c r="D307" s="52" t="n">
        <f aca="false">ROUND(S307*T307,0)</f>
        <v>453</v>
      </c>
      <c r="E307" s="52" t="n">
        <f aca="false">ROUND(S307,0)-D307</f>
        <v>457</v>
      </c>
      <c r="F307" s="52" t="n">
        <f aca="false">IF(COUNTA(D307:E307)=0,"",SUM(D307:E307))</f>
        <v>910</v>
      </c>
      <c r="G307" s="53" t="n">
        <f aca="false">IF(OR(F307="",F307=0),"",D307/F307)</f>
        <v>0.497802197802198</v>
      </c>
      <c r="H307" s="53" t="n">
        <f aca="false">IF(OR(F307="",F307=0),"",E307/F307)</f>
        <v>0.502197802197802</v>
      </c>
      <c r="I307" s="25" t="s">
        <v>128</v>
      </c>
      <c r="J307" s="28" t="n">
        <v>2.37310914384046</v>
      </c>
      <c r="K307" s="28" t="n">
        <f aca="false">$K$8</f>
        <v>0.296197623206382</v>
      </c>
      <c r="L307" s="28" t="n">
        <f aca="false">SQRT(J307^2+K307^2)</f>
        <v>2.3915225360787</v>
      </c>
      <c r="M307" s="53" t="n">
        <f aca="false">IF(G307="","",MAX(0,G307-1.96*L307/100))</f>
        <v>0.450928356095055</v>
      </c>
      <c r="N307" s="53" t="n">
        <f aca="false">IF(G307="","",MIN(1,G307+1.96*L307/100))</f>
        <v>0.54467603950934</v>
      </c>
      <c r="O307" s="52" t="n">
        <f aca="false">ROUND(S307*W307,0)</f>
        <v>81</v>
      </c>
      <c r="P307" s="52" t="n">
        <f aca="false">IF(F307="","",ROUND(SQRT((F307*L307/100)^2+(G307*O307)^2),0))</f>
        <v>46</v>
      </c>
      <c r="R307" s="54" t="n">
        <v>-1.02920940396126</v>
      </c>
      <c r="S307" s="55" t="n">
        <f aca="false">U307*V307*$F$5</f>
        <v>910.483425414365</v>
      </c>
      <c r="T307" s="56" t="n">
        <f aca="false">MAX(0,MIN(1,R307/100+$D$5))</f>
        <v>0.497264013068802</v>
      </c>
      <c r="U307" s="56" t="n">
        <v>0.604972375690608</v>
      </c>
      <c r="V307" s="55" t="n">
        <v>1505</v>
      </c>
      <c r="W307" s="56" t="n">
        <v>0.0887445098984521</v>
      </c>
      <c r="X307" s="57" t="s">
        <v>135</v>
      </c>
      <c r="Y307" s="57" t="s">
        <v>130</v>
      </c>
    </row>
    <row r="308" customFormat="false" ht="15" hidden="false" customHeight="false" outlineLevel="0" collapsed="false">
      <c r="A308" s="25" t="s">
        <v>385</v>
      </c>
      <c r="B308" s="25" t="s">
        <v>474</v>
      </c>
      <c r="C308" s="25" t="s">
        <v>476</v>
      </c>
      <c r="D308" s="52" t="n">
        <f aca="false">ROUND(S308*T308,0)</f>
        <v>365</v>
      </c>
      <c r="E308" s="52" t="n">
        <f aca="false">ROUND(S308,0)-D308</f>
        <v>336</v>
      </c>
      <c r="F308" s="52" t="n">
        <f aca="false">IF(COUNTA(D308:E308)=0,"",SUM(D308:E308))</f>
        <v>701</v>
      </c>
      <c r="G308" s="53" t="n">
        <f aca="false">IF(OR(F308="",F308=0),"",D308/F308)</f>
        <v>0.520684736091298</v>
      </c>
      <c r="H308" s="53" t="n">
        <f aca="false">IF(OR(F308="",F308=0),"",E308/F308)</f>
        <v>0.479315263908702</v>
      </c>
      <c r="I308" s="25" t="s">
        <v>128</v>
      </c>
      <c r="J308" s="28" t="n">
        <v>2.37310914384046</v>
      </c>
      <c r="K308" s="28" t="n">
        <f aca="false">$K$8</f>
        <v>0.296197623206382</v>
      </c>
      <c r="L308" s="28" t="n">
        <f aca="false">SQRT(J308^2+K308^2)</f>
        <v>2.3915225360787</v>
      </c>
      <c r="M308" s="53" t="n">
        <f aca="false">IF(G308="","",MAX(0,G308-1.96*L308/100))</f>
        <v>0.473810894384156</v>
      </c>
      <c r="N308" s="53" t="n">
        <f aca="false">IF(G308="","",MIN(1,G308+1.96*L308/100))</f>
        <v>0.567558577798441</v>
      </c>
      <c r="O308" s="52" t="n">
        <f aca="false">ROUND(S308*W308,0)</f>
        <v>62</v>
      </c>
      <c r="P308" s="52" t="n">
        <f aca="false">IF(F308="","",ROUND(SQRT((F308*L308/100)^2+(G308*O308)^2),0))</f>
        <v>36</v>
      </c>
      <c r="R308" s="54" t="n">
        <v>1.33744226482623</v>
      </c>
      <c r="S308" s="55" t="n">
        <f aca="false">U308*V308*$F$5</f>
        <v>700.622033898305</v>
      </c>
      <c r="T308" s="56" t="n">
        <f aca="false">MAX(0,MIN(1,R308/100+$D$5))</f>
        <v>0.520930529756677</v>
      </c>
      <c r="U308" s="56" t="n">
        <v>0.577118644067797</v>
      </c>
      <c r="V308" s="55" t="n">
        <v>1214</v>
      </c>
      <c r="W308" s="56" t="n">
        <v>0.0887445098984521</v>
      </c>
      <c r="X308" s="57" t="s">
        <v>135</v>
      </c>
      <c r="Y308" s="57" t="s">
        <v>130</v>
      </c>
    </row>
    <row r="309" customFormat="false" ht="15" hidden="false" customHeight="false" outlineLevel="0" collapsed="false">
      <c r="A309" s="25" t="s">
        <v>385</v>
      </c>
      <c r="B309" s="25" t="s">
        <v>474</v>
      </c>
      <c r="C309" s="25" t="s">
        <v>477</v>
      </c>
      <c r="D309" s="52" t="n">
        <f aca="false">ROUND(S309*T309,0)</f>
        <v>548</v>
      </c>
      <c r="E309" s="52" t="n">
        <f aca="false">ROUND(S309,0)-D309</f>
        <v>469</v>
      </c>
      <c r="F309" s="52" t="n">
        <f aca="false">IF(COUNTA(D309:E309)=0,"",SUM(D309:E309))</f>
        <v>1017</v>
      </c>
      <c r="G309" s="53" t="n">
        <f aca="false">IF(OR(F309="",F309=0),"",D309/F309)</f>
        <v>0.538839724680433</v>
      </c>
      <c r="H309" s="53" t="n">
        <f aca="false">IF(OR(F309="",F309=0),"",E309/F309)</f>
        <v>0.461160275319567</v>
      </c>
      <c r="I309" s="25" t="s">
        <v>128</v>
      </c>
      <c r="J309" s="28" t="n">
        <v>1.88612725432908</v>
      </c>
      <c r="K309" s="28" t="n">
        <f aca="false">$K$8</f>
        <v>0.296197623206382</v>
      </c>
      <c r="L309" s="28" t="n">
        <f aca="false">SQRT(J309^2+K309^2)</f>
        <v>1.909243057213</v>
      </c>
      <c r="M309" s="53" t="n">
        <f aca="false">IF(G309="","",MAX(0,G309-1.96*L309/100))</f>
        <v>0.501418560759058</v>
      </c>
      <c r="N309" s="53" t="n">
        <f aca="false">IF(G309="","",MIN(1,G309+1.96*L309/100))</f>
        <v>0.576260888601808</v>
      </c>
      <c r="O309" s="52" t="n">
        <f aca="false">ROUND(S309*W309,0)</f>
        <v>70</v>
      </c>
      <c r="P309" s="52" t="n">
        <f aca="false">IF(F309="","",ROUND(SQRT((F309*L309/100)^2+(G309*O309)^2),0))</f>
        <v>42</v>
      </c>
      <c r="R309" s="54" t="n">
        <v>3.18103763940999</v>
      </c>
      <c r="S309" s="55" t="n">
        <f aca="false">U309*V309*$F$5</f>
        <v>1016.60692951016</v>
      </c>
      <c r="T309" s="56" t="n">
        <f aca="false">MAX(0,MIN(1,R309/100+$D$5))</f>
        <v>0.539366483502515</v>
      </c>
      <c r="U309" s="56" t="n">
        <v>0.606929510155317</v>
      </c>
      <c r="V309" s="55" t="n">
        <v>1675</v>
      </c>
      <c r="W309" s="56" t="n">
        <v>0.0684752145190268</v>
      </c>
      <c r="X309" s="57" t="s">
        <v>168</v>
      </c>
      <c r="Y309" s="57" t="s">
        <v>130</v>
      </c>
    </row>
    <row r="310" customFormat="false" ht="15" hidden="false" customHeight="false" outlineLevel="0" collapsed="false">
      <c r="A310" s="25" t="s">
        <v>385</v>
      </c>
      <c r="B310" s="25" t="s">
        <v>478</v>
      </c>
      <c r="C310" s="25" t="s">
        <v>479</v>
      </c>
      <c r="D310" s="52" t="n">
        <f aca="false">ROUND(S310*T310,0)</f>
        <v>436</v>
      </c>
      <c r="E310" s="52" t="n">
        <f aca="false">ROUND(S310,0)-D310</f>
        <v>903</v>
      </c>
      <c r="F310" s="52" t="n">
        <f aca="false">IF(COUNTA(D310:E310)=0,"",SUM(D310:E310))</f>
        <v>1339</v>
      </c>
      <c r="G310" s="53" t="n">
        <f aca="false">IF(OR(F310="",F310=0),"",D310/F310)</f>
        <v>0.325616131441374</v>
      </c>
      <c r="H310" s="53" t="n">
        <f aca="false">IF(OR(F310="",F310=0),"",E310/F310)</f>
        <v>0.674383868558626</v>
      </c>
      <c r="I310" s="25" t="s">
        <v>128</v>
      </c>
      <c r="J310" s="28" t="n">
        <v>1.88612725432908</v>
      </c>
      <c r="K310" s="28" t="n">
        <f aca="false">$K$8</f>
        <v>0.296197623206382</v>
      </c>
      <c r="L310" s="28" t="n">
        <f aca="false">SQRT(J310^2+K310^2)</f>
        <v>1.909243057213</v>
      </c>
      <c r="M310" s="53" t="n">
        <f aca="false">IF(G310="","",MAX(0,G310-1.96*L310/100))</f>
        <v>0.288194967519999</v>
      </c>
      <c r="N310" s="53" t="n">
        <f aca="false">IF(G310="","",MIN(1,G310+1.96*L310/100))</f>
        <v>0.363037295362749</v>
      </c>
      <c r="O310" s="52" t="n">
        <f aca="false">ROUND(S310*W310,0)</f>
        <v>92</v>
      </c>
      <c r="P310" s="52" t="n">
        <f aca="false">IF(F310="","",ROUND(SQRT((F310*L310/100)^2+(G310*O310)^2),0))</f>
        <v>39</v>
      </c>
      <c r="R310" s="54" t="n">
        <v>-18.1574979630285</v>
      </c>
      <c r="S310" s="55" t="n">
        <f aca="false">U310*V310*$F$5</f>
        <v>1338.7974025974</v>
      </c>
      <c r="T310" s="56" t="n">
        <f aca="false">MAX(0,MIN(1,R310/100+$D$5))</f>
        <v>0.325981127478129</v>
      </c>
      <c r="U310" s="56" t="n">
        <v>0.664415584415585</v>
      </c>
      <c r="V310" s="55" t="n">
        <v>2015</v>
      </c>
      <c r="W310" s="56" t="n">
        <v>0.0684752145190268</v>
      </c>
      <c r="X310" s="57" t="s">
        <v>168</v>
      </c>
      <c r="Y310" s="57" t="s">
        <v>130</v>
      </c>
    </row>
    <row r="311" customFormat="false" ht="15" hidden="false" customHeight="false" outlineLevel="0" collapsed="false">
      <c r="A311" s="25" t="s">
        <v>385</v>
      </c>
      <c r="B311" s="25" t="s">
        <v>478</v>
      </c>
      <c r="C311" s="25" t="s">
        <v>480</v>
      </c>
      <c r="D311" s="52" t="n">
        <f aca="false">ROUND(S311*T311,0)</f>
        <v>496</v>
      </c>
      <c r="E311" s="52" t="n">
        <f aca="false">ROUND(S311,0)-D311</f>
        <v>999</v>
      </c>
      <c r="F311" s="52" t="n">
        <f aca="false">IF(COUNTA(D311:E311)=0,"",SUM(D311:E311))</f>
        <v>1495</v>
      </c>
      <c r="G311" s="53" t="n">
        <f aca="false">IF(OR(F311="",F311=0),"",D311/F311)</f>
        <v>0.331772575250836</v>
      </c>
      <c r="H311" s="53" t="n">
        <f aca="false">IF(OR(F311="",F311=0),"",E311/F311)</f>
        <v>0.668227424749164</v>
      </c>
      <c r="I311" s="25" t="s">
        <v>128</v>
      </c>
      <c r="J311" s="28" t="n">
        <v>1.88612725432908</v>
      </c>
      <c r="K311" s="28" t="n">
        <f aca="false">$K$8</f>
        <v>0.296197623206382</v>
      </c>
      <c r="L311" s="28" t="n">
        <f aca="false">SQRT(J311^2+K311^2)</f>
        <v>1.909243057213</v>
      </c>
      <c r="M311" s="53" t="n">
        <f aca="false">IF(G311="","",MAX(0,G311-1.96*L311/100))</f>
        <v>0.294351411329461</v>
      </c>
      <c r="N311" s="53" t="n">
        <f aca="false">IF(G311="","",MIN(1,G311+1.96*L311/100))</f>
        <v>0.369193739172211</v>
      </c>
      <c r="O311" s="52" t="n">
        <f aca="false">ROUND(S311*W311,0)</f>
        <v>102</v>
      </c>
      <c r="P311" s="52" t="n">
        <f aca="false">IF(F311="","",ROUND(SQRT((F311*L311/100)^2+(G311*O311)^2),0))</f>
        <v>44</v>
      </c>
      <c r="R311" s="54" t="n">
        <v>-17.5935860427867</v>
      </c>
      <c r="S311" s="55" t="n">
        <f aca="false">U311*V311*$F$5</f>
        <v>1495.44556729444</v>
      </c>
      <c r="T311" s="56" t="n">
        <f aca="false">MAX(0,MIN(1,R311/100+$D$5))</f>
        <v>0.331620246680548</v>
      </c>
      <c r="U311" s="56" t="n">
        <v>0.663757464400551</v>
      </c>
      <c r="V311" s="55" t="n">
        <v>2253</v>
      </c>
      <c r="W311" s="56" t="n">
        <v>0.0684752145190268</v>
      </c>
      <c r="X311" s="57" t="s">
        <v>168</v>
      </c>
      <c r="Y311" s="57" t="s">
        <v>130</v>
      </c>
    </row>
    <row r="312" customFormat="false" ht="15" hidden="false" customHeight="false" outlineLevel="0" collapsed="false">
      <c r="A312" s="25" t="s">
        <v>385</v>
      </c>
      <c r="B312" s="25" t="s">
        <v>478</v>
      </c>
      <c r="C312" s="25" t="s">
        <v>481</v>
      </c>
      <c r="D312" s="52" t="n">
        <f aca="false">ROUND(S312*T312,0)</f>
        <v>156</v>
      </c>
      <c r="E312" s="52" t="n">
        <f aca="false">ROUND(S312,0)-D312</f>
        <v>354</v>
      </c>
      <c r="F312" s="52" t="n">
        <f aca="false">IF(COUNTA(D312:E312)=0,"",SUM(D312:E312))</f>
        <v>510</v>
      </c>
      <c r="G312" s="53" t="n">
        <f aca="false">IF(OR(F312="",F312=0),"",D312/F312)</f>
        <v>0.305882352941177</v>
      </c>
      <c r="H312" s="53" t="n">
        <f aca="false">IF(OR(F312="",F312=0),"",E312/F312)</f>
        <v>0.694117647058824</v>
      </c>
      <c r="I312" s="25" t="s">
        <v>128</v>
      </c>
      <c r="J312" s="28" t="n">
        <v>3.71103496666907</v>
      </c>
      <c r="K312" s="28" t="n">
        <f aca="false">$K$8</f>
        <v>0.296197623206382</v>
      </c>
      <c r="L312" s="28" t="n">
        <f aca="false">SQRT(J312^2+K312^2)</f>
        <v>3.72283676191068</v>
      </c>
      <c r="M312" s="53" t="n">
        <f aca="false">IF(G312="","",MAX(0,G312-1.96*L312/100))</f>
        <v>0.232914752407727</v>
      </c>
      <c r="N312" s="53" t="n">
        <f aca="false">IF(G312="","",MIN(1,G312+1.96*L312/100))</f>
        <v>0.378849953474626</v>
      </c>
      <c r="O312" s="52" t="n">
        <f aca="false">ROUND(S312*W312,0)</f>
        <v>76</v>
      </c>
      <c r="P312" s="52" t="n">
        <f aca="false">IF(F312="","",ROUND(SQRT((F312*L312/100)^2+(G312*O312)^2),0))</f>
        <v>30</v>
      </c>
      <c r="R312" s="54" t="n">
        <v>-20.0760397700936</v>
      </c>
      <c r="S312" s="55" t="n">
        <f aca="false">U312*V312*$F$5</f>
        <v>509.948921679909</v>
      </c>
      <c r="T312" s="56" t="n">
        <f aca="false">MAX(0,MIN(1,R312/100+$D$5))</f>
        <v>0.306795709407479</v>
      </c>
      <c r="U312" s="56" t="n">
        <v>0.557321225879682</v>
      </c>
      <c r="V312" s="55" t="n">
        <v>915</v>
      </c>
      <c r="W312" s="56" t="n">
        <v>0.148097331980838</v>
      </c>
      <c r="X312" s="57" t="s">
        <v>129</v>
      </c>
      <c r="Y312" s="57" t="s">
        <v>130</v>
      </c>
    </row>
    <row r="313" customFormat="false" ht="15" hidden="false" customHeight="false" outlineLevel="0" collapsed="false">
      <c r="A313" s="25" t="s">
        <v>385</v>
      </c>
      <c r="B313" s="25" t="s">
        <v>478</v>
      </c>
      <c r="C313" s="25" t="s">
        <v>482</v>
      </c>
      <c r="D313" s="52" t="n">
        <f aca="false">ROUND(S313*T313,0)</f>
        <v>386</v>
      </c>
      <c r="E313" s="52" t="n">
        <f aca="false">ROUND(S313,0)-D313</f>
        <v>775</v>
      </c>
      <c r="F313" s="52" t="n">
        <f aca="false">IF(COUNTA(D313:E313)=0,"",SUM(D313:E313))</f>
        <v>1161</v>
      </c>
      <c r="G313" s="53" t="n">
        <f aca="false">IF(OR(F313="",F313=0),"",D313/F313)</f>
        <v>0.332472006890612</v>
      </c>
      <c r="H313" s="53" t="n">
        <f aca="false">IF(OR(F313="",F313=0),"",E313/F313)</f>
        <v>0.667527993109389</v>
      </c>
      <c r="I313" s="25" t="s">
        <v>128</v>
      </c>
      <c r="J313" s="28" t="n">
        <v>1.88612725432908</v>
      </c>
      <c r="K313" s="28" t="n">
        <f aca="false">$K$8</f>
        <v>0.296197623206382</v>
      </c>
      <c r="L313" s="28" t="n">
        <f aca="false">SQRT(J313^2+K313^2)</f>
        <v>1.909243057213</v>
      </c>
      <c r="M313" s="53" t="n">
        <f aca="false">IF(G313="","",MAX(0,G313-1.96*L313/100))</f>
        <v>0.295050842969237</v>
      </c>
      <c r="N313" s="53" t="n">
        <f aca="false">IF(G313="","",MIN(1,G313+1.96*L313/100))</f>
        <v>0.369893170811986</v>
      </c>
      <c r="O313" s="52" t="n">
        <f aca="false">ROUND(S313*W313,0)</f>
        <v>80</v>
      </c>
      <c r="P313" s="52" t="n">
        <f aca="false">IF(F313="","",ROUND(SQRT((F313*L313/100)^2+(G313*O313)^2),0))</f>
        <v>35</v>
      </c>
      <c r="R313" s="54" t="n">
        <v>-17.5111689903408</v>
      </c>
      <c r="S313" s="55" t="n">
        <f aca="false">U313*V313*$F$5</f>
        <v>1161.2700729927</v>
      </c>
      <c r="T313" s="56" t="n">
        <f aca="false">MAX(0,MIN(1,R313/100+$D$5))</f>
        <v>0.332444417205007</v>
      </c>
      <c r="U313" s="56" t="n">
        <v>0.687956204379562</v>
      </c>
      <c r="V313" s="55" t="n">
        <v>1688</v>
      </c>
      <c r="W313" s="56" t="n">
        <v>0.0684752145190268</v>
      </c>
      <c r="X313" s="57" t="s">
        <v>168</v>
      </c>
      <c r="Y313" s="57" t="s">
        <v>130</v>
      </c>
    </row>
    <row r="314" customFormat="false" ht="15" hidden="false" customHeight="false" outlineLevel="0" collapsed="false">
      <c r="A314" s="25" t="s">
        <v>385</v>
      </c>
      <c r="B314" s="25" t="s">
        <v>478</v>
      </c>
      <c r="C314" s="25" t="s">
        <v>483</v>
      </c>
      <c r="D314" s="52" t="n">
        <f aca="false">ROUND(S314*T314,0)</f>
        <v>292</v>
      </c>
      <c r="E314" s="52" t="n">
        <f aca="false">ROUND(S314,0)-D314</f>
        <v>541</v>
      </c>
      <c r="F314" s="52" t="n">
        <f aca="false">IF(COUNTA(D314:E314)=0,"",SUM(D314:E314))</f>
        <v>833</v>
      </c>
      <c r="G314" s="53" t="n">
        <f aca="false">IF(OR(F314="",F314=0),"",D314/F314)</f>
        <v>0.350540216086435</v>
      </c>
      <c r="H314" s="53" t="n">
        <f aca="false">IF(OR(F314="",F314=0),"",E314/F314)</f>
        <v>0.649459783913565</v>
      </c>
      <c r="I314" s="25" t="s">
        <v>128</v>
      </c>
      <c r="J314" s="28" t="n">
        <v>2.37310914384046</v>
      </c>
      <c r="K314" s="28" t="n">
        <f aca="false">$K$8</f>
        <v>0.296197623206382</v>
      </c>
      <c r="L314" s="28" t="n">
        <f aca="false">SQRT(J314^2+K314^2)</f>
        <v>2.3915225360787</v>
      </c>
      <c r="M314" s="53" t="n">
        <f aca="false">IF(G314="","",MAX(0,G314-1.96*L314/100))</f>
        <v>0.303666374379292</v>
      </c>
      <c r="N314" s="53" t="n">
        <f aca="false">IF(G314="","",MIN(1,G314+1.96*L314/100))</f>
        <v>0.397414057793577</v>
      </c>
      <c r="O314" s="52" t="n">
        <f aca="false">ROUND(S314*W314,0)</f>
        <v>74</v>
      </c>
      <c r="P314" s="52" t="n">
        <f aca="false">IF(F314="","",ROUND(SQRT((F314*L314/100)^2+(G314*O314)^2),0))</f>
        <v>33</v>
      </c>
      <c r="R314" s="54" t="n">
        <v>-15.6743270755585</v>
      </c>
      <c r="S314" s="55" t="n">
        <f aca="false">U314*V314*$F$5</f>
        <v>833.484320557492</v>
      </c>
      <c r="T314" s="56" t="n">
        <f aca="false">MAX(0,MIN(1,R314/100+$D$5))</f>
        <v>0.35081283635283</v>
      </c>
      <c r="U314" s="56" t="n">
        <v>0.662020905923345</v>
      </c>
      <c r="V314" s="55" t="n">
        <v>1259</v>
      </c>
      <c r="W314" s="56" t="n">
        <v>0.0887445098984521</v>
      </c>
      <c r="X314" s="57" t="s">
        <v>135</v>
      </c>
      <c r="Y314" s="57" t="s">
        <v>130</v>
      </c>
    </row>
    <row r="315" customFormat="false" ht="15" hidden="false" customHeight="false" outlineLevel="0" collapsed="false">
      <c r="A315" s="25" t="s">
        <v>385</v>
      </c>
      <c r="B315" s="25" t="s">
        <v>484</v>
      </c>
      <c r="C315" s="25" t="s">
        <v>485</v>
      </c>
      <c r="D315" s="52" t="n">
        <f aca="false">ROUND(S315*T315,0)</f>
        <v>47</v>
      </c>
      <c r="E315" s="52" t="n">
        <f aca="false">ROUND(S315,0)-D315</f>
        <v>84</v>
      </c>
      <c r="F315" s="52" t="n">
        <f aca="false">IF(COUNTA(D315:E315)=0,"",SUM(D315:E315))</f>
        <v>131</v>
      </c>
      <c r="G315" s="53" t="n">
        <f aca="false">IF(OR(F315="",F315=0),"",D315/F315)</f>
        <v>0.358778625954198</v>
      </c>
      <c r="H315" s="53" t="n">
        <f aca="false">IF(OR(F315="",F315=0),"",E315/F315)</f>
        <v>0.641221374045802</v>
      </c>
      <c r="I315" s="25" t="s">
        <v>128</v>
      </c>
      <c r="J315" s="28" t="n">
        <v>3.71103496666907</v>
      </c>
      <c r="K315" s="28" t="n">
        <f aca="false">$K$8</f>
        <v>0.296197623206382</v>
      </c>
      <c r="L315" s="28" t="n">
        <f aca="false">SQRT(J315^2+K315^2)</f>
        <v>3.72283676191068</v>
      </c>
      <c r="M315" s="53" t="n">
        <f aca="false">IF(G315="","",MAX(0,G315-1.96*L315/100))</f>
        <v>0.285811025420749</v>
      </c>
      <c r="N315" s="53" t="n">
        <f aca="false">IF(G315="","",MIN(1,G315+1.96*L315/100))</f>
        <v>0.431746226487648</v>
      </c>
      <c r="O315" s="52" t="n">
        <f aca="false">ROUND(S315*W315,0)</f>
        <v>19</v>
      </c>
      <c r="P315" s="52" t="n">
        <f aca="false">IF(F315="","",ROUND(SQRT((F315*L315/100)^2+(G315*O315)^2),0))</f>
        <v>8</v>
      </c>
      <c r="R315" s="54" t="n">
        <v>-15.121016098792</v>
      </c>
      <c r="S315" s="55" t="n">
        <f aca="false">U315*V315*$F$5</f>
        <v>130.654569021387</v>
      </c>
      <c r="T315" s="56" t="n">
        <f aca="false">MAX(0,MIN(1,R315/100+$D$5))</f>
        <v>0.356345946120494</v>
      </c>
      <c r="U315" s="56" t="n">
        <v>0.907323395981853</v>
      </c>
      <c r="V315" s="55" t="n">
        <v>144</v>
      </c>
      <c r="W315" s="56" t="n">
        <v>0.148097331980838</v>
      </c>
      <c r="X315" s="57" t="s">
        <v>129</v>
      </c>
      <c r="Y315" s="57" t="s">
        <v>130</v>
      </c>
    </row>
    <row r="316" customFormat="false" ht="15" hidden="false" customHeight="false" outlineLevel="0" collapsed="false">
      <c r="A316" s="25" t="s">
        <v>385</v>
      </c>
      <c r="B316" s="25" t="s">
        <v>484</v>
      </c>
      <c r="C316" s="25" t="s">
        <v>486</v>
      </c>
      <c r="D316" s="52" t="n">
        <f aca="false">ROUND(S316*T316,0)</f>
        <v>282</v>
      </c>
      <c r="E316" s="52" t="n">
        <f aca="false">ROUND(S316,0)-D316</f>
        <v>602</v>
      </c>
      <c r="F316" s="52" t="n">
        <f aca="false">IF(COUNTA(D316:E316)=0,"",SUM(D316:E316))</f>
        <v>884</v>
      </c>
      <c r="G316" s="53" t="n">
        <f aca="false">IF(OR(F316="",F316=0),"",D316/F316)</f>
        <v>0.319004524886878</v>
      </c>
      <c r="H316" s="53" t="n">
        <f aca="false">IF(OR(F316="",F316=0),"",E316/F316)</f>
        <v>0.680995475113122</v>
      </c>
      <c r="I316" s="25" t="s">
        <v>128</v>
      </c>
      <c r="J316" s="28" t="n">
        <v>2.37310914384046</v>
      </c>
      <c r="K316" s="28" t="n">
        <f aca="false">$K$8</f>
        <v>0.296197623206382</v>
      </c>
      <c r="L316" s="28" t="n">
        <f aca="false">SQRT(J316^2+K316^2)</f>
        <v>2.3915225360787</v>
      </c>
      <c r="M316" s="53" t="n">
        <f aca="false">IF(G316="","",MAX(0,G316-1.96*L316/100))</f>
        <v>0.272130683179735</v>
      </c>
      <c r="N316" s="53" t="n">
        <f aca="false">IF(G316="","",MIN(1,G316+1.96*L316/100))</f>
        <v>0.36587836659402</v>
      </c>
      <c r="O316" s="52" t="n">
        <f aca="false">ROUND(S316*W316,0)</f>
        <v>78</v>
      </c>
      <c r="P316" s="52" t="n">
        <f aca="false">IF(F316="","",ROUND(SQRT((F316*L316/100)^2+(G316*O316)^2),0))</f>
        <v>33</v>
      </c>
      <c r="R316" s="54" t="n">
        <v>-18.871324843896</v>
      </c>
      <c r="S316" s="55" t="n">
        <f aca="false">U316*V316*$F$5</f>
        <v>884.185372918175</v>
      </c>
      <c r="T316" s="56" t="n">
        <f aca="false">MAX(0,MIN(1,R316/100+$D$5))</f>
        <v>0.318842858669455</v>
      </c>
      <c r="U316" s="56" t="n">
        <v>0.627081824764663</v>
      </c>
      <c r="V316" s="55" t="n">
        <v>1410</v>
      </c>
      <c r="W316" s="56" t="n">
        <v>0.0887445098984521</v>
      </c>
      <c r="X316" s="57" t="s">
        <v>135</v>
      </c>
      <c r="Y316" s="57" t="s">
        <v>130</v>
      </c>
    </row>
    <row r="317" customFormat="false" ht="15" hidden="false" customHeight="false" outlineLevel="0" collapsed="false">
      <c r="A317" s="25" t="s">
        <v>385</v>
      </c>
      <c r="B317" s="25" t="s">
        <v>487</v>
      </c>
      <c r="C317" s="25" t="s">
        <v>488</v>
      </c>
      <c r="D317" s="52" t="n">
        <f aca="false">ROUND(S317*T317,0)</f>
        <v>40</v>
      </c>
      <c r="E317" s="52" t="n">
        <f aca="false">ROUND(S317,0)-D317</f>
        <v>48</v>
      </c>
      <c r="F317" s="52" t="n">
        <f aca="false">IF(COUNTA(D317:E317)=0,"",SUM(D317:E317))</f>
        <v>88</v>
      </c>
      <c r="G317" s="53" t="n">
        <f aca="false">IF(OR(F317="",F317=0),"",D317/F317)</f>
        <v>0.454545454545455</v>
      </c>
      <c r="H317" s="53" t="n">
        <f aca="false">IF(OR(F317="",F317=0),"",E317/F317)</f>
        <v>0.545454545454545</v>
      </c>
      <c r="I317" s="25" t="s">
        <v>231</v>
      </c>
      <c r="J317" s="28" t="n">
        <v>3.71103496666907</v>
      </c>
      <c r="K317" s="28" t="n">
        <f aca="false">$K$8</f>
        <v>0.296197623206382</v>
      </c>
      <c r="L317" s="28" t="n">
        <f aca="false">SQRT(J317^2+K317^2)</f>
        <v>3.72283676191068</v>
      </c>
      <c r="M317" s="53" t="n">
        <f aca="false">IF(G317="","",MAX(0,G317-1.96*L317/100))</f>
        <v>0.381577854012005</v>
      </c>
      <c r="N317" s="53" t="n">
        <f aca="false">IF(G317="","",MIN(1,G317+1.96*L317/100))</f>
        <v>0.527513055078904</v>
      </c>
      <c r="O317" s="52" t="n">
        <f aca="false">ROUND(S317*W317,0)</f>
        <v>13</v>
      </c>
      <c r="P317" s="52" t="n">
        <f aca="false">IF(F317="","",ROUND(SQRT((F317*L317/100)^2+(G317*O317)^2),0))</f>
        <v>7</v>
      </c>
      <c r="R317" s="54" t="n">
        <v>-5.43860862314225</v>
      </c>
      <c r="S317" s="55" t="n">
        <f aca="false">U317*V317*$F$5</f>
        <v>87.7428325123506</v>
      </c>
      <c r="T317" s="56" t="n">
        <f aca="false">MAX(0,MIN(1,R317/100+$D$5))</f>
        <v>0.453170020876992</v>
      </c>
      <c r="U317" s="56" t="n">
        <v>0.121696022902012</v>
      </c>
      <c r="V317" s="55" t="n">
        <v>721</v>
      </c>
      <c r="W317" s="56" t="n">
        <v>0.148097331980838</v>
      </c>
      <c r="X317" s="57" t="s">
        <v>129</v>
      </c>
      <c r="Y317" s="57" t="s">
        <v>130</v>
      </c>
    </row>
    <row r="318" customFormat="false" ht="15" hidden="false" customHeight="false" outlineLevel="0" collapsed="false">
      <c r="A318" s="25" t="s">
        <v>385</v>
      </c>
      <c r="B318" s="25" t="s">
        <v>487</v>
      </c>
      <c r="C318" s="25" t="s">
        <v>489</v>
      </c>
      <c r="D318" s="52" t="n">
        <f aca="false">ROUND(S318*T318,0)</f>
        <v>529</v>
      </c>
      <c r="E318" s="52" t="n">
        <f aca="false">ROUND(S318,0)-D318</f>
        <v>624</v>
      </c>
      <c r="F318" s="52" t="n">
        <f aca="false">IF(COUNTA(D318:E318)=0,"",SUM(D318:E318))</f>
        <v>1153</v>
      </c>
      <c r="G318" s="53" t="n">
        <f aca="false">IF(OR(F318="",F318=0),"",D318/F318)</f>
        <v>0.458803122289679</v>
      </c>
      <c r="H318" s="53" t="n">
        <f aca="false">IF(OR(F318="",F318=0),"",E318/F318)</f>
        <v>0.541196877710321</v>
      </c>
      <c r="I318" s="25" t="s">
        <v>231</v>
      </c>
      <c r="J318" s="28" t="n">
        <v>1.88612725432908</v>
      </c>
      <c r="K318" s="28" t="n">
        <f aca="false">$K$8</f>
        <v>0.296197623206382</v>
      </c>
      <c r="L318" s="28" t="n">
        <f aca="false">SQRT(J318^2+K318^2)</f>
        <v>1.909243057213</v>
      </c>
      <c r="M318" s="53" t="n">
        <f aca="false">IF(G318="","",MAX(0,G318-1.96*L318/100))</f>
        <v>0.421381958368304</v>
      </c>
      <c r="N318" s="53" t="n">
        <f aca="false">IF(G318="","",MIN(1,G318+1.96*L318/100))</f>
        <v>0.496224286211054</v>
      </c>
      <c r="O318" s="52" t="n">
        <f aca="false">ROUND(S318*W318,0)</f>
        <v>79</v>
      </c>
      <c r="P318" s="52" t="n">
        <f aca="false">IF(F318="","",ROUND(SQRT((F318*L318/100)^2+(G318*O318)^2),0))</f>
        <v>42</v>
      </c>
      <c r="R318" s="54" t="n">
        <v>-4.92580251456655</v>
      </c>
      <c r="S318" s="55" t="n">
        <f aca="false">U318*V318*$F$5</f>
        <v>1153.44137368419</v>
      </c>
      <c r="T318" s="56" t="n">
        <f aca="false">MAX(0,MIN(1,R318/100+$D$5))</f>
        <v>0.458298081962749</v>
      </c>
      <c r="U318" s="56" t="n">
        <v>0.679407464419022</v>
      </c>
      <c r="V318" s="55" t="n">
        <v>1697.71666354965</v>
      </c>
      <c r="W318" s="56" t="n">
        <v>0.0684752145190268</v>
      </c>
      <c r="X318" s="57" t="s">
        <v>168</v>
      </c>
      <c r="Y318" s="57" t="s">
        <v>233</v>
      </c>
    </row>
    <row r="319" customFormat="false" ht="15" hidden="false" customHeight="false" outlineLevel="0" collapsed="false">
      <c r="A319" s="25" t="s">
        <v>385</v>
      </c>
      <c r="B319" s="25" t="s">
        <v>487</v>
      </c>
      <c r="C319" s="25" t="s">
        <v>490</v>
      </c>
      <c r="D319" s="52" t="n">
        <f aca="false">ROUND(S319*T319,0)</f>
        <v>420</v>
      </c>
      <c r="E319" s="52" t="n">
        <f aca="false">ROUND(S319,0)-D319</f>
        <v>554</v>
      </c>
      <c r="F319" s="52" t="n">
        <f aca="false">IF(COUNTA(D319:E319)=0,"",SUM(D319:E319))</f>
        <v>974</v>
      </c>
      <c r="G319" s="53" t="n">
        <f aca="false">IF(OR(F319="",F319=0),"",D319/F319)</f>
        <v>0.431211498973306</v>
      </c>
      <c r="H319" s="53" t="n">
        <f aca="false">IF(OR(F319="",F319=0),"",E319/F319)</f>
        <v>0.568788501026694</v>
      </c>
      <c r="I319" s="25" t="s">
        <v>128</v>
      </c>
      <c r="J319" s="28" t="n">
        <v>1.88612725432908</v>
      </c>
      <c r="K319" s="28" t="n">
        <f aca="false">$K$8</f>
        <v>0.296197623206382</v>
      </c>
      <c r="L319" s="28" t="n">
        <f aca="false">SQRT(J319^2+K319^2)</f>
        <v>1.909243057213</v>
      </c>
      <c r="M319" s="53" t="n">
        <f aca="false">IF(G319="","",MAX(0,G319-1.96*L319/100))</f>
        <v>0.393790335051931</v>
      </c>
      <c r="N319" s="53" t="n">
        <f aca="false">IF(G319="","",MIN(1,G319+1.96*L319/100))</f>
        <v>0.468632662894681</v>
      </c>
      <c r="O319" s="52" t="n">
        <f aca="false">ROUND(S319*W319,0)</f>
        <v>67</v>
      </c>
      <c r="P319" s="52" t="n">
        <f aca="false">IF(F319="","",ROUND(SQRT((F319*L319/100)^2+(G319*O319)^2),0))</f>
        <v>34</v>
      </c>
      <c r="R319" s="54" t="n">
        <v>-7.6505383568343</v>
      </c>
      <c r="S319" s="55" t="n">
        <f aca="false">U319*V319*$F$5</f>
        <v>973.779572994807</v>
      </c>
      <c r="T319" s="56" t="n">
        <f aca="false">MAX(0,MIN(1,R319/100+$D$5))</f>
        <v>0.431050723540072</v>
      </c>
      <c r="U319" s="56" t="n">
        <v>0.662435083669937</v>
      </c>
      <c r="V319" s="55" t="n">
        <v>1470</v>
      </c>
      <c r="W319" s="56" t="n">
        <v>0.0684752145190268</v>
      </c>
      <c r="X319" s="57" t="s">
        <v>168</v>
      </c>
      <c r="Y319" s="57" t="s">
        <v>130</v>
      </c>
    </row>
    <row r="320" customFormat="false" ht="15" hidden="false" customHeight="false" outlineLevel="0" collapsed="false">
      <c r="A320" s="25" t="s">
        <v>385</v>
      </c>
      <c r="B320" s="25" t="s">
        <v>487</v>
      </c>
      <c r="C320" s="25" t="s">
        <v>491</v>
      </c>
      <c r="D320" s="52" t="n">
        <f aca="false">ROUND(S320*T320,0)</f>
        <v>499</v>
      </c>
      <c r="E320" s="52" t="n">
        <f aca="false">ROUND(S320,0)-D320</f>
        <v>622</v>
      </c>
      <c r="F320" s="52" t="n">
        <f aca="false">IF(COUNTA(D320:E320)=0,"",SUM(D320:E320))</f>
        <v>1121</v>
      </c>
      <c r="G320" s="53" t="n">
        <f aca="false">IF(OR(F320="",F320=0),"",D320/F320)</f>
        <v>0.445138269402319</v>
      </c>
      <c r="H320" s="53" t="n">
        <f aca="false">IF(OR(F320="",F320=0),"",E320/F320)</f>
        <v>0.554861730597681</v>
      </c>
      <c r="I320" s="25" t="s">
        <v>231</v>
      </c>
      <c r="J320" s="28" t="n">
        <v>1.88612725432908</v>
      </c>
      <c r="K320" s="28" t="n">
        <f aca="false">$K$8</f>
        <v>0.296197623206382</v>
      </c>
      <c r="L320" s="28" t="n">
        <f aca="false">SQRT(J320^2+K320^2)</f>
        <v>1.909243057213</v>
      </c>
      <c r="M320" s="53" t="n">
        <f aca="false">IF(G320="","",MAX(0,G320-1.96*L320/100))</f>
        <v>0.407717105480945</v>
      </c>
      <c r="N320" s="53" t="n">
        <f aca="false">IF(G320="","",MIN(1,G320+1.96*L320/100))</f>
        <v>0.482559433323694</v>
      </c>
      <c r="O320" s="52" t="n">
        <f aca="false">ROUND(S320*W320,0)</f>
        <v>77</v>
      </c>
      <c r="P320" s="52" t="n">
        <f aca="false">IF(F320="","",ROUND(SQRT((F320*L320/100)^2+(G320*O320)^2),0))</f>
        <v>40</v>
      </c>
      <c r="R320" s="54" t="n">
        <v>-6.2591499990493</v>
      </c>
      <c r="S320" s="55" t="n">
        <f aca="false">U320*V320*$F$5</f>
        <v>1121.33790491331</v>
      </c>
      <c r="T320" s="56" t="n">
        <f aca="false">MAX(0,MIN(1,R320/100+$D$5))</f>
        <v>0.444964607117922</v>
      </c>
      <c r="U320" s="56" t="n">
        <v>0.71629019848963</v>
      </c>
      <c r="V320" s="55" t="n">
        <v>1565.47989526838</v>
      </c>
      <c r="W320" s="56" t="n">
        <v>0.0684752145190268</v>
      </c>
      <c r="X320" s="57" t="s">
        <v>168</v>
      </c>
      <c r="Y320" s="57" t="s">
        <v>233</v>
      </c>
    </row>
    <row r="321" customFormat="false" ht="15" hidden="false" customHeight="false" outlineLevel="0" collapsed="false">
      <c r="A321" s="25" t="s">
        <v>385</v>
      </c>
      <c r="B321" s="25" t="s">
        <v>492</v>
      </c>
      <c r="C321" s="25" t="s">
        <v>493</v>
      </c>
      <c r="D321" s="52" t="n">
        <f aca="false">ROUND(S321*T321,0)</f>
        <v>502</v>
      </c>
      <c r="E321" s="52" t="n">
        <f aca="false">ROUND(S321,0)-D321</f>
        <v>438</v>
      </c>
      <c r="F321" s="52" t="n">
        <f aca="false">IF(COUNTA(D321:E321)=0,"",SUM(D321:E321))</f>
        <v>940</v>
      </c>
      <c r="G321" s="53" t="n">
        <f aca="false">IF(OR(F321="",F321=0),"",D321/F321)</f>
        <v>0.534042553191489</v>
      </c>
      <c r="H321" s="53" t="n">
        <f aca="false">IF(OR(F321="",F321=0),"",E321/F321)</f>
        <v>0.465957446808511</v>
      </c>
      <c r="I321" s="25" t="s">
        <v>128</v>
      </c>
      <c r="J321" s="28" t="n">
        <v>1.88612725432908</v>
      </c>
      <c r="K321" s="28" t="n">
        <f aca="false">$K$8</f>
        <v>0.296197623206382</v>
      </c>
      <c r="L321" s="28" t="n">
        <f aca="false">SQRT(J321^2+K321^2)</f>
        <v>1.909243057213</v>
      </c>
      <c r="M321" s="53" t="n">
        <f aca="false">IF(G321="","",MAX(0,G321-1.96*L321/100))</f>
        <v>0.496621389270115</v>
      </c>
      <c r="N321" s="53" t="n">
        <f aca="false">IF(G321="","",MIN(1,G321+1.96*L321/100))</f>
        <v>0.571463717112864</v>
      </c>
      <c r="O321" s="52" t="n">
        <f aca="false">ROUND(S321*W321,0)</f>
        <v>64</v>
      </c>
      <c r="P321" s="52" t="n">
        <f aca="false">IF(F321="","",ROUND(SQRT((F321*L321/100)^2+(G321*O321)^2),0))</f>
        <v>39</v>
      </c>
      <c r="R321" s="54" t="n">
        <v>2.63218007947703</v>
      </c>
      <c r="S321" s="55" t="n">
        <f aca="false">U321*V321*$F$5</f>
        <v>939.568965517241</v>
      </c>
      <c r="T321" s="56" t="n">
        <f aca="false">MAX(0,MIN(1,R321/100+$D$5))</f>
        <v>0.533877907903185</v>
      </c>
      <c r="U321" s="56" t="n">
        <v>0.678879310344827</v>
      </c>
      <c r="V321" s="55" t="n">
        <v>1384</v>
      </c>
      <c r="W321" s="56" t="n">
        <v>0.0684752145190268</v>
      </c>
      <c r="X321" s="57" t="s">
        <v>168</v>
      </c>
      <c r="Y321" s="57" t="s">
        <v>130</v>
      </c>
    </row>
    <row r="322" customFormat="false" ht="15" hidden="false" customHeight="false" outlineLevel="0" collapsed="false">
      <c r="A322" s="25" t="s">
        <v>385</v>
      </c>
      <c r="B322" s="25" t="s">
        <v>492</v>
      </c>
      <c r="C322" s="25" t="s">
        <v>494</v>
      </c>
      <c r="D322" s="52" t="n">
        <f aca="false">ROUND(S322*T322,0)</f>
        <v>516</v>
      </c>
      <c r="E322" s="52" t="n">
        <f aca="false">ROUND(S322,0)-D322</f>
        <v>687</v>
      </c>
      <c r="F322" s="52" t="n">
        <f aca="false">IF(COUNTA(D322:E322)=0,"",SUM(D322:E322))</f>
        <v>1203</v>
      </c>
      <c r="G322" s="53" t="n">
        <f aca="false">IF(OR(F322="",F322=0),"",D322/F322)</f>
        <v>0.428927680798005</v>
      </c>
      <c r="H322" s="53" t="n">
        <f aca="false">IF(OR(F322="",F322=0),"",E322/F322)</f>
        <v>0.571072319201995</v>
      </c>
      <c r="I322" s="25" t="s">
        <v>128</v>
      </c>
      <c r="J322" s="28" t="n">
        <v>1.88612725432908</v>
      </c>
      <c r="K322" s="28" t="n">
        <f aca="false">$K$8</f>
        <v>0.296197623206382</v>
      </c>
      <c r="L322" s="28" t="n">
        <f aca="false">SQRT(J322^2+K322^2)</f>
        <v>1.909243057213</v>
      </c>
      <c r="M322" s="53" t="n">
        <f aca="false">IF(G322="","",MAX(0,G322-1.96*L322/100))</f>
        <v>0.39150651687663</v>
      </c>
      <c r="N322" s="53" t="n">
        <f aca="false">IF(G322="","",MIN(1,G322+1.96*L322/100))</f>
        <v>0.46634884471938</v>
      </c>
      <c r="O322" s="52" t="n">
        <f aca="false">ROUND(S322*W322,0)</f>
        <v>82</v>
      </c>
      <c r="P322" s="52" t="n">
        <f aca="false">IF(F322="","",ROUND(SQRT((F322*L322/100)^2+(G322*O322)^2),0))</f>
        <v>42</v>
      </c>
      <c r="R322" s="54" t="n">
        <v>-7.8618755735921</v>
      </c>
      <c r="S322" s="55" t="n">
        <f aca="false">U322*V322*$F$5</f>
        <v>1202.75915948276</v>
      </c>
      <c r="T322" s="56" t="n">
        <f aca="false">MAX(0,MIN(1,R322/100+$D$5))</f>
        <v>0.428937351372494</v>
      </c>
      <c r="U322" s="56" t="n">
        <v>0.63739224137931</v>
      </c>
      <c r="V322" s="55" t="n">
        <v>1887</v>
      </c>
      <c r="W322" s="56" t="n">
        <v>0.0684752145190268</v>
      </c>
      <c r="X322" s="57" t="s">
        <v>168</v>
      </c>
      <c r="Y322" s="57" t="s">
        <v>130</v>
      </c>
    </row>
    <row r="323" customFormat="false" ht="15" hidden="false" customHeight="false" outlineLevel="0" collapsed="false">
      <c r="A323" s="25" t="s">
        <v>385</v>
      </c>
      <c r="B323" s="25" t="s">
        <v>492</v>
      </c>
      <c r="C323" s="25" t="s">
        <v>495</v>
      </c>
      <c r="D323" s="52" t="n">
        <f aca="false">ROUND(S323*T323,0)</f>
        <v>479</v>
      </c>
      <c r="E323" s="52" t="n">
        <f aca="false">ROUND(S323,0)-D323</f>
        <v>523</v>
      </c>
      <c r="F323" s="52" t="n">
        <f aca="false">IF(COUNTA(D323:E323)=0,"",SUM(D323:E323))</f>
        <v>1002</v>
      </c>
      <c r="G323" s="53" t="n">
        <f aca="false">IF(OR(F323="",F323=0),"",D323/F323)</f>
        <v>0.478043912175649</v>
      </c>
      <c r="H323" s="53" t="n">
        <f aca="false">IF(OR(F323="",F323=0),"",E323/F323)</f>
        <v>0.521956087824351</v>
      </c>
      <c r="I323" s="25" t="s">
        <v>231</v>
      </c>
      <c r="J323" s="28" t="n">
        <v>1.88612725432908</v>
      </c>
      <c r="K323" s="28" t="n">
        <f aca="false">$K$8</f>
        <v>0.296197623206382</v>
      </c>
      <c r="L323" s="28" t="n">
        <f aca="false">SQRT(J323^2+K323^2)</f>
        <v>1.909243057213</v>
      </c>
      <c r="M323" s="53" t="n">
        <f aca="false">IF(G323="","",MAX(0,G323-1.96*L323/100))</f>
        <v>0.440622748254274</v>
      </c>
      <c r="N323" s="53" t="n">
        <f aca="false">IF(G323="","",MIN(1,G323+1.96*L323/100))</f>
        <v>0.515465076097024</v>
      </c>
      <c r="O323" s="52" t="n">
        <f aca="false">ROUND(S323*W323,0)</f>
        <v>69</v>
      </c>
      <c r="P323" s="52" t="n">
        <f aca="false">IF(F323="","",ROUND(SQRT((F323*L323/100)^2+(G323*O323)^2),0))</f>
        <v>38</v>
      </c>
      <c r="R323" s="54" t="n">
        <v>-2.93333546721978</v>
      </c>
      <c r="S323" s="55" t="n">
        <f aca="false">U323*V323*$F$5</f>
        <v>1001.56291989084</v>
      </c>
      <c r="T323" s="56" t="n">
        <f aca="false">MAX(0,MIN(1,R323/100+$D$5))</f>
        <v>0.478222752436217</v>
      </c>
      <c r="U323" s="56" t="n">
        <v>0.836029148489848</v>
      </c>
      <c r="V323" s="55" t="n">
        <v>1198</v>
      </c>
      <c r="W323" s="56" t="n">
        <v>0.0684752145190268</v>
      </c>
      <c r="X323" s="57" t="s">
        <v>168</v>
      </c>
      <c r="Y323" s="57" t="s">
        <v>130</v>
      </c>
    </row>
    <row r="324" customFormat="false" ht="15" hidden="false" customHeight="false" outlineLevel="0" collapsed="false">
      <c r="A324" s="25" t="s">
        <v>385</v>
      </c>
      <c r="B324" s="25" t="s">
        <v>492</v>
      </c>
      <c r="C324" s="25" t="s">
        <v>496</v>
      </c>
      <c r="D324" s="52" t="n">
        <f aca="false">ROUND(S324*T324,0)</f>
        <v>384</v>
      </c>
      <c r="E324" s="52" t="n">
        <f aca="false">ROUND(S324,0)-D324</f>
        <v>343</v>
      </c>
      <c r="F324" s="52" t="n">
        <f aca="false">IF(COUNTA(D324:E324)=0,"",SUM(D324:E324))</f>
        <v>727</v>
      </c>
      <c r="G324" s="53" t="n">
        <f aca="false">IF(OR(F324="",F324=0),"",D324/F324)</f>
        <v>0.528198074277854</v>
      </c>
      <c r="H324" s="53" t="n">
        <f aca="false">IF(OR(F324="",F324=0),"",E324/F324)</f>
        <v>0.471801925722146</v>
      </c>
      <c r="I324" s="25" t="s">
        <v>128</v>
      </c>
      <c r="J324" s="28" t="n">
        <v>2.37310914384046</v>
      </c>
      <c r="K324" s="28" t="n">
        <f aca="false">$K$8</f>
        <v>0.296197623206382</v>
      </c>
      <c r="L324" s="28" t="n">
        <f aca="false">SQRT(J324^2+K324^2)</f>
        <v>2.3915225360787</v>
      </c>
      <c r="M324" s="53" t="n">
        <f aca="false">IF(G324="","",MAX(0,G324-1.96*L324/100))</f>
        <v>0.481324232570712</v>
      </c>
      <c r="N324" s="53" t="n">
        <f aca="false">IF(G324="","",MIN(1,G324+1.96*L324/100))</f>
        <v>0.575071915984997</v>
      </c>
      <c r="O324" s="52" t="n">
        <f aca="false">ROUND(S324*W324,0)</f>
        <v>65</v>
      </c>
      <c r="P324" s="52" t="n">
        <f aca="false">IF(F324="","",ROUND(SQRT((F324*L324/100)^2+(G324*O324)^2),0))</f>
        <v>38</v>
      </c>
      <c r="R324" s="54" t="n">
        <v>2.02821804688175</v>
      </c>
      <c r="S324" s="55" t="n">
        <f aca="false">U324*V324*$F$5</f>
        <v>727.410579345088</v>
      </c>
      <c r="T324" s="56" t="n">
        <f aca="false">MAX(0,MIN(1,R324/100+$D$5))</f>
        <v>0.527838287577232</v>
      </c>
      <c r="U324" s="56" t="n">
        <v>0.633081444164568</v>
      </c>
      <c r="V324" s="55" t="n">
        <v>1149</v>
      </c>
      <c r="W324" s="56" t="n">
        <v>0.0887445098984521</v>
      </c>
      <c r="X324" s="57" t="s">
        <v>135</v>
      </c>
      <c r="Y324" s="57" t="s">
        <v>130</v>
      </c>
    </row>
    <row r="325" customFormat="false" ht="15" hidden="false" customHeight="false" outlineLevel="0" collapsed="false">
      <c r="A325" s="25" t="s">
        <v>385</v>
      </c>
      <c r="B325" s="25" t="s">
        <v>492</v>
      </c>
      <c r="C325" s="25" t="s">
        <v>497</v>
      </c>
      <c r="D325" s="52" t="n">
        <f aca="false">ROUND(S325*T325,0)</f>
        <v>358</v>
      </c>
      <c r="E325" s="52" t="n">
        <f aca="false">ROUND(S325,0)-D325</f>
        <v>488</v>
      </c>
      <c r="F325" s="52" t="n">
        <f aca="false">IF(COUNTA(D325:E325)=0,"",SUM(D325:E325))</f>
        <v>846</v>
      </c>
      <c r="G325" s="53" t="n">
        <f aca="false">IF(OR(F325="",F325=0),"",D325/F325)</f>
        <v>0.423167848699764</v>
      </c>
      <c r="H325" s="53" t="n">
        <f aca="false">IF(OR(F325="",F325=0),"",E325/F325)</f>
        <v>0.576832151300237</v>
      </c>
      <c r="I325" s="25" t="s">
        <v>128</v>
      </c>
      <c r="J325" s="28" t="n">
        <v>2.37310914384046</v>
      </c>
      <c r="K325" s="28" t="n">
        <f aca="false">$K$8</f>
        <v>0.296197623206382</v>
      </c>
      <c r="L325" s="28" t="n">
        <f aca="false">SQRT(J325^2+K325^2)</f>
        <v>2.3915225360787</v>
      </c>
      <c r="M325" s="53" t="n">
        <f aca="false">IF(G325="","",MAX(0,G325-1.96*L325/100))</f>
        <v>0.376294006992621</v>
      </c>
      <c r="N325" s="53" t="n">
        <f aca="false">IF(G325="","",MIN(1,G325+1.96*L325/100))</f>
        <v>0.470041690406906</v>
      </c>
      <c r="O325" s="52" t="n">
        <f aca="false">ROUND(S325*W325,0)</f>
        <v>75</v>
      </c>
      <c r="P325" s="52" t="n">
        <f aca="false">IF(F325="","",ROUND(SQRT((F325*L325/100)^2+(G325*O325)^2),0))</f>
        <v>38</v>
      </c>
      <c r="R325" s="54" t="n">
        <v>-8.44436488579665</v>
      </c>
      <c r="S325" s="55" t="n">
        <f aca="false">U325*V325*$F$5</f>
        <v>845.732235701906</v>
      </c>
      <c r="T325" s="56" t="n">
        <f aca="false">MAX(0,MIN(1,R325/100+$D$5))</f>
        <v>0.423112458250448</v>
      </c>
      <c r="U325" s="56" t="n">
        <v>0.714904679376083</v>
      </c>
      <c r="V325" s="55" t="n">
        <v>1183</v>
      </c>
      <c r="W325" s="56" t="n">
        <v>0.0887445098984521</v>
      </c>
      <c r="X325" s="57" t="s">
        <v>135</v>
      </c>
      <c r="Y325" s="57" t="s">
        <v>130</v>
      </c>
    </row>
    <row r="326" customFormat="false" ht="15" hidden="false" customHeight="false" outlineLevel="0" collapsed="false">
      <c r="A326" s="25" t="s">
        <v>385</v>
      </c>
      <c r="B326" s="25" t="s">
        <v>492</v>
      </c>
      <c r="C326" s="25" t="s">
        <v>498</v>
      </c>
      <c r="D326" s="52" t="n">
        <f aca="false">ROUND(S326*T326,0)</f>
        <v>812</v>
      </c>
      <c r="E326" s="52" t="n">
        <f aca="false">ROUND(S326,0)-D326</f>
        <v>835</v>
      </c>
      <c r="F326" s="52" t="n">
        <f aca="false">IF(COUNTA(D326:E326)=0,"",SUM(D326:E326))</f>
        <v>1647</v>
      </c>
      <c r="G326" s="53" t="n">
        <f aca="false">IF(OR(F326="",F326=0),"",D326/F326)</f>
        <v>0.493017607771706</v>
      </c>
      <c r="H326" s="53" t="n">
        <f aca="false">IF(OR(F326="",F326=0),"",E326/F326)</f>
        <v>0.506982392228294</v>
      </c>
      <c r="I326" s="25" t="s">
        <v>231</v>
      </c>
      <c r="J326" s="28" t="n">
        <v>1.88612725432908</v>
      </c>
      <c r="K326" s="28" t="n">
        <f aca="false">$K$8</f>
        <v>0.296197623206382</v>
      </c>
      <c r="L326" s="28" t="n">
        <f aca="false">SQRT(J326^2+K326^2)</f>
        <v>1.909243057213</v>
      </c>
      <c r="M326" s="53" t="n">
        <f aca="false">IF(G326="","",MAX(0,G326-1.96*L326/100))</f>
        <v>0.455596443850331</v>
      </c>
      <c r="N326" s="53" t="n">
        <f aca="false">IF(G326="","",MIN(1,G326+1.96*L326/100))</f>
        <v>0.530438771693081</v>
      </c>
      <c r="O326" s="52" t="n">
        <f aca="false">ROUND(S326*W326,0)</f>
        <v>113</v>
      </c>
      <c r="P326" s="52" t="n">
        <f aca="false">IF(F326="","",ROUND(SQRT((F326*L326/100)^2+(G326*O326)^2),0))</f>
        <v>64</v>
      </c>
      <c r="R326" s="54" t="n">
        <v>-1.43263037616138</v>
      </c>
      <c r="S326" s="55" t="n">
        <f aca="false">U326*V326*$F$5</f>
        <v>1646.977422525</v>
      </c>
      <c r="T326" s="56" t="n">
        <f aca="false">MAX(0,MIN(1,R326/100+$D$5))</f>
        <v>0.493229803346801</v>
      </c>
      <c r="U326" s="56" t="n">
        <v>0.836029148489848</v>
      </c>
      <c r="V326" s="55" t="n">
        <v>1970</v>
      </c>
      <c r="W326" s="56" t="n">
        <v>0.0684752145190268</v>
      </c>
      <c r="X326" s="57" t="s">
        <v>168</v>
      </c>
      <c r="Y326" s="57" t="s">
        <v>130</v>
      </c>
    </row>
    <row r="327" customFormat="false" ht="15" hidden="false" customHeight="false" outlineLevel="0" collapsed="false">
      <c r="A327" s="25" t="s">
        <v>385</v>
      </c>
      <c r="B327" s="25" t="s">
        <v>499</v>
      </c>
      <c r="C327" s="25" t="s">
        <v>500</v>
      </c>
      <c r="D327" s="52" t="n">
        <f aca="false">ROUND(S327*T327,0)</f>
        <v>322</v>
      </c>
      <c r="E327" s="52" t="n">
        <f aca="false">ROUND(S327,0)-D327</f>
        <v>630</v>
      </c>
      <c r="F327" s="52" t="n">
        <f aca="false">IF(COUNTA(D327:E327)=0,"",SUM(D327:E327))</f>
        <v>952</v>
      </c>
      <c r="G327" s="53" t="n">
        <f aca="false">IF(OR(F327="",F327=0),"",D327/F327)</f>
        <v>0.338235294117647</v>
      </c>
      <c r="H327" s="53" t="n">
        <f aca="false">IF(OR(F327="",F327=0),"",E327/F327)</f>
        <v>0.661764705882353</v>
      </c>
      <c r="I327" s="25" t="s">
        <v>128</v>
      </c>
      <c r="J327" s="28" t="n">
        <v>1.88612725432908</v>
      </c>
      <c r="K327" s="28" t="n">
        <f aca="false">$K$8</f>
        <v>0.296197623206382</v>
      </c>
      <c r="L327" s="28" t="n">
        <f aca="false">SQRT(J327^2+K327^2)</f>
        <v>1.909243057213</v>
      </c>
      <c r="M327" s="53" t="n">
        <f aca="false">IF(G327="","",MAX(0,G327-1.96*L327/100))</f>
        <v>0.300814130196272</v>
      </c>
      <c r="N327" s="53" t="n">
        <f aca="false">IF(G327="","",MIN(1,G327+1.96*L327/100))</f>
        <v>0.375656458039022</v>
      </c>
      <c r="O327" s="52" t="n">
        <f aca="false">ROUND(S327*W327,0)</f>
        <v>65</v>
      </c>
      <c r="P327" s="52" t="n">
        <f aca="false">IF(F327="","",ROUND(SQRT((F327*L327/100)^2+(G327*O327)^2),0))</f>
        <v>29</v>
      </c>
      <c r="R327" s="54" t="n">
        <v>-16.9395581428985</v>
      </c>
      <c r="S327" s="55" t="n">
        <f aca="false">U327*V327*$F$5</f>
        <v>951.894508670521</v>
      </c>
      <c r="T327" s="56" t="n">
        <f aca="false">MAX(0,MIN(1,R327/100+$D$5))</f>
        <v>0.33816052567943</v>
      </c>
      <c r="U327" s="56" t="n">
        <v>0.677023121387284</v>
      </c>
      <c r="V327" s="55" t="n">
        <v>1406</v>
      </c>
      <c r="W327" s="56" t="n">
        <v>0.0684752145190268</v>
      </c>
      <c r="X327" s="57" t="s">
        <v>168</v>
      </c>
      <c r="Y327" s="57" t="s">
        <v>130</v>
      </c>
    </row>
    <row r="328" customFormat="false" ht="15" hidden="false" customHeight="false" outlineLevel="0" collapsed="false">
      <c r="A328" s="25" t="s">
        <v>385</v>
      </c>
      <c r="B328" s="25" t="s">
        <v>499</v>
      </c>
      <c r="C328" s="25" t="s">
        <v>501</v>
      </c>
      <c r="D328" s="52" t="n">
        <f aca="false">ROUND(S328*T328,0)</f>
        <v>620</v>
      </c>
      <c r="E328" s="52" t="n">
        <f aca="false">ROUND(S328,0)-D328</f>
        <v>1288</v>
      </c>
      <c r="F328" s="52" t="n">
        <f aca="false">IF(COUNTA(D328:E328)=0,"",SUM(D328:E328))</f>
        <v>1908</v>
      </c>
      <c r="G328" s="53" t="n">
        <f aca="false">IF(OR(F328="",F328=0),"",D328/F328)</f>
        <v>0.324947589098533</v>
      </c>
      <c r="H328" s="53" t="n">
        <f aca="false">IF(OR(F328="",F328=0),"",E328/F328)</f>
        <v>0.675052410901468</v>
      </c>
      <c r="I328" s="25" t="s">
        <v>128</v>
      </c>
      <c r="J328" s="28" t="n">
        <v>1.88612725432908</v>
      </c>
      <c r="K328" s="28" t="n">
        <f aca="false">$K$8</f>
        <v>0.296197623206382</v>
      </c>
      <c r="L328" s="28" t="n">
        <f aca="false">SQRT(J328^2+K328^2)</f>
        <v>1.909243057213</v>
      </c>
      <c r="M328" s="53" t="n">
        <f aca="false">IF(G328="","",MAX(0,G328-1.96*L328/100))</f>
        <v>0.287526425177158</v>
      </c>
      <c r="N328" s="53" t="n">
        <f aca="false">IF(G328="","",MIN(1,G328+1.96*L328/100))</f>
        <v>0.362368753019907</v>
      </c>
      <c r="O328" s="52" t="n">
        <f aca="false">ROUND(S328*W328,0)</f>
        <v>131</v>
      </c>
      <c r="P328" s="52" t="n">
        <f aca="false">IF(F328="","",ROUND(SQRT((F328*L328/100)^2+(G328*O328)^2),0))</f>
        <v>56</v>
      </c>
      <c r="R328" s="54" t="n">
        <v>-18.2679747353197</v>
      </c>
      <c r="S328" s="55" t="n">
        <f aca="false">U328*V328*$F$5</f>
        <v>1907.80833039181</v>
      </c>
      <c r="T328" s="56" t="n">
        <f aca="false">MAX(0,MIN(1,R328/100+$D$5))</f>
        <v>0.324876359755217</v>
      </c>
      <c r="U328" s="56" t="n">
        <v>0.649135192375574</v>
      </c>
      <c r="V328" s="55" t="n">
        <v>2939</v>
      </c>
      <c r="W328" s="56" t="n">
        <v>0.0684752145190268</v>
      </c>
      <c r="X328" s="57" t="s">
        <v>168</v>
      </c>
      <c r="Y328" s="57" t="s">
        <v>130</v>
      </c>
    </row>
    <row r="329" customFormat="false" ht="15" hidden="false" customHeight="false" outlineLevel="0" collapsed="false">
      <c r="A329" s="25" t="s">
        <v>385</v>
      </c>
      <c r="B329" s="25" t="s">
        <v>499</v>
      </c>
      <c r="C329" s="25" t="s">
        <v>502</v>
      </c>
      <c r="D329" s="52" t="n">
        <f aca="false">ROUND(S329*T329,0)</f>
        <v>420</v>
      </c>
      <c r="E329" s="52" t="n">
        <f aca="false">ROUND(S329,0)-D329</f>
        <v>927</v>
      </c>
      <c r="F329" s="52" t="n">
        <f aca="false">IF(COUNTA(D329:E329)=0,"",SUM(D329:E329))</f>
        <v>1347</v>
      </c>
      <c r="G329" s="53" t="n">
        <f aca="false">IF(OR(F329="",F329=0),"",D329/F329)</f>
        <v>0.311804008908686</v>
      </c>
      <c r="H329" s="53" t="n">
        <f aca="false">IF(OR(F329="",F329=0),"",E329/F329)</f>
        <v>0.688195991091314</v>
      </c>
      <c r="I329" s="25" t="s">
        <v>128</v>
      </c>
      <c r="J329" s="28" t="n">
        <v>1.88612725432908</v>
      </c>
      <c r="K329" s="28" t="n">
        <f aca="false">$K$8</f>
        <v>0.296197623206382</v>
      </c>
      <c r="L329" s="28" t="n">
        <f aca="false">SQRT(J329^2+K329^2)</f>
        <v>1.909243057213</v>
      </c>
      <c r="M329" s="53" t="n">
        <f aca="false">IF(G329="","",MAX(0,G329-1.96*L329/100))</f>
        <v>0.274382844987311</v>
      </c>
      <c r="N329" s="53" t="n">
        <f aca="false">IF(G329="","",MIN(1,G329+1.96*L329/100))</f>
        <v>0.349225172830061</v>
      </c>
      <c r="O329" s="52" t="n">
        <f aca="false">ROUND(S329*W329,0)</f>
        <v>92</v>
      </c>
      <c r="P329" s="52" t="n">
        <f aca="false">IF(F329="","",ROUND(SQRT((F329*L329/100)^2+(G329*O329)^2),0))</f>
        <v>39</v>
      </c>
      <c r="R329" s="54" t="n">
        <v>-19.5778746253874</v>
      </c>
      <c r="S329" s="55" t="n">
        <f aca="false">U329*V329*$F$5</f>
        <v>1347</v>
      </c>
      <c r="T329" s="56" t="n">
        <f aca="false">MAX(0,MIN(1,R329/100+$D$5))</f>
        <v>0.311777360854541</v>
      </c>
      <c r="U329" s="56" t="n">
        <v>0.677565392354125</v>
      </c>
      <c r="V329" s="55" t="n">
        <v>1988</v>
      </c>
      <c r="W329" s="56" t="n">
        <v>0.0684752145190268</v>
      </c>
      <c r="X329" s="57" t="s">
        <v>168</v>
      </c>
      <c r="Y329" s="57" t="s">
        <v>130</v>
      </c>
    </row>
    <row r="330" customFormat="false" ht="15" hidden="false" customHeight="false" outlineLevel="0" collapsed="false">
      <c r="A330" s="25" t="s">
        <v>385</v>
      </c>
      <c r="B330" s="25" t="s">
        <v>499</v>
      </c>
      <c r="C330" s="25" t="s">
        <v>503</v>
      </c>
      <c r="D330" s="52" t="n">
        <f aca="false">ROUND(S330*T330,0)</f>
        <v>203</v>
      </c>
      <c r="E330" s="52" t="n">
        <f aca="false">ROUND(S330,0)-D330</f>
        <v>437</v>
      </c>
      <c r="F330" s="52" t="n">
        <f aca="false">IF(COUNTA(D330:E330)=0,"",SUM(D330:E330))</f>
        <v>640</v>
      </c>
      <c r="G330" s="53" t="n">
        <f aca="false">IF(OR(F330="",F330=0),"",D330/F330)</f>
        <v>0.3171875</v>
      </c>
      <c r="H330" s="53" t="n">
        <f aca="false">IF(OR(F330="",F330=0),"",E330/F330)</f>
        <v>0.6828125</v>
      </c>
      <c r="I330" s="25" t="s">
        <v>128</v>
      </c>
      <c r="J330" s="28" t="n">
        <v>2.37310914384046</v>
      </c>
      <c r="K330" s="28" t="n">
        <f aca="false">$K$8</f>
        <v>0.296197623206382</v>
      </c>
      <c r="L330" s="28" t="n">
        <f aca="false">SQRT(J330^2+K330^2)</f>
        <v>2.3915225360787</v>
      </c>
      <c r="M330" s="53" t="n">
        <f aca="false">IF(G330="","",MAX(0,G330-1.96*L330/100))</f>
        <v>0.270313658292857</v>
      </c>
      <c r="N330" s="53" t="n">
        <f aca="false">IF(G330="","",MIN(1,G330+1.96*L330/100))</f>
        <v>0.364061341707143</v>
      </c>
      <c r="O330" s="52" t="n">
        <f aca="false">ROUND(S330*W330,0)</f>
        <v>57</v>
      </c>
      <c r="P330" s="52" t="n">
        <f aca="false">IF(F330="","",ROUND(SQRT((F330*L330/100)^2+(G330*O330)^2),0))</f>
        <v>24</v>
      </c>
      <c r="R330" s="54" t="n">
        <v>-19.0306422782039</v>
      </c>
      <c r="S330" s="55" t="n">
        <f aca="false">U330*V330*$F$5</f>
        <v>640.169811320755</v>
      </c>
      <c r="T330" s="56" t="n">
        <f aca="false">MAX(0,MIN(1,R330/100+$D$5))</f>
        <v>0.317249684326376</v>
      </c>
      <c r="U330" s="56" t="n">
        <v>0.69811320754717</v>
      </c>
      <c r="V330" s="55" t="n">
        <v>917</v>
      </c>
      <c r="W330" s="56" t="n">
        <v>0.0887445098984521</v>
      </c>
      <c r="X330" s="57" t="s">
        <v>135</v>
      </c>
      <c r="Y330" s="57" t="s">
        <v>130</v>
      </c>
    </row>
    <row r="331" customFormat="false" ht="15" hidden="false" customHeight="false" outlineLevel="0" collapsed="false">
      <c r="A331" s="25" t="s">
        <v>385</v>
      </c>
      <c r="B331" s="25" t="s">
        <v>504</v>
      </c>
      <c r="C331" s="25" t="s">
        <v>505</v>
      </c>
      <c r="D331" s="52" t="n">
        <f aca="false">ROUND(S331*T331,0)</f>
        <v>500</v>
      </c>
      <c r="E331" s="52" t="n">
        <f aca="false">ROUND(S331,0)-D331</f>
        <v>478</v>
      </c>
      <c r="F331" s="52" t="n">
        <f aca="false">IF(COUNTA(D331:E331)=0,"",SUM(D331:E331))</f>
        <v>978</v>
      </c>
      <c r="G331" s="53" t="n">
        <f aca="false">IF(OR(F331="",F331=0),"",D331/F331)</f>
        <v>0.511247443762781</v>
      </c>
      <c r="H331" s="53" t="n">
        <f aca="false">IF(OR(F331="",F331=0),"",E331/F331)</f>
        <v>0.488752556237219</v>
      </c>
      <c r="I331" s="25" t="s">
        <v>128</v>
      </c>
      <c r="J331" s="28" t="n">
        <v>1.88612725432908</v>
      </c>
      <c r="K331" s="28" t="n">
        <f aca="false">$K$8</f>
        <v>0.296197623206382</v>
      </c>
      <c r="L331" s="28" t="n">
        <f aca="false">SQRT(J331^2+K331^2)</f>
        <v>1.909243057213</v>
      </c>
      <c r="M331" s="53" t="n">
        <f aca="false">IF(G331="","",MAX(0,G331-1.96*L331/100))</f>
        <v>0.473826279841406</v>
      </c>
      <c r="N331" s="53" t="n">
        <f aca="false">IF(G331="","",MIN(1,G331+1.96*L331/100))</f>
        <v>0.548668607684156</v>
      </c>
      <c r="O331" s="52" t="n">
        <f aca="false">ROUND(S331*W331,0)</f>
        <v>67</v>
      </c>
      <c r="P331" s="52" t="n">
        <f aca="false">IF(F331="","",ROUND(SQRT((F331*L331/100)^2+(G331*O331)^2),0))</f>
        <v>39</v>
      </c>
      <c r="R331" s="54" t="n">
        <v>0.3346432827148</v>
      </c>
      <c r="S331" s="55" t="n">
        <f aca="false">U331*V331*$F$5</f>
        <v>978.044260027662</v>
      </c>
      <c r="T331" s="56" t="n">
        <f aca="false">MAX(0,MIN(1,R331/100+$D$5))</f>
        <v>0.510902539935563</v>
      </c>
      <c r="U331" s="56" t="n">
        <v>0.659059474412171</v>
      </c>
      <c r="V331" s="55" t="n">
        <v>1484</v>
      </c>
      <c r="W331" s="56" t="n">
        <v>0.0684752145190268</v>
      </c>
      <c r="X331" s="57" t="s">
        <v>168</v>
      </c>
      <c r="Y331" s="57" t="s">
        <v>130</v>
      </c>
    </row>
    <row r="332" customFormat="false" ht="15" hidden="false" customHeight="false" outlineLevel="0" collapsed="false">
      <c r="A332" s="25" t="s">
        <v>385</v>
      </c>
      <c r="B332" s="25" t="s">
        <v>504</v>
      </c>
      <c r="C332" s="25" t="s">
        <v>506</v>
      </c>
      <c r="D332" s="52" t="n">
        <f aca="false">ROUND(S332*T332,0)</f>
        <v>404</v>
      </c>
      <c r="E332" s="52" t="n">
        <f aca="false">ROUND(S332,0)-D332</f>
        <v>377</v>
      </c>
      <c r="F332" s="52" t="n">
        <f aca="false">IF(COUNTA(D332:E332)=0,"",SUM(D332:E332))</f>
        <v>781</v>
      </c>
      <c r="G332" s="53" t="n">
        <f aca="false">IF(OR(F332="",F332=0),"",D332/F332)</f>
        <v>0.517285531370038</v>
      </c>
      <c r="H332" s="53" t="n">
        <f aca="false">IF(OR(F332="",F332=0),"",E332/F332)</f>
        <v>0.482714468629962</v>
      </c>
      <c r="I332" s="25" t="s">
        <v>128</v>
      </c>
      <c r="J332" s="28" t="n">
        <v>2.37310914384046</v>
      </c>
      <c r="K332" s="28" t="n">
        <f aca="false">$K$8</f>
        <v>0.296197623206382</v>
      </c>
      <c r="L332" s="28" t="n">
        <f aca="false">SQRT(J332^2+K332^2)</f>
        <v>2.3915225360787</v>
      </c>
      <c r="M332" s="53" t="n">
        <f aca="false">IF(G332="","",MAX(0,G332-1.96*L332/100))</f>
        <v>0.470411689662896</v>
      </c>
      <c r="N332" s="53" t="n">
        <f aca="false">IF(G332="","",MIN(1,G332+1.96*L332/100))</f>
        <v>0.564159373077181</v>
      </c>
      <c r="O332" s="52" t="n">
        <f aca="false">ROUND(S332*W332,0)</f>
        <v>69</v>
      </c>
      <c r="P332" s="52" t="n">
        <f aca="false">IF(F332="","",ROUND(SQRT((F332*L332/100)^2+(G332*O332)^2),0))</f>
        <v>40</v>
      </c>
      <c r="R332" s="54" t="n">
        <v>0.931331209010494</v>
      </c>
      <c r="S332" s="55" t="n">
        <f aca="false">U332*V332*$F$5</f>
        <v>780.745236414961</v>
      </c>
      <c r="T332" s="56" t="n">
        <f aca="false">MAX(0,MIN(1,R332/100+$D$5))</f>
        <v>0.51686941919852</v>
      </c>
      <c r="U332" s="56" t="n">
        <v>0.549047282992237</v>
      </c>
      <c r="V332" s="55" t="n">
        <v>1422</v>
      </c>
      <c r="W332" s="56" t="n">
        <v>0.0887445098984521</v>
      </c>
      <c r="X332" s="57" t="s">
        <v>135</v>
      </c>
      <c r="Y332" s="57" t="s">
        <v>130</v>
      </c>
    </row>
    <row r="333" customFormat="false" ht="15" hidden="false" customHeight="false" outlineLevel="0" collapsed="false">
      <c r="A333" s="25" t="s">
        <v>385</v>
      </c>
      <c r="B333" s="25" t="s">
        <v>504</v>
      </c>
      <c r="C333" s="25" t="s">
        <v>507</v>
      </c>
      <c r="D333" s="52" t="n">
        <f aca="false">ROUND(S333*T333,0)</f>
        <v>371</v>
      </c>
      <c r="E333" s="52" t="n">
        <f aca="false">ROUND(S333,0)-D333</f>
        <v>386</v>
      </c>
      <c r="F333" s="52" t="n">
        <f aca="false">IF(COUNTA(D333:E333)=0,"",SUM(D333:E333))</f>
        <v>757</v>
      </c>
      <c r="G333" s="53" t="n">
        <f aca="false">IF(OR(F333="",F333=0),"",D333/F333)</f>
        <v>0.490092470277411</v>
      </c>
      <c r="H333" s="53" t="n">
        <f aca="false">IF(OR(F333="",F333=0),"",E333/F333)</f>
        <v>0.509907529722589</v>
      </c>
      <c r="I333" s="25" t="s">
        <v>128</v>
      </c>
      <c r="J333" s="28" t="n">
        <v>2.37310914384046</v>
      </c>
      <c r="K333" s="28" t="n">
        <f aca="false">$K$8</f>
        <v>0.296197623206382</v>
      </c>
      <c r="L333" s="28" t="n">
        <f aca="false">SQRT(J333^2+K333^2)</f>
        <v>2.3915225360787</v>
      </c>
      <c r="M333" s="53" t="n">
        <f aca="false">IF(G333="","",MAX(0,G333-1.96*L333/100))</f>
        <v>0.443218628570268</v>
      </c>
      <c r="N333" s="53" t="n">
        <f aca="false">IF(G333="","",MIN(1,G333+1.96*L333/100))</f>
        <v>0.536966311984553</v>
      </c>
      <c r="O333" s="52" t="n">
        <f aca="false">ROUND(S333*W333,0)</f>
        <v>67</v>
      </c>
      <c r="P333" s="52" t="n">
        <f aca="false">IF(F333="","",ROUND(SQRT((F333*L333/100)^2+(G333*O333)^2),0))</f>
        <v>37</v>
      </c>
      <c r="R333" s="54" t="n">
        <v>-1.79779949087719</v>
      </c>
      <c r="S333" s="55" t="n">
        <f aca="false">U333*V333*$F$5</f>
        <v>757.126771653543</v>
      </c>
      <c r="T333" s="56" t="n">
        <f aca="false">MAX(0,MIN(1,R333/100+$D$5))</f>
        <v>0.489578112199643</v>
      </c>
      <c r="U333" s="56" t="n">
        <v>0.574015748031496</v>
      </c>
      <c r="V333" s="55" t="n">
        <v>1319</v>
      </c>
      <c r="W333" s="56" t="n">
        <v>0.0887445098984521</v>
      </c>
      <c r="X333" s="57" t="s">
        <v>135</v>
      </c>
      <c r="Y333" s="57" t="s">
        <v>130</v>
      </c>
    </row>
    <row r="334" customFormat="false" ht="15" hidden="false" customHeight="false" outlineLevel="0" collapsed="false">
      <c r="A334" s="25" t="s">
        <v>385</v>
      </c>
      <c r="B334" s="25" t="s">
        <v>508</v>
      </c>
      <c r="C334" s="25" t="s">
        <v>509</v>
      </c>
      <c r="D334" s="52" t="n">
        <f aca="false">ROUND(S334*T334,0)</f>
        <v>178</v>
      </c>
      <c r="E334" s="52" t="n">
        <f aca="false">ROUND(S334,0)-D334</f>
        <v>205</v>
      </c>
      <c r="F334" s="52" t="n">
        <f aca="false">IF(COUNTA(D334:E334)=0,"",SUM(D334:E334))</f>
        <v>383</v>
      </c>
      <c r="G334" s="53" t="n">
        <f aca="false">IF(OR(F334="",F334=0),"",D334/F334)</f>
        <v>0.464751958224543</v>
      </c>
      <c r="H334" s="53" t="n">
        <f aca="false">IF(OR(F334="",F334=0),"",E334/F334)</f>
        <v>0.535248041775457</v>
      </c>
      <c r="I334" s="25" t="s">
        <v>128</v>
      </c>
      <c r="J334" s="28" t="n">
        <v>3.71103496666907</v>
      </c>
      <c r="K334" s="28" t="n">
        <f aca="false">$K$8</f>
        <v>0.296197623206382</v>
      </c>
      <c r="L334" s="28" t="n">
        <f aca="false">SQRT(J334^2+K334^2)</f>
        <v>3.72283676191068</v>
      </c>
      <c r="M334" s="53" t="n">
        <f aca="false">IF(G334="","",MAX(0,G334-1.96*L334/100))</f>
        <v>0.391784357691094</v>
      </c>
      <c r="N334" s="53" t="n">
        <f aca="false">IF(G334="","",MIN(1,G334+1.96*L334/100))</f>
        <v>0.537719558757992</v>
      </c>
      <c r="O334" s="52" t="n">
        <f aca="false">ROUND(S334*W334,0)</f>
        <v>57</v>
      </c>
      <c r="P334" s="52" t="n">
        <f aca="false">IF(F334="","",ROUND(SQRT((F334*L334/100)^2+(G334*O334)^2),0))</f>
        <v>30</v>
      </c>
      <c r="R334" s="54" t="n">
        <v>-4.42272422657743</v>
      </c>
      <c r="S334" s="55" t="n">
        <f aca="false">U334*V334*$F$5</f>
        <v>383.103139013453</v>
      </c>
      <c r="T334" s="56" t="n">
        <f aca="false">MAX(0,MIN(1,R334/100+$D$5))</f>
        <v>0.46332886484264</v>
      </c>
      <c r="U334" s="56" t="n">
        <v>0.541106128550075</v>
      </c>
      <c r="V334" s="55" t="n">
        <v>708</v>
      </c>
      <c r="W334" s="56" t="n">
        <v>0.148097331980838</v>
      </c>
      <c r="X334" s="57" t="s">
        <v>129</v>
      </c>
      <c r="Y334" s="57" t="s">
        <v>130</v>
      </c>
    </row>
    <row r="335" customFormat="false" ht="15" hidden="false" customHeight="false" outlineLevel="0" collapsed="false">
      <c r="A335" s="25" t="s">
        <v>385</v>
      </c>
      <c r="B335" s="25" t="s">
        <v>508</v>
      </c>
      <c r="C335" s="25" t="s">
        <v>510</v>
      </c>
      <c r="D335" s="52" t="n">
        <f aca="false">ROUND(S335*T335,0)</f>
        <v>539</v>
      </c>
      <c r="E335" s="52" t="n">
        <f aca="false">ROUND(S335,0)-D335</f>
        <v>510</v>
      </c>
      <c r="F335" s="52" t="n">
        <f aca="false">IF(COUNTA(D335:E335)=0,"",SUM(D335:E335))</f>
        <v>1049</v>
      </c>
      <c r="G335" s="53" t="n">
        <f aca="false">IF(OR(F335="",F335=0),"",D335/F335)</f>
        <v>0.513822688274547</v>
      </c>
      <c r="H335" s="53" t="n">
        <f aca="false">IF(OR(F335="",F335=0),"",E335/F335)</f>
        <v>0.486177311725453</v>
      </c>
      <c r="I335" s="25" t="s">
        <v>128</v>
      </c>
      <c r="J335" s="28" t="n">
        <v>1.88612725432908</v>
      </c>
      <c r="K335" s="28" t="n">
        <f aca="false">$K$8</f>
        <v>0.296197623206382</v>
      </c>
      <c r="L335" s="28" t="n">
        <f aca="false">SQRT(J335^2+K335^2)</f>
        <v>1.909243057213</v>
      </c>
      <c r="M335" s="53" t="n">
        <f aca="false">IF(G335="","",MAX(0,G335-1.96*L335/100))</f>
        <v>0.476401524353172</v>
      </c>
      <c r="N335" s="53" t="n">
        <f aca="false">IF(G335="","",MIN(1,G335+1.96*L335/100))</f>
        <v>0.551243852195922</v>
      </c>
      <c r="O335" s="52" t="n">
        <f aca="false">ROUND(S335*W335,0)</f>
        <v>72</v>
      </c>
      <c r="P335" s="52" t="n">
        <f aca="false">IF(F335="","",ROUND(SQRT((F335*L335/100)^2+(G335*O335)^2),0))</f>
        <v>42</v>
      </c>
      <c r="R335" s="54" t="n">
        <v>0.601523726330815</v>
      </c>
      <c r="S335" s="55" t="n">
        <f aca="false">U335*V335*$F$5</f>
        <v>1049.22431259045</v>
      </c>
      <c r="T335" s="56" t="n">
        <f aca="false">MAX(0,MIN(1,R335/100+$D$5))</f>
        <v>0.513571344371723</v>
      </c>
      <c r="U335" s="56" t="n">
        <v>0.662807525325615</v>
      </c>
      <c r="V335" s="55" t="n">
        <v>1583</v>
      </c>
      <c r="W335" s="56" t="n">
        <v>0.0684752145190268</v>
      </c>
      <c r="X335" s="57" t="s">
        <v>168</v>
      </c>
      <c r="Y335" s="57" t="s">
        <v>130</v>
      </c>
    </row>
    <row r="336" customFormat="false" ht="15" hidden="false" customHeight="false" outlineLevel="0" collapsed="false">
      <c r="A336" s="25" t="s">
        <v>385</v>
      </c>
      <c r="B336" s="25" t="s">
        <v>511</v>
      </c>
      <c r="C336" s="25" t="s">
        <v>512</v>
      </c>
      <c r="D336" s="52" t="n">
        <f aca="false">ROUND(S336*T336,0)</f>
        <v>488</v>
      </c>
      <c r="E336" s="52" t="n">
        <f aca="false">ROUND(S336,0)-D336</f>
        <v>540</v>
      </c>
      <c r="F336" s="52" t="n">
        <f aca="false">IF(COUNTA(D336:E336)=0,"",SUM(D336:E336))</f>
        <v>1028</v>
      </c>
      <c r="G336" s="53" t="n">
        <f aca="false">IF(OR(F336="",F336=0),"",D336/F336)</f>
        <v>0.474708171206226</v>
      </c>
      <c r="H336" s="53" t="n">
        <f aca="false">IF(OR(F336="",F336=0),"",E336/F336)</f>
        <v>0.525291828793774</v>
      </c>
      <c r="I336" s="25" t="s">
        <v>128</v>
      </c>
      <c r="J336" s="28" t="n">
        <v>1.88612725432908</v>
      </c>
      <c r="K336" s="28" t="n">
        <f aca="false">$K$8</f>
        <v>0.296197623206382</v>
      </c>
      <c r="L336" s="28" t="n">
        <f aca="false">SQRT(J336^2+K336^2)</f>
        <v>1.909243057213</v>
      </c>
      <c r="M336" s="53" t="n">
        <f aca="false">IF(G336="","",MAX(0,G336-1.96*L336/100))</f>
        <v>0.437287007284851</v>
      </c>
      <c r="N336" s="53" t="n">
        <f aca="false">IF(G336="","",MIN(1,G336+1.96*L336/100))</f>
        <v>0.512129335127601</v>
      </c>
      <c r="O336" s="52" t="n">
        <f aca="false">ROUND(S336*W336,0)</f>
        <v>70</v>
      </c>
      <c r="P336" s="52" t="n">
        <f aca="false">IF(F336="","",ROUND(SQRT((F336*L336/100)^2+(G336*O336)^2),0))</f>
        <v>39</v>
      </c>
      <c r="R336" s="54" t="n">
        <v>-3.27287301522812</v>
      </c>
      <c r="S336" s="55" t="n">
        <f aca="false">U336*V336*$F$5</f>
        <v>1027.55404570723</v>
      </c>
      <c r="T336" s="56" t="n">
        <f aca="false">MAX(0,MIN(1,R336/100+$D$5))</f>
        <v>0.474827376956134</v>
      </c>
      <c r="U336" s="56" t="n">
        <v>0.589870290302656</v>
      </c>
      <c r="V336" s="55" t="n">
        <v>1742</v>
      </c>
      <c r="W336" s="56" t="n">
        <v>0.0684752145190268</v>
      </c>
      <c r="X336" s="57" t="s">
        <v>168</v>
      </c>
      <c r="Y336" s="57" t="s">
        <v>130</v>
      </c>
    </row>
    <row r="337" customFormat="false" ht="15" hidden="false" customHeight="false" outlineLevel="0" collapsed="false">
      <c r="A337" s="25" t="s">
        <v>385</v>
      </c>
      <c r="B337" s="25" t="s">
        <v>511</v>
      </c>
      <c r="C337" s="25" t="s">
        <v>513</v>
      </c>
      <c r="D337" s="52" t="n">
        <f aca="false">ROUND(S337*T337,0)</f>
        <v>428</v>
      </c>
      <c r="E337" s="52" t="n">
        <f aca="false">ROUND(S337,0)-D337</f>
        <v>440</v>
      </c>
      <c r="F337" s="52" t="n">
        <f aca="false">IF(COUNTA(D337:E337)=0,"",SUM(D337:E337))</f>
        <v>868</v>
      </c>
      <c r="G337" s="53" t="n">
        <f aca="false">IF(OR(F337="",F337=0),"",D337/F337)</f>
        <v>0.493087557603687</v>
      </c>
      <c r="H337" s="53" t="n">
        <f aca="false">IF(OR(F337="",F337=0),"",E337/F337)</f>
        <v>0.506912442396313</v>
      </c>
      <c r="I337" s="25" t="s">
        <v>128</v>
      </c>
      <c r="J337" s="28" t="n">
        <v>2.37310914384046</v>
      </c>
      <c r="K337" s="28" t="n">
        <f aca="false">$K$8</f>
        <v>0.296197623206382</v>
      </c>
      <c r="L337" s="28" t="n">
        <f aca="false">SQRT(J337^2+K337^2)</f>
        <v>2.3915225360787</v>
      </c>
      <c r="M337" s="53" t="n">
        <f aca="false">IF(G337="","",MAX(0,G337-1.96*L337/100))</f>
        <v>0.446213715896544</v>
      </c>
      <c r="N337" s="53" t="n">
        <f aca="false">IF(G337="","",MIN(1,G337+1.96*L337/100))</f>
        <v>0.539961399310829</v>
      </c>
      <c r="O337" s="52" t="n">
        <f aca="false">ROUND(S337*W337,0)</f>
        <v>77</v>
      </c>
      <c r="P337" s="52" t="n">
        <f aca="false">IF(F337="","",ROUND(SQRT((F337*L337/100)^2+(G337*O337)^2),0))</f>
        <v>43</v>
      </c>
      <c r="R337" s="54" t="n">
        <v>-1.37180313376209</v>
      </c>
      <c r="S337" s="55" t="n">
        <f aca="false">U337*V337*$F$5</f>
        <v>867.502130249544</v>
      </c>
      <c r="T337" s="56" t="n">
        <f aca="false">MAX(0,MIN(1,R337/100+$D$5))</f>
        <v>0.493838075770794</v>
      </c>
      <c r="U337" s="56" t="n">
        <v>0.507608034083993</v>
      </c>
      <c r="V337" s="55" t="n">
        <v>1709</v>
      </c>
      <c r="W337" s="56" t="n">
        <v>0.0887445098984521</v>
      </c>
      <c r="X337" s="57" t="s">
        <v>135</v>
      </c>
      <c r="Y337" s="57" t="s">
        <v>130</v>
      </c>
    </row>
    <row r="338" customFormat="false" ht="15" hidden="false" customHeight="false" outlineLevel="0" collapsed="false">
      <c r="A338" s="25" t="s">
        <v>385</v>
      </c>
      <c r="B338" s="25" t="s">
        <v>511</v>
      </c>
      <c r="C338" s="25" t="s">
        <v>514</v>
      </c>
      <c r="D338" s="52" t="n">
        <f aca="false">ROUND(S338*T338,0)</f>
        <v>881</v>
      </c>
      <c r="E338" s="52" t="n">
        <f aca="false">ROUND(S338,0)-D338</f>
        <v>993</v>
      </c>
      <c r="F338" s="52" t="n">
        <f aca="false">IF(COUNTA(D338:E338)=0,"",SUM(D338:E338))</f>
        <v>1874</v>
      </c>
      <c r="G338" s="53" t="n">
        <f aca="false">IF(OR(F338="",F338=0),"",D338/F338)</f>
        <v>0.470117395944504</v>
      </c>
      <c r="H338" s="53" t="n">
        <f aca="false">IF(OR(F338="",F338=0),"",E338/F338)</f>
        <v>0.529882604055496</v>
      </c>
      <c r="I338" s="25" t="s">
        <v>128</v>
      </c>
      <c r="J338" s="28" t="n">
        <v>1.88612725432908</v>
      </c>
      <c r="K338" s="28" t="n">
        <f aca="false">$K$8</f>
        <v>0.296197623206382</v>
      </c>
      <c r="L338" s="28" t="n">
        <f aca="false">SQRT(J338^2+K338^2)</f>
        <v>1.909243057213</v>
      </c>
      <c r="M338" s="53" t="n">
        <f aca="false">IF(G338="","",MAX(0,G338-1.96*L338/100))</f>
        <v>0.432696232023129</v>
      </c>
      <c r="N338" s="53" t="n">
        <f aca="false">IF(G338="","",MIN(1,G338+1.96*L338/100))</f>
        <v>0.507538559865879</v>
      </c>
      <c r="O338" s="52" t="n">
        <f aca="false">ROUND(S338*W338,0)</f>
        <v>128</v>
      </c>
      <c r="P338" s="52" t="n">
        <f aca="false">IF(F338="","",ROUND(SQRT((F338*L338/100)^2+(G338*O338)^2),0))</f>
        <v>70</v>
      </c>
      <c r="R338" s="54" t="n">
        <v>-3.73237075072043</v>
      </c>
      <c r="S338" s="55" t="n">
        <f aca="false">U338*V338*$F$5</f>
        <v>1873.94361294814</v>
      </c>
      <c r="T338" s="56" t="n">
        <f aca="false">MAX(0,MIN(1,R338/100+$D$5))</f>
        <v>0.47023239960121</v>
      </c>
      <c r="U338" s="56" t="n">
        <v>0.612600069613644</v>
      </c>
      <c r="V338" s="55" t="n">
        <v>3059</v>
      </c>
      <c r="W338" s="56" t="n">
        <v>0.0684752145190268</v>
      </c>
      <c r="X338" s="57" t="s">
        <v>168</v>
      </c>
      <c r="Y338" s="57" t="s">
        <v>130</v>
      </c>
    </row>
    <row r="339" customFormat="false" ht="15" hidden="false" customHeight="false" outlineLevel="0" collapsed="false">
      <c r="A339" s="25" t="s">
        <v>385</v>
      </c>
      <c r="B339" s="25" t="s">
        <v>511</v>
      </c>
      <c r="C339" s="25" t="s">
        <v>515</v>
      </c>
      <c r="D339" s="52" t="n">
        <f aca="false">ROUND(S339*T339,0)</f>
        <v>179</v>
      </c>
      <c r="E339" s="52" t="n">
        <f aca="false">ROUND(S339,0)-D339</f>
        <v>219</v>
      </c>
      <c r="F339" s="52" t="n">
        <f aca="false">IF(COUNTA(D339:E339)=0,"",SUM(D339:E339))</f>
        <v>398</v>
      </c>
      <c r="G339" s="53" t="n">
        <f aca="false">IF(OR(F339="",F339=0),"",D339/F339)</f>
        <v>0.449748743718593</v>
      </c>
      <c r="H339" s="53" t="n">
        <f aca="false">IF(OR(F339="",F339=0),"",E339/F339)</f>
        <v>0.550251256281407</v>
      </c>
      <c r="I339" s="25" t="s">
        <v>128</v>
      </c>
      <c r="J339" s="28" t="n">
        <v>3.71103496666907</v>
      </c>
      <c r="K339" s="28" t="n">
        <f aca="false">$K$8</f>
        <v>0.296197623206382</v>
      </c>
      <c r="L339" s="28" t="n">
        <f aca="false">SQRT(J339^2+K339^2)</f>
        <v>3.72283676191068</v>
      </c>
      <c r="M339" s="53" t="n">
        <f aca="false">IF(G339="","",MAX(0,G339-1.96*L339/100))</f>
        <v>0.376781143185144</v>
      </c>
      <c r="N339" s="53" t="n">
        <f aca="false">IF(G339="","",MIN(1,G339+1.96*L339/100))</f>
        <v>0.522716344252042</v>
      </c>
      <c r="O339" s="52" t="n">
        <f aca="false">ROUND(S339*W339,0)</f>
        <v>59</v>
      </c>
      <c r="P339" s="52" t="n">
        <f aca="false">IF(F339="","",ROUND(SQRT((F339*L339/100)^2+(G339*O339)^2),0))</f>
        <v>30</v>
      </c>
      <c r="R339" s="54" t="n">
        <v>-5.76318383232854</v>
      </c>
      <c r="S339" s="55" t="n">
        <f aca="false">U339*V339*$F$5</f>
        <v>398.40616966581</v>
      </c>
      <c r="T339" s="56" t="n">
        <f aca="false">MAX(0,MIN(1,R339/100+$D$5))</f>
        <v>0.449924268785129</v>
      </c>
      <c r="U339" s="56" t="n">
        <v>0.48586118251928</v>
      </c>
      <c r="V339" s="55" t="n">
        <v>820</v>
      </c>
      <c r="W339" s="56" t="n">
        <v>0.148097331980838</v>
      </c>
      <c r="X339" s="57" t="s">
        <v>129</v>
      </c>
      <c r="Y339" s="57" t="s">
        <v>130</v>
      </c>
    </row>
    <row r="340" customFormat="false" ht="15" hidden="false" customHeight="false" outlineLevel="0" collapsed="false">
      <c r="A340" s="25" t="s">
        <v>385</v>
      </c>
      <c r="B340" s="25" t="s">
        <v>516</v>
      </c>
      <c r="C340" s="25" t="s">
        <v>517</v>
      </c>
      <c r="D340" s="52" t="n">
        <f aca="false">ROUND(S340*T340,0)</f>
        <v>667</v>
      </c>
      <c r="E340" s="52" t="n">
        <f aca="false">ROUND(S340,0)-D340</f>
        <v>714</v>
      </c>
      <c r="F340" s="52" t="n">
        <f aca="false">IF(COUNTA(D340:E340)=0,"",SUM(D340:E340))</f>
        <v>1381</v>
      </c>
      <c r="G340" s="53" t="n">
        <f aca="false">IF(OR(F340="",F340=0),"",D340/F340)</f>
        <v>0.482983345401883</v>
      </c>
      <c r="H340" s="53" t="n">
        <f aca="false">IF(OR(F340="",F340=0),"",E340/F340)</f>
        <v>0.517016654598117</v>
      </c>
      <c r="I340" s="25" t="s">
        <v>128</v>
      </c>
      <c r="J340" s="28" t="n">
        <v>1.88612725432908</v>
      </c>
      <c r="K340" s="28" t="n">
        <f aca="false">$K$8</f>
        <v>0.296197623206382</v>
      </c>
      <c r="L340" s="28" t="n">
        <f aca="false">SQRT(J340^2+K340^2)</f>
        <v>1.909243057213</v>
      </c>
      <c r="M340" s="53" t="n">
        <f aca="false">IF(G340="","",MAX(0,G340-1.96*L340/100))</f>
        <v>0.445562181480508</v>
      </c>
      <c r="N340" s="53" t="n">
        <f aca="false">IF(G340="","",MIN(1,G340+1.96*L340/100))</f>
        <v>0.520404509323258</v>
      </c>
      <c r="O340" s="52" t="n">
        <f aca="false">ROUND(S340*W340,0)</f>
        <v>95</v>
      </c>
      <c r="P340" s="52" t="n">
        <f aca="false">IF(F340="","",ROUND(SQRT((F340*L340/100)^2+(G340*O340)^2),0))</f>
        <v>53</v>
      </c>
      <c r="R340" s="54" t="n">
        <v>-2.46015549334364</v>
      </c>
      <c r="S340" s="55" t="n">
        <f aca="false">U340*V340*$F$5</f>
        <v>1380.50534255185</v>
      </c>
      <c r="T340" s="56" t="n">
        <f aca="false">MAX(0,MIN(1,R340/100+$D$5))</f>
        <v>0.482954552174978</v>
      </c>
      <c r="U340" s="56" t="n">
        <v>0.629792583280955</v>
      </c>
      <c r="V340" s="55" t="n">
        <v>2192</v>
      </c>
      <c r="W340" s="56" t="n">
        <v>0.0684752145190268</v>
      </c>
      <c r="X340" s="57" t="s">
        <v>168</v>
      </c>
      <c r="Y340" s="57" t="s">
        <v>130</v>
      </c>
    </row>
    <row r="341" customFormat="false" ht="15" hidden="false" customHeight="false" outlineLevel="0" collapsed="false">
      <c r="A341" s="25" t="s">
        <v>385</v>
      </c>
      <c r="B341" s="25" t="s">
        <v>516</v>
      </c>
      <c r="C341" s="25" t="s">
        <v>518</v>
      </c>
      <c r="D341" s="52" t="n">
        <f aca="false">ROUND(S341*T341,0)</f>
        <v>159</v>
      </c>
      <c r="E341" s="52" t="n">
        <f aca="false">ROUND(S341,0)-D341</f>
        <v>143</v>
      </c>
      <c r="F341" s="52" t="n">
        <f aca="false">IF(COUNTA(D341:E341)=0,"",SUM(D341:E341))</f>
        <v>302</v>
      </c>
      <c r="G341" s="53" t="n">
        <f aca="false">IF(OR(F341="",F341=0),"",D341/F341)</f>
        <v>0.526490066225166</v>
      </c>
      <c r="H341" s="53" t="n">
        <f aca="false">IF(OR(F341="",F341=0),"",E341/F341)</f>
        <v>0.473509933774834</v>
      </c>
      <c r="I341" s="25" t="s">
        <v>231</v>
      </c>
      <c r="J341" s="28" t="n">
        <v>3.71103496666907</v>
      </c>
      <c r="K341" s="28" t="n">
        <f aca="false">$K$8</f>
        <v>0.296197623206382</v>
      </c>
      <c r="L341" s="28" t="n">
        <f aca="false">SQRT(J341^2+K341^2)</f>
        <v>3.72283676191068</v>
      </c>
      <c r="M341" s="53" t="n">
        <f aca="false">IF(G341="","",MAX(0,G341-1.96*L341/100))</f>
        <v>0.453522465691716</v>
      </c>
      <c r="N341" s="53" t="n">
        <f aca="false">IF(G341="","",MIN(1,G341+1.96*L341/100))</f>
        <v>0.599457666758615</v>
      </c>
      <c r="O341" s="52" t="n">
        <f aca="false">ROUND(S341*W341,0)</f>
        <v>45</v>
      </c>
      <c r="P341" s="52" t="n">
        <f aca="false">IF(F341="","",ROUND(SQRT((F341*L341/100)^2+(G341*O341)^2),0))</f>
        <v>26</v>
      </c>
      <c r="R341" s="54" t="n">
        <v>1.90007265845291</v>
      </c>
      <c r="S341" s="55" t="n">
        <f aca="false">U341*V341*$F$5</f>
        <v>301.77107159879</v>
      </c>
      <c r="T341" s="56" t="n">
        <f aca="false">MAX(0,MIN(1,R341/100+$D$5))</f>
        <v>0.526556833692944</v>
      </c>
      <c r="U341" s="56" t="n">
        <v>0.210586930634187</v>
      </c>
      <c r="V341" s="55" t="n">
        <v>1433</v>
      </c>
      <c r="W341" s="56" t="n">
        <v>0.148097331980838</v>
      </c>
      <c r="X341" s="57" t="s">
        <v>129</v>
      </c>
      <c r="Y341" s="57" t="s">
        <v>130</v>
      </c>
    </row>
    <row r="342" customFormat="false" ht="15" hidden="false" customHeight="false" outlineLevel="0" collapsed="false">
      <c r="A342" s="25" t="s">
        <v>385</v>
      </c>
      <c r="B342" s="25" t="s">
        <v>516</v>
      </c>
      <c r="C342" s="25" t="s">
        <v>519</v>
      </c>
      <c r="D342" s="52" t="n">
        <f aca="false">ROUND(S342*T342,0)</f>
        <v>610</v>
      </c>
      <c r="E342" s="52" t="n">
        <f aca="false">ROUND(S342,0)-D342</f>
        <v>580</v>
      </c>
      <c r="F342" s="52" t="n">
        <f aca="false">IF(COUNTA(D342:E342)=0,"",SUM(D342:E342))</f>
        <v>1190</v>
      </c>
      <c r="G342" s="53" t="n">
        <f aca="false">IF(OR(F342="",F342=0),"",D342/F342)</f>
        <v>0.512605042016807</v>
      </c>
      <c r="H342" s="53" t="n">
        <f aca="false">IF(OR(F342="",F342=0),"",E342/F342)</f>
        <v>0.487394957983193</v>
      </c>
      <c r="I342" s="25" t="s">
        <v>231</v>
      </c>
      <c r="J342" s="28" t="n">
        <v>1.88612725432908</v>
      </c>
      <c r="K342" s="28" t="n">
        <f aca="false">$K$8</f>
        <v>0.296197623206382</v>
      </c>
      <c r="L342" s="28" t="n">
        <f aca="false">SQRT(J342^2+K342^2)</f>
        <v>1.909243057213</v>
      </c>
      <c r="M342" s="53" t="n">
        <f aca="false">IF(G342="","",MAX(0,G342-1.96*L342/100))</f>
        <v>0.475183878095432</v>
      </c>
      <c r="N342" s="53" t="n">
        <f aca="false">IF(G342="","",MIN(1,G342+1.96*L342/100))</f>
        <v>0.550026205938182</v>
      </c>
      <c r="O342" s="52" t="n">
        <f aca="false">ROUND(S342*W342,0)</f>
        <v>82</v>
      </c>
      <c r="P342" s="52" t="n">
        <f aca="false">IF(F342="","",ROUND(SQRT((F342*L342/100)^2+(G342*O342)^2),0))</f>
        <v>48</v>
      </c>
      <c r="R342" s="54" t="n">
        <v>0.536462743845657</v>
      </c>
      <c r="S342" s="55" t="n">
        <f aca="false">U342*V342*$F$5</f>
        <v>1190.2119157459</v>
      </c>
      <c r="T342" s="56" t="n">
        <f aca="false">MAX(0,MIN(1,R342/100+$D$5))</f>
        <v>0.512920734546871</v>
      </c>
      <c r="U342" s="56" t="n">
        <v>0.60792399109143</v>
      </c>
      <c r="V342" s="55" t="n">
        <v>1957.83014519475</v>
      </c>
      <c r="W342" s="56" t="n">
        <v>0.0684752145190268</v>
      </c>
      <c r="X342" s="57" t="s">
        <v>168</v>
      </c>
      <c r="Y342" s="57" t="s">
        <v>233</v>
      </c>
    </row>
    <row r="343" customFormat="false" ht="15" hidden="false" customHeight="false" outlineLevel="0" collapsed="false">
      <c r="A343" s="25" t="s">
        <v>385</v>
      </c>
      <c r="B343" s="25" t="s">
        <v>516</v>
      </c>
      <c r="C343" s="25" t="s">
        <v>520</v>
      </c>
      <c r="D343" s="52" t="n">
        <f aca="false">ROUND(S343*T343,0)</f>
        <v>747</v>
      </c>
      <c r="E343" s="52" t="n">
        <f aca="false">ROUND(S343,0)-D343</f>
        <v>656</v>
      </c>
      <c r="F343" s="52" t="n">
        <f aca="false">IF(COUNTA(D343:E343)=0,"",SUM(D343:E343))</f>
        <v>1403</v>
      </c>
      <c r="G343" s="53" t="n">
        <f aca="false">IF(OR(F343="",F343=0),"",D343/F343)</f>
        <v>0.532430506058446</v>
      </c>
      <c r="H343" s="53" t="n">
        <f aca="false">IF(OR(F343="",F343=0),"",E343/F343)</f>
        <v>0.467569493941554</v>
      </c>
      <c r="I343" s="25" t="s">
        <v>128</v>
      </c>
      <c r="J343" s="28" t="n">
        <v>1.88612725432908</v>
      </c>
      <c r="K343" s="28" t="n">
        <f aca="false">$K$8</f>
        <v>0.296197623206382</v>
      </c>
      <c r="L343" s="28" t="n">
        <f aca="false">SQRT(J343^2+K343^2)</f>
        <v>1.909243057213</v>
      </c>
      <c r="M343" s="53" t="n">
        <f aca="false">IF(G343="","",MAX(0,G343-1.96*L343/100))</f>
        <v>0.495009342137071</v>
      </c>
      <c r="N343" s="53" t="n">
        <f aca="false">IF(G343="","",MIN(1,G343+1.96*L343/100))</f>
        <v>0.569851669979821</v>
      </c>
      <c r="O343" s="52" t="n">
        <f aca="false">ROUND(S343*W343,0)</f>
        <v>96</v>
      </c>
      <c r="P343" s="52" t="n">
        <f aca="false">IF(F343="","",ROUND(SQRT((F343*L343/100)^2+(G343*O343)^2),0))</f>
        <v>58</v>
      </c>
      <c r="R343" s="54" t="n">
        <v>2.48044661463542</v>
      </c>
      <c r="S343" s="55" t="n">
        <f aca="false">U343*V343*$F$5</f>
        <v>1402.88532351394</v>
      </c>
      <c r="T343" s="56" t="n">
        <f aca="false">MAX(0,MIN(1,R343/100+$D$5))</f>
        <v>0.532360573254769</v>
      </c>
      <c r="U343" s="56" t="n">
        <v>0.608627038400842</v>
      </c>
      <c r="V343" s="55" t="n">
        <v>2305</v>
      </c>
      <c r="W343" s="56" t="n">
        <v>0.0684752145190268</v>
      </c>
      <c r="X343" s="57" t="s">
        <v>168</v>
      </c>
      <c r="Y343" s="57" t="s">
        <v>130</v>
      </c>
    </row>
    <row r="344" customFormat="false" ht="15" hidden="false" customHeight="false" outlineLevel="0" collapsed="false">
      <c r="A344" s="25" t="s">
        <v>385</v>
      </c>
      <c r="B344" s="25" t="s">
        <v>516</v>
      </c>
      <c r="C344" s="25" t="s">
        <v>521</v>
      </c>
      <c r="D344" s="52" t="n">
        <f aca="false">ROUND(S344*T344,0)</f>
        <v>626</v>
      </c>
      <c r="E344" s="52" t="n">
        <f aca="false">ROUND(S344,0)-D344</f>
        <v>644</v>
      </c>
      <c r="F344" s="52" t="n">
        <f aca="false">IF(COUNTA(D344:E344)=0,"",SUM(D344:E344))</f>
        <v>1270</v>
      </c>
      <c r="G344" s="53" t="n">
        <f aca="false">IF(OR(F344="",F344=0),"",D344/F344)</f>
        <v>0.492913385826772</v>
      </c>
      <c r="H344" s="53" t="n">
        <f aca="false">IF(OR(F344="",F344=0),"",E344/F344)</f>
        <v>0.507086614173228</v>
      </c>
      <c r="I344" s="25" t="s">
        <v>128</v>
      </c>
      <c r="J344" s="28" t="n">
        <v>1.88612725432908</v>
      </c>
      <c r="K344" s="28" t="n">
        <f aca="false">$K$8</f>
        <v>0.296197623206382</v>
      </c>
      <c r="L344" s="28" t="n">
        <f aca="false">SQRT(J344^2+K344^2)</f>
        <v>1.909243057213</v>
      </c>
      <c r="M344" s="53" t="n">
        <f aca="false">IF(G344="","",MAX(0,G344-1.96*L344/100))</f>
        <v>0.455492221905397</v>
      </c>
      <c r="N344" s="53" t="n">
        <f aca="false">IF(G344="","",MIN(1,G344+1.96*L344/100))</f>
        <v>0.530334549748147</v>
      </c>
      <c r="O344" s="52" t="n">
        <f aca="false">ROUND(S344*W344,0)</f>
        <v>87</v>
      </c>
      <c r="P344" s="52" t="n">
        <f aca="false">IF(F344="","",ROUND(SQRT((F344*L344/100)^2+(G344*O344)^2),0))</f>
        <v>49</v>
      </c>
      <c r="R344" s="54" t="n">
        <v>-1.49145707800323</v>
      </c>
      <c r="S344" s="55" t="n">
        <f aca="false">U344*V344*$F$5</f>
        <v>1270.0390625</v>
      </c>
      <c r="T344" s="56" t="n">
        <f aca="false">MAX(0,MIN(1,R344/100+$D$5))</f>
        <v>0.492641536328382</v>
      </c>
      <c r="U344" s="56" t="n">
        <v>0.595703125</v>
      </c>
      <c r="V344" s="55" t="n">
        <v>2132</v>
      </c>
      <c r="W344" s="56" t="n">
        <v>0.0684752145190268</v>
      </c>
      <c r="X344" s="57" t="s">
        <v>168</v>
      </c>
      <c r="Y344" s="57" t="s">
        <v>130</v>
      </c>
    </row>
    <row r="345" customFormat="false" ht="15" hidden="false" customHeight="false" outlineLevel="0" collapsed="false">
      <c r="A345" s="25" t="s">
        <v>385</v>
      </c>
      <c r="B345" s="25" t="s">
        <v>516</v>
      </c>
      <c r="C345" s="25" t="s">
        <v>522</v>
      </c>
      <c r="D345" s="52" t="n">
        <f aca="false">ROUND(S345*T345,0)</f>
        <v>624</v>
      </c>
      <c r="E345" s="52" t="n">
        <f aca="false">ROUND(S345,0)-D345</f>
        <v>618</v>
      </c>
      <c r="F345" s="52" t="n">
        <f aca="false">IF(COUNTA(D345:E345)=0,"",SUM(D345:E345))</f>
        <v>1242</v>
      </c>
      <c r="G345" s="53" t="n">
        <f aca="false">IF(OR(F345="",F345=0),"",D345/F345)</f>
        <v>0.502415458937198</v>
      </c>
      <c r="H345" s="53" t="n">
        <f aca="false">IF(OR(F345="",F345=0),"",E345/F345)</f>
        <v>0.497584541062802</v>
      </c>
      <c r="I345" s="25" t="s">
        <v>128</v>
      </c>
      <c r="J345" s="28" t="n">
        <v>1.88612725432908</v>
      </c>
      <c r="K345" s="28" t="n">
        <f aca="false">$K$8</f>
        <v>0.296197623206382</v>
      </c>
      <c r="L345" s="28" t="n">
        <f aca="false">SQRT(J345^2+K345^2)</f>
        <v>1.909243057213</v>
      </c>
      <c r="M345" s="53" t="n">
        <f aca="false">IF(G345="","",MAX(0,G345-1.96*L345/100))</f>
        <v>0.464994295015823</v>
      </c>
      <c r="N345" s="53" t="n">
        <f aca="false">IF(G345="","",MIN(1,G345+1.96*L345/100))</f>
        <v>0.539836622858573</v>
      </c>
      <c r="O345" s="52" t="n">
        <f aca="false">ROUND(S345*W345,0)</f>
        <v>85</v>
      </c>
      <c r="P345" s="52" t="n">
        <f aca="false">IF(F345="","",ROUND(SQRT((F345*L345/100)^2+(G345*O345)^2),0))</f>
        <v>49</v>
      </c>
      <c r="R345" s="54" t="n">
        <v>-0.507353151609263</v>
      </c>
      <c r="S345" s="55" t="n">
        <f aca="false">U345*V345*$F$5</f>
        <v>1241.83236382866</v>
      </c>
      <c r="T345" s="56" t="n">
        <f aca="false">MAX(0,MIN(1,R345/100+$D$5))</f>
        <v>0.502482575592322</v>
      </c>
      <c r="U345" s="56" t="n">
        <v>0.687995769434162</v>
      </c>
      <c r="V345" s="55" t="n">
        <v>1805</v>
      </c>
      <c r="W345" s="56" t="n">
        <v>0.0684752145190268</v>
      </c>
      <c r="X345" s="57" t="s">
        <v>168</v>
      </c>
      <c r="Y345" s="57" t="s">
        <v>130</v>
      </c>
    </row>
    <row r="346" customFormat="false" ht="15" hidden="false" customHeight="false" outlineLevel="0" collapsed="false">
      <c r="A346" s="25" t="s">
        <v>385</v>
      </c>
      <c r="B346" s="25" t="s">
        <v>516</v>
      </c>
      <c r="C346" s="25" t="s">
        <v>523</v>
      </c>
      <c r="D346" s="52" t="n">
        <f aca="false">ROUND(S346*T346,0)</f>
        <v>559</v>
      </c>
      <c r="E346" s="52" t="n">
        <f aca="false">ROUND(S346,0)-D346</f>
        <v>498</v>
      </c>
      <c r="F346" s="52" t="n">
        <f aca="false">IF(COUNTA(D346:E346)=0,"",SUM(D346:E346))</f>
        <v>1057</v>
      </c>
      <c r="G346" s="53" t="n">
        <f aca="false">IF(OR(F346="",F346=0),"",D346/F346)</f>
        <v>0.528855250709555</v>
      </c>
      <c r="H346" s="53" t="n">
        <f aca="false">IF(OR(F346="",F346=0),"",E346/F346)</f>
        <v>0.471144749290445</v>
      </c>
      <c r="I346" s="25" t="s">
        <v>231</v>
      </c>
      <c r="J346" s="28" t="n">
        <v>1.88612725432908</v>
      </c>
      <c r="K346" s="28" t="n">
        <f aca="false">$K$8</f>
        <v>0.296197623206382</v>
      </c>
      <c r="L346" s="28" t="n">
        <f aca="false">SQRT(J346^2+K346^2)</f>
        <v>1.909243057213</v>
      </c>
      <c r="M346" s="53" t="n">
        <f aca="false">IF(G346="","",MAX(0,G346-1.96*L346/100))</f>
        <v>0.49143408678818</v>
      </c>
      <c r="N346" s="53" t="n">
        <f aca="false">IF(G346="","",MIN(1,G346+1.96*L346/100))</f>
        <v>0.56627641463093</v>
      </c>
      <c r="O346" s="52" t="n">
        <f aca="false">ROUND(S346*W346,0)</f>
        <v>72</v>
      </c>
      <c r="P346" s="52" t="n">
        <f aca="false">IF(F346="","",ROUND(SQRT((F346*L346/100)^2+(G346*O346)^2),0))</f>
        <v>43</v>
      </c>
      <c r="R346" s="54" t="n">
        <v>2.15956502686177</v>
      </c>
      <c r="S346" s="55" t="n">
        <f aca="false">U346*V346*$F$5</f>
        <v>1057.01374184354</v>
      </c>
      <c r="T346" s="56" t="n">
        <f aca="false">MAX(0,MIN(1,R346/100+$D$5))</f>
        <v>0.529151757377033</v>
      </c>
      <c r="U346" s="56" t="n">
        <v>0.539330078320882</v>
      </c>
      <c r="V346" s="55" t="n">
        <v>1959.86425443651</v>
      </c>
      <c r="W346" s="56" t="n">
        <v>0.0684752145190268</v>
      </c>
      <c r="X346" s="57" t="s">
        <v>168</v>
      </c>
      <c r="Y346" s="57" t="s">
        <v>233</v>
      </c>
    </row>
    <row r="347" customFormat="false" ht="15" hidden="false" customHeight="false" outlineLevel="0" collapsed="false">
      <c r="A347" s="25" t="s">
        <v>385</v>
      </c>
      <c r="B347" s="25" t="s">
        <v>516</v>
      </c>
      <c r="C347" s="25" t="s">
        <v>524</v>
      </c>
      <c r="D347" s="52" t="n">
        <f aca="false">ROUND(S347*T347,0)</f>
        <v>228</v>
      </c>
      <c r="E347" s="52" t="n">
        <f aca="false">ROUND(S347,0)-D347</f>
        <v>217</v>
      </c>
      <c r="F347" s="52" t="n">
        <f aca="false">IF(COUNTA(D347:E347)=0,"",SUM(D347:E347))</f>
        <v>445</v>
      </c>
      <c r="G347" s="53" t="n">
        <f aca="false">IF(OR(F347="",F347=0),"",D347/F347)</f>
        <v>0.512359550561798</v>
      </c>
      <c r="H347" s="53" t="n">
        <f aca="false">IF(OR(F347="",F347=0),"",E347/F347)</f>
        <v>0.487640449438202</v>
      </c>
      <c r="I347" s="25" t="s">
        <v>231</v>
      </c>
      <c r="J347" s="28" t="n">
        <v>3.71103496666907</v>
      </c>
      <c r="K347" s="28" t="n">
        <f aca="false">$K$8</f>
        <v>0.296197623206382</v>
      </c>
      <c r="L347" s="28" t="n">
        <f aca="false">SQRT(J347^2+K347^2)</f>
        <v>3.72283676191068</v>
      </c>
      <c r="M347" s="53" t="n">
        <f aca="false">IF(G347="","",MAX(0,G347-1.96*L347/100))</f>
        <v>0.439391950028348</v>
      </c>
      <c r="N347" s="53" t="n">
        <f aca="false">IF(G347="","",MIN(1,G347+1.96*L347/100))</f>
        <v>0.585327151095247</v>
      </c>
      <c r="O347" s="52" t="n">
        <f aca="false">ROUND(S347*W347,0)</f>
        <v>66</v>
      </c>
      <c r="P347" s="52" t="n">
        <f aca="false">IF(F347="","",ROUND(SQRT((F347*L347/100)^2+(G347*O347)^2),0))</f>
        <v>38</v>
      </c>
      <c r="R347" s="54" t="n">
        <v>0.589326232525907</v>
      </c>
      <c r="S347" s="55" t="n">
        <f aca="false">U347*V347*$F$5</f>
        <v>444.793344999185</v>
      </c>
      <c r="T347" s="56" t="n">
        <f aca="false">MAX(0,MIN(1,R347/100+$D$5))</f>
        <v>0.513449369433674</v>
      </c>
      <c r="U347" s="56" t="n">
        <v>0.252867166002948</v>
      </c>
      <c r="V347" s="55" t="n">
        <v>1759</v>
      </c>
      <c r="W347" s="56" t="n">
        <v>0.148097331980838</v>
      </c>
      <c r="X347" s="57" t="s">
        <v>129</v>
      </c>
      <c r="Y347" s="57" t="s">
        <v>130</v>
      </c>
    </row>
    <row r="348" customFormat="false" ht="15" hidden="false" customHeight="false" outlineLevel="0" collapsed="false">
      <c r="A348" s="25" t="s">
        <v>385</v>
      </c>
      <c r="B348" s="25" t="s">
        <v>516</v>
      </c>
      <c r="C348" s="25" t="s">
        <v>525</v>
      </c>
      <c r="D348" s="52" t="n">
        <f aca="false">ROUND(S348*T348,0)</f>
        <v>540</v>
      </c>
      <c r="E348" s="52" t="n">
        <f aca="false">ROUND(S348,0)-D348</f>
        <v>511</v>
      </c>
      <c r="F348" s="52" t="n">
        <f aca="false">IF(COUNTA(D348:E348)=0,"",SUM(D348:E348))</f>
        <v>1051</v>
      </c>
      <c r="G348" s="53" t="n">
        <f aca="false">IF(OR(F348="",F348=0),"",D348/F348)</f>
        <v>0.513796384395814</v>
      </c>
      <c r="H348" s="53" t="n">
        <f aca="false">IF(OR(F348="",F348=0),"",E348/F348)</f>
        <v>0.486203615604187</v>
      </c>
      <c r="I348" s="25" t="s">
        <v>231</v>
      </c>
      <c r="J348" s="28" t="n">
        <v>1.88612725432908</v>
      </c>
      <c r="K348" s="28" t="n">
        <f aca="false">$K$8</f>
        <v>0.296197623206382</v>
      </c>
      <c r="L348" s="28" t="n">
        <f aca="false">SQRT(J348^2+K348^2)</f>
        <v>1.909243057213</v>
      </c>
      <c r="M348" s="53" t="n">
        <f aca="false">IF(G348="","",MAX(0,G348-1.96*L348/100))</f>
        <v>0.476375220474439</v>
      </c>
      <c r="N348" s="53" t="n">
        <f aca="false">IF(G348="","",MIN(1,G348+1.96*L348/100))</f>
        <v>0.551217548317188</v>
      </c>
      <c r="O348" s="52" t="n">
        <f aca="false">ROUND(S348*W348,0)</f>
        <v>72</v>
      </c>
      <c r="P348" s="52" t="n">
        <f aca="false">IF(F348="","",ROUND(SQRT((F348*L348/100)^2+(G348*O348)^2),0))</f>
        <v>42</v>
      </c>
      <c r="R348" s="54" t="n">
        <v>0.625057308894579</v>
      </c>
      <c r="S348" s="55" t="n">
        <f aca="false">U348*V348*$F$5</f>
        <v>1051.11310419537</v>
      </c>
      <c r="T348" s="56" t="n">
        <f aca="false">MAX(0,MIN(1,R348/100+$D$5))</f>
        <v>0.513806680197361</v>
      </c>
      <c r="U348" s="56" t="n">
        <v>0.502924930237018</v>
      </c>
      <c r="V348" s="55" t="n">
        <v>2090</v>
      </c>
      <c r="W348" s="56" t="n">
        <v>0.0684752145190268</v>
      </c>
      <c r="X348" s="57" t="s">
        <v>168</v>
      </c>
      <c r="Y348" s="57" t="s">
        <v>130</v>
      </c>
    </row>
    <row r="349" customFormat="false" ht="15" hidden="false" customHeight="false" outlineLevel="0" collapsed="false">
      <c r="A349" s="25" t="s">
        <v>385</v>
      </c>
      <c r="B349" s="25" t="s">
        <v>526</v>
      </c>
      <c r="C349" s="25" t="s">
        <v>527</v>
      </c>
      <c r="D349" s="52" t="n">
        <f aca="false">ROUND(S349*T349,0)</f>
        <v>81</v>
      </c>
      <c r="E349" s="52" t="n">
        <f aca="false">ROUND(S349,0)-D349</f>
        <v>134</v>
      </c>
      <c r="F349" s="52" t="n">
        <f aca="false">IF(COUNTA(D349:E349)=0,"",SUM(D349:E349))</f>
        <v>215</v>
      </c>
      <c r="G349" s="53" t="n">
        <f aca="false">IF(OR(F349="",F349=0),"",D349/F349)</f>
        <v>0.376744186046512</v>
      </c>
      <c r="H349" s="53" t="n">
        <f aca="false">IF(OR(F349="",F349=0),"",E349/F349)</f>
        <v>0.623255813953488</v>
      </c>
      <c r="I349" s="25" t="s">
        <v>128</v>
      </c>
      <c r="J349" s="28" t="n">
        <v>3.71103496666907</v>
      </c>
      <c r="K349" s="28" t="n">
        <f aca="false">$K$8</f>
        <v>0.296197623206382</v>
      </c>
      <c r="L349" s="28" t="n">
        <f aca="false">SQRT(J349^2+K349^2)</f>
        <v>3.72283676191068</v>
      </c>
      <c r="M349" s="53" t="n">
        <f aca="false">IF(G349="","",MAX(0,G349-1.96*L349/100))</f>
        <v>0.303776585513062</v>
      </c>
      <c r="N349" s="53" t="n">
        <f aca="false">IF(G349="","",MIN(1,G349+1.96*L349/100))</f>
        <v>0.449711786579961</v>
      </c>
      <c r="O349" s="52" t="n">
        <f aca="false">ROUND(S349*W349,0)</f>
        <v>32</v>
      </c>
      <c r="P349" s="52" t="n">
        <f aca="false">IF(F349="","",ROUND(SQRT((F349*L349/100)^2+(G349*O349)^2),0))</f>
        <v>14</v>
      </c>
      <c r="R349" s="54" t="n">
        <v>-13.0365036680488</v>
      </c>
      <c r="S349" s="55" t="n">
        <f aca="false">U349*V349*$F$5</f>
        <v>214.558510638298</v>
      </c>
      <c r="T349" s="56" t="n">
        <f aca="false">MAX(0,MIN(1,R349/100+$D$5))</f>
        <v>0.377191070427927</v>
      </c>
      <c r="U349" s="56" t="n">
        <v>0.513297872340426</v>
      </c>
      <c r="V349" s="55" t="n">
        <v>418</v>
      </c>
      <c r="W349" s="56" t="n">
        <v>0.148097331980838</v>
      </c>
      <c r="X349" s="57" t="s">
        <v>129</v>
      </c>
      <c r="Y349" s="57" t="s">
        <v>130</v>
      </c>
    </row>
    <row r="350" customFormat="false" ht="15" hidden="false" customHeight="false" outlineLevel="0" collapsed="false">
      <c r="A350" s="25" t="s">
        <v>385</v>
      </c>
      <c r="B350" s="25" t="s">
        <v>526</v>
      </c>
      <c r="C350" s="25" t="s">
        <v>528</v>
      </c>
      <c r="D350" s="52" t="n">
        <f aca="false">ROUND(S350*T350,0)</f>
        <v>196</v>
      </c>
      <c r="E350" s="52" t="n">
        <f aca="false">ROUND(S350,0)-D350</f>
        <v>367</v>
      </c>
      <c r="F350" s="52" t="n">
        <f aca="false">IF(COUNTA(D350:E350)=0,"",SUM(D350:E350))</f>
        <v>563</v>
      </c>
      <c r="G350" s="53" t="n">
        <f aca="false">IF(OR(F350="",F350=0),"",D350/F350)</f>
        <v>0.348134991119005</v>
      </c>
      <c r="H350" s="53" t="n">
        <f aca="false">IF(OR(F350="",F350=0),"",E350/F350)</f>
        <v>0.651865008880995</v>
      </c>
      <c r="I350" s="25" t="s">
        <v>128</v>
      </c>
      <c r="J350" s="28" t="n">
        <v>3.71103496666907</v>
      </c>
      <c r="K350" s="28" t="n">
        <f aca="false">$K$8</f>
        <v>0.296197623206382</v>
      </c>
      <c r="L350" s="28" t="n">
        <f aca="false">SQRT(J350^2+K350^2)</f>
        <v>3.72283676191068</v>
      </c>
      <c r="M350" s="53" t="n">
        <f aca="false">IF(G350="","",MAX(0,G350-1.96*L350/100))</f>
        <v>0.275167390585556</v>
      </c>
      <c r="N350" s="53" t="n">
        <f aca="false">IF(G350="","",MIN(1,G350+1.96*L350/100))</f>
        <v>0.421102591652455</v>
      </c>
      <c r="O350" s="52" t="n">
        <f aca="false">ROUND(S350*W350,0)</f>
        <v>83</v>
      </c>
      <c r="P350" s="52" t="n">
        <f aca="false">IF(F350="","",ROUND(SQRT((F350*L350/100)^2+(G350*O350)^2),0))</f>
        <v>36</v>
      </c>
      <c r="R350" s="54" t="n">
        <v>-15.8651780370182</v>
      </c>
      <c r="S350" s="55" t="n">
        <f aca="false">U350*V350*$F$5</f>
        <v>562.888888888889</v>
      </c>
      <c r="T350" s="56" t="n">
        <f aca="false">MAX(0,MIN(1,R350/100+$D$5))</f>
        <v>0.348904326738232</v>
      </c>
      <c r="U350" s="56" t="n">
        <v>0.62962962962963</v>
      </c>
      <c r="V350" s="55" t="n">
        <v>894</v>
      </c>
      <c r="W350" s="56" t="n">
        <v>0.148097331980838</v>
      </c>
      <c r="X350" s="57" t="s">
        <v>129</v>
      </c>
      <c r="Y350" s="57" t="s">
        <v>130</v>
      </c>
    </row>
    <row r="351" customFormat="false" ht="15" hidden="false" customHeight="false" outlineLevel="0" collapsed="false">
      <c r="A351" s="25" t="s">
        <v>385</v>
      </c>
      <c r="B351" s="25" t="s">
        <v>526</v>
      </c>
      <c r="C351" s="25" t="s">
        <v>529</v>
      </c>
      <c r="D351" s="52" t="n">
        <f aca="false">ROUND(S351*T351,0)</f>
        <v>144</v>
      </c>
      <c r="E351" s="52" t="n">
        <f aca="false">ROUND(S351,0)-D351</f>
        <v>218</v>
      </c>
      <c r="F351" s="52" t="n">
        <f aca="false">IF(COUNTA(D351:E351)=0,"",SUM(D351:E351))</f>
        <v>362</v>
      </c>
      <c r="G351" s="53" t="n">
        <f aca="false">IF(OR(F351="",F351=0),"",D351/F351)</f>
        <v>0.397790055248619</v>
      </c>
      <c r="H351" s="53" t="n">
        <f aca="false">IF(OR(F351="",F351=0),"",E351/F351)</f>
        <v>0.602209944751381</v>
      </c>
      <c r="I351" s="25" t="s">
        <v>128</v>
      </c>
      <c r="J351" s="28" t="n">
        <v>3.71103496666907</v>
      </c>
      <c r="K351" s="28" t="n">
        <f aca="false">$K$8</f>
        <v>0.296197623206382</v>
      </c>
      <c r="L351" s="28" t="n">
        <f aca="false">SQRT(J351^2+K351^2)</f>
        <v>3.72283676191068</v>
      </c>
      <c r="M351" s="53" t="n">
        <f aca="false">IF(G351="","",MAX(0,G351-1.96*L351/100))</f>
        <v>0.324822454715169</v>
      </c>
      <c r="N351" s="53" t="n">
        <f aca="false">IF(G351="","",MIN(1,G351+1.96*L351/100))</f>
        <v>0.470757655782068</v>
      </c>
      <c r="O351" s="52" t="n">
        <f aca="false">ROUND(S351*W351,0)</f>
        <v>54</v>
      </c>
      <c r="P351" s="52" t="n">
        <f aca="false">IF(F351="","",ROUND(SQRT((F351*L351/100)^2+(G351*O351)^2),0))</f>
        <v>25</v>
      </c>
      <c r="R351" s="54" t="n">
        <v>-11.0364098492363</v>
      </c>
      <c r="S351" s="55" t="n">
        <f aca="false">U351*V351*$F$5</f>
        <v>362.264705882353</v>
      </c>
      <c r="T351" s="56" t="n">
        <f aca="false">MAX(0,MIN(1,R351/100+$D$5))</f>
        <v>0.397192008616052</v>
      </c>
      <c r="U351" s="56" t="n">
        <v>0.553921568627451</v>
      </c>
      <c r="V351" s="55" t="n">
        <v>654</v>
      </c>
      <c r="W351" s="56" t="n">
        <v>0.148097331980838</v>
      </c>
      <c r="X351" s="57" t="s">
        <v>129</v>
      </c>
      <c r="Y351" s="57" t="s">
        <v>130</v>
      </c>
    </row>
    <row r="352" customFormat="false" ht="15" hidden="false" customHeight="false" outlineLevel="0" collapsed="false">
      <c r="A352" s="25" t="s">
        <v>385</v>
      </c>
      <c r="B352" s="25" t="s">
        <v>526</v>
      </c>
      <c r="C352" s="25" t="s">
        <v>530</v>
      </c>
      <c r="D352" s="52" t="n">
        <f aca="false">ROUND(S352*T352,0)</f>
        <v>86</v>
      </c>
      <c r="E352" s="52" t="n">
        <f aca="false">ROUND(S352,0)-D352</f>
        <v>130</v>
      </c>
      <c r="F352" s="52" t="n">
        <f aca="false">IF(COUNTA(D352:E352)=0,"",SUM(D352:E352))</f>
        <v>216</v>
      </c>
      <c r="G352" s="53" t="n">
        <f aca="false">IF(OR(F352="",F352=0),"",D352/F352)</f>
        <v>0.398148148148148</v>
      </c>
      <c r="H352" s="53" t="n">
        <f aca="false">IF(OR(F352="",F352=0),"",E352/F352)</f>
        <v>0.601851851851852</v>
      </c>
      <c r="I352" s="25" t="s">
        <v>128</v>
      </c>
      <c r="J352" s="28" t="n">
        <v>3.71103496666907</v>
      </c>
      <c r="K352" s="28" t="n">
        <f aca="false">$K$8</f>
        <v>0.296197623206382</v>
      </c>
      <c r="L352" s="28" t="n">
        <f aca="false">SQRT(J352^2+K352^2)</f>
        <v>3.72283676191068</v>
      </c>
      <c r="M352" s="53" t="n">
        <f aca="false">IF(G352="","",MAX(0,G352-1.96*L352/100))</f>
        <v>0.325180547614699</v>
      </c>
      <c r="N352" s="53" t="n">
        <f aca="false">IF(G352="","",MIN(1,G352+1.96*L352/100))</f>
        <v>0.471115748681598</v>
      </c>
      <c r="O352" s="52" t="n">
        <f aca="false">ROUND(S352*W352,0)</f>
        <v>32</v>
      </c>
      <c r="P352" s="52" t="n">
        <f aca="false">IF(F352="","",ROUND(SQRT((F352*L352/100)^2+(G352*O352)^2),0))</f>
        <v>15</v>
      </c>
      <c r="R352" s="54" t="n">
        <v>-10.7560524418374</v>
      </c>
      <c r="S352" s="55" t="n">
        <f aca="false">U352*V352*$F$5</f>
        <v>215.962962962963</v>
      </c>
      <c r="T352" s="56" t="n">
        <f aca="false">MAX(0,MIN(1,R352/100+$D$5))</f>
        <v>0.39999558269004</v>
      </c>
      <c r="U352" s="56" t="n">
        <v>0.453703703703704</v>
      </c>
      <c r="V352" s="55" t="n">
        <v>476</v>
      </c>
      <c r="W352" s="56" t="n">
        <v>0.148097331980838</v>
      </c>
      <c r="X352" s="57" t="s">
        <v>129</v>
      </c>
      <c r="Y352" s="57" t="s">
        <v>130</v>
      </c>
    </row>
    <row r="353" customFormat="false" ht="15" hidden="false" customHeight="false" outlineLevel="0" collapsed="false">
      <c r="A353" s="25" t="s">
        <v>385</v>
      </c>
      <c r="B353" s="25" t="s">
        <v>531</v>
      </c>
      <c r="C353" s="25" t="s">
        <v>532</v>
      </c>
      <c r="D353" s="52" t="n">
        <f aca="false">ROUND(S353*T353,0)</f>
        <v>325</v>
      </c>
      <c r="E353" s="52" t="n">
        <f aca="false">ROUND(S353,0)-D353</f>
        <v>626</v>
      </c>
      <c r="F353" s="52" t="n">
        <f aca="false">IF(COUNTA(D353:E353)=0,"",SUM(D353:E353))</f>
        <v>951</v>
      </c>
      <c r="G353" s="53" t="n">
        <f aca="false">IF(OR(F353="",F353=0),"",D353/F353)</f>
        <v>0.341745531019979</v>
      </c>
      <c r="H353" s="53" t="n">
        <f aca="false">IF(OR(F353="",F353=0),"",E353/F353)</f>
        <v>0.658254468980021</v>
      </c>
      <c r="I353" s="25" t="s">
        <v>128</v>
      </c>
      <c r="J353" s="28" t="n">
        <v>1.88612725432908</v>
      </c>
      <c r="K353" s="28" t="n">
        <f aca="false">$K$8</f>
        <v>0.296197623206382</v>
      </c>
      <c r="L353" s="28" t="n">
        <f aca="false">SQRT(J353^2+K353^2)</f>
        <v>1.909243057213</v>
      </c>
      <c r="M353" s="53" t="n">
        <f aca="false">IF(G353="","",MAX(0,G353-1.96*L353/100))</f>
        <v>0.304324367098604</v>
      </c>
      <c r="N353" s="53" t="n">
        <f aca="false">IF(G353="","",MIN(1,G353+1.96*L353/100))</f>
        <v>0.379166694941354</v>
      </c>
      <c r="O353" s="52" t="n">
        <f aca="false">ROUND(S353*W353,0)</f>
        <v>65</v>
      </c>
      <c r="P353" s="52" t="n">
        <f aca="false">IF(F353="","",ROUND(SQRT((F353*L353/100)^2+(G353*O353)^2),0))</f>
        <v>29</v>
      </c>
      <c r="R353" s="54" t="n">
        <v>-16.5478556748704</v>
      </c>
      <c r="S353" s="55" t="n">
        <f aca="false">U353*V353*$F$5</f>
        <v>951.480446927374</v>
      </c>
      <c r="T353" s="56" t="n">
        <f aca="false">MAX(0,MIN(1,R353/100+$D$5))</f>
        <v>0.342077550359711</v>
      </c>
      <c r="U353" s="56" t="n">
        <v>0.642458100558659</v>
      </c>
      <c r="V353" s="55" t="n">
        <v>1481</v>
      </c>
      <c r="W353" s="56" t="n">
        <v>0.0684752145190268</v>
      </c>
      <c r="X353" s="57" t="s">
        <v>168</v>
      </c>
      <c r="Y353" s="57" t="s">
        <v>130</v>
      </c>
    </row>
    <row r="354" customFormat="false" ht="15" hidden="false" customHeight="false" outlineLevel="0" collapsed="false">
      <c r="A354" s="25" t="s">
        <v>385</v>
      </c>
      <c r="B354" s="25" t="s">
        <v>531</v>
      </c>
      <c r="C354" s="25" t="s">
        <v>533</v>
      </c>
      <c r="D354" s="52" t="n">
        <f aca="false">ROUND(S354*T354,0)</f>
        <v>262</v>
      </c>
      <c r="E354" s="52" t="n">
        <f aca="false">ROUND(S354,0)-D354</f>
        <v>487</v>
      </c>
      <c r="F354" s="52" t="n">
        <f aca="false">IF(COUNTA(D354:E354)=0,"",SUM(D354:E354))</f>
        <v>749</v>
      </c>
      <c r="G354" s="53" t="n">
        <f aca="false">IF(OR(F354="",F354=0),"",D354/F354)</f>
        <v>0.349799732977303</v>
      </c>
      <c r="H354" s="53" t="n">
        <f aca="false">IF(OR(F354="",F354=0),"",E354/F354)</f>
        <v>0.650200267022697</v>
      </c>
      <c r="I354" s="25" t="s">
        <v>128</v>
      </c>
      <c r="J354" s="28" t="n">
        <v>2.37310914384046</v>
      </c>
      <c r="K354" s="28" t="n">
        <f aca="false">$K$8</f>
        <v>0.296197623206382</v>
      </c>
      <c r="L354" s="28" t="n">
        <f aca="false">SQRT(J354^2+K354^2)</f>
        <v>2.3915225360787</v>
      </c>
      <c r="M354" s="53" t="n">
        <f aca="false">IF(G354="","",MAX(0,G354-1.96*L354/100))</f>
        <v>0.30292589127016</v>
      </c>
      <c r="N354" s="53" t="n">
        <f aca="false">IF(G354="","",MIN(1,G354+1.96*L354/100))</f>
        <v>0.396673574684446</v>
      </c>
      <c r="O354" s="52" t="n">
        <f aca="false">ROUND(S354*W354,0)</f>
        <v>66</v>
      </c>
      <c r="P354" s="52" t="n">
        <f aca="false">IF(F354="","",ROUND(SQRT((F354*L354/100)^2+(G354*O354)^2),0))</f>
        <v>29</v>
      </c>
      <c r="R354" s="54" t="n">
        <v>-15.7600326517662</v>
      </c>
      <c r="S354" s="55" t="n">
        <f aca="false">U354*V354*$F$5</f>
        <v>748.801666666667</v>
      </c>
      <c r="T354" s="56" t="n">
        <f aca="false">MAX(0,MIN(1,R354/100+$D$5))</f>
        <v>0.349955780590753</v>
      </c>
      <c r="U354" s="56" t="n">
        <v>0.618333333333333</v>
      </c>
      <c r="V354" s="55" t="n">
        <v>1211</v>
      </c>
      <c r="W354" s="56" t="n">
        <v>0.0887445098984521</v>
      </c>
      <c r="X354" s="57" t="s">
        <v>135</v>
      </c>
      <c r="Y354" s="57" t="s">
        <v>130</v>
      </c>
    </row>
    <row r="355" customFormat="false" ht="15" hidden="false" customHeight="false" outlineLevel="0" collapsed="false">
      <c r="A355" s="25" t="s">
        <v>385</v>
      </c>
      <c r="B355" s="25" t="s">
        <v>531</v>
      </c>
      <c r="C355" s="25" t="s">
        <v>534</v>
      </c>
      <c r="D355" s="52" t="n">
        <f aca="false">ROUND(S355*T355,0)</f>
        <v>229</v>
      </c>
      <c r="E355" s="52" t="n">
        <f aca="false">ROUND(S355,0)-D355</f>
        <v>478</v>
      </c>
      <c r="F355" s="52" t="n">
        <f aca="false">IF(COUNTA(D355:E355)=0,"",SUM(D355:E355))</f>
        <v>707</v>
      </c>
      <c r="G355" s="53" t="n">
        <f aca="false">IF(OR(F355="",F355=0),"",D355/F355)</f>
        <v>0.323903818953324</v>
      </c>
      <c r="H355" s="53" t="n">
        <f aca="false">IF(OR(F355="",F355=0),"",E355/F355)</f>
        <v>0.676096181046676</v>
      </c>
      <c r="I355" s="25" t="s">
        <v>128</v>
      </c>
      <c r="J355" s="28" t="n">
        <v>2.37310914384046</v>
      </c>
      <c r="K355" s="28" t="n">
        <f aca="false">$K$8</f>
        <v>0.296197623206382</v>
      </c>
      <c r="L355" s="28" t="n">
        <f aca="false">SQRT(J355^2+K355^2)</f>
        <v>2.3915225360787</v>
      </c>
      <c r="M355" s="53" t="n">
        <f aca="false">IF(G355="","",MAX(0,G355-1.96*L355/100))</f>
        <v>0.277029977246181</v>
      </c>
      <c r="N355" s="53" t="n">
        <f aca="false">IF(G355="","",MIN(1,G355+1.96*L355/100))</f>
        <v>0.370777660660467</v>
      </c>
      <c r="O355" s="52" t="n">
        <f aca="false">ROUND(S355*W355,0)</f>
        <v>63</v>
      </c>
      <c r="P355" s="52" t="n">
        <f aca="false">IF(F355="","",ROUND(SQRT((F355*L355/100)^2+(G355*O355)^2),0))</f>
        <v>27</v>
      </c>
      <c r="R355" s="54" t="n">
        <v>-18.4368562126565</v>
      </c>
      <c r="S355" s="55" t="n">
        <f aca="false">U355*V355*$F$5</f>
        <v>707.096134786918</v>
      </c>
      <c r="T355" s="56" t="n">
        <f aca="false">MAX(0,MIN(1,R355/100+$D$5))</f>
        <v>0.32318754498185</v>
      </c>
      <c r="U355" s="56" t="n">
        <v>0.698711595639247</v>
      </c>
      <c r="V355" s="55" t="n">
        <v>1012</v>
      </c>
      <c r="W355" s="56" t="n">
        <v>0.0887445098984521</v>
      </c>
      <c r="X355" s="57" t="s">
        <v>135</v>
      </c>
      <c r="Y355" s="57" t="s">
        <v>130</v>
      </c>
    </row>
    <row r="356" customFormat="false" ht="15" hidden="false" customHeight="false" outlineLevel="0" collapsed="false">
      <c r="A356" s="25" t="s">
        <v>385</v>
      </c>
      <c r="B356" s="25" t="s">
        <v>531</v>
      </c>
      <c r="C356" s="25" t="s">
        <v>535</v>
      </c>
      <c r="D356" s="52" t="n">
        <f aca="false">ROUND(S356*T356,0)</f>
        <v>231</v>
      </c>
      <c r="E356" s="52" t="n">
        <f aca="false">ROUND(S356,0)-D356</f>
        <v>482</v>
      </c>
      <c r="F356" s="52" t="n">
        <f aca="false">IF(COUNTA(D356:E356)=0,"",SUM(D356:E356))</f>
        <v>713</v>
      </c>
      <c r="G356" s="53" t="n">
        <f aca="false">IF(OR(F356="",F356=0),"",D356/F356)</f>
        <v>0.32398316970547</v>
      </c>
      <c r="H356" s="53" t="n">
        <f aca="false">IF(OR(F356="",F356=0),"",E356/F356)</f>
        <v>0.67601683029453</v>
      </c>
      <c r="I356" s="25" t="s">
        <v>128</v>
      </c>
      <c r="J356" s="28" t="n">
        <v>2.37310914384046</v>
      </c>
      <c r="K356" s="28" t="n">
        <f aca="false">$K$8</f>
        <v>0.296197623206382</v>
      </c>
      <c r="L356" s="28" t="n">
        <f aca="false">SQRT(J356^2+K356^2)</f>
        <v>2.3915225360787</v>
      </c>
      <c r="M356" s="53" t="n">
        <f aca="false">IF(G356="","",MAX(0,G356-1.96*L356/100))</f>
        <v>0.277109327998327</v>
      </c>
      <c r="N356" s="53" t="n">
        <f aca="false">IF(G356="","",MIN(1,G356+1.96*L356/100))</f>
        <v>0.370857011412612</v>
      </c>
      <c r="O356" s="52" t="n">
        <f aca="false">ROUND(S356*W356,0)</f>
        <v>63</v>
      </c>
      <c r="P356" s="52" t="n">
        <f aca="false">IF(F356="","",ROUND(SQRT((F356*L356/100)^2+(G356*O356)^2),0))</f>
        <v>27</v>
      </c>
      <c r="R356" s="54" t="n">
        <v>-18.3479840020943</v>
      </c>
      <c r="S356" s="55" t="n">
        <f aca="false">U356*V356*$F$5</f>
        <v>713.433121019108</v>
      </c>
      <c r="T356" s="56" t="n">
        <f aca="false">MAX(0,MIN(1,R356/100+$D$5))</f>
        <v>0.324076267087472</v>
      </c>
      <c r="U356" s="56" t="n">
        <v>0.643312101910828</v>
      </c>
      <c r="V356" s="55" t="n">
        <v>1109</v>
      </c>
      <c r="W356" s="56" t="n">
        <v>0.0887445098984521</v>
      </c>
      <c r="X356" s="57" t="s">
        <v>135</v>
      </c>
      <c r="Y356" s="57" t="s">
        <v>130</v>
      </c>
    </row>
    <row r="357" customFormat="false" ht="15" hidden="false" customHeight="false" outlineLevel="0" collapsed="false">
      <c r="A357" s="25" t="s">
        <v>385</v>
      </c>
      <c r="B357" s="25" t="s">
        <v>536</v>
      </c>
      <c r="C357" s="25" t="s">
        <v>537</v>
      </c>
      <c r="D357" s="52" t="n">
        <f aca="false">ROUND(S357*T357,0)</f>
        <v>67</v>
      </c>
      <c r="E357" s="52" t="n">
        <f aca="false">ROUND(S357,0)-D357</f>
        <v>129</v>
      </c>
      <c r="F357" s="52" t="n">
        <f aca="false">IF(COUNTA(D357:E357)=0,"",SUM(D357:E357))</f>
        <v>196</v>
      </c>
      <c r="G357" s="53" t="n">
        <f aca="false">IF(OR(F357="",F357=0),"",D357/F357)</f>
        <v>0.341836734693878</v>
      </c>
      <c r="H357" s="53" t="n">
        <f aca="false">IF(OR(F357="",F357=0),"",E357/F357)</f>
        <v>0.658163265306123</v>
      </c>
      <c r="I357" s="25" t="s">
        <v>128</v>
      </c>
      <c r="J357" s="28" t="n">
        <v>3.71103496666907</v>
      </c>
      <c r="K357" s="28" t="n">
        <f aca="false">$K$8</f>
        <v>0.296197623206382</v>
      </c>
      <c r="L357" s="28" t="n">
        <f aca="false">SQRT(J357^2+K357^2)</f>
        <v>3.72283676191068</v>
      </c>
      <c r="M357" s="53" t="n">
        <f aca="false">IF(G357="","",MAX(0,G357-1.96*L357/100))</f>
        <v>0.268869134160428</v>
      </c>
      <c r="N357" s="53" t="n">
        <f aca="false">IF(G357="","",MIN(1,G357+1.96*L357/100))</f>
        <v>0.414804335227327</v>
      </c>
      <c r="O357" s="52" t="n">
        <f aca="false">ROUND(S357*W357,0)</f>
        <v>29</v>
      </c>
      <c r="P357" s="52" t="n">
        <f aca="false">IF(F357="","",ROUND(SQRT((F357*L357/100)^2+(G357*O357)^2),0))</f>
        <v>12</v>
      </c>
      <c r="R357" s="54" t="n">
        <v>-16.6038222813773</v>
      </c>
      <c r="S357" s="55" t="n">
        <f aca="false">U357*V357*$F$5</f>
        <v>196.10298102981</v>
      </c>
      <c r="T357" s="56" t="n">
        <f aca="false">MAX(0,MIN(1,R357/100+$D$5))</f>
        <v>0.341517884294642</v>
      </c>
      <c r="U357" s="56" t="n">
        <v>0.525745257452575</v>
      </c>
      <c r="V357" s="55" t="n">
        <v>373</v>
      </c>
      <c r="W357" s="56" t="n">
        <v>0.148097331980838</v>
      </c>
      <c r="X357" s="57" t="s">
        <v>129</v>
      </c>
      <c r="Y357" s="57" t="s">
        <v>130</v>
      </c>
    </row>
    <row r="358" customFormat="false" ht="15" hidden="false" customHeight="false" outlineLevel="0" collapsed="false">
      <c r="A358" s="25" t="s">
        <v>385</v>
      </c>
      <c r="B358" s="25" t="s">
        <v>538</v>
      </c>
      <c r="C358" s="25" t="s">
        <v>539</v>
      </c>
      <c r="D358" s="52" t="n">
        <f aca="false">ROUND(S358*T358,0)</f>
        <v>248</v>
      </c>
      <c r="E358" s="52" t="n">
        <f aca="false">ROUND(S358,0)-D358</f>
        <v>436</v>
      </c>
      <c r="F358" s="52" t="n">
        <f aca="false">IF(COUNTA(D358:E358)=0,"",SUM(D358:E358))</f>
        <v>684</v>
      </c>
      <c r="G358" s="53" t="n">
        <f aca="false">IF(OR(F358="",F358=0),"",D358/F358)</f>
        <v>0.362573099415205</v>
      </c>
      <c r="H358" s="53" t="n">
        <f aca="false">IF(OR(F358="",F358=0),"",E358/F358)</f>
        <v>0.637426900584795</v>
      </c>
      <c r="I358" s="25" t="s">
        <v>128</v>
      </c>
      <c r="J358" s="28" t="n">
        <v>2.37310914384046</v>
      </c>
      <c r="K358" s="28" t="n">
        <f aca="false">$K$8</f>
        <v>0.296197623206382</v>
      </c>
      <c r="L358" s="28" t="n">
        <f aca="false">SQRT(J358^2+K358^2)</f>
        <v>2.3915225360787</v>
      </c>
      <c r="M358" s="53" t="n">
        <f aca="false">IF(G358="","",MAX(0,G358-1.96*L358/100))</f>
        <v>0.315699257708062</v>
      </c>
      <c r="N358" s="53" t="n">
        <f aca="false">IF(G358="","",MIN(1,G358+1.96*L358/100))</f>
        <v>0.409446941122347</v>
      </c>
      <c r="O358" s="52" t="n">
        <f aca="false">ROUND(S358*W358,0)</f>
        <v>61</v>
      </c>
      <c r="P358" s="52" t="n">
        <f aca="false">IF(F358="","",ROUND(SQRT((F358*L358/100)^2+(G358*O358)^2),0))</f>
        <v>28</v>
      </c>
      <c r="R358" s="54" t="n">
        <v>-14.5648192897987</v>
      </c>
      <c r="S358" s="55" t="n">
        <f aca="false">U358*V358*$F$5</f>
        <v>683.952941176471</v>
      </c>
      <c r="T358" s="56" t="n">
        <f aca="false">MAX(0,MIN(1,R358/100+$D$5))</f>
        <v>0.361907914210428</v>
      </c>
      <c r="U358" s="56" t="n">
        <v>0.568067226890757</v>
      </c>
      <c r="V358" s="55" t="n">
        <v>1204</v>
      </c>
      <c r="W358" s="56" t="n">
        <v>0.0887445098984521</v>
      </c>
      <c r="X358" s="57" t="s">
        <v>135</v>
      </c>
      <c r="Y358" s="57" t="s">
        <v>130</v>
      </c>
    </row>
    <row r="359" customFormat="false" ht="15" hidden="false" customHeight="false" outlineLevel="0" collapsed="false">
      <c r="A359" s="25" t="s">
        <v>385</v>
      </c>
      <c r="B359" s="25" t="s">
        <v>540</v>
      </c>
      <c r="C359" s="25" t="s">
        <v>541</v>
      </c>
      <c r="D359" s="52" t="n">
        <f aca="false">ROUND(S359*T359,0)</f>
        <v>156</v>
      </c>
      <c r="E359" s="52" t="n">
        <f aca="false">ROUND(S359,0)-D359</f>
        <v>233</v>
      </c>
      <c r="F359" s="52" t="n">
        <f aca="false">IF(COUNTA(D359:E359)=0,"",SUM(D359:E359))</f>
        <v>389</v>
      </c>
      <c r="G359" s="53" t="n">
        <f aca="false">IF(OR(F359="",F359=0),"",D359/F359)</f>
        <v>0.401028277634961</v>
      </c>
      <c r="H359" s="53" t="n">
        <f aca="false">IF(OR(F359="",F359=0),"",E359/F359)</f>
        <v>0.598971722365039</v>
      </c>
      <c r="I359" s="25" t="s">
        <v>128</v>
      </c>
      <c r="J359" s="28" t="n">
        <v>3.71103496666907</v>
      </c>
      <c r="K359" s="28" t="n">
        <f aca="false">$K$8</f>
        <v>0.296197623206382</v>
      </c>
      <c r="L359" s="28" t="n">
        <f aca="false">SQRT(J359^2+K359^2)</f>
        <v>3.72283676191068</v>
      </c>
      <c r="M359" s="53" t="n">
        <f aca="false">IF(G359="","",MAX(0,G359-1.96*L359/100))</f>
        <v>0.328060677101512</v>
      </c>
      <c r="N359" s="53" t="n">
        <f aca="false">IF(G359="","",MIN(1,G359+1.96*L359/100))</f>
        <v>0.473995878168411</v>
      </c>
      <c r="O359" s="52" t="n">
        <f aca="false">ROUND(S359*W359,0)</f>
        <v>58</v>
      </c>
      <c r="P359" s="52" t="n">
        <f aca="false">IF(F359="","",ROUND(SQRT((F359*L359/100)^2+(G359*O359)^2),0))</f>
        <v>27</v>
      </c>
      <c r="R359" s="54" t="n">
        <v>-10.5176503072798</v>
      </c>
      <c r="S359" s="55" t="n">
        <f aca="false">U359*V359*$F$5</f>
        <v>388.819749216301</v>
      </c>
      <c r="T359" s="56" t="n">
        <f aca="false">MAX(0,MIN(1,R359/100+$D$5))</f>
        <v>0.402379604035616</v>
      </c>
      <c r="U359" s="56" t="n">
        <v>0.606583072100314</v>
      </c>
      <c r="V359" s="55" t="n">
        <v>641</v>
      </c>
      <c r="W359" s="56" t="n">
        <v>0.148097331980838</v>
      </c>
      <c r="X359" s="57" t="s">
        <v>129</v>
      </c>
      <c r="Y359" s="57" t="s">
        <v>130</v>
      </c>
    </row>
    <row r="360" customFormat="false" ht="15" hidden="false" customHeight="false" outlineLevel="0" collapsed="false">
      <c r="A360" s="25" t="s">
        <v>385</v>
      </c>
      <c r="B360" s="25" t="s">
        <v>542</v>
      </c>
      <c r="C360" s="25" t="s">
        <v>543</v>
      </c>
      <c r="D360" s="52" t="n">
        <f aca="false">ROUND(S360*T360,0)</f>
        <v>255</v>
      </c>
      <c r="E360" s="52" t="n">
        <f aca="false">ROUND(S360,0)-D360</f>
        <v>347</v>
      </c>
      <c r="F360" s="52" t="n">
        <f aca="false">IF(COUNTA(D360:E360)=0,"",SUM(D360:E360))</f>
        <v>602</v>
      </c>
      <c r="G360" s="53" t="n">
        <f aca="false">IF(OR(F360="",F360=0),"",D360/F360)</f>
        <v>0.42358803986711</v>
      </c>
      <c r="H360" s="53" t="n">
        <f aca="false">IF(OR(F360="",F360=0),"",E360/F360)</f>
        <v>0.57641196013289</v>
      </c>
      <c r="I360" s="25" t="s">
        <v>128</v>
      </c>
      <c r="J360" s="28" t="n">
        <v>2.37310914384046</v>
      </c>
      <c r="K360" s="28" t="n">
        <f aca="false">$K$8</f>
        <v>0.296197623206382</v>
      </c>
      <c r="L360" s="28" t="n">
        <f aca="false">SQRT(J360^2+K360^2)</f>
        <v>2.3915225360787</v>
      </c>
      <c r="M360" s="53" t="n">
        <f aca="false">IF(G360="","",MAX(0,G360-1.96*L360/100))</f>
        <v>0.376714198159967</v>
      </c>
      <c r="N360" s="53" t="n">
        <f aca="false">IF(G360="","",MIN(1,G360+1.96*L360/100))</f>
        <v>0.470461881574252</v>
      </c>
      <c r="O360" s="52" t="n">
        <f aca="false">ROUND(S360*W360,0)</f>
        <v>53</v>
      </c>
      <c r="P360" s="52" t="n">
        <f aca="false">IF(F360="","",ROUND(SQRT((F360*L360/100)^2+(G360*O360)^2),0))</f>
        <v>27</v>
      </c>
      <c r="R360" s="54" t="n">
        <v>-8.36737750269545</v>
      </c>
      <c r="S360" s="55" t="n">
        <f aca="false">U360*V360*$F$5</f>
        <v>602.07868852459</v>
      </c>
      <c r="T360" s="56" t="n">
        <f aca="false">MAX(0,MIN(1,R360/100+$D$5))</f>
        <v>0.42388233208146</v>
      </c>
      <c r="U360" s="56" t="n">
        <v>0.613114754098361</v>
      </c>
      <c r="V360" s="55" t="n">
        <v>982</v>
      </c>
      <c r="W360" s="56" t="n">
        <v>0.0887445098984521</v>
      </c>
      <c r="X360" s="57" t="s">
        <v>135</v>
      </c>
      <c r="Y360" s="57" t="s">
        <v>130</v>
      </c>
    </row>
    <row r="361" customFormat="false" ht="15" hidden="false" customHeight="false" outlineLevel="0" collapsed="false">
      <c r="A361" s="25" t="s">
        <v>385</v>
      </c>
      <c r="B361" s="25" t="s">
        <v>544</v>
      </c>
      <c r="C361" s="25" t="s">
        <v>545</v>
      </c>
      <c r="D361" s="52" t="n">
        <f aca="false">ROUND(S361*T361,0)</f>
        <v>225</v>
      </c>
      <c r="E361" s="52" t="n">
        <f aca="false">ROUND(S361,0)-D361</f>
        <v>589</v>
      </c>
      <c r="F361" s="52" t="n">
        <f aca="false">IF(COUNTA(D361:E361)=0,"",SUM(D361:E361))</f>
        <v>814</v>
      </c>
      <c r="G361" s="53" t="n">
        <f aca="false">IF(OR(F361="",F361=0),"",D361/F361)</f>
        <v>0.276412776412776</v>
      </c>
      <c r="H361" s="53" t="n">
        <f aca="false">IF(OR(F361="",F361=0),"",E361/F361)</f>
        <v>0.723587223587224</v>
      </c>
      <c r="I361" s="25" t="s">
        <v>128</v>
      </c>
      <c r="J361" s="28" t="n">
        <v>2.37310914384046</v>
      </c>
      <c r="K361" s="28" t="n">
        <f aca="false">$K$8</f>
        <v>0.296197623206382</v>
      </c>
      <c r="L361" s="28" t="n">
        <f aca="false">SQRT(J361^2+K361^2)</f>
        <v>2.3915225360787</v>
      </c>
      <c r="M361" s="53" t="n">
        <f aca="false">IF(G361="","",MAX(0,G361-1.96*L361/100))</f>
        <v>0.229538934705634</v>
      </c>
      <c r="N361" s="53" t="n">
        <f aca="false">IF(G361="","",MIN(1,G361+1.96*L361/100))</f>
        <v>0.323286618119919</v>
      </c>
      <c r="O361" s="52" t="n">
        <f aca="false">ROUND(S361*W361,0)</f>
        <v>72</v>
      </c>
      <c r="P361" s="52" t="n">
        <f aca="false">IF(F361="","",ROUND(SQRT((F361*L361/100)^2+(G361*O361)^2),0))</f>
        <v>28</v>
      </c>
      <c r="R361" s="54" t="n">
        <v>-23.0662149363771</v>
      </c>
      <c r="S361" s="55" t="n">
        <f aca="false">U361*V361*$F$5</f>
        <v>814.349042709867</v>
      </c>
      <c r="T361" s="56" t="n">
        <f aca="false">MAX(0,MIN(1,R361/100+$D$5))</f>
        <v>0.276893957744644</v>
      </c>
      <c r="U361" s="56" t="n">
        <v>0.610456553755523</v>
      </c>
      <c r="V361" s="55" t="n">
        <v>1334</v>
      </c>
      <c r="W361" s="56" t="n">
        <v>0.0887445098984521</v>
      </c>
      <c r="X361" s="57" t="s">
        <v>135</v>
      </c>
      <c r="Y361" s="57" t="s">
        <v>130</v>
      </c>
    </row>
    <row r="362" customFormat="false" ht="15" hidden="false" customHeight="false" outlineLevel="0" collapsed="false">
      <c r="A362" s="25" t="s">
        <v>385</v>
      </c>
      <c r="B362" s="25" t="s">
        <v>544</v>
      </c>
      <c r="C362" s="25" t="s">
        <v>546</v>
      </c>
      <c r="D362" s="52" t="n">
        <f aca="false">ROUND(S362*T362,0)</f>
        <v>195</v>
      </c>
      <c r="E362" s="52" t="n">
        <f aca="false">ROUND(S362,0)-D362</f>
        <v>422</v>
      </c>
      <c r="F362" s="52" t="n">
        <f aca="false">IF(COUNTA(D362:E362)=0,"",SUM(D362:E362))</f>
        <v>617</v>
      </c>
      <c r="G362" s="53" t="n">
        <f aca="false">IF(OR(F362="",F362=0),"",D362/F362)</f>
        <v>0.316045380875203</v>
      </c>
      <c r="H362" s="53" t="n">
        <f aca="false">IF(OR(F362="",F362=0),"",E362/F362)</f>
        <v>0.683954619124797</v>
      </c>
      <c r="I362" s="25" t="s">
        <v>128</v>
      </c>
      <c r="J362" s="28" t="n">
        <v>2.37310914384046</v>
      </c>
      <c r="K362" s="28" t="n">
        <f aca="false">$K$8</f>
        <v>0.296197623206382</v>
      </c>
      <c r="L362" s="28" t="n">
        <f aca="false">SQRT(J362^2+K362^2)</f>
        <v>2.3915225360787</v>
      </c>
      <c r="M362" s="53" t="n">
        <f aca="false">IF(G362="","",MAX(0,G362-1.96*L362/100))</f>
        <v>0.26917153916806</v>
      </c>
      <c r="N362" s="53" t="n">
        <f aca="false">IF(G362="","",MIN(1,G362+1.96*L362/100))</f>
        <v>0.362919222582345</v>
      </c>
      <c r="O362" s="52" t="n">
        <f aca="false">ROUND(S362*W362,0)</f>
        <v>55</v>
      </c>
      <c r="P362" s="52" t="n">
        <f aca="false">IF(F362="","",ROUND(SQRT((F362*L362/100)^2+(G362*O362)^2),0))</f>
        <v>23</v>
      </c>
      <c r="R362" s="54" t="n">
        <v>-19.136035986177</v>
      </c>
      <c r="S362" s="55" t="n">
        <f aca="false">U362*V362*$F$5</f>
        <v>617.366628830874</v>
      </c>
      <c r="T362" s="56" t="n">
        <f aca="false">MAX(0,MIN(1,R362/100+$D$5))</f>
        <v>0.316195747246644</v>
      </c>
      <c r="U362" s="56" t="n">
        <v>0.667423382519864</v>
      </c>
      <c r="V362" s="55" t="n">
        <v>925</v>
      </c>
      <c r="W362" s="56" t="n">
        <v>0.0887445098984521</v>
      </c>
      <c r="X362" s="57" t="s">
        <v>135</v>
      </c>
      <c r="Y362" s="57" t="s">
        <v>130</v>
      </c>
    </row>
    <row r="363" customFormat="false" ht="15" hidden="false" customHeight="false" outlineLevel="0" collapsed="false">
      <c r="A363" s="25" t="s">
        <v>385</v>
      </c>
      <c r="B363" s="25" t="s">
        <v>544</v>
      </c>
      <c r="C363" s="25" t="s">
        <v>547</v>
      </c>
      <c r="D363" s="52" t="n">
        <f aca="false">ROUND(S363*T363,0)</f>
        <v>146</v>
      </c>
      <c r="E363" s="52" t="n">
        <f aca="false">ROUND(S363,0)-D363</f>
        <v>382</v>
      </c>
      <c r="F363" s="52" t="n">
        <f aca="false">IF(COUNTA(D363:E363)=0,"",SUM(D363:E363))</f>
        <v>528</v>
      </c>
      <c r="G363" s="53" t="n">
        <f aca="false">IF(OR(F363="",F363=0),"",D363/F363)</f>
        <v>0.276515151515152</v>
      </c>
      <c r="H363" s="53" t="n">
        <f aca="false">IF(OR(F363="",F363=0),"",E363/F363)</f>
        <v>0.723484848484849</v>
      </c>
      <c r="I363" s="25" t="s">
        <v>128</v>
      </c>
      <c r="J363" s="28" t="n">
        <v>3.71103496666907</v>
      </c>
      <c r="K363" s="28" t="n">
        <f aca="false">$K$8</f>
        <v>0.296197623206382</v>
      </c>
      <c r="L363" s="28" t="n">
        <f aca="false">SQRT(J363^2+K363^2)</f>
        <v>3.72283676191068</v>
      </c>
      <c r="M363" s="53" t="n">
        <f aca="false">IF(G363="","",MAX(0,G363-1.96*L363/100))</f>
        <v>0.203547550981702</v>
      </c>
      <c r="N363" s="53" t="n">
        <f aca="false">IF(G363="","",MIN(1,G363+1.96*L363/100))</f>
        <v>0.349482752048601</v>
      </c>
      <c r="O363" s="52" t="n">
        <f aca="false">ROUND(S363*W363,0)</f>
        <v>78</v>
      </c>
      <c r="P363" s="52" t="n">
        <f aca="false">IF(F363="","",ROUND(SQRT((F363*L363/100)^2+(G363*O363)^2),0))</f>
        <v>29</v>
      </c>
      <c r="R363" s="54" t="n">
        <v>-23.0800570948621</v>
      </c>
      <c r="S363" s="55" t="n">
        <f aca="false">U363*V363*$F$5</f>
        <v>528.071059431524</v>
      </c>
      <c r="T363" s="56" t="n">
        <f aca="false">MAX(0,MIN(1,R363/100+$D$5))</f>
        <v>0.276755536159794</v>
      </c>
      <c r="U363" s="56" t="n">
        <v>0.657622739018088</v>
      </c>
      <c r="V363" s="55" t="n">
        <v>803</v>
      </c>
      <c r="W363" s="56" t="n">
        <v>0.148097331980838</v>
      </c>
      <c r="X363" s="57" t="s">
        <v>129</v>
      </c>
      <c r="Y363" s="57" t="s">
        <v>130</v>
      </c>
    </row>
    <row r="364" customFormat="false" ht="15" hidden="false" customHeight="false" outlineLevel="0" collapsed="false">
      <c r="A364" s="25" t="s">
        <v>385</v>
      </c>
      <c r="B364" s="25" t="s">
        <v>544</v>
      </c>
      <c r="C364" s="25" t="s">
        <v>548</v>
      </c>
      <c r="D364" s="52" t="n">
        <f aca="false">ROUND(S364*T364,0)</f>
        <v>133</v>
      </c>
      <c r="E364" s="52" t="n">
        <f aca="false">ROUND(S364,0)-D364</f>
        <v>330</v>
      </c>
      <c r="F364" s="52" t="n">
        <f aca="false">IF(COUNTA(D364:E364)=0,"",SUM(D364:E364))</f>
        <v>463</v>
      </c>
      <c r="G364" s="53" t="n">
        <f aca="false">IF(OR(F364="",F364=0),"",D364/F364)</f>
        <v>0.287257019438445</v>
      </c>
      <c r="H364" s="53" t="n">
        <f aca="false">IF(OR(F364="",F364=0),"",E364/F364)</f>
        <v>0.712742980561555</v>
      </c>
      <c r="I364" s="25" t="s">
        <v>128</v>
      </c>
      <c r="J364" s="28" t="n">
        <v>3.71103496666907</v>
      </c>
      <c r="K364" s="28" t="n">
        <f aca="false">$K$8</f>
        <v>0.296197623206382</v>
      </c>
      <c r="L364" s="28" t="n">
        <f aca="false">SQRT(J364^2+K364^2)</f>
        <v>3.72283676191068</v>
      </c>
      <c r="M364" s="53" t="n">
        <f aca="false">IF(G364="","",MAX(0,G364-1.96*L364/100))</f>
        <v>0.214289418904996</v>
      </c>
      <c r="N364" s="53" t="n">
        <f aca="false">IF(G364="","",MIN(1,G364+1.96*L364/100))</f>
        <v>0.360224619971894</v>
      </c>
      <c r="O364" s="52" t="n">
        <f aca="false">ROUND(S364*W364,0)</f>
        <v>69</v>
      </c>
      <c r="P364" s="52" t="n">
        <f aca="false">IF(F364="","",ROUND(SQRT((F364*L364/100)^2+(G364*O364)^2),0))</f>
        <v>26</v>
      </c>
      <c r="R364" s="54" t="n">
        <v>-22.0660989661387</v>
      </c>
      <c r="S364" s="55" t="n">
        <f aca="false">U364*V364*$F$5</f>
        <v>463.140604467805</v>
      </c>
      <c r="T364" s="56" t="n">
        <f aca="false">MAX(0,MIN(1,R364/100+$D$5))</f>
        <v>0.286895117447028</v>
      </c>
      <c r="U364" s="56" t="n">
        <v>0.624178712220762</v>
      </c>
      <c r="V364" s="55" t="n">
        <v>742</v>
      </c>
      <c r="W364" s="56" t="n">
        <v>0.148097331980838</v>
      </c>
      <c r="X364" s="57" t="s">
        <v>129</v>
      </c>
      <c r="Y364" s="57" t="s">
        <v>130</v>
      </c>
    </row>
    <row r="365" customFormat="false" ht="15" hidden="false" customHeight="false" outlineLevel="0" collapsed="false">
      <c r="A365" s="25" t="s">
        <v>385</v>
      </c>
      <c r="B365" s="25" t="s">
        <v>544</v>
      </c>
      <c r="C365" s="25" t="s">
        <v>549</v>
      </c>
      <c r="D365" s="52" t="n">
        <f aca="false">ROUND(S365*T365,0)</f>
        <v>261</v>
      </c>
      <c r="E365" s="52" t="n">
        <f aca="false">ROUND(S365,0)-D365</f>
        <v>465</v>
      </c>
      <c r="F365" s="52" t="n">
        <f aca="false">IF(COUNTA(D365:E365)=0,"",SUM(D365:E365))</f>
        <v>726</v>
      </c>
      <c r="G365" s="53" t="n">
        <f aca="false">IF(OR(F365="",F365=0),"",D365/F365)</f>
        <v>0.359504132231405</v>
      </c>
      <c r="H365" s="53" t="n">
        <f aca="false">IF(OR(F365="",F365=0),"",E365/F365)</f>
        <v>0.640495867768595</v>
      </c>
      <c r="I365" s="25" t="s">
        <v>128</v>
      </c>
      <c r="J365" s="28" t="n">
        <v>2.37310914384046</v>
      </c>
      <c r="K365" s="28" t="n">
        <f aca="false">$K$8</f>
        <v>0.296197623206382</v>
      </c>
      <c r="L365" s="28" t="n">
        <f aca="false">SQRT(J365^2+K365^2)</f>
        <v>2.3915225360787</v>
      </c>
      <c r="M365" s="53" t="n">
        <f aca="false">IF(G365="","",MAX(0,G365-1.96*L365/100))</f>
        <v>0.312630290524262</v>
      </c>
      <c r="N365" s="53" t="n">
        <f aca="false">IF(G365="","",MIN(1,G365+1.96*L365/100))</f>
        <v>0.406377973938548</v>
      </c>
      <c r="O365" s="52" t="n">
        <f aca="false">ROUND(S365*W365,0)</f>
        <v>64</v>
      </c>
      <c r="P365" s="52" t="n">
        <f aca="false">IF(F365="","",ROUND(SQRT((F365*L365/100)^2+(G365*O365)^2),0))</f>
        <v>29</v>
      </c>
      <c r="R365" s="54" t="n">
        <v>-14.7612815357391</v>
      </c>
      <c r="S365" s="55" t="n">
        <f aca="false">U365*V365*$F$5</f>
        <v>726.367947669665</v>
      </c>
      <c r="T365" s="56" t="n">
        <f aca="false">MAX(0,MIN(1,R365/100+$D$5))</f>
        <v>0.359943291751023</v>
      </c>
      <c r="U365" s="56" t="n">
        <v>0.59198691741619</v>
      </c>
      <c r="V365" s="55" t="n">
        <v>1227</v>
      </c>
      <c r="W365" s="56" t="n">
        <v>0.0887445098984521</v>
      </c>
      <c r="X365" s="57" t="s">
        <v>135</v>
      </c>
      <c r="Y365" s="57" t="s">
        <v>130</v>
      </c>
    </row>
    <row r="366" customFormat="false" ht="15" hidden="false" customHeight="false" outlineLevel="0" collapsed="false">
      <c r="A366" s="25" t="s">
        <v>385</v>
      </c>
      <c r="B366" s="25" t="s">
        <v>550</v>
      </c>
      <c r="C366" s="25" t="s">
        <v>551</v>
      </c>
      <c r="D366" s="52" t="n">
        <f aca="false">ROUND(S366*T366,0)</f>
        <v>618</v>
      </c>
      <c r="E366" s="52" t="n">
        <f aca="false">ROUND(S366,0)-D366</f>
        <v>632</v>
      </c>
      <c r="F366" s="52" t="n">
        <f aca="false">IF(COUNTA(D366:E366)=0,"",SUM(D366:E366))</f>
        <v>1250</v>
      </c>
      <c r="G366" s="53" t="n">
        <f aca="false">IF(OR(F366="",F366=0),"",D366/F366)</f>
        <v>0.4944</v>
      </c>
      <c r="H366" s="53" t="n">
        <f aca="false">IF(OR(F366="",F366=0),"",E366/F366)</f>
        <v>0.5056</v>
      </c>
      <c r="I366" s="25" t="s">
        <v>128</v>
      </c>
      <c r="J366" s="28" t="n">
        <v>1.88612725432908</v>
      </c>
      <c r="K366" s="28" t="n">
        <f aca="false">$K$8</f>
        <v>0.296197623206382</v>
      </c>
      <c r="L366" s="28" t="n">
        <f aca="false">SQRT(J366^2+K366^2)</f>
        <v>1.909243057213</v>
      </c>
      <c r="M366" s="53" t="n">
        <f aca="false">IF(G366="","",MAX(0,G366-1.96*L366/100))</f>
        <v>0.456978836078625</v>
      </c>
      <c r="N366" s="53" t="n">
        <f aca="false">IF(G366="","",MIN(1,G366+1.96*L366/100))</f>
        <v>0.531821163921375</v>
      </c>
      <c r="O366" s="52" t="n">
        <f aca="false">ROUND(S366*W366,0)</f>
        <v>86</v>
      </c>
      <c r="P366" s="52" t="n">
        <f aca="false">IF(F366="","",ROUND(SQRT((F366*L366/100)^2+(G366*O366)^2),0))</f>
        <v>49</v>
      </c>
      <c r="R366" s="54" t="n">
        <v>-1.29485877667845</v>
      </c>
      <c r="S366" s="55" t="n">
        <f aca="false">U366*V366*$F$5</f>
        <v>1250.41526045488</v>
      </c>
      <c r="T366" s="56" t="n">
        <f aca="false">MAX(0,MIN(1,R366/100+$D$5))</f>
        <v>0.49460751934163</v>
      </c>
      <c r="U366" s="56" t="n">
        <v>0.666177549523111</v>
      </c>
      <c r="V366" s="55" t="n">
        <v>1877</v>
      </c>
      <c r="W366" s="56" t="n">
        <v>0.0684752145190268</v>
      </c>
      <c r="X366" s="57" t="s">
        <v>168</v>
      </c>
      <c r="Y366" s="57" t="s">
        <v>130</v>
      </c>
    </row>
    <row r="367" customFormat="false" ht="15" hidden="false" customHeight="false" outlineLevel="0" collapsed="false">
      <c r="A367" s="25" t="s">
        <v>385</v>
      </c>
      <c r="B367" s="25" t="s">
        <v>550</v>
      </c>
      <c r="C367" s="25" t="s">
        <v>552</v>
      </c>
      <c r="D367" s="52" t="n">
        <f aca="false">ROUND(S367*T367,0)</f>
        <v>288</v>
      </c>
      <c r="E367" s="52" t="n">
        <f aca="false">ROUND(S367,0)-D367</f>
        <v>303</v>
      </c>
      <c r="F367" s="52" t="n">
        <f aca="false">IF(COUNTA(D367:E367)=0,"",SUM(D367:E367))</f>
        <v>591</v>
      </c>
      <c r="G367" s="53" t="n">
        <f aca="false">IF(OR(F367="",F367=0),"",D367/F367)</f>
        <v>0.487309644670051</v>
      </c>
      <c r="H367" s="53" t="n">
        <f aca="false">IF(OR(F367="",F367=0),"",E367/F367)</f>
        <v>0.512690355329949</v>
      </c>
      <c r="I367" s="25" t="s">
        <v>231</v>
      </c>
      <c r="J367" s="28" t="n">
        <v>2.37310914384046</v>
      </c>
      <c r="K367" s="28" t="n">
        <f aca="false">$K$8</f>
        <v>0.296197623206382</v>
      </c>
      <c r="L367" s="28" t="n">
        <f aca="false">SQRT(J367^2+K367^2)</f>
        <v>2.3915225360787</v>
      </c>
      <c r="M367" s="53" t="n">
        <f aca="false">IF(G367="","",MAX(0,G367-1.96*L367/100))</f>
        <v>0.440435802962908</v>
      </c>
      <c r="N367" s="53" t="n">
        <f aca="false">IF(G367="","",MIN(1,G367+1.96*L367/100))</f>
        <v>0.534183486377193</v>
      </c>
      <c r="O367" s="52" t="n">
        <f aca="false">ROUND(S367*W367,0)</f>
        <v>52</v>
      </c>
      <c r="P367" s="52" t="n">
        <f aca="false">IF(F367="","",ROUND(SQRT((F367*L367/100)^2+(G367*O367)^2),0))</f>
        <v>29</v>
      </c>
      <c r="R367" s="54" t="n">
        <v>-2.0726306513322</v>
      </c>
      <c r="S367" s="55" t="n">
        <f aca="false">U367*V367*$F$5</f>
        <v>590.70917107022</v>
      </c>
      <c r="T367" s="56" t="n">
        <f aca="false">MAX(0,MIN(1,R367/100+$D$5))</f>
        <v>0.486829800595093</v>
      </c>
      <c r="U367" s="56" t="n">
        <v>0.64151780942283</v>
      </c>
      <c r="V367" s="55" t="n">
        <v>920.799333071793</v>
      </c>
      <c r="W367" s="56" t="n">
        <v>0.0887445098984521</v>
      </c>
      <c r="X367" s="57" t="s">
        <v>135</v>
      </c>
      <c r="Y367" s="57" t="s">
        <v>233</v>
      </c>
    </row>
    <row r="368" customFormat="false" ht="15" hidden="false" customHeight="false" outlineLevel="0" collapsed="false">
      <c r="A368" s="25" t="s">
        <v>385</v>
      </c>
      <c r="B368" s="25" t="s">
        <v>550</v>
      </c>
      <c r="C368" s="25" t="s">
        <v>553</v>
      </c>
      <c r="D368" s="52" t="n">
        <f aca="false">ROUND(S368*T368,0)</f>
        <v>486</v>
      </c>
      <c r="E368" s="52" t="n">
        <f aca="false">ROUND(S368,0)-D368</f>
        <v>515</v>
      </c>
      <c r="F368" s="52" t="n">
        <f aca="false">IF(COUNTA(D368:E368)=0,"",SUM(D368:E368))</f>
        <v>1001</v>
      </c>
      <c r="G368" s="53" t="n">
        <f aca="false">IF(OR(F368="",F368=0),"",D368/F368)</f>
        <v>0.485514485514486</v>
      </c>
      <c r="H368" s="53" t="n">
        <f aca="false">IF(OR(F368="",F368=0),"",E368/F368)</f>
        <v>0.514485514485515</v>
      </c>
      <c r="I368" s="25" t="s">
        <v>128</v>
      </c>
      <c r="J368" s="28" t="n">
        <v>1.88612725432908</v>
      </c>
      <c r="K368" s="28" t="n">
        <f aca="false">$K$8</f>
        <v>0.296197623206382</v>
      </c>
      <c r="L368" s="28" t="n">
        <f aca="false">SQRT(J368^2+K368^2)</f>
        <v>1.909243057213</v>
      </c>
      <c r="M368" s="53" t="n">
        <f aca="false">IF(G368="","",MAX(0,G368-1.96*L368/100))</f>
        <v>0.448093321593111</v>
      </c>
      <c r="N368" s="53" t="n">
        <f aca="false">IF(G368="","",MIN(1,G368+1.96*L368/100))</f>
        <v>0.52293564943586</v>
      </c>
      <c r="O368" s="52" t="n">
        <f aca="false">ROUND(S368*W368,0)</f>
        <v>69</v>
      </c>
      <c r="P368" s="52" t="n">
        <f aca="false">IF(F368="","",ROUND(SQRT((F368*L368/100)^2+(G368*O368)^2),0))</f>
        <v>39</v>
      </c>
      <c r="R368" s="54" t="n">
        <v>-2.24254965168483</v>
      </c>
      <c r="S368" s="55" t="n">
        <f aca="false">U368*V368*$F$5</f>
        <v>1000.79736842105</v>
      </c>
      <c r="T368" s="56" t="n">
        <f aca="false">MAX(0,MIN(1,R368/100+$D$5))</f>
        <v>0.485130610591566</v>
      </c>
      <c r="U368" s="56" t="n">
        <v>0.590789473684211</v>
      </c>
      <c r="V368" s="55" t="n">
        <v>1694</v>
      </c>
      <c r="W368" s="56" t="n">
        <v>0.0684752145190268</v>
      </c>
      <c r="X368" s="57" t="s">
        <v>168</v>
      </c>
      <c r="Y368" s="57" t="s">
        <v>130</v>
      </c>
    </row>
    <row r="369" customFormat="false" ht="15" hidden="false" customHeight="false" outlineLevel="0" collapsed="false">
      <c r="A369" s="25" t="s">
        <v>385</v>
      </c>
      <c r="B369" s="25" t="s">
        <v>550</v>
      </c>
      <c r="C369" s="25" t="s">
        <v>554</v>
      </c>
      <c r="D369" s="52" t="n">
        <f aca="false">ROUND(S369*T369,0)</f>
        <v>213</v>
      </c>
      <c r="E369" s="52" t="n">
        <f aca="false">ROUND(S369,0)-D369</f>
        <v>229</v>
      </c>
      <c r="F369" s="52" t="n">
        <f aca="false">IF(COUNTA(D369:E369)=0,"",SUM(D369:E369))</f>
        <v>442</v>
      </c>
      <c r="G369" s="53" t="n">
        <f aca="false">IF(OR(F369="",F369=0),"",D369/F369)</f>
        <v>0.481900452488688</v>
      </c>
      <c r="H369" s="53" t="n">
        <f aca="false">IF(OR(F369="",F369=0),"",E369/F369)</f>
        <v>0.518099547511312</v>
      </c>
      <c r="I369" s="25" t="s">
        <v>231</v>
      </c>
      <c r="J369" s="28" t="n">
        <v>3.71103496666907</v>
      </c>
      <c r="K369" s="28" t="n">
        <f aca="false">$K$8</f>
        <v>0.296197623206382</v>
      </c>
      <c r="L369" s="28" t="n">
        <f aca="false">SQRT(J369^2+K369^2)</f>
        <v>3.72283676191068</v>
      </c>
      <c r="M369" s="53" t="n">
        <f aca="false">IF(G369="","",MAX(0,G369-1.96*L369/100))</f>
        <v>0.408932851955238</v>
      </c>
      <c r="N369" s="53" t="n">
        <f aca="false">IF(G369="","",MIN(1,G369+1.96*L369/100))</f>
        <v>0.554868053022137</v>
      </c>
      <c r="O369" s="52" t="n">
        <f aca="false">ROUND(S369*W369,0)</f>
        <v>66</v>
      </c>
      <c r="P369" s="52" t="n">
        <f aca="false">IF(F369="","",ROUND(SQRT((F369*L369/100)^2+(G369*O369)^2),0))</f>
        <v>36</v>
      </c>
      <c r="R369" s="54" t="n">
        <v>-2.50727144060912</v>
      </c>
      <c r="S369" s="55" t="n">
        <f aca="false">U369*V369*$F$5</f>
        <v>442.424845330775</v>
      </c>
      <c r="T369" s="56" t="n">
        <f aca="false">MAX(0,MIN(1,R369/100+$D$5))</f>
        <v>0.482483392702324</v>
      </c>
      <c r="U369" s="56" t="n">
        <v>0.632025575313589</v>
      </c>
      <c r="V369" s="55" t="n">
        <v>700.010984699882</v>
      </c>
      <c r="W369" s="56" t="n">
        <v>0.148097331980838</v>
      </c>
      <c r="X369" s="57" t="s">
        <v>129</v>
      </c>
      <c r="Y369" s="57" t="s">
        <v>233</v>
      </c>
    </row>
    <row r="370" customFormat="false" ht="15" hidden="false" customHeight="false" outlineLevel="0" collapsed="false">
      <c r="A370" s="25" t="s">
        <v>385</v>
      </c>
      <c r="B370" s="25" t="s">
        <v>555</v>
      </c>
      <c r="C370" s="25" t="s">
        <v>556</v>
      </c>
      <c r="D370" s="52" t="n">
        <f aca="false">ROUND(S370*T370,0)</f>
        <v>305</v>
      </c>
      <c r="E370" s="52" t="n">
        <f aca="false">ROUND(S370,0)-D370</f>
        <v>456</v>
      </c>
      <c r="F370" s="52" t="n">
        <f aca="false">IF(COUNTA(D370:E370)=0,"",SUM(D370:E370))</f>
        <v>761</v>
      </c>
      <c r="G370" s="53" t="n">
        <f aca="false">IF(OR(F370="",F370=0),"",D370/F370)</f>
        <v>0.400788436268068</v>
      </c>
      <c r="H370" s="53" t="n">
        <f aca="false">IF(OR(F370="",F370=0),"",E370/F370)</f>
        <v>0.599211563731932</v>
      </c>
      <c r="I370" s="25" t="s">
        <v>128</v>
      </c>
      <c r="J370" s="28" t="n">
        <v>2.37310914384046</v>
      </c>
      <c r="K370" s="28" t="n">
        <f aca="false">$K$8</f>
        <v>0.296197623206382</v>
      </c>
      <c r="L370" s="28" t="n">
        <f aca="false">SQRT(J370^2+K370^2)</f>
        <v>2.3915225360787</v>
      </c>
      <c r="M370" s="53" t="n">
        <f aca="false">IF(G370="","",MAX(0,G370-1.96*L370/100))</f>
        <v>0.353914594560926</v>
      </c>
      <c r="N370" s="53" t="n">
        <f aca="false">IF(G370="","",MIN(1,G370+1.96*L370/100))</f>
        <v>0.447662277975211</v>
      </c>
      <c r="O370" s="52" t="n">
        <f aca="false">ROUND(S370*W370,0)</f>
        <v>68</v>
      </c>
      <c r="P370" s="52" t="n">
        <f aca="false">IF(F370="","",ROUND(SQRT((F370*L370/100)^2+(G370*O370)^2),0))</f>
        <v>33</v>
      </c>
      <c r="R370" s="54" t="n">
        <v>-10.6700411640027</v>
      </c>
      <c r="S370" s="55" t="n">
        <f aca="false">U370*V370*$F$5</f>
        <v>761.429837518464</v>
      </c>
      <c r="T370" s="56" t="n">
        <f aca="false">MAX(0,MIN(1,R370/100+$D$5))</f>
        <v>0.400855695468387</v>
      </c>
      <c r="U370" s="56" t="n">
        <v>0.534711964549483</v>
      </c>
      <c r="V370" s="55" t="n">
        <v>1424</v>
      </c>
      <c r="W370" s="56" t="n">
        <v>0.0887445098984521</v>
      </c>
      <c r="X370" s="57" t="s">
        <v>135</v>
      </c>
      <c r="Y370" s="57" t="s">
        <v>130</v>
      </c>
    </row>
    <row r="371" customFormat="false" ht="15" hidden="false" customHeight="false" outlineLevel="0" collapsed="false">
      <c r="A371" s="25" t="s">
        <v>385</v>
      </c>
      <c r="B371" s="25" t="s">
        <v>360</v>
      </c>
      <c r="C371" s="25" t="s">
        <v>557</v>
      </c>
      <c r="D371" s="52" t="n">
        <f aca="false">ROUND(S371*T371,0)</f>
        <v>404</v>
      </c>
      <c r="E371" s="52" t="n">
        <f aca="false">ROUND(S371,0)-D371</f>
        <v>846</v>
      </c>
      <c r="F371" s="52" t="n">
        <f aca="false">IF(COUNTA(D371:E371)=0,"",SUM(D371:E371))</f>
        <v>1250</v>
      </c>
      <c r="G371" s="53" t="n">
        <f aca="false">IF(OR(F371="",F371=0),"",D371/F371)</f>
        <v>0.3232</v>
      </c>
      <c r="H371" s="53" t="n">
        <f aca="false">IF(OR(F371="",F371=0),"",E371/F371)</f>
        <v>0.6768</v>
      </c>
      <c r="I371" s="25" t="s">
        <v>128</v>
      </c>
      <c r="J371" s="28" t="n">
        <v>1.88612725432908</v>
      </c>
      <c r="K371" s="28" t="n">
        <f aca="false">$K$8</f>
        <v>0.296197623206382</v>
      </c>
      <c r="L371" s="28" t="n">
        <f aca="false">SQRT(J371^2+K371^2)</f>
        <v>1.909243057213</v>
      </c>
      <c r="M371" s="53" t="n">
        <f aca="false">IF(G371="","",MAX(0,G371-1.96*L371/100))</f>
        <v>0.285778836078625</v>
      </c>
      <c r="N371" s="53" t="n">
        <f aca="false">IF(G371="","",MIN(1,G371+1.96*L371/100))</f>
        <v>0.360621163921375</v>
      </c>
      <c r="O371" s="52" t="n">
        <f aca="false">ROUND(S371*W371,0)</f>
        <v>86</v>
      </c>
      <c r="P371" s="52" t="n">
        <f aca="false">IF(F371="","",ROUND(SQRT((F371*L371/100)^2+(G371*O371)^2),0))</f>
        <v>37</v>
      </c>
      <c r="R371" s="54" t="n">
        <v>-18.4600518493229</v>
      </c>
      <c r="S371" s="55" t="n">
        <f aca="false">U371*V371*$F$5</f>
        <v>1250.46090534979</v>
      </c>
      <c r="T371" s="56" t="n">
        <f aca="false">MAX(0,MIN(1,R371/100+$D$5))</f>
        <v>0.322955588615186</v>
      </c>
      <c r="U371" s="56" t="n">
        <v>0.616598079561042</v>
      </c>
      <c r="V371" s="55" t="n">
        <v>2028</v>
      </c>
      <c r="W371" s="56" t="n">
        <v>0.0684752145190268</v>
      </c>
      <c r="X371" s="57" t="s">
        <v>168</v>
      </c>
      <c r="Y371" s="57" t="s">
        <v>130</v>
      </c>
    </row>
    <row r="372" customFormat="false" ht="15" hidden="false" customHeight="false" outlineLevel="0" collapsed="false">
      <c r="A372" s="25" t="s">
        <v>385</v>
      </c>
      <c r="B372" s="25" t="s">
        <v>360</v>
      </c>
      <c r="C372" s="25" t="s">
        <v>558</v>
      </c>
      <c r="D372" s="52" t="n">
        <f aca="false">ROUND(S372*T372,0)</f>
        <v>446</v>
      </c>
      <c r="E372" s="52" t="n">
        <f aca="false">ROUND(S372,0)-D372</f>
        <v>937</v>
      </c>
      <c r="F372" s="52" t="n">
        <f aca="false">IF(COUNTA(D372:E372)=0,"",SUM(D372:E372))</f>
        <v>1383</v>
      </c>
      <c r="G372" s="53" t="n">
        <f aca="false">IF(OR(F372="",F372=0),"",D372/F372)</f>
        <v>0.322487346348518</v>
      </c>
      <c r="H372" s="53" t="n">
        <f aca="false">IF(OR(F372="",F372=0),"",E372/F372)</f>
        <v>0.677512653651482</v>
      </c>
      <c r="I372" s="25" t="s">
        <v>559</v>
      </c>
      <c r="J372" s="28" t="n">
        <v>1.88612725432908</v>
      </c>
      <c r="K372" s="28" t="n">
        <f aca="false">$K$8</f>
        <v>0.296197623206382</v>
      </c>
      <c r="L372" s="28" t="n">
        <f aca="false">SQRT(J372^2+K372^2)</f>
        <v>1.909243057213</v>
      </c>
      <c r="M372" s="53" t="n">
        <f aca="false">IF(G372="","",MAX(0,G372-1.96*L372/100))</f>
        <v>0.285066182427143</v>
      </c>
      <c r="N372" s="53" t="n">
        <f aca="false">IF(G372="","",MIN(1,G372+1.96*L372/100))</f>
        <v>0.359908510269893</v>
      </c>
      <c r="O372" s="52" t="n">
        <f aca="false">ROUND(S372*W372,0)</f>
        <v>95</v>
      </c>
      <c r="P372" s="52" t="n">
        <f aca="false">IF(F372="","",ROUND(SQRT((F372*L372/100)^2+(G372*O372)^2),0))</f>
        <v>40</v>
      </c>
      <c r="R372" s="54" t="n">
        <v>-18.4924509951991</v>
      </c>
      <c r="S372" s="55" t="n">
        <f aca="false">U372*V372*$F$5</f>
        <v>1383.3299660738</v>
      </c>
      <c r="T372" s="56" t="n">
        <f aca="false">MAX(0,MIN(1,R372/100+$D$5))</f>
        <v>0.322631597156424</v>
      </c>
      <c r="U372" s="56" t="n">
        <v>0.764270699488289</v>
      </c>
      <c r="V372" s="55" t="n">
        <v>1810</v>
      </c>
      <c r="W372" s="56" t="n">
        <v>0.0684752145190268</v>
      </c>
      <c r="X372" s="57" t="s">
        <v>168</v>
      </c>
      <c r="Y372" s="57" t="s">
        <v>130</v>
      </c>
    </row>
    <row r="373" customFormat="false" ht="15" hidden="false" customHeight="false" outlineLevel="0" collapsed="false">
      <c r="A373" s="25" t="s">
        <v>385</v>
      </c>
      <c r="B373" s="25" t="s">
        <v>560</v>
      </c>
      <c r="C373" s="25" t="s">
        <v>560</v>
      </c>
      <c r="D373" s="52" t="n">
        <f aca="false">ROUND(S373*T373,0)</f>
        <v>212</v>
      </c>
      <c r="E373" s="52" t="n">
        <f aca="false">ROUND(S373,0)-D373</f>
        <v>226</v>
      </c>
      <c r="F373" s="52" t="n">
        <f aca="false">IF(COUNTA(D373:E373)=0,"",SUM(D373:E373))</f>
        <v>438</v>
      </c>
      <c r="G373" s="53" t="n">
        <f aca="false">IF(OR(F373="",F373=0),"",D373/F373)</f>
        <v>0.484018264840183</v>
      </c>
      <c r="H373" s="53" t="n">
        <f aca="false">IF(OR(F373="",F373=0),"",E373/F373)</f>
        <v>0.515981735159817</v>
      </c>
      <c r="I373" s="25" t="s">
        <v>128</v>
      </c>
      <c r="J373" s="28" t="n">
        <v>3.71103496666907</v>
      </c>
      <c r="K373" s="28" t="n">
        <f aca="false">$K$8</f>
        <v>0.296197623206382</v>
      </c>
      <c r="L373" s="28" t="n">
        <f aca="false">SQRT(J373^2+K373^2)</f>
        <v>3.72283676191068</v>
      </c>
      <c r="M373" s="53" t="n">
        <f aca="false">IF(G373="","",MAX(0,G373-1.96*L373/100))</f>
        <v>0.411050664306733</v>
      </c>
      <c r="N373" s="53" t="n">
        <f aca="false">IF(G373="","",MIN(1,G373+1.96*L373/100))</f>
        <v>0.556985865373632</v>
      </c>
      <c r="O373" s="52" t="n">
        <f aca="false">ROUND(S373*W373,0)</f>
        <v>65</v>
      </c>
      <c r="P373" s="52" t="n">
        <f aca="false">IF(F373="","",ROUND(SQRT((F373*L373/100)^2+(G373*O373)^2),0))</f>
        <v>35</v>
      </c>
      <c r="R373" s="54" t="n">
        <v>-2.3100485178494</v>
      </c>
      <c r="S373" s="55" t="n">
        <f aca="false">U373*V373*$F$5</f>
        <v>438.292134831461</v>
      </c>
      <c r="T373" s="56" t="n">
        <f aca="false">MAX(0,MIN(1,R373/100+$D$5))</f>
        <v>0.484455621929921</v>
      </c>
      <c r="U373" s="56" t="n">
        <v>0.51685393258427</v>
      </c>
      <c r="V373" s="55" t="n">
        <v>848</v>
      </c>
      <c r="W373" s="56" t="n">
        <v>0.148097331980838</v>
      </c>
      <c r="X373" s="57" t="s">
        <v>129</v>
      </c>
      <c r="Y373" s="57" t="s">
        <v>130</v>
      </c>
    </row>
    <row r="374" customFormat="false" ht="15" hidden="false" customHeight="false" outlineLevel="0" collapsed="false">
      <c r="A374" s="25" t="s">
        <v>385</v>
      </c>
      <c r="B374" s="25" t="s">
        <v>561</v>
      </c>
      <c r="C374" s="25" t="s">
        <v>562</v>
      </c>
      <c r="D374" s="52" t="n">
        <f aca="false">ROUND(S374*T374,0)</f>
        <v>406</v>
      </c>
      <c r="E374" s="52" t="n">
        <f aca="false">ROUND(S374,0)-D374</f>
        <v>573</v>
      </c>
      <c r="F374" s="52" t="n">
        <f aca="false">IF(COUNTA(D374:E374)=0,"",SUM(D374:E374))</f>
        <v>979</v>
      </c>
      <c r="G374" s="53" t="n">
        <f aca="false">IF(OR(F374="",F374=0),"",D374/F374)</f>
        <v>0.414708886618999</v>
      </c>
      <c r="H374" s="53" t="n">
        <f aca="false">IF(OR(F374="",F374=0),"",E374/F374)</f>
        <v>0.585291113381001</v>
      </c>
      <c r="I374" s="25" t="s">
        <v>128</v>
      </c>
      <c r="J374" s="28" t="n">
        <v>1.88612725432908</v>
      </c>
      <c r="K374" s="28" t="n">
        <f aca="false">$K$8</f>
        <v>0.296197623206382</v>
      </c>
      <c r="L374" s="28" t="n">
        <f aca="false">SQRT(J374^2+K374^2)</f>
        <v>1.909243057213</v>
      </c>
      <c r="M374" s="53" t="n">
        <f aca="false">IF(G374="","",MAX(0,G374-1.96*L374/100))</f>
        <v>0.377287722697624</v>
      </c>
      <c r="N374" s="53" t="n">
        <f aca="false">IF(G374="","",MIN(1,G374+1.96*L374/100))</f>
        <v>0.452130050540374</v>
      </c>
      <c r="O374" s="52" t="n">
        <f aca="false">ROUND(S374*W374,0)</f>
        <v>67</v>
      </c>
      <c r="P374" s="52" t="n">
        <f aca="false">IF(F374="","",ROUND(SQRT((F374*L374/100)^2+(G374*O374)^2),0))</f>
        <v>33</v>
      </c>
      <c r="R374" s="54" t="n">
        <v>-9.3070298423829</v>
      </c>
      <c r="S374" s="55" t="n">
        <f aca="false">U374*V374*$F$5</f>
        <v>979.331514324693</v>
      </c>
      <c r="T374" s="56" t="n">
        <f aca="false">MAX(0,MIN(1,R374/100+$D$5))</f>
        <v>0.414485808684586</v>
      </c>
      <c r="U374" s="56" t="n">
        <v>0.668485675306958</v>
      </c>
      <c r="V374" s="55" t="n">
        <v>1465</v>
      </c>
      <c r="W374" s="56" t="n">
        <v>0.0684752145190268</v>
      </c>
      <c r="X374" s="57" t="s">
        <v>168</v>
      </c>
      <c r="Y374" s="57" t="s">
        <v>130</v>
      </c>
    </row>
    <row r="375" customFormat="false" ht="15" hidden="false" customHeight="false" outlineLevel="0" collapsed="false">
      <c r="A375" s="25" t="s">
        <v>385</v>
      </c>
      <c r="B375" s="25" t="s">
        <v>561</v>
      </c>
      <c r="C375" s="25" t="s">
        <v>563</v>
      </c>
      <c r="D375" s="52" t="n">
        <f aca="false">ROUND(S375*T375,0)</f>
        <v>364</v>
      </c>
      <c r="E375" s="52" t="n">
        <f aca="false">ROUND(S375,0)-D375</f>
        <v>564</v>
      </c>
      <c r="F375" s="52" t="n">
        <f aca="false">IF(COUNTA(D375:E375)=0,"",SUM(D375:E375))</f>
        <v>928</v>
      </c>
      <c r="G375" s="53" t="n">
        <f aca="false">IF(OR(F375="",F375=0),"",D375/F375)</f>
        <v>0.392241379310345</v>
      </c>
      <c r="H375" s="53" t="n">
        <f aca="false">IF(OR(F375="",F375=0),"",E375/F375)</f>
        <v>0.607758620689655</v>
      </c>
      <c r="I375" s="25" t="s">
        <v>128</v>
      </c>
      <c r="J375" s="28" t="n">
        <v>2.37310914384046</v>
      </c>
      <c r="K375" s="28" t="n">
        <f aca="false">$K$8</f>
        <v>0.296197623206382</v>
      </c>
      <c r="L375" s="28" t="n">
        <f aca="false">SQRT(J375^2+K375^2)</f>
        <v>2.3915225360787</v>
      </c>
      <c r="M375" s="53" t="n">
        <f aca="false">IF(G375="","",MAX(0,G375-1.96*L375/100))</f>
        <v>0.345367537603202</v>
      </c>
      <c r="N375" s="53" t="n">
        <f aca="false">IF(G375="","",MIN(1,G375+1.96*L375/100))</f>
        <v>0.439115221017487</v>
      </c>
      <c r="O375" s="52" t="n">
        <f aca="false">ROUND(S375*W375,0)</f>
        <v>82</v>
      </c>
      <c r="P375" s="52" t="n">
        <f aca="false">IF(F375="","",ROUND(SQRT((F375*L375/100)^2+(G375*O375)^2),0))</f>
        <v>39</v>
      </c>
      <c r="R375" s="54" t="n">
        <v>-11.5139759127017</v>
      </c>
      <c r="S375" s="55" t="n">
        <f aca="false">U375*V375*$F$5</f>
        <v>927.869774919614</v>
      </c>
      <c r="T375" s="56" t="n">
        <f aca="false">MAX(0,MIN(1,R375/100+$D$5))</f>
        <v>0.392416347981398</v>
      </c>
      <c r="U375" s="56" t="n">
        <v>0.679260450160772</v>
      </c>
      <c r="V375" s="55" t="n">
        <v>1366</v>
      </c>
      <c r="W375" s="56" t="n">
        <v>0.0887445098984521</v>
      </c>
      <c r="X375" s="57" t="s">
        <v>135</v>
      </c>
      <c r="Y375" s="57" t="s">
        <v>130</v>
      </c>
    </row>
    <row r="376" customFormat="false" ht="15" hidden="false" customHeight="false" outlineLevel="0" collapsed="false">
      <c r="A376" s="25" t="s">
        <v>385</v>
      </c>
      <c r="B376" s="25" t="s">
        <v>561</v>
      </c>
      <c r="C376" s="25" t="s">
        <v>564</v>
      </c>
      <c r="D376" s="52" t="n">
        <f aca="false">ROUND(S376*T376,0)</f>
        <v>438</v>
      </c>
      <c r="E376" s="52" t="n">
        <f aca="false">ROUND(S376,0)-D376</f>
        <v>451</v>
      </c>
      <c r="F376" s="52" t="n">
        <f aca="false">IF(COUNTA(D376:E376)=0,"",SUM(D376:E376))</f>
        <v>889</v>
      </c>
      <c r="G376" s="53" t="n">
        <f aca="false">IF(OR(F376="",F376=0),"",D376/F376)</f>
        <v>0.492688413948256</v>
      </c>
      <c r="H376" s="53" t="n">
        <f aca="false">IF(OR(F376="",F376=0),"",E376/F376)</f>
        <v>0.507311586051744</v>
      </c>
      <c r="I376" s="25" t="s">
        <v>128</v>
      </c>
      <c r="J376" s="28" t="n">
        <v>2.37310914384046</v>
      </c>
      <c r="K376" s="28" t="n">
        <f aca="false">$K$8</f>
        <v>0.296197623206382</v>
      </c>
      <c r="L376" s="28" t="n">
        <f aca="false">SQRT(J376^2+K376^2)</f>
        <v>2.3915225360787</v>
      </c>
      <c r="M376" s="53" t="n">
        <f aca="false">IF(G376="","",MAX(0,G376-1.96*L376/100))</f>
        <v>0.445814572241114</v>
      </c>
      <c r="N376" s="53" t="n">
        <f aca="false">IF(G376="","",MIN(1,G376+1.96*L376/100))</f>
        <v>0.539562255655399</v>
      </c>
      <c r="O376" s="52" t="n">
        <f aca="false">ROUND(S376*W376,0)</f>
        <v>79</v>
      </c>
      <c r="P376" s="52" t="n">
        <f aca="false">IF(F376="","",ROUND(SQRT((F376*L376/100)^2+(G376*O376)^2),0))</f>
        <v>44</v>
      </c>
      <c r="R376" s="54" t="n">
        <v>-1.44480148557798</v>
      </c>
      <c r="S376" s="55" t="n">
        <f aca="false">U376*V376*$F$5</f>
        <v>888.564146620848</v>
      </c>
      <c r="T376" s="56" t="n">
        <f aca="false">MAX(0,MIN(1,R376/100+$D$5))</f>
        <v>0.493108092252635</v>
      </c>
      <c r="U376" s="56" t="n">
        <v>0.521764032073311</v>
      </c>
      <c r="V376" s="55" t="n">
        <v>1703</v>
      </c>
      <c r="W376" s="56" t="n">
        <v>0.0887445098984521</v>
      </c>
      <c r="X376" s="57" t="s">
        <v>135</v>
      </c>
      <c r="Y376" s="57" t="s">
        <v>130</v>
      </c>
    </row>
    <row r="377" customFormat="false" ht="15" hidden="false" customHeight="false" outlineLevel="0" collapsed="false">
      <c r="A377" s="25" t="s">
        <v>385</v>
      </c>
      <c r="B377" s="25" t="s">
        <v>561</v>
      </c>
      <c r="C377" s="25" t="s">
        <v>565</v>
      </c>
      <c r="D377" s="52" t="n">
        <f aca="false">ROUND(S377*T377,0)</f>
        <v>239</v>
      </c>
      <c r="E377" s="52" t="n">
        <f aca="false">ROUND(S377,0)-D377</f>
        <v>342</v>
      </c>
      <c r="F377" s="52" t="n">
        <f aca="false">IF(COUNTA(D377:E377)=0,"",SUM(D377:E377))</f>
        <v>581</v>
      </c>
      <c r="G377" s="53" t="n">
        <f aca="false">IF(OR(F377="",F377=0),"",D377/F377)</f>
        <v>0.411359724612737</v>
      </c>
      <c r="H377" s="53" t="n">
        <f aca="false">IF(OR(F377="",F377=0),"",E377/F377)</f>
        <v>0.588640275387263</v>
      </c>
      <c r="I377" s="25" t="s">
        <v>128</v>
      </c>
      <c r="J377" s="28" t="n">
        <v>2.37310914384046</v>
      </c>
      <c r="K377" s="28" t="n">
        <f aca="false">$K$8</f>
        <v>0.296197623206382</v>
      </c>
      <c r="L377" s="28" t="n">
        <f aca="false">SQRT(J377^2+K377^2)</f>
        <v>2.3915225360787</v>
      </c>
      <c r="M377" s="53" t="n">
        <f aca="false">IF(G377="","",MAX(0,G377-1.96*L377/100))</f>
        <v>0.364485882905594</v>
      </c>
      <c r="N377" s="53" t="n">
        <f aca="false">IF(G377="","",MIN(1,G377+1.96*L377/100))</f>
        <v>0.458233566319879</v>
      </c>
      <c r="O377" s="52" t="n">
        <f aca="false">ROUND(S377*W377,0)</f>
        <v>52</v>
      </c>
      <c r="P377" s="52" t="n">
        <f aca="false">IF(F377="","",ROUND(SQRT((F377*L377/100)^2+(G377*O377)^2),0))</f>
        <v>26</v>
      </c>
      <c r="R377" s="54" t="n">
        <v>-9.60391562183175</v>
      </c>
      <c r="S377" s="55" t="n">
        <f aca="false">U377*V377*$F$5</f>
        <v>580.714285714285</v>
      </c>
      <c r="T377" s="56" t="n">
        <f aca="false">MAX(0,MIN(1,R377/100+$D$5))</f>
        <v>0.411516950890097</v>
      </c>
      <c r="U377" s="56" t="n">
        <v>0.714285714285714</v>
      </c>
      <c r="V377" s="55" t="n">
        <v>813</v>
      </c>
      <c r="W377" s="56" t="n">
        <v>0.0887445098984521</v>
      </c>
      <c r="X377" s="57" t="s">
        <v>135</v>
      </c>
      <c r="Y377" s="57" t="s">
        <v>130</v>
      </c>
    </row>
    <row r="378" customFormat="false" ht="15" hidden="false" customHeight="false" outlineLevel="0" collapsed="false">
      <c r="A378" s="25" t="s">
        <v>385</v>
      </c>
      <c r="B378" s="25" t="s">
        <v>566</v>
      </c>
      <c r="C378" s="25" t="s">
        <v>567</v>
      </c>
      <c r="D378" s="52" t="n">
        <f aca="false">ROUND(S378*T378,0)</f>
        <v>458</v>
      </c>
      <c r="E378" s="52" t="n">
        <f aca="false">ROUND(S378,0)-D378</f>
        <v>307</v>
      </c>
      <c r="F378" s="52" t="n">
        <f aca="false">IF(COUNTA(D378:E378)=0,"",SUM(D378:E378))</f>
        <v>765</v>
      </c>
      <c r="G378" s="53" t="n">
        <f aca="false">IF(OR(F378="",F378=0),"",D378/F378)</f>
        <v>0.598692810457516</v>
      </c>
      <c r="H378" s="53" t="n">
        <f aca="false">IF(OR(F378="",F378=0),"",E378/F378)</f>
        <v>0.401307189542484</v>
      </c>
      <c r="I378" s="25" t="s">
        <v>128</v>
      </c>
      <c r="J378" s="28" t="n">
        <v>2.37310914384046</v>
      </c>
      <c r="K378" s="28" t="n">
        <f aca="false">$K$8</f>
        <v>0.296197623206382</v>
      </c>
      <c r="L378" s="28" t="n">
        <f aca="false">SQRT(J378^2+K378^2)</f>
        <v>2.3915225360787</v>
      </c>
      <c r="M378" s="53" t="n">
        <f aca="false">IF(G378="","",MAX(0,G378-1.96*L378/100))</f>
        <v>0.551818968750374</v>
      </c>
      <c r="N378" s="53" t="n">
        <f aca="false">IF(G378="","",MIN(1,G378+1.96*L378/100))</f>
        <v>0.645566652164659</v>
      </c>
      <c r="O378" s="52" t="n">
        <f aca="false">ROUND(S378*W378,0)</f>
        <v>68</v>
      </c>
      <c r="P378" s="52" t="n">
        <f aca="false">IF(F378="","",ROUND(SQRT((F378*L378/100)^2+(G378*O378)^2),0))</f>
        <v>45</v>
      </c>
      <c r="R378" s="54" t="n">
        <v>9.11884206731785</v>
      </c>
      <c r="S378" s="55" t="n">
        <f aca="false">U378*V378*$F$5</f>
        <v>764.667071688942</v>
      </c>
      <c r="T378" s="56" t="n">
        <f aca="false">MAX(0,MIN(1,R378/100+$D$5))</f>
        <v>0.598744527781593</v>
      </c>
      <c r="U378" s="56" t="n">
        <v>0.451397326852977</v>
      </c>
      <c r="V378" s="55" t="n">
        <v>1694</v>
      </c>
      <c r="W378" s="56" t="n">
        <v>0.0887445098984521</v>
      </c>
      <c r="X378" s="57" t="s">
        <v>135</v>
      </c>
      <c r="Y378" s="57" t="s">
        <v>130</v>
      </c>
    </row>
    <row r="379" customFormat="false" ht="15" hidden="false" customHeight="false" outlineLevel="0" collapsed="false">
      <c r="A379" s="25" t="s">
        <v>385</v>
      </c>
      <c r="B379" s="25" t="s">
        <v>566</v>
      </c>
      <c r="C379" s="25" t="s">
        <v>568</v>
      </c>
      <c r="D379" s="52" t="n">
        <f aca="false">ROUND(S379*T379,0)</f>
        <v>353</v>
      </c>
      <c r="E379" s="52" t="n">
        <f aca="false">ROUND(S379,0)-D379</f>
        <v>266</v>
      </c>
      <c r="F379" s="52" t="n">
        <f aca="false">IF(COUNTA(D379:E379)=0,"",SUM(D379:E379))</f>
        <v>619</v>
      </c>
      <c r="G379" s="53" t="n">
        <f aca="false">IF(OR(F379="",F379=0),"",D379/F379)</f>
        <v>0.570274636510501</v>
      </c>
      <c r="H379" s="53" t="n">
        <f aca="false">IF(OR(F379="",F379=0),"",E379/F379)</f>
        <v>0.429725363489499</v>
      </c>
      <c r="I379" s="25" t="s">
        <v>128</v>
      </c>
      <c r="J379" s="28" t="n">
        <v>2.37310914384046</v>
      </c>
      <c r="K379" s="28" t="n">
        <f aca="false">$K$8</f>
        <v>0.296197623206382</v>
      </c>
      <c r="L379" s="28" t="n">
        <f aca="false">SQRT(J379^2+K379^2)</f>
        <v>2.3915225360787</v>
      </c>
      <c r="M379" s="53" t="n">
        <f aca="false">IF(G379="","",MAX(0,G379-1.96*L379/100))</f>
        <v>0.523400794803358</v>
      </c>
      <c r="N379" s="53" t="n">
        <f aca="false">IF(G379="","",MIN(1,G379+1.96*L379/100))</f>
        <v>0.617148478217643</v>
      </c>
      <c r="O379" s="52" t="n">
        <f aca="false">ROUND(S379*W379,0)</f>
        <v>55</v>
      </c>
      <c r="P379" s="52" t="n">
        <f aca="false">IF(F379="","",ROUND(SQRT((F379*L379/100)^2+(G379*O379)^2),0))</f>
        <v>35</v>
      </c>
      <c r="R379" s="54" t="n">
        <v>6.20826090840043</v>
      </c>
      <c r="S379" s="55" t="n">
        <f aca="false">U379*V379*$F$5</f>
        <v>619.017871017871</v>
      </c>
      <c r="T379" s="56" t="n">
        <f aca="false">MAX(0,MIN(1,R379/100+$D$5))</f>
        <v>0.569638716192419</v>
      </c>
      <c r="U379" s="56" t="n">
        <v>0.469308469308469</v>
      </c>
      <c r="V379" s="55" t="n">
        <v>1319</v>
      </c>
      <c r="W379" s="56" t="n">
        <v>0.0887445098984521</v>
      </c>
      <c r="X379" s="57" t="s">
        <v>135</v>
      </c>
      <c r="Y379" s="57" t="s">
        <v>130</v>
      </c>
    </row>
    <row r="380" customFormat="false" ht="15" hidden="false" customHeight="false" outlineLevel="0" collapsed="false">
      <c r="A380" s="25" t="s">
        <v>385</v>
      </c>
      <c r="B380" s="25" t="s">
        <v>566</v>
      </c>
      <c r="C380" s="25" t="s">
        <v>569</v>
      </c>
      <c r="D380" s="52" t="n">
        <f aca="false">ROUND(S380*T380,0)</f>
        <v>533</v>
      </c>
      <c r="E380" s="52" t="n">
        <f aca="false">ROUND(S380,0)-D380</f>
        <v>433</v>
      </c>
      <c r="F380" s="52" t="n">
        <f aca="false">IF(COUNTA(D380:E380)=0,"",SUM(D380:E380))</f>
        <v>966</v>
      </c>
      <c r="G380" s="53" t="n">
        <f aca="false">IF(OR(F380="",F380=0),"",D380/F380)</f>
        <v>0.55175983436853</v>
      </c>
      <c r="H380" s="53" t="n">
        <f aca="false">IF(OR(F380="",F380=0),"",E380/F380)</f>
        <v>0.44824016563147</v>
      </c>
      <c r="I380" s="25" t="s">
        <v>128</v>
      </c>
      <c r="J380" s="28" t="n">
        <v>1.88612725432908</v>
      </c>
      <c r="K380" s="28" t="n">
        <f aca="false">$K$8</f>
        <v>0.296197623206382</v>
      </c>
      <c r="L380" s="28" t="n">
        <f aca="false">SQRT(J380^2+K380^2)</f>
        <v>1.909243057213</v>
      </c>
      <c r="M380" s="53" t="n">
        <f aca="false">IF(G380="","",MAX(0,G380-1.96*L380/100))</f>
        <v>0.514338670447155</v>
      </c>
      <c r="N380" s="53" t="n">
        <f aca="false">IF(G380="","",MIN(1,G380+1.96*L380/100))</f>
        <v>0.589180998289905</v>
      </c>
      <c r="O380" s="52" t="n">
        <f aca="false">ROUND(S380*W380,0)</f>
        <v>66</v>
      </c>
      <c r="P380" s="52" t="n">
        <f aca="false">IF(F380="","",ROUND(SQRT((F380*L380/100)^2+(G380*O380)^2),0))</f>
        <v>41</v>
      </c>
      <c r="R380" s="54" t="n">
        <v>4.3441957646829</v>
      </c>
      <c r="S380" s="55" t="n">
        <f aca="false">U380*V380*$F$5</f>
        <v>966.474176094441</v>
      </c>
      <c r="T380" s="56" t="n">
        <f aca="false">MAX(0,MIN(1,R380/100+$D$5))</f>
        <v>0.550998064755244</v>
      </c>
      <c r="U380" s="56" t="n">
        <v>0.465322183964584</v>
      </c>
      <c r="V380" s="55" t="n">
        <v>2077</v>
      </c>
      <c r="W380" s="56" t="n">
        <v>0.0684752145190268</v>
      </c>
      <c r="X380" s="57" t="s">
        <v>168</v>
      </c>
      <c r="Y380" s="57" t="s">
        <v>130</v>
      </c>
    </row>
    <row r="381" customFormat="false" ht="15" hidden="false" customHeight="false" outlineLevel="0" collapsed="false">
      <c r="A381" s="25" t="s">
        <v>385</v>
      </c>
      <c r="B381" s="25" t="s">
        <v>570</v>
      </c>
      <c r="C381" s="25" t="s">
        <v>570</v>
      </c>
      <c r="D381" s="52" t="n">
        <f aca="false">ROUND(S381*T381,0)</f>
        <v>486</v>
      </c>
      <c r="E381" s="52" t="n">
        <f aca="false">ROUND(S381,0)-D381</f>
        <v>659</v>
      </c>
      <c r="F381" s="52" t="n">
        <f aca="false">IF(COUNTA(D381:E381)=0,"",SUM(D381:E381))</f>
        <v>1145</v>
      </c>
      <c r="G381" s="53" t="n">
        <f aca="false">IF(OR(F381="",F381=0),"",D381/F381)</f>
        <v>0.424454148471616</v>
      </c>
      <c r="H381" s="53" t="n">
        <f aca="false">IF(OR(F381="",F381=0),"",E381/F381)</f>
        <v>0.575545851528384</v>
      </c>
      <c r="I381" s="25" t="s">
        <v>128</v>
      </c>
      <c r="J381" s="28" t="n">
        <v>1.88612725432908</v>
      </c>
      <c r="K381" s="28" t="n">
        <f aca="false">$K$8</f>
        <v>0.296197623206382</v>
      </c>
      <c r="L381" s="28" t="n">
        <f aca="false">SQRT(J381^2+K381^2)</f>
        <v>1.909243057213</v>
      </c>
      <c r="M381" s="53" t="n">
        <f aca="false">IF(G381="","",MAX(0,G381-1.96*L381/100))</f>
        <v>0.387032984550241</v>
      </c>
      <c r="N381" s="53" t="n">
        <f aca="false">IF(G381="","",MIN(1,G381+1.96*L381/100))</f>
        <v>0.461875312392991</v>
      </c>
      <c r="O381" s="52" t="n">
        <f aca="false">ROUND(S381*W381,0)</f>
        <v>78</v>
      </c>
      <c r="P381" s="52" t="n">
        <f aca="false">IF(F381="","",ROUND(SQRT((F381*L381/100)^2+(G381*O381)^2),0))</f>
        <v>40</v>
      </c>
      <c r="R381" s="54" t="n">
        <v>-8.31790974492961</v>
      </c>
      <c r="S381" s="55" t="n">
        <f aca="false">U381*V381*$F$5</f>
        <v>1145.48062775871</v>
      </c>
      <c r="T381" s="56" t="n">
        <f aca="false">MAX(0,MIN(1,R381/100+$D$5))</f>
        <v>0.424377009659119</v>
      </c>
      <c r="U381" s="56" t="n">
        <v>0.537027954879843</v>
      </c>
      <c r="V381" s="55" t="n">
        <v>2133</v>
      </c>
      <c r="W381" s="56" t="n">
        <v>0.0684752145190268</v>
      </c>
      <c r="X381" s="57" t="s">
        <v>168</v>
      </c>
      <c r="Y381" s="57" t="s">
        <v>130</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575</v>
      </c>
    </row>
    <row r="3" customFormat="false" ht="15" hidden="false" customHeight="false" outlineLevel="0" collapsed="false">
      <c r="A3" s="5" t="s">
        <v>576</v>
      </c>
    </row>
    <row r="4" customFormat="false" ht="33.75" hidden="false" customHeight="true" outlineLevel="0" collapsed="false">
      <c r="A4" s="37" t="s">
        <v>577</v>
      </c>
      <c r="B4" s="37"/>
      <c r="C4" s="37"/>
      <c r="D4" s="37"/>
      <c r="E4" s="37"/>
      <c r="F4" s="37"/>
      <c r="G4" s="37"/>
      <c r="H4" s="37"/>
    </row>
    <row r="5" customFormat="false" ht="15" hidden="false" customHeight="false" outlineLevel="0" collapsed="false">
      <c r="A5" s="5" t="s">
        <v>578</v>
      </c>
    </row>
    <row r="6" customFormat="false" ht="33.75" hidden="false" customHeight="true" outlineLevel="0" collapsed="false">
      <c r="A6" s="37" t="s">
        <v>579</v>
      </c>
      <c r="B6" s="37"/>
      <c r="C6" s="37"/>
      <c r="D6" s="37"/>
      <c r="E6" s="37"/>
      <c r="F6" s="37"/>
      <c r="G6" s="37"/>
      <c r="H6" s="37"/>
    </row>
    <row r="7" customFormat="false" ht="15" hidden="false" customHeight="false" outlineLevel="0" collapsed="false">
      <c r="A7" s="5" t="s">
        <v>580</v>
      </c>
    </row>
    <row r="8" customFormat="false" ht="33.75" hidden="false" customHeight="true" outlineLevel="0" collapsed="false">
      <c r="A8" s="37" t="s">
        <v>581</v>
      </c>
      <c r="B8" s="37"/>
      <c r="C8" s="37"/>
      <c r="D8" s="37"/>
      <c r="E8" s="37"/>
      <c r="F8" s="37"/>
      <c r="G8" s="37"/>
      <c r="H8" s="37"/>
    </row>
    <row r="9" customFormat="false" ht="15" hidden="false" customHeight="false" outlineLevel="0" collapsed="false">
      <c r="A9" s="5" t="s">
        <v>582</v>
      </c>
    </row>
    <row r="10" customFormat="false" ht="33.75" hidden="false" customHeight="true" outlineLevel="0" collapsed="false">
      <c r="A10" s="37" t="s">
        <v>583</v>
      </c>
      <c r="B10" s="37"/>
      <c r="C10" s="37"/>
      <c r="D10" s="37"/>
      <c r="E10" s="37"/>
      <c r="F10" s="37"/>
      <c r="G10" s="37"/>
      <c r="H10" s="37"/>
    </row>
    <row r="11" customFormat="false" ht="15" hidden="false" customHeight="false" outlineLevel="0" collapsed="false">
      <c r="A11" s="5" t="s">
        <v>584</v>
      </c>
    </row>
    <row r="12" customFormat="false" ht="33.75" hidden="false" customHeight="true" outlineLevel="0" collapsed="false">
      <c r="A12" s="37" t="s">
        <v>585</v>
      </c>
      <c r="B12" s="37"/>
      <c r="C12" s="37"/>
      <c r="D12" s="37"/>
      <c r="E12" s="37"/>
      <c r="F12" s="37"/>
      <c r="G12" s="37"/>
      <c r="H12" s="37"/>
    </row>
    <row r="14" customFormat="false" ht="15" hidden="false" customHeight="false" outlineLevel="0" collapsed="false">
      <c r="A14" s="4" t="s">
        <v>586</v>
      </c>
      <c r="B14" s="4"/>
      <c r="C14" s="4"/>
      <c r="D14" s="4"/>
      <c r="E14" s="4"/>
      <c r="F14" s="4"/>
      <c r="G14" s="4"/>
      <c r="H14" s="4"/>
    </row>
    <row r="15" customFormat="false" ht="31.5" hidden="false" customHeight="true" outlineLevel="0" collapsed="false">
      <c r="A15" s="8" t="s">
        <v>587</v>
      </c>
      <c r="B15" s="8" t="s">
        <v>43</v>
      </c>
      <c r="C15" s="8" t="s">
        <v>45</v>
      </c>
      <c r="D15" s="8" t="s">
        <v>47</v>
      </c>
      <c r="E15" s="8" t="s">
        <v>588</v>
      </c>
    </row>
    <row r="16" customFormat="false" ht="15" hidden="false" customHeight="false" outlineLevel="0" collapsed="false">
      <c r="A16" s="58" t="s">
        <v>589</v>
      </c>
      <c r="B16" s="10" t="n">
        <v>0.00129536019021464</v>
      </c>
      <c r="C16" s="10" t="n">
        <v>0</v>
      </c>
      <c r="D16" s="10" t="n">
        <v>0.001238973716722</v>
      </c>
      <c r="E16" s="39" t="n">
        <v>1</v>
      </c>
    </row>
    <row r="17" customFormat="false" ht="15" hidden="false" customHeight="false" outlineLevel="0" collapsed="false">
      <c r="A17" s="58" t="s">
        <v>590</v>
      </c>
      <c r="B17" s="10" t="n">
        <v>0.0307770135255711</v>
      </c>
      <c r="C17" s="10" t="n">
        <v>0</v>
      </c>
      <c r="D17" s="10" t="n">
        <v>0.0294373033272402</v>
      </c>
      <c r="E17" s="39" t="n">
        <v>1</v>
      </c>
    </row>
    <row r="18" customFormat="false" ht="15" hidden="false" customHeight="false" outlineLevel="0" collapsed="false">
      <c r="A18" s="58" t="s">
        <v>591</v>
      </c>
      <c r="B18" s="10" t="n">
        <v>0.730438951200562</v>
      </c>
      <c r="C18" s="10" t="n">
        <v>0.702048836733141</v>
      </c>
      <c r="D18" s="10" t="n">
        <v>0.817149389806479</v>
      </c>
      <c r="E18" s="39" t="n">
        <v>1.16962324002175</v>
      </c>
    </row>
    <row r="19" customFormat="false" ht="15" hidden="false" customHeight="false" outlineLevel="0" collapsed="false">
      <c r="A19" s="58" t="s">
        <v>592</v>
      </c>
      <c r="B19" s="10" t="n">
        <v>0.237488675083652</v>
      </c>
      <c r="C19" s="10" t="n">
        <v>0.297951163266859</v>
      </c>
      <c r="D19" s="10" t="n">
        <v>0.152174333149559</v>
      </c>
      <c r="E19" s="39" t="n">
        <v>0.669926188073436</v>
      </c>
    </row>
    <row r="20" customFormat="false" ht="15" hidden="false" customHeight="false" outlineLevel="0" collapsed="false">
      <c r="A20" s="3" t="s">
        <v>593</v>
      </c>
    </row>
    <row r="22" customFormat="false" ht="15" hidden="false" customHeight="false" outlineLevel="0" collapsed="false">
      <c r="A22" s="4" t="s">
        <v>594</v>
      </c>
      <c r="B22" s="4"/>
      <c r="C22" s="4"/>
      <c r="D22" s="4"/>
      <c r="E22" s="4"/>
      <c r="F22" s="4"/>
      <c r="G22" s="4"/>
      <c r="H22" s="4"/>
    </row>
    <row r="23" customFormat="false" ht="31.5" hidden="false" customHeight="true" outlineLevel="0" collapsed="false">
      <c r="A23" s="8" t="s">
        <v>595</v>
      </c>
      <c r="B23" s="8" t="s">
        <v>43</v>
      </c>
      <c r="C23" s="8" t="s">
        <v>596</v>
      </c>
      <c r="D23" s="8" t="s">
        <v>45</v>
      </c>
      <c r="E23" s="8" t="s">
        <v>596</v>
      </c>
      <c r="F23" s="8" t="s">
        <v>47</v>
      </c>
      <c r="G23" s="8" t="s">
        <v>596</v>
      </c>
    </row>
    <row r="24" customFormat="false" ht="15" hidden="false" customHeight="false" outlineLevel="0" collapsed="false">
      <c r="A24" s="9" t="n">
        <v>1</v>
      </c>
      <c r="B24" s="9" t="s">
        <v>597</v>
      </c>
      <c r="C24" s="10" t="n">
        <v>0.323395127379431</v>
      </c>
      <c r="D24" s="9" t="s">
        <v>597</v>
      </c>
      <c r="E24" s="10" t="n">
        <v>0.211054135343332</v>
      </c>
      <c r="F24" s="9" t="s">
        <v>597</v>
      </c>
      <c r="G24" s="10" t="n">
        <v>0.361785376546726</v>
      </c>
    </row>
    <row r="25" customFormat="false" ht="15" hidden="false" customHeight="false" outlineLevel="0" collapsed="false">
      <c r="A25" s="9" t="n">
        <v>2</v>
      </c>
      <c r="B25" s="9" t="s">
        <v>598</v>
      </c>
      <c r="C25" s="10" t="n">
        <v>0.193959672003171</v>
      </c>
      <c r="D25" s="9" t="s">
        <v>599</v>
      </c>
      <c r="E25" s="10" t="n">
        <v>0.18802891332355</v>
      </c>
      <c r="F25" s="9" t="s">
        <v>598</v>
      </c>
      <c r="G25" s="10" t="n">
        <v>0.216984632821062</v>
      </c>
    </row>
    <row r="26" customFormat="false" ht="15" hidden="false" customHeight="false" outlineLevel="0" collapsed="false">
      <c r="A26" s="9" t="n">
        <v>3</v>
      </c>
      <c r="B26" s="9" t="s">
        <v>599</v>
      </c>
      <c r="C26" s="10" t="n">
        <v>0.15495315726552</v>
      </c>
      <c r="D26" s="9" t="s">
        <v>598</v>
      </c>
      <c r="E26" s="10" t="n">
        <v>0.168727640627378</v>
      </c>
      <c r="F26" s="9" t="s">
        <v>599</v>
      </c>
      <c r="G26" s="10" t="n">
        <v>0.173347653079005</v>
      </c>
    </row>
    <row r="27" customFormat="false" ht="15" hidden="false" customHeight="false" outlineLevel="0" collapsed="false">
      <c r="A27" s="9" t="n">
        <v>4</v>
      </c>
      <c r="B27" s="9" t="s">
        <v>600</v>
      </c>
      <c r="C27" s="10" t="n">
        <v>0.107100370057474</v>
      </c>
      <c r="D27" s="9" t="s">
        <v>600</v>
      </c>
      <c r="E27" s="10" t="n">
        <v>0.157953578800258</v>
      </c>
      <c r="F27" s="9" t="s">
        <v>600</v>
      </c>
      <c r="G27" s="10" t="n">
        <v>0.0686261245418393</v>
      </c>
    </row>
    <row r="28" customFormat="false" ht="15" hidden="false" customHeight="false" outlineLevel="0" collapsed="false">
      <c r="A28" s="9" t="n">
        <v>5</v>
      </c>
      <c r="B28" s="9" t="s">
        <v>601</v>
      </c>
      <c r="C28" s="10" t="n">
        <v>0.0696961162517108</v>
      </c>
      <c r="D28" s="9" t="s">
        <v>601</v>
      </c>
      <c r="E28" s="10" t="n">
        <v>0.139997584466601</v>
      </c>
      <c r="F28" s="9" t="s">
        <v>602</v>
      </c>
      <c r="G28" s="10" t="n">
        <v>0.0513344041187378</v>
      </c>
    </row>
    <row r="29" customFormat="false" ht="15" hidden="false" customHeight="false" outlineLevel="0" collapsed="false">
      <c r="A29" s="9" t="n">
        <v>6</v>
      </c>
      <c r="B29" s="9" t="s">
        <v>602</v>
      </c>
      <c r="C29" s="10" t="n">
        <v>0.0458871398213695</v>
      </c>
      <c r="D29" s="9" t="s">
        <v>602</v>
      </c>
      <c r="E29" s="10" t="n">
        <v>0.134238147438881</v>
      </c>
      <c r="F29" s="9" t="s">
        <v>601</v>
      </c>
      <c r="G29" s="10" t="n">
        <v>0.0446588032460176</v>
      </c>
    </row>
    <row r="30" customFormat="false" ht="15" hidden="false" customHeight="false" outlineLevel="0" collapsed="false">
      <c r="A30" s="9" t="n">
        <v>7</v>
      </c>
      <c r="B30" s="9" t="s">
        <v>603</v>
      </c>
      <c r="C30" s="10" t="n">
        <v>0.0230304234432547</v>
      </c>
      <c r="D30" s="9"/>
      <c r="E30" s="9"/>
      <c r="F30" s="9" t="s">
        <v>603</v>
      </c>
      <c r="G30" s="10" t="n">
        <v>0.0147570797992569</v>
      </c>
    </row>
    <row r="31" customFormat="false" ht="15" hidden="false" customHeight="false" outlineLevel="0" collapsed="false">
      <c r="A31" s="9" t="n">
        <v>8</v>
      </c>
      <c r="B31" s="9" t="s">
        <v>604</v>
      </c>
      <c r="C31" s="10" t="n">
        <v>0.0139752939115389</v>
      </c>
      <c r="D31" s="9"/>
      <c r="E31" s="9"/>
      <c r="F31" s="9" t="s">
        <v>604</v>
      </c>
      <c r="G31" s="10" t="n">
        <v>0.0133669553616531</v>
      </c>
    </row>
    <row r="32" customFormat="false" ht="15" hidden="false" customHeight="false" outlineLevel="0" collapsed="false">
      <c r="A32" s="9" t="n">
        <v>9</v>
      </c>
      <c r="B32" s="9" t="s">
        <v>605</v>
      </c>
      <c r="C32" s="10" t="n">
        <v>0.0123675951656721</v>
      </c>
      <c r="D32" s="9"/>
      <c r="E32" s="9"/>
      <c r="F32" s="9" t="s">
        <v>605</v>
      </c>
      <c r="G32" s="10" t="n">
        <v>0.0118292390526428</v>
      </c>
    </row>
    <row r="33" customFormat="false" ht="15" hidden="false" customHeight="false" outlineLevel="0" collapsed="false">
      <c r="A33" s="9" t="n">
        <v>10</v>
      </c>
      <c r="B33" s="9" t="s">
        <v>606</v>
      </c>
      <c r="C33" s="10" t="n">
        <v>0.0117332798054156</v>
      </c>
      <c r="D33" s="9"/>
      <c r="E33" s="9"/>
      <c r="F33" s="9" t="s">
        <v>606</v>
      </c>
      <c r="G33" s="10" t="n">
        <v>0.00751827020558935</v>
      </c>
    </row>
    <row r="35" customFormat="false" ht="15" hidden="false" customHeight="false" outlineLevel="0" collapsed="false">
      <c r="A35" s="4" t="s">
        <v>607</v>
      </c>
      <c r="B35" s="4"/>
      <c r="C35" s="4"/>
      <c r="D35" s="4"/>
      <c r="E35" s="4"/>
      <c r="F35" s="4"/>
      <c r="G35" s="4"/>
      <c r="H35" s="4"/>
    </row>
    <row r="36" customFormat="false" ht="31.5" hidden="false" customHeight="true" outlineLevel="0" collapsed="false">
      <c r="A36" s="8" t="s">
        <v>608</v>
      </c>
      <c r="B36" s="8" t="s">
        <v>609</v>
      </c>
      <c r="C36" s="8" t="s">
        <v>610</v>
      </c>
      <c r="D36" s="8" t="s">
        <v>611</v>
      </c>
    </row>
    <row r="37" customFormat="false" ht="15" hidden="false" customHeight="false" outlineLevel="0" collapsed="false">
      <c r="A37" s="25" t="s">
        <v>597</v>
      </c>
      <c r="B37" s="25" t="n">
        <v>20</v>
      </c>
      <c r="C37" s="53" t="n">
        <v>0.332569941830582</v>
      </c>
      <c r="D37" s="25" t="s">
        <v>612</v>
      </c>
    </row>
    <row r="38" customFormat="false" ht="15" hidden="false" customHeight="false" outlineLevel="0" collapsed="false">
      <c r="A38" s="25" t="s">
        <v>598</v>
      </c>
      <c r="B38" s="25" t="n">
        <v>20</v>
      </c>
      <c r="C38" s="53" t="n">
        <v>0.195815684108449</v>
      </c>
      <c r="D38" s="25" t="s">
        <v>612</v>
      </c>
    </row>
    <row r="39" customFormat="false" ht="15" hidden="false" customHeight="false" outlineLevel="0" collapsed="false">
      <c r="A39" s="25" t="s">
        <v>599</v>
      </c>
      <c r="B39" s="25" t="n">
        <v>20</v>
      </c>
      <c r="C39" s="53" t="n">
        <v>0.153793934741661</v>
      </c>
      <c r="D39" s="25" t="s">
        <v>612</v>
      </c>
    </row>
    <row r="40" customFormat="false" ht="15" hidden="false" customHeight="false" outlineLevel="0" collapsed="false">
      <c r="A40" s="25" t="s">
        <v>600</v>
      </c>
      <c r="B40" s="25" t="n">
        <v>20</v>
      </c>
      <c r="C40" s="53" t="n">
        <v>0.106182555278531</v>
      </c>
      <c r="D40" s="25" t="s">
        <v>612</v>
      </c>
    </row>
    <row r="41" customFormat="false" ht="15" hidden="false" customHeight="false" outlineLevel="0" collapsed="false">
      <c r="A41" s="25" t="s">
        <v>601</v>
      </c>
      <c r="B41" s="25" t="n">
        <v>20</v>
      </c>
      <c r="C41" s="53" t="n">
        <v>0.0663517539149117</v>
      </c>
      <c r="D41" s="25" t="s">
        <v>612</v>
      </c>
    </row>
    <row r="42" customFormat="false" ht="15" hidden="false" customHeight="false" outlineLevel="0" collapsed="false">
      <c r="A42" s="25" t="s">
        <v>602</v>
      </c>
      <c r="B42" s="25" t="n">
        <v>20</v>
      </c>
      <c r="C42" s="53" t="n">
        <v>0.0450282110961825</v>
      </c>
      <c r="D42" s="25" t="s">
        <v>612</v>
      </c>
    </row>
    <row r="43" customFormat="false" ht="15" hidden="false" customHeight="false" outlineLevel="0" collapsed="false">
      <c r="A43" s="25" t="s">
        <v>603</v>
      </c>
      <c r="B43" s="25" t="n">
        <v>20</v>
      </c>
      <c r="C43" s="53" t="n">
        <v>0.0197728567857164</v>
      </c>
      <c r="D43" s="25" t="s">
        <v>613</v>
      </c>
    </row>
    <row r="44" customFormat="false" ht="15" hidden="false" customHeight="false" outlineLevel="0" collapsed="false">
      <c r="A44" s="25" t="s">
        <v>604</v>
      </c>
      <c r="B44" s="25" t="n">
        <v>20</v>
      </c>
      <c r="C44" s="53" t="n">
        <v>0.0136902269911516</v>
      </c>
      <c r="D44" s="25" t="s">
        <v>613</v>
      </c>
    </row>
    <row r="45" customFormat="false" ht="15" hidden="false" customHeight="false" outlineLevel="0" collapsed="false">
      <c r="A45" s="25" t="s">
        <v>605</v>
      </c>
      <c r="B45" s="25" t="n">
        <v>20</v>
      </c>
      <c r="C45" s="53" t="n">
        <v>0.012237239881594</v>
      </c>
      <c r="D45" s="25" t="s">
        <v>613</v>
      </c>
    </row>
    <row r="46" customFormat="false" ht="15" hidden="false" customHeight="false" outlineLevel="0" collapsed="false">
      <c r="A46" s="25" t="s">
        <v>606</v>
      </c>
      <c r="B46" s="25" t="n">
        <v>20</v>
      </c>
      <c r="C46" s="53" t="n">
        <v>0.0105249896657752</v>
      </c>
      <c r="D46" s="25" t="s">
        <v>613</v>
      </c>
    </row>
    <row r="47" customFormat="false" ht="15" hidden="false" customHeight="false" outlineLevel="0" collapsed="false">
      <c r="A47" s="25" t="s">
        <v>614</v>
      </c>
      <c r="B47" s="25" t="n">
        <v>20</v>
      </c>
      <c r="C47" s="53" t="n">
        <v>0.00670862852255371</v>
      </c>
      <c r="D47" s="25" t="s">
        <v>613</v>
      </c>
    </row>
    <row r="48" customFormat="false" ht="15" hidden="false" customHeight="false" outlineLevel="0" collapsed="false">
      <c r="A48" s="25" t="s">
        <v>615</v>
      </c>
      <c r="B48" s="25" t="n">
        <v>20</v>
      </c>
      <c r="C48" s="53" t="n">
        <v>0.00610867525948565</v>
      </c>
      <c r="D48" s="25" t="s">
        <v>613</v>
      </c>
    </row>
    <row r="49" customFormat="false" ht="15" hidden="false" customHeight="false" outlineLevel="0" collapsed="false">
      <c r="A49" s="25" t="s">
        <v>616</v>
      </c>
      <c r="B49" s="25" t="n">
        <v>20</v>
      </c>
      <c r="C49" s="53" t="n">
        <v>0.00567455526944487</v>
      </c>
      <c r="D49" s="25" t="s">
        <v>613</v>
      </c>
    </row>
    <row r="50" customFormat="false" ht="15" hidden="false" customHeight="false" outlineLevel="0" collapsed="false">
      <c r="A50" s="25" t="s">
        <v>617</v>
      </c>
      <c r="B50" s="25" t="n">
        <v>20</v>
      </c>
      <c r="C50" s="53" t="n">
        <v>0.00389347089512028</v>
      </c>
      <c r="D50" s="25" t="s">
        <v>613</v>
      </c>
    </row>
    <row r="51" customFormat="false" ht="15" hidden="false" customHeight="false" outlineLevel="0" collapsed="false">
      <c r="A51" s="25" t="s">
        <v>618</v>
      </c>
      <c r="B51" s="25" t="n">
        <v>18</v>
      </c>
      <c r="C51" s="53" t="n">
        <v>0.00372659407857566</v>
      </c>
      <c r="D51" s="25" t="s">
        <v>613</v>
      </c>
    </row>
    <row r="52" customFormat="false" ht="15" hidden="false" customHeight="false" outlineLevel="0" collapsed="false">
      <c r="A52" s="25" t="s">
        <v>619</v>
      </c>
      <c r="B52" s="25" t="n">
        <v>15</v>
      </c>
      <c r="C52" s="53" t="n">
        <v>0.00358224207414819</v>
      </c>
      <c r="D52" s="25" t="s">
        <v>613</v>
      </c>
    </row>
    <row r="53" customFormat="false" ht="15" hidden="false" customHeight="false" outlineLevel="0" collapsed="false">
      <c r="A53" s="25" t="s">
        <v>620</v>
      </c>
      <c r="B53" s="25" t="n">
        <v>11</v>
      </c>
      <c r="C53" s="53" t="n">
        <v>0.00266541689573877</v>
      </c>
      <c r="D53" s="25" t="s">
        <v>613</v>
      </c>
    </row>
    <row r="54" customFormat="false" ht="15" hidden="false" customHeight="false" outlineLevel="0" collapsed="false">
      <c r="A54" s="25" t="s">
        <v>621</v>
      </c>
      <c r="B54" s="25" t="n">
        <v>5</v>
      </c>
      <c r="C54" s="53" t="n">
        <v>0.0025810413846289</v>
      </c>
      <c r="D54" s="25" t="s">
        <v>613</v>
      </c>
    </row>
    <row r="55" customFormat="false" ht="15" hidden="false" customHeight="false" outlineLevel="0" collapsed="false">
      <c r="A55" s="25" t="s">
        <v>622</v>
      </c>
      <c r="B55" s="25" t="n">
        <v>3</v>
      </c>
      <c r="C55" s="53" t="n">
        <v>0.00236874237317059</v>
      </c>
      <c r="D55" s="25" t="s">
        <v>613</v>
      </c>
    </row>
    <row r="56" customFormat="false" ht="15" hidden="false" customHeight="false" outlineLevel="0" collapsed="false">
      <c r="A56" s="25" t="s">
        <v>623</v>
      </c>
      <c r="B56" s="25" t="n">
        <v>6</v>
      </c>
      <c r="C56" s="53" t="n">
        <v>0.00199903620694603</v>
      </c>
      <c r="D56" s="25" t="s">
        <v>613</v>
      </c>
    </row>
    <row r="57" customFormat="false" ht="15" hidden="false" customHeight="false" outlineLevel="0" collapsed="false">
      <c r="A57" s="25" t="s">
        <v>624</v>
      </c>
      <c r="B57" s="25" t="n">
        <v>0</v>
      </c>
      <c r="C57" s="53" t="n">
        <v>0.00190393399672506</v>
      </c>
      <c r="D57" s="25" t="s">
        <v>613</v>
      </c>
    </row>
    <row r="58" customFormat="false" ht="15" hidden="false" customHeight="false" outlineLevel="0" collapsed="false">
      <c r="A58" s="25" t="s">
        <v>625</v>
      </c>
      <c r="B58" s="25" t="n">
        <v>3</v>
      </c>
      <c r="C58" s="53" t="n">
        <v>0.0017062128402032</v>
      </c>
      <c r="D58" s="25" t="s">
        <v>613</v>
      </c>
    </row>
    <row r="59" customFormat="false" ht="15" hidden="false" customHeight="false" outlineLevel="0" collapsed="false">
      <c r="A59" s="25" t="s">
        <v>626</v>
      </c>
      <c r="B59" s="25" t="n">
        <v>0</v>
      </c>
      <c r="C59" s="53" t="n">
        <v>0.00111405590870486</v>
      </c>
      <c r="D59" s="25" t="s">
        <v>613</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{6390C54E-C376-44A0-899A-408B369E3029}</x14:id>
        </ext>
      </extLst>
    </cfRule>
  </conditionalFormatting>
  <conditionalFormatting sqref="D37:D59">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390C54E-C376-44A0-899A-408B369E3029}">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627</v>
      </c>
      <c r="B1" s="8" t="s">
        <v>628</v>
      </c>
      <c r="C1" s="8" t="s">
        <v>587</v>
      </c>
      <c r="D1" s="8" t="s">
        <v>629</v>
      </c>
      <c r="E1" s="8" t="s">
        <v>630</v>
      </c>
      <c r="F1" s="8" t="s">
        <v>631</v>
      </c>
      <c r="G1" s="8" t="s">
        <v>632</v>
      </c>
      <c r="H1" s="8" t="s">
        <v>633</v>
      </c>
      <c r="I1" s="8" t="s">
        <v>634</v>
      </c>
      <c r="J1" s="8" t="s">
        <v>635</v>
      </c>
    </row>
    <row r="2" customFormat="false" ht="28.35" hidden="false" customHeight="false" outlineLevel="0" collapsed="false">
      <c r="A2" s="25" t="n">
        <v>1</v>
      </c>
      <c r="B2" s="59" t="s">
        <v>636</v>
      </c>
      <c r="C2" s="25" t="s">
        <v>591</v>
      </c>
      <c r="D2" s="53" t="n">
        <v>0.323395127379431</v>
      </c>
      <c r="E2" s="53" t="n">
        <v>0.442740802428312</v>
      </c>
      <c r="F2" s="52" t="n">
        <v>58.9695946171825</v>
      </c>
      <c r="G2" s="25" t="s">
        <v>637</v>
      </c>
      <c r="H2" s="59" t="s">
        <v>638</v>
      </c>
      <c r="I2" s="25" t="s">
        <v>597</v>
      </c>
      <c r="J2" s="25" t="s">
        <v>639</v>
      </c>
    </row>
    <row r="3" customFormat="false" ht="15" hidden="false" customHeight="false" outlineLevel="0" collapsed="false">
      <c r="A3" s="25" t="n">
        <v>2</v>
      </c>
      <c r="B3" s="59" t="s">
        <v>640</v>
      </c>
      <c r="C3" s="25" t="s">
        <v>591</v>
      </c>
      <c r="D3" s="53" t="n">
        <v>0.193959672003171</v>
      </c>
      <c r="E3" s="53" t="n">
        <v>0.265538511718708</v>
      </c>
      <c r="F3" s="52" t="n">
        <v>35.3676424341703</v>
      </c>
      <c r="G3" s="25" t="s">
        <v>637</v>
      </c>
      <c r="H3" s="59" t="s">
        <v>638</v>
      </c>
      <c r="I3" s="25" t="s">
        <v>598</v>
      </c>
      <c r="J3" s="25" t="s">
        <v>639</v>
      </c>
    </row>
    <row r="4" customFormat="false" ht="28.35" hidden="false" customHeight="false" outlineLevel="0" collapsed="false">
      <c r="A4" s="25" t="n">
        <v>3</v>
      </c>
      <c r="B4" s="59" t="s">
        <v>641</v>
      </c>
      <c r="C4" s="25" t="s">
        <v>591</v>
      </c>
      <c r="D4" s="53" t="n">
        <v>0.15495315726552</v>
      </c>
      <c r="E4" s="53" t="n">
        <v>0.212137040352019</v>
      </c>
      <c r="F4" s="52" t="n">
        <v>28.2549862227189</v>
      </c>
      <c r="G4" s="25" t="s">
        <v>637</v>
      </c>
      <c r="H4" s="59" t="s">
        <v>638</v>
      </c>
      <c r="I4" s="25" t="s">
        <v>599</v>
      </c>
      <c r="J4" s="25" t="s">
        <v>639</v>
      </c>
    </row>
    <row r="5" customFormat="false" ht="15" hidden="false" customHeight="false" outlineLevel="0" collapsed="false">
      <c r="A5" s="25" t="n">
        <v>4</v>
      </c>
      <c r="B5" s="59" t="s">
        <v>642</v>
      </c>
      <c r="C5" s="25" t="s">
        <v>592</v>
      </c>
      <c r="D5" s="53" t="n">
        <v>0.107100370057474</v>
      </c>
      <c r="E5" s="53" t="n">
        <v>0.450970430567897</v>
      </c>
      <c r="F5" s="52" t="n">
        <v>19.5292534455211</v>
      </c>
      <c r="G5" s="25" t="s">
        <v>637</v>
      </c>
      <c r="H5" s="59" t="s">
        <v>638</v>
      </c>
      <c r="I5" s="25" t="s">
        <v>600</v>
      </c>
      <c r="J5" s="25" t="s">
        <v>639</v>
      </c>
    </row>
    <row r="6" customFormat="false" ht="15" hidden="false" customHeight="false" outlineLevel="0" collapsed="false">
      <c r="A6" s="25" t="n">
        <v>5</v>
      </c>
      <c r="B6" s="59" t="s">
        <v>643</v>
      </c>
      <c r="C6" s="25" t="s">
        <v>592</v>
      </c>
      <c r="D6" s="53" t="n">
        <v>0.0696961162517108</v>
      </c>
      <c r="E6" s="53" t="n">
        <v>0.29347132543125</v>
      </c>
      <c r="F6" s="52" t="n">
        <v>12.7087620492603</v>
      </c>
      <c r="G6" s="25" t="s">
        <v>637</v>
      </c>
      <c r="H6" s="59" t="s">
        <v>638</v>
      </c>
      <c r="I6" s="25" t="s">
        <v>601</v>
      </c>
      <c r="J6" s="25" t="s">
        <v>639</v>
      </c>
    </row>
    <row r="7" customFormat="false" ht="28.35" hidden="false" customHeight="false" outlineLevel="0" collapsed="false">
      <c r="A7" s="25" t="n">
        <v>6</v>
      </c>
      <c r="B7" s="59" t="s">
        <v>644</v>
      </c>
      <c r="C7" s="25" t="s">
        <v>591</v>
      </c>
      <c r="D7" s="53" t="n">
        <v>0.0458871398213695</v>
      </c>
      <c r="E7" s="53" t="n">
        <v>0.0628213209960238</v>
      </c>
      <c r="F7" s="52" t="n">
        <v>8.36730613517659</v>
      </c>
      <c r="G7" s="25" t="s">
        <v>637</v>
      </c>
      <c r="H7" s="59" t="s">
        <v>638</v>
      </c>
      <c r="I7" s="25" t="s">
        <v>602</v>
      </c>
      <c r="J7" s="25" t="s">
        <v>639</v>
      </c>
    </row>
    <row r="8" customFormat="false" ht="28.35" hidden="false" customHeight="false" outlineLevel="0" collapsed="false">
      <c r="A8" s="25" t="n">
        <v>7</v>
      </c>
      <c r="B8" s="59" t="s">
        <v>645</v>
      </c>
      <c r="C8" s="25" t="s">
        <v>592</v>
      </c>
      <c r="D8" s="53" t="n">
        <v>0.0230304234432547</v>
      </c>
      <c r="E8" s="53" t="n">
        <v>0.0969748281055615</v>
      </c>
      <c r="F8" s="52" t="n">
        <v>4.19949040455817</v>
      </c>
      <c r="G8" s="25" t="s">
        <v>637</v>
      </c>
      <c r="H8" s="59" t="s">
        <v>638</v>
      </c>
      <c r="I8" s="25" t="s">
        <v>603</v>
      </c>
      <c r="J8" s="25" t="s">
        <v>646</v>
      </c>
    </row>
    <row r="9" customFormat="false" ht="15" hidden="false" customHeight="false" outlineLevel="0" collapsed="false">
      <c r="A9" s="25" t="n">
        <v>8</v>
      </c>
      <c r="B9" s="59" t="s">
        <v>647</v>
      </c>
      <c r="C9" s="25" t="s">
        <v>590</v>
      </c>
      <c r="D9" s="53" t="n">
        <v>0.0139752939115389</v>
      </c>
      <c r="E9" s="53" t="n">
        <v>0.454082196764396</v>
      </c>
      <c r="F9" s="52" t="n">
        <v>2.54832972684993</v>
      </c>
      <c r="G9" s="25" t="s">
        <v>637</v>
      </c>
      <c r="H9" s="59" t="s">
        <v>638</v>
      </c>
      <c r="I9" s="25" t="s">
        <v>604</v>
      </c>
      <c r="J9" s="25" t="s">
        <v>646</v>
      </c>
    </row>
    <row r="10" customFormat="false" ht="15" hidden="false" customHeight="false" outlineLevel="0" collapsed="false">
      <c r="A10" s="25" t="n">
        <v>9</v>
      </c>
      <c r="B10" s="59" t="s">
        <v>648</v>
      </c>
      <c r="C10" s="25" t="s">
        <v>590</v>
      </c>
      <c r="D10" s="53" t="n">
        <v>0.0123675951656721</v>
      </c>
      <c r="E10" s="53" t="n">
        <v>0.401845200327722</v>
      </c>
      <c r="F10" s="52" t="n">
        <v>2.25517335161772</v>
      </c>
      <c r="G10" s="25" t="s">
        <v>637</v>
      </c>
      <c r="H10" s="59" t="s">
        <v>638</v>
      </c>
      <c r="I10" s="25" t="s">
        <v>605</v>
      </c>
      <c r="J10" s="25" t="s">
        <v>646</v>
      </c>
    </row>
    <row r="11" customFormat="false" ht="28.35" hidden="false" customHeight="false" outlineLevel="0" collapsed="false">
      <c r="A11" s="25" t="n">
        <v>10</v>
      </c>
      <c r="B11" s="59" t="s">
        <v>649</v>
      </c>
      <c r="C11" s="25" t="s">
        <v>592</v>
      </c>
      <c r="D11" s="53" t="n">
        <v>0.0117332798054156</v>
      </c>
      <c r="E11" s="53" t="n">
        <v>0.0494056392427249</v>
      </c>
      <c r="F11" s="52" t="n">
        <v>2.13950890126906</v>
      </c>
      <c r="G11" s="25" t="s">
        <v>637</v>
      </c>
      <c r="H11" s="59" t="s">
        <v>638</v>
      </c>
      <c r="I11" s="25" t="s">
        <v>606</v>
      </c>
      <c r="J11" s="25" t="s">
        <v>646</v>
      </c>
    </row>
    <row r="12" customFormat="false" ht="15" hidden="false" customHeight="false" outlineLevel="0" collapsed="false">
      <c r="A12" s="25" t="n">
        <v>11</v>
      </c>
      <c r="B12" s="59" t="s">
        <v>650</v>
      </c>
      <c r="C12" s="25" t="s">
        <v>592</v>
      </c>
      <c r="D12" s="53" t="n">
        <v>0.0069734462202206</v>
      </c>
      <c r="E12" s="53" t="n">
        <v>0.0293632789764156</v>
      </c>
      <c r="F12" s="52" t="n">
        <v>1.271575425466</v>
      </c>
      <c r="G12" s="25" t="s">
        <v>637</v>
      </c>
      <c r="H12" s="59" t="s">
        <v>638</v>
      </c>
      <c r="I12" s="25" t="s">
        <v>615</v>
      </c>
      <c r="J12" s="25" t="s">
        <v>646</v>
      </c>
    </row>
    <row r="13" customFormat="false" ht="15" hidden="false" customHeight="false" outlineLevel="0" collapsed="false">
      <c r="A13" s="25" t="n">
        <v>12</v>
      </c>
      <c r="B13" s="59" t="s">
        <v>651</v>
      </c>
      <c r="C13" s="25" t="s">
        <v>592</v>
      </c>
      <c r="D13" s="53" t="n">
        <v>0.0062749133243081</v>
      </c>
      <c r="E13" s="53" t="n">
        <v>0.0264219475817019</v>
      </c>
      <c r="F13" s="52" t="n">
        <v>1.14420120671225</v>
      </c>
      <c r="G13" s="25" t="s">
        <v>637</v>
      </c>
      <c r="H13" s="59" t="s">
        <v>638</v>
      </c>
      <c r="I13" s="25" t="s">
        <v>614</v>
      </c>
      <c r="J13" s="25" t="s">
        <v>646</v>
      </c>
    </row>
    <row r="14" customFormat="false" ht="15" hidden="false" customHeight="false" outlineLevel="0" collapsed="false">
      <c r="A14" s="25" t="n">
        <v>13</v>
      </c>
      <c r="B14" s="59" t="s">
        <v>652</v>
      </c>
      <c r="C14" s="25" t="s">
        <v>592</v>
      </c>
      <c r="D14" s="53" t="n">
        <v>0.00513262688725589</v>
      </c>
      <c r="E14" s="53" t="n">
        <v>0.0216120911258105</v>
      </c>
      <c r="F14" s="52" t="n">
        <v>0.93591059740247</v>
      </c>
      <c r="G14" s="25" t="s">
        <v>637</v>
      </c>
      <c r="H14" s="59" t="s">
        <v>638</v>
      </c>
      <c r="I14" s="25" t="s">
        <v>616</v>
      </c>
      <c r="J14" s="25" t="s">
        <v>646</v>
      </c>
    </row>
    <row r="15" customFormat="false" ht="28.35" hidden="false" customHeight="false" outlineLevel="0" collapsed="false">
      <c r="A15" s="25" t="n">
        <v>14</v>
      </c>
      <c r="B15" s="59" t="s">
        <v>653</v>
      </c>
      <c r="C15" s="25" t="s">
        <v>592</v>
      </c>
      <c r="D15" s="53" t="n">
        <v>0.00386247695540723</v>
      </c>
      <c r="E15" s="53" t="n">
        <v>0.0162638363873424</v>
      </c>
      <c r="F15" s="52" t="n">
        <v>0.704304675596855</v>
      </c>
      <c r="G15" s="25" t="s">
        <v>637</v>
      </c>
      <c r="H15" s="59" t="s">
        <v>638</v>
      </c>
      <c r="I15" s="25" t="s">
        <v>617</v>
      </c>
      <c r="J15" s="25" t="s">
        <v>646</v>
      </c>
    </row>
    <row r="16" customFormat="false" ht="15" hidden="false" customHeight="false" outlineLevel="0" collapsed="false">
      <c r="A16" s="25" t="n">
        <v>15</v>
      </c>
      <c r="B16" s="59" t="s">
        <v>654</v>
      </c>
      <c r="C16" s="25" t="s">
        <v>592</v>
      </c>
      <c r="D16" s="53" t="n">
        <v>0.00368502213860526</v>
      </c>
      <c r="E16" s="53" t="n">
        <v>0.0155166225812968</v>
      </c>
      <c r="F16" s="52" t="n">
        <v>0.671946616604206</v>
      </c>
      <c r="G16" s="25" t="s">
        <v>637</v>
      </c>
      <c r="H16" s="59" t="s">
        <v>655</v>
      </c>
      <c r="I16" s="25" t="s">
        <v>619</v>
      </c>
      <c r="J16" s="25" t="s">
        <v>646</v>
      </c>
    </row>
    <row r="17" customFormat="false" ht="15" hidden="false" customHeight="false" outlineLevel="0" collapsed="false">
      <c r="A17" s="25" t="n">
        <v>16</v>
      </c>
      <c r="B17" s="59" t="s">
        <v>656</v>
      </c>
      <c r="C17" s="25" t="s">
        <v>591</v>
      </c>
      <c r="D17" s="53" t="n">
        <v>0.00321623011244377</v>
      </c>
      <c r="E17" s="53" t="n">
        <v>0.0044031470489868</v>
      </c>
      <c r="F17" s="52" t="n">
        <v>0.586464574971352</v>
      </c>
      <c r="G17" s="25" t="s">
        <v>637</v>
      </c>
      <c r="H17" s="59" t="s">
        <v>657</v>
      </c>
      <c r="I17" s="25" t="s">
        <v>618</v>
      </c>
      <c r="J17" s="25" t="s">
        <v>646</v>
      </c>
    </row>
    <row r="18" customFormat="false" ht="15" hidden="false" customHeight="false" outlineLevel="0" collapsed="false">
      <c r="A18" s="25" t="n">
        <v>17</v>
      </c>
      <c r="B18" s="59" t="s">
        <v>658</v>
      </c>
      <c r="C18" s="25" t="s">
        <v>591</v>
      </c>
      <c r="D18" s="53" t="n">
        <v>0.00279027636568148</v>
      </c>
      <c r="E18" s="53" t="n">
        <v>0.00381999941418148</v>
      </c>
      <c r="F18" s="52" t="n">
        <v>0.508793893981866</v>
      </c>
      <c r="G18" s="25" t="s">
        <v>637</v>
      </c>
      <c r="H18" s="59" t="s">
        <v>659</v>
      </c>
      <c r="I18" s="25" t="s">
        <v>620</v>
      </c>
      <c r="J18" s="25" t="s">
        <v>646</v>
      </c>
    </row>
    <row r="19" customFormat="false" ht="15" hidden="false" customHeight="false" outlineLevel="0" collapsed="false">
      <c r="A19" s="25" t="n">
        <v>18</v>
      </c>
      <c r="B19" s="59" t="s">
        <v>660</v>
      </c>
      <c r="C19" s="25" t="s">
        <v>590</v>
      </c>
      <c r="D19" s="53" t="n">
        <v>0.00239017480699257</v>
      </c>
      <c r="E19" s="53" t="n">
        <v>0.0776610376769238</v>
      </c>
      <c r="F19" s="52" t="n">
        <v>0.43583723902922</v>
      </c>
      <c r="G19" s="25" t="s">
        <v>637</v>
      </c>
      <c r="H19" s="59" t="s">
        <v>661</v>
      </c>
      <c r="I19" s="25" t="s">
        <v>622</v>
      </c>
      <c r="J19" s="25" t="s">
        <v>646</v>
      </c>
    </row>
    <row r="20" customFormat="false" ht="15" hidden="false" customHeight="false" outlineLevel="0" collapsed="false">
      <c r="A20" s="25" t="n">
        <v>19</v>
      </c>
      <c r="B20" s="59" t="s">
        <v>662</v>
      </c>
      <c r="C20" s="25" t="s">
        <v>591</v>
      </c>
      <c r="D20" s="53" t="n">
        <v>0.0023236628347289</v>
      </c>
      <c r="E20" s="53" t="n">
        <v>0.00318118691631887</v>
      </c>
      <c r="F20" s="52" t="n">
        <v>0.423709090799653</v>
      </c>
      <c r="G20" s="25" t="s">
        <v>637</v>
      </c>
      <c r="H20" s="59" t="s">
        <v>663</v>
      </c>
      <c r="I20" s="25" t="s">
        <v>621</v>
      </c>
      <c r="J20" s="25" t="s">
        <v>646</v>
      </c>
    </row>
    <row r="21" customFormat="false" ht="15" hidden="false" customHeight="false" outlineLevel="0" collapsed="false">
      <c r="A21" s="25" t="n">
        <v>20</v>
      </c>
      <c r="B21" s="59" t="s">
        <v>664</v>
      </c>
      <c r="C21" s="25" t="s">
        <v>591</v>
      </c>
      <c r="D21" s="53" t="n">
        <v>0.00210746698446108</v>
      </c>
      <c r="E21" s="53" t="n">
        <v>0.00288520619142395</v>
      </c>
      <c r="F21" s="52" t="n">
        <v>0.384286784868454</v>
      </c>
      <c r="G21" s="25" t="s">
        <v>637</v>
      </c>
      <c r="H21" s="59" t="s">
        <v>665</v>
      </c>
      <c r="I21" s="25" t="s">
        <v>624</v>
      </c>
      <c r="J21" s="25" t="s">
        <v>646</v>
      </c>
    </row>
    <row r="22" customFormat="false" ht="15" hidden="false" customHeight="false" outlineLevel="0" collapsed="false">
      <c r="A22" s="25" t="n">
        <v>21</v>
      </c>
      <c r="B22" s="59" t="s">
        <v>666</v>
      </c>
      <c r="C22" s="25" t="s">
        <v>590</v>
      </c>
      <c r="D22" s="53" t="n">
        <v>0.00204394964136753</v>
      </c>
      <c r="E22" s="53" t="n">
        <v>0.0664115652309577</v>
      </c>
      <c r="F22" s="52" t="n">
        <v>0.372704693314575</v>
      </c>
      <c r="G22" s="25" t="s">
        <v>637</v>
      </c>
      <c r="H22" s="59" t="s">
        <v>661</v>
      </c>
      <c r="I22" s="25" t="s">
        <v>625</v>
      </c>
      <c r="J22" s="25" t="s">
        <v>646</v>
      </c>
    </row>
    <row r="23" customFormat="false" ht="15" hidden="false" customHeight="false" outlineLevel="0" collapsed="false">
      <c r="A23" s="25" t="n">
        <v>22</v>
      </c>
      <c r="B23" s="59" t="s">
        <v>667</v>
      </c>
      <c r="C23" s="25" t="s">
        <v>591</v>
      </c>
      <c r="D23" s="53" t="n">
        <v>0.00180621843375509</v>
      </c>
      <c r="E23" s="53" t="n">
        <v>0.00247278493402681</v>
      </c>
      <c r="F23" s="52" t="n">
        <v>0.329355515315641</v>
      </c>
      <c r="G23" s="25" t="s">
        <v>637</v>
      </c>
      <c r="H23" s="59" t="s">
        <v>668</v>
      </c>
      <c r="I23" s="25" t="s">
        <v>623</v>
      </c>
      <c r="J23" s="25" t="s">
        <v>646</v>
      </c>
    </row>
    <row r="24" customFormat="false" ht="15" hidden="false" customHeight="false" outlineLevel="0" collapsed="false">
      <c r="A24" s="25" t="n">
        <v>23</v>
      </c>
      <c r="B24" s="59" t="s">
        <v>669</v>
      </c>
      <c r="C24" s="25" t="s">
        <v>589</v>
      </c>
      <c r="D24" s="53" t="n">
        <v>0.00129536019021464</v>
      </c>
      <c r="E24" s="53" t="n">
        <v>1</v>
      </c>
      <c r="F24" s="52" t="n">
        <v>0.236202894951385</v>
      </c>
      <c r="G24" s="25" t="s">
        <v>637</v>
      </c>
      <c r="H24" s="59" t="s">
        <v>665</v>
      </c>
      <c r="I24" s="25" t="s">
        <v>626</v>
      </c>
      <c r="J24" s="25" t="s">
        <v>646</v>
      </c>
    </row>
    <row r="26" customFormat="false" ht="15" hidden="false" customHeight="false" outlineLevel="0" collapsed="false">
      <c r="B26" s="5" t="s">
        <v>670</v>
      </c>
      <c r="C26" s="42" t="s">
        <v>591</v>
      </c>
      <c r="D26" s="60" t="n">
        <f aca="false">SUMIF(C2:C24,"Historical voter data",D2:D24)</f>
        <v>0.730438951200562</v>
      </c>
      <c r="F26" s="61" t="n">
        <f aca="false">SUMIF(C2:C24,"Historical voter data",F2:F24)</f>
        <v>133.192139269185</v>
      </c>
    </row>
    <row r="27" customFormat="false" ht="15" hidden="false" customHeight="false" outlineLevel="0" collapsed="false">
      <c r="B27" s="5" t="s">
        <v>671</v>
      </c>
      <c r="C27" s="42" t="s">
        <v>592</v>
      </c>
      <c r="D27" s="60" t="n">
        <f aca="false">SUMIF(C2:C24,"Voter registration data",D2:D24)</f>
        <v>0.237488675083652</v>
      </c>
      <c r="F27" s="61" t="n">
        <f aca="false">SUMIF(C2:C24,"Voter registration data",F2:F24)</f>
        <v>43.3049533223904</v>
      </c>
    </row>
    <row r="28" customFormat="false" ht="15" hidden="false" customHeight="false" outlineLevel="0" collapsed="false">
      <c r="B28" s="5" t="s">
        <v>672</v>
      </c>
      <c r="C28" s="42" t="s">
        <v>590</v>
      </c>
      <c r="D28" s="60" t="n">
        <f aca="false">SUMIF(C2:C24,"Geography &amp; municipal context",D2:D24)</f>
        <v>0.0307770135255711</v>
      </c>
      <c r="F28" s="61" t="n">
        <f aca="false">SUMIF(C2:C24,"Geography &amp; municipal context",F2:F24)</f>
        <v>5.61204501081145</v>
      </c>
    </row>
    <row r="29" customFormat="false" ht="15" hidden="false" customHeight="false" outlineLevel="0" collapsed="false">
      <c r="B29" s="5" t="s">
        <v>673</v>
      </c>
      <c r="C29" s="42" t="s">
        <v>589</v>
      </c>
      <c r="D29" s="60" t="n">
        <f aca="false">SUMIF(C2:C24,"Election type",D2:D24)</f>
        <v>0.00129536019021464</v>
      </c>
      <c r="F29" s="61" t="n">
        <f aca="false">SUMIF(C2:C24,"Election type",F2:F24)</f>
        <v>0.236202894951385</v>
      </c>
    </row>
    <row r="30" customFormat="false" ht="15" hidden="false" customHeight="false" outlineLevel="0" collapsed="false">
      <c r="B30" s="5" t="s">
        <v>674</v>
      </c>
      <c r="D30" s="60" t="n">
        <f aca="false">SUM(D2:D24)</f>
        <v>1</v>
      </c>
      <c r="F30" s="61" t="n">
        <f aca="false">SUM(F2:F24)</f>
        <v>182.345340497338</v>
      </c>
    </row>
    <row r="32" customFormat="false" ht="15" hidden="false" customHeight="false" outlineLevel="0" collapsed="false">
      <c r="B32" s="5" t="s">
        <v>103</v>
      </c>
    </row>
    <row r="33" customFormat="false" ht="30" hidden="false" customHeight="true" outlineLevel="0" collapsed="false">
      <c r="B33" s="62" t="s">
        <v>675</v>
      </c>
    </row>
    <row r="34" customFormat="false" ht="45" hidden="false" customHeight="true" outlineLevel="0" collapsed="false">
      <c r="B34" s="62" t="s">
        <v>676</v>
      </c>
    </row>
    <row r="35" customFormat="false" ht="45" hidden="false" customHeight="true" outlineLevel="0" collapsed="false">
      <c r="B35" s="62" t="s">
        <v>677</v>
      </c>
    </row>
    <row r="36" customFormat="false" ht="30" hidden="false" customHeight="true" outlineLevel="0" collapsed="false">
      <c r="B36" s="62" t="s">
        <v>678</v>
      </c>
    </row>
    <row r="37" customFormat="false" ht="75" hidden="false" customHeight="true" outlineLevel="0" collapsed="false">
      <c r="B37" s="62" t="s">
        <v>679</v>
      </c>
    </row>
    <row r="38" customFormat="false" ht="30" hidden="false" customHeight="true" outlineLevel="0" collapsed="false">
      <c r="B38" s="62" t="s">
        <v>680</v>
      </c>
    </row>
    <row r="39" customFormat="false" ht="45" hidden="false" customHeight="true" outlineLevel="0" collapsed="false">
      <c r="B39" s="62" t="s">
        <v>681</v>
      </c>
    </row>
    <row r="40" customFormat="false" ht="30" hidden="false" customHeight="true" outlineLevel="0" collapsed="false">
      <c r="B40" s="62" t="s">
        <v>682</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{A43DD118-3F36-4768-8267-7037A08747FA}</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43DD118-3F36-4768-8267-7037A08747FA}">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627</v>
      </c>
      <c r="B1" s="8" t="s">
        <v>628</v>
      </c>
      <c r="C1" s="8" t="s">
        <v>587</v>
      </c>
      <c r="D1" s="8" t="s">
        <v>629</v>
      </c>
      <c r="E1" s="8" t="s">
        <v>630</v>
      </c>
      <c r="F1" s="8" t="s">
        <v>631</v>
      </c>
      <c r="G1" s="8" t="s">
        <v>632</v>
      </c>
      <c r="H1" s="8" t="s">
        <v>633</v>
      </c>
      <c r="I1" s="8" t="s">
        <v>634</v>
      </c>
      <c r="J1" s="8" t="s">
        <v>635</v>
      </c>
    </row>
    <row r="2" customFormat="false" ht="28.35" hidden="false" customHeight="false" outlineLevel="0" collapsed="false">
      <c r="A2" s="25" t="n">
        <v>1</v>
      </c>
      <c r="B2" s="59" t="s">
        <v>636</v>
      </c>
      <c r="C2" s="25" t="s">
        <v>591</v>
      </c>
      <c r="D2" s="53" t="n">
        <v>0.211054135343332</v>
      </c>
      <c r="E2" s="53" t="n">
        <v>0.300626002494976</v>
      </c>
      <c r="F2" s="52" t="n">
        <v>34.2409098714898</v>
      </c>
      <c r="G2" s="25" t="s">
        <v>637</v>
      </c>
      <c r="H2" s="59" t="s">
        <v>638</v>
      </c>
      <c r="I2" s="25" t="s">
        <v>597</v>
      </c>
      <c r="J2" s="25" t="s">
        <v>639</v>
      </c>
    </row>
    <row r="3" customFormat="false" ht="28.35" hidden="false" customHeight="false" outlineLevel="0" collapsed="false">
      <c r="A3" s="25" t="n">
        <v>2</v>
      </c>
      <c r="B3" s="59" t="s">
        <v>641</v>
      </c>
      <c r="C3" s="25" t="s">
        <v>591</v>
      </c>
      <c r="D3" s="53" t="n">
        <v>0.18802891332355</v>
      </c>
      <c r="E3" s="53" t="n">
        <v>0.267828822562415</v>
      </c>
      <c r="F3" s="52" t="n">
        <v>30.5053538224796</v>
      </c>
      <c r="G3" s="25" t="s">
        <v>637</v>
      </c>
      <c r="H3" s="59" t="s">
        <v>638</v>
      </c>
      <c r="I3" s="25" t="s">
        <v>599</v>
      </c>
      <c r="J3" s="25" t="s">
        <v>639</v>
      </c>
    </row>
    <row r="4" customFormat="false" ht="15" hidden="false" customHeight="false" outlineLevel="0" collapsed="false">
      <c r="A4" s="25" t="n">
        <v>3</v>
      </c>
      <c r="B4" s="59" t="s">
        <v>640</v>
      </c>
      <c r="C4" s="25" t="s">
        <v>591</v>
      </c>
      <c r="D4" s="53" t="n">
        <v>0.168727640627378</v>
      </c>
      <c r="E4" s="53" t="n">
        <v>0.240336044729483</v>
      </c>
      <c r="F4" s="52" t="n">
        <v>27.3739622592697</v>
      </c>
      <c r="G4" s="25" t="s">
        <v>637</v>
      </c>
      <c r="H4" s="59" t="s">
        <v>638</v>
      </c>
      <c r="I4" s="25" t="s">
        <v>598</v>
      </c>
      <c r="J4" s="25" t="s">
        <v>639</v>
      </c>
    </row>
    <row r="5" customFormat="false" ht="15" hidden="false" customHeight="false" outlineLevel="0" collapsed="false">
      <c r="A5" s="25" t="n">
        <v>4</v>
      </c>
      <c r="B5" s="59" t="s">
        <v>642</v>
      </c>
      <c r="C5" s="25" t="s">
        <v>592</v>
      </c>
      <c r="D5" s="53" t="n">
        <v>0.157953578800258</v>
      </c>
      <c r="E5" s="53" t="n">
        <v>0.530132445426258</v>
      </c>
      <c r="F5" s="52" t="n">
        <v>25.6260046588553</v>
      </c>
      <c r="G5" s="25" t="s">
        <v>637</v>
      </c>
      <c r="H5" s="59" t="s">
        <v>638</v>
      </c>
      <c r="I5" s="25" t="s">
        <v>600</v>
      </c>
      <c r="J5" s="25" t="s">
        <v>639</v>
      </c>
    </row>
    <row r="6" customFormat="false" ht="15" hidden="false" customHeight="false" outlineLevel="0" collapsed="false">
      <c r="A6" s="25" t="n">
        <v>5</v>
      </c>
      <c r="B6" s="59" t="s">
        <v>643</v>
      </c>
      <c r="C6" s="25" t="s">
        <v>592</v>
      </c>
      <c r="D6" s="53" t="n">
        <v>0.139997584466601</v>
      </c>
      <c r="E6" s="53" t="n">
        <v>0.469867554573742</v>
      </c>
      <c r="F6" s="52" t="n">
        <v>22.7128677869737</v>
      </c>
      <c r="G6" s="25" t="s">
        <v>637</v>
      </c>
      <c r="H6" s="59" t="s">
        <v>638</v>
      </c>
      <c r="I6" s="25" t="s">
        <v>601</v>
      </c>
      <c r="J6" s="25" t="s">
        <v>639</v>
      </c>
    </row>
    <row r="7" customFormat="false" ht="28.35" hidden="false" customHeight="false" outlineLevel="0" collapsed="false">
      <c r="A7" s="25" t="n">
        <v>6</v>
      </c>
      <c r="B7" s="59" t="s">
        <v>644</v>
      </c>
      <c r="C7" s="25" t="s">
        <v>591</v>
      </c>
      <c r="D7" s="53" t="n">
        <v>0.134238147438881</v>
      </c>
      <c r="E7" s="53" t="n">
        <v>0.191209130213126</v>
      </c>
      <c r="F7" s="52" t="n">
        <v>21.7784707240786</v>
      </c>
      <c r="G7" s="25" t="s">
        <v>637</v>
      </c>
      <c r="H7" s="59" t="s">
        <v>638</v>
      </c>
      <c r="I7" s="25" t="s">
        <v>602</v>
      </c>
      <c r="J7" s="25" t="s">
        <v>639</v>
      </c>
    </row>
    <row r="9" customFormat="false" ht="15" hidden="false" customHeight="false" outlineLevel="0" collapsed="false">
      <c r="B9" s="5" t="s">
        <v>670</v>
      </c>
      <c r="C9" s="42" t="s">
        <v>591</v>
      </c>
      <c r="D9" s="60" t="n">
        <f aca="false">SUMIF(C2:C7,"Historical voter data",D2:D7)</f>
        <v>0.702048836733141</v>
      </c>
      <c r="F9" s="61" t="n">
        <f aca="false">SUMIF(C2:C7,"Historical voter data",F2:F7)</f>
        <v>113.898696677318</v>
      </c>
    </row>
    <row r="10" customFormat="false" ht="15" hidden="false" customHeight="false" outlineLevel="0" collapsed="false">
      <c r="B10" s="5" t="s">
        <v>671</v>
      </c>
      <c r="C10" s="42" t="s">
        <v>592</v>
      </c>
      <c r="D10" s="60" t="n">
        <f aca="false">SUMIF(C2:C7,"Voter registration data",D2:D7)</f>
        <v>0.297951163266859</v>
      </c>
      <c r="F10" s="61" t="n">
        <f aca="false">SUMIF(C2:C7,"Voter registration data",F2:F7)</f>
        <v>48.3388724458289</v>
      </c>
    </row>
    <row r="11" customFormat="false" ht="15" hidden="false" customHeight="false" outlineLevel="0" collapsed="false">
      <c r="B11" s="5" t="s">
        <v>674</v>
      </c>
      <c r="D11" s="60" t="n">
        <f aca="false">SUM(D2:D7)</f>
        <v>1</v>
      </c>
      <c r="F11" s="61" t="n">
        <f aca="false">SUM(F2:F7)</f>
        <v>162.237569123147</v>
      </c>
    </row>
    <row r="13" customFormat="false" ht="15" hidden="false" customHeight="false" outlineLevel="0" collapsed="false">
      <c r="B13" s="5" t="s">
        <v>103</v>
      </c>
    </row>
    <row r="14" customFormat="false" ht="30" hidden="false" customHeight="true" outlineLevel="0" collapsed="false">
      <c r="B14" s="62" t="s">
        <v>675</v>
      </c>
    </row>
    <row r="15" customFormat="false" ht="45" hidden="false" customHeight="true" outlineLevel="0" collapsed="false">
      <c r="B15" s="62" t="s">
        <v>676</v>
      </c>
    </row>
    <row r="16" customFormat="false" ht="45" hidden="false" customHeight="true" outlineLevel="0" collapsed="false">
      <c r="B16" s="62" t="s">
        <v>677</v>
      </c>
    </row>
    <row r="17" customFormat="false" ht="30" hidden="false" customHeight="true" outlineLevel="0" collapsed="false">
      <c r="B17" s="62" t="s">
        <v>678</v>
      </c>
    </row>
    <row r="18" customFormat="false" ht="75" hidden="false" customHeight="true" outlineLevel="0" collapsed="false">
      <c r="B18" s="62" t="s">
        <v>679</v>
      </c>
    </row>
    <row r="19" customFormat="false" ht="45" hidden="false" customHeight="true" outlineLevel="0" collapsed="false">
      <c r="B19" s="62" t="s">
        <v>683</v>
      </c>
    </row>
    <row r="20" customFormat="false" ht="45" hidden="false" customHeight="true" outlineLevel="0" collapsed="false">
      <c r="B20" s="62" t="s">
        <v>681</v>
      </c>
    </row>
    <row r="21" customFormat="false" ht="30" hidden="false" customHeight="true" outlineLevel="0" collapsed="false">
      <c r="B21" s="62" t="s">
        <v>682</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{9CC91D93-C55D-4CFD-AA12-2AAACB30D9E3}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CC91D93-C55D-4CFD-AA12-2AAACB30D9E3}">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627</v>
      </c>
      <c r="B1" s="8" t="s">
        <v>628</v>
      </c>
      <c r="C1" s="8" t="s">
        <v>587</v>
      </c>
      <c r="D1" s="8" t="s">
        <v>629</v>
      </c>
      <c r="E1" s="8" t="s">
        <v>630</v>
      </c>
      <c r="F1" s="8" t="s">
        <v>631</v>
      </c>
      <c r="G1" s="8" t="s">
        <v>632</v>
      </c>
      <c r="H1" s="8" t="s">
        <v>633</v>
      </c>
      <c r="I1" s="8" t="s">
        <v>634</v>
      </c>
      <c r="J1" s="8" t="s">
        <v>635</v>
      </c>
    </row>
    <row r="2" customFormat="false" ht="28.35" hidden="false" customHeight="false" outlineLevel="0" collapsed="false">
      <c r="A2" s="25" t="n">
        <v>1</v>
      </c>
      <c r="B2" s="59" t="s">
        <v>636</v>
      </c>
      <c r="C2" s="25" t="s">
        <v>591</v>
      </c>
      <c r="D2" s="53" t="n">
        <v>0.361785376546726</v>
      </c>
      <c r="E2" s="53" t="n">
        <v>0.442740802428312</v>
      </c>
      <c r="F2" s="52" t="n">
        <v>68.972208318918</v>
      </c>
      <c r="G2" s="25" t="s">
        <v>637</v>
      </c>
      <c r="H2" s="59" t="s">
        <v>638</v>
      </c>
      <c r="I2" s="25" t="s">
        <v>597</v>
      </c>
      <c r="J2" s="25" t="s">
        <v>639</v>
      </c>
    </row>
    <row r="3" customFormat="false" ht="15" hidden="false" customHeight="false" outlineLevel="0" collapsed="false">
      <c r="A3" s="25" t="n">
        <v>2</v>
      </c>
      <c r="B3" s="59" t="s">
        <v>640</v>
      </c>
      <c r="C3" s="25" t="s">
        <v>591</v>
      </c>
      <c r="D3" s="53" t="n">
        <v>0.216984632821062</v>
      </c>
      <c r="E3" s="53" t="n">
        <v>0.265538511718708</v>
      </c>
      <c r="F3" s="52" t="n">
        <v>41.3668165357849</v>
      </c>
      <c r="G3" s="25" t="s">
        <v>637</v>
      </c>
      <c r="H3" s="59" t="s">
        <v>638</v>
      </c>
      <c r="I3" s="25" t="s">
        <v>598</v>
      </c>
      <c r="J3" s="25" t="s">
        <v>639</v>
      </c>
    </row>
    <row r="4" customFormat="false" ht="28.35" hidden="false" customHeight="false" outlineLevel="0" collapsed="false">
      <c r="A4" s="25" t="n">
        <v>3</v>
      </c>
      <c r="B4" s="59" t="s">
        <v>641</v>
      </c>
      <c r="C4" s="25" t="s">
        <v>591</v>
      </c>
      <c r="D4" s="53" t="n">
        <v>0.173347653079005</v>
      </c>
      <c r="E4" s="53" t="n">
        <v>0.212137040352019</v>
      </c>
      <c r="F4" s="52" t="n">
        <v>33.0476885325863</v>
      </c>
      <c r="G4" s="25" t="s">
        <v>637</v>
      </c>
      <c r="H4" s="59" t="s">
        <v>638</v>
      </c>
      <c r="I4" s="25" t="s">
        <v>599</v>
      </c>
      <c r="J4" s="25" t="s">
        <v>639</v>
      </c>
    </row>
    <row r="5" customFormat="false" ht="15" hidden="false" customHeight="false" outlineLevel="0" collapsed="false">
      <c r="A5" s="25" t="n">
        <v>4</v>
      </c>
      <c r="B5" s="59" t="s">
        <v>642</v>
      </c>
      <c r="C5" s="25" t="s">
        <v>592</v>
      </c>
      <c r="D5" s="53" t="n">
        <v>0.0686261245418393</v>
      </c>
      <c r="E5" s="53" t="n">
        <v>0.450970430567897</v>
      </c>
      <c r="F5" s="52" t="n">
        <v>13.0831583166779</v>
      </c>
      <c r="G5" s="25" t="s">
        <v>637</v>
      </c>
      <c r="H5" s="59" t="s">
        <v>638</v>
      </c>
      <c r="I5" s="25" t="s">
        <v>600</v>
      </c>
      <c r="J5" s="25" t="s">
        <v>639</v>
      </c>
    </row>
    <row r="6" customFormat="false" ht="28.35" hidden="false" customHeight="false" outlineLevel="0" collapsed="false">
      <c r="A6" s="25" t="n">
        <v>5</v>
      </c>
      <c r="B6" s="59" t="s">
        <v>644</v>
      </c>
      <c r="C6" s="25" t="s">
        <v>591</v>
      </c>
      <c r="D6" s="53" t="n">
        <v>0.0513344041187378</v>
      </c>
      <c r="E6" s="53" t="n">
        <v>0.0628213209960238</v>
      </c>
      <c r="F6" s="52" t="n">
        <v>9.78659571207909</v>
      </c>
      <c r="G6" s="25" t="s">
        <v>637</v>
      </c>
      <c r="H6" s="59" t="s">
        <v>638</v>
      </c>
      <c r="I6" s="25" t="s">
        <v>602</v>
      </c>
      <c r="J6" s="25" t="s">
        <v>639</v>
      </c>
    </row>
    <row r="7" customFormat="false" ht="15" hidden="false" customHeight="false" outlineLevel="0" collapsed="false">
      <c r="A7" s="25" t="n">
        <v>6</v>
      </c>
      <c r="B7" s="59" t="s">
        <v>643</v>
      </c>
      <c r="C7" s="25" t="s">
        <v>592</v>
      </c>
      <c r="D7" s="53" t="n">
        <v>0.0446588032460176</v>
      </c>
      <c r="E7" s="53" t="n">
        <v>0.293471325431249</v>
      </c>
      <c r="F7" s="52" t="n">
        <v>8.51393251479328</v>
      </c>
      <c r="G7" s="25" t="s">
        <v>637</v>
      </c>
      <c r="H7" s="59" t="s">
        <v>638</v>
      </c>
      <c r="I7" s="25" t="s">
        <v>601</v>
      </c>
      <c r="J7" s="25" t="s">
        <v>639</v>
      </c>
    </row>
    <row r="8" customFormat="false" ht="28.35" hidden="false" customHeight="false" outlineLevel="0" collapsed="false">
      <c r="A8" s="25" t="n">
        <v>7</v>
      </c>
      <c r="B8" s="59" t="s">
        <v>645</v>
      </c>
      <c r="C8" s="25" t="s">
        <v>592</v>
      </c>
      <c r="D8" s="53" t="n">
        <v>0.0147570797992569</v>
      </c>
      <c r="E8" s="53" t="n">
        <v>0.0969748281055615</v>
      </c>
      <c r="F8" s="52" t="n">
        <v>2.81334859857662</v>
      </c>
      <c r="G8" s="25" t="s">
        <v>637</v>
      </c>
      <c r="H8" s="59" t="s">
        <v>638</v>
      </c>
      <c r="I8" s="25" t="s">
        <v>603</v>
      </c>
      <c r="J8" s="25" t="s">
        <v>646</v>
      </c>
    </row>
    <row r="9" customFormat="false" ht="15" hidden="false" customHeight="false" outlineLevel="0" collapsed="false">
      <c r="A9" s="25" t="n">
        <v>8</v>
      </c>
      <c r="B9" s="59" t="s">
        <v>647</v>
      </c>
      <c r="C9" s="25" t="s">
        <v>590</v>
      </c>
      <c r="D9" s="53" t="n">
        <v>0.0133669553616531</v>
      </c>
      <c r="E9" s="53" t="n">
        <v>0.454082196764396</v>
      </c>
      <c r="F9" s="52" t="n">
        <v>2.54832972684993</v>
      </c>
      <c r="G9" s="25" t="s">
        <v>637</v>
      </c>
      <c r="H9" s="59" t="s">
        <v>638</v>
      </c>
      <c r="I9" s="25" t="s">
        <v>604</v>
      </c>
      <c r="J9" s="25" t="s">
        <v>646</v>
      </c>
    </row>
    <row r="10" customFormat="false" ht="15" hidden="false" customHeight="false" outlineLevel="0" collapsed="false">
      <c r="A10" s="25" t="n">
        <v>9</v>
      </c>
      <c r="B10" s="59" t="s">
        <v>648</v>
      </c>
      <c r="C10" s="25" t="s">
        <v>590</v>
      </c>
      <c r="D10" s="53" t="n">
        <v>0.0118292390526428</v>
      </c>
      <c r="E10" s="53" t="n">
        <v>0.401845200327722</v>
      </c>
      <c r="F10" s="52" t="n">
        <v>2.25517335161772</v>
      </c>
      <c r="G10" s="25" t="s">
        <v>637</v>
      </c>
      <c r="H10" s="59" t="s">
        <v>638</v>
      </c>
      <c r="I10" s="25" t="s">
        <v>605</v>
      </c>
      <c r="J10" s="25" t="s">
        <v>646</v>
      </c>
    </row>
    <row r="11" customFormat="false" ht="28.35" hidden="false" customHeight="false" outlineLevel="0" collapsed="false">
      <c r="A11" s="25" t="n">
        <v>10</v>
      </c>
      <c r="B11" s="59" t="s">
        <v>649</v>
      </c>
      <c r="C11" s="25" t="s">
        <v>592</v>
      </c>
      <c r="D11" s="53" t="n">
        <v>0.00751827020558935</v>
      </c>
      <c r="E11" s="53" t="n">
        <v>0.0494056392427249</v>
      </c>
      <c r="F11" s="52" t="n">
        <v>1.43331304257637</v>
      </c>
      <c r="G11" s="25" t="s">
        <v>637</v>
      </c>
      <c r="H11" s="59" t="s">
        <v>638</v>
      </c>
      <c r="I11" s="25" t="s">
        <v>606</v>
      </c>
      <c r="J11" s="25" t="s">
        <v>646</v>
      </c>
    </row>
    <row r="12" customFormat="false" ht="15" hidden="false" customHeight="false" outlineLevel="0" collapsed="false">
      <c r="A12" s="25" t="n">
        <v>11</v>
      </c>
      <c r="B12" s="59" t="s">
        <v>650</v>
      </c>
      <c r="C12" s="25" t="s">
        <v>592</v>
      </c>
      <c r="D12" s="53" t="n">
        <v>0.00446833739732052</v>
      </c>
      <c r="E12" s="53" t="n">
        <v>0.0293632789764156</v>
      </c>
      <c r="F12" s="52" t="n">
        <v>0.851861677630298</v>
      </c>
      <c r="G12" s="25" t="s">
        <v>637</v>
      </c>
      <c r="H12" s="59" t="s">
        <v>638</v>
      </c>
      <c r="I12" s="25" t="s">
        <v>615</v>
      </c>
      <c r="J12" s="25" t="s">
        <v>646</v>
      </c>
    </row>
    <row r="13" customFormat="false" ht="15" hidden="false" customHeight="false" outlineLevel="0" collapsed="false">
      <c r="A13" s="25" t="n">
        <v>12</v>
      </c>
      <c r="B13" s="59" t="s">
        <v>651</v>
      </c>
      <c r="C13" s="25" t="s">
        <v>592</v>
      </c>
      <c r="D13" s="53" t="n">
        <v>0.0040207422537581</v>
      </c>
      <c r="E13" s="53" t="n">
        <v>0.026421947581702</v>
      </c>
      <c r="F13" s="52" t="n">
        <v>0.766530352801761</v>
      </c>
      <c r="G13" s="25" t="s">
        <v>637</v>
      </c>
      <c r="H13" s="59" t="s">
        <v>638</v>
      </c>
      <c r="I13" s="25" t="s">
        <v>614</v>
      </c>
      <c r="J13" s="25" t="s">
        <v>646</v>
      </c>
    </row>
    <row r="14" customFormat="false" ht="15" hidden="false" customHeight="false" outlineLevel="0" collapsed="false">
      <c r="A14" s="25" t="n">
        <v>13</v>
      </c>
      <c r="B14" s="59" t="s">
        <v>656</v>
      </c>
      <c r="C14" s="25" t="s">
        <v>591</v>
      </c>
      <c r="D14" s="53" t="n">
        <v>0.00359802892430776</v>
      </c>
      <c r="E14" s="53" t="n">
        <v>0.0044031470489868</v>
      </c>
      <c r="F14" s="52" t="n">
        <v>0.685942596335969</v>
      </c>
      <c r="G14" s="25" t="s">
        <v>637</v>
      </c>
      <c r="H14" s="59" t="s">
        <v>657</v>
      </c>
      <c r="I14" s="25" t="s">
        <v>618</v>
      </c>
      <c r="J14" s="25" t="s">
        <v>646</v>
      </c>
    </row>
    <row r="15" customFormat="false" ht="15" hidden="false" customHeight="false" outlineLevel="0" collapsed="false">
      <c r="A15" s="25" t="n">
        <v>14</v>
      </c>
      <c r="B15" s="59" t="s">
        <v>652</v>
      </c>
      <c r="C15" s="25" t="s">
        <v>592</v>
      </c>
      <c r="D15" s="53" t="n">
        <v>0.00328880555503772</v>
      </c>
      <c r="E15" s="53" t="n">
        <v>0.0216120911258105</v>
      </c>
      <c r="F15" s="52" t="n">
        <v>0.626991018895369</v>
      </c>
      <c r="G15" s="25" t="s">
        <v>637</v>
      </c>
      <c r="H15" s="59" t="s">
        <v>638</v>
      </c>
      <c r="I15" s="25" t="s">
        <v>616</v>
      </c>
      <c r="J15" s="25" t="s">
        <v>646</v>
      </c>
    </row>
    <row r="16" customFormat="false" ht="15" hidden="false" customHeight="false" outlineLevel="0" collapsed="false">
      <c r="A16" s="25" t="n">
        <v>15</v>
      </c>
      <c r="B16" s="59" t="s">
        <v>658</v>
      </c>
      <c r="C16" s="25" t="s">
        <v>591</v>
      </c>
      <c r="D16" s="53" t="n">
        <v>0.0031215101903595</v>
      </c>
      <c r="E16" s="53" t="n">
        <v>0.00381999941418148</v>
      </c>
      <c r="F16" s="52" t="n">
        <v>0.595097162782351</v>
      </c>
      <c r="G16" s="25" t="s">
        <v>637</v>
      </c>
      <c r="H16" s="59" t="s">
        <v>659</v>
      </c>
      <c r="I16" s="25" t="s">
        <v>620</v>
      </c>
      <c r="J16" s="25" t="s">
        <v>646</v>
      </c>
    </row>
    <row r="17" customFormat="false" ht="15" hidden="false" customHeight="false" outlineLevel="0" collapsed="false">
      <c r="A17" s="25" t="n">
        <v>16</v>
      </c>
      <c r="B17" s="59" t="s">
        <v>662</v>
      </c>
      <c r="C17" s="25" t="s">
        <v>591</v>
      </c>
      <c r="D17" s="53" t="n">
        <v>0.00259950494753032</v>
      </c>
      <c r="E17" s="53" t="n">
        <v>0.00318118691631887</v>
      </c>
      <c r="F17" s="52" t="n">
        <v>0.495579999607759</v>
      </c>
      <c r="G17" s="25" t="s">
        <v>637</v>
      </c>
      <c r="H17" s="59" t="s">
        <v>663</v>
      </c>
      <c r="I17" s="25" t="s">
        <v>621</v>
      </c>
      <c r="J17" s="25" t="s">
        <v>646</v>
      </c>
    </row>
    <row r="18" customFormat="false" ht="28.35" hidden="false" customHeight="false" outlineLevel="0" collapsed="false">
      <c r="A18" s="25" t="n">
        <v>17</v>
      </c>
      <c r="B18" s="59" t="s">
        <v>653</v>
      </c>
      <c r="C18" s="25" t="s">
        <v>592</v>
      </c>
      <c r="D18" s="53" t="n">
        <v>0.00247493845669736</v>
      </c>
      <c r="E18" s="53" t="n">
        <v>0.0162638363873424</v>
      </c>
      <c r="F18" s="52" t="n">
        <v>0.471832146564899</v>
      </c>
      <c r="G18" s="25" t="s">
        <v>637</v>
      </c>
      <c r="H18" s="59" t="s">
        <v>638</v>
      </c>
      <c r="I18" s="25" t="s">
        <v>617</v>
      </c>
      <c r="J18" s="25" t="s">
        <v>646</v>
      </c>
    </row>
    <row r="19" customFormat="false" ht="15" hidden="false" customHeight="false" outlineLevel="0" collapsed="false">
      <c r="A19" s="25" t="n">
        <v>18</v>
      </c>
      <c r="B19" s="59" t="s">
        <v>654</v>
      </c>
      <c r="C19" s="25" t="s">
        <v>592</v>
      </c>
      <c r="D19" s="53" t="n">
        <v>0.00236123169404223</v>
      </c>
      <c r="E19" s="53" t="n">
        <v>0.0155166225812968</v>
      </c>
      <c r="F19" s="52" t="n">
        <v>0.450154635450498</v>
      </c>
      <c r="G19" s="25" t="s">
        <v>637</v>
      </c>
      <c r="H19" s="59" t="s">
        <v>655</v>
      </c>
      <c r="I19" s="25" t="s">
        <v>619</v>
      </c>
      <c r="J19" s="25" t="s">
        <v>646</v>
      </c>
    </row>
    <row r="20" customFormat="false" ht="15" hidden="false" customHeight="false" outlineLevel="0" collapsed="false">
      <c r="A20" s="25" t="n">
        <v>19</v>
      </c>
      <c r="B20" s="59" t="s">
        <v>664</v>
      </c>
      <c r="C20" s="25" t="s">
        <v>591</v>
      </c>
      <c r="D20" s="53" t="n">
        <v>0.00235764447878795</v>
      </c>
      <c r="E20" s="53" t="n">
        <v>0.00288520619142395</v>
      </c>
      <c r="F20" s="52" t="n">
        <v>0.449470754415381</v>
      </c>
      <c r="G20" s="25" t="s">
        <v>637</v>
      </c>
      <c r="H20" s="59" t="s">
        <v>665</v>
      </c>
      <c r="I20" s="25" t="s">
        <v>624</v>
      </c>
      <c r="J20" s="25" t="s">
        <v>646</v>
      </c>
    </row>
    <row r="21" customFormat="false" ht="15" hidden="false" customHeight="false" outlineLevel="0" collapsed="false">
      <c r="A21" s="25" t="n">
        <v>20</v>
      </c>
      <c r="B21" s="59" t="s">
        <v>660</v>
      </c>
      <c r="C21" s="25" t="s">
        <v>590</v>
      </c>
      <c r="D21" s="53" t="n">
        <v>0.00228613152280384</v>
      </c>
      <c r="E21" s="53" t="n">
        <v>0.0776610376769238</v>
      </c>
      <c r="F21" s="52" t="n">
        <v>0.43583723902922</v>
      </c>
      <c r="G21" s="25" t="s">
        <v>637</v>
      </c>
      <c r="H21" s="59" t="s">
        <v>661</v>
      </c>
      <c r="I21" s="25" t="s">
        <v>622</v>
      </c>
      <c r="J21" s="25" t="s">
        <v>646</v>
      </c>
    </row>
    <row r="22" customFormat="false" ht="15" hidden="false" customHeight="false" outlineLevel="0" collapsed="false">
      <c r="A22" s="25" t="n">
        <v>21</v>
      </c>
      <c r="B22" s="59" t="s">
        <v>667</v>
      </c>
      <c r="C22" s="25" t="s">
        <v>591</v>
      </c>
      <c r="D22" s="53" t="n">
        <v>0.00202063469996266</v>
      </c>
      <c r="E22" s="53" t="n">
        <v>0.00247278493402681</v>
      </c>
      <c r="F22" s="52" t="n">
        <v>0.385221864942513</v>
      </c>
      <c r="G22" s="25" t="s">
        <v>637</v>
      </c>
      <c r="H22" s="59" t="s">
        <v>668</v>
      </c>
      <c r="I22" s="25" t="s">
        <v>623</v>
      </c>
      <c r="J22" s="25" t="s">
        <v>646</v>
      </c>
    </row>
    <row r="23" customFormat="false" ht="15" hidden="false" customHeight="false" outlineLevel="0" collapsed="false">
      <c r="A23" s="25" t="n">
        <v>22</v>
      </c>
      <c r="B23" s="59" t="s">
        <v>666</v>
      </c>
      <c r="C23" s="25" t="s">
        <v>590</v>
      </c>
      <c r="D23" s="53" t="n">
        <v>0.0019549773901405</v>
      </c>
      <c r="E23" s="53" t="n">
        <v>0.0664115652309577</v>
      </c>
      <c r="F23" s="52" t="n">
        <v>0.372704693314575</v>
      </c>
      <c r="G23" s="25" t="s">
        <v>637</v>
      </c>
      <c r="H23" s="59" t="s">
        <v>661</v>
      </c>
      <c r="I23" s="25" t="s">
        <v>625</v>
      </c>
      <c r="J23" s="25" t="s">
        <v>646</v>
      </c>
    </row>
    <row r="24" customFormat="false" ht="15" hidden="false" customHeight="false" outlineLevel="0" collapsed="false">
      <c r="A24" s="25" t="n">
        <v>23</v>
      </c>
      <c r="B24" s="59" t="s">
        <v>669</v>
      </c>
      <c r="C24" s="25" t="s">
        <v>589</v>
      </c>
      <c r="D24" s="53" t="n">
        <v>0.001238973716722</v>
      </c>
      <c r="E24" s="53" t="n">
        <v>1</v>
      </c>
      <c r="F24" s="52" t="n">
        <v>0.236202894951385</v>
      </c>
      <c r="G24" s="25" t="s">
        <v>637</v>
      </c>
      <c r="H24" s="59" t="s">
        <v>665</v>
      </c>
      <c r="I24" s="25" t="s">
        <v>626</v>
      </c>
      <c r="J24" s="25" t="s">
        <v>646</v>
      </c>
    </row>
    <row r="26" customFormat="false" ht="15" hidden="false" customHeight="false" outlineLevel="0" collapsed="false">
      <c r="B26" s="5" t="s">
        <v>670</v>
      </c>
      <c r="C26" s="42" t="s">
        <v>591</v>
      </c>
      <c r="D26" s="60" t="n">
        <f aca="false">SUMIF(C2:C24,"Historical voter data",D2:D24)</f>
        <v>0.817149389806479</v>
      </c>
      <c r="F26" s="61" t="n">
        <f aca="false">SUMIF(C2:C24,"Historical voter data",F2:F24)</f>
        <v>155.784621477452</v>
      </c>
    </row>
    <row r="27" customFormat="false" ht="15" hidden="false" customHeight="false" outlineLevel="0" collapsed="false">
      <c r="B27" s="5" t="s">
        <v>671</v>
      </c>
      <c r="C27" s="42" t="s">
        <v>592</v>
      </c>
      <c r="D27" s="60" t="n">
        <f aca="false">SUMIF(C2:C24,"Voter registration data",D2:D24)</f>
        <v>0.152174333149559</v>
      </c>
      <c r="F27" s="61" t="n">
        <f aca="false">SUMIF(C2:C24,"Voter registration data",F2:F24)</f>
        <v>29.011122303967</v>
      </c>
    </row>
    <row r="28" customFormat="false" ht="15" hidden="false" customHeight="false" outlineLevel="0" collapsed="false">
      <c r="B28" s="5" t="s">
        <v>672</v>
      </c>
      <c r="C28" s="42" t="s">
        <v>590</v>
      </c>
      <c r="D28" s="60" t="n">
        <f aca="false">SUMIF(C2:C24,"Geography &amp; municipal context",D2:D24)</f>
        <v>0.0294373033272402</v>
      </c>
      <c r="F28" s="61" t="n">
        <f aca="false">SUMIF(C2:C24,"Geography &amp; municipal context",F2:F24)</f>
        <v>5.61204501081145</v>
      </c>
    </row>
    <row r="29" customFormat="false" ht="15" hidden="false" customHeight="false" outlineLevel="0" collapsed="false">
      <c r="B29" s="5" t="s">
        <v>673</v>
      </c>
      <c r="C29" s="42" t="s">
        <v>589</v>
      </c>
      <c r="D29" s="60" t="n">
        <f aca="false">SUMIF(C2:C24,"Election type",D2:D24)</f>
        <v>0.001238973716722</v>
      </c>
      <c r="F29" s="61" t="n">
        <f aca="false">SUMIF(C2:C24,"Election type",F2:F24)</f>
        <v>0.236202894951385</v>
      </c>
    </row>
    <row r="30" customFormat="false" ht="15" hidden="false" customHeight="false" outlineLevel="0" collapsed="false">
      <c r="B30" s="5" t="s">
        <v>674</v>
      </c>
      <c r="D30" s="60" t="n">
        <f aca="false">SUM(D2:D24)</f>
        <v>1</v>
      </c>
      <c r="F30" s="61" t="n">
        <f aca="false">SUM(F2:F24)</f>
        <v>190.643991687182</v>
      </c>
    </row>
    <row r="32" customFormat="false" ht="15" hidden="false" customHeight="false" outlineLevel="0" collapsed="false">
      <c r="B32" s="5" t="s">
        <v>103</v>
      </c>
    </row>
    <row r="33" customFormat="false" ht="30" hidden="false" customHeight="true" outlineLevel="0" collapsed="false">
      <c r="B33" s="62" t="s">
        <v>675</v>
      </c>
    </row>
    <row r="34" customFormat="false" ht="45" hidden="false" customHeight="true" outlineLevel="0" collapsed="false">
      <c r="B34" s="62" t="s">
        <v>676</v>
      </c>
    </row>
    <row r="35" customFormat="false" ht="45" hidden="false" customHeight="true" outlineLevel="0" collapsed="false">
      <c r="B35" s="62" t="s">
        <v>677</v>
      </c>
    </row>
    <row r="36" customFormat="false" ht="30" hidden="false" customHeight="true" outlineLevel="0" collapsed="false">
      <c r="B36" s="62" t="s">
        <v>678</v>
      </c>
    </row>
    <row r="37" customFormat="false" ht="75" hidden="false" customHeight="true" outlineLevel="0" collapsed="false">
      <c r="B37" s="62" t="s">
        <v>679</v>
      </c>
    </row>
    <row r="38" customFormat="false" ht="75" hidden="false" customHeight="true" outlineLevel="0" collapsed="false">
      <c r="B38" s="62" t="s">
        <v>684</v>
      </c>
    </row>
    <row r="39" customFormat="false" ht="45" hidden="false" customHeight="true" outlineLevel="0" collapsed="false">
      <c r="B39" s="62" t="s">
        <v>681</v>
      </c>
    </row>
    <row r="40" customFormat="false" ht="30" hidden="false" customHeight="true" outlineLevel="0" collapsed="false">
      <c r="B40" s="62" t="s">
        <v>682</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{C3F56ED4-F8FB-46ED-B97D-C038A0A8AE8C}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3F56ED4-F8FB-46ED-B97D-C038A0A8AE8C}">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685</v>
      </c>
      <c r="E1" s="8" t="s">
        <v>686</v>
      </c>
      <c r="F1" s="8" t="s">
        <v>687</v>
      </c>
      <c r="G1" s="8" t="s">
        <v>688</v>
      </c>
      <c r="H1" s="8" t="s">
        <v>689</v>
      </c>
      <c r="I1" s="8" t="s">
        <v>690</v>
      </c>
      <c r="J1" s="8" t="s">
        <v>691</v>
      </c>
      <c r="K1" s="8" t="s">
        <v>692</v>
      </c>
      <c r="L1" s="8" t="s">
        <v>693</v>
      </c>
      <c r="M1" s="8" t="s">
        <v>694</v>
      </c>
      <c r="N1" s="8" t="s">
        <v>695</v>
      </c>
      <c r="O1" s="8" t="s">
        <v>106</v>
      </c>
      <c r="P1" s="8" t="s">
        <v>696</v>
      </c>
      <c r="Q1" s="8" t="s">
        <v>697</v>
      </c>
      <c r="R1" s="8" t="s">
        <v>698</v>
      </c>
      <c r="S1" s="8" t="s">
        <v>699</v>
      </c>
      <c r="T1" s="8" t="s">
        <v>700</v>
      </c>
      <c r="U1" s="8" t="s">
        <v>701</v>
      </c>
    </row>
    <row r="2" customFormat="false" ht="15" hidden="false" customHeight="false" outlineLevel="0" collapsed="false">
      <c r="A2" s="25" t="s">
        <v>126</v>
      </c>
      <c r="B2" s="25" t="s">
        <v>127</v>
      </c>
      <c r="C2" s="25" t="s">
        <v>127</v>
      </c>
      <c r="D2" s="52" t="n">
        <v>153</v>
      </c>
      <c r="E2" s="52" t="n">
        <v>181</v>
      </c>
      <c r="F2" s="63" t="n">
        <f aca="false">IF(E2="","",D2-E2)</f>
        <v>-28</v>
      </c>
      <c r="G2" s="52" t="n">
        <v>285</v>
      </c>
      <c r="H2" s="52" t="n">
        <v>284</v>
      </c>
      <c r="I2" s="63" t="n">
        <f aca="false">IF(H2="","",G2-H2)</f>
        <v>1</v>
      </c>
      <c r="J2" s="53" t="n">
        <f aca="false">IF(OR(D2="",D2+G2=0),"",D2/(D2+G2))</f>
        <v>0.349315068493151</v>
      </c>
      <c r="K2" s="53" t="n">
        <f aca="false">IF(E2="","",E2/(E2+H2))</f>
        <v>0.389247311827957</v>
      </c>
      <c r="L2" s="64" t="n">
        <f aca="false">IF(OR(K2="",J2=""),"",(J2-K2)*100)</f>
        <v>-3.99322433348063</v>
      </c>
      <c r="M2" s="28" t="n">
        <v>3.51968652681483</v>
      </c>
      <c r="N2" s="28" t="n">
        <v>0.395914373242782</v>
      </c>
      <c r="O2" s="28" t="n">
        <f aca="false">SQRT(M2^2+N2^2)</f>
        <v>3.54188388262265</v>
      </c>
      <c r="P2" s="53" t="n">
        <f aca="false">IF(J2="","",MAX(0,J2-1.96*O2/100))</f>
        <v>0.279894144393747</v>
      </c>
      <c r="Q2" s="53" t="n">
        <f aca="false">IF(J2="","",MIN(1,J2+1.96*O2/100))</f>
        <v>0.418735992592555</v>
      </c>
      <c r="R2" s="25" t="str">
        <f aca="false">IF(L2="","",IF(ABS(L2)&lt;=O2,"Yes","No"))</f>
        <v>No</v>
      </c>
      <c r="S2" s="25" t="str">
        <f aca="false">IF(L2="","",IF(ABS(L2)&lt;=1.96*O2,"Yes","No"))</f>
        <v>Yes</v>
      </c>
      <c r="T2" s="52" t="n">
        <f aca="false">IF(D2="","",ROUND(SQRT(((D2+G2)*O2/100)^2+(J2*(D2+G2)*0.1901)^2),0))</f>
        <v>33</v>
      </c>
      <c r="U2" s="25"/>
    </row>
    <row r="3" customFormat="false" ht="15" hidden="false" customHeight="false" outlineLevel="0" collapsed="false">
      <c r="A3" s="25" t="s">
        <v>126</v>
      </c>
      <c r="B3" s="25" t="s">
        <v>131</v>
      </c>
      <c r="C3" s="25" t="s">
        <v>131</v>
      </c>
      <c r="D3" s="52" t="n">
        <v>106</v>
      </c>
      <c r="E3" s="52" t="n">
        <v>118</v>
      </c>
      <c r="F3" s="63" t="n">
        <f aca="false">IF(E3="","",D3-E3)</f>
        <v>-12</v>
      </c>
      <c r="G3" s="52" t="n">
        <v>298</v>
      </c>
      <c r="H3" s="52" t="n">
        <v>298</v>
      </c>
      <c r="I3" s="63" t="n">
        <f aca="false">IF(H3="","",G3-H3)</f>
        <v>0</v>
      </c>
      <c r="J3" s="53" t="n">
        <f aca="false">IF(OR(D3="",D3+G3=0),"",D3/(D3+G3))</f>
        <v>0.262376237623762</v>
      </c>
      <c r="K3" s="53" t="n">
        <f aca="false">IF(E3="","",E3/(E3+H3))</f>
        <v>0.283653846153846</v>
      </c>
      <c r="L3" s="64" t="n">
        <f aca="false">IF(OR(K3="",J3=""),"",(J3-K3)*100)</f>
        <v>-2.12776085300838</v>
      </c>
      <c r="M3" s="28" t="n">
        <v>3.51968652681483</v>
      </c>
      <c r="N3" s="28" t="n">
        <v>0.395914373242782</v>
      </c>
      <c r="O3" s="28" t="n">
        <f aca="false">SQRT(M3^2+N3^2)</f>
        <v>3.54188388262265</v>
      </c>
      <c r="P3" s="53" t="n">
        <f aca="false">IF(J3="","",MAX(0,J3-1.96*O3/100))</f>
        <v>0.192955313524359</v>
      </c>
      <c r="Q3" s="53" t="n">
        <f aca="false">IF(J3="","",MIN(1,J3+1.96*O3/100))</f>
        <v>0.331797161723166</v>
      </c>
      <c r="R3" s="25" t="str">
        <f aca="false">IF(L3="","",IF(ABS(L3)&lt;=O3,"Yes","No"))</f>
        <v>Yes</v>
      </c>
      <c r="S3" s="25" t="str">
        <f aca="false">IF(L3="","",IF(ABS(L3)&lt;=1.96*O3,"Yes","No"))</f>
        <v>Yes</v>
      </c>
      <c r="T3" s="52" t="n">
        <f aca="false">IF(D3="","",ROUND(SQRT(((D3+G3)*O3/100)^2+(J3*(D3+G3)*0.1901)^2),0))</f>
        <v>25</v>
      </c>
      <c r="U3" s="25"/>
    </row>
    <row r="4" customFormat="false" ht="15" hidden="false" customHeight="false" outlineLevel="0" collapsed="false">
      <c r="A4" s="25" t="s">
        <v>126</v>
      </c>
      <c r="B4" s="25" t="s">
        <v>132</v>
      </c>
      <c r="C4" s="25" t="s">
        <v>132</v>
      </c>
      <c r="D4" s="52" t="n">
        <v>128</v>
      </c>
      <c r="E4" s="52" t="n">
        <v>143</v>
      </c>
      <c r="F4" s="63" t="n">
        <f aca="false">IF(E4="","",D4-E4)</f>
        <v>-15</v>
      </c>
      <c r="G4" s="52" t="n">
        <v>275</v>
      </c>
      <c r="H4" s="52" t="n">
        <v>309</v>
      </c>
      <c r="I4" s="63" t="n">
        <f aca="false">IF(H4="","",G4-H4)</f>
        <v>-34</v>
      </c>
      <c r="J4" s="53" t="n">
        <f aca="false">IF(OR(D4="",D4+G4=0),"",D4/(D4+G4))</f>
        <v>0.317617866004963</v>
      </c>
      <c r="K4" s="53" t="n">
        <f aca="false">IF(E4="","",E4/(E4+H4))</f>
        <v>0.316371681415929</v>
      </c>
      <c r="L4" s="64" t="n">
        <f aca="false">IF(OR(K4="",J4=""),"",(J4-K4)*100)</f>
        <v>0.124618458903358</v>
      </c>
      <c r="M4" s="28" t="n">
        <v>3.51968652681483</v>
      </c>
      <c r="N4" s="28" t="n">
        <v>0.395914373242782</v>
      </c>
      <c r="O4" s="28" t="n">
        <f aca="false">SQRT(M4^2+N4^2)</f>
        <v>3.54188388262265</v>
      </c>
      <c r="P4" s="53" t="n">
        <f aca="false">IF(J4="","",MAX(0,J4-1.96*O4/100))</f>
        <v>0.248196941905559</v>
      </c>
      <c r="Q4" s="53" t="n">
        <f aca="false">IF(J4="","",MIN(1,J4+1.96*O4/100))</f>
        <v>0.387038790104367</v>
      </c>
      <c r="R4" s="25" t="str">
        <f aca="false">IF(L4="","",IF(ABS(L4)&lt;=O4,"Yes","No"))</f>
        <v>Yes</v>
      </c>
      <c r="S4" s="25" t="str">
        <f aca="false">IF(L4="","",IF(ABS(L4)&lt;=1.96*O4,"Yes","No"))</f>
        <v>Yes</v>
      </c>
      <c r="T4" s="52" t="n">
        <f aca="false">IF(D4="","",ROUND(SQRT(((D4+G4)*O4/100)^2+(J4*(D4+G4)*0.1901)^2),0))</f>
        <v>28</v>
      </c>
      <c r="U4" s="25"/>
    </row>
    <row r="5" customFormat="false" ht="15" hidden="false" customHeight="false" outlineLevel="0" collapsed="false">
      <c r="A5" s="25" t="s">
        <v>126</v>
      </c>
      <c r="B5" s="25" t="s">
        <v>133</v>
      </c>
      <c r="C5" s="25" t="s">
        <v>134</v>
      </c>
      <c r="D5" s="52" t="n">
        <v>203</v>
      </c>
      <c r="E5" s="52" t="n">
        <v>202</v>
      </c>
      <c r="F5" s="63" t="n">
        <f aca="false">IF(E5="","",D5-E5)</f>
        <v>1</v>
      </c>
      <c r="G5" s="52" t="n">
        <v>589</v>
      </c>
      <c r="H5" s="52" t="n">
        <v>640</v>
      </c>
      <c r="I5" s="63" t="n">
        <f aca="false">IF(H5="","",G5-H5)</f>
        <v>-51</v>
      </c>
      <c r="J5" s="53" t="n">
        <f aca="false">IF(OR(D5="",D5+G5=0),"",D5/(D5+G5))</f>
        <v>0.256313131313131</v>
      </c>
      <c r="K5" s="53" t="n">
        <f aca="false">IF(E5="","",E5/(E5+H5))</f>
        <v>0.239904988123515</v>
      </c>
      <c r="L5" s="64" t="n">
        <f aca="false">IF(OR(K5="",J5=""),"",(J5-K5)*100)</f>
        <v>1.64081431896159</v>
      </c>
      <c r="M5" s="28" t="n">
        <v>2.29525849334818</v>
      </c>
      <c r="N5" s="28" t="n">
        <v>0.395914373242782</v>
      </c>
      <c r="O5" s="28" t="n">
        <f aca="false">SQRT(M5^2+N5^2)</f>
        <v>2.32915429764264</v>
      </c>
      <c r="P5" s="53" t="n">
        <f aca="false">IF(J5="","",MAX(0,J5-1.96*O5/100))</f>
        <v>0.210661707079336</v>
      </c>
      <c r="Q5" s="53" t="n">
        <f aca="false">IF(J5="","",MIN(1,J5+1.96*O5/100))</f>
        <v>0.301964555546927</v>
      </c>
      <c r="R5" s="25" t="str">
        <f aca="false">IF(L5="","",IF(ABS(L5)&lt;=O5,"Yes","No"))</f>
        <v>Yes</v>
      </c>
      <c r="S5" s="25" t="str">
        <f aca="false">IF(L5="","",IF(ABS(L5)&lt;=1.96*O5,"Yes","No"))</f>
        <v>Yes</v>
      </c>
      <c r="T5" s="52" t="n">
        <f aca="false">IF(D5="","",ROUND(SQRT(((D5+G5)*O5/100)^2+(J5*(D5+G5)*0.10931)^2),0))</f>
        <v>29</v>
      </c>
      <c r="U5" s="25"/>
    </row>
    <row r="6" customFormat="false" ht="15" hidden="false" customHeight="false" outlineLevel="0" collapsed="false">
      <c r="A6" s="25" t="s">
        <v>126</v>
      </c>
      <c r="B6" s="25" t="s">
        <v>133</v>
      </c>
      <c r="C6" s="25" t="s">
        <v>136</v>
      </c>
      <c r="D6" s="52" t="n">
        <v>207</v>
      </c>
      <c r="E6" s="52" t="n">
        <v>232</v>
      </c>
      <c r="F6" s="63" t="n">
        <f aca="false">IF(E6="","",D6-E6)</f>
        <v>-25</v>
      </c>
      <c r="G6" s="52" t="n">
        <v>576</v>
      </c>
      <c r="H6" s="52" t="n">
        <v>603</v>
      </c>
      <c r="I6" s="63" t="n">
        <f aca="false">IF(H6="","",G6-H6)</f>
        <v>-27</v>
      </c>
      <c r="J6" s="53" t="n">
        <f aca="false">IF(OR(D6="",D6+G6=0),"",D6/(D6+G6))</f>
        <v>0.264367816091954</v>
      </c>
      <c r="K6" s="53" t="n">
        <f aca="false">IF(E6="","",E6/(E6+H6))</f>
        <v>0.277844311377246</v>
      </c>
      <c r="L6" s="64" t="n">
        <f aca="false">IF(OR(K6="",J6=""),"",(J6-K6)*100)</f>
        <v>-1.34764952852915</v>
      </c>
      <c r="M6" s="28" t="n">
        <v>2.29525849334818</v>
      </c>
      <c r="N6" s="28" t="n">
        <v>0.395914373242782</v>
      </c>
      <c r="O6" s="28" t="n">
        <f aca="false">SQRT(M6^2+N6^2)</f>
        <v>2.32915429764264</v>
      </c>
      <c r="P6" s="53" t="n">
        <f aca="false">IF(J6="","",MAX(0,J6-1.96*O6/100))</f>
        <v>0.218716391858158</v>
      </c>
      <c r="Q6" s="53" t="n">
        <f aca="false">IF(J6="","",MIN(1,J6+1.96*O6/100))</f>
        <v>0.31001924032575</v>
      </c>
      <c r="R6" s="25" t="str">
        <f aca="false">IF(L6="","",IF(ABS(L6)&lt;=O6,"Yes","No"))</f>
        <v>Yes</v>
      </c>
      <c r="S6" s="25" t="str">
        <f aca="false">IF(L6="","",IF(ABS(L6)&lt;=1.96*O6,"Yes","No"))</f>
        <v>Yes</v>
      </c>
      <c r="T6" s="52" t="n">
        <f aca="false">IF(D6="","",ROUND(SQRT(((D6+G6)*O6/100)^2+(J6*(D6+G6)*0.10931)^2),0))</f>
        <v>29</v>
      </c>
      <c r="U6" s="25"/>
    </row>
    <row r="7" customFormat="false" ht="15" hidden="false" customHeight="false" outlineLevel="0" collapsed="false">
      <c r="A7" s="25" t="s">
        <v>126</v>
      </c>
      <c r="B7" s="25" t="s">
        <v>137</v>
      </c>
      <c r="C7" s="25" t="s">
        <v>137</v>
      </c>
      <c r="D7" s="52" t="n">
        <v>38</v>
      </c>
      <c r="E7" s="52" t="n">
        <v>38</v>
      </c>
      <c r="F7" s="63" t="n">
        <f aca="false">IF(E7="","",D7-E7)</f>
        <v>0</v>
      </c>
      <c r="G7" s="52" t="n">
        <v>74</v>
      </c>
      <c r="H7" s="52" t="n">
        <v>78</v>
      </c>
      <c r="I7" s="63" t="n">
        <f aca="false">IF(H7="","",G7-H7)</f>
        <v>-4</v>
      </c>
      <c r="J7" s="53" t="n">
        <f aca="false">IF(OR(D7="",D7+G7=0),"",D7/(D7+G7))</f>
        <v>0.339285714285714</v>
      </c>
      <c r="K7" s="53" t="n">
        <f aca="false">IF(E7="","",E7/(E7+H7))</f>
        <v>0.327586206896552</v>
      </c>
      <c r="L7" s="64" t="n">
        <f aca="false">IF(OR(K7="",J7=""),"",(J7-K7)*100)</f>
        <v>1.16995073891626</v>
      </c>
      <c r="M7" s="28" t="n">
        <v>3.51968652681483</v>
      </c>
      <c r="N7" s="28" t="n">
        <v>0.395914373242782</v>
      </c>
      <c r="O7" s="28" t="n">
        <f aca="false">SQRT(M7^2+N7^2)</f>
        <v>3.54188388262265</v>
      </c>
      <c r="P7" s="53" t="n">
        <f aca="false">IF(J7="","",MAX(0,J7-1.96*O7/100))</f>
        <v>0.26986479018631</v>
      </c>
      <c r="Q7" s="53" t="n">
        <f aca="false">IF(J7="","",MIN(1,J7+1.96*O7/100))</f>
        <v>0.408706638385118</v>
      </c>
      <c r="R7" s="25" t="str">
        <f aca="false">IF(L7="","",IF(ABS(L7)&lt;=O7,"Yes","No"))</f>
        <v>Yes</v>
      </c>
      <c r="S7" s="25" t="str">
        <f aca="false">IF(L7="","",IF(ABS(L7)&lt;=1.96*O7,"Yes","No"))</f>
        <v>Yes</v>
      </c>
      <c r="T7" s="52" t="n">
        <f aca="false">IF(D7="","",ROUND(SQRT(((D7+G7)*O7/100)^2+(J7*(D7+G7)*0.1901)^2),0))</f>
        <v>8</v>
      </c>
      <c r="U7" s="25"/>
    </row>
    <row r="8" customFormat="false" ht="15" hidden="false" customHeight="false" outlineLevel="0" collapsed="false">
      <c r="A8" s="25" t="s">
        <v>126</v>
      </c>
      <c r="B8" s="25" t="s">
        <v>138</v>
      </c>
      <c r="C8" s="25" t="s">
        <v>139</v>
      </c>
      <c r="D8" s="52" t="n">
        <v>271</v>
      </c>
      <c r="E8" s="52" t="n">
        <v>301</v>
      </c>
      <c r="F8" s="63" t="n">
        <f aca="false">IF(E8="","",D8-E8)</f>
        <v>-30</v>
      </c>
      <c r="G8" s="52" t="n">
        <v>738</v>
      </c>
      <c r="H8" s="52" t="n">
        <v>760</v>
      </c>
      <c r="I8" s="63" t="n">
        <f aca="false">IF(H8="","",G8-H8)</f>
        <v>-22</v>
      </c>
      <c r="J8" s="53" t="n">
        <f aca="false">IF(OR(D8="",D8+G8=0),"",D8/(D8+G8))</f>
        <v>0.268582755203171</v>
      </c>
      <c r="K8" s="53" t="n">
        <f aca="false">IF(E8="","",E8/(E8+H8))</f>
        <v>0.283694627709708</v>
      </c>
      <c r="L8" s="64" t="n">
        <f aca="false">IF(OR(K8="",J8=""),"",(J8-K8)*100)</f>
        <v>-1.51118725065364</v>
      </c>
      <c r="M8" s="28" t="n">
        <v>2.29525849334818</v>
      </c>
      <c r="N8" s="28" t="n">
        <v>0.395914373242782</v>
      </c>
      <c r="O8" s="28" t="n">
        <f aca="false">SQRT(M8^2+N8^2)</f>
        <v>2.32915429764264</v>
      </c>
      <c r="P8" s="53" t="n">
        <f aca="false">IF(J8="","",MAX(0,J8-1.96*O8/100))</f>
        <v>0.222931330969376</v>
      </c>
      <c r="Q8" s="53" t="n">
        <f aca="false">IF(J8="","",MIN(1,J8+1.96*O8/100))</f>
        <v>0.314234179436967</v>
      </c>
      <c r="R8" s="25" t="str">
        <f aca="false">IF(L8="","",IF(ABS(L8)&lt;=O8,"Yes","No"))</f>
        <v>Yes</v>
      </c>
      <c r="S8" s="25" t="str">
        <f aca="false">IF(L8="","",IF(ABS(L8)&lt;=1.96*O8,"Yes","No"))</f>
        <v>Yes</v>
      </c>
      <c r="T8" s="52" t="n">
        <f aca="false">IF(D8="","",ROUND(SQRT(((D8+G8)*O8/100)^2+(J8*(D8+G8)*0.10931)^2),0))</f>
        <v>38</v>
      </c>
      <c r="U8" s="25"/>
    </row>
    <row r="9" customFormat="false" ht="15" hidden="false" customHeight="false" outlineLevel="0" collapsed="false">
      <c r="A9" s="25" t="s">
        <v>126</v>
      </c>
      <c r="B9" s="25" t="s">
        <v>138</v>
      </c>
      <c r="C9" s="25" t="s">
        <v>140</v>
      </c>
      <c r="D9" s="52" t="n">
        <v>157</v>
      </c>
      <c r="E9" s="52" t="n">
        <v>164</v>
      </c>
      <c r="F9" s="63" t="n">
        <f aca="false">IF(E9="","",D9-E9)</f>
        <v>-7</v>
      </c>
      <c r="G9" s="52" t="n">
        <v>431</v>
      </c>
      <c r="H9" s="52" t="n">
        <v>450</v>
      </c>
      <c r="I9" s="63" t="n">
        <f aca="false">IF(H9="","",G9-H9)</f>
        <v>-19</v>
      </c>
      <c r="J9" s="53" t="n">
        <f aca="false">IF(OR(D9="",D9+G9=0),"",D9/(D9+G9))</f>
        <v>0.267006802721088</v>
      </c>
      <c r="K9" s="53" t="n">
        <f aca="false">IF(E9="","",E9/(E9+H9))</f>
        <v>0.267100977198697</v>
      </c>
      <c r="L9" s="64" t="n">
        <f aca="false">IF(OR(K9="",J9=""),"",(J9-K9)*100)</f>
        <v>-0.00941744776086217</v>
      </c>
      <c r="M9" s="28" t="n">
        <v>3.51968652681483</v>
      </c>
      <c r="N9" s="28" t="n">
        <v>0.395914373242782</v>
      </c>
      <c r="O9" s="28" t="n">
        <f aca="false">SQRT(M9^2+N9^2)</f>
        <v>3.54188388262265</v>
      </c>
      <c r="P9" s="53" t="n">
        <f aca="false">IF(J9="","",MAX(0,J9-1.96*O9/100))</f>
        <v>0.197585878621685</v>
      </c>
      <c r="Q9" s="53" t="n">
        <f aca="false">IF(J9="","",MIN(1,J9+1.96*O9/100))</f>
        <v>0.336427726820492</v>
      </c>
      <c r="R9" s="25" t="str">
        <f aca="false">IF(L9="","",IF(ABS(L9)&lt;=O9,"Yes","No"))</f>
        <v>Yes</v>
      </c>
      <c r="S9" s="25" t="str">
        <f aca="false">IF(L9="","",IF(ABS(L9)&lt;=1.96*O9,"Yes","No"))</f>
        <v>Yes</v>
      </c>
      <c r="T9" s="52" t="n">
        <f aca="false">IF(D9="","",ROUND(SQRT(((D9+G9)*O9/100)^2+(J9*(D9+G9)*0.1901)^2),0))</f>
        <v>36</v>
      </c>
      <c r="U9" s="25"/>
    </row>
    <row r="10" customFormat="false" ht="15" hidden="false" customHeight="false" outlineLevel="0" collapsed="false">
      <c r="A10" s="25" t="s">
        <v>126</v>
      </c>
      <c r="B10" s="25" t="s">
        <v>138</v>
      </c>
      <c r="C10" s="25" t="s">
        <v>141</v>
      </c>
      <c r="D10" s="52" t="n">
        <v>215</v>
      </c>
      <c r="E10" s="52" t="n">
        <v>235</v>
      </c>
      <c r="F10" s="63" t="n">
        <f aca="false">IF(E10="","",D10-E10)</f>
        <v>-20</v>
      </c>
      <c r="G10" s="52" t="n">
        <v>623</v>
      </c>
      <c r="H10" s="52" t="n">
        <v>626</v>
      </c>
      <c r="I10" s="63" t="n">
        <f aca="false">IF(H10="","",G10-H10)</f>
        <v>-3</v>
      </c>
      <c r="J10" s="53" t="n">
        <f aca="false">IF(OR(D10="",D10+G10=0),"",D10/(D10+G10))</f>
        <v>0.256563245823389</v>
      </c>
      <c r="K10" s="53" t="n">
        <f aca="false">IF(E10="","",E10/(E10+H10))</f>
        <v>0.272938443670151</v>
      </c>
      <c r="L10" s="64" t="n">
        <f aca="false">IF(OR(K10="",J10=""),"",(J10-K10)*100)</f>
        <v>-1.63751978467619</v>
      </c>
      <c r="M10" s="28" t="n">
        <v>2.29525849334818</v>
      </c>
      <c r="N10" s="28" t="n">
        <v>0.395914373242782</v>
      </c>
      <c r="O10" s="28" t="n">
        <f aca="false">SQRT(M10^2+N10^2)</f>
        <v>2.32915429764264</v>
      </c>
      <c r="P10" s="53" t="n">
        <f aca="false">IF(J10="","",MAX(0,J10-1.96*O10/100))</f>
        <v>0.210911821589593</v>
      </c>
      <c r="Q10" s="53" t="n">
        <f aca="false">IF(J10="","",MIN(1,J10+1.96*O10/100))</f>
        <v>0.302214670057185</v>
      </c>
      <c r="R10" s="25" t="str">
        <f aca="false">IF(L10="","",IF(ABS(L10)&lt;=O10,"Yes","No"))</f>
        <v>Yes</v>
      </c>
      <c r="S10" s="25" t="str">
        <f aca="false">IF(L10="","",IF(ABS(L10)&lt;=1.96*O10,"Yes","No"))</f>
        <v>Yes</v>
      </c>
      <c r="T10" s="52" t="n">
        <f aca="false">IF(D10="","",ROUND(SQRT(((D10+G10)*O10/100)^2+(J10*(D10+G10)*0.10931)^2),0))</f>
        <v>31</v>
      </c>
      <c r="U10" s="25"/>
    </row>
    <row r="11" customFormat="false" ht="15" hidden="false" customHeight="false" outlineLevel="0" collapsed="false">
      <c r="A11" s="25" t="s">
        <v>126</v>
      </c>
      <c r="B11" s="25" t="s">
        <v>142</v>
      </c>
      <c r="C11" s="25" t="s">
        <v>143</v>
      </c>
      <c r="D11" s="52" t="n">
        <v>218</v>
      </c>
      <c r="E11" s="52" t="n">
        <v>229</v>
      </c>
      <c r="F11" s="63" t="n">
        <f aca="false">IF(E11="","",D11-E11)</f>
        <v>-11</v>
      </c>
      <c r="G11" s="52" t="n">
        <v>277</v>
      </c>
      <c r="H11" s="52" t="n">
        <v>297</v>
      </c>
      <c r="I11" s="63" t="n">
        <f aca="false">IF(H11="","",G11-H11)</f>
        <v>-20</v>
      </c>
      <c r="J11" s="53" t="n">
        <f aca="false">IF(OR(D11="",D11+G11=0),"",D11/(D11+G11))</f>
        <v>0.44040404040404</v>
      </c>
      <c r="K11" s="53" t="n">
        <f aca="false">IF(E11="","",E11/(E11+H11))</f>
        <v>0.435361216730038</v>
      </c>
      <c r="L11" s="64" t="n">
        <f aca="false">IF(OR(K11="",J11=""),"",(J11-K11)*100)</f>
        <v>0.504282367400238</v>
      </c>
      <c r="M11" s="28" t="n">
        <v>3.51968652681483</v>
      </c>
      <c r="N11" s="28" t="n">
        <v>0.395914373242782</v>
      </c>
      <c r="O11" s="28" t="n">
        <f aca="false">SQRT(M11^2+N11^2)</f>
        <v>3.54188388262265</v>
      </c>
      <c r="P11" s="53" t="n">
        <f aca="false">IF(J11="","",MAX(0,J11-1.96*O11/100))</f>
        <v>0.370983116304637</v>
      </c>
      <c r="Q11" s="53" t="n">
        <f aca="false">IF(J11="","",MIN(1,J11+1.96*O11/100))</f>
        <v>0.509824964503444</v>
      </c>
      <c r="R11" s="25" t="str">
        <f aca="false">IF(L11="","",IF(ABS(L11)&lt;=O11,"Yes","No"))</f>
        <v>Yes</v>
      </c>
      <c r="S11" s="25" t="str">
        <f aca="false">IF(L11="","",IF(ABS(L11)&lt;=1.96*O11,"Yes","No"))</f>
        <v>Yes</v>
      </c>
      <c r="T11" s="52" t="n">
        <f aca="false">IF(D11="","",ROUND(SQRT(((D11+G11)*O11/100)^2+(J11*(D11+G11)*0.1901)^2),0))</f>
        <v>45</v>
      </c>
      <c r="U11" s="25"/>
    </row>
    <row r="12" customFormat="false" ht="15" hidden="false" customHeight="false" outlineLevel="0" collapsed="false">
      <c r="A12" s="25" t="s">
        <v>126</v>
      </c>
      <c r="B12" s="25" t="s">
        <v>142</v>
      </c>
      <c r="C12" s="25" t="s">
        <v>144</v>
      </c>
      <c r="D12" s="52" t="n">
        <v>158</v>
      </c>
      <c r="E12" s="52" t="n">
        <v>163</v>
      </c>
      <c r="F12" s="63" t="n">
        <f aca="false">IF(E12="","",D12-E12)</f>
        <v>-5</v>
      </c>
      <c r="G12" s="52" t="n">
        <v>212</v>
      </c>
      <c r="H12" s="52" t="n">
        <v>226</v>
      </c>
      <c r="I12" s="63" t="n">
        <f aca="false">IF(H12="","",G12-H12)</f>
        <v>-14</v>
      </c>
      <c r="J12" s="53" t="n">
        <f aca="false">IF(OR(D12="",D12+G12=0),"",D12/(D12+G12))</f>
        <v>0.427027027027027</v>
      </c>
      <c r="K12" s="53" t="n">
        <f aca="false">IF(E12="","",E12/(E12+H12))</f>
        <v>0.419023136246787</v>
      </c>
      <c r="L12" s="64" t="n">
        <f aca="false">IF(OR(K12="",J12=""),"",(J12-K12)*100)</f>
        <v>0.800389078024044</v>
      </c>
      <c r="M12" s="28" t="n">
        <v>3.51968652681483</v>
      </c>
      <c r="N12" s="28" t="n">
        <v>0.395914373242782</v>
      </c>
      <c r="O12" s="28" t="n">
        <f aca="false">SQRT(M12^2+N12^2)</f>
        <v>3.54188388262265</v>
      </c>
      <c r="P12" s="53" t="n">
        <f aca="false">IF(J12="","",MAX(0,J12-1.96*O12/100))</f>
        <v>0.357606102927623</v>
      </c>
      <c r="Q12" s="53" t="n">
        <f aca="false">IF(J12="","",MIN(1,J12+1.96*O12/100))</f>
        <v>0.496447951126431</v>
      </c>
      <c r="R12" s="25" t="str">
        <f aca="false">IF(L12="","",IF(ABS(L12)&lt;=O12,"Yes","No"))</f>
        <v>Yes</v>
      </c>
      <c r="S12" s="25" t="str">
        <f aca="false">IF(L12="","",IF(ABS(L12)&lt;=1.96*O12,"Yes","No"))</f>
        <v>Yes</v>
      </c>
      <c r="T12" s="52" t="n">
        <f aca="false">IF(D12="","",ROUND(SQRT(((D12+G12)*O12/100)^2+(J12*(D12+G12)*0.1901)^2),0))</f>
        <v>33</v>
      </c>
      <c r="U12" s="25"/>
    </row>
    <row r="13" customFormat="false" ht="15" hidden="false" customHeight="false" outlineLevel="0" collapsed="false">
      <c r="A13" s="25" t="s">
        <v>126</v>
      </c>
      <c r="B13" s="25" t="s">
        <v>142</v>
      </c>
      <c r="C13" s="25" t="s">
        <v>145</v>
      </c>
      <c r="D13" s="52" t="n">
        <v>274</v>
      </c>
      <c r="E13" s="52" t="n">
        <v>286</v>
      </c>
      <c r="F13" s="63" t="n">
        <f aca="false">IF(E13="","",D13-E13)</f>
        <v>-12</v>
      </c>
      <c r="G13" s="52" t="n">
        <v>451</v>
      </c>
      <c r="H13" s="52" t="n">
        <v>464</v>
      </c>
      <c r="I13" s="63" t="n">
        <f aca="false">IF(H13="","",G13-H13)</f>
        <v>-13</v>
      </c>
      <c r="J13" s="53" t="n">
        <f aca="false">IF(OR(D13="",D13+G13=0),"",D13/(D13+G13))</f>
        <v>0.377931034482759</v>
      </c>
      <c r="K13" s="53" t="n">
        <f aca="false">IF(E13="","",E13/(E13+H13))</f>
        <v>0.381333333333333</v>
      </c>
      <c r="L13" s="64" t="n">
        <f aca="false">IF(OR(K13="",J13=""),"",(J13-K13)*100)</f>
        <v>-0.340229885057475</v>
      </c>
      <c r="M13" s="28" t="n">
        <v>3.51968652681483</v>
      </c>
      <c r="N13" s="28" t="n">
        <v>0.395914373242782</v>
      </c>
      <c r="O13" s="28" t="n">
        <f aca="false">SQRT(M13^2+N13^2)</f>
        <v>3.54188388262265</v>
      </c>
      <c r="P13" s="53" t="n">
        <f aca="false">IF(J13="","",MAX(0,J13-1.96*O13/100))</f>
        <v>0.308510110383355</v>
      </c>
      <c r="Q13" s="53" t="n">
        <f aca="false">IF(J13="","",MIN(1,J13+1.96*O13/100))</f>
        <v>0.447351958582163</v>
      </c>
      <c r="R13" s="25" t="str">
        <f aca="false">IF(L13="","",IF(ABS(L13)&lt;=O13,"Yes","No"))</f>
        <v>Yes</v>
      </c>
      <c r="S13" s="25" t="str">
        <f aca="false">IF(L13="","",IF(ABS(L13)&lt;=1.96*O13,"Yes","No"))</f>
        <v>Yes</v>
      </c>
      <c r="T13" s="52" t="n">
        <f aca="false">IF(D13="","",ROUND(SQRT(((D13+G13)*O13/100)^2+(J13*(D13+G13)*0.1901)^2),0))</f>
        <v>58</v>
      </c>
      <c r="U13" s="25"/>
    </row>
    <row r="14" customFormat="false" ht="15" hidden="false" customHeight="false" outlineLevel="0" collapsed="false">
      <c r="A14" s="25" t="s">
        <v>126</v>
      </c>
      <c r="B14" s="25" t="s">
        <v>142</v>
      </c>
      <c r="C14" s="25" t="s">
        <v>146</v>
      </c>
      <c r="D14" s="52" t="n">
        <v>128</v>
      </c>
      <c r="E14" s="52" t="n">
        <v>138</v>
      </c>
      <c r="F14" s="63" t="n">
        <f aca="false">IF(E14="","",D14-E14)</f>
        <v>-10</v>
      </c>
      <c r="G14" s="52" t="n">
        <v>121</v>
      </c>
      <c r="H14" s="52" t="n">
        <v>134</v>
      </c>
      <c r="I14" s="63" t="n">
        <f aca="false">IF(H14="","",G14-H14)</f>
        <v>-13</v>
      </c>
      <c r="J14" s="53" t="n">
        <f aca="false">IF(OR(D14="",D14+G14=0),"",D14/(D14+G14))</f>
        <v>0.514056224899598</v>
      </c>
      <c r="K14" s="53" t="n">
        <f aca="false">IF(E14="","",E14/(E14+H14))</f>
        <v>0.507352941176471</v>
      </c>
      <c r="L14" s="64" t="n">
        <f aca="false">IF(OR(K14="",J14=""),"",(J14-K14)*100)</f>
        <v>0.670328372312778</v>
      </c>
      <c r="M14" s="28" t="n">
        <v>3.51968652681483</v>
      </c>
      <c r="N14" s="28" t="n">
        <v>0.395914373242782</v>
      </c>
      <c r="O14" s="28" t="n">
        <f aca="false">SQRT(M14^2+N14^2)</f>
        <v>3.54188388262265</v>
      </c>
      <c r="P14" s="53" t="n">
        <f aca="false">IF(J14="","",MAX(0,J14-1.96*O14/100))</f>
        <v>0.444635300800195</v>
      </c>
      <c r="Q14" s="53" t="n">
        <f aca="false">IF(J14="","",MIN(1,J14+1.96*O14/100))</f>
        <v>0.583477148999002</v>
      </c>
      <c r="R14" s="25" t="str">
        <f aca="false">IF(L14="","",IF(ABS(L14)&lt;=O14,"Yes","No"))</f>
        <v>Yes</v>
      </c>
      <c r="S14" s="25" t="str">
        <f aca="false">IF(L14="","",IF(ABS(L14)&lt;=1.96*O14,"Yes","No"))</f>
        <v>Yes</v>
      </c>
      <c r="T14" s="52" t="n">
        <f aca="false">IF(D14="","",ROUND(SQRT(((D14+G14)*O14/100)^2+(J14*(D14+G14)*0.1901)^2),0))</f>
        <v>26</v>
      </c>
      <c r="U14" s="25"/>
    </row>
    <row r="15" customFormat="false" ht="15" hidden="false" customHeight="false" outlineLevel="0" collapsed="false">
      <c r="A15" s="25" t="s">
        <v>126</v>
      </c>
      <c r="B15" s="25" t="s">
        <v>142</v>
      </c>
      <c r="C15" s="25" t="s">
        <v>147</v>
      </c>
      <c r="D15" s="52" t="n">
        <v>267</v>
      </c>
      <c r="E15" s="52" t="n">
        <v>275</v>
      </c>
      <c r="F15" s="63" t="n">
        <f aca="false">IF(E15="","",D15-E15)</f>
        <v>-8</v>
      </c>
      <c r="G15" s="52" t="n">
        <v>325</v>
      </c>
      <c r="H15" s="52" t="n">
        <v>352</v>
      </c>
      <c r="I15" s="63" t="n">
        <f aca="false">IF(H15="","",G15-H15)</f>
        <v>-27</v>
      </c>
      <c r="J15" s="53" t="n">
        <f aca="false">IF(OR(D15="",D15+G15=0),"",D15/(D15+G15))</f>
        <v>0.451013513513514</v>
      </c>
      <c r="K15" s="53" t="n">
        <f aca="false">IF(E15="","",E15/(E15+H15))</f>
        <v>0.43859649122807</v>
      </c>
      <c r="L15" s="64" t="n">
        <f aca="false">IF(OR(K15="",J15=""),"",(J15-K15)*100)</f>
        <v>1.24170222854433</v>
      </c>
      <c r="M15" s="28" t="n">
        <v>3.51968652681483</v>
      </c>
      <c r="N15" s="28" t="n">
        <v>0.395914373242782</v>
      </c>
      <c r="O15" s="28" t="n">
        <f aca="false">SQRT(M15^2+N15^2)</f>
        <v>3.54188388262265</v>
      </c>
      <c r="P15" s="53" t="n">
        <f aca="false">IF(J15="","",MAX(0,J15-1.96*O15/100))</f>
        <v>0.38159258941411</v>
      </c>
      <c r="Q15" s="53" t="n">
        <f aca="false">IF(J15="","",MIN(1,J15+1.96*O15/100))</f>
        <v>0.520434437612917</v>
      </c>
      <c r="R15" s="25" t="str">
        <f aca="false">IF(L15="","",IF(ABS(L15)&lt;=O15,"Yes","No"))</f>
        <v>Yes</v>
      </c>
      <c r="S15" s="25" t="str">
        <f aca="false">IF(L15="","",IF(ABS(L15)&lt;=1.96*O15,"Yes","No"))</f>
        <v>Yes</v>
      </c>
      <c r="T15" s="52" t="n">
        <f aca="false">IF(D15="","",ROUND(SQRT(((D15+G15)*O15/100)^2+(J15*(D15+G15)*0.1901)^2),0))</f>
        <v>55</v>
      </c>
      <c r="U15" s="25"/>
    </row>
    <row r="16" customFormat="false" ht="15" hidden="false" customHeight="false" outlineLevel="0" collapsed="false">
      <c r="A16" s="25" t="s">
        <v>126</v>
      </c>
      <c r="B16" s="25" t="s">
        <v>148</v>
      </c>
      <c r="C16" s="25" t="s">
        <v>149</v>
      </c>
      <c r="D16" s="52" t="n">
        <v>107</v>
      </c>
      <c r="E16" s="52" t="n">
        <v>120</v>
      </c>
      <c r="F16" s="63" t="n">
        <f aca="false">IF(E16="","",D16-E16)</f>
        <v>-13</v>
      </c>
      <c r="G16" s="52" t="n">
        <v>219</v>
      </c>
      <c r="H16" s="52" t="n">
        <v>202</v>
      </c>
      <c r="I16" s="63" t="n">
        <f aca="false">IF(H16="","",G16-H16)</f>
        <v>17</v>
      </c>
      <c r="J16" s="53" t="n">
        <f aca="false">IF(OR(D16="",D16+G16=0),"",D16/(D16+G16))</f>
        <v>0.328220858895706</v>
      </c>
      <c r="K16" s="53" t="n">
        <f aca="false">IF(E16="","",E16/(E16+H16))</f>
        <v>0.372670807453416</v>
      </c>
      <c r="L16" s="64" t="n">
        <f aca="false">IF(OR(K16="",J16=""),"",(J16-K16)*100)</f>
        <v>-4.44499485577106</v>
      </c>
      <c r="M16" s="28" t="n">
        <v>3.51968652681483</v>
      </c>
      <c r="N16" s="28" t="n">
        <v>0.395914373242782</v>
      </c>
      <c r="O16" s="28" t="n">
        <f aca="false">SQRT(M16^2+N16^2)</f>
        <v>3.54188388262265</v>
      </c>
      <c r="P16" s="53" t="n">
        <f aca="false">IF(J16="","",MAX(0,J16-1.96*O16/100))</f>
        <v>0.258799934796302</v>
      </c>
      <c r="Q16" s="53" t="n">
        <f aca="false">IF(J16="","",MIN(1,J16+1.96*O16/100))</f>
        <v>0.397641782995109</v>
      </c>
      <c r="R16" s="25" t="str">
        <f aca="false">IF(L16="","",IF(ABS(L16)&lt;=O16,"Yes","No"))</f>
        <v>No</v>
      </c>
      <c r="S16" s="25" t="str">
        <f aca="false">IF(L16="","",IF(ABS(L16)&lt;=1.96*O16,"Yes","No"))</f>
        <v>Yes</v>
      </c>
      <c r="T16" s="52" t="n">
        <f aca="false">IF(D16="","",ROUND(SQRT(((D16+G16)*O16/100)^2+(J16*(D16+G16)*0.1901)^2),0))</f>
        <v>23</v>
      </c>
      <c r="U16" s="25"/>
    </row>
    <row r="17" customFormat="false" ht="15" hidden="false" customHeight="false" outlineLevel="0" collapsed="false">
      <c r="A17" s="25" t="s">
        <v>126</v>
      </c>
      <c r="B17" s="25" t="s">
        <v>148</v>
      </c>
      <c r="C17" s="25" t="s">
        <v>150</v>
      </c>
      <c r="D17" s="52" t="n">
        <v>214</v>
      </c>
      <c r="E17" s="52" t="n">
        <v>227</v>
      </c>
      <c r="F17" s="63" t="n">
        <f aca="false">IF(E17="","",D17-E17)</f>
        <v>-13</v>
      </c>
      <c r="G17" s="52" t="n">
        <v>502</v>
      </c>
      <c r="H17" s="52" t="n">
        <v>484</v>
      </c>
      <c r="I17" s="63" t="n">
        <f aca="false">IF(H17="","",G17-H17)</f>
        <v>18</v>
      </c>
      <c r="J17" s="53" t="n">
        <f aca="false">IF(OR(D17="",D17+G17=0),"",D17/(D17+G17))</f>
        <v>0.298882681564246</v>
      </c>
      <c r="K17" s="53" t="n">
        <f aca="false">IF(E17="","",E17/(E17+H17))</f>
        <v>0.319268635724332</v>
      </c>
      <c r="L17" s="64" t="n">
        <f aca="false">IF(OR(K17="",J17=""),"",(J17-K17)*100)</f>
        <v>-2.03859541600862</v>
      </c>
      <c r="M17" s="28" t="n">
        <v>3.51968652681483</v>
      </c>
      <c r="N17" s="28" t="n">
        <v>0.395914373242782</v>
      </c>
      <c r="O17" s="28" t="n">
        <f aca="false">SQRT(M17^2+N17^2)</f>
        <v>3.54188388262265</v>
      </c>
      <c r="P17" s="53" t="n">
        <f aca="false">IF(J17="","",MAX(0,J17-1.96*O17/100))</f>
        <v>0.229461757464842</v>
      </c>
      <c r="Q17" s="53" t="n">
        <f aca="false">IF(J17="","",MIN(1,J17+1.96*O17/100))</f>
        <v>0.36830360566365</v>
      </c>
      <c r="R17" s="25" t="str">
        <f aca="false">IF(L17="","",IF(ABS(L17)&lt;=O17,"Yes","No"))</f>
        <v>Yes</v>
      </c>
      <c r="S17" s="25" t="str">
        <f aca="false">IF(L17="","",IF(ABS(L17)&lt;=1.96*O17,"Yes","No"))</f>
        <v>Yes</v>
      </c>
      <c r="T17" s="52" t="n">
        <f aca="false">IF(D17="","",ROUND(SQRT(((D17+G17)*O17/100)^2+(J17*(D17+G17)*0.1901)^2),0))</f>
        <v>48</v>
      </c>
      <c r="U17" s="25"/>
    </row>
    <row r="18" customFormat="false" ht="15" hidden="false" customHeight="false" outlineLevel="0" collapsed="false">
      <c r="A18" s="25" t="s">
        <v>126</v>
      </c>
      <c r="B18" s="25" t="s">
        <v>151</v>
      </c>
      <c r="C18" s="25" t="s">
        <v>152</v>
      </c>
      <c r="D18" s="52" t="n">
        <v>261</v>
      </c>
      <c r="E18" s="52" t="n">
        <v>249</v>
      </c>
      <c r="F18" s="63" t="n">
        <f aca="false">IF(E18="","",D18-E18)</f>
        <v>12</v>
      </c>
      <c r="G18" s="52" t="n">
        <v>392</v>
      </c>
      <c r="H18" s="52" t="n">
        <v>392</v>
      </c>
      <c r="I18" s="63" t="n">
        <f aca="false">IF(H18="","",G18-H18)</f>
        <v>0</v>
      </c>
      <c r="J18" s="53" t="n">
        <f aca="false">IF(OR(D18="",D18+G18=0),"",D18/(D18+G18))</f>
        <v>0.399693721286371</v>
      </c>
      <c r="K18" s="53" t="n">
        <f aca="false">IF(E18="","",E18/(E18+H18))</f>
        <v>0.388455538221529</v>
      </c>
      <c r="L18" s="64" t="n">
        <f aca="false">IF(OR(K18="",J18=""),"",(J18-K18)*100)</f>
        <v>1.12381830648418</v>
      </c>
      <c r="M18" s="28" t="n">
        <v>3.51968652681483</v>
      </c>
      <c r="N18" s="28" t="n">
        <v>0.395914373242782</v>
      </c>
      <c r="O18" s="28" t="n">
        <f aca="false">SQRT(M18^2+N18^2)</f>
        <v>3.54188388262265</v>
      </c>
      <c r="P18" s="53" t="n">
        <f aca="false">IF(J18="","",MAX(0,J18-1.96*O18/100))</f>
        <v>0.330272797186967</v>
      </c>
      <c r="Q18" s="53" t="n">
        <f aca="false">IF(J18="","",MIN(1,J18+1.96*O18/100))</f>
        <v>0.469114645385774</v>
      </c>
      <c r="R18" s="25" t="str">
        <f aca="false">IF(L18="","",IF(ABS(L18)&lt;=O18,"Yes","No"))</f>
        <v>Yes</v>
      </c>
      <c r="S18" s="25" t="str">
        <f aca="false">IF(L18="","",IF(ABS(L18)&lt;=1.96*O18,"Yes","No"))</f>
        <v>Yes</v>
      </c>
      <c r="T18" s="52" t="n">
        <f aca="false">IF(D18="","",ROUND(SQRT(((D18+G18)*O18/100)^2+(J18*(D18+G18)*0.1901)^2),0))</f>
        <v>55</v>
      </c>
      <c r="U18" s="25"/>
    </row>
    <row r="19" customFormat="false" ht="15" hidden="false" customHeight="false" outlineLevel="0" collapsed="false">
      <c r="A19" s="25" t="s">
        <v>126</v>
      </c>
      <c r="B19" s="25" t="s">
        <v>151</v>
      </c>
      <c r="C19" s="25" t="s">
        <v>153</v>
      </c>
      <c r="D19" s="52" t="n">
        <v>166</v>
      </c>
      <c r="E19" s="52" t="n">
        <v>152</v>
      </c>
      <c r="F19" s="63" t="n">
        <f aca="false">IF(E19="","",D19-E19)</f>
        <v>14</v>
      </c>
      <c r="G19" s="52" t="n">
        <v>243</v>
      </c>
      <c r="H19" s="52" t="n">
        <v>246</v>
      </c>
      <c r="I19" s="63" t="n">
        <f aca="false">IF(H19="","",G19-H19)</f>
        <v>-3</v>
      </c>
      <c r="J19" s="53" t="n">
        <f aca="false">IF(OR(D19="",D19+G19=0),"",D19/(D19+G19))</f>
        <v>0.405867970660147</v>
      </c>
      <c r="K19" s="53" t="n">
        <f aca="false">IF(E19="","",E19/(E19+H19))</f>
        <v>0.381909547738693</v>
      </c>
      <c r="L19" s="64" t="n">
        <f aca="false">IF(OR(K19="",J19=""),"",(J19-K19)*100)</f>
        <v>2.39584229214532</v>
      </c>
      <c r="M19" s="28" t="n">
        <v>3.51968652681483</v>
      </c>
      <c r="N19" s="28" t="n">
        <v>0.395914373242782</v>
      </c>
      <c r="O19" s="28" t="n">
        <f aca="false">SQRT(M19^2+N19^2)</f>
        <v>3.54188388262265</v>
      </c>
      <c r="P19" s="53" t="n">
        <f aca="false">IF(J19="","",MAX(0,J19-1.96*O19/100))</f>
        <v>0.336447046560743</v>
      </c>
      <c r="Q19" s="53" t="n">
        <f aca="false">IF(J19="","",MIN(1,J19+1.96*O19/100))</f>
        <v>0.475288894759551</v>
      </c>
      <c r="R19" s="25" t="str">
        <f aca="false">IF(L19="","",IF(ABS(L19)&lt;=O19,"Yes","No"))</f>
        <v>Yes</v>
      </c>
      <c r="S19" s="25" t="str">
        <f aca="false">IF(L19="","",IF(ABS(L19)&lt;=1.96*O19,"Yes","No"))</f>
        <v>Yes</v>
      </c>
      <c r="T19" s="52" t="n">
        <f aca="false">IF(D19="","",ROUND(SQRT(((D19+G19)*O19/100)^2+(J19*(D19+G19)*0.1901)^2),0))</f>
        <v>35</v>
      </c>
      <c r="U19" s="25"/>
    </row>
    <row r="20" customFormat="false" ht="15" hidden="false" customHeight="false" outlineLevel="0" collapsed="false">
      <c r="A20" s="25" t="s">
        <v>126</v>
      </c>
      <c r="B20" s="25" t="s">
        <v>151</v>
      </c>
      <c r="C20" s="25" t="s">
        <v>154</v>
      </c>
      <c r="D20" s="52" t="n">
        <v>147</v>
      </c>
      <c r="E20" s="52" t="n">
        <v>165</v>
      </c>
      <c r="F20" s="63" t="n">
        <f aca="false">IF(E20="","",D20-E20)</f>
        <v>-18</v>
      </c>
      <c r="G20" s="52" t="n">
        <v>200</v>
      </c>
      <c r="H20" s="52" t="n">
        <v>237</v>
      </c>
      <c r="I20" s="63" t="n">
        <f aca="false">IF(H20="","",G20-H20)</f>
        <v>-37</v>
      </c>
      <c r="J20" s="53" t="n">
        <f aca="false">IF(OR(D20="",D20+G20=0),"",D20/(D20+G20))</f>
        <v>0.423631123919308</v>
      </c>
      <c r="K20" s="53" t="n">
        <f aca="false">IF(E20="","",E20/(E20+H20))</f>
        <v>0.41044776119403</v>
      </c>
      <c r="L20" s="64" t="n">
        <f aca="false">IF(OR(K20="",J20=""),"",(J20-K20)*100)</f>
        <v>1.31833627252785</v>
      </c>
      <c r="M20" s="28" t="n">
        <v>3.51968652681483</v>
      </c>
      <c r="N20" s="28" t="n">
        <v>0.395914373242782</v>
      </c>
      <c r="O20" s="28" t="n">
        <f aca="false">SQRT(M20^2+N20^2)</f>
        <v>3.54188388262265</v>
      </c>
      <c r="P20" s="53" t="n">
        <f aca="false">IF(J20="","",MAX(0,J20-1.96*O20/100))</f>
        <v>0.354210199819905</v>
      </c>
      <c r="Q20" s="53" t="n">
        <f aca="false">IF(J20="","",MIN(1,J20+1.96*O20/100))</f>
        <v>0.493052048018712</v>
      </c>
      <c r="R20" s="25" t="str">
        <f aca="false">IF(L20="","",IF(ABS(L20)&lt;=O20,"Yes","No"))</f>
        <v>Yes</v>
      </c>
      <c r="S20" s="25" t="str">
        <f aca="false">IF(L20="","",IF(ABS(L20)&lt;=1.96*O20,"Yes","No"))</f>
        <v>Yes</v>
      </c>
      <c r="T20" s="52" t="n">
        <f aca="false">IF(D20="","",ROUND(SQRT(((D20+G20)*O20/100)^2+(J20*(D20+G20)*0.1901)^2),0))</f>
        <v>31</v>
      </c>
      <c r="U20" s="25"/>
    </row>
    <row r="21" customFormat="false" ht="15" hidden="false" customHeight="false" outlineLevel="0" collapsed="false">
      <c r="A21" s="25" t="s">
        <v>126</v>
      </c>
      <c r="B21" s="25" t="s">
        <v>155</v>
      </c>
      <c r="C21" s="25" t="s">
        <v>155</v>
      </c>
      <c r="D21" s="52" t="n">
        <v>39</v>
      </c>
      <c r="E21" s="52" t="n">
        <v>38</v>
      </c>
      <c r="F21" s="63" t="n">
        <f aca="false">IF(E21="","",D21-E21)</f>
        <v>1</v>
      </c>
      <c r="G21" s="52" t="n">
        <v>100</v>
      </c>
      <c r="H21" s="52" t="n">
        <v>106</v>
      </c>
      <c r="I21" s="63" t="n">
        <f aca="false">IF(H21="","",G21-H21)</f>
        <v>-6</v>
      </c>
      <c r="J21" s="53" t="n">
        <f aca="false">IF(OR(D21="",D21+G21=0),"",D21/(D21+G21))</f>
        <v>0.280575539568345</v>
      </c>
      <c r="K21" s="53" t="n">
        <f aca="false">IF(E21="","",E21/(E21+H21))</f>
        <v>0.263888888888889</v>
      </c>
      <c r="L21" s="64" t="n">
        <f aca="false">IF(OR(K21="",J21=""),"",(J21-K21)*100)</f>
        <v>1.66866506794564</v>
      </c>
      <c r="M21" s="28" t="n">
        <v>3.51968652681483</v>
      </c>
      <c r="N21" s="28" t="n">
        <v>0.395914373242782</v>
      </c>
      <c r="O21" s="28" t="n">
        <f aca="false">SQRT(M21^2+N21^2)</f>
        <v>3.54188388262265</v>
      </c>
      <c r="P21" s="53" t="n">
        <f aca="false">IF(J21="","",MAX(0,J21-1.96*O21/100))</f>
        <v>0.211154615468941</v>
      </c>
      <c r="Q21" s="53" t="n">
        <f aca="false">IF(J21="","",MIN(1,J21+1.96*O21/100))</f>
        <v>0.349996463667749</v>
      </c>
      <c r="R21" s="25" t="str">
        <f aca="false">IF(L21="","",IF(ABS(L21)&lt;=O21,"Yes","No"))</f>
        <v>Yes</v>
      </c>
      <c r="S21" s="25" t="str">
        <f aca="false">IF(L21="","",IF(ABS(L21)&lt;=1.96*O21,"Yes","No"))</f>
        <v>Yes</v>
      </c>
      <c r="T21" s="52" t="n">
        <f aca="false">IF(D21="","",ROUND(SQRT(((D21+G21)*O21/100)^2+(J21*(D21+G21)*0.1901)^2),0))</f>
        <v>9</v>
      </c>
      <c r="U21" s="25"/>
    </row>
    <row r="22" customFormat="false" ht="15" hidden="false" customHeight="false" outlineLevel="0" collapsed="false">
      <c r="A22" s="25" t="s">
        <v>126</v>
      </c>
      <c r="B22" s="25" t="s">
        <v>156</v>
      </c>
      <c r="C22" s="25" t="s">
        <v>156</v>
      </c>
      <c r="D22" s="52" t="n">
        <v>49</v>
      </c>
      <c r="E22" s="52" t="n">
        <v>58</v>
      </c>
      <c r="F22" s="63" t="n">
        <f aca="false">IF(E22="","",D22-E22)</f>
        <v>-9</v>
      </c>
      <c r="G22" s="52" t="n">
        <v>215</v>
      </c>
      <c r="H22" s="52" t="n">
        <v>214</v>
      </c>
      <c r="I22" s="63" t="n">
        <f aca="false">IF(H22="","",G22-H22)</f>
        <v>1</v>
      </c>
      <c r="J22" s="53" t="n">
        <f aca="false">IF(OR(D22="",D22+G22=0),"",D22/(D22+G22))</f>
        <v>0.185606060606061</v>
      </c>
      <c r="K22" s="53" t="n">
        <f aca="false">IF(E22="","",E22/(E22+H22))</f>
        <v>0.213235294117647</v>
      </c>
      <c r="L22" s="64" t="n">
        <f aca="false">IF(OR(K22="",J22=""),"",(J22-K22)*100)</f>
        <v>-2.76292335115864</v>
      </c>
      <c r="M22" s="28" t="n">
        <v>3.51968652681483</v>
      </c>
      <c r="N22" s="28" t="n">
        <v>0.395914373242782</v>
      </c>
      <c r="O22" s="28" t="n">
        <f aca="false">SQRT(M22^2+N22^2)</f>
        <v>3.54188388262265</v>
      </c>
      <c r="P22" s="53" t="n">
        <f aca="false">IF(J22="","",MAX(0,J22-1.96*O22/100))</f>
        <v>0.116185136506657</v>
      </c>
      <c r="Q22" s="53" t="n">
        <f aca="false">IF(J22="","",MIN(1,J22+1.96*O22/100))</f>
        <v>0.255026984705465</v>
      </c>
      <c r="R22" s="25" t="str">
        <f aca="false">IF(L22="","",IF(ABS(L22)&lt;=O22,"Yes","No"))</f>
        <v>Yes</v>
      </c>
      <c r="S22" s="25" t="str">
        <f aca="false">IF(L22="","",IF(ABS(L22)&lt;=1.96*O22,"Yes","No"))</f>
        <v>Yes</v>
      </c>
      <c r="T22" s="52" t="n">
        <f aca="false">IF(D22="","",ROUND(SQRT(((D22+G22)*O22/100)^2+(J22*(D22+G22)*0.1901)^2),0))</f>
        <v>13</v>
      </c>
      <c r="U22" s="25"/>
    </row>
    <row r="23" customFormat="false" ht="15" hidden="false" customHeight="false" outlineLevel="0" collapsed="false">
      <c r="A23" s="25" t="s">
        <v>126</v>
      </c>
      <c r="B23" s="25" t="s">
        <v>157</v>
      </c>
      <c r="C23" s="25" t="s">
        <v>158</v>
      </c>
      <c r="D23" s="52" t="n">
        <v>306</v>
      </c>
      <c r="E23" s="52" t="n">
        <v>321</v>
      </c>
      <c r="F23" s="63" t="n">
        <f aca="false">IF(E23="","",D23-E23)</f>
        <v>-15</v>
      </c>
      <c r="G23" s="52" t="n">
        <v>479</v>
      </c>
      <c r="H23" s="52" t="n">
        <v>498</v>
      </c>
      <c r="I23" s="63" t="n">
        <f aca="false">IF(H23="","",G23-H23)</f>
        <v>-19</v>
      </c>
      <c r="J23" s="53" t="n">
        <f aca="false">IF(OR(D23="",D23+G23=0),"",D23/(D23+G23))</f>
        <v>0.389808917197452</v>
      </c>
      <c r="K23" s="53" t="n">
        <f aca="false">IF(E23="","",E23/(E23+H23))</f>
        <v>0.391941391941392</v>
      </c>
      <c r="L23" s="64" t="n">
        <f aca="false">IF(OR(K23="",J23=""),"",(J23-K23)*100)</f>
        <v>-0.213247474393968</v>
      </c>
      <c r="M23" s="28" t="n">
        <v>2.29525849334818</v>
      </c>
      <c r="N23" s="28" t="n">
        <v>0.395914373242782</v>
      </c>
      <c r="O23" s="28" t="n">
        <f aca="false">SQRT(M23^2+N23^2)</f>
        <v>2.32915429764264</v>
      </c>
      <c r="P23" s="53" t="n">
        <f aca="false">IF(J23="","",MAX(0,J23-1.96*O23/100))</f>
        <v>0.344157492963657</v>
      </c>
      <c r="Q23" s="53" t="n">
        <f aca="false">IF(J23="","",MIN(1,J23+1.96*O23/100))</f>
        <v>0.435460341431248</v>
      </c>
      <c r="R23" s="25" t="str">
        <f aca="false">IF(L23="","",IF(ABS(L23)&lt;=O23,"Yes","No"))</f>
        <v>Yes</v>
      </c>
      <c r="S23" s="25" t="str">
        <f aca="false">IF(L23="","",IF(ABS(L23)&lt;=1.96*O23,"Yes","No"))</f>
        <v>Yes</v>
      </c>
      <c r="T23" s="52" t="n">
        <f aca="false">IF(D23="","",ROUND(SQRT(((D23+G23)*O23/100)^2+(J23*(D23+G23)*0.10931)^2),0))</f>
        <v>38</v>
      </c>
      <c r="U23" s="25"/>
    </row>
    <row r="24" customFormat="false" ht="15" hidden="false" customHeight="false" outlineLevel="0" collapsed="false">
      <c r="A24" s="25" t="s">
        <v>126</v>
      </c>
      <c r="B24" s="25" t="s">
        <v>157</v>
      </c>
      <c r="C24" s="25" t="s">
        <v>159</v>
      </c>
      <c r="D24" s="52" t="n">
        <v>287</v>
      </c>
      <c r="E24" s="52" t="n">
        <v>288</v>
      </c>
      <c r="F24" s="63" t="n">
        <f aca="false">IF(E24="","",D24-E24)</f>
        <v>-1</v>
      </c>
      <c r="G24" s="52" t="n">
        <v>417</v>
      </c>
      <c r="H24" s="52" t="n">
        <v>448</v>
      </c>
      <c r="I24" s="63" t="n">
        <f aca="false">IF(H24="","",G24-H24)</f>
        <v>-31</v>
      </c>
      <c r="J24" s="53" t="n">
        <f aca="false">IF(OR(D24="",D24+G24=0),"",D24/(D24+G24))</f>
        <v>0.407670454545455</v>
      </c>
      <c r="K24" s="53" t="n">
        <f aca="false">IF(E24="","",E24/(E24+H24))</f>
        <v>0.391304347826087</v>
      </c>
      <c r="L24" s="64" t="n">
        <f aca="false">IF(OR(K24="",J24=""),"",(J24-K24)*100)</f>
        <v>1.63661067193676</v>
      </c>
      <c r="M24" s="28" t="n">
        <v>3.51968652681483</v>
      </c>
      <c r="N24" s="28" t="n">
        <v>0.395914373242782</v>
      </c>
      <c r="O24" s="28" t="n">
        <f aca="false">SQRT(M24^2+N24^2)</f>
        <v>3.54188388262265</v>
      </c>
      <c r="P24" s="53" t="n">
        <f aca="false">IF(J24="","",MAX(0,J24-1.96*O24/100))</f>
        <v>0.338249530446051</v>
      </c>
      <c r="Q24" s="53" t="n">
        <f aca="false">IF(J24="","",MIN(1,J24+1.96*O24/100))</f>
        <v>0.477091378644858</v>
      </c>
      <c r="R24" s="25" t="str">
        <f aca="false">IF(L24="","",IF(ABS(L24)&lt;=O24,"Yes","No"))</f>
        <v>Yes</v>
      </c>
      <c r="S24" s="25" t="str">
        <f aca="false">IF(L24="","",IF(ABS(L24)&lt;=1.96*O24,"Yes","No"))</f>
        <v>Yes</v>
      </c>
      <c r="T24" s="52" t="n">
        <f aca="false">IF(D24="","",ROUND(SQRT(((D24+G24)*O24/100)^2+(J24*(D24+G24)*0.1901)^2),0))</f>
        <v>60</v>
      </c>
      <c r="U24" s="25"/>
    </row>
    <row r="25" customFormat="false" ht="15" hidden="false" customHeight="false" outlineLevel="0" collapsed="false">
      <c r="A25" s="25" t="s">
        <v>126</v>
      </c>
      <c r="B25" s="25" t="s">
        <v>157</v>
      </c>
      <c r="C25" s="25" t="s">
        <v>160</v>
      </c>
      <c r="D25" s="52" t="n">
        <v>300</v>
      </c>
      <c r="E25" s="52" t="n">
        <v>317</v>
      </c>
      <c r="F25" s="63" t="n">
        <f aca="false">IF(E25="","",D25-E25)</f>
        <v>-17</v>
      </c>
      <c r="G25" s="52" t="n">
        <v>475</v>
      </c>
      <c r="H25" s="52" t="n">
        <v>527</v>
      </c>
      <c r="I25" s="63" t="n">
        <f aca="false">IF(H25="","",G25-H25)</f>
        <v>-52</v>
      </c>
      <c r="J25" s="53" t="n">
        <f aca="false">IF(OR(D25="",D25+G25=0),"",D25/(D25+G25))</f>
        <v>0.387096774193548</v>
      </c>
      <c r="K25" s="53" t="n">
        <f aca="false">IF(E25="","",E25/(E25+H25))</f>
        <v>0.375592417061611</v>
      </c>
      <c r="L25" s="64" t="n">
        <f aca="false">IF(OR(K25="",J25=""),"",(J25-K25)*100)</f>
        <v>1.1504357131937</v>
      </c>
      <c r="M25" s="28" t="n">
        <v>2.29525849334818</v>
      </c>
      <c r="N25" s="28" t="n">
        <v>0.395914373242782</v>
      </c>
      <c r="O25" s="28" t="n">
        <f aca="false">SQRT(M25^2+N25^2)</f>
        <v>2.32915429764264</v>
      </c>
      <c r="P25" s="53" t="n">
        <f aca="false">IF(J25="","",MAX(0,J25-1.96*O25/100))</f>
        <v>0.341445349959753</v>
      </c>
      <c r="Q25" s="53" t="n">
        <f aca="false">IF(J25="","",MIN(1,J25+1.96*O25/100))</f>
        <v>0.432748198427344</v>
      </c>
      <c r="R25" s="25" t="str">
        <f aca="false">IF(L25="","",IF(ABS(L25)&lt;=O25,"Yes","No"))</f>
        <v>Yes</v>
      </c>
      <c r="S25" s="25" t="str">
        <f aca="false">IF(L25="","",IF(ABS(L25)&lt;=1.96*O25,"Yes","No"))</f>
        <v>Yes</v>
      </c>
      <c r="T25" s="52" t="n">
        <f aca="false">IF(D25="","",ROUND(SQRT(((D25+G25)*O25/100)^2+(J25*(D25+G25)*0.10931)^2),0))</f>
        <v>37</v>
      </c>
      <c r="U25" s="25"/>
    </row>
    <row r="26" customFormat="false" ht="15" hidden="false" customHeight="false" outlineLevel="0" collapsed="false">
      <c r="A26" s="25" t="s">
        <v>126</v>
      </c>
      <c r="B26" s="25" t="s">
        <v>161</v>
      </c>
      <c r="C26" s="25" t="s">
        <v>162</v>
      </c>
      <c r="D26" s="52" t="n">
        <v>287</v>
      </c>
      <c r="E26" s="52" t="n">
        <v>285</v>
      </c>
      <c r="F26" s="63" t="n">
        <f aca="false">IF(E26="","",D26-E26)</f>
        <v>2</v>
      </c>
      <c r="G26" s="52" t="n">
        <v>718</v>
      </c>
      <c r="H26" s="52" t="n">
        <v>760</v>
      </c>
      <c r="I26" s="63" t="n">
        <f aca="false">IF(H26="","",G26-H26)</f>
        <v>-42</v>
      </c>
      <c r="J26" s="53" t="n">
        <f aca="false">IF(OR(D26="",D26+G26=0),"",D26/(D26+G26))</f>
        <v>0.285572139303483</v>
      </c>
      <c r="K26" s="53" t="n">
        <f aca="false">IF(E26="","",E26/(E26+H26))</f>
        <v>0.272727272727273</v>
      </c>
      <c r="L26" s="64" t="n">
        <f aca="false">IF(OR(K26="",J26=""),"",(J26-K26)*100)</f>
        <v>1.28448665762099</v>
      </c>
      <c r="M26" s="28" t="n">
        <v>2.29525849334818</v>
      </c>
      <c r="N26" s="28" t="n">
        <v>0.395914373242782</v>
      </c>
      <c r="O26" s="28" t="n">
        <f aca="false">SQRT(M26^2+N26^2)</f>
        <v>2.32915429764264</v>
      </c>
      <c r="P26" s="53" t="n">
        <f aca="false">IF(J26="","",MAX(0,J26-1.96*O26/100))</f>
        <v>0.239920715069687</v>
      </c>
      <c r="Q26" s="53" t="n">
        <f aca="false">IF(J26="","",MIN(1,J26+1.96*O26/100))</f>
        <v>0.331223563537278</v>
      </c>
      <c r="R26" s="25" t="str">
        <f aca="false">IF(L26="","",IF(ABS(L26)&lt;=O26,"Yes","No"))</f>
        <v>Yes</v>
      </c>
      <c r="S26" s="25" t="str">
        <f aca="false">IF(L26="","",IF(ABS(L26)&lt;=1.96*O26,"Yes","No"))</f>
        <v>Yes</v>
      </c>
      <c r="T26" s="52" t="n">
        <f aca="false">IF(D26="","",ROUND(SQRT(((D26+G26)*O26/100)^2+(J26*(D26+G26)*0.10931)^2),0))</f>
        <v>39</v>
      </c>
      <c r="U26" s="25"/>
    </row>
    <row r="27" customFormat="false" ht="15" hidden="false" customHeight="false" outlineLevel="0" collapsed="false">
      <c r="A27" s="25" t="s">
        <v>126</v>
      </c>
      <c r="B27" s="25" t="s">
        <v>161</v>
      </c>
      <c r="C27" s="25" t="s">
        <v>163</v>
      </c>
      <c r="D27" s="52" t="n">
        <v>203</v>
      </c>
      <c r="E27" s="52" t="n">
        <v>228</v>
      </c>
      <c r="F27" s="63" t="n">
        <f aca="false">IF(E27="","",D27-E27)</f>
        <v>-25</v>
      </c>
      <c r="G27" s="52" t="n">
        <v>472</v>
      </c>
      <c r="H27" s="52" t="n">
        <v>522</v>
      </c>
      <c r="I27" s="63" t="n">
        <f aca="false">IF(H27="","",G27-H27)</f>
        <v>-50</v>
      </c>
      <c r="J27" s="53" t="n">
        <f aca="false">IF(OR(D27="",D27+G27=0),"",D27/(D27+G27))</f>
        <v>0.300740740740741</v>
      </c>
      <c r="K27" s="53" t="n">
        <f aca="false">IF(E27="","",E27/(E27+H27))</f>
        <v>0.304</v>
      </c>
      <c r="L27" s="64" t="n">
        <f aca="false">IF(OR(K27="",J27=""),"",(J27-K27)*100)</f>
        <v>-0.325925925925924</v>
      </c>
      <c r="M27" s="28" t="n">
        <v>3.51968652681483</v>
      </c>
      <c r="N27" s="28" t="n">
        <v>0.395914373242782</v>
      </c>
      <c r="O27" s="28" t="n">
        <f aca="false">SQRT(M27^2+N27^2)</f>
        <v>3.54188388262265</v>
      </c>
      <c r="P27" s="53" t="n">
        <f aca="false">IF(J27="","",MAX(0,J27-1.96*O27/100))</f>
        <v>0.231319816641337</v>
      </c>
      <c r="Q27" s="53" t="n">
        <f aca="false">IF(J27="","",MIN(1,J27+1.96*O27/100))</f>
        <v>0.370161664840145</v>
      </c>
      <c r="R27" s="25" t="str">
        <f aca="false">IF(L27="","",IF(ABS(L27)&lt;=O27,"Yes","No"))</f>
        <v>Yes</v>
      </c>
      <c r="S27" s="25" t="str">
        <f aca="false">IF(L27="","",IF(ABS(L27)&lt;=1.96*O27,"Yes","No"))</f>
        <v>Yes</v>
      </c>
      <c r="T27" s="52" t="n">
        <f aca="false">IF(D27="","",ROUND(SQRT(((D27+G27)*O27/100)^2+(J27*(D27+G27)*0.1901)^2),0))</f>
        <v>45</v>
      </c>
      <c r="U27" s="25"/>
    </row>
    <row r="28" customFormat="false" ht="15" hidden="false" customHeight="false" outlineLevel="0" collapsed="false">
      <c r="A28" s="25" t="s">
        <v>126</v>
      </c>
      <c r="B28" s="25" t="s">
        <v>164</v>
      </c>
      <c r="C28" s="25" t="s">
        <v>165</v>
      </c>
      <c r="D28" s="52" t="n">
        <v>131</v>
      </c>
      <c r="E28" s="52" t="n">
        <v>135</v>
      </c>
      <c r="F28" s="63" t="n">
        <f aca="false">IF(E28="","",D28-E28)</f>
        <v>-4</v>
      </c>
      <c r="G28" s="52" t="n">
        <v>386</v>
      </c>
      <c r="H28" s="52" t="n">
        <v>395</v>
      </c>
      <c r="I28" s="63" t="n">
        <f aca="false">IF(H28="","",G28-H28)</f>
        <v>-9</v>
      </c>
      <c r="J28" s="53" t="n">
        <f aca="false">IF(OR(D28="",D28+G28=0),"",D28/(D28+G28))</f>
        <v>0.253384912959381</v>
      </c>
      <c r="K28" s="53" t="n">
        <f aca="false">IF(E28="","",E28/(E28+H28))</f>
        <v>0.254716981132075</v>
      </c>
      <c r="L28" s="64" t="n">
        <f aca="false">IF(OR(K28="",J28=""),"",(J28-K28)*100)</f>
        <v>-0.133206817269443</v>
      </c>
      <c r="M28" s="28" t="n">
        <v>3.51968652681483</v>
      </c>
      <c r="N28" s="28" t="n">
        <v>0.395914373242782</v>
      </c>
      <c r="O28" s="28" t="n">
        <f aca="false">SQRT(M28^2+N28^2)</f>
        <v>3.54188388262265</v>
      </c>
      <c r="P28" s="53" t="n">
        <f aca="false">IF(J28="","",MAX(0,J28-1.96*O28/100))</f>
        <v>0.183963988859977</v>
      </c>
      <c r="Q28" s="53" t="n">
        <f aca="false">IF(J28="","",MIN(1,J28+1.96*O28/100))</f>
        <v>0.322805837058785</v>
      </c>
      <c r="R28" s="25" t="str">
        <f aca="false">IF(L28="","",IF(ABS(L28)&lt;=O28,"Yes","No"))</f>
        <v>Yes</v>
      </c>
      <c r="S28" s="25" t="str">
        <f aca="false">IF(L28="","",IF(ABS(L28)&lt;=1.96*O28,"Yes","No"))</f>
        <v>Yes</v>
      </c>
      <c r="T28" s="52" t="n">
        <f aca="false">IF(D28="","",ROUND(SQRT(((D28+G28)*O28/100)^2+(J28*(D28+G28)*0.1901)^2),0))</f>
        <v>31</v>
      </c>
      <c r="U28" s="25"/>
    </row>
    <row r="29" customFormat="false" ht="15" hidden="false" customHeight="false" outlineLevel="0" collapsed="false">
      <c r="A29" s="25" t="s">
        <v>126</v>
      </c>
      <c r="B29" s="25" t="s">
        <v>164</v>
      </c>
      <c r="C29" s="25" t="s">
        <v>166</v>
      </c>
      <c r="D29" s="52" t="n">
        <v>111</v>
      </c>
      <c r="E29" s="52" t="n">
        <v>124</v>
      </c>
      <c r="F29" s="63" t="n">
        <f aca="false">IF(E29="","",D29-E29)</f>
        <v>-13</v>
      </c>
      <c r="G29" s="52" t="n">
        <v>284</v>
      </c>
      <c r="H29" s="52" t="n">
        <v>298</v>
      </c>
      <c r="I29" s="63" t="n">
        <f aca="false">IF(H29="","",G29-H29)</f>
        <v>-14</v>
      </c>
      <c r="J29" s="53" t="n">
        <f aca="false">IF(OR(D29="",D29+G29=0),"",D29/(D29+G29))</f>
        <v>0.281012658227848</v>
      </c>
      <c r="K29" s="53" t="n">
        <f aca="false">IF(E29="","",E29/(E29+H29))</f>
        <v>0.293838862559242</v>
      </c>
      <c r="L29" s="64" t="n">
        <f aca="false">IF(OR(K29="",J29=""),"",(J29-K29)*100)</f>
        <v>-1.28262043313936</v>
      </c>
      <c r="M29" s="28" t="n">
        <v>3.51968652681483</v>
      </c>
      <c r="N29" s="28" t="n">
        <v>0.395914373242782</v>
      </c>
      <c r="O29" s="28" t="n">
        <f aca="false">SQRT(M29^2+N29^2)</f>
        <v>3.54188388262265</v>
      </c>
      <c r="P29" s="53" t="n">
        <f aca="false">IF(J29="","",MAX(0,J29-1.96*O29/100))</f>
        <v>0.211591734128444</v>
      </c>
      <c r="Q29" s="53" t="n">
        <f aca="false">IF(J29="","",MIN(1,J29+1.96*O29/100))</f>
        <v>0.350433582327252</v>
      </c>
      <c r="R29" s="25" t="str">
        <f aca="false">IF(L29="","",IF(ABS(L29)&lt;=O29,"Yes","No"))</f>
        <v>Yes</v>
      </c>
      <c r="S29" s="25" t="str">
        <f aca="false">IF(L29="","",IF(ABS(L29)&lt;=1.96*O29,"Yes","No"))</f>
        <v>Yes</v>
      </c>
      <c r="T29" s="52" t="n">
        <f aca="false">IF(D29="","",ROUND(SQRT(((D29+G29)*O29/100)^2+(J29*(D29+G29)*0.1901)^2),0))</f>
        <v>25</v>
      </c>
      <c r="U29" s="25"/>
    </row>
    <row r="30" customFormat="false" ht="15" hidden="false" customHeight="false" outlineLevel="0" collapsed="false">
      <c r="A30" s="25" t="s">
        <v>126</v>
      </c>
      <c r="B30" s="25" t="s">
        <v>164</v>
      </c>
      <c r="C30" s="25" t="s">
        <v>167</v>
      </c>
      <c r="D30" s="52" t="n">
        <v>352</v>
      </c>
      <c r="E30" s="52" t="n">
        <v>424</v>
      </c>
      <c r="F30" s="63" t="n">
        <f aca="false">IF(E30="","",D30-E30)</f>
        <v>-72</v>
      </c>
      <c r="G30" s="52" t="n">
        <v>925</v>
      </c>
      <c r="H30" s="52" t="n">
        <v>988</v>
      </c>
      <c r="I30" s="63" t="n">
        <f aca="false">IF(H30="","",G30-H30)</f>
        <v>-63</v>
      </c>
      <c r="J30" s="53" t="n">
        <f aca="false">IF(OR(D30="",D30+G30=0),"",D30/(D30+G30))</f>
        <v>0.275646045418951</v>
      </c>
      <c r="K30" s="53" t="n">
        <f aca="false">IF(E30="","",E30/(E30+H30))</f>
        <v>0.30028328611898</v>
      </c>
      <c r="L30" s="64" t="n">
        <f aca="false">IF(OR(K30="",J30=""),"",(J30-K30)*100)</f>
        <v>-2.46372407000295</v>
      </c>
      <c r="M30" s="28" t="n">
        <v>2.07368371626919</v>
      </c>
      <c r="N30" s="28" t="n">
        <v>0.395914373242782</v>
      </c>
      <c r="O30" s="28" t="n">
        <f aca="false">SQRT(M30^2+N30^2)</f>
        <v>2.11114005837136</v>
      </c>
      <c r="P30" s="53" t="n">
        <f aca="false">IF(J30="","",MAX(0,J30-1.96*O30/100))</f>
        <v>0.234267700274872</v>
      </c>
      <c r="Q30" s="53" t="n">
        <f aca="false">IF(J30="","",MIN(1,J30+1.96*O30/100))</f>
        <v>0.317024390563029</v>
      </c>
      <c r="R30" s="25" t="str">
        <f aca="false">IF(L30="","",IF(ABS(L30)&lt;=O30,"Yes","No"))</f>
        <v>No</v>
      </c>
      <c r="S30" s="25" t="str">
        <f aca="false">IF(L30="","",IF(ABS(L30)&lt;=1.96*O30,"Yes","No"))</f>
        <v>Yes</v>
      </c>
      <c r="T30" s="52" t="n">
        <f aca="false">IF(D30="","",ROUND(SQRT(((D30+G30)*O30/100)^2+(J30*(D30+G30)*0.08889)^2),0))</f>
        <v>41</v>
      </c>
      <c r="U30" s="25"/>
    </row>
    <row r="31" customFormat="false" ht="15" hidden="false" customHeight="false" outlineLevel="0" collapsed="false">
      <c r="A31" s="25" t="s">
        <v>126</v>
      </c>
      <c r="B31" s="25" t="s">
        <v>169</v>
      </c>
      <c r="C31" s="25" t="s">
        <v>170</v>
      </c>
      <c r="D31" s="52" t="n">
        <v>287</v>
      </c>
      <c r="E31" s="52" t="n">
        <v>279</v>
      </c>
      <c r="F31" s="63" t="n">
        <f aca="false">IF(E31="","",D31-E31)</f>
        <v>8</v>
      </c>
      <c r="G31" s="52" t="n">
        <v>417</v>
      </c>
      <c r="H31" s="52" t="n">
        <v>445</v>
      </c>
      <c r="I31" s="63" t="n">
        <f aca="false">IF(H31="","",G31-H31)</f>
        <v>-28</v>
      </c>
      <c r="J31" s="53" t="n">
        <f aca="false">IF(OR(D31="",D31+G31=0),"",D31/(D31+G31))</f>
        <v>0.407670454545455</v>
      </c>
      <c r="K31" s="53" t="n">
        <f aca="false">IF(E31="","",E31/(E31+H31))</f>
        <v>0.385359116022099</v>
      </c>
      <c r="L31" s="64" t="n">
        <f aca="false">IF(OR(K31="",J31=""),"",(J31-K31)*100)</f>
        <v>2.23113385233551</v>
      </c>
      <c r="M31" s="28" t="n">
        <v>3.51968652681483</v>
      </c>
      <c r="N31" s="28" t="n">
        <v>0.395914373242782</v>
      </c>
      <c r="O31" s="28" t="n">
        <f aca="false">SQRT(M31^2+N31^2)</f>
        <v>3.54188388262265</v>
      </c>
      <c r="P31" s="53" t="n">
        <f aca="false">IF(J31="","",MAX(0,J31-1.96*O31/100))</f>
        <v>0.338249530446051</v>
      </c>
      <c r="Q31" s="53" t="n">
        <f aca="false">IF(J31="","",MIN(1,J31+1.96*O31/100))</f>
        <v>0.477091378644858</v>
      </c>
      <c r="R31" s="25" t="str">
        <f aca="false">IF(L31="","",IF(ABS(L31)&lt;=O31,"Yes","No"))</f>
        <v>Yes</v>
      </c>
      <c r="S31" s="25" t="str">
        <f aca="false">IF(L31="","",IF(ABS(L31)&lt;=1.96*O31,"Yes","No"))</f>
        <v>Yes</v>
      </c>
      <c r="T31" s="52" t="n">
        <f aca="false">IF(D31="","",ROUND(SQRT(((D31+G31)*O31/100)^2+(J31*(D31+G31)*0.1901)^2),0))</f>
        <v>60</v>
      </c>
      <c r="U31" s="25"/>
    </row>
    <row r="32" customFormat="false" ht="15" hidden="false" customHeight="false" outlineLevel="0" collapsed="false">
      <c r="A32" s="25" t="s">
        <v>126</v>
      </c>
      <c r="B32" s="25" t="s">
        <v>169</v>
      </c>
      <c r="C32" s="25" t="s">
        <v>171</v>
      </c>
      <c r="D32" s="52" t="n">
        <v>288</v>
      </c>
      <c r="E32" s="52" t="n">
        <v>309</v>
      </c>
      <c r="F32" s="63" t="n">
        <f aca="false">IF(E32="","",D32-E32)</f>
        <v>-21</v>
      </c>
      <c r="G32" s="52" t="n">
        <v>465</v>
      </c>
      <c r="H32" s="52" t="n">
        <v>488</v>
      </c>
      <c r="I32" s="63" t="n">
        <f aca="false">IF(H32="","",G32-H32)</f>
        <v>-23</v>
      </c>
      <c r="J32" s="53" t="n">
        <f aca="false">IF(OR(D32="",D32+G32=0),"",D32/(D32+G32))</f>
        <v>0.382470119521912</v>
      </c>
      <c r="K32" s="53" t="n">
        <f aca="false">IF(E32="","",E32/(E32+H32))</f>
        <v>0.387703889585947</v>
      </c>
      <c r="L32" s="64" t="n">
        <f aca="false">IF(OR(K32="",J32=""),"",(J32-K32)*100)</f>
        <v>-0.523377006403497</v>
      </c>
      <c r="M32" s="28" t="n">
        <v>3.51968652681483</v>
      </c>
      <c r="N32" s="28" t="n">
        <v>0.395914373242782</v>
      </c>
      <c r="O32" s="28" t="n">
        <f aca="false">SQRT(M32^2+N32^2)</f>
        <v>3.54188388262265</v>
      </c>
      <c r="P32" s="53" t="n">
        <f aca="false">IF(J32="","",MAX(0,J32-1.96*O32/100))</f>
        <v>0.313049195422509</v>
      </c>
      <c r="Q32" s="53" t="n">
        <f aca="false">IF(J32="","",MIN(1,J32+1.96*O32/100))</f>
        <v>0.451891043621316</v>
      </c>
      <c r="R32" s="25" t="str">
        <f aca="false">IF(L32="","",IF(ABS(L32)&lt;=O32,"Yes","No"))</f>
        <v>Yes</v>
      </c>
      <c r="S32" s="25" t="str">
        <f aca="false">IF(L32="","",IF(ABS(L32)&lt;=1.96*O32,"Yes","No"))</f>
        <v>Yes</v>
      </c>
      <c r="T32" s="52" t="n">
        <f aca="false">IF(D32="","",ROUND(SQRT(((D32+G32)*O32/100)^2+(J32*(D32+G32)*0.1901)^2),0))</f>
        <v>61</v>
      </c>
      <c r="U32" s="25"/>
    </row>
    <row r="33" customFormat="false" ht="15" hidden="false" customHeight="false" outlineLevel="0" collapsed="false">
      <c r="A33" s="25" t="s">
        <v>126</v>
      </c>
      <c r="B33" s="25" t="s">
        <v>172</v>
      </c>
      <c r="C33" s="25" t="s">
        <v>172</v>
      </c>
      <c r="D33" s="52" t="n">
        <v>112</v>
      </c>
      <c r="E33" s="52" t="n">
        <v>134</v>
      </c>
      <c r="F33" s="63" t="n">
        <f aca="false">IF(E33="","",D33-E33)</f>
        <v>-22</v>
      </c>
      <c r="G33" s="52" t="n">
        <v>483</v>
      </c>
      <c r="H33" s="52" t="n">
        <v>503</v>
      </c>
      <c r="I33" s="63" t="n">
        <f aca="false">IF(H33="","",G33-H33)</f>
        <v>-20</v>
      </c>
      <c r="J33" s="53" t="n">
        <f aca="false">IF(OR(D33="",D33+G33=0),"",D33/(D33+G33))</f>
        <v>0.188235294117647</v>
      </c>
      <c r="K33" s="53" t="n">
        <f aca="false">IF(E33="","",E33/(E33+H33))</f>
        <v>0.210361067503925</v>
      </c>
      <c r="L33" s="64" t="n">
        <f aca="false">IF(OR(K33="",J33=""),"",(J33-K33)*100)</f>
        <v>-2.21257733862776</v>
      </c>
      <c r="M33" s="28" t="n">
        <v>3.51968652681483</v>
      </c>
      <c r="N33" s="28" t="n">
        <v>0.395914373242782</v>
      </c>
      <c r="O33" s="28" t="n">
        <f aca="false">SQRT(M33^2+N33^2)</f>
        <v>3.54188388262265</v>
      </c>
      <c r="P33" s="53" t="n">
        <f aca="false">IF(J33="","",MAX(0,J33-1.96*O33/100))</f>
        <v>0.118814370018243</v>
      </c>
      <c r="Q33" s="53" t="n">
        <f aca="false">IF(J33="","",MIN(1,J33+1.96*O33/100))</f>
        <v>0.257656218217051</v>
      </c>
      <c r="R33" s="25" t="str">
        <f aca="false">IF(L33="","",IF(ABS(L33)&lt;=O33,"Yes","No"))</f>
        <v>Yes</v>
      </c>
      <c r="S33" s="25" t="str">
        <f aca="false">IF(L33="","",IF(ABS(L33)&lt;=1.96*O33,"Yes","No"))</f>
        <v>Yes</v>
      </c>
      <c r="T33" s="52" t="n">
        <f aca="false">IF(D33="","",ROUND(SQRT(((D33+G33)*O33/100)^2+(J33*(D33+G33)*0.1901)^2),0))</f>
        <v>30</v>
      </c>
      <c r="U33" s="25"/>
    </row>
    <row r="34" customFormat="false" ht="15" hidden="false" customHeight="false" outlineLevel="0" collapsed="false">
      <c r="A34" s="25" t="s">
        <v>126</v>
      </c>
      <c r="B34" s="25" t="s">
        <v>173</v>
      </c>
      <c r="C34" s="25" t="s">
        <v>174</v>
      </c>
      <c r="D34" s="52" t="n">
        <v>285</v>
      </c>
      <c r="E34" s="52" t="n">
        <v>281</v>
      </c>
      <c r="F34" s="63" t="n">
        <f aca="false">IF(E34="","",D34-E34)</f>
        <v>4</v>
      </c>
      <c r="G34" s="52" t="n">
        <v>584</v>
      </c>
      <c r="H34" s="52" t="n">
        <v>592</v>
      </c>
      <c r="I34" s="63" t="n">
        <f aca="false">IF(H34="","",G34-H34)</f>
        <v>-8</v>
      </c>
      <c r="J34" s="53" t="n">
        <f aca="false">IF(OR(D34="",D34+G34=0),"",D34/(D34+G34))</f>
        <v>0.327963176064442</v>
      </c>
      <c r="K34" s="53" t="n">
        <f aca="false">IF(E34="","",E34/(E34+H34))</f>
        <v>0.321878579610538</v>
      </c>
      <c r="L34" s="64" t="n">
        <f aca="false">IF(OR(K34="",J34=""),"",(J34-K34)*100)</f>
        <v>0.608459645390347</v>
      </c>
      <c r="M34" s="28" t="n">
        <v>2.29525849334818</v>
      </c>
      <c r="N34" s="28" t="n">
        <v>0.395914373242782</v>
      </c>
      <c r="O34" s="28" t="n">
        <f aca="false">SQRT(M34^2+N34^2)</f>
        <v>2.32915429764264</v>
      </c>
      <c r="P34" s="53" t="n">
        <f aca="false">IF(J34="","",MAX(0,J34-1.96*O34/100))</f>
        <v>0.282311751830646</v>
      </c>
      <c r="Q34" s="53" t="n">
        <f aca="false">IF(J34="","",MIN(1,J34+1.96*O34/100))</f>
        <v>0.373614600298238</v>
      </c>
      <c r="R34" s="25" t="str">
        <f aca="false">IF(L34="","",IF(ABS(L34)&lt;=O34,"Yes","No"))</f>
        <v>Yes</v>
      </c>
      <c r="S34" s="25" t="str">
        <f aca="false">IF(L34="","",IF(ABS(L34)&lt;=1.96*O34,"Yes","No"))</f>
        <v>Yes</v>
      </c>
      <c r="T34" s="52" t="n">
        <f aca="false">IF(D34="","",ROUND(SQRT(((D34+G34)*O34/100)^2+(J34*(D34+G34)*0.10931)^2),0))</f>
        <v>37</v>
      </c>
      <c r="U34" s="25"/>
    </row>
    <row r="35" customFormat="false" ht="15" hidden="false" customHeight="false" outlineLevel="0" collapsed="false">
      <c r="A35" s="25" t="s">
        <v>126</v>
      </c>
      <c r="B35" s="25" t="s">
        <v>173</v>
      </c>
      <c r="C35" s="25" t="s">
        <v>175</v>
      </c>
      <c r="D35" s="52" t="n">
        <v>495</v>
      </c>
      <c r="E35" s="52" t="n">
        <v>467</v>
      </c>
      <c r="F35" s="63" t="n">
        <f aca="false">IF(E35="","",D35-E35)</f>
        <v>28</v>
      </c>
      <c r="G35" s="52" t="n">
        <v>781</v>
      </c>
      <c r="H35" s="52" t="n">
        <v>782</v>
      </c>
      <c r="I35" s="63" t="n">
        <f aca="false">IF(H35="","",G35-H35)</f>
        <v>-1</v>
      </c>
      <c r="J35" s="53" t="n">
        <f aca="false">IF(OR(D35="",D35+G35=0),"",D35/(D35+G35))</f>
        <v>0.387931034482759</v>
      </c>
      <c r="K35" s="53" t="n">
        <f aca="false">IF(E35="","",E35/(E35+H35))</f>
        <v>0.373899119295436</v>
      </c>
      <c r="L35" s="64" t="n">
        <f aca="false">IF(OR(K35="",J35=""),"",(J35-K35)*100)</f>
        <v>1.40319151873223</v>
      </c>
      <c r="M35" s="28" t="n">
        <v>2.07368371626919</v>
      </c>
      <c r="N35" s="28" t="n">
        <v>0.395914373242782</v>
      </c>
      <c r="O35" s="28" t="n">
        <f aca="false">SQRT(M35^2+N35^2)</f>
        <v>2.11114005837136</v>
      </c>
      <c r="P35" s="53" t="n">
        <f aca="false">IF(J35="","",MAX(0,J35-1.96*O35/100))</f>
        <v>0.34655268933868</v>
      </c>
      <c r="Q35" s="53" t="n">
        <f aca="false">IF(J35="","",MIN(1,J35+1.96*O35/100))</f>
        <v>0.429309379626837</v>
      </c>
      <c r="R35" s="25" t="str">
        <f aca="false">IF(L35="","",IF(ABS(L35)&lt;=O35,"Yes","No"))</f>
        <v>Yes</v>
      </c>
      <c r="S35" s="25" t="str">
        <f aca="false">IF(L35="","",IF(ABS(L35)&lt;=1.96*O35,"Yes","No"))</f>
        <v>Yes</v>
      </c>
      <c r="T35" s="52" t="n">
        <f aca="false">IF(D35="","",ROUND(SQRT(((D35+G35)*O35/100)^2+(J35*(D35+G35)*0.08889)^2),0))</f>
        <v>52</v>
      </c>
      <c r="U35" s="25"/>
    </row>
    <row r="36" customFormat="false" ht="15" hidden="false" customHeight="false" outlineLevel="0" collapsed="false">
      <c r="A36" s="25" t="s">
        <v>126</v>
      </c>
      <c r="B36" s="25" t="s">
        <v>173</v>
      </c>
      <c r="C36" s="25" t="s">
        <v>176</v>
      </c>
      <c r="D36" s="52" t="n">
        <v>146</v>
      </c>
      <c r="E36" s="52" t="n">
        <v>136</v>
      </c>
      <c r="F36" s="63" t="n">
        <f aca="false">IF(E36="","",D36-E36)</f>
        <v>10</v>
      </c>
      <c r="G36" s="52" t="n">
        <v>269</v>
      </c>
      <c r="H36" s="52" t="n">
        <v>278</v>
      </c>
      <c r="I36" s="63" t="n">
        <f aca="false">IF(H36="","",G36-H36)</f>
        <v>-9</v>
      </c>
      <c r="J36" s="53" t="n">
        <f aca="false">IF(OR(D36="",D36+G36=0),"",D36/(D36+G36))</f>
        <v>0.351807228915663</v>
      </c>
      <c r="K36" s="53" t="n">
        <f aca="false">IF(E36="","",E36/(E36+H36))</f>
        <v>0.328502415458937</v>
      </c>
      <c r="L36" s="64" t="n">
        <f aca="false">IF(OR(K36="",J36=""),"",(J36-K36)*100)</f>
        <v>2.33048134567254</v>
      </c>
      <c r="M36" s="28" t="n">
        <v>3.51968652681483</v>
      </c>
      <c r="N36" s="28" t="n">
        <v>0.395914373242782</v>
      </c>
      <c r="O36" s="28" t="n">
        <f aca="false">SQRT(M36^2+N36^2)</f>
        <v>3.54188388262265</v>
      </c>
      <c r="P36" s="53" t="n">
        <f aca="false">IF(J36="","",MAX(0,J36-1.96*O36/100))</f>
        <v>0.282386304816259</v>
      </c>
      <c r="Q36" s="53" t="n">
        <f aca="false">IF(J36="","",MIN(1,J36+1.96*O36/100))</f>
        <v>0.421228153015067</v>
      </c>
      <c r="R36" s="25" t="str">
        <f aca="false">IF(L36="","",IF(ABS(L36)&lt;=O36,"Yes","No"))</f>
        <v>Yes</v>
      </c>
      <c r="S36" s="25" t="str">
        <f aca="false">IF(L36="","",IF(ABS(L36)&lt;=1.96*O36,"Yes","No"))</f>
        <v>Yes</v>
      </c>
      <c r="T36" s="52" t="n">
        <f aca="false">IF(D36="","",ROUND(SQRT(((D36+G36)*O36/100)^2+(J36*(D36+G36)*0.1901)^2),0))</f>
        <v>31</v>
      </c>
      <c r="U36" s="25"/>
    </row>
    <row r="37" customFormat="false" ht="15" hidden="false" customHeight="false" outlineLevel="0" collapsed="false">
      <c r="A37" s="25" t="s">
        <v>126</v>
      </c>
      <c r="B37" s="25" t="s">
        <v>177</v>
      </c>
      <c r="C37" s="25" t="s">
        <v>177</v>
      </c>
      <c r="D37" s="52" t="n">
        <v>57</v>
      </c>
      <c r="E37" s="52" t="n">
        <v>68</v>
      </c>
      <c r="F37" s="63" t="n">
        <f aca="false">IF(E37="","",D37-E37)</f>
        <v>-11</v>
      </c>
      <c r="G37" s="52" t="n">
        <v>158</v>
      </c>
      <c r="H37" s="52" t="n">
        <v>153</v>
      </c>
      <c r="I37" s="63" t="n">
        <f aca="false">IF(H37="","",G37-H37)</f>
        <v>5</v>
      </c>
      <c r="J37" s="53" t="n">
        <f aca="false">IF(OR(D37="",D37+G37=0),"",D37/(D37+G37))</f>
        <v>0.265116279069767</v>
      </c>
      <c r="K37" s="53" t="n">
        <f aca="false">IF(E37="","",E37/(E37+H37))</f>
        <v>0.307692307692308</v>
      </c>
      <c r="L37" s="64" t="n">
        <f aca="false">IF(OR(K37="",J37=""),"",(J37-K37)*100)</f>
        <v>-4.25760286225403</v>
      </c>
      <c r="M37" s="28" t="n">
        <v>3.51968652681483</v>
      </c>
      <c r="N37" s="28" t="n">
        <v>0.395914373242782</v>
      </c>
      <c r="O37" s="28" t="n">
        <f aca="false">SQRT(M37^2+N37^2)</f>
        <v>3.54188388262265</v>
      </c>
      <c r="P37" s="53" t="n">
        <f aca="false">IF(J37="","",MAX(0,J37-1.96*O37/100))</f>
        <v>0.195695354970364</v>
      </c>
      <c r="Q37" s="53" t="n">
        <f aca="false">IF(J37="","",MIN(1,J37+1.96*O37/100))</f>
        <v>0.334537203169171</v>
      </c>
      <c r="R37" s="25" t="str">
        <f aca="false">IF(L37="","",IF(ABS(L37)&lt;=O37,"Yes","No"))</f>
        <v>No</v>
      </c>
      <c r="S37" s="25" t="str">
        <f aca="false">IF(L37="","",IF(ABS(L37)&lt;=1.96*O37,"Yes","No"))</f>
        <v>Yes</v>
      </c>
      <c r="T37" s="52" t="n">
        <f aca="false">IF(D37="","",ROUND(SQRT(((D37+G37)*O37/100)^2+(J37*(D37+G37)*0.1901)^2),0))</f>
        <v>13</v>
      </c>
      <c r="U37" s="25"/>
    </row>
    <row r="38" customFormat="false" ht="15" hidden="false" customHeight="false" outlineLevel="0" collapsed="false">
      <c r="A38" s="25" t="s">
        <v>126</v>
      </c>
      <c r="B38" s="25" t="s">
        <v>178</v>
      </c>
      <c r="C38" s="25" t="s">
        <v>179</v>
      </c>
      <c r="D38" s="52" t="n">
        <v>381</v>
      </c>
      <c r="E38" s="52" t="n">
        <v>432</v>
      </c>
      <c r="F38" s="63" t="n">
        <f aca="false">IF(E38="","",D38-E38)</f>
        <v>-51</v>
      </c>
      <c r="G38" s="52" t="n">
        <v>655</v>
      </c>
      <c r="H38" s="52" t="n">
        <v>705</v>
      </c>
      <c r="I38" s="63" t="n">
        <f aca="false">IF(H38="","",G38-H38)</f>
        <v>-50</v>
      </c>
      <c r="J38" s="53" t="n">
        <f aca="false">IF(OR(D38="",D38+G38=0),"",D38/(D38+G38))</f>
        <v>0.367760617760618</v>
      </c>
      <c r="K38" s="53" t="n">
        <f aca="false">IF(E38="","",E38/(E38+H38))</f>
        <v>0.379947229551451</v>
      </c>
      <c r="L38" s="64" t="n">
        <f aca="false">IF(OR(K38="",J38=""),"",(J38-K38)*100)</f>
        <v>-1.21866117908334</v>
      </c>
      <c r="M38" s="28" t="n">
        <v>2.29525849334818</v>
      </c>
      <c r="N38" s="28" t="n">
        <v>0.395914373242782</v>
      </c>
      <c r="O38" s="28" t="n">
        <f aca="false">SQRT(M38^2+N38^2)</f>
        <v>2.32915429764264</v>
      </c>
      <c r="P38" s="53" t="n">
        <f aca="false">IF(J38="","",MAX(0,J38-1.96*O38/100))</f>
        <v>0.322109193526822</v>
      </c>
      <c r="Q38" s="53" t="n">
        <f aca="false">IF(J38="","",MIN(1,J38+1.96*O38/100))</f>
        <v>0.413412041994414</v>
      </c>
      <c r="R38" s="25" t="str">
        <f aca="false">IF(L38="","",IF(ABS(L38)&lt;=O38,"Yes","No"))</f>
        <v>Yes</v>
      </c>
      <c r="S38" s="25" t="str">
        <f aca="false">IF(L38="","",IF(ABS(L38)&lt;=1.96*O38,"Yes","No"))</f>
        <v>Yes</v>
      </c>
      <c r="T38" s="52" t="n">
        <f aca="false">IF(D38="","",ROUND(SQRT(((D38+G38)*O38/100)^2+(J38*(D38+G38)*0.10931)^2),0))</f>
        <v>48</v>
      </c>
      <c r="U38" s="25"/>
    </row>
    <row r="39" customFormat="false" ht="15" hidden="false" customHeight="false" outlineLevel="0" collapsed="false">
      <c r="A39" s="25" t="s">
        <v>126</v>
      </c>
      <c r="B39" s="25" t="s">
        <v>178</v>
      </c>
      <c r="C39" s="25" t="s">
        <v>180</v>
      </c>
      <c r="D39" s="52" t="n">
        <v>284</v>
      </c>
      <c r="E39" s="52" t="n">
        <v>296</v>
      </c>
      <c r="F39" s="63" t="n">
        <f aca="false">IF(E39="","",D39-E39)</f>
        <v>-12</v>
      </c>
      <c r="G39" s="52" t="n">
        <v>521</v>
      </c>
      <c r="H39" s="52" t="n">
        <v>529</v>
      </c>
      <c r="I39" s="63" t="n">
        <f aca="false">IF(H39="","",G39-H39)</f>
        <v>-8</v>
      </c>
      <c r="J39" s="53" t="n">
        <f aca="false">IF(OR(D39="",D39+G39=0),"",D39/(D39+G39))</f>
        <v>0.352795031055901</v>
      </c>
      <c r="K39" s="53" t="n">
        <f aca="false">IF(E39="","",E39/(E39+H39))</f>
        <v>0.358787878787879</v>
      </c>
      <c r="L39" s="64" t="n">
        <f aca="false">IF(OR(K39="",J39=""),"",(J39-K39)*100)</f>
        <v>-0.599284773197817</v>
      </c>
      <c r="M39" s="28" t="n">
        <v>2.29525849334818</v>
      </c>
      <c r="N39" s="28" t="n">
        <v>0.395914373242782</v>
      </c>
      <c r="O39" s="28" t="n">
        <f aca="false">SQRT(M39^2+N39^2)</f>
        <v>2.32915429764264</v>
      </c>
      <c r="P39" s="53" t="n">
        <f aca="false">IF(J39="","",MAX(0,J39-1.96*O39/100))</f>
        <v>0.307143606822105</v>
      </c>
      <c r="Q39" s="53" t="n">
        <f aca="false">IF(J39="","",MIN(1,J39+1.96*O39/100))</f>
        <v>0.398446455289696</v>
      </c>
      <c r="R39" s="25" t="str">
        <f aca="false">IF(L39="","",IF(ABS(L39)&lt;=O39,"Yes","No"))</f>
        <v>Yes</v>
      </c>
      <c r="S39" s="25" t="str">
        <f aca="false">IF(L39="","",IF(ABS(L39)&lt;=1.96*O39,"Yes","No"))</f>
        <v>Yes</v>
      </c>
      <c r="T39" s="52" t="n">
        <f aca="false">IF(D39="","",ROUND(SQRT(((D39+G39)*O39/100)^2+(J39*(D39+G39)*0.10931)^2),0))</f>
        <v>36</v>
      </c>
      <c r="U39" s="25"/>
    </row>
    <row r="40" customFormat="false" ht="15" hidden="false" customHeight="false" outlineLevel="0" collapsed="false">
      <c r="A40" s="25" t="s">
        <v>126</v>
      </c>
      <c r="B40" s="25" t="s">
        <v>178</v>
      </c>
      <c r="C40" s="25" t="s">
        <v>181</v>
      </c>
      <c r="D40" s="52" t="n">
        <v>420</v>
      </c>
      <c r="E40" s="52" t="n">
        <v>460</v>
      </c>
      <c r="F40" s="63" t="n">
        <f aca="false">IF(E40="","",D40-E40)</f>
        <v>-40</v>
      </c>
      <c r="G40" s="52" t="n">
        <v>740</v>
      </c>
      <c r="H40" s="52" t="n">
        <v>791</v>
      </c>
      <c r="I40" s="63" t="n">
        <f aca="false">IF(H40="","",G40-H40)</f>
        <v>-51</v>
      </c>
      <c r="J40" s="53" t="n">
        <f aca="false">IF(OR(D40="",D40+G40=0),"",D40/(D40+G40))</f>
        <v>0.362068965517241</v>
      </c>
      <c r="K40" s="53" t="n">
        <f aca="false">IF(E40="","",E40/(E40+H40))</f>
        <v>0.367705835331735</v>
      </c>
      <c r="L40" s="64" t="n">
        <f aca="false">IF(OR(K40="",J40=""),"",(J40-K40)*100)</f>
        <v>-0.563686981449324</v>
      </c>
      <c r="M40" s="28" t="n">
        <v>2.29525849334818</v>
      </c>
      <c r="N40" s="28" t="n">
        <v>0.395914373242782</v>
      </c>
      <c r="O40" s="28" t="n">
        <f aca="false">SQRT(M40^2+N40^2)</f>
        <v>2.32915429764264</v>
      </c>
      <c r="P40" s="53" t="n">
        <f aca="false">IF(J40="","",MAX(0,J40-1.96*O40/100))</f>
        <v>0.316417541283446</v>
      </c>
      <c r="Q40" s="53" t="n">
        <f aca="false">IF(J40="","",MIN(1,J40+1.96*O40/100))</f>
        <v>0.407720389751037</v>
      </c>
      <c r="R40" s="25" t="str">
        <f aca="false">IF(L40="","",IF(ABS(L40)&lt;=O40,"Yes","No"))</f>
        <v>Yes</v>
      </c>
      <c r="S40" s="25" t="str">
        <f aca="false">IF(L40="","",IF(ABS(L40)&lt;=1.96*O40,"Yes","No"))</f>
        <v>Yes</v>
      </c>
      <c r="T40" s="52" t="n">
        <f aca="false">IF(D40="","",ROUND(SQRT(((D40+G40)*O40/100)^2+(J40*(D40+G40)*0.10931)^2),0))</f>
        <v>53</v>
      </c>
      <c r="U40" s="25"/>
    </row>
    <row r="41" customFormat="false" ht="15" hidden="false" customHeight="false" outlineLevel="0" collapsed="false">
      <c r="A41" s="25" t="s">
        <v>126</v>
      </c>
      <c r="B41" s="25" t="s">
        <v>178</v>
      </c>
      <c r="C41" s="25" t="s">
        <v>182</v>
      </c>
      <c r="D41" s="52" t="n">
        <v>359</v>
      </c>
      <c r="E41" s="52" t="n">
        <v>425</v>
      </c>
      <c r="F41" s="63" t="n">
        <f aca="false">IF(E41="","",D41-E41)</f>
        <v>-66</v>
      </c>
      <c r="G41" s="52" t="n">
        <v>836</v>
      </c>
      <c r="H41" s="52" t="n">
        <v>920</v>
      </c>
      <c r="I41" s="63" t="n">
        <f aca="false">IF(H41="","",G41-H41)</f>
        <v>-84</v>
      </c>
      <c r="J41" s="53" t="n">
        <f aca="false">IF(OR(D41="",D41+G41=0),"",D41/(D41+G41))</f>
        <v>0.300418410041841</v>
      </c>
      <c r="K41" s="53" t="n">
        <f aca="false">IF(E41="","",E41/(E41+H41))</f>
        <v>0.315985130111524</v>
      </c>
      <c r="L41" s="64" t="n">
        <f aca="false">IF(OR(K41="",J41=""),"",(J41-K41)*100)</f>
        <v>-1.55667200696832</v>
      </c>
      <c r="M41" s="28" t="n">
        <v>2.07368371626919</v>
      </c>
      <c r="N41" s="28" t="n">
        <v>0.395914373242782</v>
      </c>
      <c r="O41" s="28" t="n">
        <f aca="false">SQRT(M41^2+N41^2)</f>
        <v>2.11114005837136</v>
      </c>
      <c r="P41" s="53" t="n">
        <f aca="false">IF(J41="","",MAX(0,J41-1.96*O41/100))</f>
        <v>0.259040064897762</v>
      </c>
      <c r="Q41" s="53" t="n">
        <f aca="false">IF(J41="","",MIN(1,J41+1.96*O41/100))</f>
        <v>0.34179675518592</v>
      </c>
      <c r="R41" s="25" t="str">
        <f aca="false">IF(L41="","",IF(ABS(L41)&lt;=O41,"Yes","No"))</f>
        <v>Yes</v>
      </c>
      <c r="S41" s="25" t="str">
        <f aca="false">IF(L41="","",IF(ABS(L41)&lt;=1.96*O41,"Yes","No"))</f>
        <v>Yes</v>
      </c>
      <c r="T41" s="52" t="n">
        <f aca="false">IF(D41="","",ROUND(SQRT(((D41+G41)*O41/100)^2+(J41*(D41+G41)*0.08889)^2),0))</f>
        <v>41</v>
      </c>
      <c r="U41" s="25"/>
    </row>
    <row r="42" customFormat="false" ht="15" hidden="false" customHeight="false" outlineLevel="0" collapsed="false">
      <c r="A42" s="25" t="s">
        <v>126</v>
      </c>
      <c r="B42" s="25" t="s">
        <v>178</v>
      </c>
      <c r="C42" s="25" t="s">
        <v>183</v>
      </c>
      <c r="D42" s="52" t="n">
        <v>347</v>
      </c>
      <c r="E42" s="52" t="n">
        <v>397</v>
      </c>
      <c r="F42" s="63" t="n">
        <f aca="false">IF(E42="","",D42-E42)</f>
        <v>-50</v>
      </c>
      <c r="G42" s="52" t="n">
        <v>702</v>
      </c>
      <c r="H42" s="52" t="n">
        <v>692</v>
      </c>
      <c r="I42" s="63" t="n">
        <f aca="false">IF(H42="","",G42-H42)</f>
        <v>10</v>
      </c>
      <c r="J42" s="53" t="n">
        <f aca="false">IF(OR(D42="",D42+G42=0),"",D42/(D42+G42))</f>
        <v>0.330791229742612</v>
      </c>
      <c r="K42" s="53" t="n">
        <f aca="false">IF(E42="","",E42/(E42+H42))</f>
        <v>0.36455463728191</v>
      </c>
      <c r="L42" s="64" t="n">
        <f aca="false">IF(OR(K42="",J42=""),"",(J42-K42)*100)</f>
        <v>-3.3763407539298</v>
      </c>
      <c r="M42" s="28" t="n">
        <v>2.29525849334818</v>
      </c>
      <c r="N42" s="28" t="n">
        <v>0.395914373242782</v>
      </c>
      <c r="O42" s="28" t="n">
        <f aca="false">SQRT(M42^2+N42^2)</f>
        <v>2.32915429764264</v>
      </c>
      <c r="P42" s="53" t="n">
        <f aca="false">IF(J42="","",MAX(0,J42-1.96*O42/100))</f>
        <v>0.285139805508816</v>
      </c>
      <c r="Q42" s="53" t="n">
        <f aca="false">IF(J42="","",MIN(1,J42+1.96*O42/100))</f>
        <v>0.376442653976408</v>
      </c>
      <c r="R42" s="25" t="str">
        <f aca="false">IF(L42="","",IF(ABS(L42)&lt;=O42,"Yes","No"))</f>
        <v>No</v>
      </c>
      <c r="S42" s="25" t="str">
        <f aca="false">IF(L42="","",IF(ABS(L42)&lt;=1.96*O42,"Yes","No"))</f>
        <v>Yes</v>
      </c>
      <c r="T42" s="52" t="n">
        <f aca="false">IF(D42="","",ROUND(SQRT(((D42+G42)*O42/100)^2+(J42*(D42+G42)*0.10931)^2),0))</f>
        <v>45</v>
      </c>
      <c r="U42" s="25"/>
    </row>
    <row r="43" customFormat="false" ht="15" hidden="false" customHeight="false" outlineLevel="0" collapsed="false">
      <c r="A43" s="25" t="s">
        <v>126</v>
      </c>
      <c r="B43" s="25" t="s">
        <v>184</v>
      </c>
      <c r="C43" s="25" t="s">
        <v>185</v>
      </c>
      <c r="D43" s="52" t="n">
        <v>177</v>
      </c>
      <c r="E43" s="52" t="n">
        <v>175</v>
      </c>
      <c r="F43" s="63" t="n">
        <f aca="false">IF(E43="","",D43-E43)</f>
        <v>2</v>
      </c>
      <c r="G43" s="52" t="n">
        <v>203</v>
      </c>
      <c r="H43" s="52" t="n">
        <v>212</v>
      </c>
      <c r="I43" s="63" t="n">
        <f aca="false">IF(H43="","",G43-H43)</f>
        <v>-9</v>
      </c>
      <c r="J43" s="53" t="n">
        <f aca="false">IF(OR(D43="",D43+G43=0),"",D43/(D43+G43))</f>
        <v>0.465789473684211</v>
      </c>
      <c r="K43" s="53" t="n">
        <f aca="false">IF(E43="","",E43/(E43+H43))</f>
        <v>0.452196382428941</v>
      </c>
      <c r="L43" s="64" t="n">
        <f aca="false">IF(OR(K43="",J43=""),"",(J43-K43)*100)</f>
        <v>1.359309125527</v>
      </c>
      <c r="M43" s="28" t="n">
        <v>3.51968652681483</v>
      </c>
      <c r="N43" s="28" t="n">
        <v>0.395914373242782</v>
      </c>
      <c r="O43" s="28" t="n">
        <f aca="false">SQRT(M43^2+N43^2)</f>
        <v>3.54188388262265</v>
      </c>
      <c r="P43" s="53" t="n">
        <f aca="false">IF(J43="","",MAX(0,J43-1.96*O43/100))</f>
        <v>0.396368549584807</v>
      </c>
      <c r="Q43" s="53" t="n">
        <f aca="false">IF(J43="","",MIN(1,J43+1.96*O43/100))</f>
        <v>0.535210397783615</v>
      </c>
      <c r="R43" s="25" t="str">
        <f aca="false">IF(L43="","",IF(ABS(L43)&lt;=O43,"Yes","No"))</f>
        <v>Yes</v>
      </c>
      <c r="S43" s="25" t="str">
        <f aca="false">IF(L43="","",IF(ABS(L43)&lt;=1.96*O43,"Yes","No"))</f>
        <v>Yes</v>
      </c>
      <c r="T43" s="52" t="n">
        <f aca="false">IF(D43="","",ROUND(SQRT(((D43+G43)*O43/100)^2+(J43*(D43+G43)*0.1901)^2),0))</f>
        <v>36</v>
      </c>
      <c r="U43" s="25"/>
    </row>
    <row r="44" customFormat="false" ht="15" hidden="false" customHeight="false" outlineLevel="0" collapsed="false">
      <c r="A44" s="25" t="s">
        <v>126</v>
      </c>
      <c r="B44" s="25" t="s">
        <v>184</v>
      </c>
      <c r="C44" s="25" t="s">
        <v>186</v>
      </c>
      <c r="D44" s="52" t="n">
        <v>181</v>
      </c>
      <c r="E44" s="52" t="n">
        <v>184</v>
      </c>
      <c r="F44" s="63" t="n">
        <f aca="false">IF(E44="","",D44-E44)</f>
        <v>-3</v>
      </c>
      <c r="G44" s="52" t="n">
        <v>210</v>
      </c>
      <c r="H44" s="52" t="n">
        <v>208</v>
      </c>
      <c r="I44" s="63" t="n">
        <f aca="false">IF(H44="","",G44-H44)</f>
        <v>2</v>
      </c>
      <c r="J44" s="53" t="n">
        <f aca="false">IF(OR(D44="",D44+G44=0),"",D44/(D44+G44))</f>
        <v>0.462915601023018</v>
      </c>
      <c r="K44" s="53" t="n">
        <f aca="false">IF(E44="","",E44/(E44+H44))</f>
        <v>0.469387755102041</v>
      </c>
      <c r="L44" s="64" t="n">
        <f aca="false">IF(OR(K44="",J44=""),"",(J44-K44)*100)</f>
        <v>-0.647215407902296</v>
      </c>
      <c r="M44" s="28" t="n">
        <v>3.51968652681483</v>
      </c>
      <c r="N44" s="28" t="n">
        <v>0.395914373242782</v>
      </c>
      <c r="O44" s="28" t="n">
        <f aca="false">SQRT(M44^2+N44^2)</f>
        <v>3.54188388262265</v>
      </c>
      <c r="P44" s="53" t="n">
        <f aca="false">IF(J44="","",MAX(0,J44-1.96*O44/100))</f>
        <v>0.393494676923614</v>
      </c>
      <c r="Q44" s="53" t="n">
        <f aca="false">IF(J44="","",MIN(1,J44+1.96*O44/100))</f>
        <v>0.532336525122422</v>
      </c>
      <c r="R44" s="25" t="str">
        <f aca="false">IF(L44="","",IF(ABS(L44)&lt;=O44,"Yes","No"))</f>
        <v>Yes</v>
      </c>
      <c r="S44" s="25" t="str">
        <f aca="false">IF(L44="","",IF(ABS(L44)&lt;=1.96*O44,"Yes","No"))</f>
        <v>Yes</v>
      </c>
      <c r="T44" s="52" t="n">
        <f aca="false">IF(D44="","",ROUND(SQRT(((D44+G44)*O44/100)^2+(J44*(D44+G44)*0.1901)^2),0))</f>
        <v>37</v>
      </c>
      <c r="U44" s="25"/>
    </row>
    <row r="45" customFormat="false" ht="15" hidden="false" customHeight="false" outlineLevel="0" collapsed="false">
      <c r="A45" s="25" t="s">
        <v>126</v>
      </c>
      <c r="B45" s="25" t="s">
        <v>184</v>
      </c>
      <c r="C45" s="25" t="s">
        <v>187</v>
      </c>
      <c r="D45" s="52" t="n">
        <v>118</v>
      </c>
      <c r="E45" s="52" t="n">
        <v>102</v>
      </c>
      <c r="F45" s="63" t="n">
        <f aca="false">IF(E45="","",D45-E45)</f>
        <v>16</v>
      </c>
      <c r="G45" s="52" t="n">
        <v>187</v>
      </c>
      <c r="H45" s="52" t="n">
        <v>192</v>
      </c>
      <c r="I45" s="63" t="n">
        <f aca="false">IF(H45="","",G45-H45)</f>
        <v>-5</v>
      </c>
      <c r="J45" s="53" t="n">
        <f aca="false">IF(OR(D45="",D45+G45=0),"",D45/(D45+G45))</f>
        <v>0.386885245901639</v>
      </c>
      <c r="K45" s="53" t="n">
        <f aca="false">IF(E45="","",E45/(E45+H45))</f>
        <v>0.346938775510204</v>
      </c>
      <c r="L45" s="64" t="n">
        <f aca="false">IF(OR(K45="",J45=""),"",(J45-K45)*100)</f>
        <v>3.99464703914353</v>
      </c>
      <c r="M45" s="28" t="n">
        <v>3.51968652681483</v>
      </c>
      <c r="N45" s="28" t="n">
        <v>0.395914373242782</v>
      </c>
      <c r="O45" s="28" t="n">
        <f aca="false">SQRT(M45^2+N45^2)</f>
        <v>3.54188388262265</v>
      </c>
      <c r="P45" s="53" t="n">
        <f aca="false">IF(J45="","",MAX(0,J45-1.96*O45/100))</f>
        <v>0.317464321802236</v>
      </c>
      <c r="Q45" s="53" t="n">
        <f aca="false">IF(J45="","",MIN(1,J45+1.96*O45/100))</f>
        <v>0.456306170001043</v>
      </c>
      <c r="R45" s="25" t="str">
        <f aca="false">IF(L45="","",IF(ABS(L45)&lt;=O45,"Yes","No"))</f>
        <v>No</v>
      </c>
      <c r="S45" s="25" t="str">
        <f aca="false">IF(L45="","",IF(ABS(L45)&lt;=1.96*O45,"Yes","No"))</f>
        <v>Yes</v>
      </c>
      <c r="T45" s="52" t="n">
        <f aca="false">IF(D45="","",ROUND(SQRT(((D45+G45)*O45/100)^2+(J45*(D45+G45)*0.1901)^2),0))</f>
        <v>25</v>
      </c>
      <c r="U45" s="25"/>
    </row>
    <row r="46" customFormat="false" ht="15" hidden="false" customHeight="false" outlineLevel="0" collapsed="false">
      <c r="A46" s="25" t="s">
        <v>126</v>
      </c>
      <c r="B46" s="25" t="s">
        <v>184</v>
      </c>
      <c r="C46" s="25" t="s">
        <v>188</v>
      </c>
      <c r="D46" s="52" t="n">
        <v>187</v>
      </c>
      <c r="E46" s="52" t="n">
        <v>194</v>
      </c>
      <c r="F46" s="63" t="n">
        <f aca="false">IF(E46="","",D46-E46)</f>
        <v>-7</v>
      </c>
      <c r="G46" s="52" t="n">
        <v>276</v>
      </c>
      <c r="H46" s="52" t="n">
        <v>296</v>
      </c>
      <c r="I46" s="63" t="n">
        <f aca="false">IF(H46="","",G46-H46)</f>
        <v>-20</v>
      </c>
      <c r="J46" s="53" t="n">
        <f aca="false">IF(OR(D46="",D46+G46=0),"",D46/(D46+G46))</f>
        <v>0.403887688984881</v>
      </c>
      <c r="K46" s="53" t="n">
        <f aca="false">IF(E46="","",E46/(E46+H46))</f>
        <v>0.395918367346939</v>
      </c>
      <c r="L46" s="64" t="n">
        <f aca="false">IF(OR(K46="",J46=""),"",(J46-K46)*100)</f>
        <v>0.796932163794245</v>
      </c>
      <c r="M46" s="28" t="n">
        <v>3.51968652681483</v>
      </c>
      <c r="N46" s="28" t="n">
        <v>0.395914373242782</v>
      </c>
      <c r="O46" s="28" t="n">
        <f aca="false">SQRT(M46^2+N46^2)</f>
        <v>3.54188388262265</v>
      </c>
      <c r="P46" s="53" t="n">
        <f aca="false">IF(J46="","",MAX(0,J46-1.96*O46/100))</f>
        <v>0.334466764885477</v>
      </c>
      <c r="Q46" s="53" t="n">
        <f aca="false">IF(J46="","",MIN(1,J46+1.96*O46/100))</f>
        <v>0.473308613084285</v>
      </c>
      <c r="R46" s="25" t="str">
        <f aca="false">IF(L46="","",IF(ABS(L46)&lt;=O46,"Yes","No"))</f>
        <v>Yes</v>
      </c>
      <c r="S46" s="25" t="str">
        <f aca="false">IF(L46="","",IF(ABS(L46)&lt;=1.96*O46,"Yes","No"))</f>
        <v>Yes</v>
      </c>
      <c r="T46" s="52" t="n">
        <f aca="false">IF(D46="","",ROUND(SQRT(((D46+G46)*O46/100)^2+(J46*(D46+G46)*0.1901)^2),0))</f>
        <v>39</v>
      </c>
      <c r="U46" s="25"/>
    </row>
    <row r="47" customFormat="false" ht="15" hidden="false" customHeight="false" outlineLevel="0" collapsed="false">
      <c r="A47" s="25" t="s">
        <v>126</v>
      </c>
      <c r="B47" s="25" t="s">
        <v>189</v>
      </c>
      <c r="C47" s="25" t="s">
        <v>190</v>
      </c>
      <c r="D47" s="52" t="n">
        <v>256</v>
      </c>
      <c r="E47" s="52" t="n">
        <v>298</v>
      </c>
      <c r="F47" s="63" t="n">
        <f aca="false">IF(E47="","",D47-E47)</f>
        <v>-42</v>
      </c>
      <c r="G47" s="52" t="n">
        <v>668</v>
      </c>
      <c r="H47" s="52" t="n">
        <v>649</v>
      </c>
      <c r="I47" s="63" t="n">
        <f aca="false">IF(H47="","",G47-H47)</f>
        <v>19</v>
      </c>
      <c r="J47" s="53" t="n">
        <f aca="false">IF(OR(D47="",D47+G47=0),"",D47/(D47+G47))</f>
        <v>0.277056277056277</v>
      </c>
      <c r="K47" s="53" t="n">
        <f aca="false">IF(E47="","",E47/(E47+H47))</f>
        <v>0.31467793030623</v>
      </c>
      <c r="L47" s="64" t="n">
        <f aca="false">IF(OR(K47="",J47=""),"",(J47-K47)*100)</f>
        <v>-3.76216532499531</v>
      </c>
      <c r="M47" s="28" t="n">
        <v>2.29525849334818</v>
      </c>
      <c r="N47" s="28" t="n">
        <v>0.395914373242782</v>
      </c>
      <c r="O47" s="28" t="n">
        <f aca="false">SQRT(M47^2+N47^2)</f>
        <v>2.32915429764264</v>
      </c>
      <c r="P47" s="53" t="n">
        <f aca="false">IF(J47="","",MAX(0,J47-1.96*O47/100))</f>
        <v>0.231404852822481</v>
      </c>
      <c r="Q47" s="53" t="n">
        <f aca="false">IF(J47="","",MIN(1,J47+1.96*O47/100))</f>
        <v>0.322707701290073</v>
      </c>
      <c r="R47" s="25" t="str">
        <f aca="false">IF(L47="","",IF(ABS(L47)&lt;=O47,"Yes","No"))</f>
        <v>No</v>
      </c>
      <c r="S47" s="25" t="str">
        <f aca="false">IF(L47="","",IF(ABS(L47)&lt;=1.96*O47,"Yes","No"))</f>
        <v>Yes</v>
      </c>
      <c r="T47" s="52" t="n">
        <f aca="false">IF(D47="","",ROUND(SQRT(((D47+G47)*O47/100)^2+(J47*(D47+G47)*0.10931)^2),0))</f>
        <v>35</v>
      </c>
      <c r="U47" s="25"/>
    </row>
    <row r="48" customFormat="false" ht="15" hidden="false" customHeight="false" outlineLevel="0" collapsed="false">
      <c r="A48" s="25" t="s">
        <v>126</v>
      </c>
      <c r="B48" s="25" t="s">
        <v>189</v>
      </c>
      <c r="C48" s="25" t="s">
        <v>191</v>
      </c>
      <c r="D48" s="52" t="n">
        <v>239</v>
      </c>
      <c r="E48" s="52" t="n">
        <v>253</v>
      </c>
      <c r="F48" s="63" t="n">
        <f aca="false">IF(E48="","",D48-E48)</f>
        <v>-14</v>
      </c>
      <c r="G48" s="52" t="n">
        <v>662</v>
      </c>
      <c r="H48" s="52" t="n">
        <v>710</v>
      </c>
      <c r="I48" s="63" t="n">
        <f aca="false">IF(H48="","",G48-H48)</f>
        <v>-48</v>
      </c>
      <c r="J48" s="53" t="n">
        <f aca="false">IF(OR(D48="",D48+G48=0),"",D48/(D48+G48))</f>
        <v>0.265260821309656</v>
      </c>
      <c r="K48" s="53" t="n">
        <f aca="false">IF(E48="","",E48/(E48+H48))</f>
        <v>0.262720664589823</v>
      </c>
      <c r="L48" s="64" t="n">
        <f aca="false">IF(OR(K48="",J48=""),"",(J48-K48)*100)</f>
        <v>0.254015671983249</v>
      </c>
      <c r="M48" s="28" t="n">
        <v>2.29525849334818</v>
      </c>
      <c r="N48" s="28" t="n">
        <v>0.395914373242782</v>
      </c>
      <c r="O48" s="28" t="n">
        <f aca="false">SQRT(M48^2+N48^2)</f>
        <v>2.32915429764264</v>
      </c>
      <c r="P48" s="53" t="n">
        <f aca="false">IF(J48="","",MAX(0,J48-1.96*O48/100))</f>
        <v>0.21960939707586</v>
      </c>
      <c r="Q48" s="53" t="n">
        <f aca="false">IF(J48="","",MIN(1,J48+1.96*O48/100))</f>
        <v>0.310912245543452</v>
      </c>
      <c r="R48" s="25" t="str">
        <f aca="false">IF(L48="","",IF(ABS(L48)&lt;=O48,"Yes","No"))</f>
        <v>Yes</v>
      </c>
      <c r="S48" s="25" t="str">
        <f aca="false">IF(L48="","",IF(ABS(L48)&lt;=1.96*O48,"Yes","No"))</f>
        <v>Yes</v>
      </c>
      <c r="T48" s="52" t="n">
        <f aca="false">IF(D48="","",ROUND(SQRT(((D48+G48)*O48/100)^2+(J48*(D48+G48)*0.10931)^2),0))</f>
        <v>34</v>
      </c>
      <c r="U48" s="25"/>
    </row>
    <row r="49" customFormat="false" ht="15" hidden="false" customHeight="false" outlineLevel="0" collapsed="false">
      <c r="A49" s="25" t="s">
        <v>126</v>
      </c>
      <c r="B49" s="25" t="s">
        <v>189</v>
      </c>
      <c r="C49" s="25" t="s">
        <v>192</v>
      </c>
      <c r="D49" s="52" t="n">
        <v>220</v>
      </c>
      <c r="E49" s="52" t="n">
        <v>238</v>
      </c>
      <c r="F49" s="63" t="n">
        <f aca="false">IF(E49="","",D49-E49)</f>
        <v>-18</v>
      </c>
      <c r="G49" s="52" t="n">
        <v>598</v>
      </c>
      <c r="H49" s="52" t="n">
        <v>586</v>
      </c>
      <c r="I49" s="63" t="n">
        <f aca="false">IF(H49="","",G49-H49)</f>
        <v>12</v>
      </c>
      <c r="J49" s="53" t="n">
        <f aca="false">IF(OR(D49="",D49+G49=0),"",D49/(D49+G49))</f>
        <v>0.268948655256724</v>
      </c>
      <c r="K49" s="53" t="n">
        <f aca="false">IF(E49="","",E49/(E49+H49))</f>
        <v>0.288834951456311</v>
      </c>
      <c r="L49" s="64" t="n">
        <f aca="false">IF(OR(K49="",J49=""),"",(J49-K49)*100)</f>
        <v>-1.98862961995869</v>
      </c>
      <c r="M49" s="28" t="n">
        <v>2.29525849334818</v>
      </c>
      <c r="N49" s="28" t="n">
        <v>0.395914373242782</v>
      </c>
      <c r="O49" s="28" t="n">
        <f aca="false">SQRT(M49^2+N49^2)</f>
        <v>2.32915429764264</v>
      </c>
      <c r="P49" s="53" t="n">
        <f aca="false">IF(J49="","",MAX(0,J49-1.96*O49/100))</f>
        <v>0.223297231022928</v>
      </c>
      <c r="Q49" s="53" t="n">
        <f aca="false">IF(J49="","",MIN(1,J49+1.96*O49/100))</f>
        <v>0.31460007949052</v>
      </c>
      <c r="R49" s="25" t="str">
        <f aca="false">IF(L49="","",IF(ABS(L49)&lt;=O49,"Yes","No"))</f>
        <v>Yes</v>
      </c>
      <c r="S49" s="25" t="str">
        <f aca="false">IF(L49="","",IF(ABS(L49)&lt;=1.96*O49,"Yes","No"))</f>
        <v>Yes</v>
      </c>
      <c r="T49" s="52" t="n">
        <f aca="false">IF(D49="","",ROUND(SQRT(((D49+G49)*O49/100)^2+(J49*(D49+G49)*0.10931)^2),0))</f>
        <v>31</v>
      </c>
      <c r="U49" s="25"/>
    </row>
    <row r="50" customFormat="false" ht="15" hidden="false" customHeight="false" outlineLevel="0" collapsed="false">
      <c r="A50" s="25" t="s">
        <v>126</v>
      </c>
      <c r="B50" s="25" t="s">
        <v>193</v>
      </c>
      <c r="C50" s="25" t="s">
        <v>194</v>
      </c>
      <c r="D50" s="52" t="n">
        <v>209</v>
      </c>
      <c r="E50" s="52" t="n">
        <v>238</v>
      </c>
      <c r="F50" s="63" t="n">
        <f aca="false">IF(E50="","",D50-E50)</f>
        <v>-29</v>
      </c>
      <c r="G50" s="52" t="n">
        <v>584</v>
      </c>
      <c r="H50" s="52" t="n">
        <v>541</v>
      </c>
      <c r="I50" s="63" t="n">
        <f aca="false">IF(H50="","",G50-H50)</f>
        <v>43</v>
      </c>
      <c r="J50" s="53" t="n">
        <f aca="false">IF(OR(D50="",D50+G50=0),"",D50/(D50+G50))</f>
        <v>0.263556116015132</v>
      </c>
      <c r="K50" s="53" t="n">
        <f aca="false">IF(E50="","",E50/(E50+H50))</f>
        <v>0.305519897304236</v>
      </c>
      <c r="L50" s="64" t="n">
        <f aca="false">IF(OR(K50="",J50=""),"",(J50-K50)*100)</f>
        <v>-4.19637812891038</v>
      </c>
      <c r="M50" s="28" t="n">
        <v>2.29525849334818</v>
      </c>
      <c r="N50" s="28" t="n">
        <v>0.395914373242782</v>
      </c>
      <c r="O50" s="28" t="n">
        <f aca="false">SQRT(M50^2+N50^2)</f>
        <v>2.32915429764264</v>
      </c>
      <c r="P50" s="53" t="n">
        <f aca="false">IF(J50="","",MAX(0,J50-1.96*O50/100))</f>
        <v>0.217904691781337</v>
      </c>
      <c r="Q50" s="53" t="n">
        <f aca="false">IF(J50="","",MIN(1,J50+1.96*O50/100))</f>
        <v>0.309207540248928</v>
      </c>
      <c r="R50" s="25" t="str">
        <f aca="false">IF(L50="","",IF(ABS(L50)&lt;=O50,"Yes","No"))</f>
        <v>No</v>
      </c>
      <c r="S50" s="25" t="str">
        <f aca="false">IF(L50="","",IF(ABS(L50)&lt;=1.96*O50,"Yes","No"))</f>
        <v>Yes</v>
      </c>
      <c r="T50" s="52" t="n">
        <f aca="false">IF(D50="","",ROUND(SQRT(((D50+G50)*O50/100)^2+(J50*(D50+G50)*0.10931)^2),0))</f>
        <v>29</v>
      </c>
      <c r="U50" s="25"/>
    </row>
    <row r="51" customFormat="false" ht="15" hidden="false" customHeight="false" outlineLevel="0" collapsed="false">
      <c r="A51" s="25" t="s">
        <v>126</v>
      </c>
      <c r="B51" s="25" t="s">
        <v>193</v>
      </c>
      <c r="C51" s="25" t="s">
        <v>195</v>
      </c>
      <c r="D51" s="52" t="n">
        <v>105</v>
      </c>
      <c r="E51" s="52" t="n">
        <v>103</v>
      </c>
      <c r="F51" s="63" t="n">
        <f aca="false">IF(E51="","",D51-E51)</f>
        <v>2</v>
      </c>
      <c r="G51" s="52" t="n">
        <v>291</v>
      </c>
      <c r="H51" s="52" t="n">
        <v>292</v>
      </c>
      <c r="I51" s="63" t="n">
        <f aca="false">IF(H51="","",G51-H51)</f>
        <v>-1</v>
      </c>
      <c r="J51" s="53" t="n">
        <f aca="false">IF(OR(D51="",D51+G51=0),"",D51/(D51+G51))</f>
        <v>0.265151515151515</v>
      </c>
      <c r="K51" s="53" t="n">
        <f aca="false">IF(E51="","",E51/(E51+H51))</f>
        <v>0.260759493670886</v>
      </c>
      <c r="L51" s="64" t="n">
        <f aca="false">IF(OR(K51="",J51=""),"",(J51-K51)*100)</f>
        <v>0.439202148062906</v>
      </c>
      <c r="M51" s="28" t="n">
        <v>3.51968652681483</v>
      </c>
      <c r="N51" s="28" t="n">
        <v>0.395914373242782</v>
      </c>
      <c r="O51" s="28" t="n">
        <f aca="false">SQRT(M51^2+N51^2)</f>
        <v>3.54188388262265</v>
      </c>
      <c r="P51" s="53" t="n">
        <f aca="false">IF(J51="","",MAX(0,J51-1.96*O51/100))</f>
        <v>0.195730591052111</v>
      </c>
      <c r="Q51" s="53" t="n">
        <f aca="false">IF(J51="","",MIN(1,J51+1.96*O51/100))</f>
        <v>0.334572439250919</v>
      </c>
      <c r="R51" s="25" t="str">
        <f aca="false">IF(L51="","",IF(ABS(L51)&lt;=O51,"Yes","No"))</f>
        <v>Yes</v>
      </c>
      <c r="S51" s="25" t="str">
        <f aca="false">IF(L51="","",IF(ABS(L51)&lt;=1.96*O51,"Yes","No"))</f>
        <v>Yes</v>
      </c>
      <c r="T51" s="52" t="n">
        <f aca="false">IF(D51="","",ROUND(SQRT(((D51+G51)*O51/100)^2+(J51*(D51+G51)*0.1901)^2),0))</f>
        <v>24</v>
      </c>
      <c r="U51" s="25"/>
    </row>
    <row r="52" customFormat="false" ht="15" hidden="false" customHeight="false" outlineLevel="0" collapsed="false">
      <c r="A52" s="25" t="s">
        <v>126</v>
      </c>
      <c r="B52" s="25" t="s">
        <v>196</v>
      </c>
      <c r="C52" s="25" t="s">
        <v>196</v>
      </c>
      <c r="D52" s="52" t="n">
        <v>57</v>
      </c>
      <c r="E52" s="52" t="n">
        <v>53</v>
      </c>
      <c r="F52" s="63" t="n">
        <f aca="false">IF(E52="","",D52-E52)</f>
        <v>4</v>
      </c>
      <c r="G52" s="52" t="n">
        <v>86</v>
      </c>
      <c r="H52" s="52" t="n">
        <v>99</v>
      </c>
      <c r="I52" s="63" t="n">
        <f aca="false">IF(H52="","",G52-H52)</f>
        <v>-13</v>
      </c>
      <c r="J52" s="53" t="n">
        <f aca="false">IF(OR(D52="",D52+G52=0),"",D52/(D52+G52))</f>
        <v>0.398601398601399</v>
      </c>
      <c r="K52" s="53" t="n">
        <f aca="false">IF(E52="","",E52/(E52+H52))</f>
        <v>0.348684210526316</v>
      </c>
      <c r="L52" s="64" t="n">
        <f aca="false">IF(OR(K52="",J52=""),"",(J52-K52)*100)</f>
        <v>4.99171880750828</v>
      </c>
      <c r="M52" s="28" t="n">
        <v>3.51968652681483</v>
      </c>
      <c r="N52" s="28" t="n">
        <v>0.395914373242782</v>
      </c>
      <c r="O52" s="28" t="n">
        <f aca="false">SQRT(M52^2+N52^2)</f>
        <v>3.54188388262265</v>
      </c>
      <c r="P52" s="53" t="n">
        <f aca="false">IF(J52="","",MAX(0,J52-1.96*O52/100))</f>
        <v>0.329180474501995</v>
      </c>
      <c r="Q52" s="53" t="n">
        <f aca="false">IF(J52="","",MIN(1,J52+1.96*O52/100))</f>
        <v>0.468022322700802</v>
      </c>
      <c r="R52" s="25" t="str">
        <f aca="false">IF(L52="","",IF(ABS(L52)&lt;=O52,"Yes","No"))</f>
        <v>No</v>
      </c>
      <c r="S52" s="25" t="str">
        <f aca="false">IF(L52="","",IF(ABS(L52)&lt;=1.96*O52,"Yes","No"))</f>
        <v>Yes</v>
      </c>
      <c r="T52" s="52" t="n">
        <f aca="false">IF(D52="","",ROUND(SQRT(((D52+G52)*O52/100)^2+(J52*(D52+G52)*0.1901)^2),0))</f>
        <v>12</v>
      </c>
      <c r="U52" s="25"/>
    </row>
    <row r="53" customFormat="false" ht="15" hidden="false" customHeight="false" outlineLevel="0" collapsed="false">
      <c r="A53" s="25" t="s">
        <v>197</v>
      </c>
      <c r="B53" s="25" t="s">
        <v>198</v>
      </c>
      <c r="C53" s="25" t="s">
        <v>198</v>
      </c>
      <c r="D53" s="52" t="n">
        <v>668</v>
      </c>
      <c r="E53" s="52" t="n">
        <v>601</v>
      </c>
      <c r="F53" s="63" t="n">
        <f aca="false">IF(E53="","",D53-E53)</f>
        <v>67</v>
      </c>
      <c r="G53" s="52" t="n">
        <v>751</v>
      </c>
      <c r="H53" s="52" t="n">
        <v>766</v>
      </c>
      <c r="I53" s="63" t="n">
        <f aca="false">IF(H53="","",G53-H53)</f>
        <v>-15</v>
      </c>
      <c r="J53" s="53" t="n">
        <f aca="false">IF(OR(D53="",D53+G53=0),"",D53/(D53+G53))</f>
        <v>0.470754052149401</v>
      </c>
      <c r="K53" s="53" t="n">
        <f aca="false">IF(E53="","",E53/(E53+H53))</f>
        <v>0.439648866130212</v>
      </c>
      <c r="L53" s="64" t="n">
        <f aca="false">IF(OR(K53="",J53=""),"",(J53-K53)*100)</f>
        <v>3.11051860191888</v>
      </c>
      <c r="M53" s="28" t="n">
        <v>2.07368371626919</v>
      </c>
      <c r="N53" s="28" t="n">
        <v>0.395914373242782</v>
      </c>
      <c r="O53" s="28" t="n">
        <f aca="false">SQRT(M53^2+N53^2)</f>
        <v>2.11114005837136</v>
      </c>
      <c r="P53" s="53" t="n">
        <f aca="false">IF(J53="","",MAX(0,J53-1.96*O53/100))</f>
        <v>0.429375707005322</v>
      </c>
      <c r="Q53" s="53" t="n">
        <f aca="false">IF(J53="","",MIN(1,J53+1.96*O53/100))</f>
        <v>0.51213239729348</v>
      </c>
      <c r="R53" s="25" t="str">
        <f aca="false">IF(L53="","",IF(ABS(L53)&lt;=O53,"Yes","No"))</f>
        <v>No</v>
      </c>
      <c r="S53" s="25" t="str">
        <f aca="false">IF(L53="","",IF(ABS(L53)&lt;=1.96*O53,"Yes","No"))</f>
        <v>Yes</v>
      </c>
      <c r="T53" s="52" t="n">
        <f aca="false">IF(D53="","",ROUND(SQRT(((D53+G53)*O53/100)^2+(J53*(D53+G53)*0.08889)^2),0))</f>
        <v>67</v>
      </c>
      <c r="U53" s="25"/>
    </row>
    <row r="54" customFormat="false" ht="15" hidden="false" customHeight="false" outlineLevel="0" collapsed="false">
      <c r="A54" s="25" t="s">
        <v>197</v>
      </c>
      <c r="B54" s="25" t="s">
        <v>199</v>
      </c>
      <c r="C54" s="25" t="s">
        <v>200</v>
      </c>
      <c r="D54" s="52" t="n">
        <v>545</v>
      </c>
      <c r="E54" s="52" t="n">
        <v>437</v>
      </c>
      <c r="F54" s="63" t="n">
        <f aca="false">IF(E54="","",D54-E54)</f>
        <v>108</v>
      </c>
      <c r="G54" s="52" t="n">
        <v>169</v>
      </c>
      <c r="H54" s="52" t="n">
        <v>173</v>
      </c>
      <c r="I54" s="63" t="n">
        <f aca="false">IF(H54="","",G54-H54)</f>
        <v>-4</v>
      </c>
      <c r="J54" s="53" t="n">
        <f aca="false">IF(OR(D54="",D54+G54=0),"",D54/(D54+G54))</f>
        <v>0.763305322128852</v>
      </c>
      <c r="K54" s="53" t="n">
        <f aca="false">IF(E54="","",E54/(E54+H54))</f>
        <v>0.716393442622951</v>
      </c>
      <c r="L54" s="64" t="n">
        <f aca="false">IF(OR(K54="",J54=""),"",(J54-K54)*100)</f>
        <v>4.69118795059007</v>
      </c>
      <c r="M54" s="28" t="n">
        <v>3.51968652681483</v>
      </c>
      <c r="N54" s="28" t="n">
        <v>0.395914373242782</v>
      </c>
      <c r="O54" s="28" t="n">
        <f aca="false">SQRT(M54^2+N54^2)</f>
        <v>3.54188388262265</v>
      </c>
      <c r="P54" s="53" t="n">
        <f aca="false">IF(J54="","",MAX(0,J54-1.96*O54/100))</f>
        <v>0.693884398029448</v>
      </c>
      <c r="Q54" s="53" t="n">
        <f aca="false">IF(J54="","",MIN(1,J54+1.96*O54/100))</f>
        <v>0.832726246228255</v>
      </c>
      <c r="R54" s="25" t="str">
        <f aca="false">IF(L54="","",IF(ABS(L54)&lt;=O54,"Yes","No"))</f>
        <v>No</v>
      </c>
      <c r="S54" s="25" t="str">
        <f aca="false">IF(L54="","",IF(ABS(L54)&lt;=1.96*O54,"Yes","No"))</f>
        <v>Yes</v>
      </c>
      <c r="T54" s="52" t="n">
        <f aca="false">IF(D54="","",ROUND(SQRT(((D54+G54)*O54/100)^2+(J54*(D54+G54)*0.1901)^2),0))</f>
        <v>107</v>
      </c>
      <c r="U54" s="25"/>
    </row>
    <row r="55" customFormat="false" ht="15" hidden="false" customHeight="false" outlineLevel="0" collapsed="false">
      <c r="A55" s="25" t="s">
        <v>197</v>
      </c>
      <c r="B55" s="25" t="s">
        <v>199</v>
      </c>
      <c r="C55" s="25" t="s">
        <v>201</v>
      </c>
      <c r="D55" s="52" t="n">
        <v>349</v>
      </c>
      <c r="E55" s="52" t="n">
        <v>328</v>
      </c>
      <c r="F55" s="63" t="n">
        <f aca="false">IF(E55="","",D55-E55)</f>
        <v>21</v>
      </c>
      <c r="G55" s="52" t="n">
        <v>127</v>
      </c>
      <c r="H55" s="52" t="n">
        <v>173</v>
      </c>
      <c r="I55" s="63" t="n">
        <f aca="false">IF(H55="","",G55-H55)</f>
        <v>-46</v>
      </c>
      <c r="J55" s="53" t="n">
        <f aca="false">IF(OR(D55="",D55+G55=0),"",D55/(D55+G55))</f>
        <v>0.733193277310924</v>
      </c>
      <c r="K55" s="53" t="n">
        <f aca="false">IF(E55="","",E55/(E55+H55))</f>
        <v>0.654690618762475</v>
      </c>
      <c r="L55" s="64" t="n">
        <f aca="false">IF(OR(K55="",J55=""),"",(J55-K55)*100)</f>
        <v>7.85026585484493</v>
      </c>
      <c r="M55" s="28" t="n">
        <v>3.51968652681483</v>
      </c>
      <c r="N55" s="28" t="n">
        <v>0.395914373242782</v>
      </c>
      <c r="O55" s="28" t="n">
        <f aca="false">SQRT(M55^2+N55^2)</f>
        <v>3.54188388262265</v>
      </c>
      <c r="P55" s="53" t="n">
        <f aca="false">IF(J55="","",MAX(0,J55-1.96*O55/100))</f>
        <v>0.66377235321152</v>
      </c>
      <c r="Q55" s="53" t="n">
        <f aca="false">IF(J55="","",MIN(1,J55+1.96*O55/100))</f>
        <v>0.802614201410328</v>
      </c>
      <c r="R55" s="25" t="str">
        <f aca="false">IF(L55="","",IF(ABS(L55)&lt;=O55,"Yes","No"))</f>
        <v>No</v>
      </c>
      <c r="S55" s="25" t="str">
        <f aca="false">IF(L55="","",IF(ABS(L55)&lt;=1.96*O55,"Yes","No"))</f>
        <v>No</v>
      </c>
      <c r="T55" s="52" t="n">
        <f aca="false">IF(D55="","",ROUND(SQRT(((D55+G55)*O55/100)^2+(J55*(D55+G55)*0.1901)^2),0))</f>
        <v>68</v>
      </c>
      <c r="U55" s="25"/>
    </row>
    <row r="56" customFormat="false" ht="15" hidden="false" customHeight="false" outlineLevel="0" collapsed="false">
      <c r="A56" s="25" t="s">
        <v>197</v>
      </c>
      <c r="B56" s="25" t="s">
        <v>199</v>
      </c>
      <c r="C56" s="25" t="s">
        <v>202</v>
      </c>
      <c r="D56" s="52" t="n">
        <v>391</v>
      </c>
      <c r="E56" s="52" t="n">
        <v>347</v>
      </c>
      <c r="F56" s="63" t="n">
        <f aca="false">IF(E56="","",D56-E56)</f>
        <v>44</v>
      </c>
      <c r="G56" s="52" t="n">
        <v>122</v>
      </c>
      <c r="H56" s="52" t="n">
        <v>147</v>
      </c>
      <c r="I56" s="63" t="n">
        <f aca="false">IF(H56="","",G56-H56)</f>
        <v>-25</v>
      </c>
      <c r="J56" s="53" t="n">
        <f aca="false">IF(OR(D56="",D56+G56=0),"",D56/(D56+G56))</f>
        <v>0.762183235867446</v>
      </c>
      <c r="K56" s="53" t="n">
        <f aca="false">IF(E56="","",E56/(E56+H56))</f>
        <v>0.702429149797571</v>
      </c>
      <c r="L56" s="64" t="n">
        <f aca="false">IF(OR(K56="",J56=""),"",(J56-K56)*100)</f>
        <v>5.97540860698755</v>
      </c>
      <c r="M56" s="28" t="n">
        <v>3.51968652681483</v>
      </c>
      <c r="N56" s="28" t="n">
        <v>0.395914373242782</v>
      </c>
      <c r="O56" s="28" t="n">
        <f aca="false">SQRT(M56^2+N56^2)</f>
        <v>3.54188388262265</v>
      </c>
      <c r="P56" s="53" t="n">
        <f aca="false">IF(J56="","",MAX(0,J56-1.96*O56/100))</f>
        <v>0.692762311768043</v>
      </c>
      <c r="Q56" s="53" t="n">
        <f aca="false">IF(J56="","",MIN(1,J56+1.96*O56/100))</f>
        <v>0.83160415996685</v>
      </c>
      <c r="R56" s="25" t="str">
        <f aca="false">IF(L56="","",IF(ABS(L56)&lt;=O56,"Yes","No"))</f>
        <v>No</v>
      </c>
      <c r="S56" s="25" t="str">
        <f aca="false">IF(L56="","",IF(ABS(L56)&lt;=1.96*O56,"Yes","No"))</f>
        <v>Yes</v>
      </c>
      <c r="T56" s="52" t="n">
        <f aca="false">IF(D56="","",ROUND(SQRT(((D56+G56)*O56/100)^2+(J56*(D56+G56)*0.1901)^2),0))</f>
        <v>77</v>
      </c>
      <c r="U56" s="25"/>
    </row>
    <row r="57" customFormat="false" ht="15" hidden="false" customHeight="false" outlineLevel="0" collapsed="false">
      <c r="A57" s="25" t="s">
        <v>197</v>
      </c>
      <c r="B57" s="25" t="s">
        <v>199</v>
      </c>
      <c r="C57" s="25" t="s">
        <v>203</v>
      </c>
      <c r="D57" s="52" t="n">
        <v>347</v>
      </c>
      <c r="E57" s="52" t="n">
        <v>314</v>
      </c>
      <c r="F57" s="63" t="n">
        <f aca="false">IF(E57="","",D57-E57)</f>
        <v>33</v>
      </c>
      <c r="G57" s="52" t="n">
        <v>127</v>
      </c>
      <c r="H57" s="52" t="n">
        <v>149</v>
      </c>
      <c r="I57" s="63" t="n">
        <f aca="false">IF(H57="","",G57-H57)</f>
        <v>-22</v>
      </c>
      <c r="J57" s="53" t="n">
        <f aca="false">IF(OR(D57="",D57+G57=0),"",D57/(D57+G57))</f>
        <v>0.732067510548523</v>
      </c>
      <c r="K57" s="53" t="n">
        <f aca="false">IF(E57="","",E57/(E57+H57))</f>
        <v>0.678185745140389</v>
      </c>
      <c r="L57" s="64" t="n">
        <f aca="false">IF(OR(K57="",J57=""),"",(J57-K57)*100)</f>
        <v>5.38817654081345</v>
      </c>
      <c r="M57" s="28" t="n">
        <v>3.51968652681483</v>
      </c>
      <c r="N57" s="28" t="n">
        <v>0.395914373242782</v>
      </c>
      <c r="O57" s="28" t="n">
        <f aca="false">SQRT(M57^2+N57^2)</f>
        <v>3.54188388262265</v>
      </c>
      <c r="P57" s="53" t="n">
        <f aca="false">IF(J57="","",MAX(0,J57-1.96*O57/100))</f>
        <v>0.662646586449119</v>
      </c>
      <c r="Q57" s="53" t="n">
        <f aca="false">IF(J57="","",MIN(1,J57+1.96*O57/100))</f>
        <v>0.801488434647927</v>
      </c>
      <c r="R57" s="25" t="str">
        <f aca="false">IF(L57="","",IF(ABS(L57)&lt;=O57,"Yes","No"))</f>
        <v>No</v>
      </c>
      <c r="S57" s="25" t="str">
        <f aca="false">IF(L57="","",IF(ABS(L57)&lt;=1.96*O57,"Yes","No"))</f>
        <v>Yes</v>
      </c>
      <c r="T57" s="52" t="n">
        <f aca="false">IF(D57="","",ROUND(SQRT(((D57+G57)*O57/100)^2+(J57*(D57+G57)*0.1901)^2),0))</f>
        <v>68</v>
      </c>
      <c r="U57" s="25"/>
    </row>
    <row r="58" customFormat="false" ht="15" hidden="false" customHeight="false" outlineLevel="0" collapsed="false">
      <c r="A58" s="25" t="s">
        <v>197</v>
      </c>
      <c r="B58" s="25" t="s">
        <v>199</v>
      </c>
      <c r="C58" s="25" t="s">
        <v>204</v>
      </c>
      <c r="D58" s="52" t="n">
        <v>394</v>
      </c>
      <c r="E58" s="52" t="n">
        <v>364</v>
      </c>
      <c r="F58" s="63" t="n">
        <f aca="false">IF(E58="","",D58-E58)</f>
        <v>30</v>
      </c>
      <c r="G58" s="52" t="n">
        <v>126</v>
      </c>
      <c r="H58" s="52" t="n">
        <v>137</v>
      </c>
      <c r="I58" s="63" t="n">
        <f aca="false">IF(H58="","",G58-H58)</f>
        <v>-11</v>
      </c>
      <c r="J58" s="53" t="n">
        <f aca="false">IF(OR(D58="",D58+G58=0),"",D58/(D58+G58))</f>
        <v>0.757692307692308</v>
      </c>
      <c r="K58" s="53" t="n">
        <f aca="false">IF(E58="","",E58/(E58+H58))</f>
        <v>0.726546906187625</v>
      </c>
      <c r="L58" s="64" t="n">
        <f aca="false">IF(OR(K58="",J58=""),"",(J58-K58)*100)</f>
        <v>3.11454015046829</v>
      </c>
      <c r="M58" s="28" t="n">
        <v>3.51968652681483</v>
      </c>
      <c r="N58" s="28" t="n">
        <v>0.395914373242782</v>
      </c>
      <c r="O58" s="28" t="n">
        <f aca="false">SQRT(M58^2+N58^2)</f>
        <v>3.54188388262265</v>
      </c>
      <c r="P58" s="53" t="n">
        <f aca="false">IF(J58="","",MAX(0,J58-1.96*O58/100))</f>
        <v>0.688271383592904</v>
      </c>
      <c r="Q58" s="53" t="n">
        <f aca="false">IF(J58="","",MIN(1,J58+1.96*O58/100))</f>
        <v>0.827113231791712</v>
      </c>
      <c r="R58" s="25" t="str">
        <f aca="false">IF(L58="","",IF(ABS(L58)&lt;=O58,"Yes","No"))</f>
        <v>Yes</v>
      </c>
      <c r="S58" s="25" t="str">
        <f aca="false">IF(L58="","",IF(ABS(L58)&lt;=1.96*O58,"Yes","No"))</f>
        <v>Yes</v>
      </c>
      <c r="T58" s="52" t="n">
        <f aca="false">IF(D58="","",ROUND(SQRT(((D58+G58)*O58/100)^2+(J58*(D58+G58)*0.1901)^2),0))</f>
        <v>77</v>
      </c>
      <c r="U58" s="25"/>
    </row>
    <row r="59" customFormat="false" ht="15" hidden="false" customHeight="false" outlineLevel="0" collapsed="false">
      <c r="A59" s="25" t="s">
        <v>197</v>
      </c>
      <c r="B59" s="25" t="s">
        <v>199</v>
      </c>
      <c r="C59" s="25" t="s">
        <v>205</v>
      </c>
      <c r="D59" s="52" t="n">
        <v>453</v>
      </c>
      <c r="E59" s="52" t="n">
        <v>399</v>
      </c>
      <c r="F59" s="63" t="n">
        <f aca="false">IF(E59="","",D59-E59)</f>
        <v>54</v>
      </c>
      <c r="G59" s="52" t="n">
        <v>184</v>
      </c>
      <c r="H59" s="52" t="n">
        <v>171</v>
      </c>
      <c r="I59" s="63" t="n">
        <f aca="false">IF(H59="","",G59-H59)</f>
        <v>13</v>
      </c>
      <c r="J59" s="53" t="n">
        <f aca="false">IF(OR(D59="",D59+G59=0),"",D59/(D59+G59))</f>
        <v>0.711145996860283</v>
      </c>
      <c r="K59" s="53" t="n">
        <f aca="false">IF(E59="","",E59/(E59+H59))</f>
        <v>0.7</v>
      </c>
      <c r="L59" s="64" t="n">
        <f aca="false">IF(OR(K59="",J59=""),"",(J59-K59)*100)</f>
        <v>1.11459968602826</v>
      </c>
      <c r="M59" s="28" t="n">
        <v>3.51968652681483</v>
      </c>
      <c r="N59" s="28" t="n">
        <v>0.395914373242782</v>
      </c>
      <c r="O59" s="28" t="n">
        <f aca="false">SQRT(M59^2+N59^2)</f>
        <v>3.54188388262265</v>
      </c>
      <c r="P59" s="53" t="n">
        <f aca="false">IF(J59="","",MAX(0,J59-1.96*O59/100))</f>
        <v>0.641725072760879</v>
      </c>
      <c r="Q59" s="53" t="n">
        <f aca="false">IF(J59="","",MIN(1,J59+1.96*O59/100))</f>
        <v>0.780566920959687</v>
      </c>
      <c r="R59" s="25" t="str">
        <f aca="false">IF(L59="","",IF(ABS(L59)&lt;=O59,"Yes","No"))</f>
        <v>Yes</v>
      </c>
      <c r="S59" s="25" t="str">
        <f aca="false">IF(L59="","",IF(ABS(L59)&lt;=1.96*O59,"Yes","No"))</f>
        <v>Yes</v>
      </c>
      <c r="T59" s="52" t="n">
        <f aca="false">IF(D59="","",ROUND(SQRT(((D59+G59)*O59/100)^2+(J59*(D59+G59)*0.1901)^2),0))</f>
        <v>89</v>
      </c>
      <c r="U59" s="25"/>
    </row>
    <row r="60" customFormat="false" ht="15" hidden="false" customHeight="false" outlineLevel="0" collapsed="false">
      <c r="A60" s="25" t="s">
        <v>197</v>
      </c>
      <c r="B60" s="25" t="s">
        <v>199</v>
      </c>
      <c r="C60" s="25" t="s">
        <v>206</v>
      </c>
      <c r="D60" s="52" t="n">
        <v>990</v>
      </c>
      <c r="E60" s="52" t="n">
        <v>1034</v>
      </c>
      <c r="F60" s="63" t="n">
        <f aca="false">IF(E60="","",D60-E60)</f>
        <v>-44</v>
      </c>
      <c r="G60" s="52" t="n">
        <v>283</v>
      </c>
      <c r="H60" s="52" t="n">
        <v>285</v>
      </c>
      <c r="I60" s="63" t="n">
        <f aca="false">IF(H60="","",G60-H60)</f>
        <v>-2</v>
      </c>
      <c r="J60" s="53" t="n">
        <f aca="false">IF(OR(D60="",D60+G60=0),"",D60/(D60+G60))</f>
        <v>0.777690494893951</v>
      </c>
      <c r="K60" s="53" t="n">
        <f aca="false">IF(E60="","",E60/(E60+H60))</f>
        <v>0.783927217589083</v>
      </c>
      <c r="L60" s="64" t="n">
        <f aca="false">IF(OR(K60="",J60=""),"",(J60-K60)*100)</f>
        <v>-0.623672269513143</v>
      </c>
      <c r="M60" s="28" t="n">
        <v>2.07368371626919</v>
      </c>
      <c r="N60" s="28" t="n">
        <v>0.395914373242782</v>
      </c>
      <c r="O60" s="28" t="n">
        <f aca="false">SQRT(M60^2+N60^2)</f>
        <v>2.11114005837136</v>
      </c>
      <c r="P60" s="53" t="n">
        <f aca="false">IF(J60="","",MAX(0,J60-1.96*O60/100))</f>
        <v>0.736312149749873</v>
      </c>
      <c r="Q60" s="53" t="n">
        <f aca="false">IF(J60="","",MIN(1,J60+1.96*O60/100))</f>
        <v>0.81906884003803</v>
      </c>
      <c r="R60" s="25" t="str">
        <f aca="false">IF(L60="","",IF(ABS(L60)&lt;=O60,"Yes","No"))</f>
        <v>Yes</v>
      </c>
      <c r="S60" s="25" t="str">
        <f aca="false">IF(L60="","",IF(ABS(L60)&lt;=1.96*O60,"Yes","No"))</f>
        <v>Yes</v>
      </c>
      <c r="T60" s="52" t="n">
        <f aca="false">IF(D60="","",ROUND(SQRT(((D60+G60)*O60/100)^2+(J60*(D60+G60)*0.08889)^2),0))</f>
        <v>92</v>
      </c>
      <c r="U60" s="25"/>
    </row>
    <row r="61" customFormat="false" ht="15" hidden="false" customHeight="false" outlineLevel="0" collapsed="false">
      <c r="A61" s="25" t="s">
        <v>197</v>
      </c>
      <c r="B61" s="25" t="s">
        <v>199</v>
      </c>
      <c r="C61" s="25" t="s">
        <v>207</v>
      </c>
      <c r="D61" s="52" t="n">
        <v>391</v>
      </c>
      <c r="E61" s="52" t="n">
        <v>377</v>
      </c>
      <c r="F61" s="63" t="n">
        <f aca="false">IF(E61="","",D61-E61)</f>
        <v>14</v>
      </c>
      <c r="G61" s="52" t="n">
        <v>214</v>
      </c>
      <c r="H61" s="52" t="n">
        <v>190</v>
      </c>
      <c r="I61" s="63" t="n">
        <f aca="false">IF(H61="","",G61-H61)</f>
        <v>24</v>
      </c>
      <c r="J61" s="53" t="n">
        <f aca="false">IF(OR(D61="",D61+G61=0),"",D61/(D61+G61))</f>
        <v>0.646280991735537</v>
      </c>
      <c r="K61" s="53" t="n">
        <f aca="false">IF(E61="","",E61/(E61+H61))</f>
        <v>0.664902998236332</v>
      </c>
      <c r="L61" s="64" t="n">
        <f aca="false">IF(OR(K61="",J61=""),"",(J61-K61)*100)</f>
        <v>-1.86220065007944</v>
      </c>
      <c r="M61" s="28" t="n">
        <v>3.51968652681483</v>
      </c>
      <c r="N61" s="28" t="n">
        <v>0.395914373242782</v>
      </c>
      <c r="O61" s="28" t="n">
        <f aca="false">SQRT(M61^2+N61^2)</f>
        <v>3.54188388262265</v>
      </c>
      <c r="P61" s="53" t="n">
        <f aca="false">IF(J61="","",MAX(0,J61-1.96*O61/100))</f>
        <v>0.576860067636133</v>
      </c>
      <c r="Q61" s="53" t="n">
        <f aca="false">IF(J61="","",MIN(1,J61+1.96*O61/100))</f>
        <v>0.715701915834941</v>
      </c>
      <c r="R61" s="25" t="str">
        <f aca="false">IF(L61="","",IF(ABS(L61)&lt;=O61,"Yes","No"))</f>
        <v>Yes</v>
      </c>
      <c r="S61" s="25" t="str">
        <f aca="false">IF(L61="","",IF(ABS(L61)&lt;=1.96*O61,"Yes","No"))</f>
        <v>Yes</v>
      </c>
      <c r="T61" s="52" t="n">
        <f aca="false">IF(D61="","",ROUND(SQRT(((D61+G61)*O61/100)^2+(J61*(D61+G61)*0.1901)^2),0))</f>
        <v>77</v>
      </c>
      <c r="U61" s="25"/>
    </row>
    <row r="62" customFormat="false" ht="15" hidden="false" customHeight="false" outlineLevel="0" collapsed="false">
      <c r="A62" s="25" t="s">
        <v>197</v>
      </c>
      <c r="B62" s="25" t="s">
        <v>199</v>
      </c>
      <c r="C62" s="25" t="s">
        <v>208</v>
      </c>
      <c r="D62" s="52" t="n">
        <v>596</v>
      </c>
      <c r="E62" s="52" t="n">
        <v>619</v>
      </c>
      <c r="F62" s="63" t="n">
        <f aca="false">IF(E62="","",D62-E62)</f>
        <v>-23</v>
      </c>
      <c r="G62" s="52" t="n">
        <v>402</v>
      </c>
      <c r="H62" s="52" t="n">
        <v>400</v>
      </c>
      <c r="I62" s="63" t="n">
        <f aca="false">IF(H62="","",G62-H62)</f>
        <v>2</v>
      </c>
      <c r="J62" s="53" t="n">
        <f aca="false">IF(OR(D62="",D62+G62=0),"",D62/(D62+G62))</f>
        <v>0.597194388777555</v>
      </c>
      <c r="K62" s="53" t="n">
        <f aca="false">IF(E62="","",E62/(E62+H62))</f>
        <v>0.607458292443572</v>
      </c>
      <c r="L62" s="64" t="n">
        <f aca="false">IF(OR(K62="",J62=""),"",(J62-K62)*100)</f>
        <v>-1.02639036660169</v>
      </c>
      <c r="M62" s="28" t="n">
        <v>2.29525849334818</v>
      </c>
      <c r="N62" s="28" t="n">
        <v>0.395914373242782</v>
      </c>
      <c r="O62" s="28" t="n">
        <f aca="false">SQRT(M62^2+N62^2)</f>
        <v>2.32915429764264</v>
      </c>
      <c r="P62" s="53" t="n">
        <f aca="false">IF(J62="","",MAX(0,J62-1.96*O62/100))</f>
        <v>0.551542964543759</v>
      </c>
      <c r="Q62" s="53" t="n">
        <f aca="false">IF(J62="","",MIN(1,J62+1.96*O62/100))</f>
        <v>0.642845813011351</v>
      </c>
      <c r="R62" s="25" t="str">
        <f aca="false">IF(L62="","",IF(ABS(L62)&lt;=O62,"Yes","No"))</f>
        <v>Yes</v>
      </c>
      <c r="S62" s="25" t="str">
        <f aca="false">IF(L62="","",IF(ABS(L62)&lt;=1.96*O62,"Yes","No"))</f>
        <v>Yes</v>
      </c>
      <c r="T62" s="52" t="n">
        <f aca="false">IF(D62="","",ROUND(SQRT(((D62+G62)*O62/100)^2+(J62*(D62+G62)*0.10931)^2),0))</f>
        <v>69</v>
      </c>
      <c r="U62" s="25"/>
    </row>
    <row r="63" customFormat="false" ht="15" hidden="false" customHeight="false" outlineLevel="0" collapsed="false">
      <c r="A63" s="25" t="s">
        <v>197</v>
      </c>
      <c r="B63" s="25" t="s">
        <v>199</v>
      </c>
      <c r="C63" s="25" t="s">
        <v>209</v>
      </c>
      <c r="D63" s="52" t="n">
        <v>430</v>
      </c>
      <c r="E63" s="52" t="n">
        <v>438</v>
      </c>
      <c r="F63" s="63" t="n">
        <f aca="false">IF(E63="","",D63-E63)</f>
        <v>-8</v>
      </c>
      <c r="G63" s="52" t="n">
        <v>286</v>
      </c>
      <c r="H63" s="52" t="n">
        <v>259</v>
      </c>
      <c r="I63" s="63" t="n">
        <f aca="false">IF(H63="","",G63-H63)</f>
        <v>27</v>
      </c>
      <c r="J63" s="53" t="n">
        <f aca="false">IF(OR(D63="",D63+G63=0),"",D63/(D63+G63))</f>
        <v>0.600558659217877</v>
      </c>
      <c r="K63" s="53" t="n">
        <f aca="false">IF(E63="","",E63/(E63+H63))</f>
        <v>0.628407460545194</v>
      </c>
      <c r="L63" s="64" t="n">
        <f aca="false">IF(OR(K63="",J63=""),"",(J63-K63)*100)</f>
        <v>-2.78488013273166</v>
      </c>
      <c r="M63" s="28" t="n">
        <v>3.51968652681483</v>
      </c>
      <c r="N63" s="28" t="n">
        <v>0.395914373242782</v>
      </c>
      <c r="O63" s="28" t="n">
        <f aca="false">SQRT(M63^2+N63^2)</f>
        <v>3.54188388262265</v>
      </c>
      <c r="P63" s="53" t="n">
        <f aca="false">IF(J63="","",MAX(0,J63-1.96*O63/100))</f>
        <v>0.531137735118473</v>
      </c>
      <c r="Q63" s="53" t="n">
        <f aca="false">IF(J63="","",MIN(1,J63+1.96*O63/100))</f>
        <v>0.669979583317281</v>
      </c>
      <c r="R63" s="25" t="str">
        <f aca="false">IF(L63="","",IF(ABS(L63)&lt;=O63,"Yes","No"))</f>
        <v>Yes</v>
      </c>
      <c r="S63" s="25" t="str">
        <f aca="false">IF(L63="","",IF(ABS(L63)&lt;=1.96*O63,"Yes","No"))</f>
        <v>Yes</v>
      </c>
      <c r="T63" s="52" t="n">
        <f aca="false">IF(D63="","",ROUND(SQRT(((D63+G63)*O63/100)^2+(J63*(D63+G63)*0.1901)^2),0))</f>
        <v>86</v>
      </c>
      <c r="U63" s="25"/>
    </row>
    <row r="64" customFormat="false" ht="15" hidden="false" customHeight="false" outlineLevel="0" collapsed="false">
      <c r="A64" s="25" t="s">
        <v>197</v>
      </c>
      <c r="B64" s="25" t="s">
        <v>199</v>
      </c>
      <c r="C64" s="25" t="s">
        <v>210</v>
      </c>
      <c r="D64" s="52" t="n">
        <v>472</v>
      </c>
      <c r="E64" s="52" t="n">
        <v>428</v>
      </c>
      <c r="F64" s="63" t="n">
        <f aca="false">IF(E64="","",D64-E64)</f>
        <v>44</v>
      </c>
      <c r="G64" s="52" t="n">
        <v>188</v>
      </c>
      <c r="H64" s="52" t="n">
        <v>195</v>
      </c>
      <c r="I64" s="63" t="n">
        <f aca="false">IF(H64="","",G64-H64)</f>
        <v>-7</v>
      </c>
      <c r="J64" s="53" t="n">
        <f aca="false">IF(OR(D64="",D64+G64=0),"",D64/(D64+G64))</f>
        <v>0.715151515151515</v>
      </c>
      <c r="K64" s="53" t="n">
        <f aca="false">IF(E64="","",E64/(E64+H64))</f>
        <v>0.686998394863563</v>
      </c>
      <c r="L64" s="64" t="n">
        <f aca="false">IF(OR(K64="",J64=""),"",(J64-K64)*100)</f>
        <v>2.81531202879518</v>
      </c>
      <c r="M64" s="28" t="n">
        <v>3.51968652681483</v>
      </c>
      <c r="N64" s="28" t="n">
        <v>0.395914373242782</v>
      </c>
      <c r="O64" s="28" t="n">
        <f aca="false">SQRT(M64^2+N64^2)</f>
        <v>3.54188388262265</v>
      </c>
      <c r="P64" s="53" t="n">
        <f aca="false">IF(J64="","",MAX(0,J64-1.96*O64/100))</f>
        <v>0.645730591052111</v>
      </c>
      <c r="Q64" s="53" t="n">
        <f aca="false">IF(J64="","",MIN(1,J64+1.96*O64/100))</f>
        <v>0.784572439250919</v>
      </c>
      <c r="R64" s="25" t="str">
        <f aca="false">IF(L64="","",IF(ABS(L64)&lt;=O64,"Yes","No"))</f>
        <v>Yes</v>
      </c>
      <c r="S64" s="25" t="str">
        <f aca="false">IF(L64="","",IF(ABS(L64)&lt;=1.96*O64,"Yes","No"))</f>
        <v>Yes</v>
      </c>
      <c r="T64" s="52" t="n">
        <f aca="false">IF(D64="","",ROUND(SQRT(((D64+G64)*O64/100)^2+(J64*(D64+G64)*0.1901)^2),0))</f>
        <v>93</v>
      </c>
      <c r="U64" s="25"/>
    </row>
    <row r="65" customFormat="false" ht="15" hidden="false" customHeight="false" outlineLevel="0" collapsed="false">
      <c r="A65" s="25" t="s">
        <v>197</v>
      </c>
      <c r="B65" s="25" t="s">
        <v>199</v>
      </c>
      <c r="C65" s="25" t="s">
        <v>211</v>
      </c>
      <c r="D65" s="52" t="n">
        <v>539</v>
      </c>
      <c r="E65" s="52" t="n">
        <v>563</v>
      </c>
      <c r="F65" s="63" t="n">
        <f aca="false">IF(E65="","",D65-E65)</f>
        <v>-24</v>
      </c>
      <c r="G65" s="52" t="n">
        <v>308</v>
      </c>
      <c r="H65" s="52" t="n">
        <v>322</v>
      </c>
      <c r="I65" s="63" t="n">
        <f aca="false">IF(H65="","",G65-H65)</f>
        <v>-14</v>
      </c>
      <c r="J65" s="53" t="n">
        <f aca="false">IF(OR(D65="",D65+G65=0),"",D65/(D65+G65))</f>
        <v>0.636363636363636</v>
      </c>
      <c r="K65" s="53" t="n">
        <f aca="false">IF(E65="","",E65/(E65+H65))</f>
        <v>0.636158192090396</v>
      </c>
      <c r="L65" s="64" t="n">
        <f aca="false">IF(OR(K65="",J65=""),"",(J65-K65)*100)</f>
        <v>0.0205444273240873</v>
      </c>
      <c r="M65" s="28" t="n">
        <v>2.29525849334818</v>
      </c>
      <c r="N65" s="28" t="n">
        <v>0.395914373242782</v>
      </c>
      <c r="O65" s="28" t="n">
        <f aca="false">SQRT(M65^2+N65^2)</f>
        <v>2.32915429764264</v>
      </c>
      <c r="P65" s="53" t="n">
        <f aca="false">IF(J65="","",MAX(0,J65-1.96*O65/100))</f>
        <v>0.590712212129841</v>
      </c>
      <c r="Q65" s="53" t="n">
        <f aca="false">IF(J65="","",MIN(1,J65+1.96*O65/100))</f>
        <v>0.682015060597432</v>
      </c>
      <c r="R65" s="25" t="str">
        <f aca="false">IF(L65="","",IF(ABS(L65)&lt;=O65,"Yes","No"))</f>
        <v>Yes</v>
      </c>
      <c r="S65" s="25" t="str">
        <f aca="false">IF(L65="","",IF(ABS(L65)&lt;=1.96*O65,"Yes","No"))</f>
        <v>Yes</v>
      </c>
      <c r="T65" s="52" t="n">
        <f aca="false">IF(D65="","",ROUND(SQRT(((D65+G65)*O65/100)^2+(J65*(D65+G65)*0.10931)^2),0))</f>
        <v>62</v>
      </c>
      <c r="U65" s="25"/>
    </row>
    <row r="66" customFormat="false" ht="15" hidden="false" customHeight="false" outlineLevel="0" collapsed="false">
      <c r="A66" s="25" t="s">
        <v>197</v>
      </c>
      <c r="B66" s="25" t="s">
        <v>199</v>
      </c>
      <c r="C66" s="25" t="s">
        <v>212</v>
      </c>
      <c r="D66" s="52" t="n">
        <v>464</v>
      </c>
      <c r="E66" s="52" t="n">
        <v>472</v>
      </c>
      <c r="F66" s="63" t="n">
        <f aca="false">IF(E66="","",D66-E66)</f>
        <v>-8</v>
      </c>
      <c r="G66" s="52" t="n">
        <v>304</v>
      </c>
      <c r="H66" s="52" t="n">
        <v>273</v>
      </c>
      <c r="I66" s="63" t="n">
        <f aca="false">IF(H66="","",G66-H66)</f>
        <v>31</v>
      </c>
      <c r="J66" s="53" t="n">
        <f aca="false">IF(OR(D66="",D66+G66=0),"",D66/(D66+G66))</f>
        <v>0.604166666666667</v>
      </c>
      <c r="K66" s="53" t="n">
        <f aca="false">IF(E66="","",E66/(E66+H66))</f>
        <v>0.633557046979866</v>
      </c>
      <c r="L66" s="64" t="n">
        <f aca="false">IF(OR(K66="",J66=""),"",(J66-K66)*100)</f>
        <v>-2.93903803131992</v>
      </c>
      <c r="M66" s="28" t="n">
        <v>2.29525849334818</v>
      </c>
      <c r="N66" s="28" t="n">
        <v>0.395914373242782</v>
      </c>
      <c r="O66" s="28" t="n">
        <f aca="false">SQRT(M66^2+N66^2)</f>
        <v>2.32915429764264</v>
      </c>
      <c r="P66" s="53" t="n">
        <f aca="false">IF(J66="","",MAX(0,J66-1.96*O66/100))</f>
        <v>0.558515242432871</v>
      </c>
      <c r="Q66" s="53" t="n">
        <f aca="false">IF(J66="","",MIN(1,J66+1.96*O66/100))</f>
        <v>0.649818090900462</v>
      </c>
      <c r="R66" s="25" t="str">
        <f aca="false">IF(L66="","",IF(ABS(L66)&lt;=O66,"Yes","No"))</f>
        <v>No</v>
      </c>
      <c r="S66" s="25" t="str">
        <f aca="false">IF(L66="","",IF(ABS(L66)&lt;=1.96*O66,"Yes","No"))</f>
        <v>Yes</v>
      </c>
      <c r="T66" s="52" t="n">
        <f aca="false">IF(D66="","",ROUND(SQRT(((D66+G66)*O66/100)^2+(J66*(D66+G66)*0.10931)^2),0))</f>
        <v>54</v>
      </c>
      <c r="U66" s="25"/>
    </row>
    <row r="67" customFormat="false" ht="15" hidden="false" customHeight="false" outlineLevel="0" collapsed="false">
      <c r="A67" s="25" t="s">
        <v>197</v>
      </c>
      <c r="B67" s="25" t="s">
        <v>199</v>
      </c>
      <c r="C67" s="25" t="s">
        <v>213</v>
      </c>
      <c r="D67" s="52" t="n">
        <v>425</v>
      </c>
      <c r="E67" s="52" t="n">
        <v>426</v>
      </c>
      <c r="F67" s="63" t="n">
        <f aca="false">IF(E67="","",D67-E67)</f>
        <v>-1</v>
      </c>
      <c r="G67" s="52" t="n">
        <v>333</v>
      </c>
      <c r="H67" s="52" t="n">
        <v>331</v>
      </c>
      <c r="I67" s="63" t="n">
        <f aca="false">IF(H67="","",G67-H67)</f>
        <v>2</v>
      </c>
      <c r="J67" s="53" t="n">
        <f aca="false">IF(OR(D67="",D67+G67=0),"",D67/(D67+G67))</f>
        <v>0.560686015831135</v>
      </c>
      <c r="K67" s="53" t="n">
        <f aca="false">IF(E67="","",E67/(E67+H67))</f>
        <v>0.562747688243065</v>
      </c>
      <c r="L67" s="64" t="n">
        <f aca="false">IF(OR(K67="",J67=""),"",(J67-K67)*100)</f>
        <v>-0.206167241193023</v>
      </c>
      <c r="M67" s="28" t="n">
        <v>2.29525849334818</v>
      </c>
      <c r="N67" s="28" t="n">
        <v>0.395914373242782</v>
      </c>
      <c r="O67" s="28" t="n">
        <f aca="false">SQRT(M67^2+N67^2)</f>
        <v>2.32915429764264</v>
      </c>
      <c r="P67" s="53" t="n">
        <f aca="false">IF(J67="","",MAX(0,J67-1.96*O67/100))</f>
        <v>0.515034591597339</v>
      </c>
      <c r="Q67" s="53" t="n">
        <f aca="false">IF(J67="","",MIN(1,J67+1.96*O67/100))</f>
        <v>0.60633744006493</v>
      </c>
      <c r="R67" s="25" t="str">
        <f aca="false">IF(L67="","",IF(ABS(L67)&lt;=O67,"Yes","No"))</f>
        <v>Yes</v>
      </c>
      <c r="S67" s="25" t="str">
        <f aca="false">IF(L67="","",IF(ABS(L67)&lt;=1.96*O67,"Yes","No"))</f>
        <v>Yes</v>
      </c>
      <c r="T67" s="52" t="n">
        <f aca="false">IF(D67="","",ROUND(SQRT(((D67+G67)*O67/100)^2+(J67*(D67+G67)*0.10931)^2),0))</f>
        <v>50</v>
      </c>
      <c r="U67" s="25"/>
    </row>
    <row r="68" customFormat="false" ht="15" hidden="false" customHeight="false" outlineLevel="0" collapsed="false">
      <c r="A68" s="25" t="s">
        <v>197</v>
      </c>
      <c r="B68" s="25" t="s">
        <v>199</v>
      </c>
      <c r="C68" s="25" t="s">
        <v>214</v>
      </c>
      <c r="D68" s="52" t="n">
        <v>444</v>
      </c>
      <c r="E68" s="52" t="n">
        <v>418</v>
      </c>
      <c r="F68" s="63" t="n">
        <f aca="false">IF(E68="","",D68-E68)</f>
        <v>26</v>
      </c>
      <c r="G68" s="52" t="n">
        <v>273</v>
      </c>
      <c r="H68" s="52" t="n">
        <v>278</v>
      </c>
      <c r="I68" s="63" t="n">
        <f aca="false">IF(H68="","",G68-H68)</f>
        <v>-5</v>
      </c>
      <c r="J68" s="53" t="n">
        <f aca="false">IF(OR(D68="",D68+G68=0),"",D68/(D68+G68))</f>
        <v>0.619246861924686</v>
      </c>
      <c r="K68" s="53" t="n">
        <f aca="false">IF(E68="","",E68/(E68+H68))</f>
        <v>0.600574712643678</v>
      </c>
      <c r="L68" s="64" t="n">
        <f aca="false">IF(OR(K68="",J68=""),"",(J68-K68)*100)</f>
        <v>1.8672149281008</v>
      </c>
      <c r="M68" s="28" t="n">
        <v>3.51968652681483</v>
      </c>
      <c r="N68" s="28" t="n">
        <v>0.395914373242782</v>
      </c>
      <c r="O68" s="28" t="n">
        <f aca="false">SQRT(M68^2+N68^2)</f>
        <v>3.54188388262265</v>
      </c>
      <c r="P68" s="53" t="n">
        <f aca="false">IF(J68="","",MAX(0,J68-1.96*O68/100))</f>
        <v>0.549825937825282</v>
      </c>
      <c r="Q68" s="53" t="n">
        <f aca="false">IF(J68="","",MIN(1,J68+1.96*O68/100))</f>
        <v>0.68866778602409</v>
      </c>
      <c r="R68" s="25" t="str">
        <f aca="false">IF(L68="","",IF(ABS(L68)&lt;=O68,"Yes","No"))</f>
        <v>Yes</v>
      </c>
      <c r="S68" s="25" t="str">
        <f aca="false">IF(L68="","",IF(ABS(L68)&lt;=1.96*O68,"Yes","No"))</f>
        <v>Yes</v>
      </c>
      <c r="T68" s="52" t="n">
        <f aca="false">IF(D68="","",ROUND(SQRT(((D68+G68)*O68/100)^2+(J68*(D68+G68)*0.1901)^2),0))</f>
        <v>88</v>
      </c>
      <c r="U68" s="25"/>
    </row>
    <row r="69" customFormat="false" ht="15" hidden="false" customHeight="false" outlineLevel="0" collapsed="false">
      <c r="A69" s="25" t="s">
        <v>197</v>
      </c>
      <c r="B69" s="25" t="s">
        <v>199</v>
      </c>
      <c r="C69" s="25" t="s">
        <v>215</v>
      </c>
      <c r="D69" s="52" t="n">
        <v>467</v>
      </c>
      <c r="E69" s="52" t="n">
        <v>424</v>
      </c>
      <c r="F69" s="63" t="n">
        <f aca="false">IF(E69="","",D69-E69)</f>
        <v>43</v>
      </c>
      <c r="G69" s="52" t="n">
        <v>161</v>
      </c>
      <c r="H69" s="52" t="n">
        <v>188</v>
      </c>
      <c r="I69" s="63" t="n">
        <f aca="false">IF(H69="","",G69-H69)</f>
        <v>-27</v>
      </c>
      <c r="J69" s="53" t="n">
        <f aca="false">IF(OR(D69="",D69+G69=0),"",D69/(D69+G69))</f>
        <v>0.743630573248408</v>
      </c>
      <c r="K69" s="53" t="n">
        <f aca="false">IF(E69="","",E69/(E69+H69))</f>
        <v>0.69281045751634</v>
      </c>
      <c r="L69" s="64" t="n">
        <f aca="false">IF(OR(K69="",J69=""),"",(J69-K69)*100)</f>
        <v>5.08201157320678</v>
      </c>
      <c r="M69" s="28" t="n">
        <v>3.51968652681483</v>
      </c>
      <c r="N69" s="28" t="n">
        <v>0.395914373242782</v>
      </c>
      <c r="O69" s="28" t="n">
        <f aca="false">SQRT(M69^2+N69^2)</f>
        <v>3.54188388262265</v>
      </c>
      <c r="P69" s="53" t="n">
        <f aca="false">IF(J69="","",MAX(0,J69-1.96*O69/100))</f>
        <v>0.674209649149004</v>
      </c>
      <c r="Q69" s="53" t="n">
        <f aca="false">IF(J69="","",MIN(1,J69+1.96*O69/100))</f>
        <v>0.813051497347812</v>
      </c>
      <c r="R69" s="25" t="str">
        <f aca="false">IF(L69="","",IF(ABS(L69)&lt;=O69,"Yes","No"))</f>
        <v>No</v>
      </c>
      <c r="S69" s="25" t="str">
        <f aca="false">IF(L69="","",IF(ABS(L69)&lt;=1.96*O69,"Yes","No"))</f>
        <v>Yes</v>
      </c>
      <c r="T69" s="52" t="n">
        <f aca="false">IF(D69="","",ROUND(SQRT(((D69+G69)*O69/100)^2+(J69*(D69+G69)*0.1901)^2),0))</f>
        <v>92</v>
      </c>
      <c r="U69" s="25"/>
    </row>
    <row r="70" customFormat="false" ht="15" hidden="false" customHeight="false" outlineLevel="0" collapsed="false">
      <c r="A70" s="25" t="s">
        <v>197</v>
      </c>
      <c r="B70" s="25" t="s">
        <v>199</v>
      </c>
      <c r="C70" s="25" t="s">
        <v>216</v>
      </c>
      <c r="D70" s="52" t="n">
        <v>380</v>
      </c>
      <c r="E70" s="52" t="n">
        <v>330</v>
      </c>
      <c r="F70" s="63" t="n">
        <f aca="false">IF(E70="","",D70-E70)</f>
        <v>50</v>
      </c>
      <c r="G70" s="52" t="n">
        <v>163</v>
      </c>
      <c r="H70" s="52" t="n">
        <v>195</v>
      </c>
      <c r="I70" s="63" t="n">
        <f aca="false">IF(H70="","",G70-H70)</f>
        <v>-32</v>
      </c>
      <c r="J70" s="53" t="n">
        <f aca="false">IF(OR(D70="",D70+G70=0),"",D70/(D70+G70))</f>
        <v>0.699815837937385</v>
      </c>
      <c r="K70" s="53" t="n">
        <f aca="false">IF(E70="","",E70/(E70+H70))</f>
        <v>0.628571428571429</v>
      </c>
      <c r="L70" s="64" t="n">
        <f aca="false">IF(OR(K70="",J70=""),"",(J70-K70)*100)</f>
        <v>7.12444093659563</v>
      </c>
      <c r="M70" s="28" t="n">
        <v>3.51968652681483</v>
      </c>
      <c r="N70" s="28" t="n">
        <v>0.395914373242782</v>
      </c>
      <c r="O70" s="28" t="n">
        <f aca="false">SQRT(M70^2+N70^2)</f>
        <v>3.54188388262265</v>
      </c>
      <c r="P70" s="53" t="n">
        <f aca="false">IF(J70="","",MAX(0,J70-1.96*O70/100))</f>
        <v>0.630394913837981</v>
      </c>
      <c r="Q70" s="53" t="n">
        <f aca="false">IF(J70="","",MIN(1,J70+1.96*O70/100))</f>
        <v>0.769236762036789</v>
      </c>
      <c r="R70" s="25" t="str">
        <f aca="false">IF(L70="","",IF(ABS(L70)&lt;=O70,"Yes","No"))</f>
        <v>No</v>
      </c>
      <c r="S70" s="25" t="str">
        <f aca="false">IF(L70="","",IF(ABS(L70)&lt;=1.96*O70,"Yes","No"))</f>
        <v>No</v>
      </c>
      <c r="T70" s="52" t="n">
        <f aca="false">IF(D70="","",ROUND(SQRT(((D70+G70)*O70/100)^2+(J70*(D70+G70)*0.1901)^2),0))</f>
        <v>75</v>
      </c>
      <c r="U70" s="25"/>
    </row>
    <row r="71" customFormat="false" ht="15" hidden="false" customHeight="false" outlineLevel="0" collapsed="false">
      <c r="A71" s="25" t="s">
        <v>197</v>
      </c>
      <c r="B71" s="25" t="s">
        <v>199</v>
      </c>
      <c r="C71" s="25" t="s">
        <v>217</v>
      </c>
      <c r="D71" s="52" t="n">
        <v>446</v>
      </c>
      <c r="E71" s="52" t="n">
        <v>441</v>
      </c>
      <c r="F71" s="63" t="n">
        <f aca="false">IF(E71="","",D71-E71)</f>
        <v>5</v>
      </c>
      <c r="G71" s="52" t="n">
        <v>244</v>
      </c>
      <c r="H71" s="52" t="n">
        <v>232</v>
      </c>
      <c r="I71" s="63" t="n">
        <f aca="false">IF(H71="","",G71-H71)</f>
        <v>12</v>
      </c>
      <c r="J71" s="53" t="n">
        <f aca="false">IF(OR(D71="",D71+G71=0),"",D71/(D71+G71))</f>
        <v>0.646376811594203</v>
      </c>
      <c r="K71" s="53" t="n">
        <f aca="false">IF(E71="","",E71/(E71+H71))</f>
        <v>0.655274888558692</v>
      </c>
      <c r="L71" s="64" t="n">
        <f aca="false">IF(OR(K71="",J71=""),"",(J71-K71)*100)</f>
        <v>-0.889807696448952</v>
      </c>
      <c r="M71" s="28" t="n">
        <v>3.51968652681483</v>
      </c>
      <c r="N71" s="28" t="n">
        <v>0.395914373242782</v>
      </c>
      <c r="O71" s="28" t="n">
        <f aca="false">SQRT(M71^2+N71^2)</f>
        <v>3.54188388262265</v>
      </c>
      <c r="P71" s="53" t="n">
        <f aca="false">IF(J71="","",MAX(0,J71-1.96*O71/100))</f>
        <v>0.576955887494799</v>
      </c>
      <c r="Q71" s="53" t="n">
        <f aca="false">IF(J71="","",MIN(1,J71+1.96*O71/100))</f>
        <v>0.715797735693607</v>
      </c>
      <c r="R71" s="25" t="str">
        <f aca="false">IF(L71="","",IF(ABS(L71)&lt;=O71,"Yes","No"))</f>
        <v>Yes</v>
      </c>
      <c r="S71" s="25" t="str">
        <f aca="false">IF(L71="","",IF(ABS(L71)&lt;=1.96*O71,"Yes","No"))</f>
        <v>Yes</v>
      </c>
      <c r="T71" s="52" t="n">
        <f aca="false">IF(D71="","",ROUND(SQRT(((D71+G71)*O71/100)^2+(J71*(D71+G71)*0.1901)^2),0))</f>
        <v>88</v>
      </c>
      <c r="U71" s="25"/>
    </row>
    <row r="72" customFormat="false" ht="15" hidden="false" customHeight="false" outlineLevel="0" collapsed="false">
      <c r="A72" s="25" t="s">
        <v>197</v>
      </c>
      <c r="B72" s="25" t="s">
        <v>199</v>
      </c>
      <c r="C72" s="25" t="s">
        <v>218</v>
      </c>
      <c r="D72" s="52" t="n">
        <v>319</v>
      </c>
      <c r="E72" s="52" t="n">
        <v>313</v>
      </c>
      <c r="F72" s="63" t="n">
        <f aca="false">IF(E72="","",D72-E72)</f>
        <v>6</v>
      </c>
      <c r="G72" s="52" t="n">
        <v>139</v>
      </c>
      <c r="H72" s="52" t="n">
        <v>155</v>
      </c>
      <c r="I72" s="63" t="n">
        <f aca="false">IF(H72="","",G72-H72)</f>
        <v>-16</v>
      </c>
      <c r="J72" s="53" t="n">
        <f aca="false">IF(OR(D72="",D72+G72=0),"",D72/(D72+G72))</f>
        <v>0.696506550218341</v>
      </c>
      <c r="K72" s="53" t="n">
        <f aca="false">IF(E72="","",E72/(E72+H72))</f>
        <v>0.668803418803419</v>
      </c>
      <c r="L72" s="64" t="n">
        <f aca="false">IF(OR(K72="",J72=""),"",(J72-K72)*100)</f>
        <v>2.77031314149219</v>
      </c>
      <c r="M72" s="28" t="n">
        <v>3.51968652681483</v>
      </c>
      <c r="N72" s="28" t="n">
        <v>0.395914373242782</v>
      </c>
      <c r="O72" s="28" t="n">
        <f aca="false">SQRT(M72^2+N72^2)</f>
        <v>3.54188388262265</v>
      </c>
      <c r="P72" s="53" t="n">
        <f aca="false">IF(J72="","",MAX(0,J72-1.96*O72/100))</f>
        <v>0.627085626118937</v>
      </c>
      <c r="Q72" s="53" t="n">
        <f aca="false">IF(J72="","",MIN(1,J72+1.96*O72/100))</f>
        <v>0.765927474317745</v>
      </c>
      <c r="R72" s="25" t="str">
        <f aca="false">IF(L72="","",IF(ABS(L72)&lt;=O72,"Yes","No"))</f>
        <v>Yes</v>
      </c>
      <c r="S72" s="25" t="str">
        <f aca="false">IF(L72="","",IF(ABS(L72)&lt;=1.96*O72,"Yes","No"))</f>
        <v>Yes</v>
      </c>
      <c r="T72" s="52" t="n">
        <f aca="false">IF(D72="","",ROUND(SQRT(((D72+G72)*O72/100)^2+(J72*(D72+G72)*0.1901)^2),0))</f>
        <v>63</v>
      </c>
      <c r="U72" s="25"/>
    </row>
    <row r="73" customFormat="false" ht="15" hidden="false" customHeight="false" outlineLevel="0" collapsed="false">
      <c r="A73" s="25" t="s">
        <v>197</v>
      </c>
      <c r="B73" s="25" t="s">
        <v>199</v>
      </c>
      <c r="C73" s="25" t="s">
        <v>219</v>
      </c>
      <c r="D73" s="52" t="n">
        <v>681</v>
      </c>
      <c r="E73" s="52" t="n">
        <v>658</v>
      </c>
      <c r="F73" s="63" t="n">
        <f aca="false">IF(E73="","",D73-E73)</f>
        <v>23</v>
      </c>
      <c r="G73" s="52" t="n">
        <v>389</v>
      </c>
      <c r="H73" s="52" t="n">
        <v>375</v>
      </c>
      <c r="I73" s="63" t="n">
        <f aca="false">IF(H73="","",G73-H73)</f>
        <v>14</v>
      </c>
      <c r="J73" s="53" t="n">
        <f aca="false">IF(OR(D73="",D73+G73=0),"",D73/(D73+G73))</f>
        <v>0.636448598130841</v>
      </c>
      <c r="K73" s="53" t="n">
        <f aca="false">IF(E73="","",E73/(E73+H73))</f>
        <v>0.636979670861568</v>
      </c>
      <c r="L73" s="64" t="n">
        <f aca="false">IF(OR(K73="",J73=""),"",(J73-K73)*100)</f>
        <v>-0.0531072730727167</v>
      </c>
      <c r="M73" s="28" t="n">
        <v>2.29525849334818</v>
      </c>
      <c r="N73" s="28" t="n">
        <v>0.395914373242782</v>
      </c>
      <c r="O73" s="28" t="n">
        <f aca="false">SQRT(M73^2+N73^2)</f>
        <v>2.32915429764264</v>
      </c>
      <c r="P73" s="53" t="n">
        <f aca="false">IF(J73="","",MAX(0,J73-1.96*O73/100))</f>
        <v>0.590797173897045</v>
      </c>
      <c r="Q73" s="53" t="n">
        <f aca="false">IF(J73="","",MIN(1,J73+1.96*O73/100))</f>
        <v>0.682100022364637</v>
      </c>
      <c r="R73" s="25" t="str">
        <f aca="false">IF(L73="","",IF(ABS(L73)&lt;=O73,"Yes","No"))</f>
        <v>Yes</v>
      </c>
      <c r="S73" s="25" t="str">
        <f aca="false">IF(L73="","",IF(ABS(L73)&lt;=1.96*O73,"Yes","No"))</f>
        <v>Yes</v>
      </c>
      <c r="T73" s="52" t="n">
        <f aca="false">IF(D73="","",ROUND(SQRT(((D73+G73)*O73/100)^2+(J73*(D73+G73)*0.10931)^2),0))</f>
        <v>79</v>
      </c>
      <c r="U73" s="25"/>
    </row>
    <row r="74" customFormat="false" ht="15" hidden="false" customHeight="false" outlineLevel="0" collapsed="false">
      <c r="A74" s="25" t="s">
        <v>197</v>
      </c>
      <c r="B74" s="25" t="s">
        <v>199</v>
      </c>
      <c r="C74" s="25" t="s">
        <v>220</v>
      </c>
      <c r="D74" s="52" t="n">
        <v>763</v>
      </c>
      <c r="E74" s="52" t="n">
        <v>693</v>
      </c>
      <c r="F74" s="63" t="n">
        <f aca="false">IF(E74="","",D74-E74)</f>
        <v>70</v>
      </c>
      <c r="G74" s="52" t="n">
        <v>387</v>
      </c>
      <c r="H74" s="52" t="n">
        <v>389</v>
      </c>
      <c r="I74" s="63" t="n">
        <f aca="false">IF(H74="","",G74-H74)</f>
        <v>-2</v>
      </c>
      <c r="J74" s="53" t="n">
        <f aca="false">IF(OR(D74="",D74+G74=0),"",D74/(D74+G74))</f>
        <v>0.663478260869565</v>
      </c>
      <c r="K74" s="53" t="n">
        <f aca="false">IF(E74="","",E74/(E74+H74))</f>
        <v>0.640480591497227</v>
      </c>
      <c r="L74" s="64" t="n">
        <f aca="false">IF(OR(K74="",J74=""),"",(J74-K74)*100)</f>
        <v>2.29976693723378</v>
      </c>
      <c r="M74" s="28" t="n">
        <v>2.29525849334818</v>
      </c>
      <c r="N74" s="28" t="n">
        <v>0.395914373242782</v>
      </c>
      <c r="O74" s="28" t="n">
        <f aca="false">SQRT(M74^2+N74^2)</f>
        <v>2.32915429764264</v>
      </c>
      <c r="P74" s="53" t="n">
        <f aca="false">IF(J74="","",MAX(0,J74-1.96*O74/100))</f>
        <v>0.617826836635769</v>
      </c>
      <c r="Q74" s="53" t="n">
        <f aca="false">IF(J74="","",MIN(1,J74+1.96*O74/100))</f>
        <v>0.709129685103361</v>
      </c>
      <c r="R74" s="25" t="str">
        <f aca="false">IF(L74="","",IF(ABS(L74)&lt;=O74,"Yes","No"))</f>
        <v>Yes</v>
      </c>
      <c r="S74" s="25" t="str">
        <f aca="false">IF(L74="","",IF(ABS(L74)&lt;=1.96*O74,"Yes","No"))</f>
        <v>Yes</v>
      </c>
      <c r="T74" s="52" t="n">
        <f aca="false">IF(D74="","",ROUND(SQRT(((D74+G74)*O74/100)^2+(J74*(D74+G74)*0.10931)^2),0))</f>
        <v>88</v>
      </c>
      <c r="U74" s="25"/>
    </row>
    <row r="75" customFormat="false" ht="15" hidden="false" customHeight="false" outlineLevel="0" collapsed="false">
      <c r="A75" s="25" t="s">
        <v>197</v>
      </c>
      <c r="B75" s="25" t="s">
        <v>199</v>
      </c>
      <c r="C75" s="25" t="s">
        <v>221</v>
      </c>
      <c r="D75" s="52" t="n">
        <v>491</v>
      </c>
      <c r="E75" s="52" t="n">
        <v>446</v>
      </c>
      <c r="F75" s="63" t="n">
        <f aca="false">IF(E75="","",D75-E75)</f>
        <v>45</v>
      </c>
      <c r="G75" s="52" t="n">
        <v>342</v>
      </c>
      <c r="H75" s="52" t="n">
        <v>382</v>
      </c>
      <c r="I75" s="63" t="n">
        <f aca="false">IF(H75="","",G75-H75)</f>
        <v>-40</v>
      </c>
      <c r="J75" s="53" t="n">
        <f aca="false">IF(OR(D75="",D75+G75=0),"",D75/(D75+G75))</f>
        <v>0.589435774309724</v>
      </c>
      <c r="K75" s="53" t="n">
        <f aca="false">IF(E75="","",E75/(E75+H75))</f>
        <v>0.538647342995169</v>
      </c>
      <c r="L75" s="64" t="n">
        <f aca="false">IF(OR(K75="",J75=""),"",(J75-K75)*100)</f>
        <v>5.07884313145549</v>
      </c>
      <c r="M75" s="28" t="n">
        <v>2.29525849334818</v>
      </c>
      <c r="N75" s="28" t="n">
        <v>0.395914373242782</v>
      </c>
      <c r="O75" s="28" t="n">
        <f aca="false">SQRT(M75^2+N75^2)</f>
        <v>2.32915429764264</v>
      </c>
      <c r="P75" s="53" t="n">
        <f aca="false">IF(J75="","",MAX(0,J75-1.96*O75/100))</f>
        <v>0.543784350075928</v>
      </c>
      <c r="Q75" s="53" t="n">
        <f aca="false">IF(J75="","",MIN(1,J75+1.96*O75/100))</f>
        <v>0.63508719854352</v>
      </c>
      <c r="R75" s="25" t="str">
        <f aca="false">IF(L75="","",IF(ABS(L75)&lt;=O75,"Yes","No"))</f>
        <v>No</v>
      </c>
      <c r="S75" s="25" t="str">
        <f aca="false">IF(L75="","",IF(ABS(L75)&lt;=1.96*O75,"Yes","No"))</f>
        <v>No</v>
      </c>
      <c r="T75" s="52" t="n">
        <f aca="false">IF(D75="","",ROUND(SQRT(((D75+G75)*O75/100)^2+(J75*(D75+G75)*0.10931)^2),0))</f>
        <v>57</v>
      </c>
      <c r="U75" s="25"/>
    </row>
    <row r="76" customFormat="false" ht="15" hidden="false" customHeight="false" outlineLevel="0" collapsed="false">
      <c r="A76" s="25" t="s">
        <v>197</v>
      </c>
      <c r="B76" s="25" t="s">
        <v>199</v>
      </c>
      <c r="C76" s="25" t="s">
        <v>222</v>
      </c>
      <c r="D76" s="52" t="n">
        <v>619</v>
      </c>
      <c r="E76" s="52" t="n">
        <v>627</v>
      </c>
      <c r="F76" s="63" t="n">
        <f aca="false">IF(E76="","",D76-E76)</f>
        <v>-8</v>
      </c>
      <c r="G76" s="52" t="n">
        <v>391</v>
      </c>
      <c r="H76" s="52" t="n">
        <v>389</v>
      </c>
      <c r="I76" s="63" t="n">
        <f aca="false">IF(H76="","",G76-H76)</f>
        <v>2</v>
      </c>
      <c r="J76" s="53" t="n">
        <f aca="false">IF(OR(D76="",D76+G76=0),"",D76/(D76+G76))</f>
        <v>0.612871287128713</v>
      </c>
      <c r="K76" s="53" t="n">
        <f aca="false">IF(E76="","",E76/(E76+H76))</f>
        <v>0.617125984251969</v>
      </c>
      <c r="L76" s="64" t="n">
        <f aca="false">IF(OR(K76="",J76=""),"",(J76-K76)*100)</f>
        <v>-0.425469712325566</v>
      </c>
      <c r="M76" s="28" t="n">
        <v>2.29525849334818</v>
      </c>
      <c r="N76" s="28" t="n">
        <v>0.395914373242782</v>
      </c>
      <c r="O76" s="28" t="n">
        <f aca="false">SQRT(M76^2+N76^2)</f>
        <v>2.32915429764264</v>
      </c>
      <c r="P76" s="53" t="n">
        <f aca="false">IF(J76="","",MAX(0,J76-1.96*O76/100))</f>
        <v>0.567219862894917</v>
      </c>
      <c r="Q76" s="53" t="n">
        <f aca="false">IF(J76="","",MIN(1,J76+1.96*O76/100))</f>
        <v>0.658522711362509</v>
      </c>
      <c r="R76" s="25" t="str">
        <f aca="false">IF(L76="","",IF(ABS(L76)&lt;=O76,"Yes","No"))</f>
        <v>Yes</v>
      </c>
      <c r="S76" s="25" t="str">
        <f aca="false">IF(L76="","",IF(ABS(L76)&lt;=1.96*O76,"Yes","No"))</f>
        <v>Yes</v>
      </c>
      <c r="T76" s="52" t="n">
        <f aca="false">IF(D76="","",ROUND(SQRT(((D76+G76)*O76/100)^2+(J76*(D76+G76)*0.10931)^2),0))</f>
        <v>72</v>
      </c>
      <c r="U76" s="25"/>
    </row>
    <row r="77" customFormat="false" ht="15" hidden="false" customHeight="false" outlineLevel="0" collapsed="false">
      <c r="A77" s="25" t="s">
        <v>197</v>
      </c>
      <c r="B77" s="25" t="s">
        <v>199</v>
      </c>
      <c r="C77" s="25" t="s">
        <v>223</v>
      </c>
      <c r="D77" s="52" t="n">
        <v>638</v>
      </c>
      <c r="E77" s="52" t="n">
        <v>645</v>
      </c>
      <c r="F77" s="63" t="n">
        <f aca="false">IF(E77="","",D77-E77)</f>
        <v>-7</v>
      </c>
      <c r="G77" s="52" t="n">
        <v>393</v>
      </c>
      <c r="H77" s="52" t="n">
        <v>418</v>
      </c>
      <c r="I77" s="63" t="n">
        <f aca="false">IF(H77="","",G77-H77)</f>
        <v>-25</v>
      </c>
      <c r="J77" s="53" t="n">
        <f aca="false">IF(OR(D77="",D77+G77=0),"",D77/(D77+G77))</f>
        <v>0.618816682832202</v>
      </c>
      <c r="K77" s="53" t="n">
        <f aca="false">IF(E77="","",E77/(E77+H77))</f>
        <v>0.606773283160865</v>
      </c>
      <c r="L77" s="64" t="n">
        <f aca="false">IF(OR(K77="",J77=""),"",(J77-K77)*100)</f>
        <v>1.20433996713363</v>
      </c>
      <c r="M77" s="28" t="n">
        <v>2.29525849334818</v>
      </c>
      <c r="N77" s="28" t="n">
        <v>0.395914373242782</v>
      </c>
      <c r="O77" s="28" t="n">
        <f aca="false">SQRT(M77^2+N77^2)</f>
        <v>2.32915429764264</v>
      </c>
      <c r="P77" s="53" t="n">
        <f aca="false">IF(J77="","",MAX(0,J77-1.96*O77/100))</f>
        <v>0.573165258598406</v>
      </c>
      <c r="Q77" s="53" t="n">
        <f aca="false">IF(J77="","",MIN(1,J77+1.96*O77/100))</f>
        <v>0.664468107065998</v>
      </c>
      <c r="R77" s="25" t="str">
        <f aca="false">IF(L77="","",IF(ABS(L77)&lt;=O77,"Yes","No"))</f>
        <v>Yes</v>
      </c>
      <c r="S77" s="25" t="str">
        <f aca="false">IF(L77="","",IF(ABS(L77)&lt;=1.96*O77,"Yes","No"))</f>
        <v>Yes</v>
      </c>
      <c r="T77" s="52" t="n">
        <f aca="false">IF(D77="","",ROUND(SQRT(((D77+G77)*O77/100)^2+(J77*(D77+G77)*0.10931)^2),0))</f>
        <v>74</v>
      </c>
      <c r="U77" s="25"/>
    </row>
    <row r="78" customFormat="false" ht="15" hidden="false" customHeight="false" outlineLevel="0" collapsed="false">
      <c r="A78" s="25" t="s">
        <v>197</v>
      </c>
      <c r="B78" s="25" t="s">
        <v>199</v>
      </c>
      <c r="C78" s="25" t="s">
        <v>224</v>
      </c>
      <c r="D78" s="52" t="n">
        <v>496</v>
      </c>
      <c r="E78" s="52" t="n">
        <v>452</v>
      </c>
      <c r="F78" s="63" t="n">
        <f aca="false">IF(E78="","",D78-E78)</f>
        <v>44</v>
      </c>
      <c r="G78" s="52" t="n">
        <v>314</v>
      </c>
      <c r="H78" s="52" t="n">
        <v>341</v>
      </c>
      <c r="I78" s="63" t="n">
        <f aca="false">IF(H78="","",G78-H78)</f>
        <v>-27</v>
      </c>
      <c r="J78" s="53" t="n">
        <f aca="false">IF(OR(D78="",D78+G78=0),"",D78/(D78+G78))</f>
        <v>0.612345679012346</v>
      </c>
      <c r="K78" s="53" t="n">
        <f aca="false">IF(E78="","",E78/(E78+H78))</f>
        <v>0.569987389659521</v>
      </c>
      <c r="L78" s="64" t="n">
        <f aca="false">IF(OR(K78="",J78=""),"",(J78-K78)*100)</f>
        <v>4.23582893528249</v>
      </c>
      <c r="M78" s="28" t="n">
        <v>2.29525849334818</v>
      </c>
      <c r="N78" s="28" t="n">
        <v>0.395914373242782</v>
      </c>
      <c r="O78" s="28" t="n">
        <f aca="false">SQRT(M78^2+N78^2)</f>
        <v>2.32915429764264</v>
      </c>
      <c r="P78" s="53" t="n">
        <f aca="false">IF(J78="","",MAX(0,J78-1.96*O78/100))</f>
        <v>0.56669425477855</v>
      </c>
      <c r="Q78" s="53" t="n">
        <f aca="false">IF(J78="","",MIN(1,J78+1.96*O78/100))</f>
        <v>0.657997103246142</v>
      </c>
      <c r="R78" s="25" t="str">
        <f aca="false">IF(L78="","",IF(ABS(L78)&lt;=O78,"Yes","No"))</f>
        <v>No</v>
      </c>
      <c r="S78" s="25" t="str">
        <f aca="false">IF(L78="","",IF(ABS(L78)&lt;=1.96*O78,"Yes","No"))</f>
        <v>Yes</v>
      </c>
      <c r="T78" s="52" t="n">
        <f aca="false">IF(D78="","",ROUND(SQRT(((D78+G78)*O78/100)^2+(J78*(D78+G78)*0.10931)^2),0))</f>
        <v>57</v>
      </c>
      <c r="U78" s="25"/>
    </row>
    <row r="79" customFormat="false" ht="15" hidden="false" customHeight="false" outlineLevel="0" collapsed="false">
      <c r="A79" s="25" t="s">
        <v>197</v>
      </c>
      <c r="B79" s="25" t="s">
        <v>199</v>
      </c>
      <c r="C79" s="25" t="s">
        <v>225</v>
      </c>
      <c r="D79" s="52" t="n">
        <v>562</v>
      </c>
      <c r="E79" s="52" t="n">
        <v>541</v>
      </c>
      <c r="F79" s="63" t="n">
        <f aca="false">IF(E79="","",D79-E79)</f>
        <v>21</v>
      </c>
      <c r="G79" s="52" t="n">
        <v>347</v>
      </c>
      <c r="H79" s="52" t="n">
        <v>325</v>
      </c>
      <c r="I79" s="63" t="n">
        <f aca="false">IF(H79="","",G79-H79)</f>
        <v>22</v>
      </c>
      <c r="J79" s="53" t="n">
        <f aca="false">IF(OR(D79="",D79+G79=0),"",D79/(D79+G79))</f>
        <v>0.618261826182618</v>
      </c>
      <c r="K79" s="53" t="n">
        <f aca="false">IF(E79="","",E79/(E79+H79))</f>
        <v>0.624711316397229</v>
      </c>
      <c r="L79" s="64" t="n">
        <f aca="false">IF(OR(K79="",J79=""),"",(J79-K79)*100)</f>
        <v>-0.644949021461039</v>
      </c>
      <c r="M79" s="28" t="n">
        <v>2.29525849334818</v>
      </c>
      <c r="N79" s="28" t="n">
        <v>0.395914373242782</v>
      </c>
      <c r="O79" s="28" t="n">
        <f aca="false">SQRT(M79^2+N79^2)</f>
        <v>2.32915429764264</v>
      </c>
      <c r="P79" s="53" t="n">
        <f aca="false">IF(J79="","",MAX(0,J79-1.96*O79/100))</f>
        <v>0.572610401948823</v>
      </c>
      <c r="Q79" s="53" t="n">
        <f aca="false">IF(J79="","",MIN(1,J79+1.96*O79/100))</f>
        <v>0.663913250416414</v>
      </c>
      <c r="R79" s="25" t="str">
        <f aca="false">IF(L79="","",IF(ABS(L79)&lt;=O79,"Yes","No"))</f>
        <v>Yes</v>
      </c>
      <c r="S79" s="25" t="str">
        <f aca="false">IF(L79="","",IF(ABS(L79)&lt;=1.96*O79,"Yes","No"))</f>
        <v>Yes</v>
      </c>
      <c r="T79" s="52" t="n">
        <f aca="false">IF(D79="","",ROUND(SQRT(((D79+G79)*O79/100)^2+(J79*(D79+G79)*0.10931)^2),0))</f>
        <v>65</v>
      </c>
      <c r="U79" s="25"/>
    </row>
    <row r="80" customFormat="false" ht="15" hidden="false" customHeight="false" outlineLevel="0" collapsed="false">
      <c r="A80" s="25" t="s">
        <v>197</v>
      </c>
      <c r="B80" s="25" t="s">
        <v>199</v>
      </c>
      <c r="C80" s="25" t="s">
        <v>226</v>
      </c>
      <c r="D80" s="52" t="n">
        <v>801</v>
      </c>
      <c r="E80" s="52" t="n">
        <v>783</v>
      </c>
      <c r="F80" s="63" t="n">
        <f aca="false">IF(E80="","",D80-E80)</f>
        <v>18</v>
      </c>
      <c r="G80" s="52" t="n">
        <v>532</v>
      </c>
      <c r="H80" s="52" t="n">
        <v>562</v>
      </c>
      <c r="I80" s="63" t="n">
        <f aca="false">IF(H80="","",G80-H80)</f>
        <v>-30</v>
      </c>
      <c r="J80" s="53" t="n">
        <f aca="false">IF(OR(D80="",D80+G80=0),"",D80/(D80+G80))</f>
        <v>0.600900225056264</v>
      </c>
      <c r="K80" s="53" t="n">
        <f aca="false">IF(E80="","",E80/(E80+H80))</f>
        <v>0.582156133828996</v>
      </c>
      <c r="L80" s="64" t="n">
        <f aca="false">IF(OR(K80="",J80=""),"",(J80-K80)*100)</f>
        <v>1.87440912272677</v>
      </c>
      <c r="M80" s="28" t="n">
        <v>2.07368371626919</v>
      </c>
      <c r="N80" s="28" t="n">
        <v>0.395914373242782</v>
      </c>
      <c r="O80" s="28" t="n">
        <f aca="false">SQRT(M80^2+N80^2)</f>
        <v>2.11114005837136</v>
      </c>
      <c r="P80" s="53" t="n">
        <f aca="false">IF(J80="","",MAX(0,J80-1.96*O80/100))</f>
        <v>0.559521879912186</v>
      </c>
      <c r="Q80" s="53" t="n">
        <f aca="false">IF(J80="","",MIN(1,J80+1.96*O80/100))</f>
        <v>0.642278570200343</v>
      </c>
      <c r="R80" s="25" t="str">
        <f aca="false">IF(L80="","",IF(ABS(L80)&lt;=O80,"Yes","No"))</f>
        <v>Yes</v>
      </c>
      <c r="S80" s="25" t="str">
        <f aca="false">IF(L80="","",IF(ABS(L80)&lt;=1.96*O80,"Yes","No"))</f>
        <v>Yes</v>
      </c>
      <c r="T80" s="52" t="n">
        <f aca="false">IF(D80="","",ROUND(SQRT(((D80+G80)*O80/100)^2+(J80*(D80+G80)*0.08889)^2),0))</f>
        <v>77</v>
      </c>
      <c r="U80" s="25"/>
    </row>
    <row r="81" customFormat="false" ht="15" hidden="false" customHeight="false" outlineLevel="0" collapsed="false">
      <c r="A81" s="25" t="s">
        <v>197</v>
      </c>
      <c r="B81" s="25" t="s">
        <v>199</v>
      </c>
      <c r="C81" s="25" t="s">
        <v>227</v>
      </c>
      <c r="D81" s="52" t="n">
        <v>464</v>
      </c>
      <c r="E81" s="52" t="n">
        <v>454</v>
      </c>
      <c r="F81" s="63" t="n">
        <f aca="false">IF(E81="","",D81-E81)</f>
        <v>10</v>
      </c>
      <c r="G81" s="52" t="n">
        <v>235</v>
      </c>
      <c r="H81" s="52" t="n">
        <v>218</v>
      </c>
      <c r="I81" s="63" t="n">
        <f aca="false">IF(H81="","",G81-H81)</f>
        <v>17</v>
      </c>
      <c r="J81" s="53" t="n">
        <f aca="false">IF(OR(D81="",D81+G81=0),"",D81/(D81+G81))</f>
        <v>0.663805436337625</v>
      </c>
      <c r="K81" s="53" t="n">
        <f aca="false">IF(E81="","",E81/(E81+H81))</f>
        <v>0.675595238095238</v>
      </c>
      <c r="L81" s="64" t="n">
        <f aca="false">IF(OR(K81="",J81=""),"",(J81-K81)*100)</f>
        <v>-1.17898017576129</v>
      </c>
      <c r="M81" s="28" t="n">
        <v>3.51968652681483</v>
      </c>
      <c r="N81" s="28" t="n">
        <v>0.395914373242782</v>
      </c>
      <c r="O81" s="28" t="n">
        <f aca="false">SQRT(M81^2+N81^2)</f>
        <v>3.54188388262265</v>
      </c>
      <c r="P81" s="53" t="n">
        <f aca="false">IF(J81="","",MAX(0,J81-1.96*O81/100))</f>
        <v>0.594384512238221</v>
      </c>
      <c r="Q81" s="53" t="n">
        <f aca="false">IF(J81="","",MIN(1,J81+1.96*O81/100))</f>
        <v>0.733226360437029</v>
      </c>
      <c r="R81" s="25" t="str">
        <f aca="false">IF(L81="","",IF(ABS(L81)&lt;=O81,"Yes","No"))</f>
        <v>Yes</v>
      </c>
      <c r="S81" s="25" t="str">
        <f aca="false">IF(L81="","",IF(ABS(L81)&lt;=1.96*O81,"Yes","No"))</f>
        <v>Yes</v>
      </c>
      <c r="T81" s="52" t="n">
        <f aca="false">IF(D81="","",ROUND(SQRT(((D81+G81)*O81/100)^2+(J81*(D81+G81)*0.1901)^2),0))</f>
        <v>92</v>
      </c>
      <c r="U81" s="25"/>
    </row>
    <row r="82" customFormat="false" ht="15" hidden="false" customHeight="false" outlineLevel="0" collapsed="false">
      <c r="A82" s="25" t="s">
        <v>197</v>
      </c>
      <c r="B82" s="25" t="s">
        <v>199</v>
      </c>
      <c r="C82" s="25" t="s">
        <v>228</v>
      </c>
      <c r="D82" s="52" t="n">
        <v>477</v>
      </c>
      <c r="E82" s="52" t="n">
        <v>502</v>
      </c>
      <c r="F82" s="63" t="n">
        <f aca="false">IF(E82="","",D82-E82)</f>
        <v>-25</v>
      </c>
      <c r="G82" s="52" t="n">
        <v>294</v>
      </c>
      <c r="H82" s="52" t="n">
        <v>274</v>
      </c>
      <c r="I82" s="63" t="n">
        <f aca="false">IF(H82="","",G82-H82)</f>
        <v>20</v>
      </c>
      <c r="J82" s="53" t="n">
        <f aca="false">IF(OR(D82="",D82+G82=0),"",D82/(D82+G82))</f>
        <v>0.618677042801556</v>
      </c>
      <c r="K82" s="53" t="n">
        <f aca="false">IF(E82="","",E82/(E82+H82))</f>
        <v>0.646907216494845</v>
      </c>
      <c r="L82" s="64" t="n">
        <f aca="false">IF(OR(K82="",J82=""),"",(J82-K82)*100)</f>
        <v>-2.8230173693289</v>
      </c>
      <c r="M82" s="28" t="n">
        <v>2.29525849334818</v>
      </c>
      <c r="N82" s="28" t="n">
        <v>0.395914373242782</v>
      </c>
      <c r="O82" s="28" t="n">
        <f aca="false">SQRT(M82^2+N82^2)</f>
        <v>2.32915429764264</v>
      </c>
      <c r="P82" s="53" t="n">
        <f aca="false">IF(J82="","",MAX(0,J82-1.96*O82/100))</f>
        <v>0.573025618567761</v>
      </c>
      <c r="Q82" s="53" t="n">
        <f aca="false">IF(J82="","",MIN(1,J82+1.96*O82/100))</f>
        <v>0.664328467035352</v>
      </c>
      <c r="R82" s="25" t="str">
        <f aca="false">IF(L82="","",IF(ABS(L82)&lt;=O82,"Yes","No"))</f>
        <v>No</v>
      </c>
      <c r="S82" s="25" t="str">
        <f aca="false">IF(L82="","",IF(ABS(L82)&lt;=1.96*O82,"Yes","No"))</f>
        <v>Yes</v>
      </c>
      <c r="T82" s="52" t="n">
        <f aca="false">IF(D82="","",ROUND(SQRT(((D82+G82)*O82/100)^2+(J82*(D82+G82)*0.10931)^2),0))</f>
        <v>55</v>
      </c>
      <c r="U82" s="25"/>
    </row>
    <row r="83" customFormat="false" ht="15" hidden="false" customHeight="false" outlineLevel="0" collapsed="false">
      <c r="A83" s="25" t="s">
        <v>197</v>
      </c>
      <c r="B83" s="25" t="s">
        <v>199</v>
      </c>
      <c r="C83" s="25" t="s">
        <v>229</v>
      </c>
      <c r="D83" s="52" t="n">
        <v>486</v>
      </c>
      <c r="E83" s="52" t="n">
        <v>502</v>
      </c>
      <c r="F83" s="63" t="n">
        <f aca="false">IF(E83="","",D83-E83)</f>
        <v>-16</v>
      </c>
      <c r="G83" s="52" t="n">
        <v>317</v>
      </c>
      <c r="H83" s="52" t="n">
        <v>283</v>
      </c>
      <c r="I83" s="63" t="n">
        <f aca="false">IF(H83="","",G83-H83)</f>
        <v>34</v>
      </c>
      <c r="J83" s="53" t="n">
        <f aca="false">IF(OR(D83="",D83+G83=0),"",D83/(D83+G83))</f>
        <v>0.605230386052304</v>
      </c>
      <c r="K83" s="53" t="n">
        <f aca="false">IF(E83="","",E83/(E83+H83))</f>
        <v>0.639490445859873</v>
      </c>
      <c r="L83" s="64" t="n">
        <f aca="false">IF(OR(K83="",J83=""),"",(J83-K83)*100)</f>
        <v>-3.42600598075687</v>
      </c>
      <c r="M83" s="28" t="n">
        <v>2.29525849334818</v>
      </c>
      <c r="N83" s="28" t="n">
        <v>0.395914373242782</v>
      </c>
      <c r="O83" s="28" t="n">
        <f aca="false">SQRT(M83^2+N83^2)</f>
        <v>2.32915429764264</v>
      </c>
      <c r="P83" s="53" t="n">
        <f aca="false">IF(J83="","",MAX(0,J83-1.96*O83/100))</f>
        <v>0.559578961818508</v>
      </c>
      <c r="Q83" s="53" t="n">
        <f aca="false">IF(J83="","",MIN(1,J83+1.96*O83/100))</f>
        <v>0.6508818102861</v>
      </c>
      <c r="R83" s="25" t="str">
        <f aca="false">IF(L83="","",IF(ABS(L83)&lt;=O83,"Yes","No"))</f>
        <v>No</v>
      </c>
      <c r="S83" s="25" t="str">
        <f aca="false">IF(L83="","",IF(ABS(L83)&lt;=1.96*O83,"Yes","No"))</f>
        <v>Yes</v>
      </c>
      <c r="T83" s="52" t="n">
        <f aca="false">IF(D83="","",ROUND(SQRT(((D83+G83)*O83/100)^2+(J83*(D83+G83)*0.10931)^2),0))</f>
        <v>56</v>
      </c>
      <c r="U83" s="25"/>
    </row>
    <row r="84" customFormat="false" ht="15" hidden="false" customHeight="false" outlineLevel="0" collapsed="false">
      <c r="A84" s="25" t="s">
        <v>197</v>
      </c>
      <c r="B84" s="25" t="s">
        <v>199</v>
      </c>
      <c r="C84" s="25" t="s">
        <v>230</v>
      </c>
      <c r="D84" s="52" t="n">
        <v>371</v>
      </c>
      <c r="E84" s="52"/>
      <c r="F84" s="63" t="str">
        <f aca="false">IF(E84="","",D84-E84)</f>
        <v/>
      </c>
      <c r="G84" s="52" t="n">
        <v>232</v>
      </c>
      <c r="H84" s="52"/>
      <c r="I84" s="63" t="str">
        <f aca="false">IF(H84="","",G84-H84)</f>
        <v/>
      </c>
      <c r="J84" s="53" t="n">
        <f aca="false">IF(OR(D84="",D84+G84=0),"",D84/(D84+G84))</f>
        <v>0.615257048092869</v>
      </c>
      <c r="K84" s="53" t="str">
        <f aca="false">IF(E84="","",E84/(E84+H84))</f>
        <v/>
      </c>
      <c r="L84" s="64" t="str">
        <f aca="false">IF(OR(K84="",J84=""),"",(J84-K84)*100)</f>
        <v/>
      </c>
      <c r="M84" s="28" t="n">
        <v>3.51968652681483</v>
      </c>
      <c r="N84" s="28" t="n">
        <v>0.395914373242782</v>
      </c>
      <c r="O84" s="28" t="n">
        <f aca="false">SQRT(M84^2+N84^2)</f>
        <v>3.54188388262265</v>
      </c>
      <c r="P84" s="53" t="n">
        <f aca="false">IF(J84="","",MAX(0,J84-1.96*O84/100))</f>
        <v>0.545836123993465</v>
      </c>
      <c r="Q84" s="53" t="n">
        <f aca="false">IF(J84="","",MIN(1,J84+1.96*O84/100))</f>
        <v>0.684677972192273</v>
      </c>
      <c r="R84" s="25" t="str">
        <f aca="false">IF(L84="","",IF(ABS(L84)&lt;=O84,"Yes","No"))</f>
        <v/>
      </c>
      <c r="S84" s="25" t="str">
        <f aca="false">IF(L84="","",IF(ABS(L84)&lt;=1.96*O84,"Yes","No"))</f>
        <v/>
      </c>
      <c r="T84" s="52" t="n">
        <f aca="false">IF(D84="","",ROUND(SQRT(((D84+G84)*O84/100)^2+(J84*(D84+G84)*0.1901)^2),0))</f>
        <v>74</v>
      </c>
      <c r="U84" s="25" t="s">
        <v>702</v>
      </c>
    </row>
    <row r="85" customFormat="false" ht="15" hidden="false" customHeight="false" outlineLevel="0" collapsed="false">
      <c r="A85" s="25" t="s">
        <v>197</v>
      </c>
      <c r="B85" s="25" t="s">
        <v>199</v>
      </c>
      <c r="C85" s="25" t="s">
        <v>232</v>
      </c>
      <c r="D85" s="52" t="n">
        <v>934</v>
      </c>
      <c r="E85" s="52"/>
      <c r="F85" s="63" t="str">
        <f aca="false">IF(E85="","",D85-E85)</f>
        <v/>
      </c>
      <c r="G85" s="52" t="n">
        <v>603</v>
      </c>
      <c r="H85" s="52"/>
      <c r="I85" s="63" t="str">
        <f aca="false">IF(H85="","",G85-H85)</f>
        <v/>
      </c>
      <c r="J85" s="53" t="n">
        <f aca="false">IF(OR(D85="",D85+G85=0),"",D85/(D85+G85))</f>
        <v>0.607677293428757</v>
      </c>
      <c r="K85" s="53" t="str">
        <f aca="false">IF(E85="","",E85/(E85+H85))</f>
        <v/>
      </c>
      <c r="L85" s="64" t="str">
        <f aca="false">IF(OR(K85="",J85=""),"",(J85-K85)*100)</f>
        <v/>
      </c>
      <c r="M85" s="28" t="n">
        <v>2.07368371626919</v>
      </c>
      <c r="N85" s="28" t="n">
        <v>0.395914373242782</v>
      </c>
      <c r="O85" s="28" t="n">
        <f aca="false">SQRT(M85^2+N85^2)</f>
        <v>2.11114005837136</v>
      </c>
      <c r="P85" s="53" t="n">
        <f aca="false">IF(J85="","",MAX(0,J85-1.96*O85/100))</f>
        <v>0.566298948284679</v>
      </c>
      <c r="Q85" s="53" t="n">
        <f aca="false">IF(J85="","",MIN(1,J85+1.96*O85/100))</f>
        <v>0.649055638572836</v>
      </c>
      <c r="R85" s="25" t="str">
        <f aca="false">IF(L85="","",IF(ABS(L85)&lt;=O85,"Yes","No"))</f>
        <v/>
      </c>
      <c r="S85" s="25" t="str">
        <f aca="false">IF(L85="","",IF(ABS(L85)&lt;=1.96*O85,"Yes","No"))</f>
        <v/>
      </c>
      <c r="T85" s="52" t="n">
        <f aca="false">IF(D85="","",ROUND(SQRT(((D85+G85)*O85/100)^2+(J85*(D85+G85)*0.08889)^2),0))</f>
        <v>89</v>
      </c>
      <c r="U85" s="25" t="s">
        <v>702</v>
      </c>
    </row>
    <row r="86" customFormat="false" ht="15" hidden="false" customHeight="false" outlineLevel="0" collapsed="false">
      <c r="A86" s="25" t="s">
        <v>197</v>
      </c>
      <c r="B86" s="25" t="s">
        <v>199</v>
      </c>
      <c r="C86" s="25" t="s">
        <v>234</v>
      </c>
      <c r="D86" s="52" t="n">
        <v>495</v>
      </c>
      <c r="E86" s="52" t="n">
        <v>488</v>
      </c>
      <c r="F86" s="63" t="n">
        <f aca="false">IF(E86="","",D86-E86)</f>
        <v>7</v>
      </c>
      <c r="G86" s="52" t="n">
        <v>255</v>
      </c>
      <c r="H86" s="52" t="n">
        <v>252</v>
      </c>
      <c r="I86" s="63" t="n">
        <f aca="false">IF(H86="","",G86-H86)</f>
        <v>3</v>
      </c>
      <c r="J86" s="53" t="n">
        <f aca="false">IF(OR(D86="",D86+G86=0),"",D86/(D86+G86))</f>
        <v>0.66</v>
      </c>
      <c r="K86" s="53" t="n">
        <f aca="false">IF(E86="","",E86/(E86+H86))</f>
        <v>0.65945945945946</v>
      </c>
      <c r="L86" s="64" t="n">
        <f aca="false">IF(OR(K86="",J86=""),"",(J86-K86)*100)</f>
        <v>0.0540540540540535</v>
      </c>
      <c r="M86" s="28" t="n">
        <v>3.51968652681483</v>
      </c>
      <c r="N86" s="28" t="n">
        <v>0.395914373242782</v>
      </c>
      <c r="O86" s="28" t="n">
        <f aca="false">SQRT(M86^2+N86^2)</f>
        <v>3.54188388262265</v>
      </c>
      <c r="P86" s="53" t="n">
        <f aca="false">IF(J86="","",MAX(0,J86-1.96*O86/100))</f>
        <v>0.590579075900596</v>
      </c>
      <c r="Q86" s="53" t="n">
        <f aca="false">IF(J86="","",MIN(1,J86+1.96*O86/100))</f>
        <v>0.729420924099404</v>
      </c>
      <c r="R86" s="25" t="str">
        <f aca="false">IF(L86="","",IF(ABS(L86)&lt;=O86,"Yes","No"))</f>
        <v>Yes</v>
      </c>
      <c r="S86" s="25" t="str">
        <f aca="false">IF(L86="","",IF(ABS(L86)&lt;=1.96*O86,"Yes","No"))</f>
        <v>Yes</v>
      </c>
      <c r="T86" s="52" t="n">
        <f aca="false">IF(D86="","",ROUND(SQRT(((D86+G86)*O86/100)^2+(J86*(D86+G86)*0.1901)^2),0))</f>
        <v>98</v>
      </c>
      <c r="U86" s="25"/>
    </row>
    <row r="87" customFormat="false" ht="15" hidden="false" customHeight="false" outlineLevel="0" collapsed="false">
      <c r="A87" s="25" t="s">
        <v>197</v>
      </c>
      <c r="B87" s="25" t="s">
        <v>199</v>
      </c>
      <c r="C87" s="25" t="s">
        <v>235</v>
      </c>
      <c r="D87" s="52" t="n">
        <v>622</v>
      </c>
      <c r="E87" s="52" t="n">
        <v>601</v>
      </c>
      <c r="F87" s="63" t="n">
        <f aca="false">IF(E87="","",D87-E87)</f>
        <v>21</v>
      </c>
      <c r="G87" s="52" t="n">
        <v>408</v>
      </c>
      <c r="H87" s="52" t="n">
        <v>394</v>
      </c>
      <c r="I87" s="63" t="n">
        <f aca="false">IF(H87="","",G87-H87)</f>
        <v>14</v>
      </c>
      <c r="J87" s="53" t="n">
        <f aca="false">IF(OR(D87="",D87+G87=0),"",D87/(D87+G87))</f>
        <v>0.603883495145631</v>
      </c>
      <c r="K87" s="53" t="n">
        <f aca="false">IF(E87="","",E87/(E87+H87))</f>
        <v>0.604020100502513</v>
      </c>
      <c r="L87" s="64" t="n">
        <f aca="false">IF(OR(K87="",J87=""),"",(J87-K87)*100)</f>
        <v>-0.0136605356881425</v>
      </c>
      <c r="M87" s="28" t="n">
        <v>2.29525849334818</v>
      </c>
      <c r="N87" s="28" t="n">
        <v>0.395914373242782</v>
      </c>
      <c r="O87" s="28" t="n">
        <f aca="false">SQRT(M87^2+N87^2)</f>
        <v>2.32915429764264</v>
      </c>
      <c r="P87" s="53" t="n">
        <f aca="false">IF(J87="","",MAX(0,J87-1.96*O87/100))</f>
        <v>0.558232070911835</v>
      </c>
      <c r="Q87" s="53" t="n">
        <f aca="false">IF(J87="","",MIN(1,J87+1.96*O87/100))</f>
        <v>0.649534919379427</v>
      </c>
      <c r="R87" s="25" t="str">
        <f aca="false">IF(L87="","",IF(ABS(L87)&lt;=O87,"Yes","No"))</f>
        <v>Yes</v>
      </c>
      <c r="S87" s="25" t="str">
        <f aca="false">IF(L87="","",IF(ABS(L87)&lt;=1.96*O87,"Yes","No"))</f>
        <v>Yes</v>
      </c>
      <c r="T87" s="52" t="n">
        <f aca="false">IF(D87="","",ROUND(SQRT(((D87+G87)*O87/100)^2+(J87*(D87+G87)*0.10931)^2),0))</f>
        <v>72</v>
      </c>
      <c r="U87" s="25"/>
    </row>
    <row r="88" customFormat="false" ht="15" hidden="false" customHeight="false" outlineLevel="0" collapsed="false">
      <c r="A88" s="25" t="s">
        <v>197</v>
      </c>
      <c r="B88" s="25" t="s">
        <v>199</v>
      </c>
      <c r="C88" s="25" t="s">
        <v>236</v>
      </c>
      <c r="D88" s="52" t="n">
        <v>17</v>
      </c>
      <c r="E88" s="52"/>
      <c r="F88" s="63" t="str">
        <f aca="false">IF(E88="","",D88-E88)</f>
        <v/>
      </c>
      <c r="G88" s="52" t="n">
        <v>12</v>
      </c>
      <c r="H88" s="52"/>
      <c r="I88" s="63" t="str">
        <f aca="false">IF(H88="","",G88-H88)</f>
        <v/>
      </c>
      <c r="J88" s="53" t="n">
        <f aca="false">IF(OR(D88="",D88+G88=0),"",D88/(D88+G88))</f>
        <v>0.586206896551724</v>
      </c>
      <c r="K88" s="53" t="str">
        <f aca="false">IF(E88="","",E88/(E88+H88))</f>
        <v/>
      </c>
      <c r="L88" s="64" t="str">
        <f aca="false">IF(OR(K88="",J88=""),"",(J88-K88)*100)</f>
        <v/>
      </c>
      <c r="M88" s="28" t="n">
        <v>3.51968652681483</v>
      </c>
      <c r="N88" s="28" t="n">
        <v>0.395914373242782</v>
      </c>
      <c r="O88" s="28" t="n">
        <f aca="false">SQRT(M88^2+N88^2)</f>
        <v>3.54188388262265</v>
      </c>
      <c r="P88" s="53" t="n">
        <f aca="false">IF(J88="","",MAX(0,J88-1.96*O88/100))</f>
        <v>0.51678597245232</v>
      </c>
      <c r="Q88" s="53" t="n">
        <f aca="false">IF(J88="","",MIN(1,J88+1.96*O88/100))</f>
        <v>0.655627820651128</v>
      </c>
      <c r="R88" s="25" t="str">
        <f aca="false">IF(L88="","",IF(ABS(L88)&lt;=O88,"Yes","No"))</f>
        <v/>
      </c>
      <c r="S88" s="25" t="str">
        <f aca="false">IF(L88="","",IF(ABS(L88)&lt;=1.96*O88,"Yes","No"))</f>
        <v/>
      </c>
      <c r="T88" s="52" t="n">
        <f aca="false">IF(D88="","",ROUND(SQRT(((D88+G88)*O88/100)^2+(J88*(D88+G88)*0.1901)^2),0))</f>
        <v>3</v>
      </c>
      <c r="U88" s="25" t="s">
        <v>702</v>
      </c>
    </row>
    <row r="89" customFormat="false" ht="15" hidden="false" customHeight="false" outlineLevel="0" collapsed="false">
      <c r="A89" s="25" t="s">
        <v>197</v>
      </c>
      <c r="B89" s="25" t="s">
        <v>199</v>
      </c>
      <c r="C89" s="25" t="s">
        <v>237</v>
      </c>
      <c r="D89" s="52" t="n">
        <v>346</v>
      </c>
      <c r="E89" s="52" t="n">
        <v>330</v>
      </c>
      <c r="F89" s="63" t="n">
        <f aca="false">IF(E89="","",D89-E89)</f>
        <v>16</v>
      </c>
      <c r="G89" s="52" t="n">
        <v>257</v>
      </c>
      <c r="H89" s="52" t="n">
        <v>270</v>
      </c>
      <c r="I89" s="63" t="n">
        <f aca="false">IF(H89="","",G89-H89)</f>
        <v>-13</v>
      </c>
      <c r="J89" s="53" t="n">
        <f aca="false">IF(OR(D89="",D89+G89=0),"",D89/(D89+G89))</f>
        <v>0.57379767827529</v>
      </c>
      <c r="K89" s="53" t="n">
        <f aca="false">IF(E89="","",E89/(E89+H89))</f>
        <v>0.55</v>
      </c>
      <c r="L89" s="64" t="n">
        <f aca="false">IF(OR(K89="",J89=""),"",(J89-K89)*100)</f>
        <v>2.37976782752902</v>
      </c>
      <c r="M89" s="28" t="n">
        <v>3.51968652681483</v>
      </c>
      <c r="N89" s="28" t="n">
        <v>0.395914373242782</v>
      </c>
      <c r="O89" s="28" t="n">
        <f aca="false">SQRT(M89^2+N89^2)</f>
        <v>3.54188388262265</v>
      </c>
      <c r="P89" s="53" t="n">
        <f aca="false">IF(J89="","",MAX(0,J89-1.96*O89/100))</f>
        <v>0.504376754175886</v>
      </c>
      <c r="Q89" s="53" t="n">
        <f aca="false">IF(J89="","",MIN(1,J89+1.96*O89/100))</f>
        <v>0.643218602374694</v>
      </c>
      <c r="R89" s="25" t="str">
        <f aca="false">IF(L89="","",IF(ABS(L89)&lt;=O89,"Yes","No"))</f>
        <v>Yes</v>
      </c>
      <c r="S89" s="25" t="str">
        <f aca="false">IF(L89="","",IF(ABS(L89)&lt;=1.96*O89,"Yes","No"))</f>
        <v>Yes</v>
      </c>
      <c r="T89" s="52" t="n">
        <f aca="false">IF(D89="","",ROUND(SQRT(((D89+G89)*O89/100)^2+(J89*(D89+G89)*0.1901)^2),0))</f>
        <v>69</v>
      </c>
      <c r="U89" s="25"/>
    </row>
    <row r="90" customFormat="false" ht="15" hidden="false" customHeight="false" outlineLevel="0" collapsed="false">
      <c r="A90" s="25" t="s">
        <v>197</v>
      </c>
      <c r="B90" s="25" t="s">
        <v>199</v>
      </c>
      <c r="C90" s="25" t="s">
        <v>238</v>
      </c>
      <c r="D90" s="52" t="n">
        <v>620</v>
      </c>
      <c r="E90" s="52" t="n">
        <v>591</v>
      </c>
      <c r="F90" s="63" t="n">
        <f aca="false">IF(E90="","",D90-E90)</f>
        <v>29</v>
      </c>
      <c r="G90" s="52" t="n">
        <v>311</v>
      </c>
      <c r="H90" s="52" t="n">
        <v>333</v>
      </c>
      <c r="I90" s="63" t="n">
        <f aca="false">IF(H90="","",G90-H90)</f>
        <v>-22</v>
      </c>
      <c r="J90" s="53" t="n">
        <f aca="false">IF(OR(D90="",D90+G90=0),"",D90/(D90+G90))</f>
        <v>0.665950590762621</v>
      </c>
      <c r="K90" s="53" t="n">
        <f aca="false">IF(E90="","",E90/(E90+H90))</f>
        <v>0.63961038961039</v>
      </c>
      <c r="L90" s="64" t="n">
        <f aca="false">IF(OR(K90="",J90=""),"",(J90-K90)*100)</f>
        <v>2.63402011522312</v>
      </c>
      <c r="M90" s="28" t="n">
        <v>2.29525849334818</v>
      </c>
      <c r="N90" s="28" t="n">
        <v>0.395914373242782</v>
      </c>
      <c r="O90" s="28" t="n">
        <f aca="false">SQRT(M90^2+N90^2)</f>
        <v>2.32915429764264</v>
      </c>
      <c r="P90" s="53" t="n">
        <f aca="false">IF(J90="","",MAX(0,J90-1.96*O90/100))</f>
        <v>0.620299166528825</v>
      </c>
      <c r="Q90" s="53" t="n">
        <f aca="false">IF(J90="","",MIN(1,J90+1.96*O90/100))</f>
        <v>0.711602014996417</v>
      </c>
      <c r="R90" s="25" t="str">
        <f aca="false">IF(L90="","",IF(ABS(L90)&lt;=O90,"Yes","No"))</f>
        <v>No</v>
      </c>
      <c r="S90" s="25" t="str">
        <f aca="false">IF(L90="","",IF(ABS(L90)&lt;=1.96*O90,"Yes","No"))</f>
        <v>Yes</v>
      </c>
      <c r="T90" s="52" t="n">
        <f aca="false">IF(D90="","",ROUND(SQRT(((D90+G90)*O90/100)^2+(J90*(D90+G90)*0.10931)^2),0))</f>
        <v>71</v>
      </c>
      <c r="U90" s="25"/>
    </row>
    <row r="91" customFormat="false" ht="15" hidden="false" customHeight="false" outlineLevel="0" collapsed="false">
      <c r="A91" s="25" t="s">
        <v>197</v>
      </c>
      <c r="B91" s="25" t="s">
        <v>199</v>
      </c>
      <c r="C91" s="25" t="s">
        <v>239</v>
      </c>
      <c r="D91" s="52" t="n">
        <v>341</v>
      </c>
      <c r="E91" s="52" t="n">
        <v>347</v>
      </c>
      <c r="F91" s="63" t="n">
        <f aca="false">IF(E91="","",D91-E91)</f>
        <v>-6</v>
      </c>
      <c r="G91" s="52" t="n">
        <v>251</v>
      </c>
      <c r="H91" s="52" t="n">
        <v>243</v>
      </c>
      <c r="I91" s="63" t="n">
        <f aca="false">IF(H91="","",G91-H91)</f>
        <v>8</v>
      </c>
      <c r="J91" s="53" t="n">
        <f aca="false">IF(OR(D91="",D91+G91=0),"",D91/(D91+G91))</f>
        <v>0.576013513513514</v>
      </c>
      <c r="K91" s="53" t="n">
        <f aca="false">IF(E91="","",E91/(E91+H91))</f>
        <v>0.588135593220339</v>
      </c>
      <c r="L91" s="64" t="n">
        <f aca="false">IF(OR(K91="",J91=""),"",(J91-K91)*100)</f>
        <v>-1.21220797068256</v>
      </c>
      <c r="M91" s="28" t="n">
        <v>3.51968652681483</v>
      </c>
      <c r="N91" s="28" t="n">
        <v>0.395914373242782</v>
      </c>
      <c r="O91" s="28" t="n">
        <f aca="false">SQRT(M91^2+N91^2)</f>
        <v>3.54188388262265</v>
      </c>
      <c r="P91" s="53" t="n">
        <f aca="false">IF(J91="","",MAX(0,J91-1.96*O91/100))</f>
        <v>0.50659258941411</v>
      </c>
      <c r="Q91" s="53" t="n">
        <f aca="false">IF(J91="","",MIN(1,J91+1.96*O91/100))</f>
        <v>0.645434437612917</v>
      </c>
      <c r="R91" s="25" t="str">
        <f aca="false">IF(L91="","",IF(ABS(L91)&lt;=O91,"Yes","No"))</f>
        <v>Yes</v>
      </c>
      <c r="S91" s="25" t="str">
        <f aca="false">IF(L91="","",IF(ABS(L91)&lt;=1.96*O91,"Yes","No"))</f>
        <v>Yes</v>
      </c>
      <c r="T91" s="52" t="n">
        <f aca="false">IF(D91="","",ROUND(SQRT(((D91+G91)*O91/100)^2+(J91*(D91+G91)*0.1901)^2),0))</f>
        <v>68</v>
      </c>
      <c r="U91" s="25"/>
    </row>
    <row r="92" customFormat="false" ht="15" hidden="false" customHeight="false" outlineLevel="0" collapsed="false">
      <c r="A92" s="25" t="s">
        <v>197</v>
      </c>
      <c r="B92" s="25" t="s">
        <v>199</v>
      </c>
      <c r="C92" s="25" t="s">
        <v>240</v>
      </c>
      <c r="D92" s="52" t="n">
        <v>466</v>
      </c>
      <c r="E92" s="52" t="n">
        <v>440</v>
      </c>
      <c r="F92" s="63" t="n">
        <f aca="false">IF(E92="","",D92-E92)</f>
        <v>26</v>
      </c>
      <c r="G92" s="52" t="n">
        <v>250</v>
      </c>
      <c r="H92" s="52" t="n">
        <v>259</v>
      </c>
      <c r="I92" s="63" t="n">
        <f aca="false">IF(H92="","",G92-H92)</f>
        <v>-9</v>
      </c>
      <c r="J92" s="53" t="n">
        <f aca="false">IF(OR(D92="",D92+G92=0),"",D92/(D92+G92))</f>
        <v>0.650837988826816</v>
      </c>
      <c r="K92" s="53" t="n">
        <f aca="false">IF(E92="","",E92/(E92+H92))</f>
        <v>0.629470672389127</v>
      </c>
      <c r="L92" s="64" t="n">
        <f aca="false">IF(OR(K92="",J92=""),"",(J92-K92)*100)</f>
        <v>2.13673164376883</v>
      </c>
      <c r="M92" s="28" t="n">
        <v>3.51968652681483</v>
      </c>
      <c r="N92" s="28" t="n">
        <v>0.395914373242782</v>
      </c>
      <c r="O92" s="28" t="n">
        <f aca="false">SQRT(M92^2+N92^2)</f>
        <v>3.54188388262265</v>
      </c>
      <c r="P92" s="53" t="n">
        <f aca="false">IF(J92="","",MAX(0,J92-1.96*O92/100))</f>
        <v>0.581417064727412</v>
      </c>
      <c r="Q92" s="53" t="n">
        <f aca="false">IF(J92="","",MIN(1,J92+1.96*O92/100))</f>
        <v>0.72025891292622</v>
      </c>
      <c r="R92" s="25" t="str">
        <f aca="false">IF(L92="","",IF(ABS(L92)&lt;=O92,"Yes","No"))</f>
        <v>Yes</v>
      </c>
      <c r="S92" s="25" t="str">
        <f aca="false">IF(L92="","",IF(ABS(L92)&lt;=1.96*O92,"Yes","No"))</f>
        <v>Yes</v>
      </c>
      <c r="T92" s="52" t="n">
        <f aca="false">IF(D92="","",ROUND(SQRT(((D92+G92)*O92/100)^2+(J92*(D92+G92)*0.1901)^2),0))</f>
        <v>92</v>
      </c>
      <c r="U92" s="25"/>
    </row>
    <row r="93" customFormat="false" ht="15" hidden="false" customHeight="false" outlineLevel="0" collapsed="false">
      <c r="A93" s="25" t="s">
        <v>197</v>
      </c>
      <c r="B93" s="25" t="s">
        <v>199</v>
      </c>
      <c r="C93" s="25" t="s">
        <v>241</v>
      </c>
      <c r="D93" s="52" t="n">
        <v>564</v>
      </c>
      <c r="E93" s="52" t="n">
        <v>553</v>
      </c>
      <c r="F93" s="63" t="n">
        <f aca="false">IF(E93="","",D93-E93)</f>
        <v>11</v>
      </c>
      <c r="G93" s="52" t="n">
        <v>409</v>
      </c>
      <c r="H93" s="52" t="n">
        <v>367</v>
      </c>
      <c r="I93" s="63" t="n">
        <f aca="false">IF(H93="","",G93-H93)</f>
        <v>42</v>
      </c>
      <c r="J93" s="53" t="n">
        <f aca="false">IF(OR(D93="",D93+G93=0),"",D93/(D93+G93))</f>
        <v>0.579650565262076</v>
      </c>
      <c r="K93" s="53" t="n">
        <f aca="false">IF(E93="","",E93/(E93+H93))</f>
        <v>0.601086956521739</v>
      </c>
      <c r="L93" s="64" t="n">
        <f aca="false">IF(OR(K93="",J93=""),"",(J93-K93)*100)</f>
        <v>-2.14363912596631</v>
      </c>
      <c r="M93" s="28" t="n">
        <v>2.29525849334818</v>
      </c>
      <c r="N93" s="28" t="n">
        <v>0.395914373242782</v>
      </c>
      <c r="O93" s="28" t="n">
        <f aca="false">SQRT(M93^2+N93^2)</f>
        <v>2.32915429764264</v>
      </c>
      <c r="P93" s="53" t="n">
        <f aca="false">IF(J93="","",MAX(0,J93-1.96*O93/100))</f>
        <v>0.53399914102828</v>
      </c>
      <c r="Q93" s="53" t="n">
        <f aca="false">IF(J93="","",MIN(1,J93+1.96*O93/100))</f>
        <v>0.625301989495872</v>
      </c>
      <c r="R93" s="25" t="str">
        <f aca="false">IF(L93="","",IF(ABS(L93)&lt;=O93,"Yes","No"))</f>
        <v>Yes</v>
      </c>
      <c r="S93" s="25" t="str">
        <f aca="false">IF(L93="","",IF(ABS(L93)&lt;=1.96*O93,"Yes","No"))</f>
        <v>Yes</v>
      </c>
      <c r="T93" s="52" t="n">
        <f aca="false">IF(D93="","",ROUND(SQRT(((D93+G93)*O93/100)^2+(J93*(D93+G93)*0.10931)^2),0))</f>
        <v>66</v>
      </c>
      <c r="U93" s="25"/>
    </row>
    <row r="94" customFormat="false" ht="15" hidden="false" customHeight="false" outlineLevel="0" collapsed="false">
      <c r="A94" s="25" t="s">
        <v>197</v>
      </c>
      <c r="B94" s="25" t="s">
        <v>199</v>
      </c>
      <c r="C94" s="25" t="s">
        <v>242</v>
      </c>
      <c r="D94" s="52" t="n">
        <v>1</v>
      </c>
      <c r="E94" s="52"/>
      <c r="F94" s="63" t="str">
        <f aca="false">IF(E94="","",D94-E94)</f>
        <v/>
      </c>
      <c r="G94" s="52" t="n">
        <v>1</v>
      </c>
      <c r="H94" s="52"/>
      <c r="I94" s="63" t="str">
        <f aca="false">IF(H94="","",G94-H94)</f>
        <v/>
      </c>
      <c r="J94" s="53" t="n">
        <f aca="false">IF(OR(D94="",D94+G94=0),"",D94/(D94+G94))</f>
        <v>0.5</v>
      </c>
      <c r="K94" s="53" t="str">
        <f aca="false">IF(E94="","",E94/(E94+H94))</f>
        <v/>
      </c>
      <c r="L94" s="64" t="str">
        <f aca="false">IF(OR(K94="",J94=""),"",(J94-K94)*100)</f>
        <v/>
      </c>
      <c r="M94" s="28" t="n">
        <v>3.51968652681483</v>
      </c>
      <c r="N94" s="28" t="n">
        <v>0.395914373242782</v>
      </c>
      <c r="O94" s="28" t="n">
        <f aca="false">SQRT(M94^2+N94^2)</f>
        <v>3.54188388262265</v>
      </c>
      <c r="P94" s="53" t="n">
        <f aca="false">IF(J94="","",MAX(0,J94-1.96*O94/100))</f>
        <v>0.430579075900596</v>
      </c>
      <c r="Q94" s="53" t="n">
        <f aca="false">IF(J94="","",MIN(1,J94+1.96*O94/100))</f>
        <v>0.569420924099404</v>
      </c>
      <c r="R94" s="25" t="str">
        <f aca="false">IF(L94="","",IF(ABS(L94)&lt;=O94,"Yes","No"))</f>
        <v/>
      </c>
      <c r="S94" s="25" t="str">
        <f aca="false">IF(L94="","",IF(ABS(L94)&lt;=1.96*O94,"Yes","No"))</f>
        <v/>
      </c>
      <c r="T94" s="52" t="n">
        <f aca="false">IF(D94="","",ROUND(SQRT(((D94+G94)*O94/100)^2+(J94*(D94+G94)*0.1901)^2),0))</f>
        <v>0</v>
      </c>
      <c r="U94" s="25" t="s">
        <v>702</v>
      </c>
    </row>
    <row r="95" customFormat="false" ht="15" hidden="false" customHeight="false" outlineLevel="0" collapsed="false">
      <c r="A95" s="25" t="s">
        <v>197</v>
      </c>
      <c r="B95" s="25" t="s">
        <v>199</v>
      </c>
      <c r="C95" s="25" t="s">
        <v>243</v>
      </c>
      <c r="D95" s="52" t="n">
        <v>854</v>
      </c>
      <c r="E95" s="52" t="n">
        <v>821</v>
      </c>
      <c r="F95" s="63" t="n">
        <f aca="false">IF(E95="","",D95-E95)</f>
        <v>33</v>
      </c>
      <c r="G95" s="52" t="n">
        <v>524</v>
      </c>
      <c r="H95" s="52" t="n">
        <v>504</v>
      </c>
      <c r="I95" s="63" t="n">
        <f aca="false">IF(H95="","",G95-H95)</f>
        <v>20</v>
      </c>
      <c r="J95" s="53" t="n">
        <f aca="false">IF(OR(D95="",D95+G95=0),"",D95/(D95+G95))</f>
        <v>0.619738751814224</v>
      </c>
      <c r="K95" s="53" t="n">
        <f aca="false">IF(E95="","",E95/(E95+H95))</f>
        <v>0.619622641509434</v>
      </c>
      <c r="L95" s="64" t="n">
        <f aca="false">IF(OR(K95="",J95=""),"",(J95-K95)*100)</f>
        <v>0.0116110304789641</v>
      </c>
      <c r="M95" s="28" t="n">
        <v>2.07368371626919</v>
      </c>
      <c r="N95" s="28" t="n">
        <v>0.395914373242782</v>
      </c>
      <c r="O95" s="28" t="n">
        <f aca="false">SQRT(M95^2+N95^2)</f>
        <v>2.11114005837136</v>
      </c>
      <c r="P95" s="53" t="n">
        <f aca="false">IF(J95="","",MAX(0,J95-1.96*O95/100))</f>
        <v>0.578360406670145</v>
      </c>
      <c r="Q95" s="53" t="n">
        <f aca="false">IF(J95="","",MIN(1,J95+1.96*O95/100))</f>
        <v>0.661117096958302</v>
      </c>
      <c r="R95" s="25" t="str">
        <f aca="false">IF(L95="","",IF(ABS(L95)&lt;=O95,"Yes","No"))</f>
        <v>Yes</v>
      </c>
      <c r="S95" s="25" t="str">
        <f aca="false">IF(L95="","",IF(ABS(L95)&lt;=1.96*O95,"Yes","No"))</f>
        <v>Yes</v>
      </c>
      <c r="T95" s="52" t="n">
        <f aca="false">IF(D95="","",ROUND(SQRT(((D95+G95)*O95/100)^2+(J95*(D95+G95)*0.08889)^2),0))</f>
        <v>81</v>
      </c>
      <c r="U95" s="25"/>
    </row>
    <row r="96" customFormat="false" ht="15" hidden="false" customHeight="false" outlineLevel="0" collapsed="false">
      <c r="A96" s="25" t="s">
        <v>197</v>
      </c>
      <c r="B96" s="25" t="s">
        <v>199</v>
      </c>
      <c r="C96" s="25" t="s">
        <v>244</v>
      </c>
      <c r="D96" s="52" t="n">
        <v>516</v>
      </c>
      <c r="E96" s="52" t="n">
        <v>487</v>
      </c>
      <c r="F96" s="63" t="n">
        <f aca="false">IF(E96="","",D96-E96)</f>
        <v>29</v>
      </c>
      <c r="G96" s="52" t="n">
        <v>154</v>
      </c>
      <c r="H96" s="52" t="n">
        <v>191</v>
      </c>
      <c r="I96" s="63" t="n">
        <f aca="false">IF(H96="","",G96-H96)</f>
        <v>-37</v>
      </c>
      <c r="J96" s="53" t="n">
        <f aca="false">IF(OR(D96="",D96+G96=0),"",D96/(D96+G96))</f>
        <v>0.770149253731343</v>
      </c>
      <c r="K96" s="53" t="n">
        <f aca="false">IF(E96="","",E96/(E96+H96))</f>
        <v>0.718289085545723</v>
      </c>
      <c r="L96" s="64" t="n">
        <f aca="false">IF(OR(K96="",J96=""),"",(J96-K96)*100)</f>
        <v>5.18601681856206</v>
      </c>
      <c r="M96" s="28" t="n">
        <v>3.51968652681483</v>
      </c>
      <c r="N96" s="28" t="n">
        <v>0.395914373242782</v>
      </c>
      <c r="O96" s="28" t="n">
        <f aca="false">SQRT(M96^2+N96^2)</f>
        <v>3.54188388262265</v>
      </c>
      <c r="P96" s="53" t="n">
        <f aca="false">IF(J96="","",MAX(0,J96-1.96*O96/100))</f>
        <v>0.700728329631939</v>
      </c>
      <c r="Q96" s="53" t="n">
        <f aca="false">IF(J96="","",MIN(1,J96+1.96*O96/100))</f>
        <v>0.839570177830747</v>
      </c>
      <c r="R96" s="25" t="str">
        <f aca="false">IF(L96="","",IF(ABS(L96)&lt;=O96,"Yes","No"))</f>
        <v>No</v>
      </c>
      <c r="S96" s="25" t="str">
        <f aca="false">IF(L96="","",IF(ABS(L96)&lt;=1.96*O96,"Yes","No"))</f>
        <v>Yes</v>
      </c>
      <c r="T96" s="52" t="n">
        <f aca="false">IF(D96="","",ROUND(SQRT(((D96+G96)*O96/100)^2+(J96*(D96+G96)*0.1901)^2),0))</f>
        <v>101</v>
      </c>
      <c r="U96" s="25"/>
    </row>
    <row r="97" customFormat="false" ht="15" hidden="false" customHeight="false" outlineLevel="0" collapsed="false">
      <c r="A97" s="25" t="s">
        <v>197</v>
      </c>
      <c r="B97" s="25" t="s">
        <v>199</v>
      </c>
      <c r="C97" s="25" t="s">
        <v>245</v>
      </c>
      <c r="D97" s="52" t="n">
        <v>476</v>
      </c>
      <c r="E97" s="52" t="n">
        <v>418</v>
      </c>
      <c r="F97" s="63" t="n">
        <f aca="false">IF(E97="","",D97-E97)</f>
        <v>58</v>
      </c>
      <c r="G97" s="52" t="n">
        <v>156</v>
      </c>
      <c r="H97" s="52" t="n">
        <v>181</v>
      </c>
      <c r="I97" s="63" t="n">
        <f aca="false">IF(H97="","",G97-H97)</f>
        <v>-25</v>
      </c>
      <c r="J97" s="53" t="n">
        <f aca="false">IF(OR(D97="",D97+G97=0),"",D97/(D97+G97))</f>
        <v>0.753164556962025</v>
      </c>
      <c r="K97" s="53" t="n">
        <f aca="false">IF(E97="","",E97/(E97+H97))</f>
        <v>0.697829716193656</v>
      </c>
      <c r="L97" s="64" t="n">
        <f aca="false">IF(OR(K97="",J97=""),"",(J97-K97)*100)</f>
        <v>5.53348407683693</v>
      </c>
      <c r="M97" s="28" t="n">
        <v>3.51968652681483</v>
      </c>
      <c r="N97" s="28" t="n">
        <v>0.395914373242782</v>
      </c>
      <c r="O97" s="28" t="n">
        <f aca="false">SQRT(M97^2+N97^2)</f>
        <v>3.54188388262265</v>
      </c>
      <c r="P97" s="53" t="n">
        <f aca="false">IF(J97="","",MAX(0,J97-1.96*O97/100))</f>
        <v>0.683743632862621</v>
      </c>
      <c r="Q97" s="53" t="n">
        <f aca="false">IF(J97="","",MIN(1,J97+1.96*O97/100))</f>
        <v>0.822585481061429</v>
      </c>
      <c r="R97" s="25" t="str">
        <f aca="false">IF(L97="","",IF(ABS(L97)&lt;=O97,"Yes","No"))</f>
        <v>No</v>
      </c>
      <c r="S97" s="25" t="str">
        <f aca="false">IF(L97="","",IF(ABS(L97)&lt;=1.96*O97,"Yes","No"))</f>
        <v>Yes</v>
      </c>
      <c r="T97" s="52" t="n">
        <f aca="false">IF(D97="","",ROUND(SQRT(((D97+G97)*O97/100)^2+(J97*(D97+G97)*0.1901)^2),0))</f>
        <v>93</v>
      </c>
      <c r="U97" s="25"/>
    </row>
    <row r="98" customFormat="false" ht="15" hidden="false" customHeight="false" outlineLevel="0" collapsed="false">
      <c r="A98" s="25" t="s">
        <v>197</v>
      </c>
      <c r="B98" s="25" t="s">
        <v>199</v>
      </c>
      <c r="C98" s="25" t="s">
        <v>246</v>
      </c>
      <c r="D98" s="52" t="n">
        <v>668</v>
      </c>
      <c r="E98" s="52" t="n">
        <v>677</v>
      </c>
      <c r="F98" s="63" t="n">
        <f aca="false">IF(E98="","",D98-E98)</f>
        <v>-9</v>
      </c>
      <c r="G98" s="52" t="n">
        <v>198</v>
      </c>
      <c r="H98" s="52" t="n">
        <v>264</v>
      </c>
      <c r="I98" s="63" t="n">
        <f aca="false">IF(H98="","",G98-H98)</f>
        <v>-66</v>
      </c>
      <c r="J98" s="53" t="n">
        <f aca="false">IF(OR(D98="",D98+G98=0),"",D98/(D98+G98))</f>
        <v>0.771362586605081</v>
      </c>
      <c r="K98" s="53" t="n">
        <f aca="false">IF(E98="","",E98/(E98+H98))</f>
        <v>0.719447396386823</v>
      </c>
      <c r="L98" s="64" t="n">
        <f aca="false">IF(OR(K98="",J98=""),"",(J98-K98)*100)</f>
        <v>5.19151902182583</v>
      </c>
      <c r="M98" s="28" t="n">
        <v>2.29525849334818</v>
      </c>
      <c r="N98" s="28" t="n">
        <v>0.395914373242782</v>
      </c>
      <c r="O98" s="28" t="n">
        <f aca="false">SQRT(M98^2+N98^2)</f>
        <v>2.32915429764264</v>
      </c>
      <c r="P98" s="53" t="n">
        <f aca="false">IF(J98="","",MAX(0,J98-1.96*O98/100))</f>
        <v>0.725711162371285</v>
      </c>
      <c r="Q98" s="53" t="n">
        <f aca="false">IF(J98="","",MIN(1,J98+1.96*O98/100))</f>
        <v>0.817014010838877</v>
      </c>
      <c r="R98" s="25" t="str">
        <f aca="false">IF(L98="","",IF(ABS(L98)&lt;=O98,"Yes","No"))</f>
        <v>No</v>
      </c>
      <c r="S98" s="25" t="str">
        <f aca="false">IF(L98="","",IF(ABS(L98)&lt;=1.96*O98,"Yes","No"))</f>
        <v>No</v>
      </c>
      <c r="T98" s="52" t="n">
        <f aca="false">IF(D98="","",ROUND(SQRT(((D98+G98)*O98/100)^2+(J98*(D98+G98)*0.10931)^2),0))</f>
        <v>76</v>
      </c>
      <c r="U98" s="25"/>
    </row>
    <row r="99" customFormat="false" ht="15" hidden="false" customHeight="false" outlineLevel="0" collapsed="false">
      <c r="A99" s="25" t="s">
        <v>197</v>
      </c>
      <c r="B99" s="25" t="s">
        <v>199</v>
      </c>
      <c r="C99" s="25" t="s">
        <v>247</v>
      </c>
      <c r="D99" s="52" t="n">
        <v>303</v>
      </c>
      <c r="E99" s="52" t="n">
        <v>283</v>
      </c>
      <c r="F99" s="63" t="n">
        <f aca="false">IF(E99="","",D99-E99)</f>
        <v>20</v>
      </c>
      <c r="G99" s="52" t="n">
        <v>109</v>
      </c>
      <c r="H99" s="52" t="n">
        <v>138</v>
      </c>
      <c r="I99" s="63" t="n">
        <f aca="false">IF(H99="","",G99-H99)</f>
        <v>-29</v>
      </c>
      <c r="J99" s="53" t="n">
        <f aca="false">IF(OR(D99="",D99+G99=0),"",D99/(D99+G99))</f>
        <v>0.735436893203884</v>
      </c>
      <c r="K99" s="53" t="n">
        <f aca="false">IF(E99="","",E99/(E99+H99))</f>
        <v>0.672209026128266</v>
      </c>
      <c r="L99" s="64" t="n">
        <f aca="false">IF(OR(K99="",J99=""),"",(J99-K99)*100)</f>
        <v>6.32278670756175</v>
      </c>
      <c r="M99" s="28" t="n">
        <v>3.51968652681483</v>
      </c>
      <c r="N99" s="28" t="n">
        <v>0.395914373242782</v>
      </c>
      <c r="O99" s="28" t="n">
        <f aca="false">SQRT(M99^2+N99^2)</f>
        <v>3.54188388262265</v>
      </c>
      <c r="P99" s="53" t="n">
        <f aca="false">IF(J99="","",MAX(0,J99-1.96*O99/100))</f>
        <v>0.66601596910448</v>
      </c>
      <c r="Q99" s="53" t="n">
        <f aca="false">IF(J99="","",MIN(1,J99+1.96*O99/100))</f>
        <v>0.804857817303287</v>
      </c>
      <c r="R99" s="25" t="str">
        <f aca="false">IF(L99="","",IF(ABS(L99)&lt;=O99,"Yes","No"))</f>
        <v>No</v>
      </c>
      <c r="S99" s="25" t="str">
        <f aca="false">IF(L99="","",IF(ABS(L99)&lt;=1.96*O99,"Yes","No"))</f>
        <v>Yes</v>
      </c>
      <c r="T99" s="52" t="n">
        <f aca="false">IF(D99="","",ROUND(SQRT(((D99+G99)*O99/100)^2+(J99*(D99+G99)*0.1901)^2),0))</f>
        <v>59</v>
      </c>
      <c r="U99" s="25"/>
    </row>
    <row r="100" customFormat="false" ht="15" hidden="false" customHeight="false" outlineLevel="0" collapsed="false">
      <c r="A100" s="25" t="s">
        <v>197</v>
      </c>
      <c r="B100" s="25" t="s">
        <v>199</v>
      </c>
      <c r="C100" s="25" t="s">
        <v>248</v>
      </c>
      <c r="D100" s="52" t="n">
        <v>469</v>
      </c>
      <c r="E100" s="52" t="n">
        <v>447</v>
      </c>
      <c r="F100" s="63" t="n">
        <f aca="false">IF(E100="","",D100-E100)</f>
        <v>22</v>
      </c>
      <c r="G100" s="52" t="n">
        <v>141</v>
      </c>
      <c r="H100" s="52" t="n">
        <v>152</v>
      </c>
      <c r="I100" s="63" t="n">
        <f aca="false">IF(H100="","",G100-H100)</f>
        <v>-11</v>
      </c>
      <c r="J100" s="53" t="n">
        <f aca="false">IF(OR(D100="",D100+G100=0),"",D100/(D100+G100))</f>
        <v>0.768852459016393</v>
      </c>
      <c r="K100" s="53" t="n">
        <f aca="false">IF(E100="","",E100/(E100+H100))</f>
        <v>0.746243739565943</v>
      </c>
      <c r="L100" s="64" t="n">
        <f aca="false">IF(OR(K100="",J100=""),"",(J100-K100)*100)</f>
        <v>2.26087194504502</v>
      </c>
      <c r="M100" s="28" t="n">
        <v>3.51968652681483</v>
      </c>
      <c r="N100" s="28" t="n">
        <v>0.395914373242782</v>
      </c>
      <c r="O100" s="28" t="n">
        <f aca="false">SQRT(M100^2+N100^2)</f>
        <v>3.54188388262265</v>
      </c>
      <c r="P100" s="53" t="n">
        <f aca="false">IF(J100="","",MAX(0,J100-1.96*O100/100))</f>
        <v>0.69943153491699</v>
      </c>
      <c r="Q100" s="53" t="n">
        <f aca="false">IF(J100="","",MIN(1,J100+1.96*O100/100))</f>
        <v>0.838273383115797</v>
      </c>
      <c r="R100" s="25" t="str">
        <f aca="false">IF(L100="","",IF(ABS(L100)&lt;=O100,"Yes","No"))</f>
        <v>Yes</v>
      </c>
      <c r="S100" s="25" t="str">
        <f aca="false">IF(L100="","",IF(ABS(L100)&lt;=1.96*O100,"Yes","No"))</f>
        <v>Yes</v>
      </c>
      <c r="T100" s="52" t="n">
        <f aca="false">IF(D100="","",ROUND(SQRT(((D100+G100)*O100/100)^2+(J100*(D100+G100)*0.1901)^2),0))</f>
        <v>92</v>
      </c>
      <c r="U100" s="25"/>
    </row>
    <row r="101" customFormat="false" ht="15" hidden="false" customHeight="false" outlineLevel="0" collapsed="false">
      <c r="A101" s="25" t="s">
        <v>197</v>
      </c>
      <c r="B101" s="25" t="s">
        <v>199</v>
      </c>
      <c r="C101" s="25" t="s">
        <v>249</v>
      </c>
      <c r="D101" s="52" t="n">
        <v>242</v>
      </c>
      <c r="E101" s="52" t="n">
        <v>179</v>
      </c>
      <c r="F101" s="63" t="n">
        <f aca="false">IF(E101="","",D101-E101)</f>
        <v>63</v>
      </c>
      <c r="G101" s="52" t="n">
        <v>83</v>
      </c>
      <c r="H101" s="52" t="n">
        <v>112</v>
      </c>
      <c r="I101" s="63" t="n">
        <f aca="false">IF(H101="","",G101-H101)</f>
        <v>-29</v>
      </c>
      <c r="J101" s="53" t="n">
        <f aca="false">IF(OR(D101="",D101+G101=0),"",D101/(D101+G101))</f>
        <v>0.744615384615385</v>
      </c>
      <c r="K101" s="53" t="n">
        <f aca="false">IF(E101="","",E101/(E101+H101))</f>
        <v>0.615120274914089</v>
      </c>
      <c r="L101" s="64" t="n">
        <f aca="false">IF(OR(K101="",J101=""),"",(J101-K101)*100)</f>
        <v>12.9495109701295</v>
      </c>
      <c r="M101" s="28" t="n">
        <v>3.51968652681483</v>
      </c>
      <c r="N101" s="28" t="n">
        <v>0.395914373242782</v>
      </c>
      <c r="O101" s="28" t="n">
        <f aca="false">SQRT(M101^2+N101^2)</f>
        <v>3.54188388262265</v>
      </c>
      <c r="P101" s="53" t="n">
        <f aca="false">IF(J101="","",MAX(0,J101-1.96*O101/100))</f>
        <v>0.675194460515981</v>
      </c>
      <c r="Q101" s="53" t="n">
        <f aca="false">IF(J101="","",MIN(1,J101+1.96*O101/100))</f>
        <v>0.814036308714789</v>
      </c>
      <c r="R101" s="25" t="str">
        <f aca="false">IF(L101="","",IF(ABS(L101)&lt;=O101,"Yes","No"))</f>
        <v>No</v>
      </c>
      <c r="S101" s="25" t="str">
        <f aca="false">IF(L101="","",IF(ABS(L101)&lt;=1.96*O101,"Yes","No"))</f>
        <v>No</v>
      </c>
      <c r="T101" s="52" t="n">
        <f aca="false">IF(D101="","",ROUND(SQRT(((D101+G101)*O101/100)^2+(J101*(D101+G101)*0.1901)^2),0))</f>
        <v>47</v>
      </c>
      <c r="U101" s="25"/>
    </row>
    <row r="102" customFormat="false" ht="15" hidden="false" customHeight="false" outlineLevel="0" collapsed="false">
      <c r="A102" s="25" t="s">
        <v>197</v>
      </c>
      <c r="B102" s="25" t="s">
        <v>199</v>
      </c>
      <c r="C102" s="25" t="s">
        <v>250</v>
      </c>
      <c r="D102" s="52" t="n">
        <v>384</v>
      </c>
      <c r="E102" s="52" t="n">
        <v>357</v>
      </c>
      <c r="F102" s="63" t="n">
        <f aca="false">IF(E102="","",D102-E102)</f>
        <v>27</v>
      </c>
      <c r="G102" s="52" t="n">
        <v>184</v>
      </c>
      <c r="H102" s="52" t="n">
        <v>225</v>
      </c>
      <c r="I102" s="63" t="n">
        <f aca="false">IF(H102="","",G102-H102)</f>
        <v>-41</v>
      </c>
      <c r="J102" s="53" t="n">
        <f aca="false">IF(OR(D102="",D102+G102=0),"",D102/(D102+G102))</f>
        <v>0.676056338028169</v>
      </c>
      <c r="K102" s="53" t="n">
        <f aca="false">IF(E102="","",E102/(E102+H102))</f>
        <v>0.61340206185567</v>
      </c>
      <c r="L102" s="64" t="n">
        <f aca="false">IF(OR(K102="",J102=""),"",(J102-K102)*100)</f>
        <v>6.26542761724989</v>
      </c>
      <c r="M102" s="28" t="n">
        <v>3.51968652681483</v>
      </c>
      <c r="N102" s="28" t="n">
        <v>0.395914373242782</v>
      </c>
      <c r="O102" s="28" t="n">
        <f aca="false">SQRT(M102^2+N102^2)</f>
        <v>3.54188388262265</v>
      </c>
      <c r="P102" s="53" t="n">
        <f aca="false">IF(J102="","",MAX(0,J102-1.96*O102/100))</f>
        <v>0.606635413928765</v>
      </c>
      <c r="Q102" s="53" t="n">
        <f aca="false">IF(J102="","",MIN(1,J102+1.96*O102/100))</f>
        <v>0.745477262127573</v>
      </c>
      <c r="R102" s="25" t="str">
        <f aca="false">IF(L102="","",IF(ABS(L102)&lt;=O102,"Yes","No"))</f>
        <v>No</v>
      </c>
      <c r="S102" s="25" t="str">
        <f aca="false">IF(L102="","",IF(ABS(L102)&lt;=1.96*O102,"Yes","No"))</f>
        <v>Yes</v>
      </c>
      <c r="T102" s="52" t="n">
        <f aca="false">IF(D102="","",ROUND(SQRT(((D102+G102)*O102/100)^2+(J102*(D102+G102)*0.1901)^2),0))</f>
        <v>76</v>
      </c>
      <c r="U102" s="25"/>
    </row>
    <row r="103" customFormat="false" ht="15" hidden="false" customHeight="false" outlineLevel="0" collapsed="false">
      <c r="A103" s="25" t="s">
        <v>197</v>
      </c>
      <c r="B103" s="25" t="s">
        <v>199</v>
      </c>
      <c r="C103" s="25" t="s">
        <v>251</v>
      </c>
      <c r="D103" s="52" t="n">
        <v>590</v>
      </c>
      <c r="E103" s="52" t="n">
        <v>520</v>
      </c>
      <c r="F103" s="63" t="n">
        <f aca="false">IF(E103="","",D103-E103)</f>
        <v>70</v>
      </c>
      <c r="G103" s="52" t="n">
        <v>193</v>
      </c>
      <c r="H103" s="52" t="n">
        <v>193</v>
      </c>
      <c r="I103" s="63" t="n">
        <f aca="false">IF(H103="","",G103-H103)</f>
        <v>0</v>
      </c>
      <c r="J103" s="53" t="n">
        <f aca="false">IF(OR(D103="",D103+G103=0),"",D103/(D103+G103))</f>
        <v>0.753512132822478</v>
      </c>
      <c r="K103" s="53" t="n">
        <f aca="false">IF(E103="","",E103/(E103+H103))</f>
        <v>0.729312762973352</v>
      </c>
      <c r="L103" s="64" t="n">
        <f aca="false">IF(OR(K103="",J103=""),"",(J103-K103)*100)</f>
        <v>2.41993698491256</v>
      </c>
      <c r="M103" s="28" t="n">
        <v>2.29525849334818</v>
      </c>
      <c r="N103" s="28" t="n">
        <v>0.395914373242782</v>
      </c>
      <c r="O103" s="28" t="n">
        <f aca="false">SQRT(M103^2+N103^2)</f>
        <v>2.32915429764264</v>
      </c>
      <c r="P103" s="53" t="n">
        <f aca="false">IF(J103="","",MAX(0,J103-1.96*O103/100))</f>
        <v>0.707860708588682</v>
      </c>
      <c r="Q103" s="53" t="n">
        <f aca="false">IF(J103="","",MIN(1,J103+1.96*O103/100))</f>
        <v>0.799163557056273</v>
      </c>
      <c r="R103" s="25" t="str">
        <f aca="false">IF(L103="","",IF(ABS(L103)&lt;=O103,"Yes","No"))</f>
        <v>No</v>
      </c>
      <c r="S103" s="25" t="str">
        <f aca="false">IF(L103="","",IF(ABS(L103)&lt;=1.96*O103,"Yes","No"))</f>
        <v>Yes</v>
      </c>
      <c r="T103" s="52" t="n">
        <f aca="false">IF(D103="","",ROUND(SQRT(((D103+G103)*O103/100)^2+(J103*(D103+G103)*0.10931)^2),0))</f>
        <v>67</v>
      </c>
      <c r="U103" s="25"/>
    </row>
    <row r="104" customFormat="false" ht="15" hidden="false" customHeight="false" outlineLevel="0" collapsed="false">
      <c r="A104" s="25" t="s">
        <v>197</v>
      </c>
      <c r="B104" s="25" t="s">
        <v>199</v>
      </c>
      <c r="C104" s="25" t="s">
        <v>252</v>
      </c>
      <c r="D104" s="52" t="n">
        <v>233</v>
      </c>
      <c r="E104" s="52" t="n">
        <v>218</v>
      </c>
      <c r="F104" s="63" t="n">
        <f aca="false">IF(E104="","",D104-E104)</f>
        <v>15</v>
      </c>
      <c r="G104" s="52" t="n">
        <v>73</v>
      </c>
      <c r="H104" s="52" t="n">
        <v>86</v>
      </c>
      <c r="I104" s="63" t="n">
        <f aca="false">IF(H104="","",G104-H104)</f>
        <v>-13</v>
      </c>
      <c r="J104" s="53" t="n">
        <f aca="false">IF(OR(D104="",D104+G104=0),"",D104/(D104+G104))</f>
        <v>0.761437908496732</v>
      </c>
      <c r="K104" s="53" t="n">
        <f aca="false">IF(E104="","",E104/(E104+H104))</f>
        <v>0.717105263157895</v>
      </c>
      <c r="L104" s="64" t="n">
        <f aca="false">IF(OR(K104="",J104=""),"",(J104-K104)*100)</f>
        <v>4.43326453388373</v>
      </c>
      <c r="M104" s="28" t="n">
        <v>3.51968652681483</v>
      </c>
      <c r="N104" s="28" t="n">
        <v>0.395914373242782</v>
      </c>
      <c r="O104" s="28" t="n">
        <f aca="false">SQRT(M104^2+N104^2)</f>
        <v>3.54188388262265</v>
      </c>
      <c r="P104" s="53" t="n">
        <f aca="false">IF(J104="","",MAX(0,J104-1.96*O104/100))</f>
        <v>0.692016984397328</v>
      </c>
      <c r="Q104" s="53" t="n">
        <f aca="false">IF(J104="","",MIN(1,J104+1.96*O104/100))</f>
        <v>0.830858832596136</v>
      </c>
      <c r="R104" s="25" t="str">
        <f aca="false">IF(L104="","",IF(ABS(L104)&lt;=O104,"Yes","No"))</f>
        <v>No</v>
      </c>
      <c r="S104" s="25" t="str">
        <f aca="false">IF(L104="","",IF(ABS(L104)&lt;=1.96*O104,"Yes","No"))</f>
        <v>Yes</v>
      </c>
      <c r="T104" s="52" t="n">
        <f aca="false">IF(D104="","",ROUND(SQRT(((D104+G104)*O104/100)^2+(J104*(D104+G104)*0.1901)^2),0))</f>
        <v>46</v>
      </c>
      <c r="U104" s="25"/>
    </row>
    <row r="105" customFormat="false" ht="15" hidden="false" customHeight="false" outlineLevel="0" collapsed="false">
      <c r="A105" s="25" t="s">
        <v>197</v>
      </c>
      <c r="B105" s="25" t="s">
        <v>199</v>
      </c>
      <c r="C105" s="25" t="s">
        <v>253</v>
      </c>
      <c r="D105" s="52" t="n">
        <v>264</v>
      </c>
      <c r="E105" s="52" t="n">
        <v>262</v>
      </c>
      <c r="F105" s="63" t="n">
        <f aca="false">IF(E105="","",D105-E105)</f>
        <v>2</v>
      </c>
      <c r="G105" s="52" t="n">
        <v>76</v>
      </c>
      <c r="H105" s="52" t="n">
        <v>109</v>
      </c>
      <c r="I105" s="63" t="n">
        <f aca="false">IF(H105="","",G105-H105)</f>
        <v>-33</v>
      </c>
      <c r="J105" s="53" t="n">
        <f aca="false">IF(OR(D105="",D105+G105=0),"",D105/(D105+G105))</f>
        <v>0.776470588235294</v>
      </c>
      <c r="K105" s="53" t="n">
        <f aca="false">IF(E105="","",E105/(E105+H105))</f>
        <v>0.706199460916442</v>
      </c>
      <c r="L105" s="64" t="n">
        <f aca="false">IF(OR(K105="",J105=""),"",(J105-K105)*100)</f>
        <v>7.02711273188521</v>
      </c>
      <c r="M105" s="28" t="n">
        <v>3.51968652681483</v>
      </c>
      <c r="N105" s="28" t="n">
        <v>0.395914373242782</v>
      </c>
      <c r="O105" s="28" t="n">
        <f aca="false">SQRT(M105^2+N105^2)</f>
        <v>3.54188388262265</v>
      </c>
      <c r="P105" s="53" t="n">
        <f aca="false">IF(J105="","",MAX(0,J105-1.96*O105/100))</f>
        <v>0.70704966413589</v>
      </c>
      <c r="Q105" s="53" t="n">
        <f aca="false">IF(J105="","",MIN(1,J105+1.96*O105/100))</f>
        <v>0.845891512334698</v>
      </c>
      <c r="R105" s="25" t="str">
        <f aca="false">IF(L105="","",IF(ABS(L105)&lt;=O105,"Yes","No"))</f>
        <v>No</v>
      </c>
      <c r="S105" s="25" t="str">
        <f aca="false">IF(L105="","",IF(ABS(L105)&lt;=1.96*O105,"Yes","No"))</f>
        <v>No</v>
      </c>
      <c r="T105" s="52" t="n">
        <f aca="false">IF(D105="","",ROUND(SQRT(((D105+G105)*O105/100)^2+(J105*(D105+G105)*0.1901)^2),0))</f>
        <v>52</v>
      </c>
      <c r="U105" s="25"/>
    </row>
    <row r="106" customFormat="false" ht="15" hidden="false" customHeight="false" outlineLevel="0" collapsed="false">
      <c r="A106" s="25" t="s">
        <v>197</v>
      </c>
      <c r="B106" s="25" t="s">
        <v>199</v>
      </c>
      <c r="C106" s="25" t="s">
        <v>254</v>
      </c>
      <c r="D106" s="52" t="n">
        <v>448</v>
      </c>
      <c r="E106" s="52" t="n">
        <v>424</v>
      </c>
      <c r="F106" s="63" t="n">
        <f aca="false">IF(E106="","",D106-E106)</f>
        <v>24</v>
      </c>
      <c r="G106" s="52" t="n">
        <v>137</v>
      </c>
      <c r="H106" s="52" t="n">
        <v>151</v>
      </c>
      <c r="I106" s="63" t="n">
        <f aca="false">IF(H106="","",G106-H106)</f>
        <v>-14</v>
      </c>
      <c r="J106" s="53" t="n">
        <f aca="false">IF(OR(D106="",D106+G106=0),"",D106/(D106+G106))</f>
        <v>0.765811965811966</v>
      </c>
      <c r="K106" s="53" t="n">
        <f aca="false">IF(E106="","",E106/(E106+H106))</f>
        <v>0.737391304347826</v>
      </c>
      <c r="L106" s="64" t="n">
        <f aca="false">IF(OR(K106="",J106=""),"",(J106-K106)*100)</f>
        <v>2.84206614641398</v>
      </c>
      <c r="M106" s="28" t="n">
        <v>3.51968652681483</v>
      </c>
      <c r="N106" s="28" t="n">
        <v>0.395914373242782</v>
      </c>
      <c r="O106" s="28" t="n">
        <f aca="false">SQRT(M106^2+N106^2)</f>
        <v>3.54188388262265</v>
      </c>
      <c r="P106" s="53" t="n">
        <f aca="false">IF(J106="","",MAX(0,J106-1.96*O106/100))</f>
        <v>0.696391041712562</v>
      </c>
      <c r="Q106" s="53" t="n">
        <f aca="false">IF(J106="","",MIN(1,J106+1.96*O106/100))</f>
        <v>0.83523288991137</v>
      </c>
      <c r="R106" s="25" t="str">
        <f aca="false">IF(L106="","",IF(ABS(L106)&lt;=O106,"Yes","No"))</f>
        <v>Yes</v>
      </c>
      <c r="S106" s="25" t="str">
        <f aca="false">IF(L106="","",IF(ABS(L106)&lt;=1.96*O106,"Yes","No"))</f>
        <v>Yes</v>
      </c>
      <c r="T106" s="52" t="n">
        <f aca="false">IF(D106="","",ROUND(SQRT(((D106+G106)*O106/100)^2+(J106*(D106+G106)*0.1901)^2),0))</f>
        <v>88</v>
      </c>
      <c r="U106" s="25"/>
    </row>
    <row r="107" customFormat="false" ht="15" hidden="false" customHeight="false" outlineLevel="0" collapsed="false">
      <c r="A107" s="25" t="s">
        <v>197</v>
      </c>
      <c r="B107" s="25" t="s">
        <v>199</v>
      </c>
      <c r="C107" s="25" t="s">
        <v>255</v>
      </c>
      <c r="D107" s="52" t="n">
        <v>536</v>
      </c>
      <c r="E107" s="52" t="n">
        <v>565</v>
      </c>
      <c r="F107" s="63" t="n">
        <f aca="false">IF(E107="","",D107-E107)</f>
        <v>-29</v>
      </c>
      <c r="G107" s="52" t="n">
        <v>270</v>
      </c>
      <c r="H107" s="52" t="n">
        <v>277</v>
      </c>
      <c r="I107" s="63" t="n">
        <f aca="false">IF(H107="","",G107-H107)</f>
        <v>-7</v>
      </c>
      <c r="J107" s="53" t="n">
        <f aca="false">IF(OR(D107="",D107+G107=0),"",D107/(D107+G107))</f>
        <v>0.665012406947891</v>
      </c>
      <c r="K107" s="53" t="n">
        <f aca="false">IF(E107="","",E107/(E107+H107))</f>
        <v>0.671021377672209</v>
      </c>
      <c r="L107" s="64" t="n">
        <f aca="false">IF(OR(K107="",J107=""),"",(J107-K107)*100)</f>
        <v>-0.600897072431827</v>
      </c>
      <c r="M107" s="28" t="n">
        <v>2.29525849334818</v>
      </c>
      <c r="N107" s="28" t="n">
        <v>0.395914373242782</v>
      </c>
      <c r="O107" s="28" t="n">
        <f aca="false">SQRT(M107^2+N107^2)</f>
        <v>2.32915429764264</v>
      </c>
      <c r="P107" s="53" t="n">
        <f aca="false">IF(J107="","",MAX(0,J107-1.96*O107/100))</f>
        <v>0.619360982714095</v>
      </c>
      <c r="Q107" s="53" t="n">
        <f aca="false">IF(J107="","",MIN(1,J107+1.96*O107/100))</f>
        <v>0.710663831181687</v>
      </c>
      <c r="R107" s="25" t="str">
        <f aca="false">IF(L107="","",IF(ABS(L107)&lt;=O107,"Yes","No"))</f>
        <v>Yes</v>
      </c>
      <c r="S107" s="25" t="str">
        <f aca="false">IF(L107="","",IF(ABS(L107)&lt;=1.96*O107,"Yes","No"))</f>
        <v>Yes</v>
      </c>
      <c r="T107" s="52" t="n">
        <f aca="false">IF(D107="","",ROUND(SQRT(((D107+G107)*O107/100)^2+(J107*(D107+G107)*0.10931)^2),0))</f>
        <v>62</v>
      </c>
      <c r="U107" s="25"/>
    </row>
    <row r="108" customFormat="false" ht="15" hidden="false" customHeight="false" outlineLevel="0" collapsed="false">
      <c r="A108" s="25" t="s">
        <v>197</v>
      </c>
      <c r="B108" s="25" t="s">
        <v>199</v>
      </c>
      <c r="C108" s="25" t="s">
        <v>256</v>
      </c>
      <c r="D108" s="52" t="n">
        <v>251</v>
      </c>
      <c r="E108" s="52" t="n">
        <v>260</v>
      </c>
      <c r="F108" s="63" t="n">
        <f aca="false">IF(E108="","",D108-E108)</f>
        <v>-9</v>
      </c>
      <c r="G108" s="52" t="n">
        <v>109</v>
      </c>
      <c r="H108" s="52" t="n">
        <v>121</v>
      </c>
      <c r="I108" s="63" t="n">
        <f aca="false">IF(H108="","",G108-H108)</f>
        <v>-12</v>
      </c>
      <c r="J108" s="53" t="n">
        <f aca="false">IF(OR(D108="",D108+G108=0),"",D108/(D108+G108))</f>
        <v>0.697222222222222</v>
      </c>
      <c r="K108" s="53" t="n">
        <f aca="false">IF(E108="","",E108/(E108+H108))</f>
        <v>0.68241469816273</v>
      </c>
      <c r="L108" s="64" t="n">
        <f aca="false">IF(OR(K108="",J108=""),"",(J108-K108)*100)</f>
        <v>1.48075240594925</v>
      </c>
      <c r="M108" s="28" t="n">
        <v>3.51968652681483</v>
      </c>
      <c r="N108" s="28" t="n">
        <v>0.395914373242782</v>
      </c>
      <c r="O108" s="28" t="n">
        <f aca="false">SQRT(M108^2+N108^2)</f>
        <v>3.54188388262265</v>
      </c>
      <c r="P108" s="53" t="n">
        <f aca="false">IF(J108="","",MAX(0,J108-1.96*O108/100))</f>
        <v>0.627801298122818</v>
      </c>
      <c r="Q108" s="53" t="n">
        <f aca="false">IF(J108="","",MIN(1,J108+1.96*O108/100))</f>
        <v>0.766643146321626</v>
      </c>
      <c r="R108" s="25" t="str">
        <f aca="false">IF(L108="","",IF(ABS(L108)&lt;=O108,"Yes","No"))</f>
        <v>Yes</v>
      </c>
      <c r="S108" s="25" t="str">
        <f aca="false">IF(L108="","",IF(ABS(L108)&lt;=1.96*O108,"Yes","No"))</f>
        <v>Yes</v>
      </c>
      <c r="T108" s="52" t="n">
        <f aca="false">IF(D108="","",ROUND(SQRT(((D108+G108)*O108/100)^2+(J108*(D108+G108)*0.1901)^2),0))</f>
        <v>49</v>
      </c>
      <c r="U108" s="25"/>
    </row>
    <row r="109" customFormat="false" ht="15" hidden="false" customHeight="false" outlineLevel="0" collapsed="false">
      <c r="A109" s="25" t="s">
        <v>197</v>
      </c>
      <c r="B109" s="25" t="s">
        <v>199</v>
      </c>
      <c r="C109" s="25" t="s">
        <v>257</v>
      </c>
      <c r="D109" s="52" t="n">
        <v>355</v>
      </c>
      <c r="E109" s="52" t="n">
        <v>317</v>
      </c>
      <c r="F109" s="63" t="n">
        <f aca="false">IF(E109="","",D109-E109)</f>
        <v>38</v>
      </c>
      <c r="G109" s="52" t="n">
        <v>121</v>
      </c>
      <c r="H109" s="52" t="n">
        <v>152</v>
      </c>
      <c r="I109" s="63" t="n">
        <f aca="false">IF(H109="","",G109-H109)</f>
        <v>-31</v>
      </c>
      <c r="J109" s="53" t="n">
        <f aca="false">IF(OR(D109="",D109+G109=0),"",D109/(D109+G109))</f>
        <v>0.745798319327731</v>
      </c>
      <c r="K109" s="53" t="n">
        <f aca="false">IF(E109="","",E109/(E109+H109))</f>
        <v>0.67590618336887</v>
      </c>
      <c r="L109" s="64" t="n">
        <f aca="false">IF(OR(K109="",J109=""),"",(J109-K109)*100)</f>
        <v>6.98921359588611</v>
      </c>
      <c r="M109" s="28" t="n">
        <v>3.51968652681483</v>
      </c>
      <c r="N109" s="28" t="n">
        <v>0.395914373242782</v>
      </c>
      <c r="O109" s="28" t="n">
        <f aca="false">SQRT(M109^2+N109^2)</f>
        <v>3.54188388262265</v>
      </c>
      <c r="P109" s="53" t="n">
        <f aca="false">IF(J109="","",MAX(0,J109-1.96*O109/100))</f>
        <v>0.676377395228327</v>
      </c>
      <c r="Q109" s="53" t="n">
        <f aca="false">IF(J109="","",MIN(1,J109+1.96*O109/100))</f>
        <v>0.815219243427135</v>
      </c>
      <c r="R109" s="25" t="str">
        <f aca="false">IF(L109="","",IF(ABS(L109)&lt;=O109,"Yes","No"))</f>
        <v>No</v>
      </c>
      <c r="S109" s="25" t="str">
        <f aca="false">IF(L109="","",IF(ABS(L109)&lt;=1.96*O109,"Yes","No"))</f>
        <v>No</v>
      </c>
      <c r="T109" s="52" t="n">
        <f aca="false">IF(D109="","",ROUND(SQRT(((D109+G109)*O109/100)^2+(J109*(D109+G109)*0.1901)^2),0))</f>
        <v>70</v>
      </c>
      <c r="U109" s="25"/>
    </row>
    <row r="110" customFormat="false" ht="15" hidden="false" customHeight="false" outlineLevel="0" collapsed="false">
      <c r="A110" s="25" t="s">
        <v>197</v>
      </c>
      <c r="B110" s="25" t="s">
        <v>199</v>
      </c>
      <c r="C110" s="25" t="s">
        <v>258</v>
      </c>
      <c r="D110" s="52" t="n">
        <v>419</v>
      </c>
      <c r="E110" s="52" t="n">
        <v>424</v>
      </c>
      <c r="F110" s="63" t="n">
        <f aca="false">IF(E110="","",D110-E110)</f>
        <v>-5</v>
      </c>
      <c r="G110" s="52" t="n">
        <v>267</v>
      </c>
      <c r="H110" s="52" t="n">
        <v>264</v>
      </c>
      <c r="I110" s="63" t="n">
        <f aca="false">IF(H110="","",G110-H110)</f>
        <v>3</v>
      </c>
      <c r="J110" s="53" t="n">
        <f aca="false">IF(OR(D110="",D110+G110=0),"",D110/(D110+G110))</f>
        <v>0.610787172011662</v>
      </c>
      <c r="K110" s="53" t="n">
        <f aca="false">IF(E110="","",E110/(E110+H110))</f>
        <v>0.616279069767442</v>
      </c>
      <c r="L110" s="64" t="n">
        <f aca="false">IF(OR(K110="",J110=""),"",(J110-K110)*100)</f>
        <v>-0.549189775578007</v>
      </c>
      <c r="M110" s="28" t="n">
        <v>3.51968652681483</v>
      </c>
      <c r="N110" s="28" t="n">
        <v>0.395914373242782</v>
      </c>
      <c r="O110" s="28" t="n">
        <f aca="false">SQRT(M110^2+N110^2)</f>
        <v>3.54188388262265</v>
      </c>
      <c r="P110" s="53" t="n">
        <f aca="false">IF(J110="","",MAX(0,J110-1.96*O110/100))</f>
        <v>0.541366247912258</v>
      </c>
      <c r="Q110" s="53" t="n">
        <f aca="false">IF(J110="","",MIN(1,J110+1.96*O110/100))</f>
        <v>0.680208096111066</v>
      </c>
      <c r="R110" s="25" t="str">
        <f aca="false">IF(L110="","",IF(ABS(L110)&lt;=O110,"Yes","No"))</f>
        <v>Yes</v>
      </c>
      <c r="S110" s="25" t="str">
        <f aca="false">IF(L110="","",IF(ABS(L110)&lt;=1.96*O110,"Yes","No"))</f>
        <v>Yes</v>
      </c>
      <c r="T110" s="52" t="n">
        <f aca="false">IF(D110="","",ROUND(SQRT(((D110+G110)*O110/100)^2+(J110*(D110+G110)*0.1901)^2),0))</f>
        <v>83</v>
      </c>
      <c r="U110" s="25"/>
    </row>
    <row r="111" customFormat="false" ht="15" hidden="false" customHeight="false" outlineLevel="0" collapsed="false">
      <c r="A111" s="25" t="s">
        <v>197</v>
      </c>
      <c r="B111" s="25" t="s">
        <v>199</v>
      </c>
      <c r="C111" s="25" t="s">
        <v>259</v>
      </c>
      <c r="D111" s="52" t="n">
        <v>493</v>
      </c>
      <c r="E111" s="52" t="n">
        <v>469</v>
      </c>
      <c r="F111" s="63" t="n">
        <f aca="false">IF(E111="","",D111-E111)</f>
        <v>24</v>
      </c>
      <c r="G111" s="52" t="n">
        <v>154</v>
      </c>
      <c r="H111" s="52" t="n">
        <v>215</v>
      </c>
      <c r="I111" s="63" t="n">
        <f aca="false">IF(H111="","",G111-H111)</f>
        <v>-61</v>
      </c>
      <c r="J111" s="53" t="n">
        <f aca="false">IF(OR(D111="",D111+G111=0),"",D111/(D111+G111))</f>
        <v>0.761978361669243</v>
      </c>
      <c r="K111" s="53" t="n">
        <f aca="false">IF(E111="","",E111/(E111+H111))</f>
        <v>0.685672514619883</v>
      </c>
      <c r="L111" s="64" t="n">
        <f aca="false">IF(OR(K111="",J111=""),"",(J111-K111)*100)</f>
        <v>7.63058470493597</v>
      </c>
      <c r="M111" s="28" t="n">
        <v>3.51968652681483</v>
      </c>
      <c r="N111" s="28" t="n">
        <v>0.395914373242782</v>
      </c>
      <c r="O111" s="28" t="n">
        <f aca="false">SQRT(M111^2+N111^2)</f>
        <v>3.54188388262265</v>
      </c>
      <c r="P111" s="53" t="n">
        <f aca="false">IF(J111="","",MAX(0,J111-1.96*O111/100))</f>
        <v>0.692557437569839</v>
      </c>
      <c r="Q111" s="53" t="n">
        <f aca="false">IF(J111="","",MIN(1,J111+1.96*O111/100))</f>
        <v>0.831399285768647</v>
      </c>
      <c r="R111" s="25" t="str">
        <f aca="false">IF(L111="","",IF(ABS(L111)&lt;=O111,"Yes","No"))</f>
        <v>No</v>
      </c>
      <c r="S111" s="25" t="str">
        <f aca="false">IF(L111="","",IF(ABS(L111)&lt;=1.96*O111,"Yes","No"))</f>
        <v>No</v>
      </c>
      <c r="T111" s="52" t="n">
        <f aca="false">IF(D111="","",ROUND(SQRT(((D111+G111)*O111/100)^2+(J111*(D111+G111)*0.1901)^2),0))</f>
        <v>96</v>
      </c>
      <c r="U111" s="25"/>
    </row>
    <row r="112" customFormat="false" ht="15" hidden="false" customHeight="false" outlineLevel="0" collapsed="false">
      <c r="A112" s="25" t="s">
        <v>197</v>
      </c>
      <c r="B112" s="25" t="s">
        <v>260</v>
      </c>
      <c r="C112" s="25" t="s">
        <v>261</v>
      </c>
      <c r="D112" s="52" t="n">
        <v>628</v>
      </c>
      <c r="E112" s="52" t="n">
        <v>598</v>
      </c>
      <c r="F112" s="63" t="n">
        <f aca="false">IF(E112="","",D112-E112)</f>
        <v>30</v>
      </c>
      <c r="G112" s="52" t="n">
        <v>251</v>
      </c>
      <c r="H112" s="52" t="n">
        <v>253</v>
      </c>
      <c r="I112" s="63" t="n">
        <f aca="false">IF(H112="","",G112-H112)</f>
        <v>-2</v>
      </c>
      <c r="J112" s="53" t="n">
        <f aca="false">IF(OR(D112="",D112+G112=0),"",D112/(D112+G112))</f>
        <v>0.714448236632537</v>
      </c>
      <c r="K112" s="53" t="n">
        <f aca="false">IF(E112="","",E112/(E112+H112))</f>
        <v>0.702702702702703</v>
      </c>
      <c r="L112" s="64" t="n">
        <f aca="false">IF(OR(K112="",J112=""),"",(J112-K112)*100)</f>
        <v>1.17455339298342</v>
      </c>
      <c r="M112" s="28" t="n">
        <v>2.29525849334818</v>
      </c>
      <c r="N112" s="28" t="n">
        <v>0.395914373242782</v>
      </c>
      <c r="O112" s="28" t="n">
        <f aca="false">SQRT(M112^2+N112^2)</f>
        <v>2.32915429764264</v>
      </c>
      <c r="P112" s="53" t="n">
        <f aca="false">IF(J112="","",MAX(0,J112-1.96*O112/100))</f>
        <v>0.668796812398741</v>
      </c>
      <c r="Q112" s="53" t="n">
        <f aca="false">IF(J112="","",MIN(1,J112+1.96*O112/100))</f>
        <v>0.760099660866333</v>
      </c>
      <c r="R112" s="25" t="str">
        <f aca="false">IF(L112="","",IF(ABS(L112)&lt;=O112,"Yes","No"))</f>
        <v>Yes</v>
      </c>
      <c r="S112" s="25" t="str">
        <f aca="false">IF(L112="","",IF(ABS(L112)&lt;=1.96*O112,"Yes","No"))</f>
        <v>Yes</v>
      </c>
      <c r="T112" s="52" t="n">
        <f aca="false">IF(D112="","",ROUND(SQRT(((D112+G112)*O112/100)^2+(J112*(D112+G112)*0.10931)^2),0))</f>
        <v>72</v>
      </c>
      <c r="U112" s="25"/>
    </row>
    <row r="113" customFormat="false" ht="15" hidden="false" customHeight="false" outlineLevel="0" collapsed="false">
      <c r="A113" s="25" t="s">
        <v>197</v>
      </c>
      <c r="B113" s="25" t="s">
        <v>260</v>
      </c>
      <c r="C113" s="25" t="s">
        <v>262</v>
      </c>
      <c r="D113" s="52" t="n">
        <v>427</v>
      </c>
      <c r="E113" s="52" t="n">
        <v>420</v>
      </c>
      <c r="F113" s="63" t="n">
        <f aca="false">IF(E113="","",D113-E113)</f>
        <v>7</v>
      </c>
      <c r="G113" s="52" t="n">
        <v>223</v>
      </c>
      <c r="H113" s="52" t="n">
        <v>214</v>
      </c>
      <c r="I113" s="63" t="n">
        <f aca="false">IF(H113="","",G113-H113)</f>
        <v>9</v>
      </c>
      <c r="J113" s="53" t="n">
        <f aca="false">IF(OR(D113="",D113+G113=0),"",D113/(D113+G113))</f>
        <v>0.656923076923077</v>
      </c>
      <c r="K113" s="53" t="n">
        <f aca="false">IF(E113="","",E113/(E113+H113))</f>
        <v>0.662460567823344</v>
      </c>
      <c r="L113" s="64" t="n">
        <f aca="false">IF(OR(K113="",J113=""),"",(J113-K113)*100)</f>
        <v>-0.55374909002669</v>
      </c>
      <c r="M113" s="28" t="n">
        <v>3.51968652681483</v>
      </c>
      <c r="N113" s="28" t="n">
        <v>0.395914373242782</v>
      </c>
      <c r="O113" s="28" t="n">
        <f aca="false">SQRT(M113^2+N113^2)</f>
        <v>3.54188388262265</v>
      </c>
      <c r="P113" s="53" t="n">
        <f aca="false">IF(J113="","",MAX(0,J113-1.96*O113/100))</f>
        <v>0.587502152823673</v>
      </c>
      <c r="Q113" s="53" t="n">
        <f aca="false">IF(J113="","",MIN(1,J113+1.96*O113/100))</f>
        <v>0.726344001022481</v>
      </c>
      <c r="R113" s="25" t="str">
        <f aca="false">IF(L113="","",IF(ABS(L113)&lt;=O113,"Yes","No"))</f>
        <v>Yes</v>
      </c>
      <c r="S113" s="25" t="str">
        <f aca="false">IF(L113="","",IF(ABS(L113)&lt;=1.96*O113,"Yes","No"))</f>
        <v>Yes</v>
      </c>
      <c r="T113" s="52" t="n">
        <f aca="false">IF(D113="","",ROUND(SQRT(((D113+G113)*O113/100)^2+(J113*(D113+G113)*0.1901)^2),0))</f>
        <v>84</v>
      </c>
      <c r="U113" s="25"/>
    </row>
    <row r="114" customFormat="false" ht="15" hidden="false" customHeight="false" outlineLevel="0" collapsed="false">
      <c r="A114" s="25" t="s">
        <v>197</v>
      </c>
      <c r="B114" s="25" t="s">
        <v>260</v>
      </c>
      <c r="C114" s="25" t="s">
        <v>263</v>
      </c>
      <c r="D114" s="52" t="n">
        <v>457</v>
      </c>
      <c r="E114" s="52" t="n">
        <v>438</v>
      </c>
      <c r="F114" s="63" t="n">
        <f aca="false">IF(E114="","",D114-E114)</f>
        <v>19</v>
      </c>
      <c r="G114" s="52" t="n">
        <v>176</v>
      </c>
      <c r="H114" s="52" t="n">
        <v>176</v>
      </c>
      <c r="I114" s="63" t="n">
        <f aca="false">IF(H114="","",G114-H114)</f>
        <v>0</v>
      </c>
      <c r="J114" s="53" t="n">
        <f aca="false">IF(OR(D114="",D114+G114=0),"",D114/(D114+G114))</f>
        <v>0.721958925750395</v>
      </c>
      <c r="K114" s="53" t="n">
        <f aca="false">IF(E114="","",E114/(E114+H114))</f>
        <v>0.713355048859935</v>
      </c>
      <c r="L114" s="64" t="n">
        <f aca="false">IF(OR(K114="",J114=""),"",(J114-K114)*100)</f>
        <v>0.860387689046016</v>
      </c>
      <c r="M114" s="28" t="n">
        <v>3.51968652681483</v>
      </c>
      <c r="N114" s="28" t="n">
        <v>0.395914373242782</v>
      </c>
      <c r="O114" s="28" t="n">
        <f aca="false">SQRT(M114^2+N114^2)</f>
        <v>3.54188388262265</v>
      </c>
      <c r="P114" s="53" t="n">
        <f aca="false">IF(J114="","",MAX(0,J114-1.96*O114/100))</f>
        <v>0.652538001650991</v>
      </c>
      <c r="Q114" s="53" t="n">
        <f aca="false">IF(J114="","",MIN(1,J114+1.96*O114/100))</f>
        <v>0.791379849849799</v>
      </c>
      <c r="R114" s="25" t="str">
        <f aca="false">IF(L114="","",IF(ABS(L114)&lt;=O114,"Yes","No"))</f>
        <v>Yes</v>
      </c>
      <c r="S114" s="25" t="str">
        <f aca="false">IF(L114="","",IF(ABS(L114)&lt;=1.96*O114,"Yes","No"))</f>
        <v>Yes</v>
      </c>
      <c r="T114" s="52" t="n">
        <f aca="false">IF(D114="","",ROUND(SQRT(((D114+G114)*O114/100)^2+(J114*(D114+G114)*0.1901)^2),0))</f>
        <v>90</v>
      </c>
      <c r="U114" s="25"/>
    </row>
    <row r="115" customFormat="false" ht="15" hidden="false" customHeight="false" outlineLevel="0" collapsed="false">
      <c r="A115" s="25" t="s">
        <v>197</v>
      </c>
      <c r="B115" s="25" t="s">
        <v>260</v>
      </c>
      <c r="C115" s="25" t="s">
        <v>264</v>
      </c>
      <c r="D115" s="52" t="n">
        <v>470</v>
      </c>
      <c r="E115" s="52" t="n">
        <v>463</v>
      </c>
      <c r="F115" s="63" t="n">
        <f aca="false">IF(E115="","",D115-E115)</f>
        <v>7</v>
      </c>
      <c r="G115" s="52" t="n">
        <v>218</v>
      </c>
      <c r="H115" s="52" t="n">
        <v>219</v>
      </c>
      <c r="I115" s="63" t="n">
        <f aca="false">IF(H115="","",G115-H115)</f>
        <v>-1</v>
      </c>
      <c r="J115" s="53" t="n">
        <f aca="false">IF(OR(D115="",D115+G115=0),"",D115/(D115+G115))</f>
        <v>0.683139534883721</v>
      </c>
      <c r="K115" s="53" t="n">
        <f aca="false">IF(E115="","",E115/(E115+H115))</f>
        <v>0.678885630498534</v>
      </c>
      <c r="L115" s="64" t="n">
        <f aca="false">IF(OR(K115="",J115=""),"",(J115-K115)*100)</f>
        <v>0.425390438518725</v>
      </c>
      <c r="M115" s="28" t="n">
        <v>3.51968652681483</v>
      </c>
      <c r="N115" s="28" t="n">
        <v>0.395914373242782</v>
      </c>
      <c r="O115" s="28" t="n">
        <f aca="false">SQRT(M115^2+N115^2)</f>
        <v>3.54188388262265</v>
      </c>
      <c r="P115" s="53" t="n">
        <f aca="false">IF(J115="","",MAX(0,J115-1.96*O115/100))</f>
        <v>0.613718610784317</v>
      </c>
      <c r="Q115" s="53" t="n">
        <f aca="false">IF(J115="","",MIN(1,J115+1.96*O115/100))</f>
        <v>0.752560458983125</v>
      </c>
      <c r="R115" s="25" t="str">
        <f aca="false">IF(L115="","",IF(ABS(L115)&lt;=O115,"Yes","No"))</f>
        <v>Yes</v>
      </c>
      <c r="S115" s="25" t="str">
        <f aca="false">IF(L115="","",IF(ABS(L115)&lt;=1.96*O115,"Yes","No"))</f>
        <v>Yes</v>
      </c>
      <c r="T115" s="52" t="n">
        <f aca="false">IF(D115="","",ROUND(SQRT(((D115+G115)*O115/100)^2+(J115*(D115+G115)*0.1901)^2),0))</f>
        <v>93</v>
      </c>
      <c r="U115" s="25"/>
    </row>
    <row r="116" customFormat="false" ht="15" hidden="false" customHeight="false" outlineLevel="0" collapsed="false">
      <c r="A116" s="25" t="s">
        <v>197</v>
      </c>
      <c r="B116" s="25" t="s">
        <v>260</v>
      </c>
      <c r="C116" s="25" t="s">
        <v>265</v>
      </c>
      <c r="D116" s="52" t="n">
        <v>790</v>
      </c>
      <c r="E116" s="52" t="n">
        <v>782</v>
      </c>
      <c r="F116" s="63" t="n">
        <f aca="false">IF(E116="","",D116-E116)</f>
        <v>8</v>
      </c>
      <c r="G116" s="52" t="n">
        <v>473</v>
      </c>
      <c r="H116" s="52" t="n">
        <v>404</v>
      </c>
      <c r="I116" s="63" t="n">
        <f aca="false">IF(H116="","",G116-H116)</f>
        <v>69</v>
      </c>
      <c r="J116" s="53" t="n">
        <f aca="false">IF(OR(D116="",D116+G116=0),"",D116/(D116+G116))</f>
        <v>0.625494853523357</v>
      </c>
      <c r="K116" s="53" t="n">
        <f aca="false">IF(E116="","",E116/(E116+H116))</f>
        <v>0.659359190556492</v>
      </c>
      <c r="L116" s="64" t="n">
        <f aca="false">IF(OR(K116="",J116=""),"",(J116-K116)*100)</f>
        <v>-3.38643370331353</v>
      </c>
      <c r="M116" s="28" t="n">
        <v>2.07368371626919</v>
      </c>
      <c r="N116" s="28" t="n">
        <v>0.395914373242782</v>
      </c>
      <c r="O116" s="28" t="n">
        <f aca="false">SQRT(M116^2+N116^2)</f>
        <v>2.11114005837136</v>
      </c>
      <c r="P116" s="53" t="n">
        <f aca="false">IF(J116="","",MAX(0,J116-1.96*O116/100))</f>
        <v>0.584116508379279</v>
      </c>
      <c r="Q116" s="53" t="n">
        <f aca="false">IF(J116="","",MIN(1,J116+1.96*O116/100))</f>
        <v>0.666873198667436</v>
      </c>
      <c r="R116" s="25" t="str">
        <f aca="false">IF(L116="","",IF(ABS(L116)&lt;=O116,"Yes","No"))</f>
        <v>No</v>
      </c>
      <c r="S116" s="25" t="str">
        <f aca="false">IF(L116="","",IF(ABS(L116)&lt;=1.96*O116,"Yes","No"))</f>
        <v>Yes</v>
      </c>
      <c r="T116" s="52" t="n">
        <f aca="false">IF(D116="","",ROUND(SQRT(((D116+G116)*O116/100)^2+(J116*(D116+G116)*0.08889)^2),0))</f>
        <v>75</v>
      </c>
      <c r="U116" s="25"/>
    </row>
    <row r="117" customFormat="false" ht="15" hidden="false" customHeight="false" outlineLevel="0" collapsed="false">
      <c r="A117" s="25" t="s">
        <v>197</v>
      </c>
      <c r="B117" s="25" t="s">
        <v>260</v>
      </c>
      <c r="C117" s="25" t="s">
        <v>266</v>
      </c>
      <c r="D117" s="52" t="n">
        <v>518</v>
      </c>
      <c r="E117" s="52" t="n">
        <v>503</v>
      </c>
      <c r="F117" s="63" t="n">
        <f aca="false">IF(E117="","",D117-E117)</f>
        <v>15</v>
      </c>
      <c r="G117" s="52" t="n">
        <v>325</v>
      </c>
      <c r="H117" s="52" t="n">
        <v>318</v>
      </c>
      <c r="I117" s="63" t="n">
        <f aca="false">IF(H117="","",G117-H117)</f>
        <v>7</v>
      </c>
      <c r="J117" s="53" t="n">
        <f aca="false">IF(OR(D117="",D117+G117=0),"",D117/(D117+G117))</f>
        <v>0.614472123368921</v>
      </c>
      <c r="K117" s="53" t="n">
        <f aca="false">IF(E117="","",E117/(E117+H117))</f>
        <v>0.612667478684531</v>
      </c>
      <c r="L117" s="64" t="n">
        <f aca="false">IF(OR(K117="",J117=""),"",(J117-K117)*100)</f>
        <v>0.180464468438946</v>
      </c>
      <c r="M117" s="28" t="n">
        <v>2.29525849334818</v>
      </c>
      <c r="N117" s="28" t="n">
        <v>0.395914373242782</v>
      </c>
      <c r="O117" s="28" t="n">
        <f aca="false">SQRT(M117^2+N117^2)</f>
        <v>2.32915429764264</v>
      </c>
      <c r="P117" s="53" t="n">
        <f aca="false">IF(J117="","",MAX(0,J117-1.96*O117/100))</f>
        <v>0.568820699135125</v>
      </c>
      <c r="Q117" s="53" t="n">
        <f aca="false">IF(J117="","",MIN(1,J117+1.96*O117/100))</f>
        <v>0.660123547602716</v>
      </c>
      <c r="R117" s="25" t="str">
        <f aca="false">IF(L117="","",IF(ABS(L117)&lt;=O117,"Yes","No"))</f>
        <v>Yes</v>
      </c>
      <c r="S117" s="25" t="str">
        <f aca="false">IF(L117="","",IF(ABS(L117)&lt;=1.96*O117,"Yes","No"))</f>
        <v>Yes</v>
      </c>
      <c r="T117" s="52" t="n">
        <f aca="false">IF(D117="","",ROUND(SQRT(((D117+G117)*O117/100)^2+(J117*(D117+G117)*0.10931)^2),0))</f>
        <v>60</v>
      </c>
      <c r="U117" s="25"/>
    </row>
    <row r="118" customFormat="false" ht="15" hidden="false" customHeight="false" outlineLevel="0" collapsed="false">
      <c r="A118" s="25" t="s">
        <v>197</v>
      </c>
      <c r="B118" s="25" t="s">
        <v>260</v>
      </c>
      <c r="C118" s="25" t="s">
        <v>267</v>
      </c>
      <c r="D118" s="52" t="n">
        <v>597</v>
      </c>
      <c r="E118" s="52" t="n">
        <v>597</v>
      </c>
      <c r="F118" s="63" t="n">
        <f aca="false">IF(E118="","",D118-E118)</f>
        <v>0</v>
      </c>
      <c r="G118" s="52" t="n">
        <v>436</v>
      </c>
      <c r="H118" s="52" t="n">
        <v>396</v>
      </c>
      <c r="I118" s="63" t="n">
        <f aca="false">IF(H118="","",G118-H118)</f>
        <v>40</v>
      </c>
      <c r="J118" s="53" t="n">
        <f aca="false">IF(OR(D118="",D118+G118=0),"",D118/(D118+G118))</f>
        <v>0.577928363988383</v>
      </c>
      <c r="K118" s="53" t="n">
        <f aca="false">IF(E118="","",E118/(E118+H118))</f>
        <v>0.601208459214502</v>
      </c>
      <c r="L118" s="64" t="n">
        <f aca="false">IF(OR(K118="",J118=""),"",(J118-K118)*100)</f>
        <v>-2.32800952261182</v>
      </c>
      <c r="M118" s="28" t="n">
        <v>2.29525849334818</v>
      </c>
      <c r="N118" s="28" t="n">
        <v>0.395914373242782</v>
      </c>
      <c r="O118" s="28" t="n">
        <f aca="false">SQRT(M118^2+N118^2)</f>
        <v>2.32915429764264</v>
      </c>
      <c r="P118" s="53" t="n">
        <f aca="false">IF(J118="","",MAX(0,J118-1.96*O118/100))</f>
        <v>0.532276939754588</v>
      </c>
      <c r="Q118" s="53" t="n">
        <f aca="false">IF(J118="","",MIN(1,J118+1.96*O118/100))</f>
        <v>0.623579788222179</v>
      </c>
      <c r="R118" s="25" t="str">
        <f aca="false">IF(L118="","",IF(ABS(L118)&lt;=O118,"Yes","No"))</f>
        <v>Yes</v>
      </c>
      <c r="S118" s="25" t="str">
        <f aca="false">IF(L118="","",IF(ABS(L118)&lt;=1.96*O118,"Yes","No"))</f>
        <v>Yes</v>
      </c>
      <c r="T118" s="52" t="n">
        <f aca="false">IF(D118="","",ROUND(SQRT(((D118+G118)*O118/100)^2+(J118*(D118+G118)*0.10931)^2),0))</f>
        <v>70</v>
      </c>
      <c r="U118" s="25"/>
    </row>
    <row r="119" customFormat="false" ht="15" hidden="false" customHeight="false" outlineLevel="0" collapsed="false">
      <c r="A119" s="25" t="s">
        <v>197</v>
      </c>
      <c r="B119" s="25" t="s">
        <v>260</v>
      </c>
      <c r="C119" s="25" t="s">
        <v>268</v>
      </c>
      <c r="D119" s="52" t="n">
        <v>666</v>
      </c>
      <c r="E119" s="52" t="n">
        <v>678</v>
      </c>
      <c r="F119" s="63" t="n">
        <f aca="false">IF(E119="","",D119-E119)</f>
        <v>-12</v>
      </c>
      <c r="G119" s="52" t="n">
        <v>441</v>
      </c>
      <c r="H119" s="52" t="n">
        <v>451</v>
      </c>
      <c r="I119" s="63" t="n">
        <f aca="false">IF(H119="","",G119-H119)</f>
        <v>-10</v>
      </c>
      <c r="J119" s="53" t="n">
        <f aca="false">IF(OR(D119="",D119+G119=0),"",D119/(D119+G119))</f>
        <v>0.601626016260163</v>
      </c>
      <c r="K119" s="53" t="n">
        <f aca="false">IF(E119="","",E119/(E119+H119))</f>
        <v>0.600531443755536</v>
      </c>
      <c r="L119" s="64" t="n">
        <f aca="false">IF(OR(K119="",J119=""),"",(J119-K119)*100)</f>
        <v>0.109457250462675</v>
      </c>
      <c r="M119" s="28" t="n">
        <v>2.29525849334818</v>
      </c>
      <c r="N119" s="28" t="n">
        <v>0.395914373242782</v>
      </c>
      <c r="O119" s="28" t="n">
        <f aca="false">SQRT(M119^2+N119^2)</f>
        <v>2.32915429764264</v>
      </c>
      <c r="P119" s="53" t="n">
        <f aca="false">IF(J119="","",MAX(0,J119-1.96*O119/100))</f>
        <v>0.555974592026367</v>
      </c>
      <c r="Q119" s="53" t="n">
        <f aca="false">IF(J119="","",MIN(1,J119+1.96*O119/100))</f>
        <v>0.647277440493958</v>
      </c>
      <c r="R119" s="25" t="str">
        <f aca="false">IF(L119="","",IF(ABS(L119)&lt;=O119,"Yes","No"))</f>
        <v>Yes</v>
      </c>
      <c r="S119" s="25" t="str">
        <f aca="false">IF(L119="","",IF(ABS(L119)&lt;=1.96*O119,"Yes","No"))</f>
        <v>Yes</v>
      </c>
      <c r="T119" s="52" t="n">
        <f aca="false">IF(D119="","",ROUND(SQRT(((D119+G119)*O119/100)^2+(J119*(D119+G119)*0.10931)^2),0))</f>
        <v>77</v>
      </c>
      <c r="U119" s="25"/>
    </row>
    <row r="120" customFormat="false" ht="15" hidden="false" customHeight="false" outlineLevel="0" collapsed="false">
      <c r="A120" s="25" t="s">
        <v>197</v>
      </c>
      <c r="B120" s="25" t="s">
        <v>260</v>
      </c>
      <c r="C120" s="25" t="s">
        <v>269</v>
      </c>
      <c r="D120" s="52" t="n">
        <v>521</v>
      </c>
      <c r="E120" s="52" t="n">
        <v>524</v>
      </c>
      <c r="F120" s="63" t="n">
        <f aca="false">IF(E120="","",D120-E120)</f>
        <v>-3</v>
      </c>
      <c r="G120" s="52" t="n">
        <v>344</v>
      </c>
      <c r="H120" s="52" t="n">
        <v>327</v>
      </c>
      <c r="I120" s="63" t="n">
        <f aca="false">IF(H120="","",G120-H120)</f>
        <v>17</v>
      </c>
      <c r="J120" s="53" t="n">
        <f aca="false">IF(OR(D120="",D120+G120=0),"",D120/(D120+G120))</f>
        <v>0.602312138728324</v>
      </c>
      <c r="K120" s="53" t="n">
        <f aca="false">IF(E120="","",E120/(E120+H120))</f>
        <v>0.615746180963572</v>
      </c>
      <c r="L120" s="64" t="n">
        <f aca="false">IF(OR(K120="",J120=""),"",(J120-K120)*100)</f>
        <v>-1.34340422352486</v>
      </c>
      <c r="M120" s="28" t="n">
        <v>2.29525849334818</v>
      </c>
      <c r="N120" s="28" t="n">
        <v>0.395914373242782</v>
      </c>
      <c r="O120" s="28" t="n">
        <f aca="false">SQRT(M120^2+N120^2)</f>
        <v>2.32915429764264</v>
      </c>
      <c r="P120" s="53" t="n">
        <f aca="false">IF(J120="","",MAX(0,J120-1.96*O120/100))</f>
        <v>0.556660714494528</v>
      </c>
      <c r="Q120" s="53" t="n">
        <f aca="false">IF(J120="","",MIN(1,J120+1.96*O120/100))</f>
        <v>0.647963562962119</v>
      </c>
      <c r="R120" s="25" t="str">
        <f aca="false">IF(L120="","",IF(ABS(L120)&lt;=O120,"Yes","No"))</f>
        <v>Yes</v>
      </c>
      <c r="S120" s="25" t="str">
        <f aca="false">IF(L120="","",IF(ABS(L120)&lt;=1.96*O120,"Yes","No"))</f>
        <v>Yes</v>
      </c>
      <c r="T120" s="52" t="n">
        <f aca="false">IF(D120="","",ROUND(SQRT(((D120+G120)*O120/100)^2+(J120*(D120+G120)*0.10931)^2),0))</f>
        <v>60</v>
      </c>
      <c r="U120" s="25"/>
    </row>
    <row r="121" customFormat="false" ht="15" hidden="false" customHeight="false" outlineLevel="0" collapsed="false">
      <c r="A121" s="25" t="s">
        <v>197</v>
      </c>
      <c r="B121" s="25" t="s">
        <v>260</v>
      </c>
      <c r="C121" s="25" t="s">
        <v>270</v>
      </c>
      <c r="D121" s="52" t="n">
        <v>408</v>
      </c>
      <c r="E121" s="52" t="n">
        <v>437</v>
      </c>
      <c r="F121" s="63" t="n">
        <f aca="false">IF(E121="","",D121-E121)</f>
        <v>-29</v>
      </c>
      <c r="G121" s="52" t="n">
        <v>337</v>
      </c>
      <c r="H121" s="52" t="n">
        <v>344</v>
      </c>
      <c r="I121" s="63" t="n">
        <f aca="false">IF(H121="","",G121-H121)</f>
        <v>-7</v>
      </c>
      <c r="J121" s="53" t="n">
        <f aca="false">IF(OR(D121="",D121+G121=0),"",D121/(D121+G121))</f>
        <v>0.547651006711409</v>
      </c>
      <c r="K121" s="53" t="n">
        <f aca="false">IF(E121="","",E121/(E121+H121))</f>
        <v>0.559539052496799</v>
      </c>
      <c r="L121" s="64" t="n">
        <f aca="false">IF(OR(K121="",J121=""),"",(J121-K121)*100)</f>
        <v>-1.18880457853896</v>
      </c>
      <c r="M121" s="28" t="n">
        <v>3.51968652681483</v>
      </c>
      <c r="N121" s="28" t="n">
        <v>0.395914373242782</v>
      </c>
      <c r="O121" s="28" t="n">
        <f aca="false">SQRT(M121^2+N121^2)</f>
        <v>3.54188388262265</v>
      </c>
      <c r="P121" s="53" t="n">
        <f aca="false">IF(J121="","",MAX(0,J121-1.96*O121/100))</f>
        <v>0.478230082612006</v>
      </c>
      <c r="Q121" s="53" t="n">
        <f aca="false">IF(J121="","",MIN(1,J121+1.96*O121/100))</f>
        <v>0.617071930810813</v>
      </c>
      <c r="R121" s="25" t="str">
        <f aca="false">IF(L121="","",IF(ABS(L121)&lt;=O121,"Yes","No"))</f>
        <v>Yes</v>
      </c>
      <c r="S121" s="25" t="str">
        <f aca="false">IF(L121="","",IF(ABS(L121)&lt;=1.96*O121,"Yes","No"))</f>
        <v>Yes</v>
      </c>
      <c r="T121" s="52" t="n">
        <f aca="false">IF(D121="","",ROUND(SQRT(((D121+G121)*O121/100)^2+(J121*(D121+G121)*0.1901)^2),0))</f>
        <v>82</v>
      </c>
      <c r="U121" s="25"/>
    </row>
    <row r="122" customFormat="false" ht="15" hidden="false" customHeight="false" outlineLevel="0" collapsed="false">
      <c r="A122" s="25" t="s">
        <v>197</v>
      </c>
      <c r="B122" s="25" t="s">
        <v>260</v>
      </c>
      <c r="C122" s="25" t="s">
        <v>271</v>
      </c>
      <c r="D122" s="52" t="n">
        <v>573</v>
      </c>
      <c r="E122" s="52" t="n">
        <v>581</v>
      </c>
      <c r="F122" s="63" t="n">
        <f aca="false">IF(E122="","",D122-E122)</f>
        <v>-8</v>
      </c>
      <c r="G122" s="52" t="n">
        <v>361</v>
      </c>
      <c r="H122" s="52" t="n">
        <v>342</v>
      </c>
      <c r="I122" s="63" t="n">
        <f aca="false">IF(H122="","",G122-H122)</f>
        <v>19</v>
      </c>
      <c r="J122" s="53" t="n">
        <f aca="false">IF(OR(D122="",D122+G122=0),"",D122/(D122+G122))</f>
        <v>0.613490364025696</v>
      </c>
      <c r="K122" s="53" t="n">
        <f aca="false">IF(E122="","",E122/(E122+H122))</f>
        <v>0.629469122426869</v>
      </c>
      <c r="L122" s="64" t="n">
        <f aca="false">IF(OR(K122="",J122=""),"",(J122-K122)*100)</f>
        <v>-1.5978758401173</v>
      </c>
      <c r="M122" s="28" t="n">
        <v>2.29525849334818</v>
      </c>
      <c r="N122" s="28" t="n">
        <v>0.395914373242782</v>
      </c>
      <c r="O122" s="28" t="n">
        <f aca="false">SQRT(M122^2+N122^2)</f>
        <v>2.32915429764264</v>
      </c>
      <c r="P122" s="53" t="n">
        <f aca="false">IF(J122="","",MAX(0,J122-1.96*O122/100))</f>
        <v>0.5678389397919</v>
      </c>
      <c r="Q122" s="53" t="n">
        <f aca="false">IF(J122="","",MIN(1,J122+1.96*O122/100))</f>
        <v>0.659141788259492</v>
      </c>
      <c r="R122" s="25" t="str">
        <f aca="false">IF(L122="","",IF(ABS(L122)&lt;=O122,"Yes","No"))</f>
        <v>Yes</v>
      </c>
      <c r="S122" s="25" t="str">
        <f aca="false">IF(L122="","",IF(ABS(L122)&lt;=1.96*O122,"Yes","No"))</f>
        <v>Yes</v>
      </c>
      <c r="T122" s="52" t="n">
        <f aca="false">IF(D122="","",ROUND(SQRT(((D122+G122)*O122/100)^2+(J122*(D122+G122)*0.10931)^2),0))</f>
        <v>66</v>
      </c>
      <c r="U122" s="25"/>
    </row>
    <row r="123" customFormat="false" ht="15" hidden="false" customHeight="false" outlineLevel="0" collapsed="false">
      <c r="A123" s="25" t="s">
        <v>197</v>
      </c>
      <c r="B123" s="25" t="s">
        <v>260</v>
      </c>
      <c r="C123" s="25" t="s">
        <v>272</v>
      </c>
      <c r="D123" s="52" t="n">
        <v>599</v>
      </c>
      <c r="E123" s="52" t="n">
        <v>591</v>
      </c>
      <c r="F123" s="63" t="n">
        <f aca="false">IF(E123="","",D123-E123)</f>
        <v>8</v>
      </c>
      <c r="G123" s="52" t="n">
        <v>410</v>
      </c>
      <c r="H123" s="52" t="n">
        <v>390</v>
      </c>
      <c r="I123" s="63" t="n">
        <f aca="false">IF(H123="","",G123-H123)</f>
        <v>20</v>
      </c>
      <c r="J123" s="53" t="n">
        <f aca="false">IF(OR(D123="",D123+G123=0),"",D123/(D123+G123))</f>
        <v>0.593657086223984</v>
      </c>
      <c r="K123" s="53" t="n">
        <f aca="false">IF(E123="","",E123/(E123+H123))</f>
        <v>0.602446483180428</v>
      </c>
      <c r="L123" s="64" t="n">
        <f aca="false">IF(OR(K123="",J123=""),"",(J123-K123)*100)</f>
        <v>-0.878939695644398</v>
      </c>
      <c r="M123" s="28" t="n">
        <v>2.29525849334818</v>
      </c>
      <c r="N123" s="28" t="n">
        <v>0.395914373242782</v>
      </c>
      <c r="O123" s="28" t="n">
        <f aca="false">SQRT(M123^2+N123^2)</f>
        <v>2.32915429764264</v>
      </c>
      <c r="P123" s="53" t="n">
        <f aca="false">IF(J123="","",MAX(0,J123-1.96*O123/100))</f>
        <v>0.548005661990188</v>
      </c>
      <c r="Q123" s="53" t="n">
        <f aca="false">IF(J123="","",MIN(1,J123+1.96*O123/100))</f>
        <v>0.63930851045778</v>
      </c>
      <c r="R123" s="25" t="str">
        <f aca="false">IF(L123="","",IF(ABS(L123)&lt;=O123,"Yes","No"))</f>
        <v>Yes</v>
      </c>
      <c r="S123" s="25" t="str">
        <f aca="false">IF(L123="","",IF(ABS(L123)&lt;=1.96*O123,"Yes","No"))</f>
        <v>Yes</v>
      </c>
      <c r="T123" s="52" t="n">
        <f aca="false">IF(D123="","",ROUND(SQRT(((D123+G123)*O123/100)^2+(J123*(D123+G123)*0.10931)^2),0))</f>
        <v>70</v>
      </c>
      <c r="U123" s="25"/>
    </row>
    <row r="124" customFormat="false" ht="15" hidden="false" customHeight="false" outlineLevel="0" collapsed="false">
      <c r="A124" s="25" t="s">
        <v>197</v>
      </c>
      <c r="B124" s="25" t="s">
        <v>273</v>
      </c>
      <c r="C124" s="25" t="s">
        <v>274</v>
      </c>
      <c r="D124" s="52" t="n">
        <v>535</v>
      </c>
      <c r="E124" s="52" t="n">
        <v>557</v>
      </c>
      <c r="F124" s="63" t="n">
        <f aca="false">IF(E124="","",D124-E124)</f>
        <v>-22</v>
      </c>
      <c r="G124" s="52" t="n">
        <v>426</v>
      </c>
      <c r="H124" s="52" t="n">
        <v>454</v>
      </c>
      <c r="I124" s="63" t="n">
        <f aca="false">IF(H124="","",G124-H124)</f>
        <v>-28</v>
      </c>
      <c r="J124" s="53" t="n">
        <f aca="false">IF(OR(D124="",D124+G124=0),"",D124/(D124+G124))</f>
        <v>0.556711758584808</v>
      </c>
      <c r="K124" s="53" t="n">
        <f aca="false">IF(E124="","",E124/(E124+H124))</f>
        <v>0.550939663699308</v>
      </c>
      <c r="L124" s="64" t="n">
        <f aca="false">IF(OR(K124="",J124=""),"",(J124-K124)*100)</f>
        <v>0.57720948854999</v>
      </c>
      <c r="M124" s="28" t="n">
        <v>2.29525849334818</v>
      </c>
      <c r="N124" s="28" t="n">
        <v>0.395914373242782</v>
      </c>
      <c r="O124" s="28" t="n">
        <f aca="false">SQRT(M124^2+N124^2)</f>
        <v>2.32915429764264</v>
      </c>
      <c r="P124" s="53" t="n">
        <f aca="false">IF(J124="","",MAX(0,J124-1.96*O124/100))</f>
        <v>0.511060334351012</v>
      </c>
      <c r="Q124" s="53" t="n">
        <f aca="false">IF(J124="","",MIN(1,J124+1.96*O124/100))</f>
        <v>0.602363182818603</v>
      </c>
      <c r="R124" s="25" t="str">
        <f aca="false">IF(L124="","",IF(ABS(L124)&lt;=O124,"Yes","No"))</f>
        <v>Yes</v>
      </c>
      <c r="S124" s="25" t="str">
        <f aca="false">IF(L124="","",IF(ABS(L124)&lt;=1.96*O124,"Yes","No"))</f>
        <v>Yes</v>
      </c>
      <c r="T124" s="52" t="n">
        <f aca="false">IF(D124="","",ROUND(SQRT(((D124+G124)*O124/100)^2+(J124*(D124+G124)*0.10931)^2),0))</f>
        <v>63</v>
      </c>
      <c r="U124" s="25"/>
    </row>
    <row r="125" customFormat="false" ht="15" hidden="false" customHeight="false" outlineLevel="0" collapsed="false">
      <c r="A125" s="25" t="s">
        <v>197</v>
      </c>
      <c r="B125" s="25" t="s">
        <v>273</v>
      </c>
      <c r="C125" s="25" t="s">
        <v>275</v>
      </c>
      <c r="D125" s="52" t="n">
        <v>505</v>
      </c>
      <c r="E125" s="52" t="n">
        <v>467</v>
      </c>
      <c r="F125" s="63" t="n">
        <f aca="false">IF(E125="","",D125-E125)</f>
        <v>38</v>
      </c>
      <c r="G125" s="52" t="n">
        <v>546</v>
      </c>
      <c r="H125" s="52" t="n">
        <v>513</v>
      </c>
      <c r="I125" s="63" t="n">
        <f aca="false">IF(H125="","",G125-H125)</f>
        <v>33</v>
      </c>
      <c r="J125" s="53" t="n">
        <f aca="false">IF(OR(D125="",D125+G125=0),"",D125/(D125+G125))</f>
        <v>0.480494766888677</v>
      </c>
      <c r="K125" s="53" t="n">
        <f aca="false">IF(E125="","",E125/(E125+H125))</f>
        <v>0.476530612244898</v>
      </c>
      <c r="L125" s="64" t="n">
        <f aca="false">IF(OR(K125="",J125=""),"",(J125-K125)*100)</f>
        <v>0.396415464377947</v>
      </c>
      <c r="M125" s="28" t="n">
        <v>2.29525849334818</v>
      </c>
      <c r="N125" s="28" t="n">
        <v>0.395914373242782</v>
      </c>
      <c r="O125" s="28" t="n">
        <f aca="false">SQRT(M125^2+N125^2)</f>
        <v>2.32915429764264</v>
      </c>
      <c r="P125" s="53" t="n">
        <f aca="false">IF(J125="","",MAX(0,J125-1.96*O125/100))</f>
        <v>0.434843342654882</v>
      </c>
      <c r="Q125" s="53" t="n">
        <f aca="false">IF(J125="","",MIN(1,J125+1.96*O125/100))</f>
        <v>0.526146191122473</v>
      </c>
      <c r="R125" s="25" t="str">
        <f aca="false">IF(L125="","",IF(ABS(L125)&lt;=O125,"Yes","No"))</f>
        <v>Yes</v>
      </c>
      <c r="S125" s="25" t="str">
        <f aca="false">IF(L125="","",IF(ABS(L125)&lt;=1.96*O125,"Yes","No"))</f>
        <v>Yes</v>
      </c>
      <c r="T125" s="52" t="n">
        <f aca="false">IF(D125="","",ROUND(SQRT(((D125+G125)*O125/100)^2+(J125*(D125+G125)*0.10931)^2),0))</f>
        <v>60</v>
      </c>
      <c r="U125" s="25"/>
    </row>
    <row r="126" customFormat="false" ht="15" hidden="false" customHeight="false" outlineLevel="0" collapsed="false">
      <c r="A126" s="25" t="s">
        <v>197</v>
      </c>
      <c r="B126" s="25" t="s">
        <v>273</v>
      </c>
      <c r="C126" s="25" t="s">
        <v>276</v>
      </c>
      <c r="D126" s="52" t="n">
        <v>545</v>
      </c>
      <c r="E126" s="52" t="n">
        <v>536</v>
      </c>
      <c r="F126" s="63" t="n">
        <f aca="false">IF(E126="","",D126-E126)</f>
        <v>9</v>
      </c>
      <c r="G126" s="52" t="n">
        <v>534</v>
      </c>
      <c r="H126" s="52" t="n">
        <v>524</v>
      </c>
      <c r="I126" s="63" t="n">
        <f aca="false">IF(H126="","",G126-H126)</f>
        <v>10</v>
      </c>
      <c r="J126" s="53" t="n">
        <f aca="false">IF(OR(D126="",D126+G126=0),"",D126/(D126+G126))</f>
        <v>0.505097312326228</v>
      </c>
      <c r="K126" s="53" t="n">
        <f aca="false">IF(E126="","",E126/(E126+H126))</f>
        <v>0.505660377358491</v>
      </c>
      <c r="L126" s="64" t="n">
        <f aca="false">IF(OR(K126="",J126=""),"",(J126-K126)*100)</f>
        <v>-0.0563065032262555</v>
      </c>
      <c r="M126" s="28" t="n">
        <v>2.29525849334818</v>
      </c>
      <c r="N126" s="28" t="n">
        <v>0.395914373242782</v>
      </c>
      <c r="O126" s="28" t="n">
        <f aca="false">SQRT(M126^2+N126^2)</f>
        <v>2.32915429764264</v>
      </c>
      <c r="P126" s="53" t="n">
        <f aca="false">IF(J126="","",MAX(0,J126-1.96*O126/100))</f>
        <v>0.459445888092432</v>
      </c>
      <c r="Q126" s="53" t="n">
        <f aca="false">IF(J126="","",MIN(1,J126+1.96*O126/100))</f>
        <v>0.550748736560024</v>
      </c>
      <c r="R126" s="25" t="str">
        <f aca="false">IF(L126="","",IF(ABS(L126)&lt;=O126,"Yes","No"))</f>
        <v>Yes</v>
      </c>
      <c r="S126" s="25" t="str">
        <f aca="false">IF(L126="","",IF(ABS(L126)&lt;=1.96*O126,"Yes","No"))</f>
        <v>Yes</v>
      </c>
      <c r="T126" s="52" t="n">
        <f aca="false">IF(D126="","",ROUND(SQRT(((D126+G126)*O126/100)^2+(J126*(D126+G126)*0.10931)^2),0))</f>
        <v>65</v>
      </c>
      <c r="U126" s="25"/>
    </row>
    <row r="127" customFormat="false" ht="15" hidden="false" customHeight="false" outlineLevel="0" collapsed="false">
      <c r="A127" s="25" t="s">
        <v>197</v>
      </c>
      <c r="B127" s="25" t="s">
        <v>277</v>
      </c>
      <c r="C127" s="25" t="s">
        <v>277</v>
      </c>
      <c r="D127" s="52" t="n">
        <v>761</v>
      </c>
      <c r="E127" s="52" t="n">
        <v>735</v>
      </c>
      <c r="F127" s="63" t="n">
        <f aca="false">IF(E127="","",D127-E127)</f>
        <v>26</v>
      </c>
      <c r="G127" s="52" t="n">
        <v>811</v>
      </c>
      <c r="H127" s="52" t="n">
        <v>804</v>
      </c>
      <c r="I127" s="63" t="n">
        <f aca="false">IF(H127="","",G127-H127)</f>
        <v>7</v>
      </c>
      <c r="J127" s="53" t="n">
        <f aca="false">IF(OR(D127="",D127+G127=0),"",D127/(D127+G127))</f>
        <v>0.484096692111959</v>
      </c>
      <c r="K127" s="53" t="n">
        <f aca="false">IF(E127="","",E127/(E127+H127))</f>
        <v>0.477582846003899</v>
      </c>
      <c r="L127" s="64" t="n">
        <f aca="false">IF(OR(K127="",J127=""),"",(J127-K127)*100)</f>
        <v>0.651384610806066</v>
      </c>
      <c r="M127" s="28" t="n">
        <v>2.07368371626919</v>
      </c>
      <c r="N127" s="28" t="n">
        <v>0.395914373242782</v>
      </c>
      <c r="O127" s="28" t="n">
        <f aca="false">SQRT(M127^2+N127^2)</f>
        <v>2.11114005837136</v>
      </c>
      <c r="P127" s="53" t="n">
        <f aca="false">IF(J127="","",MAX(0,J127-1.96*O127/100))</f>
        <v>0.442718346967881</v>
      </c>
      <c r="Q127" s="53" t="n">
        <f aca="false">IF(J127="","",MIN(1,J127+1.96*O127/100))</f>
        <v>0.525475037256038</v>
      </c>
      <c r="R127" s="25" t="str">
        <f aca="false">IF(L127="","",IF(ABS(L127)&lt;=O127,"Yes","No"))</f>
        <v>Yes</v>
      </c>
      <c r="S127" s="25" t="str">
        <f aca="false">IF(L127="","",IF(ABS(L127)&lt;=1.96*O127,"Yes","No"))</f>
        <v>Yes</v>
      </c>
      <c r="T127" s="52" t="n">
        <f aca="false">IF(D127="","",ROUND(SQRT(((D127+G127)*O127/100)^2+(J127*(D127+G127)*0.08889)^2),0))</f>
        <v>75</v>
      </c>
      <c r="U127" s="25"/>
    </row>
    <row r="128" customFormat="false" ht="15" hidden="false" customHeight="false" outlineLevel="0" collapsed="false">
      <c r="A128" s="25" t="s">
        <v>197</v>
      </c>
      <c r="B128" s="25" t="s">
        <v>278</v>
      </c>
      <c r="C128" s="25" t="s">
        <v>279</v>
      </c>
      <c r="D128" s="52" t="n">
        <v>398</v>
      </c>
      <c r="E128" s="52" t="n">
        <v>372</v>
      </c>
      <c r="F128" s="63" t="n">
        <f aca="false">IF(E128="","",D128-E128)</f>
        <v>26</v>
      </c>
      <c r="G128" s="52" t="n">
        <v>409</v>
      </c>
      <c r="H128" s="52" t="n">
        <v>383</v>
      </c>
      <c r="I128" s="63" t="n">
        <f aca="false">IF(H128="","",G128-H128)</f>
        <v>26</v>
      </c>
      <c r="J128" s="53" t="n">
        <f aca="false">IF(OR(D128="",D128+G128=0),"",D128/(D128+G128))</f>
        <v>0.493184634448575</v>
      </c>
      <c r="K128" s="53" t="n">
        <f aca="false">IF(E128="","",E128/(E128+H128))</f>
        <v>0.492715231788079</v>
      </c>
      <c r="L128" s="64" t="n">
        <f aca="false">IF(OR(K128="",J128=""),"",(J128-K128)*100)</f>
        <v>0.0469402660495499</v>
      </c>
      <c r="M128" s="28" t="n">
        <v>2.29525849334818</v>
      </c>
      <c r="N128" s="28" t="n">
        <v>0.395914373242782</v>
      </c>
      <c r="O128" s="28" t="n">
        <f aca="false">SQRT(M128^2+N128^2)</f>
        <v>2.32915429764264</v>
      </c>
      <c r="P128" s="53" t="n">
        <f aca="false">IF(J128="","",MAX(0,J128-1.96*O128/100))</f>
        <v>0.447533210214779</v>
      </c>
      <c r="Q128" s="53" t="n">
        <f aca="false">IF(J128="","",MIN(1,J128+1.96*O128/100))</f>
        <v>0.538836058682371</v>
      </c>
      <c r="R128" s="25" t="str">
        <f aca="false">IF(L128="","",IF(ABS(L128)&lt;=O128,"Yes","No"))</f>
        <v>Yes</v>
      </c>
      <c r="S128" s="25" t="str">
        <f aca="false">IF(L128="","",IF(ABS(L128)&lt;=1.96*O128,"Yes","No"))</f>
        <v>Yes</v>
      </c>
      <c r="T128" s="52" t="n">
        <f aca="false">IF(D128="","",ROUND(SQRT(((D128+G128)*O128/100)^2+(J128*(D128+G128)*0.10931)^2),0))</f>
        <v>47</v>
      </c>
      <c r="U128" s="25"/>
    </row>
    <row r="129" customFormat="false" ht="15" hidden="false" customHeight="false" outlineLevel="0" collapsed="false">
      <c r="A129" s="25" t="s">
        <v>197</v>
      </c>
      <c r="B129" s="25" t="s">
        <v>278</v>
      </c>
      <c r="C129" s="25" t="s">
        <v>280</v>
      </c>
      <c r="D129" s="52" t="n">
        <v>537</v>
      </c>
      <c r="E129" s="52" t="n">
        <v>527</v>
      </c>
      <c r="F129" s="63" t="n">
        <f aca="false">IF(E129="","",D129-E129)</f>
        <v>10</v>
      </c>
      <c r="G129" s="52" t="n">
        <v>494</v>
      </c>
      <c r="H129" s="52" t="n">
        <v>515</v>
      </c>
      <c r="I129" s="63" t="n">
        <f aca="false">IF(H129="","",G129-H129)</f>
        <v>-21</v>
      </c>
      <c r="J129" s="53" t="n">
        <f aca="false">IF(OR(D129="",D129+G129=0),"",D129/(D129+G129))</f>
        <v>0.520853540252182</v>
      </c>
      <c r="K129" s="53" t="n">
        <f aca="false">IF(E129="","",E129/(E129+H129))</f>
        <v>0.505758157389635</v>
      </c>
      <c r="L129" s="64" t="n">
        <f aca="false">IF(OR(K129="",J129=""),"",(J129-K129)*100)</f>
        <v>1.5095382862547</v>
      </c>
      <c r="M129" s="28" t="n">
        <v>2.29525849334818</v>
      </c>
      <c r="N129" s="28" t="n">
        <v>0.395914373242782</v>
      </c>
      <c r="O129" s="28" t="n">
        <f aca="false">SQRT(M129^2+N129^2)</f>
        <v>2.32915429764264</v>
      </c>
      <c r="P129" s="53" t="n">
        <f aca="false">IF(J129="","",MAX(0,J129-1.96*O129/100))</f>
        <v>0.475202116018387</v>
      </c>
      <c r="Q129" s="53" t="n">
        <f aca="false">IF(J129="","",MIN(1,J129+1.96*O129/100))</f>
        <v>0.566504964485978</v>
      </c>
      <c r="R129" s="25" t="str">
        <f aca="false">IF(L129="","",IF(ABS(L129)&lt;=O129,"Yes","No"))</f>
        <v>Yes</v>
      </c>
      <c r="S129" s="25" t="str">
        <f aca="false">IF(L129="","",IF(ABS(L129)&lt;=1.96*O129,"Yes","No"))</f>
        <v>Yes</v>
      </c>
      <c r="T129" s="52" t="n">
        <f aca="false">IF(D129="","",ROUND(SQRT(((D129+G129)*O129/100)^2+(J129*(D129+G129)*0.10931)^2),0))</f>
        <v>63</v>
      </c>
      <c r="U129" s="25"/>
    </row>
    <row r="130" customFormat="false" ht="15" hidden="false" customHeight="false" outlineLevel="0" collapsed="false">
      <c r="A130" s="25" t="s">
        <v>197</v>
      </c>
      <c r="B130" s="25" t="s">
        <v>281</v>
      </c>
      <c r="C130" s="25" t="s">
        <v>282</v>
      </c>
      <c r="D130" s="52" t="n">
        <v>559</v>
      </c>
      <c r="E130" s="52" t="n">
        <v>562</v>
      </c>
      <c r="F130" s="63" t="n">
        <f aca="false">IF(E130="","",D130-E130)</f>
        <v>-3</v>
      </c>
      <c r="G130" s="52" t="n">
        <v>491</v>
      </c>
      <c r="H130" s="52" t="n">
        <v>497</v>
      </c>
      <c r="I130" s="63" t="n">
        <f aca="false">IF(H130="","",G130-H130)</f>
        <v>-6</v>
      </c>
      <c r="J130" s="53" t="n">
        <f aca="false">IF(OR(D130="",D130+G130=0),"",D130/(D130+G130))</f>
        <v>0.532380952380952</v>
      </c>
      <c r="K130" s="53" t="n">
        <f aca="false">IF(E130="","",E130/(E130+H130))</f>
        <v>0.530689329556185</v>
      </c>
      <c r="L130" s="64" t="n">
        <f aca="false">IF(OR(K130="",J130=""),"",(J130-K130)*100)</f>
        <v>0.169162282476731</v>
      </c>
      <c r="M130" s="28" t="n">
        <v>2.29525849334818</v>
      </c>
      <c r="N130" s="28" t="n">
        <v>0.395914373242782</v>
      </c>
      <c r="O130" s="28" t="n">
        <f aca="false">SQRT(M130^2+N130^2)</f>
        <v>2.32915429764264</v>
      </c>
      <c r="P130" s="53" t="n">
        <f aca="false">IF(J130="","",MAX(0,J130-1.96*O130/100))</f>
        <v>0.486729528147157</v>
      </c>
      <c r="Q130" s="53" t="n">
        <f aca="false">IF(J130="","",MIN(1,J130+1.96*O130/100))</f>
        <v>0.578032376614748</v>
      </c>
      <c r="R130" s="25" t="str">
        <f aca="false">IF(L130="","",IF(ABS(L130)&lt;=O130,"Yes","No"))</f>
        <v>Yes</v>
      </c>
      <c r="S130" s="25" t="str">
        <f aca="false">IF(L130="","",IF(ABS(L130)&lt;=1.96*O130,"Yes","No"))</f>
        <v>Yes</v>
      </c>
      <c r="T130" s="52" t="n">
        <f aca="false">IF(D130="","",ROUND(SQRT(((D130+G130)*O130/100)^2+(J130*(D130+G130)*0.10931)^2),0))</f>
        <v>66</v>
      </c>
      <c r="U130" s="25"/>
    </row>
    <row r="131" customFormat="false" ht="15" hidden="false" customHeight="false" outlineLevel="0" collapsed="false">
      <c r="A131" s="25" t="s">
        <v>197</v>
      </c>
      <c r="B131" s="25" t="s">
        <v>281</v>
      </c>
      <c r="C131" s="25" t="s">
        <v>283</v>
      </c>
      <c r="D131" s="52" t="n">
        <v>565</v>
      </c>
      <c r="E131" s="52" t="n">
        <v>566</v>
      </c>
      <c r="F131" s="63" t="n">
        <f aca="false">IF(E131="","",D131-E131)</f>
        <v>-1</v>
      </c>
      <c r="G131" s="52" t="n">
        <v>514</v>
      </c>
      <c r="H131" s="52" t="n">
        <v>509</v>
      </c>
      <c r="I131" s="63" t="n">
        <f aca="false">IF(H131="","",G131-H131)</f>
        <v>5</v>
      </c>
      <c r="J131" s="53" t="n">
        <f aca="false">IF(OR(D131="",D131+G131=0),"",D131/(D131+G131))</f>
        <v>0.523632993512512</v>
      </c>
      <c r="K131" s="53" t="n">
        <f aca="false">IF(E131="","",E131/(E131+H131))</f>
        <v>0.526511627906977</v>
      </c>
      <c r="L131" s="64" t="n">
        <f aca="false">IF(OR(K131="",J131=""),"",(J131-K131)*100)</f>
        <v>-0.287863439446512</v>
      </c>
      <c r="M131" s="28" t="n">
        <v>2.29525849334818</v>
      </c>
      <c r="N131" s="28" t="n">
        <v>0.395914373242782</v>
      </c>
      <c r="O131" s="28" t="n">
        <f aca="false">SQRT(M131^2+N131^2)</f>
        <v>2.32915429764264</v>
      </c>
      <c r="P131" s="53" t="n">
        <f aca="false">IF(J131="","",MAX(0,J131-1.96*O131/100))</f>
        <v>0.477981569278716</v>
      </c>
      <c r="Q131" s="53" t="n">
        <f aca="false">IF(J131="","",MIN(1,J131+1.96*O131/100))</f>
        <v>0.569284417746307</v>
      </c>
      <c r="R131" s="25" t="str">
        <f aca="false">IF(L131="","",IF(ABS(L131)&lt;=O131,"Yes","No"))</f>
        <v>Yes</v>
      </c>
      <c r="S131" s="25" t="str">
        <f aca="false">IF(L131="","",IF(ABS(L131)&lt;=1.96*O131,"Yes","No"))</f>
        <v>Yes</v>
      </c>
      <c r="T131" s="52" t="n">
        <f aca="false">IF(D131="","",ROUND(SQRT(((D131+G131)*O131/100)^2+(J131*(D131+G131)*0.10931)^2),0))</f>
        <v>67</v>
      </c>
      <c r="U131" s="25"/>
    </row>
    <row r="132" customFormat="false" ht="15" hidden="false" customHeight="false" outlineLevel="0" collapsed="false">
      <c r="A132" s="25" t="s">
        <v>197</v>
      </c>
      <c r="B132" s="25" t="s">
        <v>281</v>
      </c>
      <c r="C132" s="25" t="s">
        <v>284</v>
      </c>
      <c r="D132" s="52" t="n">
        <v>802</v>
      </c>
      <c r="E132" s="52" t="n">
        <v>826</v>
      </c>
      <c r="F132" s="63" t="n">
        <f aca="false">IF(E132="","",D132-E132)</f>
        <v>-24</v>
      </c>
      <c r="G132" s="52" t="n">
        <v>796</v>
      </c>
      <c r="H132" s="52" t="n">
        <v>801</v>
      </c>
      <c r="I132" s="63" t="n">
        <f aca="false">IF(H132="","",G132-H132)</f>
        <v>-5</v>
      </c>
      <c r="J132" s="53" t="n">
        <f aca="false">IF(OR(D132="",D132+G132=0),"",D132/(D132+G132))</f>
        <v>0.501877346683354</v>
      </c>
      <c r="K132" s="53" t="n">
        <f aca="false">IF(E132="","",E132/(E132+H132))</f>
        <v>0.507682851874616</v>
      </c>
      <c r="L132" s="64" t="n">
        <f aca="false">IF(OR(K132="",J132=""),"",(J132-K132)*100)</f>
        <v>-0.580550519126166</v>
      </c>
      <c r="M132" s="28" t="n">
        <v>2.07368371626919</v>
      </c>
      <c r="N132" s="28" t="n">
        <v>0.395914373242782</v>
      </c>
      <c r="O132" s="28" t="n">
        <f aca="false">SQRT(M132^2+N132^2)</f>
        <v>2.11114005837136</v>
      </c>
      <c r="P132" s="53" t="n">
        <f aca="false">IF(J132="","",MAX(0,J132-1.96*O132/100))</f>
        <v>0.460499001539276</v>
      </c>
      <c r="Q132" s="53" t="n">
        <f aca="false">IF(J132="","",MIN(1,J132+1.96*O132/100))</f>
        <v>0.543255691827433</v>
      </c>
      <c r="R132" s="25" t="str">
        <f aca="false">IF(L132="","",IF(ABS(L132)&lt;=O132,"Yes","No"))</f>
        <v>Yes</v>
      </c>
      <c r="S132" s="25" t="str">
        <f aca="false">IF(L132="","",IF(ABS(L132)&lt;=1.96*O132,"Yes","No"))</f>
        <v>Yes</v>
      </c>
      <c r="T132" s="52" t="n">
        <f aca="false">IF(D132="","",ROUND(SQRT(((D132+G132)*O132/100)^2+(J132*(D132+G132)*0.08889)^2),0))</f>
        <v>79</v>
      </c>
      <c r="U132" s="25"/>
    </row>
    <row r="133" customFormat="false" ht="15" hidden="false" customHeight="false" outlineLevel="0" collapsed="false">
      <c r="A133" s="25" t="s">
        <v>197</v>
      </c>
      <c r="B133" s="25" t="s">
        <v>281</v>
      </c>
      <c r="C133" s="25" t="s">
        <v>285</v>
      </c>
      <c r="D133" s="52" t="n">
        <v>691</v>
      </c>
      <c r="E133" s="52" t="n">
        <v>686</v>
      </c>
      <c r="F133" s="63" t="n">
        <f aca="false">IF(E133="","",D133-E133)</f>
        <v>5</v>
      </c>
      <c r="G133" s="52" t="n">
        <v>565</v>
      </c>
      <c r="H133" s="52" t="n">
        <v>580</v>
      </c>
      <c r="I133" s="63" t="n">
        <f aca="false">IF(H133="","",G133-H133)</f>
        <v>-15</v>
      </c>
      <c r="J133" s="53" t="n">
        <f aca="false">IF(OR(D133="",D133+G133=0),"",D133/(D133+G133))</f>
        <v>0.55015923566879</v>
      </c>
      <c r="K133" s="53" t="n">
        <f aca="false">IF(E133="","",E133/(E133+H133))</f>
        <v>0.541864139020537</v>
      </c>
      <c r="L133" s="64" t="n">
        <f aca="false">IF(OR(K133="",J133=""),"",(J133-K133)*100)</f>
        <v>0.829509664825268</v>
      </c>
      <c r="M133" s="28" t="n">
        <v>2.07368371626919</v>
      </c>
      <c r="N133" s="28" t="n">
        <v>0.395914373242782</v>
      </c>
      <c r="O133" s="28" t="n">
        <f aca="false">SQRT(M133^2+N133^2)</f>
        <v>2.11114005837136</v>
      </c>
      <c r="P133" s="53" t="n">
        <f aca="false">IF(J133="","",MAX(0,J133-1.96*O133/100))</f>
        <v>0.508780890524711</v>
      </c>
      <c r="Q133" s="53" t="n">
        <f aca="false">IF(J133="","",MIN(1,J133+1.96*O133/100))</f>
        <v>0.591537580812868</v>
      </c>
      <c r="R133" s="25" t="str">
        <f aca="false">IF(L133="","",IF(ABS(L133)&lt;=O133,"Yes","No"))</f>
        <v>Yes</v>
      </c>
      <c r="S133" s="25" t="str">
        <f aca="false">IF(L133="","",IF(ABS(L133)&lt;=1.96*O133,"Yes","No"))</f>
        <v>Yes</v>
      </c>
      <c r="T133" s="52" t="n">
        <f aca="false">IF(D133="","",ROUND(SQRT(((D133+G133)*O133/100)^2+(J133*(D133+G133)*0.08889)^2),0))</f>
        <v>67</v>
      </c>
      <c r="U133" s="25"/>
    </row>
    <row r="134" customFormat="false" ht="15" hidden="false" customHeight="false" outlineLevel="0" collapsed="false">
      <c r="A134" s="25" t="s">
        <v>197</v>
      </c>
      <c r="B134" s="25" t="s">
        <v>281</v>
      </c>
      <c r="C134" s="25" t="s">
        <v>286</v>
      </c>
      <c r="D134" s="52" t="n">
        <v>339</v>
      </c>
      <c r="E134" s="52" t="n">
        <v>332</v>
      </c>
      <c r="F134" s="63" t="n">
        <f aca="false">IF(E134="","",D134-E134)</f>
        <v>7</v>
      </c>
      <c r="G134" s="52" t="n">
        <v>341</v>
      </c>
      <c r="H134" s="52" t="n">
        <v>340</v>
      </c>
      <c r="I134" s="63" t="n">
        <f aca="false">IF(H134="","",G134-H134)</f>
        <v>1</v>
      </c>
      <c r="J134" s="53" t="n">
        <f aca="false">IF(OR(D134="",D134+G134=0),"",D134/(D134+G134))</f>
        <v>0.498529411764706</v>
      </c>
      <c r="K134" s="53" t="n">
        <f aca="false">IF(E134="","",E134/(E134+H134))</f>
        <v>0.494047619047619</v>
      </c>
      <c r="L134" s="64" t="n">
        <f aca="false">IF(OR(K134="",J134=""),"",(J134-K134)*100)</f>
        <v>0.448179271708682</v>
      </c>
      <c r="M134" s="28" t="n">
        <v>3.51968652681483</v>
      </c>
      <c r="N134" s="28" t="n">
        <v>0.395914373242782</v>
      </c>
      <c r="O134" s="28" t="n">
        <f aca="false">SQRT(M134^2+N134^2)</f>
        <v>3.54188388262265</v>
      </c>
      <c r="P134" s="53" t="n">
        <f aca="false">IF(J134="","",MAX(0,J134-1.96*O134/100))</f>
        <v>0.429108487665302</v>
      </c>
      <c r="Q134" s="53" t="n">
        <f aca="false">IF(J134="","",MIN(1,J134+1.96*O134/100))</f>
        <v>0.56795033586411</v>
      </c>
      <c r="R134" s="25" t="str">
        <f aca="false">IF(L134="","",IF(ABS(L134)&lt;=O134,"Yes","No"))</f>
        <v>Yes</v>
      </c>
      <c r="S134" s="25" t="str">
        <f aca="false">IF(L134="","",IF(ABS(L134)&lt;=1.96*O134,"Yes","No"))</f>
        <v>Yes</v>
      </c>
      <c r="T134" s="52" t="n">
        <f aca="false">IF(D134="","",ROUND(SQRT(((D134+G134)*O134/100)^2+(J134*(D134+G134)*0.1901)^2),0))</f>
        <v>69</v>
      </c>
      <c r="U134" s="25"/>
    </row>
    <row r="135" customFormat="false" ht="15" hidden="false" customHeight="false" outlineLevel="0" collapsed="false">
      <c r="A135" s="25" t="s">
        <v>197</v>
      </c>
      <c r="B135" s="25" t="s">
        <v>281</v>
      </c>
      <c r="C135" s="25" t="s">
        <v>287</v>
      </c>
      <c r="D135" s="52" t="n">
        <v>667</v>
      </c>
      <c r="E135" s="52" t="n">
        <v>691</v>
      </c>
      <c r="F135" s="63" t="n">
        <f aca="false">IF(E135="","",D135-E135)</f>
        <v>-24</v>
      </c>
      <c r="G135" s="52" t="n">
        <v>532</v>
      </c>
      <c r="H135" s="52" t="n">
        <v>509</v>
      </c>
      <c r="I135" s="63" t="n">
        <f aca="false">IF(H135="","",G135-H135)</f>
        <v>23</v>
      </c>
      <c r="J135" s="53" t="n">
        <f aca="false">IF(OR(D135="",D135+G135=0),"",D135/(D135+G135))</f>
        <v>0.556296914095079</v>
      </c>
      <c r="K135" s="53" t="n">
        <f aca="false">IF(E135="","",E135/(E135+H135))</f>
        <v>0.575833333333333</v>
      </c>
      <c r="L135" s="64" t="n">
        <f aca="false">IF(OR(K135="",J135=""),"",(J135-K135)*100)</f>
        <v>-1.95364192382541</v>
      </c>
      <c r="M135" s="28" t="n">
        <v>2.07368371626919</v>
      </c>
      <c r="N135" s="28" t="n">
        <v>0.395914373242782</v>
      </c>
      <c r="O135" s="28" t="n">
        <f aca="false">SQRT(M135^2+N135^2)</f>
        <v>2.11114005837136</v>
      </c>
      <c r="P135" s="53" t="n">
        <f aca="false">IF(J135="","",MAX(0,J135-1.96*O135/100))</f>
        <v>0.514918568951001</v>
      </c>
      <c r="Q135" s="53" t="n">
        <f aca="false">IF(J135="","",MIN(1,J135+1.96*O135/100))</f>
        <v>0.597675259239158</v>
      </c>
      <c r="R135" s="25" t="str">
        <f aca="false">IF(L135="","",IF(ABS(L135)&lt;=O135,"Yes","No"))</f>
        <v>Yes</v>
      </c>
      <c r="S135" s="25" t="str">
        <f aca="false">IF(L135="","",IF(ABS(L135)&lt;=1.96*O135,"Yes","No"))</f>
        <v>Yes</v>
      </c>
      <c r="T135" s="52" t="n">
        <f aca="false">IF(D135="","",ROUND(SQRT(((D135+G135)*O135/100)^2+(J135*(D135+G135)*0.08889)^2),0))</f>
        <v>64</v>
      </c>
      <c r="U135" s="25"/>
    </row>
    <row r="136" customFormat="false" ht="15" hidden="false" customHeight="false" outlineLevel="0" collapsed="false">
      <c r="A136" s="25" t="s">
        <v>197</v>
      </c>
      <c r="B136" s="25" t="s">
        <v>288</v>
      </c>
      <c r="C136" s="25" t="s">
        <v>289</v>
      </c>
      <c r="D136" s="52" t="n">
        <v>645</v>
      </c>
      <c r="E136" s="52" t="n">
        <v>579</v>
      </c>
      <c r="F136" s="63" t="n">
        <f aca="false">IF(E136="","",D136-E136)</f>
        <v>66</v>
      </c>
      <c r="G136" s="52" t="n">
        <v>297</v>
      </c>
      <c r="H136" s="52" t="n">
        <v>292</v>
      </c>
      <c r="I136" s="63" t="n">
        <f aca="false">IF(H136="","",G136-H136)</f>
        <v>5</v>
      </c>
      <c r="J136" s="53" t="n">
        <f aca="false">IF(OR(D136="",D136+G136=0),"",D136/(D136+G136))</f>
        <v>0.684713375796178</v>
      </c>
      <c r="K136" s="53" t="n">
        <f aca="false">IF(E136="","",E136/(E136+H136))</f>
        <v>0.664753157290471</v>
      </c>
      <c r="L136" s="64" t="n">
        <f aca="false">IF(OR(K136="",J136=""),"",(J136-K136)*100)</f>
        <v>1.99602185057076</v>
      </c>
      <c r="M136" s="28" t="n">
        <v>2.29525849334818</v>
      </c>
      <c r="N136" s="28" t="n">
        <v>0.395914373242782</v>
      </c>
      <c r="O136" s="28" t="n">
        <f aca="false">SQRT(M136^2+N136^2)</f>
        <v>2.32915429764264</v>
      </c>
      <c r="P136" s="53" t="n">
        <f aca="false">IF(J136="","",MAX(0,J136-1.96*O136/100))</f>
        <v>0.639061951562383</v>
      </c>
      <c r="Q136" s="53" t="n">
        <f aca="false">IF(J136="","",MIN(1,J136+1.96*O136/100))</f>
        <v>0.730364800029974</v>
      </c>
      <c r="R136" s="25" t="str">
        <f aca="false">IF(L136="","",IF(ABS(L136)&lt;=O136,"Yes","No"))</f>
        <v>Yes</v>
      </c>
      <c r="S136" s="25" t="str">
        <f aca="false">IF(L136="","",IF(ABS(L136)&lt;=1.96*O136,"Yes","No"))</f>
        <v>Yes</v>
      </c>
      <c r="T136" s="52" t="n">
        <f aca="false">IF(D136="","",ROUND(SQRT(((D136+G136)*O136/100)^2+(J136*(D136+G136)*0.10931)^2),0))</f>
        <v>74</v>
      </c>
      <c r="U136" s="25"/>
    </row>
    <row r="137" customFormat="false" ht="15" hidden="false" customHeight="false" outlineLevel="0" collapsed="false">
      <c r="A137" s="25" t="s">
        <v>197</v>
      </c>
      <c r="B137" s="25" t="s">
        <v>288</v>
      </c>
      <c r="C137" s="25" t="s">
        <v>290</v>
      </c>
      <c r="D137" s="52" t="n">
        <v>447</v>
      </c>
      <c r="E137" s="52" t="n">
        <v>440</v>
      </c>
      <c r="F137" s="63" t="n">
        <f aca="false">IF(E137="","",D137-E137)</f>
        <v>7</v>
      </c>
      <c r="G137" s="52" t="n">
        <v>270</v>
      </c>
      <c r="H137" s="52" t="n">
        <v>262</v>
      </c>
      <c r="I137" s="63" t="n">
        <f aca="false">IF(H137="","",G137-H137)</f>
        <v>8</v>
      </c>
      <c r="J137" s="53" t="n">
        <f aca="false">IF(OR(D137="",D137+G137=0),"",D137/(D137+G137))</f>
        <v>0.623430962343096</v>
      </c>
      <c r="K137" s="53" t="n">
        <f aca="false">IF(E137="","",E137/(E137+H137))</f>
        <v>0.626780626780627</v>
      </c>
      <c r="L137" s="64" t="n">
        <f aca="false">IF(OR(K137="",J137=""),"",(J137-K137)*100)</f>
        <v>-0.334966443753049</v>
      </c>
      <c r="M137" s="28" t="n">
        <v>3.51968652681483</v>
      </c>
      <c r="N137" s="28" t="n">
        <v>0.395914373242782</v>
      </c>
      <c r="O137" s="28" t="n">
        <f aca="false">SQRT(M137^2+N137^2)</f>
        <v>3.54188388262265</v>
      </c>
      <c r="P137" s="53" t="n">
        <f aca="false">IF(J137="","",MAX(0,J137-1.96*O137/100))</f>
        <v>0.554010038243692</v>
      </c>
      <c r="Q137" s="53" t="n">
        <f aca="false">IF(J137="","",MIN(1,J137+1.96*O137/100))</f>
        <v>0.6928518864425</v>
      </c>
      <c r="R137" s="25" t="str">
        <f aca="false">IF(L137="","",IF(ABS(L137)&lt;=O137,"Yes","No"))</f>
        <v>Yes</v>
      </c>
      <c r="S137" s="25" t="str">
        <f aca="false">IF(L137="","",IF(ABS(L137)&lt;=1.96*O137,"Yes","No"))</f>
        <v>Yes</v>
      </c>
      <c r="T137" s="52" t="n">
        <f aca="false">IF(D137="","",ROUND(SQRT(((D137+G137)*O137/100)^2+(J137*(D137+G137)*0.1901)^2),0))</f>
        <v>89</v>
      </c>
      <c r="U137" s="25"/>
    </row>
    <row r="138" customFormat="false" ht="15" hidden="false" customHeight="false" outlineLevel="0" collapsed="false">
      <c r="A138" s="25" t="s">
        <v>197</v>
      </c>
      <c r="B138" s="25" t="s">
        <v>288</v>
      </c>
      <c r="C138" s="25" t="s">
        <v>291</v>
      </c>
      <c r="D138" s="52" t="n">
        <v>442</v>
      </c>
      <c r="E138" s="52" t="n">
        <v>414</v>
      </c>
      <c r="F138" s="63" t="n">
        <f aca="false">IF(E138="","",D138-E138)</f>
        <v>28</v>
      </c>
      <c r="G138" s="52" t="n">
        <v>239</v>
      </c>
      <c r="H138" s="52" t="n">
        <v>239</v>
      </c>
      <c r="I138" s="63" t="n">
        <f aca="false">IF(H138="","",G138-H138)</f>
        <v>0</v>
      </c>
      <c r="J138" s="53" t="n">
        <f aca="false">IF(OR(D138="",D138+G138=0),"",D138/(D138+G138))</f>
        <v>0.649045521292217</v>
      </c>
      <c r="K138" s="53" t="n">
        <f aca="false">IF(E138="","",E138/(E138+H138))</f>
        <v>0.633996937212864</v>
      </c>
      <c r="L138" s="64" t="n">
        <f aca="false">IF(OR(K138="",J138=""),"",(J138-K138)*100)</f>
        <v>1.50485840793537</v>
      </c>
      <c r="M138" s="28" t="n">
        <v>3.51968652681483</v>
      </c>
      <c r="N138" s="28" t="n">
        <v>0.395914373242782</v>
      </c>
      <c r="O138" s="28" t="n">
        <f aca="false">SQRT(M138^2+N138^2)</f>
        <v>3.54188388262265</v>
      </c>
      <c r="P138" s="53" t="n">
        <f aca="false">IF(J138="","",MAX(0,J138-1.96*O138/100))</f>
        <v>0.579624597192814</v>
      </c>
      <c r="Q138" s="53" t="n">
        <f aca="false">IF(J138="","",MIN(1,J138+1.96*O138/100))</f>
        <v>0.718466445391621</v>
      </c>
      <c r="R138" s="25" t="str">
        <f aca="false">IF(L138="","",IF(ABS(L138)&lt;=O138,"Yes","No"))</f>
        <v>Yes</v>
      </c>
      <c r="S138" s="25" t="str">
        <f aca="false">IF(L138="","",IF(ABS(L138)&lt;=1.96*O138,"Yes","No"))</f>
        <v>Yes</v>
      </c>
      <c r="T138" s="52" t="n">
        <f aca="false">IF(D138="","",ROUND(SQRT(((D138+G138)*O138/100)^2+(J138*(D138+G138)*0.1901)^2),0))</f>
        <v>87</v>
      </c>
      <c r="U138" s="25"/>
    </row>
    <row r="139" customFormat="false" ht="15" hidden="false" customHeight="false" outlineLevel="0" collapsed="false">
      <c r="A139" s="25" t="s">
        <v>197</v>
      </c>
      <c r="B139" s="25" t="s">
        <v>292</v>
      </c>
      <c r="C139" s="25" t="s">
        <v>292</v>
      </c>
      <c r="D139" s="52" t="n">
        <v>395</v>
      </c>
      <c r="E139" s="52" t="n">
        <v>379</v>
      </c>
      <c r="F139" s="63" t="n">
        <f aca="false">IF(E139="","",D139-E139)</f>
        <v>16</v>
      </c>
      <c r="G139" s="52" t="n">
        <v>346</v>
      </c>
      <c r="H139" s="52" t="n">
        <v>330</v>
      </c>
      <c r="I139" s="63" t="n">
        <f aca="false">IF(H139="","",G139-H139)</f>
        <v>16</v>
      </c>
      <c r="J139" s="53" t="n">
        <f aca="false">IF(OR(D139="",D139+G139=0),"",D139/(D139+G139))</f>
        <v>0.53306342780027</v>
      </c>
      <c r="K139" s="53" t="n">
        <f aca="false">IF(E139="","",E139/(E139+H139))</f>
        <v>0.534555712270804</v>
      </c>
      <c r="L139" s="64" t="n">
        <f aca="false">IF(OR(K139="",J139=""),"",(J139-K139)*100)</f>
        <v>-0.149228447053396</v>
      </c>
      <c r="M139" s="28" t="n">
        <v>3.51968652681483</v>
      </c>
      <c r="N139" s="28" t="n">
        <v>0.395914373242782</v>
      </c>
      <c r="O139" s="28" t="n">
        <f aca="false">SQRT(M139^2+N139^2)</f>
        <v>3.54188388262265</v>
      </c>
      <c r="P139" s="53" t="n">
        <f aca="false">IF(J139="","",MAX(0,J139-1.96*O139/100))</f>
        <v>0.463642503700866</v>
      </c>
      <c r="Q139" s="53" t="n">
        <f aca="false">IF(J139="","",MIN(1,J139+1.96*O139/100))</f>
        <v>0.602484351899674</v>
      </c>
      <c r="R139" s="25" t="str">
        <f aca="false">IF(L139="","",IF(ABS(L139)&lt;=O139,"Yes","No"))</f>
        <v>Yes</v>
      </c>
      <c r="S139" s="25" t="str">
        <f aca="false">IF(L139="","",IF(ABS(L139)&lt;=1.96*O139,"Yes","No"))</f>
        <v>Yes</v>
      </c>
      <c r="T139" s="52" t="n">
        <f aca="false">IF(D139="","",ROUND(SQRT(((D139+G139)*O139/100)^2+(J139*(D139+G139)*0.1901)^2),0))</f>
        <v>80</v>
      </c>
      <c r="U139" s="25"/>
    </row>
    <row r="140" customFormat="false" ht="15" hidden="false" customHeight="false" outlineLevel="0" collapsed="false">
      <c r="A140" s="25" t="s">
        <v>197</v>
      </c>
      <c r="B140" s="25" t="s">
        <v>293</v>
      </c>
      <c r="C140" s="25" t="s">
        <v>293</v>
      </c>
      <c r="D140" s="52" t="n">
        <v>632</v>
      </c>
      <c r="E140" s="52" t="n">
        <v>654</v>
      </c>
      <c r="F140" s="63" t="n">
        <f aca="false">IF(E140="","",D140-E140)</f>
        <v>-22</v>
      </c>
      <c r="G140" s="52" t="n">
        <v>1426</v>
      </c>
      <c r="H140" s="52" t="n">
        <v>1439</v>
      </c>
      <c r="I140" s="63" t="n">
        <f aca="false">IF(H140="","",G140-H140)</f>
        <v>-13</v>
      </c>
      <c r="J140" s="53" t="n">
        <f aca="false">IF(OR(D140="",D140+G140=0),"",D140/(D140+G140))</f>
        <v>0.30709426627794</v>
      </c>
      <c r="K140" s="53" t="n">
        <f aca="false">IF(E140="","",E140/(E140+H140))</f>
        <v>0.312470138557095</v>
      </c>
      <c r="L140" s="64" t="n">
        <f aca="false">IF(OR(K140="",J140=""),"",(J140-K140)*100)</f>
        <v>-0.537587227915537</v>
      </c>
      <c r="M140" s="28" t="n">
        <v>2.07368371626919</v>
      </c>
      <c r="N140" s="28" t="n">
        <v>0.395914373242782</v>
      </c>
      <c r="O140" s="28" t="n">
        <f aca="false">SQRT(M140^2+N140^2)</f>
        <v>2.11114005837136</v>
      </c>
      <c r="P140" s="53" t="n">
        <f aca="false">IF(J140="","",MAX(0,J140-1.96*O140/100))</f>
        <v>0.265715921133861</v>
      </c>
      <c r="Q140" s="53" t="n">
        <f aca="false">IF(J140="","",MIN(1,J140+1.96*O140/100))</f>
        <v>0.348472611422018</v>
      </c>
      <c r="R140" s="25" t="str">
        <f aca="false">IF(L140="","",IF(ABS(L140)&lt;=O140,"Yes","No"))</f>
        <v>Yes</v>
      </c>
      <c r="S140" s="25" t="str">
        <f aca="false">IF(L140="","",IF(ABS(L140)&lt;=1.96*O140,"Yes","No"))</f>
        <v>Yes</v>
      </c>
      <c r="T140" s="52" t="n">
        <f aca="false">IF(D140="","",ROUND(SQRT(((D140+G140)*O140/100)^2+(J140*(D140+G140)*0.08889)^2),0))</f>
        <v>71</v>
      </c>
      <c r="U140" s="25"/>
    </row>
    <row r="141" customFormat="false" ht="15" hidden="false" customHeight="false" outlineLevel="0" collapsed="false">
      <c r="A141" s="25" t="s">
        <v>197</v>
      </c>
      <c r="B141" s="25" t="s">
        <v>294</v>
      </c>
      <c r="C141" s="25" t="s">
        <v>295</v>
      </c>
      <c r="D141" s="52" t="n">
        <v>936</v>
      </c>
      <c r="E141" s="52" t="n">
        <v>928</v>
      </c>
      <c r="F141" s="63" t="n">
        <f aca="false">IF(E141="","",D141-E141)</f>
        <v>8</v>
      </c>
      <c r="G141" s="52" t="n">
        <v>1000</v>
      </c>
      <c r="H141" s="52" t="n">
        <v>988</v>
      </c>
      <c r="I141" s="63" t="n">
        <f aca="false">IF(H141="","",G141-H141)</f>
        <v>12</v>
      </c>
      <c r="J141" s="53" t="n">
        <f aca="false">IF(OR(D141="",D141+G141=0),"",D141/(D141+G141))</f>
        <v>0.483471074380165</v>
      </c>
      <c r="K141" s="53" t="n">
        <f aca="false">IF(E141="","",E141/(E141+H141))</f>
        <v>0.484342379958246</v>
      </c>
      <c r="L141" s="64" t="n">
        <f aca="false">IF(OR(K141="",J141=""),"",(J141-K141)*100)</f>
        <v>-0.0871305578081072</v>
      </c>
      <c r="M141" s="28" t="n">
        <v>2.07368371626919</v>
      </c>
      <c r="N141" s="28" t="n">
        <v>0.395914373242782</v>
      </c>
      <c r="O141" s="28" t="n">
        <f aca="false">SQRT(M141^2+N141^2)</f>
        <v>2.11114005837136</v>
      </c>
      <c r="P141" s="53" t="n">
        <f aca="false">IF(J141="","",MAX(0,J141-1.96*O141/100))</f>
        <v>0.442092729236087</v>
      </c>
      <c r="Q141" s="53" t="n">
        <f aca="false">IF(J141="","",MIN(1,J141+1.96*O141/100))</f>
        <v>0.524849419524244</v>
      </c>
      <c r="R141" s="25" t="str">
        <f aca="false">IF(L141="","",IF(ABS(L141)&lt;=O141,"Yes","No"))</f>
        <v>Yes</v>
      </c>
      <c r="S141" s="25" t="str">
        <f aca="false">IF(L141="","",IF(ABS(L141)&lt;=1.96*O141,"Yes","No"))</f>
        <v>Yes</v>
      </c>
      <c r="T141" s="52" t="n">
        <f aca="false">IF(D141="","",ROUND(SQRT(((D141+G141)*O141/100)^2+(J141*(D141+G141)*0.08889)^2),0))</f>
        <v>93</v>
      </c>
      <c r="U141" s="25"/>
    </row>
    <row r="142" customFormat="false" ht="15" hidden="false" customHeight="false" outlineLevel="0" collapsed="false">
      <c r="A142" s="25" t="s">
        <v>197</v>
      </c>
      <c r="B142" s="25" t="s">
        <v>294</v>
      </c>
      <c r="C142" s="25" t="s">
        <v>296</v>
      </c>
      <c r="D142" s="52" t="n">
        <v>1126</v>
      </c>
      <c r="E142" s="52" t="n">
        <v>1082</v>
      </c>
      <c r="F142" s="63" t="n">
        <f aca="false">IF(E142="","",D142-E142)</f>
        <v>44</v>
      </c>
      <c r="G142" s="52" t="n">
        <v>1129</v>
      </c>
      <c r="H142" s="52" t="n">
        <v>1101</v>
      </c>
      <c r="I142" s="63" t="n">
        <f aca="false">IF(H142="","",G142-H142)</f>
        <v>28</v>
      </c>
      <c r="J142" s="53" t="n">
        <f aca="false">IF(OR(D142="",D142+G142=0),"",D142/(D142+G142))</f>
        <v>0.499334811529934</v>
      </c>
      <c r="K142" s="53" t="n">
        <f aca="false">IF(E142="","",E142/(E142+H142))</f>
        <v>0.495648190563445</v>
      </c>
      <c r="L142" s="64" t="n">
        <f aca="false">IF(OR(K142="",J142=""),"",(J142-K142)*100)</f>
        <v>0.36866209664887</v>
      </c>
      <c r="M142" s="28" t="n">
        <v>2.07368371626919</v>
      </c>
      <c r="N142" s="28" t="n">
        <v>0.395914373242782</v>
      </c>
      <c r="O142" s="28" t="n">
        <f aca="false">SQRT(M142^2+N142^2)</f>
        <v>2.11114005837136</v>
      </c>
      <c r="P142" s="53" t="n">
        <f aca="false">IF(J142="","",MAX(0,J142-1.96*O142/100))</f>
        <v>0.457956466385855</v>
      </c>
      <c r="Q142" s="53" t="n">
        <f aca="false">IF(J142="","",MIN(1,J142+1.96*O142/100))</f>
        <v>0.540713156674012</v>
      </c>
      <c r="R142" s="25" t="str">
        <f aca="false">IF(L142="","",IF(ABS(L142)&lt;=O142,"Yes","No"))</f>
        <v>Yes</v>
      </c>
      <c r="S142" s="25" t="str">
        <f aca="false">IF(L142="","",IF(ABS(L142)&lt;=1.96*O142,"Yes","No"))</f>
        <v>Yes</v>
      </c>
      <c r="T142" s="52" t="n">
        <f aca="false">IF(D142="","",ROUND(SQRT(((D142+G142)*O142/100)^2+(J142*(D142+G142)*0.08889)^2),0))</f>
        <v>111</v>
      </c>
      <c r="U142" s="25"/>
    </row>
    <row r="143" customFormat="false" ht="15" hidden="false" customHeight="false" outlineLevel="0" collapsed="false">
      <c r="A143" s="25" t="s">
        <v>197</v>
      </c>
      <c r="B143" s="25" t="s">
        <v>294</v>
      </c>
      <c r="C143" s="25" t="s">
        <v>297</v>
      </c>
      <c r="D143" s="52" t="n">
        <v>1841</v>
      </c>
      <c r="E143" s="52" t="n">
        <v>1799</v>
      </c>
      <c r="F143" s="63" t="n">
        <f aca="false">IF(E143="","",D143-E143)</f>
        <v>42</v>
      </c>
      <c r="G143" s="52" t="n">
        <v>1874</v>
      </c>
      <c r="H143" s="52" t="n">
        <v>1810</v>
      </c>
      <c r="I143" s="63" t="n">
        <f aca="false">IF(H143="","",G143-H143)</f>
        <v>64</v>
      </c>
      <c r="J143" s="53" t="n">
        <f aca="false">IF(OR(D143="",D143+G143=0),"",D143/(D143+G143))</f>
        <v>0.495558546433378</v>
      </c>
      <c r="K143" s="53" t="n">
        <f aca="false">IF(E143="","",E143/(E143+H143))</f>
        <v>0.498476032141868</v>
      </c>
      <c r="L143" s="64" t="n">
        <f aca="false">IF(OR(K143="",J143=""),"",(J143-K143)*100)</f>
        <v>-0.291748570848932</v>
      </c>
      <c r="M143" s="28" t="n">
        <v>2.07368371626919</v>
      </c>
      <c r="N143" s="28" t="n">
        <v>0.395914373242782</v>
      </c>
      <c r="O143" s="28" t="n">
        <f aca="false">SQRT(M143^2+N143^2)</f>
        <v>2.11114005837136</v>
      </c>
      <c r="P143" s="53" t="n">
        <f aca="false">IF(J143="","",MAX(0,J143-1.96*O143/100))</f>
        <v>0.4541802012893</v>
      </c>
      <c r="Q143" s="53" t="n">
        <f aca="false">IF(J143="","",MIN(1,J143+1.96*O143/100))</f>
        <v>0.536936891577457</v>
      </c>
      <c r="R143" s="25" t="str">
        <f aca="false">IF(L143="","",IF(ABS(L143)&lt;=O143,"Yes","No"))</f>
        <v>Yes</v>
      </c>
      <c r="S143" s="25" t="str">
        <f aca="false">IF(L143="","",IF(ABS(L143)&lt;=1.96*O143,"Yes","No"))</f>
        <v>Yes</v>
      </c>
      <c r="T143" s="52" t="n">
        <f aca="false">IF(D143="","",ROUND(SQRT(((D143+G143)*O143/100)^2+(J143*(D143+G143)*0.08889)^2),0))</f>
        <v>181</v>
      </c>
      <c r="U143" s="25"/>
    </row>
    <row r="144" customFormat="false" ht="15" hidden="false" customHeight="false" outlineLevel="0" collapsed="false">
      <c r="A144" s="25" t="s">
        <v>197</v>
      </c>
      <c r="B144" s="25" t="s">
        <v>294</v>
      </c>
      <c r="C144" s="25" t="s">
        <v>298</v>
      </c>
      <c r="D144" s="52" t="n">
        <v>926</v>
      </c>
      <c r="E144" s="52" t="n">
        <v>906</v>
      </c>
      <c r="F144" s="63" t="n">
        <f aca="false">IF(E144="","",D144-E144)</f>
        <v>20</v>
      </c>
      <c r="G144" s="52" t="n">
        <v>964</v>
      </c>
      <c r="H144" s="52" t="n">
        <v>980</v>
      </c>
      <c r="I144" s="63" t="n">
        <f aca="false">IF(H144="","",G144-H144)</f>
        <v>-16</v>
      </c>
      <c r="J144" s="53" t="n">
        <f aca="false">IF(OR(D144="",D144+G144=0),"",D144/(D144+G144))</f>
        <v>0.48994708994709</v>
      </c>
      <c r="K144" s="53" t="n">
        <f aca="false">IF(E144="","",E144/(E144+H144))</f>
        <v>0.480381760339343</v>
      </c>
      <c r="L144" s="64" t="n">
        <f aca="false">IF(OR(K144="",J144=""),"",(J144-K144)*100)</f>
        <v>0.956532960774742</v>
      </c>
      <c r="M144" s="28" t="n">
        <v>2.07368371626919</v>
      </c>
      <c r="N144" s="28" t="n">
        <v>0.395914373242782</v>
      </c>
      <c r="O144" s="28" t="n">
        <f aca="false">SQRT(M144^2+N144^2)</f>
        <v>2.11114005837136</v>
      </c>
      <c r="P144" s="53" t="n">
        <f aca="false">IF(J144="","",MAX(0,J144-1.96*O144/100))</f>
        <v>0.448568744803011</v>
      </c>
      <c r="Q144" s="53" t="n">
        <f aca="false">IF(J144="","",MIN(1,J144+1.96*O144/100))</f>
        <v>0.531325435091169</v>
      </c>
      <c r="R144" s="25" t="str">
        <f aca="false">IF(L144="","",IF(ABS(L144)&lt;=O144,"Yes","No"))</f>
        <v>Yes</v>
      </c>
      <c r="S144" s="25" t="str">
        <f aca="false">IF(L144="","",IF(ABS(L144)&lt;=1.96*O144,"Yes","No"))</f>
        <v>Yes</v>
      </c>
      <c r="T144" s="52" t="n">
        <f aca="false">IF(D144="","",ROUND(SQRT(((D144+G144)*O144/100)^2+(J144*(D144+G144)*0.08889)^2),0))</f>
        <v>91</v>
      </c>
      <c r="U144" s="25"/>
    </row>
    <row r="145" customFormat="false" ht="15" hidden="false" customHeight="false" outlineLevel="0" collapsed="false">
      <c r="A145" s="25" t="s">
        <v>197</v>
      </c>
      <c r="B145" s="25" t="s">
        <v>294</v>
      </c>
      <c r="C145" s="25" t="s">
        <v>299</v>
      </c>
      <c r="D145" s="52" t="n">
        <v>852</v>
      </c>
      <c r="E145" s="52" t="n">
        <v>852</v>
      </c>
      <c r="F145" s="63" t="n">
        <f aca="false">IF(E145="","",D145-E145)</f>
        <v>0</v>
      </c>
      <c r="G145" s="52" t="n">
        <v>904</v>
      </c>
      <c r="H145" s="52" t="n">
        <v>912</v>
      </c>
      <c r="I145" s="63" t="n">
        <f aca="false">IF(H145="","",G145-H145)</f>
        <v>-8</v>
      </c>
      <c r="J145" s="53" t="n">
        <f aca="false">IF(OR(D145="",D145+G145=0),"",D145/(D145+G145))</f>
        <v>0.485193621867882</v>
      </c>
      <c r="K145" s="53" t="n">
        <f aca="false">IF(E145="","",E145/(E145+H145))</f>
        <v>0.482993197278912</v>
      </c>
      <c r="L145" s="64" t="n">
        <f aca="false">IF(OR(K145="",J145=""),"",(J145-K145)*100)</f>
        <v>0.220042458897002</v>
      </c>
      <c r="M145" s="28" t="n">
        <v>2.07368371626919</v>
      </c>
      <c r="N145" s="28" t="n">
        <v>0.395914373242782</v>
      </c>
      <c r="O145" s="28" t="n">
        <f aca="false">SQRT(M145^2+N145^2)</f>
        <v>2.11114005837136</v>
      </c>
      <c r="P145" s="53" t="n">
        <f aca="false">IF(J145="","",MAX(0,J145-1.96*O145/100))</f>
        <v>0.443815276723803</v>
      </c>
      <c r="Q145" s="53" t="n">
        <f aca="false">IF(J145="","",MIN(1,J145+1.96*O145/100))</f>
        <v>0.52657196701196</v>
      </c>
      <c r="R145" s="25" t="str">
        <f aca="false">IF(L145="","",IF(ABS(L145)&lt;=O145,"Yes","No"))</f>
        <v>Yes</v>
      </c>
      <c r="S145" s="25" t="str">
        <f aca="false">IF(L145="","",IF(ABS(L145)&lt;=1.96*O145,"Yes","No"))</f>
        <v>Yes</v>
      </c>
      <c r="T145" s="52" t="n">
        <f aca="false">IF(D145="","",ROUND(SQRT(((D145+G145)*O145/100)^2+(J145*(D145+G145)*0.08889)^2),0))</f>
        <v>84</v>
      </c>
      <c r="U145" s="25"/>
    </row>
    <row r="146" customFormat="false" ht="15" hidden="false" customHeight="false" outlineLevel="0" collapsed="false">
      <c r="A146" s="25" t="s">
        <v>197</v>
      </c>
      <c r="B146" s="25" t="s">
        <v>294</v>
      </c>
      <c r="C146" s="25" t="s">
        <v>300</v>
      </c>
      <c r="D146" s="52" t="n">
        <v>689</v>
      </c>
      <c r="E146" s="52" t="n">
        <v>715</v>
      </c>
      <c r="F146" s="63" t="n">
        <f aca="false">IF(E146="","",D146-E146)</f>
        <v>-26</v>
      </c>
      <c r="G146" s="52" t="n">
        <v>700</v>
      </c>
      <c r="H146" s="52" t="n">
        <v>677</v>
      </c>
      <c r="I146" s="63" t="n">
        <f aca="false">IF(H146="","",G146-H146)</f>
        <v>23</v>
      </c>
      <c r="J146" s="53" t="n">
        <f aca="false">IF(OR(D146="",D146+G146=0),"",D146/(D146+G146))</f>
        <v>0.496040316774658</v>
      </c>
      <c r="K146" s="53" t="n">
        <f aca="false">IF(E146="","",E146/(E146+H146))</f>
        <v>0.513649425287356</v>
      </c>
      <c r="L146" s="64" t="n">
        <f aca="false">IF(OR(K146="",J146=""),"",(J146-K146)*100)</f>
        <v>-1.76091085126983</v>
      </c>
      <c r="M146" s="28" t="n">
        <v>2.07368371626919</v>
      </c>
      <c r="N146" s="28" t="n">
        <v>0.395914373242782</v>
      </c>
      <c r="O146" s="28" t="n">
        <f aca="false">SQRT(M146^2+N146^2)</f>
        <v>2.11114005837136</v>
      </c>
      <c r="P146" s="53" t="n">
        <f aca="false">IF(J146="","",MAX(0,J146-1.96*O146/100))</f>
        <v>0.45466197163058</v>
      </c>
      <c r="Q146" s="53" t="n">
        <f aca="false">IF(J146="","",MIN(1,J146+1.96*O146/100))</f>
        <v>0.537418661918737</v>
      </c>
      <c r="R146" s="25" t="str">
        <f aca="false">IF(L146="","",IF(ABS(L146)&lt;=O146,"Yes","No"))</f>
        <v>Yes</v>
      </c>
      <c r="S146" s="25" t="str">
        <f aca="false">IF(L146="","",IF(ABS(L146)&lt;=1.96*O146,"Yes","No"))</f>
        <v>Yes</v>
      </c>
      <c r="T146" s="52" t="n">
        <f aca="false">IF(D146="","",ROUND(SQRT(((D146+G146)*O146/100)^2+(J146*(D146+G146)*0.08889)^2),0))</f>
        <v>68</v>
      </c>
      <c r="U146" s="25"/>
    </row>
    <row r="147" customFormat="false" ht="15" hidden="false" customHeight="false" outlineLevel="0" collapsed="false">
      <c r="A147" s="25" t="s">
        <v>197</v>
      </c>
      <c r="B147" s="25" t="s">
        <v>294</v>
      </c>
      <c r="C147" s="25" t="s">
        <v>301</v>
      </c>
      <c r="D147" s="52" t="n">
        <v>1590</v>
      </c>
      <c r="E147" s="52" t="n">
        <v>1480</v>
      </c>
      <c r="F147" s="63" t="n">
        <f aca="false">IF(E147="","",D147-E147)</f>
        <v>110</v>
      </c>
      <c r="G147" s="52" t="n">
        <v>1559</v>
      </c>
      <c r="H147" s="52" t="n">
        <v>1588</v>
      </c>
      <c r="I147" s="63" t="n">
        <f aca="false">IF(H147="","",G147-H147)</f>
        <v>-29</v>
      </c>
      <c r="J147" s="53" t="n">
        <f aca="false">IF(OR(D147="",D147+G147=0),"",D147/(D147+G147))</f>
        <v>0.504922197523023</v>
      </c>
      <c r="K147" s="53" t="n">
        <f aca="false">IF(E147="","",E147/(E147+H147))</f>
        <v>0.482398956975228</v>
      </c>
      <c r="L147" s="64" t="n">
        <f aca="false">IF(OR(K147="",J147=""),"",(J147-K147)*100)</f>
        <v>2.2523240547795</v>
      </c>
      <c r="M147" s="28" t="n">
        <v>2.07368371626919</v>
      </c>
      <c r="N147" s="28" t="n">
        <v>0.395914373242782</v>
      </c>
      <c r="O147" s="28" t="n">
        <f aca="false">SQRT(M147^2+N147^2)</f>
        <v>2.11114005837136</v>
      </c>
      <c r="P147" s="53" t="n">
        <f aca="false">IF(J147="","",MAX(0,J147-1.96*O147/100))</f>
        <v>0.463543852378945</v>
      </c>
      <c r="Q147" s="53" t="n">
        <f aca="false">IF(J147="","",MIN(1,J147+1.96*O147/100))</f>
        <v>0.546300542667102</v>
      </c>
      <c r="R147" s="25" t="str">
        <f aca="false">IF(L147="","",IF(ABS(L147)&lt;=O147,"Yes","No"))</f>
        <v>No</v>
      </c>
      <c r="S147" s="25" t="str">
        <f aca="false">IF(L147="","",IF(ABS(L147)&lt;=1.96*O147,"Yes","No"))</f>
        <v>Yes</v>
      </c>
      <c r="T147" s="52" t="n">
        <f aca="false">IF(D147="","",ROUND(SQRT(((D147+G147)*O147/100)^2+(J147*(D147+G147)*0.08889)^2),0))</f>
        <v>156</v>
      </c>
      <c r="U147" s="25"/>
    </row>
    <row r="148" customFormat="false" ht="15" hidden="false" customHeight="false" outlineLevel="0" collapsed="false">
      <c r="A148" s="25" t="s">
        <v>197</v>
      </c>
      <c r="B148" s="25" t="s">
        <v>294</v>
      </c>
      <c r="C148" s="25" t="s">
        <v>302</v>
      </c>
      <c r="D148" s="52" t="n">
        <v>886</v>
      </c>
      <c r="E148" s="52" t="n">
        <v>890</v>
      </c>
      <c r="F148" s="63" t="n">
        <f aca="false">IF(E148="","",D148-E148)</f>
        <v>-4</v>
      </c>
      <c r="G148" s="52" t="n">
        <v>803</v>
      </c>
      <c r="H148" s="52" t="n">
        <v>789</v>
      </c>
      <c r="I148" s="63" t="n">
        <f aca="false">IF(H148="","",G148-H148)</f>
        <v>14</v>
      </c>
      <c r="J148" s="53" t="n">
        <f aca="false">IF(OR(D148="",D148+G148=0),"",D148/(D148+G148))</f>
        <v>0.524570751924216</v>
      </c>
      <c r="K148" s="53" t="n">
        <f aca="false">IF(E148="","",E148/(E148+H148))</f>
        <v>0.530077427039905</v>
      </c>
      <c r="L148" s="64" t="n">
        <f aca="false">IF(OR(K148="",J148=""),"",(J148-K148)*100)</f>
        <v>-0.550667511568914</v>
      </c>
      <c r="M148" s="28" t="n">
        <v>2.07368371626919</v>
      </c>
      <c r="N148" s="28" t="n">
        <v>0.395914373242782</v>
      </c>
      <c r="O148" s="28" t="n">
        <f aca="false">SQRT(M148^2+N148^2)</f>
        <v>2.11114005837136</v>
      </c>
      <c r="P148" s="53" t="n">
        <f aca="false">IF(J148="","",MAX(0,J148-1.96*O148/100))</f>
        <v>0.483192406780137</v>
      </c>
      <c r="Q148" s="53" t="n">
        <f aca="false">IF(J148="","",MIN(1,J148+1.96*O148/100))</f>
        <v>0.565949097068294</v>
      </c>
      <c r="R148" s="25" t="str">
        <f aca="false">IF(L148="","",IF(ABS(L148)&lt;=O148,"Yes","No"))</f>
        <v>Yes</v>
      </c>
      <c r="S148" s="25" t="str">
        <f aca="false">IF(L148="","",IF(ABS(L148)&lt;=1.96*O148,"Yes","No"))</f>
        <v>Yes</v>
      </c>
      <c r="T148" s="52" t="n">
        <f aca="false">IF(D148="","",ROUND(SQRT(((D148+G148)*O148/100)^2+(J148*(D148+G148)*0.08889)^2),0))</f>
        <v>86</v>
      </c>
      <c r="U148" s="25"/>
    </row>
    <row r="149" customFormat="false" ht="15" hidden="false" customHeight="false" outlineLevel="0" collapsed="false">
      <c r="A149" s="25" t="s">
        <v>197</v>
      </c>
      <c r="B149" s="25" t="s">
        <v>294</v>
      </c>
      <c r="C149" s="25" t="s">
        <v>303</v>
      </c>
      <c r="D149" s="52" t="n">
        <v>806</v>
      </c>
      <c r="E149" s="52" t="n">
        <v>817</v>
      </c>
      <c r="F149" s="63" t="n">
        <f aca="false">IF(E149="","",D149-E149)</f>
        <v>-11</v>
      </c>
      <c r="G149" s="52" t="n">
        <v>777</v>
      </c>
      <c r="H149" s="52" t="n">
        <v>798</v>
      </c>
      <c r="I149" s="63" t="n">
        <f aca="false">IF(H149="","",G149-H149)</f>
        <v>-21</v>
      </c>
      <c r="J149" s="53" t="n">
        <f aca="false">IF(OR(D149="",D149+G149=0),"",D149/(D149+G149))</f>
        <v>0.509159823120657</v>
      </c>
      <c r="K149" s="53" t="n">
        <f aca="false">IF(E149="","",E149/(E149+H149))</f>
        <v>0.505882352941176</v>
      </c>
      <c r="L149" s="64" t="n">
        <f aca="false">IF(OR(K149="",J149=""),"",(J149-K149)*100)</f>
        <v>0.327747017948055</v>
      </c>
      <c r="M149" s="28" t="n">
        <v>2.07368371626919</v>
      </c>
      <c r="N149" s="28" t="n">
        <v>0.395914373242782</v>
      </c>
      <c r="O149" s="28" t="n">
        <f aca="false">SQRT(M149^2+N149^2)</f>
        <v>2.11114005837136</v>
      </c>
      <c r="P149" s="53" t="n">
        <f aca="false">IF(J149="","",MAX(0,J149-1.96*O149/100))</f>
        <v>0.467781477976578</v>
      </c>
      <c r="Q149" s="53" t="n">
        <f aca="false">IF(J149="","",MIN(1,J149+1.96*O149/100))</f>
        <v>0.550538168264736</v>
      </c>
      <c r="R149" s="25" t="str">
        <f aca="false">IF(L149="","",IF(ABS(L149)&lt;=O149,"Yes","No"))</f>
        <v>Yes</v>
      </c>
      <c r="S149" s="25" t="str">
        <f aca="false">IF(L149="","",IF(ABS(L149)&lt;=1.96*O149,"Yes","No"))</f>
        <v>Yes</v>
      </c>
      <c r="T149" s="52" t="n">
        <f aca="false">IF(D149="","",ROUND(SQRT(((D149+G149)*O149/100)^2+(J149*(D149+G149)*0.08889)^2),0))</f>
        <v>79</v>
      </c>
      <c r="U149" s="25"/>
    </row>
    <row r="150" customFormat="false" ht="15" hidden="false" customHeight="false" outlineLevel="0" collapsed="false">
      <c r="A150" s="25" t="s">
        <v>197</v>
      </c>
      <c r="B150" s="25" t="s">
        <v>294</v>
      </c>
      <c r="C150" s="25" t="s">
        <v>304</v>
      </c>
      <c r="D150" s="52" t="n">
        <v>575</v>
      </c>
      <c r="E150" s="52" t="n">
        <v>552</v>
      </c>
      <c r="F150" s="63" t="n">
        <f aca="false">IF(E150="","",D150-E150)</f>
        <v>23</v>
      </c>
      <c r="G150" s="52" t="n">
        <v>537</v>
      </c>
      <c r="H150" s="52" t="n">
        <v>556</v>
      </c>
      <c r="I150" s="63" t="n">
        <f aca="false">IF(H150="","",G150-H150)</f>
        <v>-19</v>
      </c>
      <c r="J150" s="53" t="n">
        <f aca="false">IF(OR(D150="",D150+G150=0),"",D150/(D150+G150))</f>
        <v>0.517086330935252</v>
      </c>
      <c r="K150" s="53" t="n">
        <f aca="false">IF(E150="","",E150/(E150+H150))</f>
        <v>0.498194945848375</v>
      </c>
      <c r="L150" s="64" t="n">
        <f aca="false">IF(OR(K150="",J150=""),"",(J150-K150)*100)</f>
        <v>1.88913850868764</v>
      </c>
      <c r="M150" s="28" t="n">
        <v>2.29525849334818</v>
      </c>
      <c r="N150" s="28" t="n">
        <v>0.395914373242782</v>
      </c>
      <c r="O150" s="28" t="n">
        <f aca="false">SQRT(M150^2+N150^2)</f>
        <v>2.32915429764264</v>
      </c>
      <c r="P150" s="53" t="n">
        <f aca="false">IF(J150="","",MAX(0,J150-1.96*O150/100))</f>
        <v>0.471434906701456</v>
      </c>
      <c r="Q150" s="53" t="n">
        <f aca="false">IF(J150="","",MIN(1,J150+1.96*O150/100))</f>
        <v>0.562737755169048</v>
      </c>
      <c r="R150" s="25" t="str">
        <f aca="false">IF(L150="","",IF(ABS(L150)&lt;=O150,"Yes","No"))</f>
        <v>Yes</v>
      </c>
      <c r="S150" s="25" t="str">
        <f aca="false">IF(L150="","",IF(ABS(L150)&lt;=1.96*O150,"Yes","No"))</f>
        <v>Yes</v>
      </c>
      <c r="T150" s="52" t="n">
        <f aca="false">IF(D150="","",ROUND(SQRT(((D150+G150)*O150/100)^2+(J150*(D150+G150)*0.10931)^2),0))</f>
        <v>68</v>
      </c>
      <c r="U150" s="25"/>
    </row>
    <row r="151" customFormat="false" ht="15" hidden="false" customHeight="false" outlineLevel="0" collapsed="false">
      <c r="A151" s="25" t="s">
        <v>197</v>
      </c>
      <c r="B151" s="25" t="s">
        <v>305</v>
      </c>
      <c r="C151" s="25" t="s">
        <v>305</v>
      </c>
      <c r="D151" s="52" t="n">
        <v>950</v>
      </c>
      <c r="E151" s="52" t="n">
        <v>985</v>
      </c>
      <c r="F151" s="63" t="n">
        <f aca="false">IF(E151="","",D151-E151)</f>
        <v>-35</v>
      </c>
      <c r="G151" s="52" t="n">
        <v>1656</v>
      </c>
      <c r="H151" s="52" t="n">
        <v>1586</v>
      </c>
      <c r="I151" s="63" t="n">
        <f aca="false">IF(H151="","",G151-H151)</f>
        <v>70</v>
      </c>
      <c r="J151" s="53" t="n">
        <f aca="false">IF(OR(D151="",D151+G151=0),"",D151/(D151+G151))</f>
        <v>0.364543361473523</v>
      </c>
      <c r="K151" s="53" t="n">
        <f aca="false">IF(E151="","",E151/(E151+H151))</f>
        <v>0.383119408790354</v>
      </c>
      <c r="L151" s="64" t="n">
        <f aca="false">IF(OR(K151="",J151=""),"",(J151-K151)*100)</f>
        <v>-1.85760473168313</v>
      </c>
      <c r="M151" s="28" t="n">
        <v>2.07368371626919</v>
      </c>
      <c r="N151" s="28" t="n">
        <v>0.395914373242782</v>
      </c>
      <c r="O151" s="28" t="n">
        <f aca="false">SQRT(M151^2+N151^2)</f>
        <v>2.11114005837136</v>
      </c>
      <c r="P151" s="53" t="n">
        <f aca="false">IF(J151="","",MAX(0,J151-1.96*O151/100))</f>
        <v>0.323165016329444</v>
      </c>
      <c r="Q151" s="53" t="n">
        <f aca="false">IF(J151="","",MIN(1,J151+1.96*O151/100))</f>
        <v>0.405921706617601</v>
      </c>
      <c r="R151" s="25" t="str">
        <f aca="false">IF(L151="","",IF(ABS(L151)&lt;=O151,"Yes","No"))</f>
        <v>Yes</v>
      </c>
      <c r="S151" s="25" t="str">
        <f aca="false">IF(L151="","",IF(ABS(L151)&lt;=1.96*O151,"Yes","No"))</f>
        <v>Yes</v>
      </c>
      <c r="T151" s="52" t="n">
        <f aca="false">IF(D151="","",ROUND(SQRT(((D151+G151)*O151/100)^2+(J151*(D151+G151)*0.08889)^2),0))</f>
        <v>101</v>
      </c>
      <c r="U151" s="25"/>
    </row>
    <row r="152" customFormat="false" ht="15" hidden="false" customHeight="false" outlineLevel="0" collapsed="false">
      <c r="A152" s="25" t="s">
        <v>197</v>
      </c>
      <c r="B152" s="25" t="s">
        <v>306</v>
      </c>
      <c r="C152" s="25" t="s">
        <v>306</v>
      </c>
      <c r="D152" s="52" t="n">
        <v>536</v>
      </c>
      <c r="E152" s="52" t="n">
        <v>543</v>
      </c>
      <c r="F152" s="63" t="n">
        <f aca="false">IF(E152="","",D152-E152)</f>
        <v>-7</v>
      </c>
      <c r="G152" s="52" t="n">
        <v>1028</v>
      </c>
      <c r="H152" s="52" t="n">
        <v>990</v>
      </c>
      <c r="I152" s="63" t="n">
        <f aca="false">IF(H152="","",G152-H152)</f>
        <v>38</v>
      </c>
      <c r="J152" s="53" t="n">
        <f aca="false">IF(OR(D152="",D152+G152=0),"",D152/(D152+G152))</f>
        <v>0.342710997442455</v>
      </c>
      <c r="K152" s="53" t="n">
        <f aca="false">IF(E152="","",E152/(E152+H152))</f>
        <v>0.354207436399217</v>
      </c>
      <c r="L152" s="64" t="n">
        <f aca="false">IF(OR(K152="",J152=""),"",(J152-K152)*100)</f>
        <v>-1.14964389567619</v>
      </c>
      <c r="M152" s="28" t="n">
        <v>2.07368371626919</v>
      </c>
      <c r="N152" s="28" t="n">
        <v>0.395914373242782</v>
      </c>
      <c r="O152" s="28" t="n">
        <f aca="false">SQRT(M152^2+N152^2)</f>
        <v>2.11114005837136</v>
      </c>
      <c r="P152" s="53" t="n">
        <f aca="false">IF(J152="","",MAX(0,J152-1.96*O152/100))</f>
        <v>0.301332652298377</v>
      </c>
      <c r="Q152" s="53" t="n">
        <f aca="false">IF(J152="","",MIN(1,J152+1.96*O152/100))</f>
        <v>0.384089342586534</v>
      </c>
      <c r="R152" s="25" t="str">
        <f aca="false">IF(L152="","",IF(ABS(L152)&lt;=O152,"Yes","No"))</f>
        <v>Yes</v>
      </c>
      <c r="S152" s="25" t="str">
        <f aca="false">IF(L152="","",IF(ABS(L152)&lt;=1.96*O152,"Yes","No"))</f>
        <v>Yes</v>
      </c>
      <c r="T152" s="52" t="n">
        <f aca="false">IF(D152="","",ROUND(SQRT(((D152+G152)*O152/100)^2+(J152*(D152+G152)*0.08889)^2),0))</f>
        <v>58</v>
      </c>
      <c r="U152" s="25"/>
    </row>
    <row r="153" customFormat="false" ht="15" hidden="false" customHeight="false" outlineLevel="0" collapsed="false">
      <c r="A153" s="25" t="s">
        <v>197</v>
      </c>
      <c r="B153" s="25" t="s">
        <v>307</v>
      </c>
      <c r="C153" s="25" t="s">
        <v>308</v>
      </c>
      <c r="D153" s="52" t="n">
        <v>186</v>
      </c>
      <c r="E153" s="52" t="n">
        <v>181</v>
      </c>
      <c r="F153" s="63" t="n">
        <f aca="false">IF(E153="","",D153-E153)</f>
        <v>5</v>
      </c>
      <c r="G153" s="52" t="n">
        <v>493</v>
      </c>
      <c r="H153" s="52" t="n">
        <v>482</v>
      </c>
      <c r="I153" s="63" t="n">
        <f aca="false">IF(H153="","",G153-H153)</f>
        <v>11</v>
      </c>
      <c r="J153" s="53" t="n">
        <f aca="false">IF(OR(D153="",D153+G153=0),"",D153/(D153+G153))</f>
        <v>0.273932253313697</v>
      </c>
      <c r="K153" s="53" t="n">
        <f aca="false">IF(E153="","",E153/(E153+H153))</f>
        <v>0.273001508295626</v>
      </c>
      <c r="L153" s="64" t="n">
        <f aca="false">IF(OR(K153="",J153=""),"",(J153-K153)*100)</f>
        <v>0.0930745018070722</v>
      </c>
      <c r="M153" s="28" t="n">
        <v>3.51968652681483</v>
      </c>
      <c r="N153" s="28" t="n">
        <v>0.395914373242782</v>
      </c>
      <c r="O153" s="28" t="n">
        <f aca="false">SQRT(M153^2+N153^2)</f>
        <v>3.54188388262265</v>
      </c>
      <c r="P153" s="53" t="n">
        <f aca="false">IF(J153="","",MAX(0,J153-1.96*O153/100))</f>
        <v>0.204511329214293</v>
      </c>
      <c r="Q153" s="53" t="n">
        <f aca="false">IF(J153="","",MIN(1,J153+1.96*O153/100))</f>
        <v>0.343353177413101</v>
      </c>
      <c r="R153" s="25" t="str">
        <f aca="false">IF(L153="","",IF(ABS(L153)&lt;=O153,"Yes","No"))</f>
        <v>Yes</v>
      </c>
      <c r="S153" s="25" t="str">
        <f aca="false">IF(L153="","",IF(ABS(L153)&lt;=1.96*O153,"Yes","No"))</f>
        <v>Yes</v>
      </c>
      <c r="T153" s="52" t="n">
        <f aca="false">IF(D153="","",ROUND(SQRT(((D153+G153)*O153/100)^2+(J153*(D153+G153)*0.1901)^2),0))</f>
        <v>43</v>
      </c>
      <c r="U153" s="25"/>
    </row>
    <row r="154" customFormat="false" ht="15" hidden="false" customHeight="false" outlineLevel="0" collapsed="false">
      <c r="A154" s="25" t="s">
        <v>197</v>
      </c>
      <c r="B154" s="25" t="s">
        <v>307</v>
      </c>
      <c r="C154" s="25" t="s">
        <v>309</v>
      </c>
      <c r="D154" s="52" t="n">
        <v>142</v>
      </c>
      <c r="E154" s="52" t="n">
        <v>147</v>
      </c>
      <c r="F154" s="63" t="n">
        <f aca="false">IF(E154="","",D154-E154)</f>
        <v>-5</v>
      </c>
      <c r="G154" s="52" t="n">
        <v>319</v>
      </c>
      <c r="H154" s="52" t="n">
        <v>314</v>
      </c>
      <c r="I154" s="63" t="n">
        <f aca="false">IF(H154="","",G154-H154)</f>
        <v>5</v>
      </c>
      <c r="J154" s="53" t="n">
        <f aca="false">IF(OR(D154="",D154+G154=0),"",D154/(D154+G154))</f>
        <v>0.308026030368764</v>
      </c>
      <c r="K154" s="53" t="n">
        <f aca="false">IF(E154="","",E154/(E154+H154))</f>
        <v>0.318872017353579</v>
      </c>
      <c r="L154" s="64" t="n">
        <f aca="false">IF(OR(K154="",J154=""),"",(J154-K154)*100)</f>
        <v>-1.08459869848156</v>
      </c>
      <c r="M154" s="28" t="n">
        <v>3.51968652681483</v>
      </c>
      <c r="N154" s="28" t="n">
        <v>0.395914373242782</v>
      </c>
      <c r="O154" s="28" t="n">
        <f aca="false">SQRT(M154^2+N154^2)</f>
        <v>3.54188388262265</v>
      </c>
      <c r="P154" s="53" t="n">
        <f aca="false">IF(J154="","",MAX(0,J154-1.96*O154/100))</f>
        <v>0.23860510626936</v>
      </c>
      <c r="Q154" s="53" t="n">
        <f aca="false">IF(J154="","",MIN(1,J154+1.96*O154/100))</f>
        <v>0.377446954468167</v>
      </c>
      <c r="R154" s="25" t="str">
        <f aca="false">IF(L154="","",IF(ABS(L154)&lt;=O154,"Yes","No"))</f>
        <v>Yes</v>
      </c>
      <c r="S154" s="25" t="str">
        <f aca="false">IF(L154="","",IF(ABS(L154)&lt;=1.96*O154,"Yes","No"))</f>
        <v>Yes</v>
      </c>
      <c r="T154" s="52" t="n">
        <f aca="false">IF(D154="","",ROUND(SQRT(((D154+G154)*O154/100)^2+(J154*(D154+G154)*0.1901)^2),0))</f>
        <v>32</v>
      </c>
      <c r="U154" s="25"/>
    </row>
    <row r="155" customFormat="false" ht="15" hidden="false" customHeight="false" outlineLevel="0" collapsed="false">
      <c r="A155" s="25" t="s">
        <v>197</v>
      </c>
      <c r="B155" s="25" t="s">
        <v>307</v>
      </c>
      <c r="C155" s="25" t="s">
        <v>310</v>
      </c>
      <c r="D155" s="52" t="n">
        <v>505</v>
      </c>
      <c r="E155" s="52" t="n">
        <v>522</v>
      </c>
      <c r="F155" s="63" t="n">
        <f aca="false">IF(E155="","",D155-E155)</f>
        <v>-17</v>
      </c>
      <c r="G155" s="52" t="n">
        <v>1060</v>
      </c>
      <c r="H155" s="52" t="n">
        <v>1060</v>
      </c>
      <c r="I155" s="63" t="n">
        <f aca="false">IF(H155="","",G155-H155)</f>
        <v>0</v>
      </c>
      <c r="J155" s="53" t="n">
        <f aca="false">IF(OR(D155="",D155+G155=0),"",D155/(D155+G155))</f>
        <v>0.322683706070288</v>
      </c>
      <c r="K155" s="53" t="n">
        <f aca="false">IF(E155="","",E155/(E155+H155))</f>
        <v>0.329962073324905</v>
      </c>
      <c r="L155" s="64" t="n">
        <f aca="false">IF(OR(K155="",J155=""),"",(J155-K155)*100)</f>
        <v>-0.727836725461767</v>
      </c>
      <c r="M155" s="28" t="n">
        <v>2.07368371626919</v>
      </c>
      <c r="N155" s="28" t="n">
        <v>0.395914373242782</v>
      </c>
      <c r="O155" s="28" t="n">
        <f aca="false">SQRT(M155^2+N155^2)</f>
        <v>2.11114005837136</v>
      </c>
      <c r="P155" s="53" t="n">
        <f aca="false">IF(J155="","",MAX(0,J155-1.96*O155/100))</f>
        <v>0.281305360926209</v>
      </c>
      <c r="Q155" s="53" t="n">
        <f aca="false">IF(J155="","",MIN(1,J155+1.96*O155/100))</f>
        <v>0.364062051214366</v>
      </c>
      <c r="R155" s="25" t="str">
        <f aca="false">IF(L155="","",IF(ABS(L155)&lt;=O155,"Yes","No"))</f>
        <v>Yes</v>
      </c>
      <c r="S155" s="25" t="str">
        <f aca="false">IF(L155="","",IF(ABS(L155)&lt;=1.96*O155,"Yes","No"))</f>
        <v>Yes</v>
      </c>
      <c r="T155" s="52" t="n">
        <f aca="false">IF(D155="","",ROUND(SQRT(((D155+G155)*O155/100)^2+(J155*(D155+G155)*0.08889)^2),0))</f>
        <v>56</v>
      </c>
      <c r="U155" s="25"/>
    </row>
    <row r="156" customFormat="false" ht="15" hidden="false" customHeight="false" outlineLevel="0" collapsed="false">
      <c r="A156" s="25" t="s">
        <v>197</v>
      </c>
      <c r="B156" s="25" t="s">
        <v>311</v>
      </c>
      <c r="C156" s="25" t="s">
        <v>311</v>
      </c>
      <c r="D156" s="52" t="n">
        <v>1001</v>
      </c>
      <c r="E156" s="52" t="n">
        <v>980</v>
      </c>
      <c r="F156" s="63" t="n">
        <f aca="false">IF(E156="","",D156-E156)</f>
        <v>21</v>
      </c>
      <c r="G156" s="52" t="n">
        <v>899</v>
      </c>
      <c r="H156" s="52" t="n">
        <v>872</v>
      </c>
      <c r="I156" s="63" t="n">
        <f aca="false">IF(H156="","",G156-H156)</f>
        <v>27</v>
      </c>
      <c r="J156" s="53" t="n">
        <f aca="false">IF(OR(D156="",D156+G156=0),"",D156/(D156+G156))</f>
        <v>0.526842105263158</v>
      </c>
      <c r="K156" s="53" t="n">
        <f aca="false">IF(E156="","",E156/(E156+H156))</f>
        <v>0.529157667386609</v>
      </c>
      <c r="L156" s="64" t="n">
        <f aca="false">IF(OR(K156="",J156=""),"",(J156-K156)*100)</f>
        <v>-0.231556212345119</v>
      </c>
      <c r="M156" s="28" t="n">
        <v>2.07368371626919</v>
      </c>
      <c r="N156" s="28" t="n">
        <v>0.395914373242782</v>
      </c>
      <c r="O156" s="28" t="n">
        <f aca="false">SQRT(M156^2+N156^2)</f>
        <v>2.11114005837136</v>
      </c>
      <c r="P156" s="53" t="n">
        <f aca="false">IF(J156="","",MAX(0,J156-1.96*O156/100))</f>
        <v>0.485463760119079</v>
      </c>
      <c r="Q156" s="53" t="n">
        <f aca="false">IF(J156="","",MIN(1,J156+1.96*O156/100))</f>
        <v>0.568220450407237</v>
      </c>
      <c r="R156" s="25" t="str">
        <f aca="false">IF(L156="","",IF(ABS(L156)&lt;=O156,"Yes","No"))</f>
        <v>Yes</v>
      </c>
      <c r="S156" s="25" t="str">
        <f aca="false">IF(L156="","",IF(ABS(L156)&lt;=1.96*O156,"Yes","No"))</f>
        <v>Yes</v>
      </c>
      <c r="T156" s="52" t="n">
        <f aca="false">IF(D156="","",ROUND(SQRT(((D156+G156)*O156/100)^2+(J156*(D156+G156)*0.08889)^2),0))</f>
        <v>98</v>
      </c>
      <c r="U156" s="25"/>
    </row>
    <row r="157" customFormat="false" ht="15" hidden="false" customHeight="false" outlineLevel="0" collapsed="false">
      <c r="A157" s="25" t="s">
        <v>197</v>
      </c>
      <c r="B157" s="25" t="s">
        <v>312</v>
      </c>
      <c r="C157" s="25" t="s">
        <v>313</v>
      </c>
      <c r="D157" s="52" t="n">
        <v>965</v>
      </c>
      <c r="E157" s="52" t="n">
        <v>1010</v>
      </c>
      <c r="F157" s="63" t="n">
        <f aca="false">IF(E157="","",D157-E157)</f>
        <v>-45</v>
      </c>
      <c r="G157" s="52" t="n">
        <v>1396</v>
      </c>
      <c r="H157" s="52" t="n">
        <v>1334</v>
      </c>
      <c r="I157" s="63" t="n">
        <f aca="false">IF(H157="","",G157-H157)</f>
        <v>62</v>
      </c>
      <c r="J157" s="53" t="n">
        <f aca="false">IF(OR(D157="",D157+G157=0),"",D157/(D157+G157))</f>
        <v>0.408725116476069</v>
      </c>
      <c r="K157" s="53" t="n">
        <f aca="false">IF(E157="","",E157/(E157+H157))</f>
        <v>0.430887372013652</v>
      </c>
      <c r="L157" s="64" t="n">
        <f aca="false">IF(OR(K157="",J157=""),"",(J157-K157)*100)</f>
        <v>-2.21622555375824</v>
      </c>
      <c r="M157" s="28" t="n">
        <v>2.07368371626919</v>
      </c>
      <c r="N157" s="28" t="n">
        <v>0.395914373242782</v>
      </c>
      <c r="O157" s="28" t="n">
        <f aca="false">SQRT(M157^2+N157^2)</f>
        <v>2.11114005837136</v>
      </c>
      <c r="P157" s="53" t="n">
        <f aca="false">IF(J157="","",MAX(0,J157-1.96*O157/100))</f>
        <v>0.367346771331991</v>
      </c>
      <c r="Q157" s="53" t="n">
        <f aca="false">IF(J157="","",MIN(1,J157+1.96*O157/100))</f>
        <v>0.450103461620148</v>
      </c>
      <c r="R157" s="25" t="str">
        <f aca="false">IF(L157="","",IF(ABS(L157)&lt;=O157,"Yes","No"))</f>
        <v>No</v>
      </c>
      <c r="S157" s="25" t="str">
        <f aca="false">IF(L157="","",IF(ABS(L157)&lt;=1.96*O157,"Yes","No"))</f>
        <v>Yes</v>
      </c>
      <c r="T157" s="52" t="n">
        <f aca="false">IF(D157="","",ROUND(SQRT(((D157+G157)*O157/100)^2+(J157*(D157+G157)*0.08889)^2),0))</f>
        <v>99</v>
      </c>
      <c r="U157" s="25"/>
    </row>
    <row r="158" customFormat="false" ht="15" hidden="false" customHeight="false" outlineLevel="0" collapsed="false">
      <c r="A158" s="25" t="s">
        <v>197</v>
      </c>
      <c r="B158" s="25" t="s">
        <v>312</v>
      </c>
      <c r="C158" s="25" t="s">
        <v>314</v>
      </c>
      <c r="D158" s="52" t="n">
        <v>867</v>
      </c>
      <c r="E158" s="52" t="n">
        <v>860</v>
      </c>
      <c r="F158" s="63" t="n">
        <f aca="false">IF(E158="","",D158-E158)</f>
        <v>7</v>
      </c>
      <c r="G158" s="52" t="n">
        <v>1355</v>
      </c>
      <c r="H158" s="52" t="n">
        <v>1332</v>
      </c>
      <c r="I158" s="63" t="n">
        <f aca="false">IF(H158="","",G158-H158)</f>
        <v>23</v>
      </c>
      <c r="J158" s="53" t="n">
        <f aca="false">IF(OR(D158="",D158+G158=0),"",D158/(D158+G158))</f>
        <v>0.39018901890189</v>
      </c>
      <c r="K158" s="53" t="n">
        <f aca="false">IF(E158="","",E158/(E158+H158))</f>
        <v>0.392335766423358</v>
      </c>
      <c r="L158" s="64" t="n">
        <f aca="false">IF(OR(K158="",J158=""),"",(J158-K158)*100)</f>
        <v>-0.214674752146748</v>
      </c>
      <c r="M158" s="28" t="n">
        <v>2.07368371626919</v>
      </c>
      <c r="N158" s="28" t="n">
        <v>0.395914373242782</v>
      </c>
      <c r="O158" s="28" t="n">
        <f aca="false">SQRT(M158^2+N158^2)</f>
        <v>2.11114005837136</v>
      </c>
      <c r="P158" s="53" t="n">
        <f aca="false">IF(J158="","",MAX(0,J158-1.96*O158/100))</f>
        <v>0.348810673757812</v>
      </c>
      <c r="Q158" s="53" t="n">
        <f aca="false">IF(J158="","",MIN(1,J158+1.96*O158/100))</f>
        <v>0.431567364045969</v>
      </c>
      <c r="R158" s="25" t="str">
        <f aca="false">IF(L158="","",IF(ABS(L158)&lt;=O158,"Yes","No"))</f>
        <v>Yes</v>
      </c>
      <c r="S158" s="25" t="str">
        <f aca="false">IF(L158="","",IF(ABS(L158)&lt;=1.96*O158,"Yes","No"))</f>
        <v>Yes</v>
      </c>
      <c r="T158" s="52" t="n">
        <f aca="false">IF(D158="","",ROUND(SQRT(((D158+G158)*O158/100)^2+(J158*(D158+G158)*0.08889)^2),0))</f>
        <v>90</v>
      </c>
      <c r="U158" s="25"/>
    </row>
    <row r="159" customFormat="false" ht="15" hidden="false" customHeight="false" outlineLevel="0" collapsed="false">
      <c r="A159" s="25" t="s">
        <v>197</v>
      </c>
      <c r="B159" s="25" t="s">
        <v>312</v>
      </c>
      <c r="C159" s="25" t="s">
        <v>315</v>
      </c>
      <c r="D159" s="52" t="n">
        <v>447</v>
      </c>
      <c r="E159" s="52" t="n">
        <v>449</v>
      </c>
      <c r="F159" s="63" t="n">
        <f aca="false">IF(E159="","",D159-E159)</f>
        <v>-2</v>
      </c>
      <c r="G159" s="52" t="n">
        <v>696</v>
      </c>
      <c r="H159" s="52" t="n">
        <v>705</v>
      </c>
      <c r="I159" s="63" t="n">
        <f aca="false">IF(H159="","",G159-H159)</f>
        <v>-9</v>
      </c>
      <c r="J159" s="53" t="n">
        <f aca="false">IF(OR(D159="",D159+G159=0),"",D159/(D159+G159))</f>
        <v>0.391076115485564</v>
      </c>
      <c r="K159" s="53" t="n">
        <f aca="false">IF(E159="","",E159/(E159+H159))</f>
        <v>0.389081455805893</v>
      </c>
      <c r="L159" s="64" t="n">
        <f aca="false">IF(OR(K159="",J159=""),"",(J159-K159)*100)</f>
        <v>0.199465967967177</v>
      </c>
      <c r="M159" s="28" t="n">
        <v>2.29525849334818</v>
      </c>
      <c r="N159" s="28" t="n">
        <v>0.395914373242782</v>
      </c>
      <c r="O159" s="28" t="n">
        <f aca="false">SQRT(M159^2+N159^2)</f>
        <v>2.32915429764264</v>
      </c>
      <c r="P159" s="53" t="n">
        <f aca="false">IF(J159="","",MAX(0,J159-1.96*O159/100))</f>
        <v>0.345424691251769</v>
      </c>
      <c r="Q159" s="53" t="n">
        <f aca="false">IF(J159="","",MIN(1,J159+1.96*O159/100))</f>
        <v>0.43672753971936</v>
      </c>
      <c r="R159" s="25" t="str">
        <f aca="false">IF(L159="","",IF(ABS(L159)&lt;=O159,"Yes","No"))</f>
        <v>Yes</v>
      </c>
      <c r="S159" s="25" t="str">
        <f aca="false">IF(L159="","",IF(ABS(L159)&lt;=1.96*O159,"Yes","No"))</f>
        <v>Yes</v>
      </c>
      <c r="T159" s="52" t="n">
        <f aca="false">IF(D159="","",ROUND(SQRT(((D159+G159)*O159/100)^2+(J159*(D159+G159)*0.10931)^2),0))</f>
        <v>56</v>
      </c>
      <c r="U159" s="25"/>
    </row>
    <row r="160" customFormat="false" ht="15" hidden="false" customHeight="false" outlineLevel="0" collapsed="false">
      <c r="A160" s="25" t="s">
        <v>197</v>
      </c>
      <c r="B160" s="25" t="s">
        <v>312</v>
      </c>
      <c r="C160" s="25" t="s">
        <v>316</v>
      </c>
      <c r="D160" s="52" t="n">
        <v>649</v>
      </c>
      <c r="E160" s="52" t="n">
        <v>654</v>
      </c>
      <c r="F160" s="63" t="n">
        <f aca="false">IF(E160="","",D160-E160)</f>
        <v>-5</v>
      </c>
      <c r="G160" s="52" t="n">
        <v>1000</v>
      </c>
      <c r="H160" s="52" t="n">
        <v>979</v>
      </c>
      <c r="I160" s="63" t="n">
        <f aca="false">IF(H160="","",G160-H160)</f>
        <v>21</v>
      </c>
      <c r="J160" s="53" t="n">
        <f aca="false">IF(OR(D160="",D160+G160=0),"",D160/(D160+G160))</f>
        <v>0.393571861734384</v>
      </c>
      <c r="K160" s="53" t="n">
        <f aca="false">IF(E160="","",E160/(E160+H160))</f>
        <v>0.400489895897122</v>
      </c>
      <c r="L160" s="64" t="n">
        <f aca="false">IF(OR(K160="",J160=""),"",(J160-K160)*100)</f>
        <v>-0.69180341627374</v>
      </c>
      <c r="M160" s="28" t="n">
        <v>2.07368371626919</v>
      </c>
      <c r="N160" s="28" t="n">
        <v>0.395914373242782</v>
      </c>
      <c r="O160" s="28" t="n">
        <f aca="false">SQRT(M160^2+N160^2)</f>
        <v>2.11114005837136</v>
      </c>
      <c r="P160" s="53" t="n">
        <f aca="false">IF(J160="","",MAX(0,J160-1.96*O160/100))</f>
        <v>0.352193516590306</v>
      </c>
      <c r="Q160" s="53" t="n">
        <f aca="false">IF(J160="","",MIN(1,J160+1.96*O160/100))</f>
        <v>0.434950206878463</v>
      </c>
      <c r="R160" s="25" t="str">
        <f aca="false">IF(L160="","",IF(ABS(L160)&lt;=O160,"Yes","No"))</f>
        <v>Yes</v>
      </c>
      <c r="S160" s="25" t="str">
        <f aca="false">IF(L160="","",IF(ABS(L160)&lt;=1.96*O160,"Yes","No"))</f>
        <v>Yes</v>
      </c>
      <c r="T160" s="52" t="n">
        <f aca="false">IF(D160="","",ROUND(SQRT(((D160+G160)*O160/100)^2+(J160*(D160+G160)*0.08889)^2),0))</f>
        <v>67</v>
      </c>
      <c r="U160" s="25"/>
    </row>
    <row r="161" customFormat="false" ht="15" hidden="false" customHeight="false" outlineLevel="0" collapsed="false">
      <c r="A161" s="25" t="s">
        <v>197</v>
      </c>
      <c r="B161" s="25" t="s">
        <v>312</v>
      </c>
      <c r="C161" s="25" t="s">
        <v>317</v>
      </c>
      <c r="D161" s="52" t="n">
        <v>555</v>
      </c>
      <c r="E161" s="52" t="n">
        <v>557</v>
      </c>
      <c r="F161" s="63" t="n">
        <f aca="false">IF(E161="","",D161-E161)</f>
        <v>-2</v>
      </c>
      <c r="G161" s="52" t="n">
        <v>918</v>
      </c>
      <c r="H161" s="52" t="n">
        <v>890</v>
      </c>
      <c r="I161" s="63" t="n">
        <f aca="false">IF(H161="","",G161-H161)</f>
        <v>28</v>
      </c>
      <c r="J161" s="53" t="n">
        <f aca="false">IF(OR(D161="",D161+G161=0),"",D161/(D161+G161))</f>
        <v>0.376782077393075</v>
      </c>
      <c r="K161" s="53" t="n">
        <f aca="false">IF(E161="","",E161/(E161+H161))</f>
        <v>0.384934346924672</v>
      </c>
      <c r="L161" s="64" t="n">
        <f aca="false">IF(OR(K161="",J161=""),"",(J161-K161)*100)</f>
        <v>-0.815226953159637</v>
      </c>
      <c r="M161" s="28" t="n">
        <v>2.07368371626919</v>
      </c>
      <c r="N161" s="28" t="n">
        <v>0.395914373242782</v>
      </c>
      <c r="O161" s="28" t="n">
        <f aca="false">SQRT(M161^2+N161^2)</f>
        <v>2.11114005837136</v>
      </c>
      <c r="P161" s="53" t="n">
        <f aca="false">IF(J161="","",MAX(0,J161-1.96*O161/100))</f>
        <v>0.335403732248997</v>
      </c>
      <c r="Q161" s="53" t="n">
        <f aca="false">IF(J161="","",MIN(1,J161+1.96*O161/100))</f>
        <v>0.418160422537154</v>
      </c>
      <c r="R161" s="25" t="str">
        <f aca="false">IF(L161="","",IF(ABS(L161)&lt;=O161,"Yes","No"))</f>
        <v>Yes</v>
      </c>
      <c r="S161" s="25" t="str">
        <f aca="false">IF(L161="","",IF(ABS(L161)&lt;=1.96*O161,"Yes","No"))</f>
        <v>Yes</v>
      </c>
      <c r="T161" s="52" t="n">
        <f aca="false">IF(D161="","",ROUND(SQRT(((D161+G161)*O161/100)^2+(J161*(D161+G161)*0.08889)^2),0))</f>
        <v>58</v>
      </c>
      <c r="U161" s="25"/>
    </row>
    <row r="162" customFormat="false" ht="15" hidden="false" customHeight="false" outlineLevel="0" collapsed="false">
      <c r="A162" s="25" t="s">
        <v>197</v>
      </c>
      <c r="B162" s="25" t="s">
        <v>312</v>
      </c>
      <c r="C162" s="25" t="s">
        <v>318</v>
      </c>
      <c r="D162" s="52" t="n">
        <v>508</v>
      </c>
      <c r="E162" s="52" t="n">
        <v>492</v>
      </c>
      <c r="F162" s="63" t="n">
        <f aca="false">IF(E162="","",D162-E162)</f>
        <v>16</v>
      </c>
      <c r="G162" s="52" t="n">
        <v>691</v>
      </c>
      <c r="H162" s="52" t="n">
        <v>675</v>
      </c>
      <c r="I162" s="63" t="n">
        <f aca="false">IF(H162="","",G162-H162)</f>
        <v>16</v>
      </c>
      <c r="J162" s="53" t="n">
        <f aca="false">IF(OR(D162="",D162+G162=0),"",D162/(D162+G162))</f>
        <v>0.423686405337781</v>
      </c>
      <c r="K162" s="53" t="n">
        <f aca="false">IF(E162="","",E162/(E162+H162))</f>
        <v>0.42159383033419</v>
      </c>
      <c r="L162" s="64" t="n">
        <f aca="false">IF(OR(K162="",J162=""),"",(J162-K162)*100)</f>
        <v>0.209257500359122</v>
      </c>
      <c r="M162" s="28" t="n">
        <v>2.07368371626919</v>
      </c>
      <c r="N162" s="28" t="n">
        <v>0.395914373242782</v>
      </c>
      <c r="O162" s="28" t="n">
        <f aca="false">SQRT(M162^2+N162^2)</f>
        <v>2.11114005837136</v>
      </c>
      <c r="P162" s="53" t="n">
        <f aca="false">IF(J162="","",MAX(0,J162-1.96*O162/100))</f>
        <v>0.382308060193703</v>
      </c>
      <c r="Q162" s="53" t="n">
        <f aca="false">IF(J162="","",MIN(1,J162+1.96*O162/100))</f>
        <v>0.46506475048186</v>
      </c>
      <c r="R162" s="25" t="str">
        <f aca="false">IF(L162="","",IF(ABS(L162)&lt;=O162,"Yes","No"))</f>
        <v>Yes</v>
      </c>
      <c r="S162" s="25" t="str">
        <f aca="false">IF(L162="","",IF(ABS(L162)&lt;=1.96*O162,"Yes","No"))</f>
        <v>Yes</v>
      </c>
      <c r="T162" s="52" t="n">
        <f aca="false">IF(D162="","",ROUND(SQRT(((D162+G162)*O162/100)^2+(J162*(D162+G162)*0.08889)^2),0))</f>
        <v>52</v>
      </c>
      <c r="U162" s="25"/>
    </row>
    <row r="163" customFormat="false" ht="15" hidden="false" customHeight="false" outlineLevel="0" collapsed="false">
      <c r="A163" s="25" t="s">
        <v>197</v>
      </c>
      <c r="B163" s="25" t="s">
        <v>319</v>
      </c>
      <c r="C163" s="25" t="s">
        <v>320</v>
      </c>
      <c r="D163" s="52" t="n">
        <v>674</v>
      </c>
      <c r="E163" s="52" t="n">
        <v>668</v>
      </c>
      <c r="F163" s="63" t="n">
        <f aca="false">IF(E163="","",D163-E163)</f>
        <v>6</v>
      </c>
      <c r="G163" s="52" t="n">
        <v>715</v>
      </c>
      <c r="H163" s="52" t="n">
        <v>693</v>
      </c>
      <c r="I163" s="63" t="n">
        <f aca="false">IF(H163="","",G163-H163)</f>
        <v>22</v>
      </c>
      <c r="J163" s="53" t="n">
        <f aca="false">IF(OR(D163="",D163+G163=0),"",D163/(D163+G163))</f>
        <v>0.485241180705544</v>
      </c>
      <c r="K163" s="53" t="n">
        <f aca="false">IF(E163="","",E163/(E163+H163))</f>
        <v>0.490815576781778</v>
      </c>
      <c r="L163" s="64" t="n">
        <f aca="false">IF(OR(K163="",J163=""),"",(J163-K163)*100)</f>
        <v>-0.557439607623456</v>
      </c>
      <c r="M163" s="28" t="n">
        <v>2.07368371626919</v>
      </c>
      <c r="N163" s="28" t="n">
        <v>0.395914373242782</v>
      </c>
      <c r="O163" s="28" t="n">
        <f aca="false">SQRT(M163^2+N163^2)</f>
        <v>2.11114005837136</v>
      </c>
      <c r="P163" s="53" t="n">
        <f aca="false">IF(J163="","",MAX(0,J163-1.96*O163/100))</f>
        <v>0.443862835561465</v>
      </c>
      <c r="Q163" s="53" t="n">
        <f aca="false">IF(J163="","",MIN(1,J163+1.96*O163/100))</f>
        <v>0.526619525849622</v>
      </c>
      <c r="R163" s="25" t="str">
        <f aca="false">IF(L163="","",IF(ABS(L163)&lt;=O163,"Yes","No"))</f>
        <v>Yes</v>
      </c>
      <c r="S163" s="25" t="str">
        <f aca="false">IF(L163="","",IF(ABS(L163)&lt;=1.96*O163,"Yes","No"))</f>
        <v>Yes</v>
      </c>
      <c r="T163" s="52" t="n">
        <f aca="false">IF(D163="","",ROUND(SQRT(((D163+G163)*O163/100)^2+(J163*(D163+G163)*0.08889)^2),0))</f>
        <v>67</v>
      </c>
      <c r="U163" s="25"/>
    </row>
    <row r="164" customFormat="false" ht="15" hidden="false" customHeight="false" outlineLevel="0" collapsed="false">
      <c r="A164" s="25" t="s">
        <v>197</v>
      </c>
      <c r="B164" s="25" t="s">
        <v>319</v>
      </c>
      <c r="C164" s="25" t="s">
        <v>321</v>
      </c>
      <c r="D164" s="52" t="n">
        <v>804</v>
      </c>
      <c r="E164" s="52" t="n">
        <v>803</v>
      </c>
      <c r="F164" s="63" t="n">
        <f aca="false">IF(E164="","",D164-E164)</f>
        <v>1</v>
      </c>
      <c r="G164" s="52" t="n">
        <v>818</v>
      </c>
      <c r="H164" s="52" t="n">
        <v>818</v>
      </c>
      <c r="I164" s="63" t="n">
        <f aca="false">IF(H164="","",G164-H164)</f>
        <v>0</v>
      </c>
      <c r="J164" s="53" t="n">
        <f aca="false">IF(OR(D164="",D164+G164=0),"",D164/(D164+G164))</f>
        <v>0.495684340320592</v>
      </c>
      <c r="K164" s="53" t="n">
        <f aca="false">IF(E164="","",E164/(E164+H164))</f>
        <v>0.495373226403455</v>
      </c>
      <c r="L164" s="64" t="n">
        <f aca="false">IF(OR(K164="",J164=""),"",(J164-K164)*100)</f>
        <v>0.0311113917137229</v>
      </c>
      <c r="M164" s="28" t="n">
        <v>2.07368371626919</v>
      </c>
      <c r="N164" s="28" t="n">
        <v>0.395914373242782</v>
      </c>
      <c r="O164" s="28" t="n">
        <f aca="false">SQRT(M164^2+N164^2)</f>
        <v>2.11114005837136</v>
      </c>
      <c r="P164" s="53" t="n">
        <f aca="false">IF(J164="","",MAX(0,J164-1.96*O164/100))</f>
        <v>0.454305995176513</v>
      </c>
      <c r="Q164" s="53" t="n">
        <f aca="false">IF(J164="","",MIN(1,J164+1.96*O164/100))</f>
        <v>0.537062685464671</v>
      </c>
      <c r="R164" s="25" t="str">
        <f aca="false">IF(L164="","",IF(ABS(L164)&lt;=O164,"Yes","No"))</f>
        <v>Yes</v>
      </c>
      <c r="S164" s="25" t="str">
        <f aca="false">IF(L164="","",IF(ABS(L164)&lt;=1.96*O164,"Yes","No"))</f>
        <v>Yes</v>
      </c>
      <c r="T164" s="52" t="n">
        <f aca="false">IF(D164="","",ROUND(SQRT(((D164+G164)*O164/100)^2+(J164*(D164+G164)*0.08889)^2),0))</f>
        <v>79</v>
      </c>
      <c r="U164" s="25"/>
    </row>
    <row r="165" customFormat="false" ht="15" hidden="false" customHeight="false" outlineLevel="0" collapsed="false">
      <c r="A165" s="25" t="s">
        <v>197</v>
      </c>
      <c r="B165" s="25" t="s">
        <v>319</v>
      </c>
      <c r="C165" s="25" t="s">
        <v>322</v>
      </c>
      <c r="D165" s="52" t="n">
        <v>347</v>
      </c>
      <c r="E165" s="52" t="n">
        <v>342</v>
      </c>
      <c r="F165" s="63" t="n">
        <f aca="false">IF(E165="","",D165-E165)</f>
        <v>5</v>
      </c>
      <c r="G165" s="52" t="n">
        <v>347</v>
      </c>
      <c r="H165" s="52" t="n">
        <v>358</v>
      </c>
      <c r="I165" s="63" t="n">
        <f aca="false">IF(H165="","",G165-H165)</f>
        <v>-11</v>
      </c>
      <c r="J165" s="53" t="n">
        <f aca="false">IF(OR(D165="",D165+G165=0),"",D165/(D165+G165))</f>
        <v>0.5</v>
      </c>
      <c r="K165" s="53" t="n">
        <f aca="false">IF(E165="","",E165/(E165+H165))</f>
        <v>0.488571428571429</v>
      </c>
      <c r="L165" s="64" t="n">
        <f aca="false">IF(OR(K165="",J165=""),"",(J165-K165)*100)</f>
        <v>1.14285714285715</v>
      </c>
      <c r="M165" s="28" t="n">
        <v>3.51968652681483</v>
      </c>
      <c r="N165" s="28" t="n">
        <v>0.395914373242782</v>
      </c>
      <c r="O165" s="28" t="n">
        <f aca="false">SQRT(M165^2+N165^2)</f>
        <v>3.54188388262265</v>
      </c>
      <c r="P165" s="53" t="n">
        <f aca="false">IF(J165="","",MAX(0,J165-1.96*O165/100))</f>
        <v>0.430579075900596</v>
      </c>
      <c r="Q165" s="53" t="n">
        <f aca="false">IF(J165="","",MIN(1,J165+1.96*O165/100))</f>
        <v>0.569420924099404</v>
      </c>
      <c r="R165" s="25" t="str">
        <f aca="false">IF(L165="","",IF(ABS(L165)&lt;=O165,"Yes","No"))</f>
        <v>Yes</v>
      </c>
      <c r="S165" s="25" t="str">
        <f aca="false">IF(L165="","",IF(ABS(L165)&lt;=1.96*O165,"Yes","No"))</f>
        <v>Yes</v>
      </c>
      <c r="T165" s="52" t="n">
        <f aca="false">IF(D165="","",ROUND(SQRT(((D165+G165)*O165/100)^2+(J165*(D165+G165)*0.1901)^2),0))</f>
        <v>70</v>
      </c>
      <c r="U165" s="25"/>
    </row>
    <row r="166" customFormat="false" ht="15" hidden="false" customHeight="false" outlineLevel="0" collapsed="false">
      <c r="A166" s="25" t="s">
        <v>197</v>
      </c>
      <c r="B166" s="25" t="s">
        <v>319</v>
      </c>
      <c r="C166" s="25" t="s">
        <v>323</v>
      </c>
      <c r="D166" s="52" t="n">
        <v>415</v>
      </c>
      <c r="E166" s="52" t="n">
        <v>411</v>
      </c>
      <c r="F166" s="63" t="n">
        <f aca="false">IF(E166="","",D166-E166)</f>
        <v>4</v>
      </c>
      <c r="G166" s="52" t="n">
        <v>412</v>
      </c>
      <c r="H166" s="52" t="n">
        <v>417</v>
      </c>
      <c r="I166" s="63" t="n">
        <f aca="false">IF(H166="","",G166-H166)</f>
        <v>-5</v>
      </c>
      <c r="J166" s="53" t="n">
        <f aca="false">IF(OR(D166="",D166+G166=0),"",D166/(D166+G166))</f>
        <v>0.501813784764208</v>
      </c>
      <c r="K166" s="53" t="n">
        <f aca="false">IF(E166="","",E166/(E166+H166))</f>
        <v>0.496376811594203</v>
      </c>
      <c r="L166" s="64" t="n">
        <f aca="false">IF(OR(K166="",J166=""),"",(J166-K166)*100)</f>
        <v>0.543697317000513</v>
      </c>
      <c r="M166" s="28" t="n">
        <v>2.29525849334818</v>
      </c>
      <c r="N166" s="28" t="n">
        <v>0.395914373242782</v>
      </c>
      <c r="O166" s="28" t="n">
        <f aca="false">SQRT(M166^2+N166^2)</f>
        <v>2.32915429764264</v>
      </c>
      <c r="P166" s="53" t="n">
        <f aca="false">IF(J166="","",MAX(0,J166-1.96*O166/100))</f>
        <v>0.456162360530412</v>
      </c>
      <c r="Q166" s="53" t="n">
        <f aca="false">IF(J166="","",MIN(1,J166+1.96*O166/100))</f>
        <v>0.547465208998004</v>
      </c>
      <c r="R166" s="25" t="str">
        <f aca="false">IF(L166="","",IF(ABS(L166)&lt;=O166,"Yes","No"))</f>
        <v>Yes</v>
      </c>
      <c r="S166" s="25" t="str">
        <f aca="false">IF(L166="","",IF(ABS(L166)&lt;=1.96*O166,"Yes","No"))</f>
        <v>Yes</v>
      </c>
      <c r="T166" s="52" t="n">
        <f aca="false">IF(D166="","",ROUND(SQRT(((D166+G166)*O166/100)^2+(J166*(D166+G166)*0.10931)^2),0))</f>
        <v>49</v>
      </c>
      <c r="U166" s="25"/>
    </row>
    <row r="167" customFormat="false" ht="15" hidden="false" customHeight="false" outlineLevel="0" collapsed="false">
      <c r="A167" s="25" t="s">
        <v>197</v>
      </c>
      <c r="B167" s="25" t="s">
        <v>319</v>
      </c>
      <c r="C167" s="25" t="s">
        <v>324</v>
      </c>
      <c r="D167" s="52" t="n">
        <v>513</v>
      </c>
      <c r="E167" s="52" t="n">
        <v>525</v>
      </c>
      <c r="F167" s="63" t="n">
        <f aca="false">IF(E167="","",D167-E167)</f>
        <v>-12</v>
      </c>
      <c r="G167" s="52" t="n">
        <v>573</v>
      </c>
      <c r="H167" s="52" t="n">
        <v>552</v>
      </c>
      <c r="I167" s="63" t="n">
        <f aca="false">IF(H167="","",G167-H167)</f>
        <v>21</v>
      </c>
      <c r="J167" s="53" t="n">
        <f aca="false">IF(OR(D167="",D167+G167=0),"",D167/(D167+G167))</f>
        <v>0.472375690607735</v>
      </c>
      <c r="K167" s="53" t="n">
        <f aca="false">IF(E167="","",E167/(E167+H167))</f>
        <v>0.487465181058496</v>
      </c>
      <c r="L167" s="64" t="n">
        <f aca="false">IF(OR(K167="",J167=""),"",(J167-K167)*100)</f>
        <v>-1.5089490450761</v>
      </c>
      <c r="M167" s="28" t="n">
        <v>2.29525849334818</v>
      </c>
      <c r="N167" s="28" t="n">
        <v>0.395914373242782</v>
      </c>
      <c r="O167" s="28" t="n">
        <f aca="false">SQRT(M167^2+N167^2)</f>
        <v>2.32915429764264</v>
      </c>
      <c r="P167" s="53" t="n">
        <f aca="false">IF(J167="","",MAX(0,J167-1.96*O167/100))</f>
        <v>0.426724266373939</v>
      </c>
      <c r="Q167" s="53" t="n">
        <f aca="false">IF(J167="","",MIN(1,J167+1.96*O167/100))</f>
        <v>0.518027114841531</v>
      </c>
      <c r="R167" s="25" t="str">
        <f aca="false">IF(L167="","",IF(ABS(L167)&lt;=O167,"Yes","No"))</f>
        <v>Yes</v>
      </c>
      <c r="S167" s="25" t="str">
        <f aca="false">IF(L167="","",IF(ABS(L167)&lt;=1.96*O167,"Yes","No"))</f>
        <v>Yes</v>
      </c>
      <c r="T167" s="52" t="n">
        <f aca="false">IF(D167="","",ROUND(SQRT(((D167+G167)*O167/100)^2+(J167*(D167+G167)*0.10931)^2),0))</f>
        <v>62</v>
      </c>
      <c r="U167" s="25"/>
    </row>
    <row r="168" customFormat="false" ht="15" hidden="false" customHeight="false" outlineLevel="0" collapsed="false">
      <c r="A168" s="25" t="s">
        <v>197</v>
      </c>
      <c r="B168" s="25" t="s">
        <v>319</v>
      </c>
      <c r="C168" s="25" t="s">
        <v>325</v>
      </c>
      <c r="D168" s="52" t="n">
        <v>339</v>
      </c>
      <c r="E168" s="52" t="n">
        <v>313</v>
      </c>
      <c r="F168" s="63" t="n">
        <f aca="false">IF(E168="","",D168-E168)</f>
        <v>26</v>
      </c>
      <c r="G168" s="52" t="n">
        <v>372</v>
      </c>
      <c r="H168" s="52" t="n">
        <v>360</v>
      </c>
      <c r="I168" s="63" t="n">
        <f aca="false">IF(H168="","",G168-H168)</f>
        <v>12</v>
      </c>
      <c r="J168" s="53" t="n">
        <f aca="false">IF(OR(D168="",D168+G168=0),"",D168/(D168+G168))</f>
        <v>0.476793248945148</v>
      </c>
      <c r="K168" s="53" t="n">
        <f aca="false">IF(E168="","",E168/(E168+H168))</f>
        <v>0.465081723625557</v>
      </c>
      <c r="L168" s="64" t="n">
        <f aca="false">IF(OR(K168="",J168=""),"",(J168-K168)*100)</f>
        <v>1.17115253195905</v>
      </c>
      <c r="M168" s="28" t="n">
        <v>3.51968652681483</v>
      </c>
      <c r="N168" s="28" t="n">
        <v>0.395914373242782</v>
      </c>
      <c r="O168" s="28" t="n">
        <f aca="false">SQRT(M168^2+N168^2)</f>
        <v>3.54188388262265</v>
      </c>
      <c r="P168" s="53" t="n">
        <f aca="false">IF(J168="","",MAX(0,J168-1.96*O168/100))</f>
        <v>0.407372324845744</v>
      </c>
      <c r="Q168" s="53" t="n">
        <f aca="false">IF(J168="","",MIN(1,J168+1.96*O168/100))</f>
        <v>0.546214173044552</v>
      </c>
      <c r="R168" s="25" t="str">
        <f aca="false">IF(L168="","",IF(ABS(L168)&lt;=O168,"Yes","No"))</f>
        <v>Yes</v>
      </c>
      <c r="S168" s="25" t="str">
        <f aca="false">IF(L168="","",IF(ABS(L168)&lt;=1.96*O168,"Yes","No"))</f>
        <v>Yes</v>
      </c>
      <c r="T168" s="52" t="n">
        <f aca="false">IF(D168="","",ROUND(SQRT(((D168+G168)*O168/100)^2+(J168*(D168+G168)*0.1901)^2),0))</f>
        <v>69</v>
      </c>
      <c r="U168" s="25"/>
    </row>
    <row r="169" customFormat="false" ht="15" hidden="false" customHeight="false" outlineLevel="0" collapsed="false">
      <c r="A169" s="25" t="s">
        <v>197</v>
      </c>
      <c r="B169" s="25" t="s">
        <v>319</v>
      </c>
      <c r="C169" s="25" t="s">
        <v>326</v>
      </c>
      <c r="D169" s="52" t="n">
        <v>400</v>
      </c>
      <c r="E169" s="52" t="n">
        <v>415</v>
      </c>
      <c r="F169" s="63" t="n">
        <f aca="false">IF(E169="","",D169-E169)</f>
        <v>-15</v>
      </c>
      <c r="G169" s="52" t="n">
        <v>376</v>
      </c>
      <c r="H169" s="52" t="n">
        <v>371</v>
      </c>
      <c r="I169" s="63" t="n">
        <f aca="false">IF(H169="","",G169-H169)</f>
        <v>5</v>
      </c>
      <c r="J169" s="53" t="n">
        <f aca="false">IF(OR(D169="",D169+G169=0),"",D169/(D169+G169))</f>
        <v>0.515463917525773</v>
      </c>
      <c r="K169" s="53" t="n">
        <f aca="false">IF(E169="","",E169/(E169+H169))</f>
        <v>0.527989821882952</v>
      </c>
      <c r="L169" s="64" t="n">
        <f aca="false">IF(OR(K169="",J169=""),"",(J169-K169)*100)</f>
        <v>-1.25259043571785</v>
      </c>
      <c r="M169" s="28" t="n">
        <v>2.29525849334818</v>
      </c>
      <c r="N169" s="28" t="n">
        <v>0.395914373242782</v>
      </c>
      <c r="O169" s="28" t="n">
        <f aca="false">SQRT(M169^2+N169^2)</f>
        <v>2.32915429764264</v>
      </c>
      <c r="P169" s="53" t="n">
        <f aca="false">IF(J169="","",MAX(0,J169-1.96*O169/100))</f>
        <v>0.469812493291977</v>
      </c>
      <c r="Q169" s="53" t="n">
        <f aca="false">IF(J169="","",MIN(1,J169+1.96*O169/100))</f>
        <v>0.561115341759569</v>
      </c>
      <c r="R169" s="25" t="str">
        <f aca="false">IF(L169="","",IF(ABS(L169)&lt;=O169,"Yes","No"))</f>
        <v>Yes</v>
      </c>
      <c r="S169" s="25" t="str">
        <f aca="false">IF(L169="","",IF(ABS(L169)&lt;=1.96*O169,"Yes","No"))</f>
        <v>Yes</v>
      </c>
      <c r="T169" s="52" t="n">
        <f aca="false">IF(D169="","",ROUND(SQRT(((D169+G169)*O169/100)^2+(J169*(D169+G169)*0.10931)^2),0))</f>
        <v>47</v>
      </c>
      <c r="U169" s="25"/>
    </row>
    <row r="170" customFormat="false" ht="15" hidden="false" customHeight="false" outlineLevel="0" collapsed="false">
      <c r="A170" s="25" t="s">
        <v>197</v>
      </c>
      <c r="B170" s="25" t="s">
        <v>319</v>
      </c>
      <c r="C170" s="25" t="s">
        <v>327</v>
      </c>
      <c r="D170" s="52" t="n">
        <v>528</v>
      </c>
      <c r="E170" s="52" t="n">
        <v>533</v>
      </c>
      <c r="F170" s="63" t="n">
        <f aca="false">IF(E170="","",D170-E170)</f>
        <v>-5</v>
      </c>
      <c r="G170" s="52" t="n">
        <v>542</v>
      </c>
      <c r="H170" s="52" t="n">
        <v>535</v>
      </c>
      <c r="I170" s="63" t="n">
        <f aca="false">IF(H170="","",G170-H170)</f>
        <v>7</v>
      </c>
      <c r="J170" s="53" t="n">
        <f aca="false">IF(OR(D170="",D170+G170=0),"",D170/(D170+G170))</f>
        <v>0.493457943925234</v>
      </c>
      <c r="K170" s="53" t="n">
        <f aca="false">IF(E170="","",E170/(E170+H170))</f>
        <v>0.499063670411985</v>
      </c>
      <c r="L170" s="64" t="n">
        <f aca="false">IF(OR(K170="",J170=""),"",(J170-K170)*100)</f>
        <v>-0.56057264867514</v>
      </c>
      <c r="M170" s="28" t="n">
        <v>2.29525849334818</v>
      </c>
      <c r="N170" s="28" t="n">
        <v>0.395914373242782</v>
      </c>
      <c r="O170" s="28" t="n">
        <f aca="false">SQRT(M170^2+N170^2)</f>
        <v>2.32915429764264</v>
      </c>
      <c r="P170" s="53" t="n">
        <f aca="false">IF(J170="","",MAX(0,J170-1.96*O170/100))</f>
        <v>0.447806519691438</v>
      </c>
      <c r="Q170" s="53" t="n">
        <f aca="false">IF(J170="","",MIN(1,J170+1.96*O170/100))</f>
        <v>0.539109368159029</v>
      </c>
      <c r="R170" s="25" t="str">
        <f aca="false">IF(L170="","",IF(ABS(L170)&lt;=O170,"Yes","No"))</f>
        <v>Yes</v>
      </c>
      <c r="S170" s="25" t="str">
        <f aca="false">IF(L170="","",IF(ABS(L170)&lt;=1.96*O170,"Yes","No"))</f>
        <v>Yes</v>
      </c>
      <c r="T170" s="52" t="n">
        <f aca="false">IF(D170="","",ROUND(SQRT(((D170+G170)*O170/100)^2+(J170*(D170+G170)*0.10931)^2),0))</f>
        <v>63</v>
      </c>
      <c r="U170" s="25"/>
    </row>
    <row r="171" customFormat="false" ht="15" hidden="false" customHeight="false" outlineLevel="0" collapsed="false">
      <c r="A171" s="25" t="s">
        <v>197</v>
      </c>
      <c r="B171" s="25" t="s">
        <v>328</v>
      </c>
      <c r="C171" s="25" t="s">
        <v>329</v>
      </c>
      <c r="D171" s="52" t="n">
        <v>256</v>
      </c>
      <c r="E171" s="52" t="n">
        <v>242</v>
      </c>
      <c r="F171" s="63" t="n">
        <f aca="false">IF(E171="","",D171-E171)</f>
        <v>14</v>
      </c>
      <c r="G171" s="52" t="n">
        <v>329</v>
      </c>
      <c r="H171" s="52" t="n">
        <v>337</v>
      </c>
      <c r="I171" s="63" t="n">
        <f aca="false">IF(H171="","",G171-H171)</f>
        <v>-8</v>
      </c>
      <c r="J171" s="53" t="n">
        <f aca="false">IF(OR(D171="",D171+G171=0),"",D171/(D171+G171))</f>
        <v>0.437606837606838</v>
      </c>
      <c r="K171" s="53" t="n">
        <f aca="false">IF(E171="","",E171/(E171+H171))</f>
        <v>0.417962003454231</v>
      </c>
      <c r="L171" s="64" t="n">
        <f aca="false">IF(OR(K171="",J171=""),"",(J171-K171)*100)</f>
        <v>1.96448341526062</v>
      </c>
      <c r="M171" s="28" t="n">
        <v>3.51968652681483</v>
      </c>
      <c r="N171" s="28" t="n">
        <v>0.395914373242782</v>
      </c>
      <c r="O171" s="28" t="n">
        <f aca="false">SQRT(M171^2+N171^2)</f>
        <v>3.54188388262265</v>
      </c>
      <c r="P171" s="53" t="n">
        <f aca="false">IF(J171="","",MAX(0,J171-1.96*O171/100))</f>
        <v>0.368185913507434</v>
      </c>
      <c r="Q171" s="53" t="n">
        <f aca="false">IF(J171="","",MIN(1,J171+1.96*O171/100))</f>
        <v>0.507027761706242</v>
      </c>
      <c r="R171" s="25" t="str">
        <f aca="false">IF(L171="","",IF(ABS(L171)&lt;=O171,"Yes","No"))</f>
        <v>Yes</v>
      </c>
      <c r="S171" s="25" t="str">
        <f aca="false">IF(L171="","",IF(ABS(L171)&lt;=1.96*O171,"Yes","No"))</f>
        <v>Yes</v>
      </c>
      <c r="T171" s="52" t="n">
        <f aca="false">IF(D171="","",ROUND(SQRT(((D171+G171)*O171/100)^2+(J171*(D171+G171)*0.1901)^2),0))</f>
        <v>53</v>
      </c>
      <c r="U171" s="25"/>
    </row>
    <row r="172" customFormat="false" ht="15" hidden="false" customHeight="false" outlineLevel="0" collapsed="false">
      <c r="A172" s="25" t="s">
        <v>197</v>
      </c>
      <c r="B172" s="25" t="s">
        <v>328</v>
      </c>
      <c r="C172" s="25" t="s">
        <v>330</v>
      </c>
      <c r="D172" s="52" t="n">
        <v>201</v>
      </c>
      <c r="E172" s="52" t="n">
        <v>187</v>
      </c>
      <c r="F172" s="63" t="n">
        <f aca="false">IF(E172="","",D172-E172)</f>
        <v>14</v>
      </c>
      <c r="G172" s="52" t="n">
        <v>289</v>
      </c>
      <c r="H172" s="52" t="n">
        <v>292</v>
      </c>
      <c r="I172" s="63" t="n">
        <f aca="false">IF(H172="","",G172-H172)</f>
        <v>-3</v>
      </c>
      <c r="J172" s="53" t="n">
        <f aca="false">IF(OR(D172="",D172+G172=0),"",D172/(D172+G172))</f>
        <v>0.410204081632653</v>
      </c>
      <c r="K172" s="53" t="n">
        <f aca="false">IF(E172="","",E172/(E172+H172))</f>
        <v>0.390396659707724</v>
      </c>
      <c r="L172" s="64" t="n">
        <f aca="false">IF(OR(K172="",J172=""),"",(J172-K172)*100)</f>
        <v>1.98074219249286</v>
      </c>
      <c r="M172" s="28" t="n">
        <v>3.51968652681483</v>
      </c>
      <c r="N172" s="28" t="n">
        <v>0.395914373242782</v>
      </c>
      <c r="O172" s="28" t="n">
        <f aca="false">SQRT(M172^2+N172^2)</f>
        <v>3.54188388262265</v>
      </c>
      <c r="P172" s="53" t="n">
        <f aca="false">IF(J172="","",MAX(0,J172-1.96*O172/100))</f>
        <v>0.340783157533249</v>
      </c>
      <c r="Q172" s="53" t="n">
        <f aca="false">IF(J172="","",MIN(1,J172+1.96*O172/100))</f>
        <v>0.479625005732057</v>
      </c>
      <c r="R172" s="25" t="str">
        <f aca="false">IF(L172="","",IF(ABS(L172)&lt;=O172,"Yes","No"))</f>
        <v>Yes</v>
      </c>
      <c r="S172" s="25" t="str">
        <f aca="false">IF(L172="","",IF(ABS(L172)&lt;=1.96*O172,"Yes","No"))</f>
        <v>Yes</v>
      </c>
      <c r="T172" s="52" t="n">
        <f aca="false">IF(D172="","",ROUND(SQRT(((D172+G172)*O172/100)^2+(J172*(D172+G172)*0.1901)^2),0))</f>
        <v>42</v>
      </c>
      <c r="U172" s="25"/>
    </row>
    <row r="173" customFormat="false" ht="15" hidden="false" customHeight="false" outlineLevel="0" collapsed="false">
      <c r="A173" s="25" t="s">
        <v>197</v>
      </c>
      <c r="B173" s="25" t="s">
        <v>328</v>
      </c>
      <c r="C173" s="25" t="s">
        <v>331</v>
      </c>
      <c r="D173" s="52" t="n">
        <v>381</v>
      </c>
      <c r="E173" s="52" t="n">
        <v>371</v>
      </c>
      <c r="F173" s="63" t="n">
        <f aca="false">IF(E173="","",D173-E173)</f>
        <v>10</v>
      </c>
      <c r="G173" s="52" t="n">
        <v>543</v>
      </c>
      <c r="H173" s="52" t="n">
        <v>527</v>
      </c>
      <c r="I173" s="63" t="n">
        <f aca="false">IF(H173="","",G173-H173)</f>
        <v>16</v>
      </c>
      <c r="J173" s="53" t="n">
        <f aca="false">IF(OR(D173="",D173+G173=0),"",D173/(D173+G173))</f>
        <v>0.412337662337662</v>
      </c>
      <c r="K173" s="53" t="n">
        <f aca="false">IF(E173="","",E173/(E173+H173))</f>
        <v>0.413140311804009</v>
      </c>
      <c r="L173" s="64" t="n">
        <f aca="false">IF(OR(K173="",J173=""),"",(J173-K173)*100)</f>
        <v>-0.0802649466346561</v>
      </c>
      <c r="M173" s="28" t="n">
        <v>2.29525849334818</v>
      </c>
      <c r="N173" s="28" t="n">
        <v>0.395914373242782</v>
      </c>
      <c r="O173" s="28" t="n">
        <f aca="false">SQRT(M173^2+N173^2)</f>
        <v>2.32915429764264</v>
      </c>
      <c r="P173" s="53" t="n">
        <f aca="false">IF(J173="","",MAX(0,J173-1.96*O173/100))</f>
        <v>0.366686238103867</v>
      </c>
      <c r="Q173" s="53" t="n">
        <f aca="false">IF(J173="","",MIN(1,J173+1.96*O173/100))</f>
        <v>0.457989086571458</v>
      </c>
      <c r="R173" s="25" t="str">
        <f aca="false">IF(L173="","",IF(ABS(L173)&lt;=O173,"Yes","No"))</f>
        <v>Yes</v>
      </c>
      <c r="S173" s="25" t="str">
        <f aca="false">IF(L173="","",IF(ABS(L173)&lt;=1.96*O173,"Yes","No"))</f>
        <v>Yes</v>
      </c>
      <c r="T173" s="52" t="n">
        <f aca="false">IF(D173="","",ROUND(SQRT(((D173+G173)*O173/100)^2+(J173*(D173+G173)*0.10931)^2),0))</f>
        <v>47</v>
      </c>
      <c r="U173" s="25"/>
    </row>
    <row r="174" customFormat="false" ht="15" hidden="false" customHeight="false" outlineLevel="0" collapsed="false">
      <c r="A174" s="25" t="s">
        <v>197</v>
      </c>
      <c r="B174" s="25" t="s">
        <v>332</v>
      </c>
      <c r="C174" s="25" t="s">
        <v>333</v>
      </c>
      <c r="D174" s="52" t="n">
        <v>931</v>
      </c>
      <c r="E174" s="52" t="n">
        <v>912</v>
      </c>
      <c r="F174" s="63" t="n">
        <f aca="false">IF(E174="","",D174-E174)</f>
        <v>19</v>
      </c>
      <c r="G174" s="52" t="n">
        <v>933</v>
      </c>
      <c r="H174" s="52" t="n">
        <v>964</v>
      </c>
      <c r="I174" s="63" t="n">
        <f aca="false">IF(H174="","",G174-H174)</f>
        <v>-31</v>
      </c>
      <c r="J174" s="53" t="n">
        <f aca="false">IF(OR(D174="",D174+G174=0),"",D174/(D174+G174))</f>
        <v>0.499463519313305</v>
      </c>
      <c r="K174" s="53" t="n">
        <f aca="false">IF(E174="","",E174/(E174+H174))</f>
        <v>0.486140724946695</v>
      </c>
      <c r="L174" s="64" t="n">
        <f aca="false">IF(OR(K174="",J174=""),"",(J174-K174)*100)</f>
        <v>1.33227943666097</v>
      </c>
      <c r="M174" s="28" t="n">
        <v>2.07368371626919</v>
      </c>
      <c r="N174" s="28" t="n">
        <v>0.395914373242782</v>
      </c>
      <c r="O174" s="28" t="n">
        <f aca="false">SQRT(M174^2+N174^2)</f>
        <v>2.11114005837136</v>
      </c>
      <c r="P174" s="53" t="n">
        <f aca="false">IF(J174="","",MAX(0,J174-1.96*O174/100))</f>
        <v>0.458085174169226</v>
      </c>
      <c r="Q174" s="53" t="n">
        <f aca="false">IF(J174="","",MIN(1,J174+1.96*O174/100))</f>
        <v>0.540841864457383</v>
      </c>
      <c r="R174" s="25" t="str">
        <f aca="false">IF(L174="","",IF(ABS(L174)&lt;=O174,"Yes","No"))</f>
        <v>Yes</v>
      </c>
      <c r="S174" s="25" t="str">
        <f aca="false">IF(L174="","",IF(ABS(L174)&lt;=1.96*O174,"Yes","No"))</f>
        <v>Yes</v>
      </c>
      <c r="T174" s="52" t="n">
        <f aca="false">IF(D174="","",ROUND(SQRT(((D174+G174)*O174/100)^2+(J174*(D174+G174)*0.08889)^2),0))</f>
        <v>92</v>
      </c>
      <c r="U174" s="25"/>
    </row>
    <row r="175" customFormat="false" ht="15" hidden="false" customHeight="false" outlineLevel="0" collapsed="false">
      <c r="A175" s="25" t="s">
        <v>197</v>
      </c>
      <c r="B175" s="25" t="s">
        <v>332</v>
      </c>
      <c r="C175" s="25" t="s">
        <v>334</v>
      </c>
      <c r="D175" s="52" t="n">
        <v>468</v>
      </c>
      <c r="E175" s="52" t="n">
        <v>449</v>
      </c>
      <c r="F175" s="63" t="n">
        <f aca="false">IF(E175="","",D175-E175)</f>
        <v>19</v>
      </c>
      <c r="G175" s="52" t="n">
        <v>467</v>
      </c>
      <c r="H175" s="52" t="n">
        <v>448</v>
      </c>
      <c r="I175" s="63" t="n">
        <f aca="false">IF(H175="","",G175-H175)</f>
        <v>19</v>
      </c>
      <c r="J175" s="53" t="n">
        <f aca="false">IF(OR(D175="",D175+G175=0),"",D175/(D175+G175))</f>
        <v>0.500534759358289</v>
      </c>
      <c r="K175" s="53" t="n">
        <f aca="false">IF(E175="","",E175/(E175+H175))</f>
        <v>0.500557413600892</v>
      </c>
      <c r="L175" s="64" t="n">
        <f aca="false">IF(OR(K175="",J175=""),"",(J175-K175)*100)</f>
        <v>-0.00226542426031706</v>
      </c>
      <c r="M175" s="28" t="n">
        <v>2.29525849334818</v>
      </c>
      <c r="N175" s="28" t="n">
        <v>0.395914373242782</v>
      </c>
      <c r="O175" s="28" t="n">
        <f aca="false">SQRT(M175^2+N175^2)</f>
        <v>2.32915429764264</v>
      </c>
      <c r="P175" s="53" t="n">
        <f aca="false">IF(J175="","",MAX(0,J175-1.96*O175/100))</f>
        <v>0.454883335124493</v>
      </c>
      <c r="Q175" s="53" t="n">
        <f aca="false">IF(J175="","",MIN(1,J175+1.96*O175/100))</f>
        <v>0.546186183592085</v>
      </c>
      <c r="R175" s="25" t="str">
        <f aca="false">IF(L175="","",IF(ABS(L175)&lt;=O175,"Yes","No"))</f>
        <v>Yes</v>
      </c>
      <c r="S175" s="25" t="str">
        <f aca="false">IF(L175="","",IF(ABS(L175)&lt;=1.96*O175,"Yes","No"))</f>
        <v>Yes</v>
      </c>
      <c r="T175" s="52" t="n">
        <f aca="false">IF(D175="","",ROUND(SQRT(((D175+G175)*O175/100)^2+(J175*(D175+G175)*0.10931)^2),0))</f>
        <v>56</v>
      </c>
      <c r="U175" s="25"/>
    </row>
    <row r="176" customFormat="false" ht="15" hidden="false" customHeight="false" outlineLevel="0" collapsed="false">
      <c r="A176" s="25" t="s">
        <v>197</v>
      </c>
      <c r="B176" s="25" t="s">
        <v>332</v>
      </c>
      <c r="C176" s="25" t="s">
        <v>335</v>
      </c>
      <c r="D176" s="52" t="n">
        <v>1211</v>
      </c>
      <c r="E176" s="52" t="n">
        <v>1161</v>
      </c>
      <c r="F176" s="63" t="n">
        <f aca="false">IF(E176="","",D176-E176)</f>
        <v>50</v>
      </c>
      <c r="G176" s="52" t="n">
        <v>970</v>
      </c>
      <c r="H176" s="52" t="n">
        <v>915</v>
      </c>
      <c r="I176" s="63" t="n">
        <f aca="false">IF(H176="","",G176-H176)</f>
        <v>55</v>
      </c>
      <c r="J176" s="53" t="n">
        <f aca="false">IF(OR(D176="",D176+G176=0),"",D176/(D176+G176))</f>
        <v>0.555249885373682</v>
      </c>
      <c r="K176" s="53" t="n">
        <f aca="false">IF(E176="","",E176/(E176+H176))</f>
        <v>0.559248554913295</v>
      </c>
      <c r="L176" s="64" t="n">
        <f aca="false">IF(OR(K176="",J176=""),"",(J176-K176)*100)</f>
        <v>-0.399866953961303</v>
      </c>
      <c r="M176" s="28" t="n">
        <v>2.07368371626919</v>
      </c>
      <c r="N176" s="28" t="n">
        <v>0.395914373242782</v>
      </c>
      <c r="O176" s="28" t="n">
        <f aca="false">SQRT(M176^2+N176^2)</f>
        <v>2.11114005837136</v>
      </c>
      <c r="P176" s="53" t="n">
        <f aca="false">IF(J176="","",MAX(0,J176-1.96*O176/100))</f>
        <v>0.513871540229603</v>
      </c>
      <c r="Q176" s="53" t="n">
        <f aca="false">IF(J176="","",MIN(1,J176+1.96*O176/100))</f>
        <v>0.59662823051776</v>
      </c>
      <c r="R176" s="25" t="str">
        <f aca="false">IF(L176="","",IF(ABS(L176)&lt;=O176,"Yes","No"))</f>
        <v>Yes</v>
      </c>
      <c r="S176" s="25" t="str">
        <f aca="false">IF(L176="","",IF(ABS(L176)&lt;=1.96*O176,"Yes","No"))</f>
        <v>Yes</v>
      </c>
      <c r="T176" s="52" t="n">
        <f aca="false">IF(D176="","",ROUND(SQRT(((D176+G176)*O176/100)^2+(J176*(D176+G176)*0.08889)^2),0))</f>
        <v>117</v>
      </c>
      <c r="U176" s="25"/>
    </row>
    <row r="177" customFormat="false" ht="15" hidden="false" customHeight="false" outlineLevel="0" collapsed="false">
      <c r="A177" s="25" t="s">
        <v>197</v>
      </c>
      <c r="B177" s="25" t="s">
        <v>332</v>
      </c>
      <c r="C177" s="25" t="s">
        <v>336</v>
      </c>
      <c r="D177" s="52" t="n">
        <v>530</v>
      </c>
      <c r="E177" s="52" t="n">
        <v>534</v>
      </c>
      <c r="F177" s="63" t="n">
        <f aca="false">IF(E177="","",D177-E177)</f>
        <v>-4</v>
      </c>
      <c r="G177" s="52" t="n">
        <v>573</v>
      </c>
      <c r="H177" s="52" t="n">
        <v>577</v>
      </c>
      <c r="I177" s="63" t="n">
        <f aca="false">IF(H177="","",G177-H177)</f>
        <v>-4</v>
      </c>
      <c r="J177" s="53" t="n">
        <f aca="false">IF(OR(D177="",D177+G177=0),"",D177/(D177+G177))</f>
        <v>0.480507706255666</v>
      </c>
      <c r="K177" s="53" t="n">
        <f aca="false">IF(E177="","",E177/(E177+H177))</f>
        <v>0.480648064806481</v>
      </c>
      <c r="L177" s="64" t="n">
        <f aca="false">IF(OR(K177="",J177=""),"",(J177-K177)*100)</f>
        <v>-0.014035855081429</v>
      </c>
      <c r="M177" s="28" t="n">
        <v>2.29525849334818</v>
      </c>
      <c r="N177" s="28" t="n">
        <v>0.395914373242782</v>
      </c>
      <c r="O177" s="28" t="n">
        <f aca="false">SQRT(M177^2+N177^2)</f>
        <v>2.32915429764264</v>
      </c>
      <c r="P177" s="53" t="n">
        <f aca="false">IF(J177="","",MAX(0,J177-1.96*O177/100))</f>
        <v>0.434856282021871</v>
      </c>
      <c r="Q177" s="53" t="n">
        <f aca="false">IF(J177="","",MIN(1,J177+1.96*O177/100))</f>
        <v>0.526159130489462</v>
      </c>
      <c r="R177" s="25" t="str">
        <f aca="false">IF(L177="","",IF(ABS(L177)&lt;=O177,"Yes","No"))</f>
        <v>Yes</v>
      </c>
      <c r="S177" s="25" t="str">
        <f aca="false">IF(L177="","",IF(ABS(L177)&lt;=1.96*O177,"Yes","No"))</f>
        <v>Yes</v>
      </c>
      <c r="T177" s="52" t="n">
        <f aca="false">IF(D177="","",ROUND(SQRT(((D177+G177)*O177/100)^2+(J177*(D177+G177)*0.10931)^2),0))</f>
        <v>63</v>
      </c>
      <c r="U177" s="25"/>
    </row>
    <row r="178" customFormat="false" ht="15" hidden="false" customHeight="false" outlineLevel="0" collapsed="false">
      <c r="A178" s="25" t="s">
        <v>197</v>
      </c>
      <c r="B178" s="25" t="s">
        <v>332</v>
      </c>
      <c r="C178" s="25" t="s">
        <v>337</v>
      </c>
      <c r="D178" s="52" t="n">
        <v>1079</v>
      </c>
      <c r="E178" s="52" t="n">
        <v>1123</v>
      </c>
      <c r="F178" s="63" t="n">
        <f aca="false">IF(E178="","",D178-E178)</f>
        <v>-44</v>
      </c>
      <c r="G178" s="52" t="n">
        <v>765</v>
      </c>
      <c r="H178" s="52" t="n">
        <v>741</v>
      </c>
      <c r="I178" s="63" t="n">
        <f aca="false">IF(H178="","",G178-H178)</f>
        <v>24</v>
      </c>
      <c r="J178" s="53" t="n">
        <f aca="false">IF(OR(D178="",D178+G178=0),"",D178/(D178+G178))</f>
        <v>0.585140997830803</v>
      </c>
      <c r="K178" s="53" t="n">
        <f aca="false">IF(E178="","",E178/(E178+H178))</f>
        <v>0.602467811158798</v>
      </c>
      <c r="L178" s="64" t="n">
        <f aca="false">IF(OR(K178="",J178=""),"",(J178-K178)*100)</f>
        <v>-1.73268133279957</v>
      </c>
      <c r="M178" s="28" t="n">
        <v>2.07368371626919</v>
      </c>
      <c r="N178" s="28" t="n">
        <v>0.395914373242782</v>
      </c>
      <c r="O178" s="28" t="n">
        <f aca="false">SQRT(M178^2+N178^2)</f>
        <v>2.11114005837136</v>
      </c>
      <c r="P178" s="53" t="n">
        <f aca="false">IF(J178="","",MAX(0,J178-1.96*O178/100))</f>
        <v>0.543762652686724</v>
      </c>
      <c r="Q178" s="53" t="n">
        <f aca="false">IF(J178="","",MIN(1,J178+1.96*O178/100))</f>
        <v>0.626519342974881</v>
      </c>
      <c r="R178" s="25" t="str">
        <f aca="false">IF(L178="","",IF(ABS(L178)&lt;=O178,"Yes","No"))</f>
        <v>Yes</v>
      </c>
      <c r="S178" s="25" t="str">
        <f aca="false">IF(L178="","",IF(ABS(L178)&lt;=1.96*O178,"Yes","No"))</f>
        <v>Yes</v>
      </c>
      <c r="T178" s="52" t="n">
        <f aca="false">IF(D178="","",ROUND(SQRT(((D178+G178)*O178/100)^2+(J178*(D178+G178)*0.08889)^2),0))</f>
        <v>104</v>
      </c>
      <c r="U178" s="25"/>
    </row>
    <row r="179" customFormat="false" ht="15" hidden="false" customHeight="false" outlineLevel="0" collapsed="false">
      <c r="A179" s="25" t="s">
        <v>197</v>
      </c>
      <c r="B179" s="25" t="s">
        <v>332</v>
      </c>
      <c r="C179" s="25" t="s">
        <v>338</v>
      </c>
      <c r="D179" s="52" t="n">
        <v>1013</v>
      </c>
      <c r="E179" s="52" t="n">
        <v>1054</v>
      </c>
      <c r="F179" s="63" t="n">
        <f aca="false">IF(E179="","",D179-E179)</f>
        <v>-41</v>
      </c>
      <c r="G179" s="52" t="n">
        <v>730</v>
      </c>
      <c r="H179" s="52" t="n">
        <v>706</v>
      </c>
      <c r="I179" s="63" t="n">
        <f aca="false">IF(H179="","",G179-H179)</f>
        <v>24</v>
      </c>
      <c r="J179" s="53" t="n">
        <f aca="false">IF(OR(D179="",D179+G179=0),"",D179/(D179+G179))</f>
        <v>0.581181870338497</v>
      </c>
      <c r="K179" s="53" t="n">
        <f aca="false">IF(E179="","",E179/(E179+H179))</f>
        <v>0.598863636363636</v>
      </c>
      <c r="L179" s="64" t="n">
        <f aca="false">IF(OR(K179="",J179=""),"",(J179-K179)*100)</f>
        <v>-1.76817660251395</v>
      </c>
      <c r="M179" s="28" t="n">
        <v>2.07368371626919</v>
      </c>
      <c r="N179" s="28" t="n">
        <v>0.395914373242782</v>
      </c>
      <c r="O179" s="28" t="n">
        <f aca="false">SQRT(M179^2+N179^2)</f>
        <v>2.11114005837136</v>
      </c>
      <c r="P179" s="53" t="n">
        <f aca="false">IF(J179="","",MAX(0,J179-1.96*O179/100))</f>
        <v>0.539803525194418</v>
      </c>
      <c r="Q179" s="53" t="n">
        <f aca="false">IF(J179="","",MIN(1,J179+1.96*O179/100))</f>
        <v>0.622560215482576</v>
      </c>
      <c r="R179" s="25" t="str">
        <f aca="false">IF(L179="","",IF(ABS(L179)&lt;=O179,"Yes","No"))</f>
        <v>Yes</v>
      </c>
      <c r="S179" s="25" t="str">
        <f aca="false">IF(L179="","",IF(ABS(L179)&lt;=1.96*O179,"Yes","No"))</f>
        <v>Yes</v>
      </c>
      <c r="T179" s="52" t="n">
        <f aca="false">IF(D179="","",ROUND(SQRT(((D179+G179)*O179/100)^2+(J179*(D179+G179)*0.08889)^2),0))</f>
        <v>97</v>
      </c>
      <c r="U179" s="25"/>
    </row>
    <row r="180" customFormat="false" ht="15" hidden="false" customHeight="false" outlineLevel="0" collapsed="false">
      <c r="A180" s="25" t="s">
        <v>197</v>
      </c>
      <c r="B180" s="25" t="s">
        <v>332</v>
      </c>
      <c r="C180" s="25" t="s">
        <v>339</v>
      </c>
      <c r="D180" s="52" t="n">
        <v>488</v>
      </c>
      <c r="E180" s="52" t="n">
        <v>469</v>
      </c>
      <c r="F180" s="63" t="n">
        <f aca="false">IF(E180="","",D180-E180)</f>
        <v>19</v>
      </c>
      <c r="G180" s="52" t="n">
        <v>441</v>
      </c>
      <c r="H180" s="52" t="n">
        <v>468</v>
      </c>
      <c r="I180" s="63" t="n">
        <f aca="false">IF(H180="","",G180-H180)</f>
        <v>-27</v>
      </c>
      <c r="J180" s="53" t="n">
        <f aca="false">IF(OR(D180="",D180+G180=0),"",D180/(D180+G180))</f>
        <v>0.52529601722282</v>
      </c>
      <c r="K180" s="53" t="n">
        <f aca="false">IF(E180="","",E180/(E180+H180))</f>
        <v>0.500533617929562</v>
      </c>
      <c r="L180" s="64" t="n">
        <f aca="false">IF(OR(K180="",J180=""),"",(J180-K180)*100)</f>
        <v>2.47623992932579</v>
      </c>
      <c r="M180" s="28" t="n">
        <v>2.29525849334818</v>
      </c>
      <c r="N180" s="28" t="n">
        <v>0.395914373242782</v>
      </c>
      <c r="O180" s="28" t="n">
        <f aca="false">SQRT(M180^2+N180^2)</f>
        <v>2.32915429764264</v>
      </c>
      <c r="P180" s="53" t="n">
        <f aca="false">IF(J180="","",MAX(0,J180-1.96*O180/100))</f>
        <v>0.479644592989025</v>
      </c>
      <c r="Q180" s="53" t="n">
        <f aca="false">IF(J180="","",MIN(1,J180+1.96*O180/100))</f>
        <v>0.570947441456616</v>
      </c>
      <c r="R180" s="25" t="str">
        <f aca="false">IF(L180="","",IF(ABS(L180)&lt;=O180,"Yes","No"))</f>
        <v>No</v>
      </c>
      <c r="S180" s="25" t="str">
        <f aca="false">IF(L180="","",IF(ABS(L180)&lt;=1.96*O180,"Yes","No"))</f>
        <v>Yes</v>
      </c>
      <c r="T180" s="52" t="n">
        <f aca="false">IF(D180="","",ROUND(SQRT(((D180+G180)*O180/100)^2+(J180*(D180+G180)*0.10931)^2),0))</f>
        <v>58</v>
      </c>
      <c r="U180" s="25"/>
    </row>
    <row r="181" customFormat="false" ht="15" hidden="false" customHeight="false" outlineLevel="0" collapsed="false">
      <c r="A181" s="25" t="s">
        <v>197</v>
      </c>
      <c r="B181" s="25" t="s">
        <v>332</v>
      </c>
      <c r="C181" s="25" t="s">
        <v>340</v>
      </c>
      <c r="D181" s="52" t="n">
        <v>1304</v>
      </c>
      <c r="E181" s="52" t="n">
        <v>1317</v>
      </c>
      <c r="F181" s="63" t="n">
        <f aca="false">IF(E181="","",D181-E181)</f>
        <v>-13</v>
      </c>
      <c r="G181" s="52" t="n">
        <v>1318</v>
      </c>
      <c r="H181" s="52" t="n">
        <v>1291</v>
      </c>
      <c r="I181" s="63" t="n">
        <f aca="false">IF(H181="","",G181-H181)</f>
        <v>27</v>
      </c>
      <c r="J181" s="53" t="n">
        <f aca="false">IF(OR(D181="",D181+G181=0),"",D181/(D181+G181))</f>
        <v>0.497330282227307</v>
      </c>
      <c r="K181" s="53" t="n">
        <f aca="false">IF(E181="","",E181/(E181+H181))</f>
        <v>0.504984662576687</v>
      </c>
      <c r="L181" s="64" t="n">
        <f aca="false">IF(OR(K181="",J181=""),"",(J181-K181)*100)</f>
        <v>-0.765438034937976</v>
      </c>
      <c r="M181" s="28" t="n">
        <v>2.07368371626919</v>
      </c>
      <c r="N181" s="28" t="n">
        <v>0.395914373242782</v>
      </c>
      <c r="O181" s="28" t="n">
        <f aca="false">SQRT(M181^2+N181^2)</f>
        <v>2.11114005837136</v>
      </c>
      <c r="P181" s="53" t="n">
        <f aca="false">IF(J181="","",MAX(0,J181-1.96*O181/100))</f>
        <v>0.455951937083229</v>
      </c>
      <c r="Q181" s="53" t="n">
        <f aca="false">IF(J181="","",MIN(1,J181+1.96*O181/100))</f>
        <v>0.538708627371386</v>
      </c>
      <c r="R181" s="25" t="str">
        <f aca="false">IF(L181="","",IF(ABS(L181)&lt;=O181,"Yes","No"))</f>
        <v>Yes</v>
      </c>
      <c r="S181" s="25" t="str">
        <f aca="false">IF(L181="","",IF(ABS(L181)&lt;=1.96*O181,"Yes","No"))</f>
        <v>Yes</v>
      </c>
      <c r="T181" s="52" t="n">
        <f aca="false">IF(D181="","",ROUND(SQRT(((D181+G181)*O181/100)^2+(J181*(D181+G181)*0.08889)^2),0))</f>
        <v>128</v>
      </c>
      <c r="U181" s="25"/>
    </row>
    <row r="182" customFormat="false" ht="15" hidden="false" customHeight="false" outlineLevel="0" collapsed="false">
      <c r="A182" s="25" t="s">
        <v>197</v>
      </c>
      <c r="B182" s="25" t="s">
        <v>341</v>
      </c>
      <c r="C182" s="25" t="s">
        <v>342</v>
      </c>
      <c r="D182" s="52" t="n">
        <v>1016</v>
      </c>
      <c r="E182" s="52" t="n">
        <v>992</v>
      </c>
      <c r="F182" s="63" t="n">
        <f aca="false">IF(E182="","",D182-E182)</f>
        <v>24</v>
      </c>
      <c r="G182" s="52" t="n">
        <v>975</v>
      </c>
      <c r="H182" s="52" t="n">
        <v>983</v>
      </c>
      <c r="I182" s="63" t="n">
        <f aca="false">IF(H182="","",G182-H182)</f>
        <v>-8</v>
      </c>
      <c r="J182" s="53" t="n">
        <f aca="false">IF(OR(D182="",D182+G182=0),"",D182/(D182+G182))</f>
        <v>0.510296333500753</v>
      </c>
      <c r="K182" s="53" t="n">
        <f aca="false">IF(E182="","",E182/(E182+H182))</f>
        <v>0.502278481012658</v>
      </c>
      <c r="L182" s="64" t="n">
        <f aca="false">IF(OR(K182="",J182=""),"",(J182-K182)*100)</f>
        <v>0.801785248809517</v>
      </c>
      <c r="M182" s="28" t="n">
        <v>2.07368371626919</v>
      </c>
      <c r="N182" s="28" t="n">
        <v>0.395914373242782</v>
      </c>
      <c r="O182" s="28" t="n">
        <f aca="false">SQRT(M182^2+N182^2)</f>
        <v>2.11114005837136</v>
      </c>
      <c r="P182" s="53" t="n">
        <f aca="false">IF(J182="","",MAX(0,J182-1.96*O182/100))</f>
        <v>0.468917988356675</v>
      </c>
      <c r="Q182" s="53" t="n">
        <f aca="false">IF(J182="","",MIN(1,J182+1.96*O182/100))</f>
        <v>0.551674678644832</v>
      </c>
      <c r="R182" s="25" t="str">
        <f aca="false">IF(L182="","",IF(ABS(L182)&lt;=O182,"Yes","No"))</f>
        <v>Yes</v>
      </c>
      <c r="S182" s="25" t="str">
        <f aca="false">IF(L182="","",IF(ABS(L182)&lt;=1.96*O182,"Yes","No"))</f>
        <v>Yes</v>
      </c>
      <c r="T182" s="52" t="n">
        <f aca="false">IF(D182="","",ROUND(SQRT(((D182+G182)*O182/100)^2+(J182*(D182+G182)*0.08889)^2),0))</f>
        <v>100</v>
      </c>
      <c r="U182" s="25"/>
    </row>
    <row r="183" customFormat="false" ht="15" hidden="false" customHeight="false" outlineLevel="0" collapsed="false">
      <c r="A183" s="25" t="s">
        <v>197</v>
      </c>
      <c r="B183" s="25" t="s">
        <v>341</v>
      </c>
      <c r="C183" s="25" t="s">
        <v>343</v>
      </c>
      <c r="D183" s="52" t="n">
        <v>1278</v>
      </c>
      <c r="E183" s="52" t="n">
        <v>1311</v>
      </c>
      <c r="F183" s="63" t="n">
        <f aca="false">IF(E183="","",D183-E183)</f>
        <v>-33</v>
      </c>
      <c r="G183" s="52" t="n">
        <v>1285</v>
      </c>
      <c r="H183" s="52" t="n">
        <v>1258</v>
      </c>
      <c r="I183" s="63" t="n">
        <f aca="false">IF(H183="","",G183-H183)</f>
        <v>27</v>
      </c>
      <c r="J183" s="53" t="n">
        <f aca="false">IF(OR(D183="",D183+G183=0),"",D183/(D183+G183))</f>
        <v>0.498634412797503</v>
      </c>
      <c r="K183" s="53" t="n">
        <f aca="false">IF(E183="","",E183/(E183+H183))</f>
        <v>0.510315297781238</v>
      </c>
      <c r="L183" s="64" t="n">
        <f aca="false">IF(OR(K183="",J183=""),"",(J183-K183)*100)</f>
        <v>-1.16808849837349</v>
      </c>
      <c r="M183" s="28" t="n">
        <v>2.07368371626919</v>
      </c>
      <c r="N183" s="28" t="n">
        <v>0.395914373242782</v>
      </c>
      <c r="O183" s="28" t="n">
        <f aca="false">SQRT(M183^2+N183^2)</f>
        <v>2.11114005837136</v>
      </c>
      <c r="P183" s="53" t="n">
        <f aca="false">IF(J183="","",MAX(0,J183-1.96*O183/100))</f>
        <v>0.457256067653424</v>
      </c>
      <c r="Q183" s="53" t="n">
        <f aca="false">IF(J183="","",MIN(1,J183+1.96*O183/100))</f>
        <v>0.540012757941581</v>
      </c>
      <c r="R183" s="25" t="str">
        <f aca="false">IF(L183="","",IF(ABS(L183)&lt;=O183,"Yes","No"))</f>
        <v>Yes</v>
      </c>
      <c r="S183" s="25" t="str">
        <f aca="false">IF(L183="","",IF(ABS(L183)&lt;=1.96*O183,"Yes","No"))</f>
        <v>Yes</v>
      </c>
      <c r="T183" s="52" t="n">
        <f aca="false">IF(D183="","",ROUND(SQRT(((D183+G183)*O183/100)^2+(J183*(D183+G183)*0.08889)^2),0))</f>
        <v>126</v>
      </c>
      <c r="U183" s="25"/>
    </row>
    <row r="184" customFormat="false" ht="15" hidden="false" customHeight="false" outlineLevel="0" collapsed="false">
      <c r="A184" s="25" t="s">
        <v>197</v>
      </c>
      <c r="B184" s="25" t="s">
        <v>341</v>
      </c>
      <c r="C184" s="25" t="s">
        <v>344</v>
      </c>
      <c r="D184" s="52" t="n">
        <v>952</v>
      </c>
      <c r="E184" s="52" t="n">
        <v>914</v>
      </c>
      <c r="F184" s="63" t="n">
        <f aca="false">IF(E184="","",D184-E184)</f>
        <v>38</v>
      </c>
      <c r="G184" s="52" t="n">
        <v>1087</v>
      </c>
      <c r="H184" s="52" t="n">
        <v>1075</v>
      </c>
      <c r="I184" s="63" t="n">
        <f aca="false">IF(H184="","",G184-H184)</f>
        <v>12</v>
      </c>
      <c r="J184" s="53" t="n">
        <f aca="false">IF(OR(D184="",D184+G184=0),"",D184/(D184+G184))</f>
        <v>0.466895537027955</v>
      </c>
      <c r="K184" s="53" t="n">
        <f aca="false">IF(E184="","",E184/(E184+H184))</f>
        <v>0.459527400703871</v>
      </c>
      <c r="L184" s="64" t="n">
        <f aca="false">IF(OR(K184="",J184=""),"",(J184-K184)*100)</f>
        <v>0.736813632408362</v>
      </c>
      <c r="M184" s="28" t="n">
        <v>2.07368371626919</v>
      </c>
      <c r="N184" s="28" t="n">
        <v>0.395914373242782</v>
      </c>
      <c r="O184" s="28" t="n">
        <f aca="false">SQRT(M184^2+N184^2)</f>
        <v>2.11114005837136</v>
      </c>
      <c r="P184" s="53" t="n">
        <f aca="false">IF(J184="","",MAX(0,J184-1.96*O184/100))</f>
        <v>0.425517191883876</v>
      </c>
      <c r="Q184" s="53" t="n">
        <f aca="false">IF(J184="","",MIN(1,J184+1.96*O184/100))</f>
        <v>0.508273882172033</v>
      </c>
      <c r="R184" s="25" t="str">
        <f aca="false">IF(L184="","",IF(ABS(L184)&lt;=O184,"Yes","No"))</f>
        <v>Yes</v>
      </c>
      <c r="S184" s="25" t="str">
        <f aca="false">IF(L184="","",IF(ABS(L184)&lt;=1.96*O184,"Yes","No"))</f>
        <v>Yes</v>
      </c>
      <c r="T184" s="52" t="n">
        <f aca="false">IF(D184="","",ROUND(SQRT(((D184+G184)*O184/100)^2+(J184*(D184+G184)*0.08889)^2),0))</f>
        <v>95</v>
      </c>
      <c r="U184" s="25"/>
    </row>
    <row r="185" customFormat="false" ht="15" hidden="false" customHeight="false" outlineLevel="0" collapsed="false">
      <c r="A185" s="25" t="s">
        <v>197</v>
      </c>
      <c r="B185" s="25" t="s">
        <v>341</v>
      </c>
      <c r="C185" s="25" t="s">
        <v>345</v>
      </c>
      <c r="D185" s="52" t="n">
        <v>757</v>
      </c>
      <c r="E185" s="52" t="n">
        <v>735</v>
      </c>
      <c r="F185" s="63" t="n">
        <f aca="false">IF(E185="","",D185-E185)</f>
        <v>22</v>
      </c>
      <c r="G185" s="52" t="n">
        <v>645</v>
      </c>
      <c r="H185" s="52" t="n">
        <v>653</v>
      </c>
      <c r="I185" s="63" t="n">
        <f aca="false">IF(H185="","",G185-H185)</f>
        <v>-8</v>
      </c>
      <c r="J185" s="53" t="n">
        <f aca="false">IF(OR(D185="",D185+G185=0),"",D185/(D185+G185))</f>
        <v>0.539942938659059</v>
      </c>
      <c r="K185" s="53" t="n">
        <f aca="false">IF(E185="","",E185/(E185+H185))</f>
        <v>0.529538904899136</v>
      </c>
      <c r="L185" s="64" t="n">
        <f aca="false">IF(OR(K185="",J185=""),"",(J185-K185)*100)</f>
        <v>1.0404033759923</v>
      </c>
      <c r="M185" s="28" t="n">
        <v>2.07368371626919</v>
      </c>
      <c r="N185" s="28" t="n">
        <v>0.395914373242782</v>
      </c>
      <c r="O185" s="28" t="n">
        <f aca="false">SQRT(M185^2+N185^2)</f>
        <v>2.11114005837136</v>
      </c>
      <c r="P185" s="53" t="n">
        <f aca="false">IF(J185="","",MAX(0,J185-1.96*O185/100))</f>
        <v>0.49856459351498</v>
      </c>
      <c r="Q185" s="53" t="n">
        <f aca="false">IF(J185="","",MIN(1,J185+1.96*O185/100))</f>
        <v>0.581321283803137</v>
      </c>
      <c r="R185" s="25" t="str">
        <f aca="false">IF(L185="","",IF(ABS(L185)&lt;=O185,"Yes","No"))</f>
        <v>Yes</v>
      </c>
      <c r="S185" s="25" t="str">
        <f aca="false">IF(L185="","",IF(ABS(L185)&lt;=1.96*O185,"Yes","No"))</f>
        <v>Yes</v>
      </c>
      <c r="T185" s="52" t="n">
        <f aca="false">IF(D185="","",ROUND(SQRT(((D185+G185)*O185/100)^2+(J185*(D185+G185)*0.08889)^2),0))</f>
        <v>74</v>
      </c>
      <c r="U185" s="25"/>
    </row>
    <row r="186" customFormat="false" ht="15" hidden="false" customHeight="false" outlineLevel="0" collapsed="false">
      <c r="A186" s="25" t="s">
        <v>197</v>
      </c>
      <c r="B186" s="25" t="s">
        <v>341</v>
      </c>
      <c r="C186" s="25" t="s">
        <v>346</v>
      </c>
      <c r="D186" s="52" t="n">
        <v>2008</v>
      </c>
      <c r="E186" s="52" t="n">
        <v>1929</v>
      </c>
      <c r="F186" s="63" t="n">
        <f aca="false">IF(E186="","",D186-E186)</f>
        <v>79</v>
      </c>
      <c r="G186" s="52" t="n">
        <v>1748</v>
      </c>
      <c r="H186" s="52" t="n">
        <v>1679</v>
      </c>
      <c r="I186" s="63" t="n">
        <f aca="false">IF(H186="","",G186-H186)</f>
        <v>69</v>
      </c>
      <c r="J186" s="53" t="n">
        <f aca="false">IF(OR(D186="",D186+G186=0),"",D186/(D186+G186))</f>
        <v>0.534611288604899</v>
      </c>
      <c r="K186" s="53" t="n">
        <f aca="false">IF(E186="","",E186/(E186+H186))</f>
        <v>0.534645232815965</v>
      </c>
      <c r="L186" s="64" t="n">
        <f aca="false">IF(OR(K186="",J186=""),"",(J186-K186)*100)</f>
        <v>-0.00339442110657284</v>
      </c>
      <c r="M186" s="28" t="n">
        <v>2.07368371626919</v>
      </c>
      <c r="N186" s="28" t="n">
        <v>0.395914373242782</v>
      </c>
      <c r="O186" s="28" t="n">
        <f aca="false">SQRT(M186^2+N186^2)</f>
        <v>2.11114005837136</v>
      </c>
      <c r="P186" s="53" t="n">
        <f aca="false">IF(J186="","",MAX(0,J186-1.96*O186/100))</f>
        <v>0.49323294346082</v>
      </c>
      <c r="Q186" s="53" t="n">
        <f aca="false">IF(J186="","",MIN(1,J186+1.96*O186/100))</f>
        <v>0.575989633748977</v>
      </c>
      <c r="R186" s="25" t="str">
        <f aca="false">IF(L186="","",IF(ABS(L186)&lt;=O186,"Yes","No"))</f>
        <v>Yes</v>
      </c>
      <c r="S186" s="25" t="str">
        <f aca="false">IF(L186="","",IF(ABS(L186)&lt;=1.96*O186,"Yes","No"))</f>
        <v>Yes</v>
      </c>
      <c r="T186" s="52" t="n">
        <f aca="false">IF(D186="","",ROUND(SQRT(((D186+G186)*O186/100)^2+(J186*(D186+G186)*0.08889)^2),0))</f>
        <v>195</v>
      </c>
      <c r="U186" s="25"/>
    </row>
    <row r="187" customFormat="false" ht="15" hidden="false" customHeight="false" outlineLevel="0" collapsed="false">
      <c r="A187" s="25" t="s">
        <v>197</v>
      </c>
      <c r="B187" s="25" t="s">
        <v>341</v>
      </c>
      <c r="C187" s="25" t="s">
        <v>347</v>
      </c>
      <c r="D187" s="52" t="n">
        <v>724</v>
      </c>
      <c r="E187" s="52" t="n">
        <v>696</v>
      </c>
      <c r="F187" s="63" t="n">
        <f aca="false">IF(E187="","",D187-E187)</f>
        <v>28</v>
      </c>
      <c r="G187" s="52" t="n">
        <v>677</v>
      </c>
      <c r="H187" s="52" t="n">
        <v>666</v>
      </c>
      <c r="I187" s="63" t="n">
        <f aca="false">IF(H187="","",G187-H187)</f>
        <v>11</v>
      </c>
      <c r="J187" s="53" t="n">
        <f aca="false">IF(OR(D187="",D187+G187=0),"",D187/(D187+G187))</f>
        <v>0.516773733047823</v>
      </c>
      <c r="K187" s="53" t="n">
        <f aca="false">IF(E187="","",E187/(E187+H187))</f>
        <v>0.511013215859031</v>
      </c>
      <c r="L187" s="64" t="n">
        <f aca="false">IF(OR(K187="",J187=""),"",(J187-K187)*100)</f>
        <v>0.576051718879223</v>
      </c>
      <c r="M187" s="28" t="n">
        <v>2.07368371626919</v>
      </c>
      <c r="N187" s="28" t="n">
        <v>0.395914373242782</v>
      </c>
      <c r="O187" s="28" t="n">
        <f aca="false">SQRT(M187^2+N187^2)</f>
        <v>2.11114005837136</v>
      </c>
      <c r="P187" s="53" t="n">
        <f aca="false">IF(J187="","",MAX(0,J187-1.96*O187/100))</f>
        <v>0.475395387903744</v>
      </c>
      <c r="Q187" s="53" t="n">
        <f aca="false">IF(J187="","",MIN(1,J187+1.96*O187/100))</f>
        <v>0.558152078191902</v>
      </c>
      <c r="R187" s="25" t="str">
        <f aca="false">IF(L187="","",IF(ABS(L187)&lt;=O187,"Yes","No"))</f>
        <v>Yes</v>
      </c>
      <c r="S187" s="25" t="str">
        <f aca="false">IF(L187="","",IF(ABS(L187)&lt;=1.96*O187,"Yes","No"))</f>
        <v>Yes</v>
      </c>
      <c r="T187" s="52" t="n">
        <f aca="false">IF(D187="","",ROUND(SQRT(((D187+G187)*O187/100)^2+(J187*(D187+G187)*0.08889)^2),0))</f>
        <v>71</v>
      </c>
      <c r="U187" s="25"/>
    </row>
    <row r="188" customFormat="false" ht="15" hidden="false" customHeight="false" outlineLevel="0" collapsed="false">
      <c r="A188" s="25" t="s">
        <v>197</v>
      </c>
      <c r="B188" s="25" t="s">
        <v>341</v>
      </c>
      <c r="C188" s="25" t="s">
        <v>348</v>
      </c>
      <c r="D188" s="52" t="n">
        <v>740</v>
      </c>
      <c r="E188" s="52" t="n">
        <v>715</v>
      </c>
      <c r="F188" s="63" t="n">
        <f aca="false">IF(E188="","",D188-E188)</f>
        <v>25</v>
      </c>
      <c r="G188" s="52" t="n">
        <v>632</v>
      </c>
      <c r="H188" s="52" t="n">
        <v>601</v>
      </c>
      <c r="I188" s="63" t="n">
        <f aca="false">IF(H188="","",G188-H188)</f>
        <v>31</v>
      </c>
      <c r="J188" s="53" t="n">
        <f aca="false">IF(OR(D188="",D188+G188=0),"",D188/(D188+G188))</f>
        <v>0.53935860058309</v>
      </c>
      <c r="K188" s="53" t="n">
        <f aca="false">IF(E188="","",E188/(E188+H188))</f>
        <v>0.543313069908815</v>
      </c>
      <c r="L188" s="64" t="n">
        <f aca="false">IF(OR(K188="",J188=""),"",(J188-K188)*100)</f>
        <v>-0.395446932572419</v>
      </c>
      <c r="M188" s="28" t="n">
        <v>2.07368371626919</v>
      </c>
      <c r="N188" s="28" t="n">
        <v>0.395914373242782</v>
      </c>
      <c r="O188" s="28" t="n">
        <f aca="false">SQRT(M188^2+N188^2)</f>
        <v>2.11114005837136</v>
      </c>
      <c r="P188" s="53" t="n">
        <f aca="false">IF(J188="","",MAX(0,J188-1.96*O188/100))</f>
        <v>0.497980255439012</v>
      </c>
      <c r="Q188" s="53" t="n">
        <f aca="false">IF(J188="","",MIN(1,J188+1.96*O188/100))</f>
        <v>0.580736945727169</v>
      </c>
      <c r="R188" s="25" t="str">
        <f aca="false">IF(L188="","",IF(ABS(L188)&lt;=O188,"Yes","No"))</f>
        <v>Yes</v>
      </c>
      <c r="S188" s="25" t="str">
        <f aca="false">IF(L188="","",IF(ABS(L188)&lt;=1.96*O188,"Yes","No"))</f>
        <v>Yes</v>
      </c>
      <c r="T188" s="52" t="n">
        <f aca="false">IF(D188="","",ROUND(SQRT(((D188+G188)*O188/100)^2+(J188*(D188+G188)*0.08889)^2),0))</f>
        <v>72</v>
      </c>
      <c r="U188" s="25"/>
    </row>
    <row r="189" customFormat="false" ht="15" hidden="false" customHeight="false" outlineLevel="0" collapsed="false">
      <c r="A189" s="25" t="s">
        <v>197</v>
      </c>
      <c r="B189" s="25" t="s">
        <v>341</v>
      </c>
      <c r="C189" s="25" t="s">
        <v>349</v>
      </c>
      <c r="D189" s="52" t="n">
        <v>753</v>
      </c>
      <c r="E189" s="52" t="n">
        <v>728</v>
      </c>
      <c r="F189" s="63" t="n">
        <f aca="false">IF(E189="","",D189-E189)</f>
        <v>25</v>
      </c>
      <c r="G189" s="52" t="n">
        <v>733</v>
      </c>
      <c r="H189" s="52" t="n">
        <v>692</v>
      </c>
      <c r="I189" s="63" t="n">
        <f aca="false">IF(H189="","",G189-H189)</f>
        <v>41</v>
      </c>
      <c r="J189" s="53" t="n">
        <f aca="false">IF(OR(D189="",D189+G189=0),"",D189/(D189+G189))</f>
        <v>0.506729475100942</v>
      </c>
      <c r="K189" s="53" t="n">
        <f aca="false">IF(E189="","",E189/(E189+H189))</f>
        <v>0.512676056338028</v>
      </c>
      <c r="L189" s="64" t="n">
        <f aca="false">IF(OR(K189="",J189=""),"",(J189-K189)*100)</f>
        <v>-0.594658123708602</v>
      </c>
      <c r="M189" s="28" t="n">
        <v>2.07368371626919</v>
      </c>
      <c r="N189" s="28" t="n">
        <v>0.395914373242782</v>
      </c>
      <c r="O189" s="28" t="n">
        <f aca="false">SQRT(M189^2+N189^2)</f>
        <v>2.11114005837136</v>
      </c>
      <c r="P189" s="53" t="n">
        <f aca="false">IF(J189="","",MAX(0,J189-1.96*O189/100))</f>
        <v>0.465351129956864</v>
      </c>
      <c r="Q189" s="53" t="n">
        <f aca="false">IF(J189="","",MIN(1,J189+1.96*O189/100))</f>
        <v>0.548107820245021</v>
      </c>
      <c r="R189" s="25" t="str">
        <f aca="false">IF(L189="","",IF(ABS(L189)&lt;=O189,"Yes","No"))</f>
        <v>Yes</v>
      </c>
      <c r="S189" s="25" t="str">
        <f aca="false">IF(L189="","",IF(ABS(L189)&lt;=1.96*O189,"Yes","No"))</f>
        <v>Yes</v>
      </c>
      <c r="T189" s="52" t="n">
        <f aca="false">IF(D189="","",ROUND(SQRT(((D189+G189)*O189/100)^2+(J189*(D189+G189)*0.08889)^2),0))</f>
        <v>74</v>
      </c>
      <c r="U189" s="25"/>
    </row>
    <row r="190" customFormat="false" ht="15" hidden="false" customHeight="false" outlineLevel="0" collapsed="false">
      <c r="A190" s="25" t="s">
        <v>197</v>
      </c>
      <c r="B190" s="25" t="s">
        <v>350</v>
      </c>
      <c r="C190" s="25" t="s">
        <v>351</v>
      </c>
      <c r="D190" s="52" t="n">
        <v>1450</v>
      </c>
      <c r="E190" s="52" t="n">
        <v>1473</v>
      </c>
      <c r="F190" s="63" t="n">
        <f aca="false">IF(E190="","",D190-E190)</f>
        <v>-23</v>
      </c>
      <c r="G190" s="52" t="n">
        <v>1709</v>
      </c>
      <c r="H190" s="52" t="n">
        <v>1690</v>
      </c>
      <c r="I190" s="63" t="n">
        <f aca="false">IF(H190="","",G190-H190)</f>
        <v>19</v>
      </c>
      <c r="J190" s="53" t="n">
        <f aca="false">IF(OR(D190="",D190+G190=0),"",D190/(D190+G190))</f>
        <v>0.45900601456157</v>
      </c>
      <c r="K190" s="53" t="n">
        <f aca="false">IF(E190="","",E190/(E190+H190))</f>
        <v>0.465697122984508</v>
      </c>
      <c r="L190" s="64" t="n">
        <f aca="false">IF(OR(K190="",J190=""),"",(J190-K190)*100)</f>
        <v>-0.669110842293824</v>
      </c>
      <c r="M190" s="28" t="n">
        <v>2.07368371626919</v>
      </c>
      <c r="N190" s="28" t="n">
        <v>0.395914373242782</v>
      </c>
      <c r="O190" s="28" t="n">
        <f aca="false">SQRT(M190^2+N190^2)</f>
        <v>2.11114005837136</v>
      </c>
      <c r="P190" s="53" t="n">
        <f aca="false">IF(J190="","",MAX(0,J190-1.96*O190/100))</f>
        <v>0.417627669417492</v>
      </c>
      <c r="Q190" s="53" t="n">
        <f aca="false">IF(J190="","",MIN(1,J190+1.96*O190/100))</f>
        <v>0.500384359705649</v>
      </c>
      <c r="R190" s="25" t="str">
        <f aca="false">IF(L190="","",IF(ABS(L190)&lt;=O190,"Yes","No"))</f>
        <v>Yes</v>
      </c>
      <c r="S190" s="25" t="str">
        <f aca="false">IF(L190="","",IF(ABS(L190)&lt;=1.96*O190,"Yes","No"))</f>
        <v>Yes</v>
      </c>
      <c r="T190" s="52" t="n">
        <f aca="false">IF(D190="","",ROUND(SQRT(((D190+G190)*O190/100)^2+(J190*(D190+G190)*0.08889)^2),0))</f>
        <v>145</v>
      </c>
      <c r="U190" s="25"/>
    </row>
    <row r="191" customFormat="false" ht="15" hidden="false" customHeight="false" outlineLevel="0" collapsed="false">
      <c r="A191" s="25" t="s">
        <v>197</v>
      </c>
      <c r="B191" s="25" t="s">
        <v>350</v>
      </c>
      <c r="C191" s="25" t="s">
        <v>352</v>
      </c>
      <c r="D191" s="52" t="n">
        <v>887</v>
      </c>
      <c r="E191" s="52" t="n">
        <v>907</v>
      </c>
      <c r="F191" s="63" t="n">
        <f aca="false">IF(E191="","",D191-E191)</f>
        <v>-20</v>
      </c>
      <c r="G191" s="52" t="n">
        <v>1421</v>
      </c>
      <c r="H191" s="52" t="n">
        <v>1445</v>
      </c>
      <c r="I191" s="63" t="n">
        <f aca="false">IF(H191="","",G191-H191)</f>
        <v>-24</v>
      </c>
      <c r="J191" s="53" t="n">
        <f aca="false">IF(OR(D191="",D191+G191=0),"",D191/(D191+G191))</f>
        <v>0.384315424610052</v>
      </c>
      <c r="K191" s="53" t="n">
        <f aca="false">IF(E191="","",E191/(E191+H191))</f>
        <v>0.38562925170068</v>
      </c>
      <c r="L191" s="64" t="n">
        <f aca="false">IF(OR(K191="",J191=""),"",(J191-K191)*100)</f>
        <v>-0.131382709062833</v>
      </c>
      <c r="M191" s="28" t="n">
        <v>2.07368371626919</v>
      </c>
      <c r="N191" s="28" t="n">
        <v>0.395914373242782</v>
      </c>
      <c r="O191" s="28" t="n">
        <f aca="false">SQRT(M191^2+N191^2)</f>
        <v>2.11114005837136</v>
      </c>
      <c r="P191" s="53" t="n">
        <f aca="false">IF(J191="","",MAX(0,J191-1.96*O191/100))</f>
        <v>0.342937079465973</v>
      </c>
      <c r="Q191" s="53" t="n">
        <f aca="false">IF(J191="","",MIN(1,J191+1.96*O191/100))</f>
        <v>0.425693769754131</v>
      </c>
      <c r="R191" s="25" t="str">
        <f aca="false">IF(L191="","",IF(ABS(L191)&lt;=O191,"Yes","No"))</f>
        <v>Yes</v>
      </c>
      <c r="S191" s="25" t="str">
        <f aca="false">IF(L191="","",IF(ABS(L191)&lt;=1.96*O191,"Yes","No"))</f>
        <v>Yes</v>
      </c>
      <c r="T191" s="52" t="n">
        <f aca="false">IF(D191="","",ROUND(SQRT(((D191+G191)*O191/100)^2+(J191*(D191+G191)*0.08889)^2),0))</f>
        <v>93</v>
      </c>
      <c r="U191" s="25"/>
    </row>
    <row r="192" customFormat="false" ht="15" hidden="false" customHeight="false" outlineLevel="0" collapsed="false">
      <c r="A192" s="25" t="s">
        <v>197</v>
      </c>
      <c r="B192" s="25" t="s">
        <v>353</v>
      </c>
      <c r="C192" s="25" t="s">
        <v>354</v>
      </c>
      <c r="D192" s="52" t="n">
        <v>1006</v>
      </c>
      <c r="E192" s="52" t="n">
        <v>1017</v>
      </c>
      <c r="F192" s="63" t="n">
        <f aca="false">IF(E192="","",D192-E192)</f>
        <v>-11</v>
      </c>
      <c r="G192" s="52" t="n">
        <v>1069</v>
      </c>
      <c r="H192" s="52" t="n">
        <v>1074</v>
      </c>
      <c r="I192" s="63" t="n">
        <f aca="false">IF(H192="","",G192-H192)</f>
        <v>-5</v>
      </c>
      <c r="J192" s="53" t="n">
        <f aca="false">IF(OR(D192="",D192+G192=0),"",D192/(D192+G192))</f>
        <v>0.484819277108434</v>
      </c>
      <c r="K192" s="53" t="n">
        <f aca="false">IF(E192="","",E192/(E192+H192))</f>
        <v>0.486370157819225</v>
      </c>
      <c r="L192" s="64" t="n">
        <f aca="false">IF(OR(K192="",J192=""),"",(J192-K192)*100)</f>
        <v>-0.155088071079151</v>
      </c>
      <c r="M192" s="28" t="n">
        <v>2.07368371626919</v>
      </c>
      <c r="N192" s="28" t="n">
        <v>0.395914373242782</v>
      </c>
      <c r="O192" s="28" t="n">
        <f aca="false">SQRT(M192^2+N192^2)</f>
        <v>2.11114005837136</v>
      </c>
      <c r="P192" s="53" t="n">
        <f aca="false">IF(J192="","",MAX(0,J192-1.96*O192/100))</f>
        <v>0.443440931964355</v>
      </c>
      <c r="Q192" s="53" t="n">
        <f aca="false">IF(J192="","",MIN(1,J192+1.96*O192/100))</f>
        <v>0.526197622252512</v>
      </c>
      <c r="R192" s="25" t="str">
        <f aca="false">IF(L192="","",IF(ABS(L192)&lt;=O192,"Yes","No"))</f>
        <v>Yes</v>
      </c>
      <c r="S192" s="25" t="str">
        <f aca="false">IF(L192="","",IF(ABS(L192)&lt;=1.96*O192,"Yes","No"))</f>
        <v>Yes</v>
      </c>
      <c r="T192" s="52" t="n">
        <f aca="false">IF(D192="","",ROUND(SQRT(((D192+G192)*O192/100)^2+(J192*(D192+G192)*0.08889)^2),0))</f>
        <v>100</v>
      </c>
      <c r="U192" s="25"/>
    </row>
    <row r="193" customFormat="false" ht="15" hidden="false" customHeight="false" outlineLevel="0" collapsed="false">
      <c r="A193" s="25" t="s">
        <v>197</v>
      </c>
      <c r="B193" s="25" t="s">
        <v>353</v>
      </c>
      <c r="C193" s="25" t="s">
        <v>355</v>
      </c>
      <c r="D193" s="52" t="n">
        <v>739</v>
      </c>
      <c r="E193" s="52" t="n">
        <v>753</v>
      </c>
      <c r="F193" s="63" t="n">
        <f aca="false">IF(E193="","",D193-E193)</f>
        <v>-14</v>
      </c>
      <c r="G193" s="52" t="n">
        <v>844</v>
      </c>
      <c r="H193" s="52" t="n">
        <v>851</v>
      </c>
      <c r="I193" s="63" t="n">
        <f aca="false">IF(H193="","",G193-H193)</f>
        <v>-7</v>
      </c>
      <c r="J193" s="53" t="n">
        <f aca="false">IF(OR(D193="",D193+G193=0),"",D193/(D193+G193))</f>
        <v>0.466835123183828</v>
      </c>
      <c r="K193" s="53" t="n">
        <f aca="false">IF(E193="","",E193/(E193+H193))</f>
        <v>0.469451371571072</v>
      </c>
      <c r="L193" s="64" t="n">
        <f aca="false">IF(OR(K193="",J193=""),"",(J193-K193)*100)</f>
        <v>-0.261624838724411</v>
      </c>
      <c r="M193" s="28" t="n">
        <v>2.07368371626919</v>
      </c>
      <c r="N193" s="28" t="n">
        <v>0.395914373242782</v>
      </c>
      <c r="O193" s="28" t="n">
        <f aca="false">SQRT(M193^2+N193^2)</f>
        <v>2.11114005837136</v>
      </c>
      <c r="P193" s="53" t="n">
        <f aca="false">IF(J193="","",MAX(0,J193-1.96*O193/100))</f>
        <v>0.42545677803975</v>
      </c>
      <c r="Q193" s="53" t="n">
        <f aca="false">IF(J193="","",MIN(1,J193+1.96*O193/100))</f>
        <v>0.508213468327907</v>
      </c>
      <c r="R193" s="25" t="str">
        <f aca="false">IF(L193="","",IF(ABS(L193)&lt;=O193,"Yes","No"))</f>
        <v>Yes</v>
      </c>
      <c r="S193" s="25" t="str">
        <f aca="false">IF(L193="","",IF(ABS(L193)&lt;=1.96*O193,"Yes","No"))</f>
        <v>Yes</v>
      </c>
      <c r="T193" s="52" t="n">
        <f aca="false">IF(D193="","",ROUND(SQRT(((D193+G193)*O193/100)^2+(J193*(D193+G193)*0.08889)^2),0))</f>
        <v>74</v>
      </c>
      <c r="U193" s="25"/>
    </row>
    <row r="194" customFormat="false" ht="15" hidden="false" customHeight="false" outlineLevel="0" collapsed="false">
      <c r="A194" s="25" t="s">
        <v>197</v>
      </c>
      <c r="B194" s="25" t="s">
        <v>353</v>
      </c>
      <c r="C194" s="25" t="s">
        <v>356</v>
      </c>
      <c r="D194" s="52" t="n">
        <v>687</v>
      </c>
      <c r="E194" s="52" t="n">
        <v>713</v>
      </c>
      <c r="F194" s="63" t="n">
        <f aca="false">IF(E194="","",D194-E194)</f>
        <v>-26</v>
      </c>
      <c r="G194" s="52" t="n">
        <v>766</v>
      </c>
      <c r="H194" s="52" t="n">
        <v>780</v>
      </c>
      <c r="I194" s="63" t="n">
        <f aca="false">IF(H194="","",G194-H194)</f>
        <v>-14</v>
      </c>
      <c r="J194" s="53" t="n">
        <f aca="false">IF(OR(D194="",D194+G194=0),"",D194/(D194+G194))</f>
        <v>0.472814865794907</v>
      </c>
      <c r="K194" s="53" t="n">
        <f aca="false">IF(E194="","",E194/(E194+H194))</f>
        <v>0.477561955793704</v>
      </c>
      <c r="L194" s="64" t="n">
        <f aca="false">IF(OR(K194="",J194=""),"",(J194-K194)*100)</f>
        <v>-0.474708999879686</v>
      </c>
      <c r="M194" s="28" t="n">
        <v>2.07368371626919</v>
      </c>
      <c r="N194" s="28" t="n">
        <v>0.395914373242782</v>
      </c>
      <c r="O194" s="28" t="n">
        <f aca="false">SQRT(M194^2+N194^2)</f>
        <v>2.11114005837136</v>
      </c>
      <c r="P194" s="53" t="n">
        <f aca="false">IF(J194="","",MAX(0,J194-1.96*O194/100))</f>
        <v>0.431436520650829</v>
      </c>
      <c r="Q194" s="53" t="n">
        <f aca="false">IF(J194="","",MIN(1,J194+1.96*O194/100))</f>
        <v>0.514193210938986</v>
      </c>
      <c r="R194" s="25" t="str">
        <f aca="false">IF(L194="","",IF(ABS(L194)&lt;=O194,"Yes","No"))</f>
        <v>Yes</v>
      </c>
      <c r="S194" s="25" t="str">
        <f aca="false">IF(L194="","",IF(ABS(L194)&lt;=1.96*O194,"Yes","No"))</f>
        <v>Yes</v>
      </c>
      <c r="T194" s="52" t="n">
        <f aca="false">IF(D194="","",ROUND(SQRT(((D194+G194)*O194/100)^2+(J194*(D194+G194)*0.08889)^2),0))</f>
        <v>68</v>
      </c>
      <c r="U194" s="25"/>
    </row>
    <row r="195" customFormat="false" ht="15" hidden="false" customHeight="false" outlineLevel="0" collapsed="false">
      <c r="A195" s="25" t="s">
        <v>197</v>
      </c>
      <c r="B195" s="25" t="s">
        <v>353</v>
      </c>
      <c r="C195" s="25" t="s">
        <v>357</v>
      </c>
      <c r="D195" s="52" t="n">
        <v>1635</v>
      </c>
      <c r="E195" s="52" t="n">
        <v>1648</v>
      </c>
      <c r="F195" s="63" t="n">
        <f aca="false">IF(E195="","",D195-E195)</f>
        <v>-13</v>
      </c>
      <c r="G195" s="52" t="n">
        <v>1836</v>
      </c>
      <c r="H195" s="52" t="n">
        <v>1789</v>
      </c>
      <c r="I195" s="63" t="n">
        <f aca="false">IF(H195="","",G195-H195)</f>
        <v>47</v>
      </c>
      <c r="J195" s="53" t="n">
        <f aca="false">IF(OR(D195="",D195+G195=0),"",D195/(D195+G195))</f>
        <v>0.47104580812446</v>
      </c>
      <c r="K195" s="53" t="n">
        <f aca="false">IF(E195="","",E195/(E195+H195))</f>
        <v>0.479487925516439</v>
      </c>
      <c r="L195" s="64" t="n">
        <f aca="false">IF(OR(K195="",J195=""),"",(J195-K195)*100)</f>
        <v>-0.844211739197898</v>
      </c>
      <c r="M195" s="28" t="n">
        <v>2.07368371626919</v>
      </c>
      <c r="N195" s="28" t="n">
        <v>0.395914373242782</v>
      </c>
      <c r="O195" s="28" t="n">
        <f aca="false">SQRT(M195^2+N195^2)</f>
        <v>2.11114005837136</v>
      </c>
      <c r="P195" s="53" t="n">
        <f aca="false">IF(J195="","",MAX(0,J195-1.96*O195/100))</f>
        <v>0.429667462980381</v>
      </c>
      <c r="Q195" s="53" t="n">
        <f aca="false">IF(J195="","",MIN(1,J195+1.96*O195/100))</f>
        <v>0.512424153268538</v>
      </c>
      <c r="R195" s="25" t="str">
        <f aca="false">IF(L195="","",IF(ABS(L195)&lt;=O195,"Yes","No"))</f>
        <v>Yes</v>
      </c>
      <c r="S195" s="25" t="str">
        <f aca="false">IF(L195="","",IF(ABS(L195)&lt;=1.96*O195,"Yes","No"))</f>
        <v>Yes</v>
      </c>
      <c r="T195" s="52" t="n">
        <f aca="false">IF(D195="","",ROUND(SQRT(((D195+G195)*O195/100)^2+(J195*(D195+G195)*0.08889)^2),0))</f>
        <v>163</v>
      </c>
      <c r="U195" s="25"/>
    </row>
    <row r="196" customFormat="false" ht="15" hidden="false" customHeight="false" outlineLevel="0" collapsed="false">
      <c r="A196" s="25" t="s">
        <v>197</v>
      </c>
      <c r="B196" s="25" t="s">
        <v>353</v>
      </c>
      <c r="C196" s="25" t="s">
        <v>358</v>
      </c>
      <c r="D196" s="52" t="n">
        <v>688</v>
      </c>
      <c r="E196" s="52" t="n">
        <v>683</v>
      </c>
      <c r="F196" s="63" t="n">
        <f aca="false">IF(E196="","",D196-E196)</f>
        <v>5</v>
      </c>
      <c r="G196" s="52" t="n">
        <v>705</v>
      </c>
      <c r="H196" s="52" t="n">
        <v>663</v>
      </c>
      <c r="I196" s="63" t="n">
        <f aca="false">IF(H196="","",G196-H196)</f>
        <v>42</v>
      </c>
      <c r="J196" s="53" t="n">
        <f aca="false">IF(OR(D196="",D196+G196=0),"",D196/(D196+G196))</f>
        <v>0.493898061737258</v>
      </c>
      <c r="K196" s="53" t="n">
        <f aca="false">IF(E196="","",E196/(E196+H196))</f>
        <v>0.507429420505201</v>
      </c>
      <c r="L196" s="64" t="n">
        <f aca="false">IF(OR(K196="",J196=""),"",(J196-K196)*100)</f>
        <v>-1.35313587679429</v>
      </c>
      <c r="M196" s="28" t="n">
        <v>2.07368371626919</v>
      </c>
      <c r="N196" s="28" t="n">
        <v>0.395914373242782</v>
      </c>
      <c r="O196" s="28" t="n">
        <f aca="false">SQRT(M196^2+N196^2)</f>
        <v>2.11114005837136</v>
      </c>
      <c r="P196" s="53" t="n">
        <f aca="false">IF(J196="","",MAX(0,J196-1.96*O196/100))</f>
        <v>0.452519716593179</v>
      </c>
      <c r="Q196" s="53" t="n">
        <f aca="false">IF(J196="","",MIN(1,J196+1.96*O196/100))</f>
        <v>0.535276406881336</v>
      </c>
      <c r="R196" s="25" t="str">
        <f aca="false">IF(L196="","",IF(ABS(L196)&lt;=O196,"Yes","No"))</f>
        <v>Yes</v>
      </c>
      <c r="S196" s="25" t="str">
        <f aca="false">IF(L196="","",IF(ABS(L196)&lt;=1.96*O196,"Yes","No"))</f>
        <v>Yes</v>
      </c>
      <c r="T196" s="52" t="n">
        <f aca="false">IF(D196="","",ROUND(SQRT(((D196+G196)*O196/100)^2+(J196*(D196+G196)*0.08889)^2),0))</f>
        <v>68</v>
      </c>
      <c r="U196" s="25"/>
    </row>
    <row r="197" customFormat="false" ht="15" hidden="false" customHeight="false" outlineLevel="0" collapsed="false">
      <c r="A197" s="25" t="s">
        <v>197</v>
      </c>
      <c r="B197" s="25" t="s">
        <v>353</v>
      </c>
      <c r="C197" s="25" t="s">
        <v>359</v>
      </c>
      <c r="D197" s="52" t="n">
        <v>643</v>
      </c>
      <c r="E197" s="52" t="n">
        <v>648</v>
      </c>
      <c r="F197" s="63" t="n">
        <f aca="false">IF(E197="","",D197-E197)</f>
        <v>-5</v>
      </c>
      <c r="G197" s="52" t="n">
        <v>612</v>
      </c>
      <c r="H197" s="52" t="n">
        <v>583</v>
      </c>
      <c r="I197" s="63" t="n">
        <f aca="false">IF(H197="","",G197-H197)</f>
        <v>29</v>
      </c>
      <c r="J197" s="53" t="n">
        <f aca="false">IF(OR(D197="",D197+G197=0),"",D197/(D197+G197))</f>
        <v>0.512350597609562</v>
      </c>
      <c r="K197" s="53" t="n">
        <f aca="false">IF(E197="","",E197/(E197+H197))</f>
        <v>0.526401299756296</v>
      </c>
      <c r="L197" s="64" t="n">
        <f aca="false">IF(OR(K197="",J197=""),"",(J197-K197)*100)</f>
        <v>-1.4050702146734</v>
      </c>
      <c r="M197" s="28" t="n">
        <v>2.07368371626919</v>
      </c>
      <c r="N197" s="28" t="n">
        <v>0.395914373242782</v>
      </c>
      <c r="O197" s="28" t="n">
        <f aca="false">SQRT(M197^2+N197^2)</f>
        <v>2.11114005837136</v>
      </c>
      <c r="P197" s="53" t="n">
        <f aca="false">IF(J197="","",MAX(0,J197-1.96*O197/100))</f>
        <v>0.470972252465483</v>
      </c>
      <c r="Q197" s="53" t="n">
        <f aca="false">IF(J197="","",MIN(1,J197+1.96*O197/100))</f>
        <v>0.55372894275364</v>
      </c>
      <c r="R197" s="25" t="str">
        <f aca="false">IF(L197="","",IF(ABS(L197)&lt;=O197,"Yes","No"))</f>
        <v>Yes</v>
      </c>
      <c r="S197" s="25" t="str">
        <f aca="false">IF(L197="","",IF(ABS(L197)&lt;=1.96*O197,"Yes","No"))</f>
        <v>Yes</v>
      </c>
      <c r="T197" s="52" t="n">
        <f aca="false">IF(D197="","",ROUND(SQRT(((D197+G197)*O197/100)^2+(J197*(D197+G197)*0.08889)^2),0))</f>
        <v>63</v>
      </c>
      <c r="U197" s="25"/>
    </row>
    <row r="198" customFormat="false" ht="15" hidden="false" customHeight="false" outlineLevel="0" collapsed="false">
      <c r="A198" s="25" t="s">
        <v>197</v>
      </c>
      <c r="B198" s="25" t="s">
        <v>360</v>
      </c>
      <c r="C198" s="25" t="s">
        <v>361</v>
      </c>
      <c r="D198" s="52" t="n">
        <v>242</v>
      </c>
      <c r="E198" s="52" t="n">
        <v>243</v>
      </c>
      <c r="F198" s="63" t="n">
        <f aca="false">IF(E198="","",D198-E198)</f>
        <v>-1</v>
      </c>
      <c r="G198" s="52" t="n">
        <v>541</v>
      </c>
      <c r="H198" s="52" t="n">
        <v>532</v>
      </c>
      <c r="I198" s="63" t="n">
        <f aca="false">IF(H198="","",G198-H198)</f>
        <v>9</v>
      </c>
      <c r="J198" s="53" t="n">
        <f aca="false">IF(OR(D198="",D198+G198=0),"",D198/(D198+G198))</f>
        <v>0.309067688378033</v>
      </c>
      <c r="K198" s="53" t="n">
        <f aca="false">IF(E198="","",E198/(E198+H198))</f>
        <v>0.313548387096774</v>
      </c>
      <c r="L198" s="64" t="n">
        <f aca="false">IF(OR(K198="",J198=""),"",(J198-K198)*100)</f>
        <v>-0.448069871874096</v>
      </c>
      <c r="M198" s="28" t="n">
        <v>2.29525849334818</v>
      </c>
      <c r="N198" s="28" t="n">
        <v>0.395914373242782</v>
      </c>
      <c r="O198" s="28" t="n">
        <f aca="false">SQRT(M198^2+N198^2)</f>
        <v>2.32915429764264</v>
      </c>
      <c r="P198" s="53" t="n">
        <f aca="false">IF(J198="","",MAX(0,J198-1.96*O198/100))</f>
        <v>0.263416264144237</v>
      </c>
      <c r="Q198" s="53" t="n">
        <f aca="false">IF(J198="","",MIN(1,J198+1.96*O198/100))</f>
        <v>0.354719112611829</v>
      </c>
      <c r="R198" s="25" t="str">
        <f aca="false">IF(L198="","",IF(ABS(L198)&lt;=O198,"Yes","No"))</f>
        <v>Yes</v>
      </c>
      <c r="S198" s="25" t="str">
        <f aca="false">IF(L198="","",IF(ABS(L198)&lt;=1.96*O198,"Yes","No"))</f>
        <v>Yes</v>
      </c>
      <c r="T198" s="52" t="n">
        <f aca="false">IF(D198="","",ROUND(SQRT(((D198+G198)*O198/100)^2+(J198*(D198+G198)*0.10931)^2),0))</f>
        <v>32</v>
      </c>
      <c r="U198" s="25"/>
    </row>
    <row r="199" customFormat="false" ht="15" hidden="false" customHeight="false" outlineLevel="0" collapsed="false">
      <c r="A199" s="25" t="s">
        <v>197</v>
      </c>
      <c r="B199" s="25" t="s">
        <v>360</v>
      </c>
      <c r="C199" s="25" t="s">
        <v>362</v>
      </c>
      <c r="D199" s="52" t="n">
        <v>821</v>
      </c>
      <c r="E199" s="52" t="n">
        <v>841</v>
      </c>
      <c r="F199" s="63" t="n">
        <f aca="false">IF(E199="","",D199-E199)</f>
        <v>-20</v>
      </c>
      <c r="G199" s="52" t="n">
        <v>1661</v>
      </c>
      <c r="H199" s="52" t="n">
        <v>1653</v>
      </c>
      <c r="I199" s="63" t="n">
        <f aca="false">IF(H199="","",G199-H199)</f>
        <v>8</v>
      </c>
      <c r="J199" s="53" t="n">
        <f aca="false">IF(OR(D199="",D199+G199=0),"",D199/(D199+G199))</f>
        <v>0.330781627719581</v>
      </c>
      <c r="K199" s="53" t="n">
        <f aca="false">IF(E199="","",E199/(E199+H199))</f>
        <v>0.337209302325581</v>
      </c>
      <c r="L199" s="64" t="n">
        <f aca="false">IF(OR(K199="",J199=""),"",(J199-K199)*100)</f>
        <v>-0.642767460600041</v>
      </c>
      <c r="M199" s="28" t="n">
        <v>2.07368371626919</v>
      </c>
      <c r="N199" s="28" t="n">
        <v>0.395914373242782</v>
      </c>
      <c r="O199" s="28" t="n">
        <f aca="false">SQRT(M199^2+N199^2)</f>
        <v>2.11114005837136</v>
      </c>
      <c r="P199" s="53" t="n">
        <f aca="false">IF(J199="","",MAX(0,J199-1.96*O199/100))</f>
        <v>0.289403282575502</v>
      </c>
      <c r="Q199" s="53" t="n">
        <f aca="false">IF(J199="","",MIN(1,J199+1.96*O199/100))</f>
        <v>0.37215997286366</v>
      </c>
      <c r="R199" s="25" t="str">
        <f aca="false">IF(L199="","",IF(ABS(L199)&lt;=O199,"Yes","No"))</f>
        <v>Yes</v>
      </c>
      <c r="S199" s="25" t="str">
        <f aca="false">IF(L199="","",IF(ABS(L199)&lt;=1.96*O199,"Yes","No"))</f>
        <v>Yes</v>
      </c>
      <c r="T199" s="52" t="n">
        <f aca="false">IF(D199="","",ROUND(SQRT(((D199+G199)*O199/100)^2+(J199*(D199+G199)*0.08889)^2),0))</f>
        <v>90</v>
      </c>
      <c r="U199" s="25"/>
    </row>
    <row r="200" customFormat="false" ht="15" hidden="false" customHeight="false" outlineLevel="0" collapsed="false">
      <c r="A200" s="25" t="s">
        <v>197</v>
      </c>
      <c r="B200" s="25" t="s">
        <v>360</v>
      </c>
      <c r="C200" s="25" t="s">
        <v>363</v>
      </c>
      <c r="D200" s="52" t="n">
        <v>206</v>
      </c>
      <c r="E200" s="52" t="n">
        <v>182</v>
      </c>
      <c r="F200" s="63" t="n">
        <f aca="false">IF(E200="","",D200-E200)</f>
        <v>24</v>
      </c>
      <c r="G200" s="52" t="n">
        <v>467</v>
      </c>
      <c r="H200" s="52" t="n">
        <v>484</v>
      </c>
      <c r="I200" s="63" t="n">
        <f aca="false">IF(H200="","",G200-H200)</f>
        <v>-17</v>
      </c>
      <c r="J200" s="53" t="n">
        <f aca="false">IF(OR(D200="",D200+G200=0),"",D200/(D200+G200))</f>
        <v>0.306092124814265</v>
      </c>
      <c r="K200" s="53" t="n">
        <f aca="false">IF(E200="","",E200/(E200+H200))</f>
        <v>0.273273273273273</v>
      </c>
      <c r="L200" s="64" t="n">
        <f aca="false">IF(OR(K200="",J200=""),"",(J200-K200)*100)</f>
        <v>3.28188515409912</v>
      </c>
      <c r="M200" s="28" t="n">
        <v>3.51968652681483</v>
      </c>
      <c r="N200" s="28" t="n">
        <v>0.395914373242782</v>
      </c>
      <c r="O200" s="28" t="n">
        <f aca="false">SQRT(M200^2+N200^2)</f>
        <v>3.54188388262265</v>
      </c>
      <c r="P200" s="53" t="n">
        <f aca="false">IF(J200="","",MAX(0,J200-1.96*O200/100))</f>
        <v>0.236671200714861</v>
      </c>
      <c r="Q200" s="53" t="n">
        <f aca="false">IF(J200="","",MIN(1,J200+1.96*O200/100))</f>
        <v>0.375513048913668</v>
      </c>
      <c r="R200" s="25" t="str">
        <f aca="false">IF(L200="","",IF(ABS(L200)&lt;=O200,"Yes","No"))</f>
        <v>Yes</v>
      </c>
      <c r="S200" s="25" t="str">
        <f aca="false">IF(L200="","",IF(ABS(L200)&lt;=1.96*O200,"Yes","No"))</f>
        <v>Yes</v>
      </c>
      <c r="T200" s="52" t="n">
        <f aca="false">IF(D200="","",ROUND(SQRT(((D200+G200)*O200/100)^2+(J200*(D200+G200)*0.1901)^2),0))</f>
        <v>46</v>
      </c>
      <c r="U200" s="25"/>
    </row>
    <row r="201" customFormat="false" ht="15" hidden="false" customHeight="false" outlineLevel="0" collapsed="false">
      <c r="A201" s="25" t="s">
        <v>197</v>
      </c>
      <c r="B201" s="25" t="s">
        <v>364</v>
      </c>
      <c r="C201" s="25" t="s">
        <v>364</v>
      </c>
      <c r="D201" s="52" t="n">
        <v>1110</v>
      </c>
      <c r="E201" s="52" t="n">
        <v>1172</v>
      </c>
      <c r="F201" s="63" t="n">
        <f aca="false">IF(E201="","",D201-E201)</f>
        <v>-62</v>
      </c>
      <c r="G201" s="52" t="n">
        <v>2275</v>
      </c>
      <c r="H201" s="52" t="n">
        <v>2201</v>
      </c>
      <c r="I201" s="63" t="n">
        <f aca="false">IF(H201="","",G201-H201)</f>
        <v>74</v>
      </c>
      <c r="J201" s="53" t="n">
        <f aca="false">IF(OR(D201="",D201+G201=0),"",D201/(D201+G201))</f>
        <v>0.327917282127031</v>
      </c>
      <c r="K201" s="53" t="n">
        <f aca="false">IF(E201="","",E201/(E201+H201))</f>
        <v>0.347465164541951</v>
      </c>
      <c r="L201" s="64" t="n">
        <f aca="false">IF(OR(K201="",J201=""),"",(J201-K201)*100)</f>
        <v>-1.95478824149198</v>
      </c>
      <c r="M201" s="28" t="n">
        <v>2.07368371626919</v>
      </c>
      <c r="N201" s="28" t="n">
        <v>0.395914373242782</v>
      </c>
      <c r="O201" s="28" t="n">
        <f aca="false">SQRT(M201^2+N201^2)</f>
        <v>2.11114005837136</v>
      </c>
      <c r="P201" s="53" t="n">
        <f aca="false">IF(J201="","",MAX(0,J201-1.96*O201/100))</f>
        <v>0.286538936982952</v>
      </c>
      <c r="Q201" s="53" t="n">
        <f aca="false">IF(J201="","",MIN(1,J201+1.96*O201/100))</f>
        <v>0.36929562727111</v>
      </c>
      <c r="R201" s="25" t="str">
        <f aca="false">IF(L201="","",IF(ABS(L201)&lt;=O201,"Yes","No"))</f>
        <v>Yes</v>
      </c>
      <c r="S201" s="25" t="str">
        <f aca="false">IF(L201="","",IF(ABS(L201)&lt;=1.96*O201,"Yes","No"))</f>
        <v>Yes</v>
      </c>
      <c r="T201" s="52" t="n">
        <f aca="false">IF(D201="","",ROUND(SQRT(((D201+G201)*O201/100)^2+(J201*(D201+G201)*0.08889)^2),0))</f>
        <v>122</v>
      </c>
      <c r="U201" s="25"/>
    </row>
    <row r="202" customFormat="false" ht="15" hidden="false" customHeight="false" outlineLevel="0" collapsed="false">
      <c r="A202" s="25" t="s">
        <v>197</v>
      </c>
      <c r="B202" s="25" t="s">
        <v>365</v>
      </c>
      <c r="C202" s="25" t="s">
        <v>366</v>
      </c>
      <c r="D202" s="52" t="n">
        <v>798</v>
      </c>
      <c r="E202" s="52" t="n">
        <v>811</v>
      </c>
      <c r="F202" s="63" t="n">
        <f aca="false">IF(E202="","",D202-E202)</f>
        <v>-13</v>
      </c>
      <c r="G202" s="52" t="n">
        <v>919</v>
      </c>
      <c r="H202" s="52" t="n">
        <v>918</v>
      </c>
      <c r="I202" s="63" t="n">
        <f aca="false">IF(H202="","",G202-H202)</f>
        <v>1</v>
      </c>
      <c r="J202" s="53" t="n">
        <f aca="false">IF(OR(D202="",D202+G202=0),"",D202/(D202+G202))</f>
        <v>0.464764123471171</v>
      </c>
      <c r="K202" s="53" t="n">
        <f aca="false">IF(E202="","",E202/(E202+H202))</f>
        <v>0.469057258530943</v>
      </c>
      <c r="L202" s="64" t="n">
        <f aca="false">IF(OR(K202="",J202=""),"",(J202-K202)*100)</f>
        <v>-0.429313505977214</v>
      </c>
      <c r="M202" s="28" t="n">
        <v>2.07368371626919</v>
      </c>
      <c r="N202" s="28" t="n">
        <v>0.395914373242782</v>
      </c>
      <c r="O202" s="28" t="n">
        <f aca="false">SQRT(M202^2+N202^2)</f>
        <v>2.11114005837136</v>
      </c>
      <c r="P202" s="53" t="n">
        <f aca="false">IF(J202="","",MAX(0,J202-1.96*O202/100))</f>
        <v>0.423385778327092</v>
      </c>
      <c r="Q202" s="53" t="n">
        <f aca="false">IF(J202="","",MIN(1,J202+1.96*O202/100))</f>
        <v>0.506142468615249</v>
      </c>
      <c r="R202" s="25" t="str">
        <f aca="false">IF(L202="","",IF(ABS(L202)&lt;=O202,"Yes","No"))</f>
        <v>Yes</v>
      </c>
      <c r="S202" s="25" t="str">
        <f aca="false">IF(L202="","",IF(ABS(L202)&lt;=1.96*O202,"Yes","No"))</f>
        <v>Yes</v>
      </c>
      <c r="T202" s="52" t="n">
        <f aca="false">IF(D202="","",ROUND(SQRT(((D202+G202)*O202/100)^2+(J202*(D202+G202)*0.08889)^2),0))</f>
        <v>80</v>
      </c>
      <c r="U202" s="25"/>
    </row>
    <row r="203" customFormat="false" ht="15" hidden="false" customHeight="false" outlineLevel="0" collapsed="false">
      <c r="A203" s="25" t="s">
        <v>197</v>
      </c>
      <c r="B203" s="25" t="s">
        <v>365</v>
      </c>
      <c r="C203" s="25" t="s">
        <v>367</v>
      </c>
      <c r="D203" s="52" t="n">
        <v>613</v>
      </c>
      <c r="E203" s="52" t="n">
        <v>606</v>
      </c>
      <c r="F203" s="63" t="n">
        <f aca="false">IF(E203="","",D203-E203)</f>
        <v>7</v>
      </c>
      <c r="G203" s="52" t="n">
        <v>691</v>
      </c>
      <c r="H203" s="52" t="n">
        <v>669</v>
      </c>
      <c r="I203" s="63" t="n">
        <f aca="false">IF(H203="","",G203-H203)</f>
        <v>22</v>
      </c>
      <c r="J203" s="53" t="n">
        <f aca="false">IF(OR(D203="",D203+G203=0),"",D203/(D203+G203))</f>
        <v>0.470092024539877</v>
      </c>
      <c r="K203" s="53" t="n">
        <f aca="false">IF(E203="","",E203/(E203+H203))</f>
        <v>0.475294117647059</v>
      </c>
      <c r="L203" s="64" t="n">
        <f aca="false">IF(OR(K203="",J203=""),"",(J203-K203)*100)</f>
        <v>-0.520209310718151</v>
      </c>
      <c r="M203" s="28" t="n">
        <v>2.07368371626919</v>
      </c>
      <c r="N203" s="28" t="n">
        <v>0.395914373242782</v>
      </c>
      <c r="O203" s="28" t="n">
        <f aca="false">SQRT(M203^2+N203^2)</f>
        <v>2.11114005837136</v>
      </c>
      <c r="P203" s="53" t="n">
        <f aca="false">IF(J203="","",MAX(0,J203-1.96*O203/100))</f>
        <v>0.428713679395799</v>
      </c>
      <c r="Q203" s="53" t="n">
        <f aca="false">IF(J203="","",MIN(1,J203+1.96*O203/100))</f>
        <v>0.511470369683956</v>
      </c>
      <c r="R203" s="25" t="str">
        <f aca="false">IF(L203="","",IF(ABS(L203)&lt;=O203,"Yes","No"))</f>
        <v>Yes</v>
      </c>
      <c r="S203" s="25" t="str">
        <f aca="false">IF(L203="","",IF(ABS(L203)&lt;=1.96*O203,"Yes","No"))</f>
        <v>Yes</v>
      </c>
      <c r="T203" s="52" t="n">
        <f aca="false">IF(D203="","",ROUND(SQRT(((D203+G203)*O203/100)^2+(J203*(D203+G203)*0.08889)^2),0))</f>
        <v>61</v>
      </c>
      <c r="U203" s="25"/>
    </row>
    <row r="204" customFormat="false" ht="15" hidden="false" customHeight="false" outlineLevel="0" collapsed="false">
      <c r="A204" s="25" t="s">
        <v>197</v>
      </c>
      <c r="B204" s="25" t="s">
        <v>365</v>
      </c>
      <c r="C204" s="25" t="s">
        <v>368</v>
      </c>
      <c r="D204" s="52" t="n">
        <v>771</v>
      </c>
      <c r="E204" s="52" t="n">
        <v>732</v>
      </c>
      <c r="F204" s="63" t="n">
        <f aca="false">IF(E204="","",D204-E204)</f>
        <v>39</v>
      </c>
      <c r="G204" s="52" t="n">
        <v>591</v>
      </c>
      <c r="H204" s="52" t="n">
        <v>616</v>
      </c>
      <c r="I204" s="63" t="n">
        <f aca="false">IF(H204="","",G204-H204)</f>
        <v>-25</v>
      </c>
      <c r="J204" s="53" t="n">
        <f aca="false">IF(OR(D204="",D204+G204=0),"",D204/(D204+G204))</f>
        <v>0.566079295154185</v>
      </c>
      <c r="K204" s="53" t="n">
        <f aca="false">IF(E204="","",E204/(E204+H204))</f>
        <v>0.543026706231454</v>
      </c>
      <c r="L204" s="64" t="n">
        <f aca="false">IF(OR(K204="",J204=""),"",(J204-K204)*100)</f>
        <v>2.3052588922731</v>
      </c>
      <c r="M204" s="28" t="n">
        <v>2.07368371626919</v>
      </c>
      <c r="N204" s="28" t="n">
        <v>0.395914373242782</v>
      </c>
      <c r="O204" s="28" t="n">
        <f aca="false">SQRT(M204^2+N204^2)</f>
        <v>2.11114005837136</v>
      </c>
      <c r="P204" s="53" t="n">
        <f aca="false">IF(J204="","",MAX(0,J204-1.96*O204/100))</f>
        <v>0.524700950010106</v>
      </c>
      <c r="Q204" s="53" t="n">
        <f aca="false">IF(J204="","",MIN(1,J204+1.96*O204/100))</f>
        <v>0.607457640298264</v>
      </c>
      <c r="R204" s="25" t="str">
        <f aca="false">IF(L204="","",IF(ABS(L204)&lt;=O204,"Yes","No"))</f>
        <v>No</v>
      </c>
      <c r="S204" s="25" t="str">
        <f aca="false">IF(L204="","",IF(ABS(L204)&lt;=1.96*O204,"Yes","No"))</f>
        <v>Yes</v>
      </c>
      <c r="T204" s="52" t="n">
        <f aca="false">IF(D204="","",ROUND(SQRT(((D204+G204)*O204/100)^2+(J204*(D204+G204)*0.08889)^2),0))</f>
        <v>74</v>
      </c>
      <c r="U204" s="25"/>
    </row>
    <row r="205" customFormat="false" ht="15" hidden="false" customHeight="false" outlineLevel="0" collapsed="false">
      <c r="A205" s="25" t="s">
        <v>197</v>
      </c>
      <c r="B205" s="25" t="s">
        <v>365</v>
      </c>
      <c r="C205" s="25" t="s">
        <v>369</v>
      </c>
      <c r="D205" s="52" t="n">
        <v>902</v>
      </c>
      <c r="E205" s="52" t="n">
        <v>871</v>
      </c>
      <c r="F205" s="63" t="n">
        <f aca="false">IF(E205="","",D205-E205)</f>
        <v>31</v>
      </c>
      <c r="G205" s="52" t="n">
        <v>638</v>
      </c>
      <c r="H205" s="52" t="n">
        <v>616</v>
      </c>
      <c r="I205" s="63" t="n">
        <f aca="false">IF(H205="","",G205-H205)</f>
        <v>22</v>
      </c>
      <c r="J205" s="53" t="n">
        <f aca="false">IF(OR(D205="",D205+G205=0),"",D205/(D205+G205))</f>
        <v>0.585714285714286</v>
      </c>
      <c r="K205" s="53" t="n">
        <f aca="false">IF(E205="","",E205/(E205+H205))</f>
        <v>0.585743106926698</v>
      </c>
      <c r="L205" s="64" t="n">
        <f aca="false">IF(OR(K205="",J205=""),"",(J205-K205)*100)</f>
        <v>-0.00288212124123222</v>
      </c>
      <c r="M205" s="28" t="n">
        <v>2.07368371626919</v>
      </c>
      <c r="N205" s="28" t="n">
        <v>0.395914373242782</v>
      </c>
      <c r="O205" s="28" t="n">
        <f aca="false">SQRT(M205^2+N205^2)</f>
        <v>2.11114005837136</v>
      </c>
      <c r="P205" s="53" t="n">
        <f aca="false">IF(J205="","",MAX(0,J205-1.96*O205/100))</f>
        <v>0.544335940570207</v>
      </c>
      <c r="Q205" s="53" t="n">
        <f aca="false">IF(J205="","",MIN(1,J205+1.96*O205/100))</f>
        <v>0.627092630858364</v>
      </c>
      <c r="R205" s="25" t="str">
        <f aca="false">IF(L205="","",IF(ABS(L205)&lt;=O205,"Yes","No"))</f>
        <v>Yes</v>
      </c>
      <c r="S205" s="25" t="str">
        <f aca="false">IF(L205="","",IF(ABS(L205)&lt;=1.96*O205,"Yes","No"))</f>
        <v>Yes</v>
      </c>
      <c r="T205" s="52" t="n">
        <f aca="false">IF(D205="","",ROUND(SQRT(((D205+G205)*O205/100)^2+(J205*(D205+G205)*0.08889)^2),0))</f>
        <v>87</v>
      </c>
      <c r="U205" s="25"/>
    </row>
    <row r="206" customFormat="false" ht="15" hidden="false" customHeight="false" outlineLevel="0" collapsed="false">
      <c r="A206" s="25" t="s">
        <v>197</v>
      </c>
      <c r="B206" s="25" t="s">
        <v>365</v>
      </c>
      <c r="C206" s="25" t="s">
        <v>370</v>
      </c>
      <c r="D206" s="52" t="n">
        <v>313</v>
      </c>
      <c r="E206" s="52" t="n">
        <v>305</v>
      </c>
      <c r="F206" s="63" t="n">
        <f aca="false">IF(E206="","",D206-E206)</f>
        <v>8</v>
      </c>
      <c r="G206" s="52" t="n">
        <v>262</v>
      </c>
      <c r="H206" s="52" t="n">
        <v>262</v>
      </c>
      <c r="I206" s="63" t="n">
        <f aca="false">IF(H206="","",G206-H206)</f>
        <v>0</v>
      </c>
      <c r="J206" s="53" t="n">
        <f aca="false">IF(OR(D206="",D206+G206=0),"",D206/(D206+G206))</f>
        <v>0.544347826086957</v>
      </c>
      <c r="K206" s="53" t="n">
        <f aca="false">IF(E206="","",E206/(E206+H206))</f>
        <v>0.537918871252205</v>
      </c>
      <c r="L206" s="64" t="n">
        <f aca="false">IF(OR(K206="",J206=""),"",(J206-K206)*100)</f>
        <v>0.642895483475192</v>
      </c>
      <c r="M206" s="28" t="n">
        <v>3.51968652681483</v>
      </c>
      <c r="N206" s="28" t="n">
        <v>0.395914373242782</v>
      </c>
      <c r="O206" s="28" t="n">
        <f aca="false">SQRT(M206^2+N206^2)</f>
        <v>3.54188388262265</v>
      </c>
      <c r="P206" s="53" t="n">
        <f aca="false">IF(J206="","",MAX(0,J206-1.96*O206/100))</f>
        <v>0.474926901987553</v>
      </c>
      <c r="Q206" s="53" t="n">
        <f aca="false">IF(J206="","",MIN(1,J206+1.96*O206/100))</f>
        <v>0.613768750186361</v>
      </c>
      <c r="R206" s="25" t="str">
        <f aca="false">IF(L206="","",IF(ABS(L206)&lt;=O206,"Yes","No"))</f>
        <v>Yes</v>
      </c>
      <c r="S206" s="25" t="str">
        <f aca="false">IF(L206="","",IF(ABS(L206)&lt;=1.96*O206,"Yes","No"))</f>
        <v>Yes</v>
      </c>
      <c r="T206" s="52" t="n">
        <f aca="false">IF(D206="","",ROUND(SQRT(((D206+G206)*O206/100)^2+(J206*(D206+G206)*0.1901)^2),0))</f>
        <v>63</v>
      </c>
      <c r="U206" s="25"/>
    </row>
    <row r="207" customFormat="false" ht="15" hidden="false" customHeight="false" outlineLevel="0" collapsed="false">
      <c r="A207" s="25" t="s">
        <v>197</v>
      </c>
      <c r="B207" s="25" t="s">
        <v>365</v>
      </c>
      <c r="C207" s="25" t="s">
        <v>371</v>
      </c>
      <c r="D207" s="52" t="n">
        <v>562</v>
      </c>
      <c r="E207" s="52" t="n">
        <v>535</v>
      </c>
      <c r="F207" s="63" t="n">
        <f aca="false">IF(E207="","",D207-E207)</f>
        <v>27</v>
      </c>
      <c r="G207" s="52" t="n">
        <v>336</v>
      </c>
      <c r="H207" s="52" t="n">
        <v>364</v>
      </c>
      <c r="I207" s="63" t="n">
        <f aca="false">IF(H207="","",G207-H207)</f>
        <v>-28</v>
      </c>
      <c r="J207" s="53" t="n">
        <f aca="false">IF(OR(D207="",D207+G207=0),"",D207/(D207+G207))</f>
        <v>0.625835189309577</v>
      </c>
      <c r="K207" s="53" t="n">
        <f aca="false">IF(E207="","",E207/(E207+H207))</f>
        <v>0.595105672969967</v>
      </c>
      <c r="L207" s="64" t="n">
        <f aca="false">IF(OR(K207="",J207=""),"",(J207-K207)*100)</f>
        <v>3.07295163396102</v>
      </c>
      <c r="M207" s="28" t="n">
        <v>2.29525849334818</v>
      </c>
      <c r="N207" s="28" t="n">
        <v>0.395914373242782</v>
      </c>
      <c r="O207" s="28" t="n">
        <f aca="false">SQRT(M207^2+N207^2)</f>
        <v>2.32915429764264</v>
      </c>
      <c r="P207" s="53" t="n">
        <f aca="false">IF(J207="","",MAX(0,J207-1.96*O207/100))</f>
        <v>0.580183765075781</v>
      </c>
      <c r="Q207" s="53" t="n">
        <f aca="false">IF(J207="","",MIN(1,J207+1.96*O207/100))</f>
        <v>0.671486613543373</v>
      </c>
      <c r="R207" s="25" t="str">
        <f aca="false">IF(L207="","",IF(ABS(L207)&lt;=O207,"Yes","No"))</f>
        <v>No</v>
      </c>
      <c r="S207" s="25" t="str">
        <f aca="false">IF(L207="","",IF(ABS(L207)&lt;=1.96*O207,"Yes","No"))</f>
        <v>Yes</v>
      </c>
      <c r="T207" s="52" t="n">
        <f aca="false">IF(D207="","",ROUND(SQRT(((D207+G207)*O207/100)^2+(J207*(D207+G207)*0.10931)^2),0))</f>
        <v>65</v>
      </c>
      <c r="U207" s="25"/>
    </row>
    <row r="208" customFormat="false" ht="15" hidden="false" customHeight="false" outlineLevel="0" collapsed="false">
      <c r="A208" s="25" t="s">
        <v>197</v>
      </c>
      <c r="B208" s="25" t="s">
        <v>365</v>
      </c>
      <c r="C208" s="25" t="s">
        <v>372</v>
      </c>
      <c r="D208" s="52" t="n">
        <v>530</v>
      </c>
      <c r="E208" s="52" t="n">
        <v>564</v>
      </c>
      <c r="F208" s="63" t="n">
        <f aca="false">IF(E208="","",D208-E208)</f>
        <v>-34</v>
      </c>
      <c r="G208" s="52" t="n">
        <v>441</v>
      </c>
      <c r="H208" s="52" t="n">
        <v>451</v>
      </c>
      <c r="I208" s="63" t="n">
        <f aca="false">IF(H208="","",G208-H208)</f>
        <v>-10</v>
      </c>
      <c r="J208" s="53" t="n">
        <f aca="false">IF(OR(D208="",D208+G208=0),"",D208/(D208+G208))</f>
        <v>0.545829042224511</v>
      </c>
      <c r="K208" s="53" t="n">
        <f aca="false">IF(E208="","",E208/(E208+H208))</f>
        <v>0.555665024630542</v>
      </c>
      <c r="L208" s="64" t="n">
        <f aca="false">IF(OR(K208="",J208=""),"",(J208-K208)*100)</f>
        <v>-0.983598240603112</v>
      </c>
      <c r="M208" s="28" t="n">
        <v>2.29525849334818</v>
      </c>
      <c r="N208" s="28" t="n">
        <v>0.395914373242782</v>
      </c>
      <c r="O208" s="28" t="n">
        <f aca="false">SQRT(M208^2+N208^2)</f>
        <v>2.32915429764264</v>
      </c>
      <c r="P208" s="53" t="n">
        <f aca="false">IF(J208="","",MAX(0,J208-1.96*O208/100))</f>
        <v>0.500177617990715</v>
      </c>
      <c r="Q208" s="53" t="n">
        <f aca="false">IF(J208="","",MIN(1,J208+1.96*O208/100))</f>
        <v>0.591480466458307</v>
      </c>
      <c r="R208" s="25" t="str">
        <f aca="false">IF(L208="","",IF(ABS(L208)&lt;=O208,"Yes","No"))</f>
        <v>Yes</v>
      </c>
      <c r="S208" s="25" t="str">
        <f aca="false">IF(L208="","",IF(ABS(L208)&lt;=1.96*O208,"Yes","No"))</f>
        <v>Yes</v>
      </c>
      <c r="T208" s="52" t="n">
        <f aca="false">IF(D208="","",ROUND(SQRT(((D208+G208)*O208/100)^2+(J208*(D208+G208)*0.10931)^2),0))</f>
        <v>62</v>
      </c>
      <c r="U208" s="25"/>
    </row>
    <row r="209" customFormat="false" ht="15" hidden="false" customHeight="false" outlineLevel="0" collapsed="false">
      <c r="A209" s="25" t="s">
        <v>197</v>
      </c>
      <c r="B209" s="25" t="s">
        <v>365</v>
      </c>
      <c r="C209" s="25" t="s">
        <v>373</v>
      </c>
      <c r="D209" s="52" t="n">
        <v>269</v>
      </c>
      <c r="E209" s="52" t="n">
        <v>279</v>
      </c>
      <c r="F209" s="63" t="n">
        <f aca="false">IF(E209="","",D209-E209)</f>
        <v>-10</v>
      </c>
      <c r="G209" s="52" t="n">
        <v>315</v>
      </c>
      <c r="H209" s="52" t="n">
        <v>318</v>
      </c>
      <c r="I209" s="63" t="n">
        <f aca="false">IF(H209="","",G209-H209)</f>
        <v>-3</v>
      </c>
      <c r="J209" s="53" t="n">
        <f aca="false">IF(OR(D209="",D209+G209=0),"",D209/(D209+G209))</f>
        <v>0.460616438356164</v>
      </c>
      <c r="K209" s="53" t="n">
        <f aca="false">IF(E209="","",E209/(E209+H209))</f>
        <v>0.467336683417085</v>
      </c>
      <c r="L209" s="64" t="n">
        <f aca="false">IF(OR(K209="",J209=""),"",(J209-K209)*100)</f>
        <v>-0.672024506092106</v>
      </c>
      <c r="M209" s="28" t="n">
        <v>3.51968652681483</v>
      </c>
      <c r="N209" s="28" t="n">
        <v>0.395914373242782</v>
      </c>
      <c r="O209" s="28" t="n">
        <f aca="false">SQRT(M209^2+N209^2)</f>
        <v>3.54188388262265</v>
      </c>
      <c r="P209" s="53" t="n">
        <f aca="false">IF(J209="","",MAX(0,J209-1.96*O209/100))</f>
        <v>0.391195514256761</v>
      </c>
      <c r="Q209" s="53" t="n">
        <f aca="false">IF(J209="","",MIN(1,J209+1.96*O209/100))</f>
        <v>0.530037362455568</v>
      </c>
      <c r="R209" s="25" t="str">
        <f aca="false">IF(L209="","",IF(ABS(L209)&lt;=O209,"Yes","No"))</f>
        <v>Yes</v>
      </c>
      <c r="S209" s="25" t="str">
        <f aca="false">IF(L209="","",IF(ABS(L209)&lt;=1.96*O209,"Yes","No"))</f>
        <v>Yes</v>
      </c>
      <c r="T209" s="52" t="n">
        <f aca="false">IF(D209="","",ROUND(SQRT(((D209+G209)*O209/100)^2+(J209*(D209+G209)*0.1901)^2),0))</f>
        <v>55</v>
      </c>
      <c r="U209" s="25"/>
    </row>
    <row r="210" customFormat="false" ht="15" hidden="false" customHeight="false" outlineLevel="0" collapsed="false">
      <c r="A210" s="25" t="s">
        <v>197</v>
      </c>
      <c r="B210" s="25" t="s">
        <v>365</v>
      </c>
      <c r="C210" s="25" t="s">
        <v>374</v>
      </c>
      <c r="D210" s="52" t="n">
        <v>592</v>
      </c>
      <c r="E210" s="52" t="n">
        <v>571</v>
      </c>
      <c r="F210" s="63" t="n">
        <f aca="false">IF(E210="","",D210-E210)</f>
        <v>21</v>
      </c>
      <c r="G210" s="52" t="n">
        <v>542</v>
      </c>
      <c r="H210" s="52" t="n">
        <v>544</v>
      </c>
      <c r="I210" s="63" t="n">
        <f aca="false">IF(H210="","",G210-H210)</f>
        <v>-2</v>
      </c>
      <c r="J210" s="53" t="n">
        <f aca="false">IF(OR(D210="",D210+G210=0),"",D210/(D210+G210))</f>
        <v>0.522045855379189</v>
      </c>
      <c r="K210" s="53" t="n">
        <f aca="false">IF(E210="","",E210/(E210+H210))</f>
        <v>0.512107623318386</v>
      </c>
      <c r="L210" s="64" t="n">
        <f aca="false">IF(OR(K210="",J210=""),"",(J210-K210)*100)</f>
        <v>0.993823206080302</v>
      </c>
      <c r="M210" s="28" t="n">
        <v>2.29525849334818</v>
      </c>
      <c r="N210" s="28" t="n">
        <v>0.395914373242782</v>
      </c>
      <c r="O210" s="28" t="n">
        <f aca="false">SQRT(M210^2+N210^2)</f>
        <v>2.32915429764264</v>
      </c>
      <c r="P210" s="53" t="n">
        <f aca="false">IF(J210="","",MAX(0,J210-1.96*O210/100))</f>
        <v>0.476394431145393</v>
      </c>
      <c r="Q210" s="53" t="n">
        <f aca="false">IF(J210="","",MIN(1,J210+1.96*O210/100))</f>
        <v>0.567697279612984</v>
      </c>
      <c r="R210" s="25" t="str">
        <f aca="false">IF(L210="","",IF(ABS(L210)&lt;=O210,"Yes","No"))</f>
        <v>Yes</v>
      </c>
      <c r="S210" s="25" t="str">
        <f aca="false">IF(L210="","",IF(ABS(L210)&lt;=1.96*O210,"Yes","No"))</f>
        <v>Yes</v>
      </c>
      <c r="T210" s="52" t="n">
        <f aca="false">IF(D210="","",ROUND(SQRT(((D210+G210)*O210/100)^2+(J210*(D210+G210)*0.10931)^2),0))</f>
        <v>70</v>
      </c>
      <c r="U210" s="25"/>
    </row>
    <row r="211" customFormat="false" ht="15" hidden="false" customHeight="false" outlineLevel="0" collapsed="false">
      <c r="A211" s="25" t="s">
        <v>197</v>
      </c>
      <c r="B211" s="25" t="s">
        <v>365</v>
      </c>
      <c r="C211" s="25" t="s">
        <v>375</v>
      </c>
      <c r="D211" s="52" t="n">
        <v>842</v>
      </c>
      <c r="E211" s="52" t="n">
        <v>829</v>
      </c>
      <c r="F211" s="63" t="n">
        <f aca="false">IF(E211="","",D211-E211)</f>
        <v>13</v>
      </c>
      <c r="G211" s="52" t="n">
        <v>952</v>
      </c>
      <c r="H211" s="52" t="n">
        <v>968</v>
      </c>
      <c r="I211" s="63" t="n">
        <f aca="false">IF(H211="","",G211-H211)</f>
        <v>-16</v>
      </c>
      <c r="J211" s="53" t="n">
        <f aca="false">IF(OR(D211="",D211+G211=0),"",D211/(D211+G211))</f>
        <v>0.469342251950948</v>
      </c>
      <c r="K211" s="53" t="n">
        <f aca="false">IF(E211="","",E211/(E211+H211))</f>
        <v>0.461324429604897</v>
      </c>
      <c r="L211" s="64" t="n">
        <f aca="false">IF(OR(K211="",J211=""),"",(J211-K211)*100)</f>
        <v>0.801782234605053</v>
      </c>
      <c r="M211" s="28" t="n">
        <v>2.07368371626919</v>
      </c>
      <c r="N211" s="28" t="n">
        <v>0.395914373242782</v>
      </c>
      <c r="O211" s="28" t="n">
        <f aca="false">SQRT(M211^2+N211^2)</f>
        <v>2.11114005837136</v>
      </c>
      <c r="P211" s="53" t="n">
        <f aca="false">IF(J211="","",MAX(0,J211-1.96*O211/100))</f>
        <v>0.427963906806869</v>
      </c>
      <c r="Q211" s="53" t="n">
        <f aca="false">IF(J211="","",MIN(1,J211+1.96*O211/100))</f>
        <v>0.510720597095026</v>
      </c>
      <c r="R211" s="25" t="str">
        <f aca="false">IF(L211="","",IF(ABS(L211)&lt;=O211,"Yes","No"))</f>
        <v>Yes</v>
      </c>
      <c r="S211" s="25" t="str">
        <f aca="false">IF(L211="","",IF(ABS(L211)&lt;=1.96*O211,"Yes","No"))</f>
        <v>Yes</v>
      </c>
      <c r="T211" s="52" t="n">
        <f aca="false">IF(D211="","",ROUND(SQRT(((D211+G211)*O211/100)^2+(J211*(D211+G211)*0.08889)^2),0))</f>
        <v>84</v>
      </c>
      <c r="U211" s="25"/>
    </row>
    <row r="212" customFormat="false" ht="15" hidden="false" customHeight="false" outlineLevel="0" collapsed="false">
      <c r="A212" s="25" t="s">
        <v>197</v>
      </c>
      <c r="B212" s="25" t="s">
        <v>365</v>
      </c>
      <c r="C212" s="25" t="s">
        <v>376</v>
      </c>
      <c r="D212" s="52" t="n">
        <v>690</v>
      </c>
      <c r="E212" s="52" t="n">
        <v>698</v>
      </c>
      <c r="F212" s="63" t="n">
        <f aca="false">IF(E212="","",D212-E212)</f>
        <v>-8</v>
      </c>
      <c r="G212" s="52" t="n">
        <v>752</v>
      </c>
      <c r="H212" s="52" t="n">
        <v>748</v>
      </c>
      <c r="I212" s="63" t="n">
        <f aca="false">IF(H212="","",G212-H212)</f>
        <v>4</v>
      </c>
      <c r="J212" s="53" t="n">
        <f aca="false">IF(OR(D212="",D212+G212=0),"",D212/(D212+G212))</f>
        <v>0.478502080443828</v>
      </c>
      <c r="K212" s="53" t="n">
        <f aca="false">IF(E212="","",E212/(E212+H212))</f>
        <v>0.482710926694329</v>
      </c>
      <c r="L212" s="64" t="n">
        <f aca="false">IF(OR(K212="",J212=""),"",(J212-K212)*100)</f>
        <v>-0.420884625050116</v>
      </c>
      <c r="M212" s="28" t="n">
        <v>2.07368371626919</v>
      </c>
      <c r="N212" s="28" t="n">
        <v>0.395914373242782</v>
      </c>
      <c r="O212" s="28" t="n">
        <f aca="false">SQRT(M212^2+N212^2)</f>
        <v>2.11114005837136</v>
      </c>
      <c r="P212" s="53" t="n">
        <f aca="false">IF(J212="","",MAX(0,J212-1.96*O212/100))</f>
        <v>0.437123735299749</v>
      </c>
      <c r="Q212" s="53" t="n">
        <f aca="false">IF(J212="","",MIN(1,J212+1.96*O212/100))</f>
        <v>0.519880425587907</v>
      </c>
      <c r="R212" s="25" t="str">
        <f aca="false">IF(L212="","",IF(ABS(L212)&lt;=O212,"Yes","No"))</f>
        <v>Yes</v>
      </c>
      <c r="S212" s="25" t="str">
        <f aca="false">IF(L212="","",IF(ABS(L212)&lt;=1.96*O212,"Yes","No"))</f>
        <v>Yes</v>
      </c>
      <c r="T212" s="52" t="n">
        <f aca="false">IF(D212="","",ROUND(SQRT(((D212+G212)*O212/100)^2+(J212*(D212+G212)*0.08889)^2),0))</f>
        <v>68</v>
      </c>
      <c r="U212" s="25"/>
    </row>
    <row r="213" customFormat="false" ht="15" hidden="false" customHeight="false" outlineLevel="0" collapsed="false">
      <c r="A213" s="25" t="s">
        <v>197</v>
      </c>
      <c r="B213" s="25" t="s">
        <v>365</v>
      </c>
      <c r="C213" s="25" t="s">
        <v>377</v>
      </c>
      <c r="D213" s="52" t="n">
        <v>609</v>
      </c>
      <c r="E213" s="52" t="n">
        <v>582</v>
      </c>
      <c r="F213" s="63" t="n">
        <f aca="false">IF(E213="","",D213-E213)</f>
        <v>27</v>
      </c>
      <c r="G213" s="52" t="n">
        <v>567</v>
      </c>
      <c r="H213" s="52" t="n">
        <v>562</v>
      </c>
      <c r="I213" s="63" t="n">
        <f aca="false">IF(H213="","",G213-H213)</f>
        <v>5</v>
      </c>
      <c r="J213" s="53" t="n">
        <f aca="false">IF(OR(D213="",D213+G213=0),"",D213/(D213+G213))</f>
        <v>0.517857142857143</v>
      </c>
      <c r="K213" s="53" t="n">
        <f aca="false">IF(E213="","",E213/(E213+H213))</f>
        <v>0.508741258741259</v>
      </c>
      <c r="L213" s="64" t="n">
        <f aca="false">IF(OR(K213="",J213=""),"",(J213-K213)*100)</f>
        <v>0.911588411588415</v>
      </c>
      <c r="M213" s="28" t="n">
        <v>2.29525849334818</v>
      </c>
      <c r="N213" s="28" t="n">
        <v>0.395914373242782</v>
      </c>
      <c r="O213" s="28" t="n">
        <f aca="false">SQRT(M213^2+N213^2)</f>
        <v>2.32915429764264</v>
      </c>
      <c r="P213" s="53" t="n">
        <f aca="false">IF(J213="","",MAX(0,J213-1.96*O213/100))</f>
        <v>0.472205718623347</v>
      </c>
      <c r="Q213" s="53" t="n">
        <f aca="false">IF(J213="","",MIN(1,J213+1.96*O213/100))</f>
        <v>0.563508567090939</v>
      </c>
      <c r="R213" s="25" t="str">
        <f aca="false">IF(L213="","",IF(ABS(L213)&lt;=O213,"Yes","No"))</f>
        <v>Yes</v>
      </c>
      <c r="S213" s="25" t="str">
        <f aca="false">IF(L213="","",IF(ABS(L213)&lt;=1.96*O213,"Yes","No"))</f>
        <v>Yes</v>
      </c>
      <c r="T213" s="52" t="n">
        <f aca="false">IF(D213="","",ROUND(SQRT(((D213+G213)*O213/100)^2+(J213*(D213+G213)*0.10931)^2),0))</f>
        <v>72</v>
      </c>
      <c r="U213" s="25"/>
    </row>
    <row r="214" customFormat="false" ht="15" hidden="false" customHeight="false" outlineLevel="0" collapsed="false">
      <c r="A214" s="25" t="s">
        <v>378</v>
      </c>
      <c r="B214" s="25" t="s">
        <v>379</v>
      </c>
      <c r="C214" s="25" t="s">
        <v>380</v>
      </c>
      <c r="D214" s="52" t="n">
        <v>455</v>
      </c>
      <c r="E214" s="52" t="n">
        <v>471</v>
      </c>
      <c r="F214" s="63" t="n">
        <f aca="false">IF(E214="","",D214-E214)</f>
        <v>-16</v>
      </c>
      <c r="G214" s="52" t="n">
        <v>1089</v>
      </c>
      <c r="H214" s="52" t="n">
        <v>1124</v>
      </c>
      <c r="I214" s="63" t="n">
        <f aca="false">IF(H214="","",G214-H214)</f>
        <v>-35</v>
      </c>
      <c r="J214" s="53" t="n">
        <f aca="false">IF(OR(D214="",D214+G214=0),"",D214/(D214+G214))</f>
        <v>0.294689119170984</v>
      </c>
      <c r="K214" s="53" t="n">
        <f aca="false">IF(E214="","",E214/(E214+H214))</f>
        <v>0.295297805642633</v>
      </c>
      <c r="L214" s="64" t="n">
        <f aca="false">IF(OR(K214="",J214=""),"",(J214-K214)*100)</f>
        <v>-0.0608686471648801</v>
      </c>
      <c r="M214" s="28" t="n">
        <v>2.07368371626919</v>
      </c>
      <c r="N214" s="28" t="n">
        <v>0.395914373242782</v>
      </c>
      <c r="O214" s="28" t="n">
        <f aca="false">SQRT(M214^2+N214^2)</f>
        <v>2.11114005837136</v>
      </c>
      <c r="P214" s="53" t="n">
        <f aca="false">IF(J214="","",MAX(0,J214-1.96*O214/100))</f>
        <v>0.253310774026906</v>
      </c>
      <c r="Q214" s="53" t="n">
        <f aca="false">IF(J214="","",MIN(1,J214+1.96*O214/100))</f>
        <v>0.336067464315063</v>
      </c>
      <c r="R214" s="25" t="str">
        <f aca="false">IF(L214="","",IF(ABS(L214)&lt;=O214,"Yes","No"))</f>
        <v>Yes</v>
      </c>
      <c r="S214" s="25" t="str">
        <f aca="false">IF(L214="","",IF(ABS(L214)&lt;=1.96*O214,"Yes","No"))</f>
        <v>Yes</v>
      </c>
      <c r="T214" s="52" t="n">
        <f aca="false">IF(D214="","",ROUND(SQRT(((D214+G214)*O214/100)^2+(J214*(D214+G214)*0.08889)^2),0))</f>
        <v>52</v>
      </c>
      <c r="U214" s="25"/>
    </row>
    <row r="215" customFormat="false" ht="15" hidden="false" customHeight="false" outlineLevel="0" collapsed="false">
      <c r="A215" s="25" t="s">
        <v>378</v>
      </c>
      <c r="B215" s="25" t="s">
        <v>381</v>
      </c>
      <c r="C215" s="25" t="s">
        <v>382</v>
      </c>
      <c r="D215" s="52" t="n">
        <v>1352</v>
      </c>
      <c r="E215" s="52" t="n">
        <v>1414</v>
      </c>
      <c r="F215" s="63" t="n">
        <f aca="false">IF(E215="","",D215-E215)</f>
        <v>-62</v>
      </c>
      <c r="G215" s="52" t="n">
        <v>2817</v>
      </c>
      <c r="H215" s="52" t="n">
        <v>2894</v>
      </c>
      <c r="I215" s="63" t="n">
        <f aca="false">IF(H215="","",G215-H215)</f>
        <v>-77</v>
      </c>
      <c r="J215" s="53" t="n">
        <f aca="false">IF(OR(D215="",D215+G215=0),"",D215/(D215+G215))</f>
        <v>0.324298392899976</v>
      </c>
      <c r="K215" s="53" t="n">
        <f aca="false">IF(E215="","",E215/(E215+H215))</f>
        <v>0.328226555246054</v>
      </c>
      <c r="L215" s="64" t="n">
        <f aca="false">IF(OR(K215="",J215=""),"",(J215-K215)*100)</f>
        <v>-0.392816234607785</v>
      </c>
      <c r="M215" s="28" t="n">
        <v>2.07368371626919</v>
      </c>
      <c r="N215" s="28" t="n">
        <v>0.395914373242782</v>
      </c>
      <c r="O215" s="28" t="n">
        <f aca="false">SQRT(M215^2+N215^2)</f>
        <v>2.11114005837136</v>
      </c>
      <c r="P215" s="53" t="n">
        <f aca="false">IF(J215="","",MAX(0,J215-1.96*O215/100))</f>
        <v>0.282920047755897</v>
      </c>
      <c r="Q215" s="53" t="n">
        <f aca="false">IF(J215="","",MIN(1,J215+1.96*O215/100))</f>
        <v>0.365676738044055</v>
      </c>
      <c r="R215" s="25" t="str">
        <f aca="false">IF(L215="","",IF(ABS(L215)&lt;=O215,"Yes","No"))</f>
        <v>Yes</v>
      </c>
      <c r="S215" s="25" t="str">
        <f aca="false">IF(L215="","",IF(ABS(L215)&lt;=1.96*O215,"Yes","No"))</f>
        <v>Yes</v>
      </c>
      <c r="T215" s="52" t="n">
        <f aca="false">IF(D215="","",ROUND(SQRT(((D215+G215)*O215/100)^2+(J215*(D215+G215)*0.08889)^2),0))</f>
        <v>149</v>
      </c>
      <c r="U215" s="25"/>
    </row>
    <row r="216" customFormat="false" ht="15" hidden="false" customHeight="false" outlineLevel="0" collapsed="false">
      <c r="A216" s="25" t="s">
        <v>378</v>
      </c>
      <c r="B216" s="25" t="s">
        <v>383</v>
      </c>
      <c r="C216" s="25" t="s">
        <v>384</v>
      </c>
      <c r="D216" s="52" t="n">
        <v>428</v>
      </c>
      <c r="E216" s="52" t="n">
        <v>521</v>
      </c>
      <c r="F216" s="63" t="n">
        <f aca="false">IF(E216="","",D216-E216)</f>
        <v>-93</v>
      </c>
      <c r="G216" s="52" t="n">
        <v>899</v>
      </c>
      <c r="H216" s="52" t="n">
        <v>997</v>
      </c>
      <c r="I216" s="63" t="n">
        <f aca="false">IF(H216="","",G216-H216)</f>
        <v>-98</v>
      </c>
      <c r="J216" s="53" t="n">
        <f aca="false">IF(OR(D216="",D216+G216=0),"",D216/(D216+G216))</f>
        <v>0.322532027128862</v>
      </c>
      <c r="K216" s="53" t="n">
        <f aca="false">IF(E216="","",E216/(E216+H216))</f>
        <v>0.343214756258235</v>
      </c>
      <c r="L216" s="64" t="n">
        <f aca="false">IF(OR(K216="",J216=""),"",(J216-K216)*100)</f>
        <v>-2.06827291293724</v>
      </c>
      <c r="M216" s="28" t="n">
        <v>2.07368371626919</v>
      </c>
      <c r="N216" s="28" t="n">
        <v>0.395914373242782</v>
      </c>
      <c r="O216" s="28" t="n">
        <f aca="false">SQRT(M216^2+N216^2)</f>
        <v>2.11114005837136</v>
      </c>
      <c r="P216" s="53" t="n">
        <f aca="false">IF(J216="","",MAX(0,J216-1.96*O216/100))</f>
        <v>0.281153681984784</v>
      </c>
      <c r="Q216" s="53" t="n">
        <f aca="false">IF(J216="","",MIN(1,J216+1.96*O216/100))</f>
        <v>0.363910372272941</v>
      </c>
      <c r="R216" s="25" t="str">
        <f aca="false">IF(L216="","",IF(ABS(L216)&lt;=O216,"Yes","No"))</f>
        <v>Yes</v>
      </c>
      <c r="S216" s="25" t="str">
        <f aca="false">IF(L216="","",IF(ABS(L216)&lt;=1.96*O216,"Yes","No"))</f>
        <v>Yes</v>
      </c>
      <c r="T216" s="52" t="n">
        <f aca="false">IF(D216="","",ROUND(SQRT(((D216+G216)*O216/100)^2+(J216*(D216+G216)*0.08889)^2),0))</f>
        <v>47</v>
      </c>
      <c r="U216" s="25"/>
    </row>
    <row r="217" customFormat="false" ht="15" hidden="false" customHeight="false" outlineLevel="0" collapsed="false">
      <c r="A217" s="25" t="s">
        <v>385</v>
      </c>
      <c r="B217" s="25" t="s">
        <v>386</v>
      </c>
      <c r="C217" s="25" t="s">
        <v>387</v>
      </c>
      <c r="D217" s="52" t="n">
        <v>673</v>
      </c>
      <c r="E217" s="52" t="n">
        <v>687</v>
      </c>
      <c r="F217" s="63" t="n">
        <f aca="false">IF(E217="","",D217-E217)</f>
        <v>-14</v>
      </c>
      <c r="G217" s="52" t="n">
        <v>1024</v>
      </c>
      <c r="H217" s="52" t="n">
        <v>1009</v>
      </c>
      <c r="I217" s="63" t="n">
        <f aca="false">IF(H217="","",G217-H217)</f>
        <v>15</v>
      </c>
      <c r="J217" s="53" t="n">
        <f aca="false">IF(OR(D217="",D217+G217=0),"",D217/(D217+G217))</f>
        <v>0.396582203889216</v>
      </c>
      <c r="K217" s="53" t="n">
        <f aca="false">IF(E217="","",E217/(E217+H217))</f>
        <v>0.405070754716981</v>
      </c>
      <c r="L217" s="64" t="n">
        <f aca="false">IF(OR(K217="",J217=""),"",(J217-K217)*100)</f>
        <v>-0.848855082776484</v>
      </c>
      <c r="M217" s="28" t="n">
        <v>2.07368371626919</v>
      </c>
      <c r="N217" s="28" t="n">
        <v>0.395914373242782</v>
      </c>
      <c r="O217" s="28" t="n">
        <f aca="false">SQRT(M217^2+N217^2)</f>
        <v>2.11114005837136</v>
      </c>
      <c r="P217" s="53" t="n">
        <f aca="false">IF(J217="","",MAX(0,J217-1.96*O217/100))</f>
        <v>0.355203858745138</v>
      </c>
      <c r="Q217" s="53" t="n">
        <f aca="false">IF(J217="","",MIN(1,J217+1.96*O217/100))</f>
        <v>0.437960549033295</v>
      </c>
      <c r="R217" s="25" t="str">
        <f aca="false">IF(L217="","",IF(ABS(L217)&lt;=O217,"Yes","No"))</f>
        <v>Yes</v>
      </c>
      <c r="S217" s="25" t="str">
        <f aca="false">IF(L217="","",IF(ABS(L217)&lt;=1.96*O217,"Yes","No"))</f>
        <v>Yes</v>
      </c>
      <c r="T217" s="52" t="n">
        <f aca="false">IF(D217="","",ROUND(SQRT(((D217+G217)*O217/100)^2+(J217*(D217+G217)*0.08889)^2),0))</f>
        <v>70</v>
      </c>
      <c r="U217" s="25"/>
    </row>
    <row r="218" customFormat="false" ht="15" hidden="false" customHeight="false" outlineLevel="0" collapsed="false">
      <c r="A218" s="25" t="s">
        <v>385</v>
      </c>
      <c r="B218" s="25" t="s">
        <v>386</v>
      </c>
      <c r="C218" s="25" t="s">
        <v>388</v>
      </c>
      <c r="D218" s="52" t="n">
        <v>821</v>
      </c>
      <c r="E218" s="52" t="n">
        <v>824</v>
      </c>
      <c r="F218" s="63" t="n">
        <f aca="false">IF(E218="","",D218-E218)</f>
        <v>-3</v>
      </c>
      <c r="G218" s="52" t="n">
        <v>945</v>
      </c>
      <c r="H218" s="52" t="n">
        <v>1009</v>
      </c>
      <c r="I218" s="63" t="n">
        <f aca="false">IF(H218="","",G218-H218)</f>
        <v>-64</v>
      </c>
      <c r="J218" s="53" t="n">
        <f aca="false">IF(OR(D218="",D218+G218=0),"",D218/(D218+G218))</f>
        <v>0.464892412231031</v>
      </c>
      <c r="K218" s="53" t="n">
        <f aca="false">IF(E218="","",E218/(E218+H218))</f>
        <v>0.449536279323513</v>
      </c>
      <c r="L218" s="64" t="n">
        <f aca="false">IF(OR(K218="",J218=""),"",(J218-K218)*100)</f>
        <v>1.53561329075172</v>
      </c>
      <c r="M218" s="28" t="n">
        <v>2.07368371626919</v>
      </c>
      <c r="N218" s="28" t="n">
        <v>0.395914373242782</v>
      </c>
      <c r="O218" s="28" t="n">
        <f aca="false">SQRT(M218^2+N218^2)</f>
        <v>2.11114005837136</v>
      </c>
      <c r="P218" s="53" t="n">
        <f aca="false">IF(J218="","",MAX(0,J218-1.96*O218/100))</f>
        <v>0.423514067086952</v>
      </c>
      <c r="Q218" s="53" t="n">
        <f aca="false">IF(J218="","",MIN(1,J218+1.96*O218/100))</f>
        <v>0.506270757375109</v>
      </c>
      <c r="R218" s="25" t="str">
        <f aca="false">IF(L218="","",IF(ABS(L218)&lt;=O218,"Yes","No"))</f>
        <v>Yes</v>
      </c>
      <c r="S218" s="25" t="str">
        <f aca="false">IF(L218="","",IF(ABS(L218)&lt;=1.96*O218,"Yes","No"))</f>
        <v>Yes</v>
      </c>
      <c r="T218" s="52" t="n">
        <f aca="false">IF(D218="","",ROUND(SQRT(((D218+G218)*O218/100)^2+(J218*(D218+G218)*0.08889)^2),0))</f>
        <v>82</v>
      </c>
      <c r="U218" s="25"/>
    </row>
    <row r="219" customFormat="false" ht="15" hidden="false" customHeight="false" outlineLevel="0" collapsed="false">
      <c r="A219" s="25" t="s">
        <v>385</v>
      </c>
      <c r="B219" s="25" t="s">
        <v>389</v>
      </c>
      <c r="C219" s="25" t="s">
        <v>390</v>
      </c>
      <c r="D219" s="52" t="n">
        <v>491</v>
      </c>
      <c r="E219" s="52"/>
      <c r="F219" s="63" t="str">
        <f aca="false">IF(E219="","",D219-E219)</f>
        <v/>
      </c>
      <c r="G219" s="52" t="n">
        <v>731</v>
      </c>
      <c r="H219" s="52"/>
      <c r="I219" s="63" t="str">
        <f aca="false">IF(H219="","",G219-H219)</f>
        <v/>
      </c>
      <c r="J219" s="53" t="n">
        <f aca="false">IF(OR(D219="",D219+G219=0),"",D219/(D219+G219))</f>
        <v>0.401800327332242</v>
      </c>
      <c r="K219" s="53" t="str">
        <f aca="false">IF(E219="","",E219/(E219+H219))</f>
        <v/>
      </c>
      <c r="L219" s="64" t="str">
        <f aca="false">IF(OR(K219="",J219=""),"",(J219-K219)*100)</f>
        <v/>
      </c>
      <c r="M219" s="28" t="n">
        <v>2.07368371626919</v>
      </c>
      <c r="N219" s="28" t="n">
        <v>0.395914373242782</v>
      </c>
      <c r="O219" s="28" t="n">
        <f aca="false">SQRT(M219^2+N219^2)</f>
        <v>2.11114005837136</v>
      </c>
      <c r="P219" s="53" t="n">
        <f aca="false">IF(J219="","",MAX(0,J219-1.96*O219/100))</f>
        <v>0.360421982188164</v>
      </c>
      <c r="Q219" s="53" t="n">
        <f aca="false">IF(J219="","",MIN(1,J219+1.96*O219/100))</f>
        <v>0.443178672476321</v>
      </c>
      <c r="R219" s="25" t="str">
        <f aca="false">IF(L219="","",IF(ABS(L219)&lt;=O219,"Yes","No"))</f>
        <v/>
      </c>
      <c r="S219" s="25" t="str">
        <f aca="false">IF(L219="","",IF(ABS(L219)&lt;=1.96*O219,"Yes","No"))</f>
        <v/>
      </c>
      <c r="T219" s="52" t="n">
        <f aca="false">IF(D219="","",ROUND(SQRT(((D219+G219)*O219/100)^2+(J219*(D219+G219)*0.08889)^2),0))</f>
        <v>51</v>
      </c>
      <c r="U219" s="25" t="s">
        <v>702</v>
      </c>
    </row>
    <row r="220" customFormat="false" ht="15" hidden="false" customHeight="false" outlineLevel="0" collapsed="false">
      <c r="A220" s="25" t="s">
        <v>385</v>
      </c>
      <c r="B220" s="25" t="s">
        <v>389</v>
      </c>
      <c r="C220" s="25" t="s">
        <v>391</v>
      </c>
      <c r="D220" s="52" t="n">
        <v>453</v>
      </c>
      <c r="E220" s="52"/>
      <c r="F220" s="63" t="str">
        <f aca="false">IF(E220="","",D220-E220)</f>
        <v/>
      </c>
      <c r="G220" s="52" t="n">
        <v>636</v>
      </c>
      <c r="H220" s="52"/>
      <c r="I220" s="63" t="str">
        <f aca="false">IF(H220="","",G220-H220)</f>
        <v/>
      </c>
      <c r="J220" s="53" t="n">
        <f aca="false">IF(OR(D220="",D220+G220=0),"",D220/(D220+G220))</f>
        <v>0.415977961432507</v>
      </c>
      <c r="K220" s="53" t="str">
        <f aca="false">IF(E220="","",E220/(E220+H220))</f>
        <v/>
      </c>
      <c r="L220" s="64" t="str">
        <f aca="false">IF(OR(K220="",J220=""),"",(J220-K220)*100)</f>
        <v/>
      </c>
      <c r="M220" s="28" t="n">
        <v>2.29525849334818</v>
      </c>
      <c r="N220" s="28" t="n">
        <v>0.395914373242782</v>
      </c>
      <c r="O220" s="28" t="n">
        <f aca="false">SQRT(M220^2+N220^2)</f>
        <v>2.32915429764264</v>
      </c>
      <c r="P220" s="53" t="n">
        <f aca="false">IF(J220="","",MAX(0,J220-1.96*O220/100))</f>
        <v>0.370326537198711</v>
      </c>
      <c r="Q220" s="53" t="n">
        <f aca="false">IF(J220="","",MIN(1,J220+1.96*O220/100))</f>
        <v>0.461629385666303</v>
      </c>
      <c r="R220" s="25" t="str">
        <f aca="false">IF(L220="","",IF(ABS(L220)&lt;=O220,"Yes","No"))</f>
        <v/>
      </c>
      <c r="S220" s="25" t="str">
        <f aca="false">IF(L220="","",IF(ABS(L220)&lt;=1.96*O220,"Yes","No"))</f>
        <v/>
      </c>
      <c r="T220" s="52" t="n">
        <f aca="false">IF(D220="","",ROUND(SQRT(((D220+G220)*O220/100)^2+(J220*(D220+G220)*0.10931)^2),0))</f>
        <v>56</v>
      </c>
      <c r="U220" s="25" t="s">
        <v>702</v>
      </c>
    </row>
    <row r="221" customFormat="false" ht="15" hidden="false" customHeight="false" outlineLevel="0" collapsed="false">
      <c r="A221" s="25" t="s">
        <v>385</v>
      </c>
      <c r="B221" s="25" t="s">
        <v>392</v>
      </c>
      <c r="C221" s="25" t="s">
        <v>393</v>
      </c>
      <c r="D221" s="52" t="n">
        <v>617</v>
      </c>
      <c r="E221" s="52" t="n">
        <v>623</v>
      </c>
      <c r="F221" s="63" t="n">
        <f aca="false">IF(E221="","",D221-E221)</f>
        <v>-6</v>
      </c>
      <c r="G221" s="52" t="n">
        <v>753</v>
      </c>
      <c r="H221" s="52" t="n">
        <v>726</v>
      </c>
      <c r="I221" s="63" t="n">
        <f aca="false">IF(H221="","",G221-H221)</f>
        <v>27</v>
      </c>
      <c r="J221" s="53" t="n">
        <f aca="false">IF(OR(D221="",D221+G221=0),"",D221/(D221+G221))</f>
        <v>0.45036496350365</v>
      </c>
      <c r="K221" s="53" t="n">
        <f aca="false">IF(E221="","",E221/(E221+H221))</f>
        <v>0.46182357301705</v>
      </c>
      <c r="L221" s="64" t="n">
        <f aca="false">IF(OR(K221="",J221=""),"",(J221-K221)*100)</f>
        <v>-1.14586095134001</v>
      </c>
      <c r="M221" s="28" t="n">
        <v>2.07368371626919</v>
      </c>
      <c r="N221" s="28" t="n">
        <v>0.395914373242782</v>
      </c>
      <c r="O221" s="28" t="n">
        <f aca="false">SQRT(M221^2+N221^2)</f>
        <v>2.11114005837136</v>
      </c>
      <c r="P221" s="53" t="n">
        <f aca="false">IF(J221="","",MAX(0,J221-1.96*O221/100))</f>
        <v>0.408986618359571</v>
      </c>
      <c r="Q221" s="53" t="n">
        <f aca="false">IF(J221="","",MIN(1,J221+1.96*O221/100))</f>
        <v>0.491743308647728</v>
      </c>
      <c r="R221" s="25" t="str">
        <f aca="false">IF(L221="","",IF(ABS(L221)&lt;=O221,"Yes","No"))</f>
        <v>Yes</v>
      </c>
      <c r="S221" s="25" t="str">
        <f aca="false">IF(L221="","",IF(ABS(L221)&lt;=1.96*O221,"Yes","No"))</f>
        <v>Yes</v>
      </c>
      <c r="T221" s="52" t="n">
        <f aca="false">IF(D221="","",ROUND(SQRT(((D221+G221)*O221/100)^2+(J221*(D221+G221)*0.08889)^2),0))</f>
        <v>62</v>
      </c>
      <c r="U221" s="25"/>
    </row>
    <row r="222" customFormat="false" ht="15" hidden="false" customHeight="false" outlineLevel="0" collapsed="false">
      <c r="A222" s="25" t="s">
        <v>385</v>
      </c>
      <c r="B222" s="25" t="s">
        <v>260</v>
      </c>
      <c r="C222" s="25" t="s">
        <v>394</v>
      </c>
      <c r="D222" s="52" t="n">
        <v>714</v>
      </c>
      <c r="E222" s="52" t="n">
        <v>775</v>
      </c>
      <c r="F222" s="63" t="n">
        <f aca="false">IF(E222="","",D222-E222)</f>
        <v>-61</v>
      </c>
      <c r="G222" s="52" t="n">
        <v>463</v>
      </c>
      <c r="H222" s="52" t="n">
        <v>447</v>
      </c>
      <c r="I222" s="63" t="n">
        <f aca="false">IF(H222="","",G222-H222)</f>
        <v>16</v>
      </c>
      <c r="J222" s="53" t="n">
        <f aca="false">IF(OR(D222="",D222+G222=0),"",D222/(D222+G222))</f>
        <v>0.606627017841971</v>
      </c>
      <c r="K222" s="53" t="n">
        <f aca="false">IF(E222="","",E222/(E222+H222))</f>
        <v>0.634206219312602</v>
      </c>
      <c r="L222" s="64" t="n">
        <f aca="false">IF(OR(K222="",J222=""),"",(J222-K222)*100)</f>
        <v>-2.75792014706311</v>
      </c>
      <c r="M222" s="28" t="n">
        <v>2.29525849334818</v>
      </c>
      <c r="N222" s="28" t="n">
        <v>0.395914373242782</v>
      </c>
      <c r="O222" s="28" t="n">
        <f aca="false">SQRT(M222^2+N222^2)</f>
        <v>2.32915429764264</v>
      </c>
      <c r="P222" s="53" t="n">
        <f aca="false">IF(J222="","",MAX(0,J222-1.96*O222/100))</f>
        <v>0.560975593608175</v>
      </c>
      <c r="Q222" s="53" t="n">
        <f aca="false">IF(J222="","",MIN(1,J222+1.96*O222/100))</f>
        <v>0.652278442075767</v>
      </c>
      <c r="R222" s="25" t="str">
        <f aca="false">IF(L222="","",IF(ABS(L222)&lt;=O222,"Yes","No"))</f>
        <v>No</v>
      </c>
      <c r="S222" s="25" t="str">
        <f aca="false">IF(L222="","",IF(ABS(L222)&lt;=1.96*O222,"Yes","No"))</f>
        <v>Yes</v>
      </c>
      <c r="T222" s="52" t="n">
        <f aca="false">IF(D222="","",ROUND(SQRT(((D222+G222)*O222/100)^2+(J222*(D222+G222)*0.10931)^2),0))</f>
        <v>83</v>
      </c>
      <c r="U222" s="25"/>
    </row>
    <row r="223" customFormat="false" ht="15" hidden="false" customHeight="false" outlineLevel="0" collapsed="false">
      <c r="A223" s="25" t="s">
        <v>385</v>
      </c>
      <c r="B223" s="25" t="s">
        <v>260</v>
      </c>
      <c r="C223" s="25" t="s">
        <v>395</v>
      </c>
      <c r="D223" s="52" t="n">
        <v>960</v>
      </c>
      <c r="E223" s="52" t="n">
        <v>982</v>
      </c>
      <c r="F223" s="63" t="n">
        <f aca="false">IF(E223="","",D223-E223)</f>
        <v>-22</v>
      </c>
      <c r="G223" s="52" t="n">
        <v>679</v>
      </c>
      <c r="H223" s="52" t="n">
        <v>684</v>
      </c>
      <c r="I223" s="63" t="n">
        <f aca="false">IF(H223="","",G223-H223)</f>
        <v>-5</v>
      </c>
      <c r="J223" s="53" t="n">
        <f aca="false">IF(OR(D223="",D223+G223=0),"",D223/(D223+G223))</f>
        <v>0.585723001830384</v>
      </c>
      <c r="K223" s="53" t="n">
        <f aca="false">IF(E223="","",E223/(E223+H223))</f>
        <v>0.589435774309724</v>
      </c>
      <c r="L223" s="64" t="n">
        <f aca="false">IF(OR(K223="",J223=""),"",(J223-K223)*100)</f>
        <v>-0.371277247933954</v>
      </c>
      <c r="M223" s="28" t="n">
        <v>2.07368371626919</v>
      </c>
      <c r="N223" s="28" t="n">
        <v>0.395914373242782</v>
      </c>
      <c r="O223" s="28" t="n">
        <f aca="false">SQRT(M223^2+N223^2)</f>
        <v>2.11114005837136</v>
      </c>
      <c r="P223" s="53" t="n">
        <f aca="false">IF(J223="","",MAX(0,J223-1.96*O223/100))</f>
        <v>0.544344656686306</v>
      </c>
      <c r="Q223" s="53" t="n">
        <f aca="false">IF(J223="","",MIN(1,J223+1.96*O223/100))</f>
        <v>0.627101346974463</v>
      </c>
      <c r="R223" s="25" t="str">
        <f aca="false">IF(L223="","",IF(ABS(L223)&lt;=O223,"Yes","No"))</f>
        <v>Yes</v>
      </c>
      <c r="S223" s="25" t="str">
        <f aca="false">IF(L223="","",IF(ABS(L223)&lt;=1.96*O223,"Yes","No"))</f>
        <v>Yes</v>
      </c>
      <c r="T223" s="52" t="n">
        <f aca="false">IF(D223="","",ROUND(SQRT(((D223+G223)*O223/100)^2+(J223*(D223+G223)*0.08889)^2),0))</f>
        <v>92</v>
      </c>
      <c r="U223" s="25"/>
    </row>
    <row r="224" customFormat="false" ht="15" hidden="false" customHeight="false" outlineLevel="0" collapsed="false">
      <c r="A224" s="25" t="s">
        <v>385</v>
      </c>
      <c r="B224" s="25" t="s">
        <v>260</v>
      </c>
      <c r="C224" s="25" t="s">
        <v>396</v>
      </c>
      <c r="D224" s="52" t="n">
        <v>726</v>
      </c>
      <c r="E224" s="52" t="n">
        <v>750</v>
      </c>
      <c r="F224" s="63" t="n">
        <f aca="false">IF(E224="","",D224-E224)</f>
        <v>-24</v>
      </c>
      <c r="G224" s="52" t="n">
        <v>435</v>
      </c>
      <c r="H224" s="52" t="n">
        <v>421</v>
      </c>
      <c r="I224" s="63" t="n">
        <f aca="false">IF(H224="","",G224-H224)</f>
        <v>14</v>
      </c>
      <c r="J224" s="53" t="n">
        <f aca="false">IF(OR(D224="",D224+G224=0),"",D224/(D224+G224))</f>
        <v>0.625322997416021</v>
      </c>
      <c r="K224" s="53" t="n">
        <f aca="false">IF(E224="","",E224/(E224+H224))</f>
        <v>0.640478223740393</v>
      </c>
      <c r="L224" s="64" t="n">
        <f aca="false">IF(OR(K224="",J224=""),"",(J224-K224)*100)</f>
        <v>-1.51552263243722</v>
      </c>
      <c r="M224" s="28" t="n">
        <v>2.29525849334818</v>
      </c>
      <c r="N224" s="28" t="n">
        <v>0.395914373242782</v>
      </c>
      <c r="O224" s="28" t="n">
        <f aca="false">SQRT(M224^2+N224^2)</f>
        <v>2.32915429764264</v>
      </c>
      <c r="P224" s="53" t="n">
        <f aca="false">IF(J224="","",MAX(0,J224-1.96*O224/100))</f>
        <v>0.579671573182225</v>
      </c>
      <c r="Q224" s="53" t="n">
        <f aca="false">IF(J224="","",MIN(1,J224+1.96*O224/100))</f>
        <v>0.670974421649817</v>
      </c>
      <c r="R224" s="25" t="str">
        <f aca="false">IF(L224="","",IF(ABS(L224)&lt;=O224,"Yes","No"))</f>
        <v>Yes</v>
      </c>
      <c r="S224" s="25" t="str">
        <f aca="false">IF(L224="","",IF(ABS(L224)&lt;=1.96*O224,"Yes","No"))</f>
        <v>Yes</v>
      </c>
      <c r="T224" s="52" t="n">
        <f aca="false">IF(D224="","",ROUND(SQRT(((D224+G224)*O224/100)^2+(J224*(D224+G224)*0.10931)^2),0))</f>
        <v>84</v>
      </c>
      <c r="U224" s="25"/>
    </row>
    <row r="225" customFormat="false" ht="15" hidden="false" customHeight="false" outlineLevel="0" collapsed="false">
      <c r="A225" s="25" t="s">
        <v>385</v>
      </c>
      <c r="B225" s="25" t="s">
        <v>260</v>
      </c>
      <c r="C225" s="25" t="s">
        <v>397</v>
      </c>
      <c r="D225" s="52" t="n">
        <v>573</v>
      </c>
      <c r="E225" s="52" t="n">
        <v>592</v>
      </c>
      <c r="F225" s="63" t="n">
        <f aca="false">IF(E225="","",D225-E225)</f>
        <v>-19</v>
      </c>
      <c r="G225" s="52" t="n">
        <v>360</v>
      </c>
      <c r="H225" s="52" t="n">
        <v>337</v>
      </c>
      <c r="I225" s="63" t="n">
        <f aca="false">IF(H225="","",G225-H225)</f>
        <v>23</v>
      </c>
      <c r="J225" s="53" t="n">
        <f aca="false">IF(OR(D225="",D225+G225=0),"",D225/(D225+G225))</f>
        <v>0.614147909967846</v>
      </c>
      <c r="K225" s="53" t="n">
        <f aca="false">IF(E225="","",E225/(E225+H225))</f>
        <v>0.63724434876211</v>
      </c>
      <c r="L225" s="64" t="n">
        <f aca="false">IF(OR(K225="",J225=""),"",(J225-K225)*100)</f>
        <v>-2.30964387942642</v>
      </c>
      <c r="M225" s="28" t="n">
        <v>2.29525849334818</v>
      </c>
      <c r="N225" s="28" t="n">
        <v>0.395914373242782</v>
      </c>
      <c r="O225" s="28" t="n">
        <f aca="false">SQRT(M225^2+N225^2)</f>
        <v>2.32915429764264</v>
      </c>
      <c r="P225" s="53" t="n">
        <f aca="false">IF(J225="","",MAX(0,J225-1.96*O225/100))</f>
        <v>0.56849648573405</v>
      </c>
      <c r="Q225" s="53" t="n">
        <f aca="false">IF(J225="","",MIN(1,J225+1.96*O225/100))</f>
        <v>0.659799334201641</v>
      </c>
      <c r="R225" s="25" t="str">
        <f aca="false">IF(L225="","",IF(ABS(L225)&lt;=O225,"Yes","No"))</f>
        <v>Yes</v>
      </c>
      <c r="S225" s="25" t="str">
        <f aca="false">IF(L225="","",IF(ABS(L225)&lt;=1.96*O225,"Yes","No"))</f>
        <v>Yes</v>
      </c>
      <c r="T225" s="52" t="n">
        <f aca="false">IF(D225="","",ROUND(SQRT(((D225+G225)*O225/100)^2+(J225*(D225+G225)*0.10931)^2),0))</f>
        <v>66</v>
      </c>
      <c r="U225" s="25"/>
    </row>
    <row r="226" customFormat="false" ht="15" hidden="false" customHeight="false" outlineLevel="0" collapsed="false">
      <c r="A226" s="25" t="s">
        <v>385</v>
      </c>
      <c r="B226" s="25" t="s">
        <v>260</v>
      </c>
      <c r="C226" s="25" t="s">
        <v>398</v>
      </c>
      <c r="D226" s="52" t="n">
        <v>757</v>
      </c>
      <c r="E226" s="52" t="n">
        <v>740</v>
      </c>
      <c r="F226" s="63" t="n">
        <f aca="false">IF(E226="","",D226-E226)</f>
        <v>17</v>
      </c>
      <c r="G226" s="52" t="n">
        <v>525</v>
      </c>
      <c r="H226" s="52" t="n">
        <v>506</v>
      </c>
      <c r="I226" s="63" t="n">
        <f aca="false">IF(H226="","",G226-H226)</f>
        <v>19</v>
      </c>
      <c r="J226" s="53" t="n">
        <f aca="false">IF(OR(D226="",D226+G226=0),"",D226/(D226+G226))</f>
        <v>0.590483619344774</v>
      </c>
      <c r="K226" s="53" t="n">
        <f aca="false">IF(E226="","",E226/(E226+H226))</f>
        <v>0.593900481540931</v>
      </c>
      <c r="L226" s="64" t="n">
        <f aca="false">IF(OR(K226="",J226=""),"",(J226-K226)*100)</f>
        <v>-0.341686219615722</v>
      </c>
      <c r="M226" s="28" t="n">
        <v>2.07368371626919</v>
      </c>
      <c r="N226" s="28" t="n">
        <v>0.395914373242782</v>
      </c>
      <c r="O226" s="28" t="n">
        <f aca="false">SQRT(M226^2+N226^2)</f>
        <v>2.11114005837136</v>
      </c>
      <c r="P226" s="53" t="n">
        <f aca="false">IF(J226="","",MAX(0,J226-1.96*O226/100))</f>
        <v>0.549105274200695</v>
      </c>
      <c r="Q226" s="53" t="n">
        <f aca="false">IF(J226="","",MIN(1,J226+1.96*O226/100))</f>
        <v>0.631861964488852</v>
      </c>
      <c r="R226" s="25" t="str">
        <f aca="false">IF(L226="","",IF(ABS(L226)&lt;=O226,"Yes","No"))</f>
        <v>Yes</v>
      </c>
      <c r="S226" s="25" t="str">
        <f aca="false">IF(L226="","",IF(ABS(L226)&lt;=1.96*O226,"Yes","No"))</f>
        <v>Yes</v>
      </c>
      <c r="T226" s="52" t="n">
        <f aca="false">IF(D226="","",ROUND(SQRT(((D226+G226)*O226/100)^2+(J226*(D226+G226)*0.08889)^2),0))</f>
        <v>73</v>
      </c>
      <c r="U226" s="25"/>
    </row>
    <row r="227" customFormat="false" ht="15" hidden="false" customHeight="false" outlineLevel="0" collapsed="false">
      <c r="A227" s="25" t="s">
        <v>385</v>
      </c>
      <c r="B227" s="25" t="s">
        <v>260</v>
      </c>
      <c r="C227" s="25" t="s">
        <v>399</v>
      </c>
      <c r="D227" s="52" t="n">
        <v>1024</v>
      </c>
      <c r="E227" s="52" t="n">
        <v>1037</v>
      </c>
      <c r="F227" s="63" t="n">
        <f aca="false">IF(E227="","",D227-E227)</f>
        <v>-13</v>
      </c>
      <c r="G227" s="52" t="n">
        <v>634</v>
      </c>
      <c r="H227" s="52" t="n">
        <v>623</v>
      </c>
      <c r="I227" s="63" t="n">
        <f aca="false">IF(H227="","",G227-H227)</f>
        <v>11</v>
      </c>
      <c r="J227" s="53" t="n">
        <f aca="false">IF(OR(D227="",D227+G227=0),"",D227/(D227+G227))</f>
        <v>0.617611580217129</v>
      </c>
      <c r="K227" s="53" t="n">
        <f aca="false">IF(E227="","",E227/(E227+H227))</f>
        <v>0.624698795180723</v>
      </c>
      <c r="L227" s="64" t="n">
        <f aca="false">IF(OR(K227="",J227=""),"",(J227-K227)*100)</f>
        <v>-0.708721496359388</v>
      </c>
      <c r="M227" s="28" t="n">
        <v>2.07368371626919</v>
      </c>
      <c r="N227" s="28" t="n">
        <v>0.395914373242782</v>
      </c>
      <c r="O227" s="28" t="n">
        <f aca="false">SQRT(M227^2+N227^2)</f>
        <v>2.11114005837136</v>
      </c>
      <c r="P227" s="53" t="n">
        <f aca="false">IF(J227="","",MAX(0,J227-1.96*O227/100))</f>
        <v>0.576233235073051</v>
      </c>
      <c r="Q227" s="53" t="n">
        <f aca="false">IF(J227="","",MIN(1,J227+1.96*O227/100))</f>
        <v>0.658989925361208</v>
      </c>
      <c r="R227" s="25" t="str">
        <f aca="false">IF(L227="","",IF(ABS(L227)&lt;=O227,"Yes","No"))</f>
        <v>Yes</v>
      </c>
      <c r="S227" s="25" t="str">
        <f aca="false">IF(L227="","",IF(ABS(L227)&lt;=1.96*O227,"Yes","No"))</f>
        <v>Yes</v>
      </c>
      <c r="T227" s="52" t="n">
        <f aca="false">IF(D227="","",ROUND(SQRT(((D227+G227)*O227/100)^2+(J227*(D227+G227)*0.08889)^2),0))</f>
        <v>98</v>
      </c>
      <c r="U227" s="25"/>
    </row>
    <row r="228" customFormat="false" ht="15" hidden="false" customHeight="false" outlineLevel="0" collapsed="false">
      <c r="A228" s="25" t="s">
        <v>385</v>
      </c>
      <c r="B228" s="25" t="s">
        <v>260</v>
      </c>
      <c r="C228" s="25" t="s">
        <v>400</v>
      </c>
      <c r="D228" s="52" t="n">
        <v>669</v>
      </c>
      <c r="E228" s="52" t="n">
        <v>681</v>
      </c>
      <c r="F228" s="63" t="n">
        <f aca="false">IF(E228="","",D228-E228)</f>
        <v>-12</v>
      </c>
      <c r="G228" s="52" t="n">
        <v>495</v>
      </c>
      <c r="H228" s="52" t="n">
        <v>513</v>
      </c>
      <c r="I228" s="63" t="n">
        <f aca="false">IF(H228="","",G228-H228)</f>
        <v>-18</v>
      </c>
      <c r="J228" s="53" t="n">
        <f aca="false">IF(OR(D228="",D228+G228=0),"",D228/(D228+G228))</f>
        <v>0.574742268041237</v>
      </c>
      <c r="K228" s="53" t="n">
        <f aca="false">IF(E228="","",E228/(E228+H228))</f>
        <v>0.57035175879397</v>
      </c>
      <c r="L228" s="64" t="n">
        <f aca="false">IF(OR(K228="",J228=""),"",(J228-K228)*100)</f>
        <v>0.439050924726725</v>
      </c>
      <c r="M228" s="28" t="n">
        <v>2.29525849334818</v>
      </c>
      <c r="N228" s="28" t="n">
        <v>0.395914373242782</v>
      </c>
      <c r="O228" s="28" t="n">
        <f aca="false">SQRT(M228^2+N228^2)</f>
        <v>2.32915429764264</v>
      </c>
      <c r="P228" s="53" t="n">
        <f aca="false">IF(J228="","",MAX(0,J228-1.96*O228/100))</f>
        <v>0.529090843807441</v>
      </c>
      <c r="Q228" s="53" t="n">
        <f aca="false">IF(J228="","",MIN(1,J228+1.96*O228/100))</f>
        <v>0.620393692275033</v>
      </c>
      <c r="R228" s="25" t="str">
        <f aca="false">IF(L228="","",IF(ABS(L228)&lt;=O228,"Yes","No"))</f>
        <v>Yes</v>
      </c>
      <c r="S228" s="25" t="str">
        <f aca="false">IF(L228="","",IF(ABS(L228)&lt;=1.96*O228,"Yes","No"))</f>
        <v>Yes</v>
      </c>
      <c r="T228" s="52" t="n">
        <f aca="false">IF(D228="","",ROUND(SQRT(((D228+G228)*O228/100)^2+(J228*(D228+G228)*0.10931)^2),0))</f>
        <v>78</v>
      </c>
      <c r="U228" s="25"/>
    </row>
    <row r="229" customFormat="false" ht="15" hidden="false" customHeight="false" outlineLevel="0" collapsed="false">
      <c r="A229" s="25" t="s">
        <v>385</v>
      </c>
      <c r="B229" s="25" t="s">
        <v>260</v>
      </c>
      <c r="C229" s="25" t="s">
        <v>401</v>
      </c>
      <c r="D229" s="52" t="n">
        <v>518</v>
      </c>
      <c r="E229" s="52" t="n">
        <v>529</v>
      </c>
      <c r="F229" s="63" t="n">
        <f aca="false">IF(E229="","",D229-E229)</f>
        <v>-11</v>
      </c>
      <c r="G229" s="52" t="n">
        <v>326</v>
      </c>
      <c r="H229" s="52" t="n">
        <v>293</v>
      </c>
      <c r="I229" s="63" t="n">
        <f aca="false">IF(H229="","",G229-H229)</f>
        <v>33</v>
      </c>
      <c r="J229" s="53" t="n">
        <f aca="false">IF(OR(D229="",D229+G229=0),"",D229/(D229+G229))</f>
        <v>0.613744075829384</v>
      </c>
      <c r="K229" s="53" t="n">
        <f aca="false">IF(E229="","",E229/(E229+H229))</f>
        <v>0.643552311435523</v>
      </c>
      <c r="L229" s="64" t="n">
        <f aca="false">IF(OR(K229="",J229=""),"",(J229-K229)*100)</f>
        <v>-2.98082356061393</v>
      </c>
      <c r="M229" s="28" t="n">
        <v>2.29525849334818</v>
      </c>
      <c r="N229" s="28" t="n">
        <v>0.395914373242782</v>
      </c>
      <c r="O229" s="28" t="n">
        <f aca="false">SQRT(M229^2+N229^2)</f>
        <v>2.32915429764264</v>
      </c>
      <c r="P229" s="53" t="n">
        <f aca="false">IF(J229="","",MAX(0,J229-1.96*O229/100))</f>
        <v>0.568092651595588</v>
      </c>
      <c r="Q229" s="53" t="n">
        <f aca="false">IF(J229="","",MIN(1,J229+1.96*O229/100))</f>
        <v>0.65939550006318</v>
      </c>
      <c r="R229" s="25" t="str">
        <f aca="false">IF(L229="","",IF(ABS(L229)&lt;=O229,"Yes","No"))</f>
        <v>No</v>
      </c>
      <c r="S229" s="25" t="str">
        <f aca="false">IF(L229="","",IF(ABS(L229)&lt;=1.96*O229,"Yes","No"))</f>
        <v>Yes</v>
      </c>
      <c r="T229" s="52" t="n">
        <f aca="false">IF(D229="","",ROUND(SQRT(((D229+G229)*O229/100)^2+(J229*(D229+G229)*0.10931)^2),0))</f>
        <v>60</v>
      </c>
      <c r="U229" s="25"/>
    </row>
    <row r="230" customFormat="false" ht="15" hidden="false" customHeight="false" outlineLevel="0" collapsed="false">
      <c r="A230" s="25" t="s">
        <v>385</v>
      </c>
      <c r="B230" s="25" t="s">
        <v>260</v>
      </c>
      <c r="C230" s="25" t="s">
        <v>402</v>
      </c>
      <c r="D230" s="52" t="n">
        <v>718</v>
      </c>
      <c r="E230" s="52" t="n">
        <v>767</v>
      </c>
      <c r="F230" s="63" t="n">
        <f aca="false">IF(E230="","",D230-E230)</f>
        <v>-49</v>
      </c>
      <c r="G230" s="52" t="n">
        <v>397</v>
      </c>
      <c r="H230" s="52" t="n">
        <v>384</v>
      </c>
      <c r="I230" s="63" t="n">
        <f aca="false">IF(H230="","",G230-H230)</f>
        <v>13</v>
      </c>
      <c r="J230" s="53" t="n">
        <f aca="false">IF(OR(D230="",D230+G230=0),"",D230/(D230+G230))</f>
        <v>0.643946188340807</v>
      </c>
      <c r="K230" s="53" t="n">
        <f aca="false">IF(E230="","",E230/(E230+H230))</f>
        <v>0.66637706342311</v>
      </c>
      <c r="L230" s="64" t="n">
        <f aca="false">IF(OR(K230="",J230=""),"",(J230-K230)*100)</f>
        <v>-2.24308750823031</v>
      </c>
      <c r="M230" s="28" t="n">
        <v>2.29525849334818</v>
      </c>
      <c r="N230" s="28" t="n">
        <v>0.395914373242782</v>
      </c>
      <c r="O230" s="28" t="n">
        <f aca="false">SQRT(M230^2+N230^2)</f>
        <v>2.32915429764264</v>
      </c>
      <c r="P230" s="53" t="n">
        <f aca="false">IF(J230="","",MAX(0,J230-1.96*O230/100))</f>
        <v>0.598294764107011</v>
      </c>
      <c r="Q230" s="53" t="n">
        <f aca="false">IF(J230="","",MIN(1,J230+1.96*O230/100))</f>
        <v>0.689597612574603</v>
      </c>
      <c r="R230" s="25" t="str">
        <f aca="false">IF(L230="","",IF(ABS(L230)&lt;=O230,"Yes","No"))</f>
        <v>Yes</v>
      </c>
      <c r="S230" s="25" t="str">
        <f aca="false">IF(L230="","",IF(ABS(L230)&lt;=1.96*O230,"Yes","No"))</f>
        <v>Yes</v>
      </c>
      <c r="T230" s="52" t="n">
        <f aca="false">IF(D230="","",ROUND(SQRT(((D230+G230)*O230/100)^2+(J230*(D230+G230)*0.10931)^2),0))</f>
        <v>83</v>
      </c>
      <c r="U230" s="25"/>
    </row>
    <row r="231" customFormat="false" ht="15" hidden="false" customHeight="false" outlineLevel="0" collapsed="false">
      <c r="A231" s="25" t="s">
        <v>385</v>
      </c>
      <c r="B231" s="25" t="s">
        <v>260</v>
      </c>
      <c r="C231" s="25" t="s">
        <v>403</v>
      </c>
      <c r="D231" s="52" t="n">
        <v>911</v>
      </c>
      <c r="E231" s="52" t="n">
        <v>906</v>
      </c>
      <c r="F231" s="63" t="n">
        <f aca="false">IF(E231="","",D231-E231)</f>
        <v>5</v>
      </c>
      <c r="G231" s="52" t="n">
        <v>574</v>
      </c>
      <c r="H231" s="52" t="n">
        <v>586</v>
      </c>
      <c r="I231" s="63" t="n">
        <f aca="false">IF(H231="","",G231-H231)</f>
        <v>-12</v>
      </c>
      <c r="J231" s="53" t="n">
        <f aca="false">IF(OR(D231="",D231+G231=0),"",D231/(D231+G231))</f>
        <v>0.613468013468014</v>
      </c>
      <c r="K231" s="53" t="n">
        <f aca="false">IF(E231="","",E231/(E231+H231))</f>
        <v>0.607238605898123</v>
      </c>
      <c r="L231" s="64" t="n">
        <f aca="false">IF(OR(K231="",J231=""),"",(J231-K231)*100)</f>
        <v>0.622940756989021</v>
      </c>
      <c r="M231" s="28" t="n">
        <v>2.07368371626919</v>
      </c>
      <c r="N231" s="28" t="n">
        <v>0.395914373242782</v>
      </c>
      <c r="O231" s="28" t="n">
        <f aca="false">SQRT(M231^2+N231^2)</f>
        <v>2.11114005837136</v>
      </c>
      <c r="P231" s="53" t="n">
        <f aca="false">IF(J231="","",MAX(0,J231-1.96*O231/100))</f>
        <v>0.572089668323935</v>
      </c>
      <c r="Q231" s="53" t="n">
        <f aca="false">IF(J231="","",MIN(1,J231+1.96*O231/100))</f>
        <v>0.654846358612092</v>
      </c>
      <c r="R231" s="25" t="str">
        <f aca="false">IF(L231="","",IF(ABS(L231)&lt;=O231,"Yes","No"))</f>
        <v>Yes</v>
      </c>
      <c r="S231" s="25" t="str">
        <f aca="false">IF(L231="","",IF(ABS(L231)&lt;=1.96*O231,"Yes","No"))</f>
        <v>Yes</v>
      </c>
      <c r="T231" s="52" t="n">
        <f aca="false">IF(D231="","",ROUND(SQRT(((D231+G231)*O231/100)^2+(J231*(D231+G231)*0.08889)^2),0))</f>
        <v>87</v>
      </c>
      <c r="U231" s="25"/>
    </row>
    <row r="232" customFormat="false" ht="15" hidden="false" customHeight="false" outlineLevel="0" collapsed="false">
      <c r="A232" s="25" t="s">
        <v>385</v>
      </c>
      <c r="B232" s="25" t="s">
        <v>260</v>
      </c>
      <c r="C232" s="25" t="s">
        <v>404</v>
      </c>
      <c r="D232" s="52" t="n">
        <v>840</v>
      </c>
      <c r="E232" s="52" t="n">
        <v>954</v>
      </c>
      <c r="F232" s="63" t="n">
        <f aca="false">IF(E232="","",D232-E232)</f>
        <v>-114</v>
      </c>
      <c r="G232" s="52" t="n">
        <v>423</v>
      </c>
      <c r="H232" s="52" t="n">
        <v>416</v>
      </c>
      <c r="I232" s="63" t="n">
        <f aca="false">IF(H232="","",G232-H232)</f>
        <v>7</v>
      </c>
      <c r="J232" s="53" t="n">
        <f aca="false">IF(OR(D232="",D232+G232=0),"",D232/(D232+G232))</f>
        <v>0.665083135391924</v>
      </c>
      <c r="K232" s="53" t="n">
        <f aca="false">IF(E232="","",E232/(E232+H232))</f>
        <v>0.696350364963504</v>
      </c>
      <c r="L232" s="64" t="n">
        <f aca="false">IF(OR(K232="",J232=""),"",(J232-K232)*100)</f>
        <v>-3.12672295715797</v>
      </c>
      <c r="M232" s="28" t="n">
        <v>2.07368371626919</v>
      </c>
      <c r="N232" s="28" t="n">
        <v>0.395914373242782</v>
      </c>
      <c r="O232" s="28" t="n">
        <f aca="false">SQRT(M232^2+N232^2)</f>
        <v>2.11114005837136</v>
      </c>
      <c r="P232" s="53" t="n">
        <f aca="false">IF(J232="","",MAX(0,J232-1.96*O232/100))</f>
        <v>0.623704790247845</v>
      </c>
      <c r="Q232" s="53" t="n">
        <f aca="false">IF(J232="","",MIN(1,J232+1.96*O232/100))</f>
        <v>0.706461480536003</v>
      </c>
      <c r="R232" s="25" t="str">
        <f aca="false">IF(L232="","",IF(ABS(L232)&lt;=O232,"Yes","No"))</f>
        <v>No</v>
      </c>
      <c r="S232" s="25" t="str">
        <f aca="false">IF(L232="","",IF(ABS(L232)&lt;=1.96*O232,"Yes","No"))</f>
        <v>Yes</v>
      </c>
      <c r="T232" s="52" t="n">
        <f aca="false">IF(D232="","",ROUND(SQRT(((D232+G232)*O232/100)^2+(J232*(D232+G232)*0.08889)^2),0))</f>
        <v>79</v>
      </c>
      <c r="U232" s="25"/>
    </row>
    <row r="233" customFormat="false" ht="15" hidden="false" customHeight="false" outlineLevel="0" collapsed="false">
      <c r="A233" s="25" t="s">
        <v>385</v>
      </c>
      <c r="B233" s="25" t="s">
        <v>260</v>
      </c>
      <c r="C233" s="25" t="s">
        <v>405</v>
      </c>
      <c r="D233" s="52" t="n">
        <v>730</v>
      </c>
      <c r="E233" s="52" t="n">
        <v>821</v>
      </c>
      <c r="F233" s="63" t="n">
        <f aca="false">IF(E233="","",D233-E233)</f>
        <v>-91</v>
      </c>
      <c r="G233" s="52" t="n">
        <v>462</v>
      </c>
      <c r="H233" s="52" t="n">
        <v>474</v>
      </c>
      <c r="I233" s="63" t="n">
        <f aca="false">IF(H233="","",G233-H233)</f>
        <v>-12</v>
      </c>
      <c r="J233" s="53" t="n">
        <f aca="false">IF(OR(D233="",D233+G233=0),"",D233/(D233+G233))</f>
        <v>0.61241610738255</v>
      </c>
      <c r="K233" s="53" t="n">
        <f aca="false">IF(E233="","",E233/(E233+H233))</f>
        <v>0.633976833976834</v>
      </c>
      <c r="L233" s="64" t="n">
        <f aca="false">IF(OR(K233="",J233=""),"",(J233-K233)*100)</f>
        <v>-2.15607265942837</v>
      </c>
      <c r="M233" s="28" t="n">
        <v>2.29525849334818</v>
      </c>
      <c r="N233" s="28" t="n">
        <v>0.395914373242782</v>
      </c>
      <c r="O233" s="28" t="n">
        <f aca="false">SQRT(M233^2+N233^2)</f>
        <v>2.32915429764264</v>
      </c>
      <c r="P233" s="53" t="n">
        <f aca="false">IF(J233="","",MAX(0,J233-1.96*O233/100))</f>
        <v>0.566764683148755</v>
      </c>
      <c r="Q233" s="53" t="n">
        <f aca="false">IF(J233="","",MIN(1,J233+1.96*O233/100))</f>
        <v>0.658067531616346</v>
      </c>
      <c r="R233" s="25" t="str">
        <f aca="false">IF(L233="","",IF(ABS(L233)&lt;=O233,"Yes","No"))</f>
        <v>Yes</v>
      </c>
      <c r="S233" s="25" t="str">
        <f aca="false">IF(L233="","",IF(ABS(L233)&lt;=1.96*O233,"Yes","No"))</f>
        <v>Yes</v>
      </c>
      <c r="T233" s="52" t="n">
        <f aca="false">IF(D233="","",ROUND(SQRT(((D233+G233)*O233/100)^2+(J233*(D233+G233)*0.10931)^2),0))</f>
        <v>84</v>
      </c>
      <c r="U233" s="25"/>
    </row>
    <row r="234" customFormat="false" ht="15" hidden="false" customHeight="false" outlineLevel="0" collapsed="false">
      <c r="A234" s="25" t="s">
        <v>385</v>
      </c>
      <c r="B234" s="25" t="s">
        <v>260</v>
      </c>
      <c r="C234" s="25" t="s">
        <v>406</v>
      </c>
      <c r="D234" s="52" t="n">
        <v>280</v>
      </c>
      <c r="E234" s="52" t="n">
        <v>283</v>
      </c>
      <c r="F234" s="63" t="n">
        <f aca="false">IF(E234="","",D234-E234)</f>
        <v>-3</v>
      </c>
      <c r="G234" s="52" t="n">
        <v>99</v>
      </c>
      <c r="H234" s="52" t="n">
        <v>110</v>
      </c>
      <c r="I234" s="63" t="n">
        <f aca="false">IF(H234="","",G234-H234)</f>
        <v>-11</v>
      </c>
      <c r="J234" s="53" t="n">
        <f aca="false">IF(OR(D234="",D234+G234=0),"",D234/(D234+G234))</f>
        <v>0.738786279683377</v>
      </c>
      <c r="K234" s="53" t="n">
        <f aca="false">IF(E234="","",E234/(E234+H234))</f>
        <v>0.720101781170484</v>
      </c>
      <c r="L234" s="64" t="n">
        <f aca="false">IF(OR(K234="",J234=""),"",(J234-K234)*100)</f>
        <v>1.86844985128938</v>
      </c>
      <c r="M234" s="28" t="n">
        <v>3.51968652681483</v>
      </c>
      <c r="N234" s="28" t="n">
        <v>0.395914373242782</v>
      </c>
      <c r="O234" s="28" t="n">
        <f aca="false">SQRT(M234^2+N234^2)</f>
        <v>3.54188388262265</v>
      </c>
      <c r="P234" s="53" t="n">
        <f aca="false">IF(J234="","",MAX(0,J234-1.96*O234/100))</f>
        <v>0.669365355583973</v>
      </c>
      <c r="Q234" s="53" t="n">
        <f aca="false">IF(J234="","",MIN(1,J234+1.96*O234/100))</f>
        <v>0.808207203782781</v>
      </c>
      <c r="R234" s="25" t="str">
        <f aca="false">IF(L234="","",IF(ABS(L234)&lt;=O234,"Yes","No"))</f>
        <v>Yes</v>
      </c>
      <c r="S234" s="25" t="str">
        <f aca="false">IF(L234="","",IF(ABS(L234)&lt;=1.96*O234,"Yes","No"))</f>
        <v>Yes</v>
      </c>
      <c r="T234" s="52" t="n">
        <f aca="false">IF(D234="","",ROUND(SQRT(((D234+G234)*O234/100)^2+(J234*(D234+G234)*0.1901)^2),0))</f>
        <v>55</v>
      </c>
      <c r="U234" s="25"/>
    </row>
    <row r="235" customFormat="false" ht="15" hidden="false" customHeight="false" outlineLevel="0" collapsed="false">
      <c r="A235" s="25" t="s">
        <v>385</v>
      </c>
      <c r="B235" s="25" t="s">
        <v>260</v>
      </c>
      <c r="C235" s="25" t="s">
        <v>407</v>
      </c>
      <c r="D235" s="52" t="n">
        <v>498</v>
      </c>
      <c r="E235" s="52" t="n">
        <v>450</v>
      </c>
      <c r="F235" s="63" t="n">
        <f aca="false">IF(E235="","",D235-E235)</f>
        <v>48</v>
      </c>
      <c r="G235" s="52" t="n">
        <v>157</v>
      </c>
      <c r="H235" s="52" t="n">
        <v>179</v>
      </c>
      <c r="I235" s="63" t="n">
        <f aca="false">IF(H235="","",G235-H235)</f>
        <v>-22</v>
      </c>
      <c r="J235" s="53" t="n">
        <f aca="false">IF(OR(D235="",D235+G235=0),"",D235/(D235+G235))</f>
        <v>0.76030534351145</v>
      </c>
      <c r="K235" s="53" t="n">
        <f aca="false">IF(E235="","",E235/(E235+H235))</f>
        <v>0.715421303656598</v>
      </c>
      <c r="L235" s="64" t="n">
        <f aca="false">IF(OR(K235="",J235=""),"",(J235-K235)*100)</f>
        <v>4.48840398548527</v>
      </c>
      <c r="M235" s="28" t="n">
        <v>3.51968652681483</v>
      </c>
      <c r="N235" s="28" t="n">
        <v>0.395914373242782</v>
      </c>
      <c r="O235" s="28" t="n">
        <f aca="false">SQRT(M235^2+N235^2)</f>
        <v>3.54188388262265</v>
      </c>
      <c r="P235" s="53" t="n">
        <f aca="false">IF(J235="","",MAX(0,J235-1.96*O235/100))</f>
        <v>0.690884419412047</v>
      </c>
      <c r="Q235" s="53" t="n">
        <f aca="false">IF(J235="","",MIN(1,J235+1.96*O235/100))</f>
        <v>0.829726267610854</v>
      </c>
      <c r="R235" s="25" t="str">
        <f aca="false">IF(L235="","",IF(ABS(L235)&lt;=O235,"Yes","No"))</f>
        <v>No</v>
      </c>
      <c r="S235" s="25" t="str">
        <f aca="false">IF(L235="","",IF(ABS(L235)&lt;=1.96*O235,"Yes","No"))</f>
        <v>Yes</v>
      </c>
      <c r="T235" s="52" t="n">
        <f aca="false">IF(D235="","",ROUND(SQRT(((D235+G235)*O235/100)^2+(J235*(D235+G235)*0.1901)^2),0))</f>
        <v>97</v>
      </c>
      <c r="U235" s="25"/>
    </row>
    <row r="236" customFormat="false" ht="15" hidden="false" customHeight="false" outlineLevel="0" collapsed="false">
      <c r="A236" s="25" t="s">
        <v>385</v>
      </c>
      <c r="B236" s="25" t="s">
        <v>260</v>
      </c>
      <c r="C236" s="25" t="s">
        <v>408</v>
      </c>
      <c r="D236" s="52" t="n">
        <v>493</v>
      </c>
      <c r="E236" s="52" t="n">
        <v>442</v>
      </c>
      <c r="F236" s="63" t="n">
        <f aca="false">IF(E236="","",D236-E236)</f>
        <v>51</v>
      </c>
      <c r="G236" s="52" t="n">
        <v>173</v>
      </c>
      <c r="H236" s="52" t="n">
        <v>161</v>
      </c>
      <c r="I236" s="63" t="n">
        <f aca="false">IF(H236="","",G236-H236)</f>
        <v>12</v>
      </c>
      <c r="J236" s="53" t="n">
        <f aca="false">IF(OR(D236="",D236+G236=0),"",D236/(D236+G236))</f>
        <v>0.74024024024024</v>
      </c>
      <c r="K236" s="53" t="n">
        <f aca="false">IF(E236="","",E236/(E236+H236))</f>
        <v>0.733001658374793</v>
      </c>
      <c r="L236" s="64" t="n">
        <f aca="false">IF(OR(K236="",J236=""),"",(J236-K236)*100)</f>
        <v>0.723858186544757</v>
      </c>
      <c r="M236" s="28" t="n">
        <v>3.51968652681483</v>
      </c>
      <c r="N236" s="28" t="n">
        <v>0.395914373242782</v>
      </c>
      <c r="O236" s="28" t="n">
        <f aca="false">SQRT(M236^2+N236^2)</f>
        <v>3.54188388262265</v>
      </c>
      <c r="P236" s="53" t="n">
        <f aca="false">IF(J236="","",MAX(0,J236-1.96*O236/100))</f>
        <v>0.670819316140836</v>
      </c>
      <c r="Q236" s="53" t="n">
        <f aca="false">IF(J236="","",MIN(1,J236+1.96*O236/100))</f>
        <v>0.809661164339644</v>
      </c>
      <c r="R236" s="25" t="str">
        <f aca="false">IF(L236="","",IF(ABS(L236)&lt;=O236,"Yes","No"))</f>
        <v>Yes</v>
      </c>
      <c r="S236" s="25" t="str">
        <f aca="false">IF(L236="","",IF(ABS(L236)&lt;=1.96*O236,"Yes","No"))</f>
        <v>Yes</v>
      </c>
      <c r="T236" s="52" t="n">
        <f aca="false">IF(D236="","",ROUND(SQRT(((D236+G236)*O236/100)^2+(J236*(D236+G236)*0.1901)^2),0))</f>
        <v>97</v>
      </c>
      <c r="U236" s="25"/>
    </row>
    <row r="237" customFormat="false" ht="15" hidden="false" customHeight="false" outlineLevel="0" collapsed="false">
      <c r="A237" s="25" t="s">
        <v>385</v>
      </c>
      <c r="B237" s="25" t="s">
        <v>260</v>
      </c>
      <c r="C237" s="25" t="s">
        <v>409</v>
      </c>
      <c r="D237" s="52" t="n">
        <v>715</v>
      </c>
      <c r="E237" s="52" t="n">
        <v>599</v>
      </c>
      <c r="F237" s="63" t="n">
        <f aca="false">IF(E237="","",D237-E237)</f>
        <v>116</v>
      </c>
      <c r="G237" s="52" t="n">
        <v>192</v>
      </c>
      <c r="H237" s="52" t="n">
        <v>203</v>
      </c>
      <c r="I237" s="63" t="n">
        <f aca="false">IF(H237="","",G237-H237)</f>
        <v>-11</v>
      </c>
      <c r="J237" s="53" t="n">
        <f aca="false">IF(OR(D237="",D237+G237=0),"",D237/(D237+G237))</f>
        <v>0.788313120176406</v>
      </c>
      <c r="K237" s="53" t="n">
        <f aca="false">IF(E237="","",E237/(E237+H237))</f>
        <v>0.746882793017456</v>
      </c>
      <c r="L237" s="64" t="n">
        <f aca="false">IF(OR(K237="",J237=""),"",(J237-K237)*100)</f>
        <v>4.14303271589493</v>
      </c>
      <c r="M237" s="28" t="n">
        <v>2.29525849334818</v>
      </c>
      <c r="N237" s="28" t="n">
        <v>0.395914373242782</v>
      </c>
      <c r="O237" s="28" t="n">
        <f aca="false">SQRT(M237^2+N237^2)</f>
        <v>2.32915429764264</v>
      </c>
      <c r="P237" s="53" t="n">
        <f aca="false">IF(J237="","",MAX(0,J237-1.96*O237/100))</f>
        <v>0.74266169594261</v>
      </c>
      <c r="Q237" s="53" t="n">
        <f aca="false">IF(J237="","",MIN(1,J237+1.96*O237/100))</f>
        <v>0.833964544410202</v>
      </c>
      <c r="R237" s="25" t="str">
        <f aca="false">IF(L237="","",IF(ABS(L237)&lt;=O237,"Yes","No"))</f>
        <v>No</v>
      </c>
      <c r="S237" s="25" t="str">
        <f aca="false">IF(L237="","",IF(ABS(L237)&lt;=1.96*O237,"Yes","No"))</f>
        <v>Yes</v>
      </c>
      <c r="T237" s="52" t="n">
        <f aca="false">IF(D237="","",ROUND(SQRT(((D237+G237)*O237/100)^2+(J237*(D237+G237)*0.10931)^2),0))</f>
        <v>81</v>
      </c>
      <c r="U237" s="25"/>
    </row>
    <row r="238" customFormat="false" ht="15" hidden="false" customHeight="false" outlineLevel="0" collapsed="false">
      <c r="A238" s="25" t="s">
        <v>385</v>
      </c>
      <c r="B238" s="25" t="s">
        <v>260</v>
      </c>
      <c r="C238" s="25" t="s">
        <v>410</v>
      </c>
      <c r="D238" s="52" t="n">
        <v>931</v>
      </c>
      <c r="E238" s="52" t="n">
        <v>1506</v>
      </c>
      <c r="F238" s="63" t="n">
        <f aca="false">IF(E238="","",D238-E238)</f>
        <v>-575</v>
      </c>
      <c r="G238" s="52" t="n">
        <v>216</v>
      </c>
      <c r="H238" s="52" t="n">
        <v>338</v>
      </c>
      <c r="I238" s="63" t="n">
        <f aca="false">IF(H238="","",G238-H238)</f>
        <v>-122</v>
      </c>
      <c r="J238" s="53" t="n">
        <f aca="false">IF(OR(D238="",D238+G238=0),"",D238/(D238+G238))</f>
        <v>0.811682650392328</v>
      </c>
      <c r="K238" s="53" t="n">
        <f aca="false">IF(E238="","",E238/(E238+H238))</f>
        <v>0.816702819956616</v>
      </c>
      <c r="L238" s="64" t="n">
        <f aca="false">IF(OR(K238="",J238=""),"",(J238-K238)*100)</f>
        <v>-0.50201695642883</v>
      </c>
      <c r="M238" s="28" t="n">
        <v>2.29525849334818</v>
      </c>
      <c r="N238" s="28" t="n">
        <v>0.395914373242782</v>
      </c>
      <c r="O238" s="28" t="n">
        <f aca="false">SQRT(M238^2+N238^2)</f>
        <v>2.32915429764264</v>
      </c>
      <c r="P238" s="53" t="n">
        <f aca="false">IF(J238="","",MAX(0,J238-1.96*O238/100))</f>
        <v>0.766031226158532</v>
      </c>
      <c r="Q238" s="53" t="n">
        <f aca="false">IF(J238="","",MIN(1,J238+1.96*O238/100))</f>
        <v>0.857334074626124</v>
      </c>
      <c r="R238" s="25" t="str">
        <f aca="false">IF(L238="","",IF(ABS(L238)&lt;=O238,"Yes","No"))</f>
        <v>Yes</v>
      </c>
      <c r="S238" s="25" t="str">
        <f aca="false">IF(L238="","",IF(ABS(L238)&lt;=1.96*O238,"Yes","No"))</f>
        <v>Yes</v>
      </c>
      <c r="T238" s="52" t="n">
        <f aca="false">IF(D238="","",ROUND(SQRT(((D238+G238)*O238/100)^2+(J238*(D238+G238)*0.10931)^2),0))</f>
        <v>105</v>
      </c>
      <c r="U238" s="25"/>
    </row>
    <row r="239" customFormat="false" ht="15" hidden="false" customHeight="false" outlineLevel="0" collapsed="false">
      <c r="A239" s="25" t="s">
        <v>385</v>
      </c>
      <c r="B239" s="25" t="s">
        <v>260</v>
      </c>
      <c r="C239" s="25" t="s">
        <v>411</v>
      </c>
      <c r="D239" s="52" t="n">
        <v>737</v>
      </c>
      <c r="E239" s="52" t="n">
        <v>645</v>
      </c>
      <c r="F239" s="63" t="n">
        <f aca="false">IF(E239="","",D239-E239)</f>
        <v>92</v>
      </c>
      <c r="G239" s="52" t="n">
        <v>213</v>
      </c>
      <c r="H239" s="52" t="n">
        <v>243</v>
      </c>
      <c r="I239" s="63" t="n">
        <f aca="false">IF(H239="","",G239-H239)</f>
        <v>-30</v>
      </c>
      <c r="J239" s="53" t="n">
        <f aca="false">IF(OR(D239="",D239+G239=0),"",D239/(D239+G239))</f>
        <v>0.775789473684211</v>
      </c>
      <c r="K239" s="53" t="n">
        <f aca="false">IF(E239="","",E239/(E239+H239))</f>
        <v>0.726351351351351</v>
      </c>
      <c r="L239" s="64" t="n">
        <f aca="false">IF(OR(K239="",J239=""),"",(J239-K239)*100)</f>
        <v>4.94381223328592</v>
      </c>
      <c r="M239" s="28" t="n">
        <v>2.29525849334818</v>
      </c>
      <c r="N239" s="28" t="n">
        <v>0.395914373242782</v>
      </c>
      <c r="O239" s="28" t="n">
        <f aca="false">SQRT(M239^2+N239^2)</f>
        <v>2.32915429764264</v>
      </c>
      <c r="P239" s="53" t="n">
        <f aca="false">IF(J239="","",MAX(0,J239-1.96*O239/100))</f>
        <v>0.730138049450415</v>
      </c>
      <c r="Q239" s="53" t="n">
        <f aca="false">IF(J239="","",MIN(1,J239+1.96*O239/100))</f>
        <v>0.821440897918006</v>
      </c>
      <c r="R239" s="25" t="str">
        <f aca="false">IF(L239="","",IF(ABS(L239)&lt;=O239,"Yes","No"))</f>
        <v>No</v>
      </c>
      <c r="S239" s="25" t="str">
        <f aca="false">IF(L239="","",IF(ABS(L239)&lt;=1.96*O239,"Yes","No"))</f>
        <v>No</v>
      </c>
      <c r="T239" s="52" t="n">
        <f aca="false">IF(D239="","",ROUND(SQRT(((D239+G239)*O239/100)^2+(J239*(D239+G239)*0.10931)^2),0))</f>
        <v>84</v>
      </c>
      <c r="U239" s="25"/>
    </row>
    <row r="240" customFormat="false" ht="15" hidden="false" customHeight="false" outlineLevel="0" collapsed="false">
      <c r="A240" s="25" t="s">
        <v>385</v>
      </c>
      <c r="B240" s="25" t="s">
        <v>260</v>
      </c>
      <c r="C240" s="25" t="s">
        <v>412</v>
      </c>
      <c r="D240" s="52" t="n">
        <v>688</v>
      </c>
      <c r="E240" s="52" t="n">
        <v>628</v>
      </c>
      <c r="F240" s="63" t="n">
        <f aca="false">IF(E240="","",D240-E240)</f>
        <v>60</v>
      </c>
      <c r="G240" s="52" t="n">
        <v>226</v>
      </c>
      <c r="H240" s="52" t="n">
        <v>267</v>
      </c>
      <c r="I240" s="63" t="n">
        <f aca="false">IF(H240="","",G240-H240)</f>
        <v>-41</v>
      </c>
      <c r="J240" s="53" t="n">
        <f aca="false">IF(OR(D240="",D240+G240=0),"",D240/(D240+G240))</f>
        <v>0.7527352297593</v>
      </c>
      <c r="K240" s="53" t="n">
        <f aca="false">IF(E240="","",E240/(E240+H240))</f>
        <v>0.701675977653631</v>
      </c>
      <c r="L240" s="64" t="n">
        <f aca="false">IF(OR(K240="",J240=""),"",(J240-K240)*100)</f>
        <v>5.10592521056684</v>
      </c>
      <c r="M240" s="28" t="n">
        <v>2.29525849334818</v>
      </c>
      <c r="N240" s="28" t="n">
        <v>0.395914373242782</v>
      </c>
      <c r="O240" s="28" t="n">
        <f aca="false">SQRT(M240^2+N240^2)</f>
        <v>2.32915429764264</v>
      </c>
      <c r="P240" s="53" t="n">
        <f aca="false">IF(J240="","",MAX(0,J240-1.96*O240/100))</f>
        <v>0.707083805525504</v>
      </c>
      <c r="Q240" s="53" t="n">
        <f aca="false">IF(J240="","",MIN(1,J240+1.96*O240/100))</f>
        <v>0.798386653993096</v>
      </c>
      <c r="R240" s="25" t="str">
        <f aca="false">IF(L240="","",IF(ABS(L240)&lt;=O240,"Yes","No"))</f>
        <v>No</v>
      </c>
      <c r="S240" s="25" t="str">
        <f aca="false">IF(L240="","",IF(ABS(L240)&lt;=1.96*O240,"Yes","No"))</f>
        <v>No</v>
      </c>
      <c r="T240" s="52" t="n">
        <f aca="false">IF(D240="","",ROUND(SQRT(((D240+G240)*O240/100)^2+(J240*(D240+G240)*0.10931)^2),0))</f>
        <v>78</v>
      </c>
      <c r="U240" s="25"/>
    </row>
    <row r="241" customFormat="false" ht="15" hidden="false" customHeight="false" outlineLevel="0" collapsed="false">
      <c r="A241" s="25" t="s">
        <v>385</v>
      </c>
      <c r="B241" s="25" t="s">
        <v>260</v>
      </c>
      <c r="C241" s="25" t="s">
        <v>413</v>
      </c>
      <c r="D241" s="52" t="n">
        <v>413</v>
      </c>
      <c r="E241" s="52" t="n">
        <v>473</v>
      </c>
      <c r="F241" s="63" t="n">
        <f aca="false">IF(E241="","",D241-E241)</f>
        <v>-60</v>
      </c>
      <c r="G241" s="52" t="n">
        <v>178</v>
      </c>
      <c r="H241" s="52" t="n">
        <v>153</v>
      </c>
      <c r="I241" s="63" t="n">
        <f aca="false">IF(H241="","",G241-H241)</f>
        <v>25</v>
      </c>
      <c r="J241" s="53" t="n">
        <f aca="false">IF(OR(D241="",D241+G241=0),"",D241/(D241+G241))</f>
        <v>0.698815566835871</v>
      </c>
      <c r="K241" s="53" t="n">
        <f aca="false">IF(E241="","",E241/(E241+H241))</f>
        <v>0.755591054313099</v>
      </c>
      <c r="L241" s="64" t="n">
        <f aca="false">IF(OR(K241="",J241=""),"",(J241-K241)*100)</f>
        <v>-5.67754874772276</v>
      </c>
      <c r="M241" s="28" t="n">
        <v>3.51968652681483</v>
      </c>
      <c r="N241" s="28" t="n">
        <v>0.395914373242782</v>
      </c>
      <c r="O241" s="28" t="n">
        <f aca="false">SQRT(M241^2+N241^2)</f>
        <v>3.54188388262265</v>
      </c>
      <c r="P241" s="53" t="n">
        <f aca="false">IF(J241="","",MAX(0,J241-1.96*O241/100))</f>
        <v>0.629394642736468</v>
      </c>
      <c r="Q241" s="53" t="n">
        <f aca="false">IF(J241="","",MIN(1,J241+1.96*O241/100))</f>
        <v>0.768236490935275</v>
      </c>
      <c r="R241" s="25" t="str">
        <f aca="false">IF(L241="","",IF(ABS(L241)&lt;=O241,"Yes","No"))</f>
        <v>No</v>
      </c>
      <c r="S241" s="25" t="str">
        <f aca="false">IF(L241="","",IF(ABS(L241)&lt;=1.96*O241,"Yes","No"))</f>
        <v>Yes</v>
      </c>
      <c r="T241" s="52" t="n">
        <f aca="false">IF(D241="","",ROUND(SQRT(((D241+G241)*O241/100)^2+(J241*(D241+G241)*0.1901)^2),0))</f>
        <v>81</v>
      </c>
      <c r="U241" s="25"/>
    </row>
    <row r="242" customFormat="false" ht="15" hidden="false" customHeight="false" outlineLevel="0" collapsed="false">
      <c r="A242" s="25" t="s">
        <v>385</v>
      </c>
      <c r="B242" s="25" t="s">
        <v>260</v>
      </c>
      <c r="C242" s="25" t="s">
        <v>414</v>
      </c>
      <c r="D242" s="52" t="n">
        <v>763</v>
      </c>
      <c r="E242" s="52" t="n">
        <v>745</v>
      </c>
      <c r="F242" s="63" t="n">
        <f aca="false">IF(E242="","",D242-E242)</f>
        <v>18</v>
      </c>
      <c r="G242" s="52" t="n">
        <v>294</v>
      </c>
      <c r="H242" s="52" t="n">
        <v>301</v>
      </c>
      <c r="I242" s="63" t="n">
        <f aca="false">IF(H242="","",G242-H242)</f>
        <v>-7</v>
      </c>
      <c r="J242" s="53" t="n">
        <f aca="false">IF(OR(D242="",D242+G242=0),"",D242/(D242+G242))</f>
        <v>0.721854304635762</v>
      </c>
      <c r="K242" s="53" t="n">
        <f aca="false">IF(E242="","",E242/(E242+H242))</f>
        <v>0.712237093690249</v>
      </c>
      <c r="L242" s="64" t="n">
        <f aca="false">IF(OR(K242="",J242=""),"",(J242-K242)*100)</f>
        <v>0.961721094551304</v>
      </c>
      <c r="M242" s="28" t="n">
        <v>2.29525849334818</v>
      </c>
      <c r="N242" s="28" t="n">
        <v>0.395914373242782</v>
      </c>
      <c r="O242" s="28" t="n">
        <f aca="false">SQRT(M242^2+N242^2)</f>
        <v>2.32915429764264</v>
      </c>
      <c r="P242" s="53" t="n">
        <f aca="false">IF(J242="","",MAX(0,J242-1.96*O242/100))</f>
        <v>0.676202880401966</v>
      </c>
      <c r="Q242" s="53" t="n">
        <f aca="false">IF(J242="","",MIN(1,J242+1.96*O242/100))</f>
        <v>0.767505728869557</v>
      </c>
      <c r="R242" s="25" t="str">
        <f aca="false">IF(L242="","",IF(ABS(L242)&lt;=O242,"Yes","No"))</f>
        <v>Yes</v>
      </c>
      <c r="S242" s="25" t="str">
        <f aca="false">IF(L242="","",IF(ABS(L242)&lt;=1.96*O242,"Yes","No"))</f>
        <v>Yes</v>
      </c>
      <c r="T242" s="52" t="n">
        <f aca="false">IF(D242="","",ROUND(SQRT(((D242+G242)*O242/100)^2+(J242*(D242+G242)*0.10931)^2),0))</f>
        <v>87</v>
      </c>
      <c r="U242" s="25"/>
    </row>
    <row r="243" customFormat="false" ht="15" hidden="false" customHeight="false" outlineLevel="0" collapsed="false">
      <c r="A243" s="25" t="s">
        <v>385</v>
      </c>
      <c r="B243" s="25" t="s">
        <v>260</v>
      </c>
      <c r="C243" s="25" t="s">
        <v>415</v>
      </c>
      <c r="D243" s="52" t="n">
        <v>672</v>
      </c>
      <c r="E243" s="52" t="n">
        <v>682</v>
      </c>
      <c r="F243" s="63" t="n">
        <f aca="false">IF(E243="","",D243-E243)</f>
        <v>-10</v>
      </c>
      <c r="G243" s="52" t="n">
        <v>295</v>
      </c>
      <c r="H243" s="52" t="n">
        <v>313</v>
      </c>
      <c r="I243" s="63" t="n">
        <f aca="false">IF(H243="","",G243-H243)</f>
        <v>-18</v>
      </c>
      <c r="J243" s="53" t="n">
        <f aca="false">IF(OR(D243="",D243+G243=0),"",D243/(D243+G243))</f>
        <v>0.69493278179938</v>
      </c>
      <c r="K243" s="53" t="n">
        <f aca="false">IF(E243="","",E243/(E243+H243))</f>
        <v>0.685427135678392</v>
      </c>
      <c r="L243" s="64" t="n">
        <f aca="false">IF(OR(K243="",J243=""),"",(J243-K243)*100)</f>
        <v>0.950564612098759</v>
      </c>
      <c r="M243" s="28" t="n">
        <v>2.29525849334818</v>
      </c>
      <c r="N243" s="28" t="n">
        <v>0.395914373242782</v>
      </c>
      <c r="O243" s="28" t="n">
        <f aca="false">SQRT(M243^2+N243^2)</f>
        <v>2.32915429764264</v>
      </c>
      <c r="P243" s="53" t="n">
        <f aca="false">IF(J243="","",MAX(0,J243-1.96*O243/100))</f>
        <v>0.649281357565584</v>
      </c>
      <c r="Q243" s="53" t="n">
        <f aca="false">IF(J243="","",MIN(1,J243+1.96*O243/100))</f>
        <v>0.740584206033175</v>
      </c>
      <c r="R243" s="25" t="str">
        <f aca="false">IF(L243="","",IF(ABS(L243)&lt;=O243,"Yes","No"))</f>
        <v>Yes</v>
      </c>
      <c r="S243" s="25" t="str">
        <f aca="false">IF(L243="","",IF(ABS(L243)&lt;=1.96*O243,"Yes","No"))</f>
        <v>Yes</v>
      </c>
      <c r="T243" s="52" t="n">
        <f aca="false">IF(D243="","",ROUND(SQRT(((D243+G243)*O243/100)^2+(J243*(D243+G243)*0.10931)^2),0))</f>
        <v>77</v>
      </c>
      <c r="U243" s="25"/>
    </row>
    <row r="244" customFormat="false" ht="15" hidden="false" customHeight="false" outlineLevel="0" collapsed="false">
      <c r="A244" s="25" t="s">
        <v>385</v>
      </c>
      <c r="B244" s="25" t="s">
        <v>260</v>
      </c>
      <c r="C244" s="25" t="s">
        <v>416</v>
      </c>
      <c r="D244" s="52" t="n">
        <v>687</v>
      </c>
      <c r="E244" s="52" t="n">
        <v>711</v>
      </c>
      <c r="F244" s="63" t="n">
        <f aca="false">IF(E244="","",D244-E244)</f>
        <v>-24</v>
      </c>
      <c r="G244" s="52" t="n">
        <v>336</v>
      </c>
      <c r="H244" s="52" t="n">
        <v>341</v>
      </c>
      <c r="I244" s="63" t="n">
        <f aca="false">IF(H244="","",G244-H244)</f>
        <v>-5</v>
      </c>
      <c r="J244" s="53" t="n">
        <f aca="false">IF(OR(D244="",D244+G244=0),"",D244/(D244+G244))</f>
        <v>0.671554252199413</v>
      </c>
      <c r="K244" s="53" t="n">
        <f aca="false">IF(E244="","",E244/(E244+H244))</f>
        <v>0.675855513307985</v>
      </c>
      <c r="L244" s="64" t="n">
        <f aca="false">IF(OR(K244="",J244=""),"",(J244-K244)*100)</f>
        <v>-0.430126110857132</v>
      </c>
      <c r="M244" s="28" t="n">
        <v>2.29525849334818</v>
      </c>
      <c r="N244" s="28" t="n">
        <v>0.395914373242782</v>
      </c>
      <c r="O244" s="28" t="n">
        <f aca="false">SQRT(M244^2+N244^2)</f>
        <v>2.32915429764264</v>
      </c>
      <c r="P244" s="53" t="n">
        <f aca="false">IF(J244="","",MAX(0,J244-1.96*O244/100))</f>
        <v>0.625902827965618</v>
      </c>
      <c r="Q244" s="53" t="n">
        <f aca="false">IF(J244="","",MIN(1,J244+1.96*O244/100))</f>
        <v>0.717205676433209</v>
      </c>
      <c r="R244" s="25" t="str">
        <f aca="false">IF(L244="","",IF(ABS(L244)&lt;=O244,"Yes","No"))</f>
        <v>Yes</v>
      </c>
      <c r="S244" s="25" t="str">
        <f aca="false">IF(L244="","",IF(ABS(L244)&lt;=1.96*O244,"Yes","No"))</f>
        <v>Yes</v>
      </c>
      <c r="T244" s="52" t="n">
        <f aca="false">IF(D244="","",ROUND(SQRT(((D244+G244)*O244/100)^2+(J244*(D244+G244)*0.10931)^2),0))</f>
        <v>79</v>
      </c>
      <c r="U244" s="25"/>
    </row>
    <row r="245" customFormat="false" ht="15" hidden="false" customHeight="false" outlineLevel="0" collapsed="false">
      <c r="A245" s="25" t="s">
        <v>385</v>
      </c>
      <c r="B245" s="25" t="s">
        <v>260</v>
      </c>
      <c r="C245" s="25" t="s">
        <v>417</v>
      </c>
      <c r="D245" s="52" t="n">
        <v>307</v>
      </c>
      <c r="E245" s="52"/>
      <c r="F245" s="63" t="str">
        <f aca="false">IF(E245="","",D245-E245)</f>
        <v/>
      </c>
      <c r="G245" s="52" t="n">
        <v>160</v>
      </c>
      <c r="H245" s="52"/>
      <c r="I245" s="63" t="str">
        <f aca="false">IF(H245="","",G245-H245)</f>
        <v/>
      </c>
      <c r="J245" s="53" t="n">
        <f aca="false">IF(OR(D245="",D245+G245=0),"",D245/(D245+G245))</f>
        <v>0.657387580299786</v>
      </c>
      <c r="K245" s="53" t="str">
        <f aca="false">IF(E245="","",E245/(E245+H245))</f>
        <v/>
      </c>
      <c r="L245" s="64" t="str">
        <f aca="false">IF(OR(K245="",J245=""),"",(J245-K245)*100)</f>
        <v/>
      </c>
      <c r="M245" s="28" t="n">
        <v>3.51968652681483</v>
      </c>
      <c r="N245" s="28" t="n">
        <v>0.395914373242782</v>
      </c>
      <c r="O245" s="28" t="n">
        <f aca="false">SQRT(M245^2+N245^2)</f>
        <v>3.54188388262265</v>
      </c>
      <c r="P245" s="53" t="n">
        <f aca="false">IF(J245="","",MAX(0,J245-1.96*O245/100))</f>
        <v>0.587966656200382</v>
      </c>
      <c r="Q245" s="53" t="n">
        <f aca="false">IF(J245="","",MIN(1,J245+1.96*O245/100))</f>
        <v>0.72680850439919</v>
      </c>
      <c r="R245" s="25" t="str">
        <f aca="false">IF(L245="","",IF(ABS(L245)&lt;=O245,"Yes","No"))</f>
        <v/>
      </c>
      <c r="S245" s="25" t="str">
        <f aca="false">IF(L245="","",IF(ABS(L245)&lt;=1.96*O245,"Yes","No"))</f>
        <v/>
      </c>
      <c r="T245" s="52" t="n">
        <f aca="false">IF(D245="","",ROUND(SQRT(((D245+G245)*O245/100)^2+(J245*(D245+G245)*0.1901)^2),0))</f>
        <v>61</v>
      </c>
      <c r="U245" s="25" t="s">
        <v>702</v>
      </c>
    </row>
    <row r="246" customFormat="false" ht="15" hidden="false" customHeight="false" outlineLevel="0" collapsed="false">
      <c r="A246" s="25" t="s">
        <v>385</v>
      </c>
      <c r="B246" s="25" t="s">
        <v>418</v>
      </c>
      <c r="C246" s="25" t="s">
        <v>419</v>
      </c>
      <c r="D246" s="52" t="n">
        <v>431</v>
      </c>
      <c r="E246" s="52" t="n">
        <v>466</v>
      </c>
      <c r="F246" s="63" t="n">
        <f aca="false">IF(E246="","",D246-E246)</f>
        <v>-35</v>
      </c>
      <c r="G246" s="52" t="n">
        <v>419</v>
      </c>
      <c r="H246" s="52" t="n">
        <v>405</v>
      </c>
      <c r="I246" s="63" t="n">
        <f aca="false">IF(H246="","",G246-H246)</f>
        <v>14</v>
      </c>
      <c r="J246" s="53" t="n">
        <f aca="false">IF(OR(D246="",D246+G246=0),"",D246/(D246+G246))</f>
        <v>0.507058823529412</v>
      </c>
      <c r="K246" s="53" t="n">
        <f aca="false">IF(E246="","",E246/(E246+H246))</f>
        <v>0.535017221584386</v>
      </c>
      <c r="L246" s="64" t="n">
        <f aca="false">IF(OR(K246="",J246=""),"",(J246-K246)*100)</f>
        <v>-2.7958398054974</v>
      </c>
      <c r="M246" s="28" t="n">
        <v>2.29525849334818</v>
      </c>
      <c r="N246" s="28" t="n">
        <v>0.395914373242782</v>
      </c>
      <c r="O246" s="28" t="n">
        <f aca="false">SQRT(M246^2+N246^2)</f>
        <v>2.32915429764264</v>
      </c>
      <c r="P246" s="53" t="n">
        <f aca="false">IF(J246="","",MAX(0,J246-1.96*O246/100))</f>
        <v>0.461407399295616</v>
      </c>
      <c r="Q246" s="53" t="n">
        <f aca="false">IF(J246="","",MIN(1,J246+1.96*O246/100))</f>
        <v>0.552710247763208</v>
      </c>
      <c r="R246" s="25" t="str">
        <f aca="false">IF(L246="","",IF(ABS(L246)&lt;=O246,"Yes","No"))</f>
        <v>No</v>
      </c>
      <c r="S246" s="25" t="str">
        <f aca="false">IF(L246="","",IF(ABS(L246)&lt;=1.96*O246,"Yes","No"))</f>
        <v>Yes</v>
      </c>
      <c r="T246" s="52" t="n">
        <f aca="false">IF(D246="","",ROUND(SQRT(((D246+G246)*O246/100)^2+(J246*(D246+G246)*0.10931)^2),0))</f>
        <v>51</v>
      </c>
      <c r="U246" s="25"/>
    </row>
    <row r="247" customFormat="false" ht="15" hidden="false" customHeight="false" outlineLevel="0" collapsed="false">
      <c r="A247" s="25" t="s">
        <v>385</v>
      </c>
      <c r="B247" s="25" t="s">
        <v>418</v>
      </c>
      <c r="C247" s="25" t="s">
        <v>420</v>
      </c>
      <c r="D247" s="52" t="n">
        <v>561</v>
      </c>
      <c r="E247" s="52" t="n">
        <v>552</v>
      </c>
      <c r="F247" s="63" t="n">
        <f aca="false">IF(E247="","",D247-E247)</f>
        <v>9</v>
      </c>
      <c r="G247" s="52" t="n">
        <v>532</v>
      </c>
      <c r="H247" s="52" t="n">
        <v>506</v>
      </c>
      <c r="I247" s="63" t="n">
        <f aca="false">IF(H247="","",G247-H247)</f>
        <v>26</v>
      </c>
      <c r="J247" s="53" t="n">
        <f aca="false">IF(OR(D247="",D247+G247=0),"",D247/(D247+G247))</f>
        <v>0.513266239707228</v>
      </c>
      <c r="K247" s="53" t="n">
        <f aca="false">IF(E247="","",E247/(E247+H247))</f>
        <v>0.521739130434783</v>
      </c>
      <c r="L247" s="64" t="n">
        <f aca="false">IF(OR(K247="",J247=""),"",(J247-K247)*100)</f>
        <v>-0.847289072755475</v>
      </c>
      <c r="M247" s="28" t="n">
        <v>2.29525849334818</v>
      </c>
      <c r="N247" s="28" t="n">
        <v>0.395914373242782</v>
      </c>
      <c r="O247" s="28" t="n">
        <f aca="false">SQRT(M247^2+N247^2)</f>
        <v>2.32915429764264</v>
      </c>
      <c r="P247" s="53" t="n">
        <f aca="false">IF(J247="","",MAX(0,J247-1.96*O247/100))</f>
        <v>0.467614815473432</v>
      </c>
      <c r="Q247" s="53" t="n">
        <f aca="false">IF(J247="","",MIN(1,J247+1.96*O247/100))</f>
        <v>0.558917663941024</v>
      </c>
      <c r="R247" s="25" t="str">
        <f aca="false">IF(L247="","",IF(ABS(L247)&lt;=O247,"Yes","No"))</f>
        <v>Yes</v>
      </c>
      <c r="S247" s="25" t="str">
        <f aca="false">IF(L247="","",IF(ABS(L247)&lt;=1.96*O247,"Yes","No"))</f>
        <v>Yes</v>
      </c>
      <c r="T247" s="52" t="n">
        <f aca="false">IF(D247="","",ROUND(SQRT(((D247+G247)*O247/100)^2+(J247*(D247+G247)*0.10931)^2),0))</f>
        <v>66</v>
      </c>
      <c r="U247" s="25"/>
    </row>
    <row r="248" customFormat="false" ht="15" hidden="false" customHeight="false" outlineLevel="0" collapsed="false">
      <c r="A248" s="25" t="s">
        <v>385</v>
      </c>
      <c r="B248" s="25" t="s">
        <v>418</v>
      </c>
      <c r="C248" s="25" t="s">
        <v>421</v>
      </c>
      <c r="D248" s="52" t="n">
        <v>666</v>
      </c>
      <c r="E248" s="52" t="n">
        <v>722</v>
      </c>
      <c r="F248" s="63" t="n">
        <f aca="false">IF(E248="","",D248-E248)</f>
        <v>-56</v>
      </c>
      <c r="G248" s="52" t="n">
        <v>580</v>
      </c>
      <c r="H248" s="52" t="n">
        <v>596</v>
      </c>
      <c r="I248" s="63" t="n">
        <f aca="false">IF(H248="","",G248-H248)</f>
        <v>-16</v>
      </c>
      <c r="J248" s="53" t="n">
        <f aca="false">IF(OR(D248="",D248+G248=0),"",D248/(D248+G248))</f>
        <v>0.534510433386838</v>
      </c>
      <c r="K248" s="53" t="n">
        <f aca="false">IF(E248="","",E248/(E248+H248))</f>
        <v>0.547799696509863</v>
      </c>
      <c r="L248" s="64" t="n">
        <f aca="false">IF(OR(K248="",J248=""),"",(J248-K248)*100)</f>
        <v>-1.32892631230255</v>
      </c>
      <c r="M248" s="28" t="n">
        <v>2.07368371626919</v>
      </c>
      <c r="N248" s="28" t="n">
        <v>0.395914373242782</v>
      </c>
      <c r="O248" s="28" t="n">
        <f aca="false">SQRT(M248^2+N248^2)</f>
        <v>2.11114005837136</v>
      </c>
      <c r="P248" s="53" t="n">
        <f aca="false">IF(J248="","",MAX(0,J248-1.96*O248/100))</f>
        <v>0.493132088242759</v>
      </c>
      <c r="Q248" s="53" t="n">
        <f aca="false">IF(J248="","",MIN(1,J248+1.96*O248/100))</f>
        <v>0.575888778530917</v>
      </c>
      <c r="R248" s="25" t="str">
        <f aca="false">IF(L248="","",IF(ABS(L248)&lt;=O248,"Yes","No"))</f>
        <v>Yes</v>
      </c>
      <c r="S248" s="25" t="str">
        <f aca="false">IF(L248="","",IF(ABS(L248)&lt;=1.96*O248,"Yes","No"))</f>
        <v>Yes</v>
      </c>
      <c r="T248" s="52" t="n">
        <f aca="false">IF(D248="","",ROUND(SQRT(((D248+G248)*O248/100)^2+(J248*(D248+G248)*0.08889)^2),0))</f>
        <v>65</v>
      </c>
      <c r="U248" s="25"/>
    </row>
    <row r="249" customFormat="false" ht="15" hidden="false" customHeight="false" outlineLevel="0" collapsed="false">
      <c r="A249" s="25" t="s">
        <v>385</v>
      </c>
      <c r="B249" s="25" t="s">
        <v>418</v>
      </c>
      <c r="C249" s="25" t="s">
        <v>422</v>
      </c>
      <c r="D249" s="52" t="n">
        <v>301</v>
      </c>
      <c r="E249" s="52" t="n">
        <v>339</v>
      </c>
      <c r="F249" s="63" t="n">
        <f aca="false">IF(E249="","",D249-E249)</f>
        <v>-38</v>
      </c>
      <c r="G249" s="52" t="n">
        <v>321</v>
      </c>
      <c r="H249" s="52" t="n">
        <v>338</v>
      </c>
      <c r="I249" s="63" t="n">
        <f aca="false">IF(H249="","",G249-H249)</f>
        <v>-17</v>
      </c>
      <c r="J249" s="53" t="n">
        <f aca="false">IF(OR(D249="",D249+G249=0),"",D249/(D249+G249))</f>
        <v>0.483922829581994</v>
      </c>
      <c r="K249" s="53" t="n">
        <f aca="false">IF(E249="","",E249/(E249+H249))</f>
        <v>0.500738552437223</v>
      </c>
      <c r="L249" s="64" t="n">
        <f aca="false">IF(OR(K249="",J249=""),"",(J249-K249)*100)</f>
        <v>-1.68157228552295</v>
      </c>
      <c r="M249" s="28" t="n">
        <v>3.51968652681483</v>
      </c>
      <c r="N249" s="28" t="n">
        <v>0.395914373242782</v>
      </c>
      <c r="O249" s="28" t="n">
        <f aca="false">SQRT(M249^2+N249^2)</f>
        <v>3.54188388262265</v>
      </c>
      <c r="P249" s="53" t="n">
        <f aca="false">IF(J249="","",MAX(0,J249-1.96*O249/100))</f>
        <v>0.41450190548259</v>
      </c>
      <c r="Q249" s="53" t="n">
        <f aca="false">IF(J249="","",MIN(1,J249+1.96*O249/100))</f>
        <v>0.553343753681397</v>
      </c>
      <c r="R249" s="25" t="str">
        <f aca="false">IF(L249="","",IF(ABS(L249)&lt;=O249,"Yes","No"))</f>
        <v>Yes</v>
      </c>
      <c r="S249" s="25" t="str">
        <f aca="false">IF(L249="","",IF(ABS(L249)&lt;=1.96*O249,"Yes","No"))</f>
        <v>Yes</v>
      </c>
      <c r="T249" s="52" t="n">
        <f aca="false">IF(D249="","",ROUND(SQRT(((D249+G249)*O249/100)^2+(J249*(D249+G249)*0.1901)^2),0))</f>
        <v>61</v>
      </c>
      <c r="U249" s="25"/>
    </row>
    <row r="250" customFormat="false" ht="15" hidden="false" customHeight="false" outlineLevel="0" collapsed="false">
      <c r="A250" s="25" t="s">
        <v>385</v>
      </c>
      <c r="B250" s="25" t="s">
        <v>418</v>
      </c>
      <c r="C250" s="25" t="s">
        <v>423</v>
      </c>
      <c r="D250" s="52" t="n">
        <v>586</v>
      </c>
      <c r="E250" s="52" t="n">
        <v>579</v>
      </c>
      <c r="F250" s="63" t="n">
        <f aca="false">IF(E250="","",D250-E250)</f>
        <v>7</v>
      </c>
      <c r="G250" s="52" t="n">
        <v>488</v>
      </c>
      <c r="H250" s="52" t="n">
        <v>482</v>
      </c>
      <c r="I250" s="63" t="n">
        <f aca="false">IF(H250="","",G250-H250)</f>
        <v>6</v>
      </c>
      <c r="J250" s="53" t="n">
        <f aca="false">IF(OR(D250="",D250+G250=0),"",D250/(D250+G250))</f>
        <v>0.54562383612663</v>
      </c>
      <c r="K250" s="53" t="n">
        <f aca="false">IF(E250="","",E250/(E250+H250))</f>
        <v>0.545711592836946</v>
      </c>
      <c r="L250" s="64" t="n">
        <f aca="false">IF(OR(K250="",J250=""),"",(J250-K250)*100)</f>
        <v>-0.00877567103167998</v>
      </c>
      <c r="M250" s="28" t="n">
        <v>2.29525849334818</v>
      </c>
      <c r="N250" s="28" t="n">
        <v>0.395914373242782</v>
      </c>
      <c r="O250" s="28" t="n">
        <f aca="false">SQRT(M250^2+N250^2)</f>
        <v>2.32915429764264</v>
      </c>
      <c r="P250" s="53" t="n">
        <f aca="false">IF(J250="","",MAX(0,J250-1.96*O250/100))</f>
        <v>0.499972411892834</v>
      </c>
      <c r="Q250" s="53" t="n">
        <f aca="false">IF(J250="","",MIN(1,J250+1.96*O250/100))</f>
        <v>0.591275260360425</v>
      </c>
      <c r="R250" s="25" t="str">
        <f aca="false">IF(L250="","",IF(ABS(L250)&lt;=O250,"Yes","No"))</f>
        <v>Yes</v>
      </c>
      <c r="S250" s="25" t="str">
        <f aca="false">IF(L250="","",IF(ABS(L250)&lt;=1.96*O250,"Yes","No"))</f>
        <v>Yes</v>
      </c>
      <c r="T250" s="52" t="n">
        <f aca="false">IF(D250="","",ROUND(SQRT(((D250+G250)*O250/100)^2+(J250*(D250+G250)*0.10931)^2),0))</f>
        <v>69</v>
      </c>
      <c r="U250" s="25"/>
    </row>
    <row r="251" customFormat="false" ht="15" hidden="false" customHeight="false" outlineLevel="0" collapsed="false">
      <c r="A251" s="25" t="s">
        <v>385</v>
      </c>
      <c r="B251" s="25" t="s">
        <v>418</v>
      </c>
      <c r="C251" s="25" t="s">
        <v>424</v>
      </c>
      <c r="D251" s="52" t="n">
        <v>550</v>
      </c>
      <c r="E251" s="52" t="n">
        <v>562</v>
      </c>
      <c r="F251" s="63" t="n">
        <f aca="false">IF(E251="","",D251-E251)</f>
        <v>-12</v>
      </c>
      <c r="G251" s="52" t="n">
        <v>509</v>
      </c>
      <c r="H251" s="52" t="n">
        <v>525</v>
      </c>
      <c r="I251" s="63" t="n">
        <f aca="false">IF(H251="","",G251-H251)</f>
        <v>-16</v>
      </c>
      <c r="J251" s="53" t="n">
        <f aca="false">IF(OR(D251="",D251+G251=0),"",D251/(D251+G251))</f>
        <v>0.519357884796978</v>
      </c>
      <c r="K251" s="53" t="n">
        <f aca="false">IF(E251="","",E251/(E251+H251))</f>
        <v>0.517019319227231</v>
      </c>
      <c r="L251" s="64" t="n">
        <f aca="false">IF(OR(K251="",J251=""),"",(J251-K251)*100)</f>
        <v>0.233856556974743</v>
      </c>
      <c r="M251" s="28" t="n">
        <v>2.29525849334818</v>
      </c>
      <c r="N251" s="28" t="n">
        <v>0.395914373242782</v>
      </c>
      <c r="O251" s="28" t="n">
        <f aca="false">SQRT(M251^2+N251^2)</f>
        <v>2.32915429764264</v>
      </c>
      <c r="P251" s="53" t="n">
        <f aca="false">IF(J251="","",MAX(0,J251-1.96*O251/100))</f>
        <v>0.473706460563183</v>
      </c>
      <c r="Q251" s="53" t="n">
        <f aca="false">IF(J251="","",MIN(1,J251+1.96*O251/100))</f>
        <v>0.565009309030774</v>
      </c>
      <c r="R251" s="25" t="str">
        <f aca="false">IF(L251="","",IF(ABS(L251)&lt;=O251,"Yes","No"))</f>
        <v>Yes</v>
      </c>
      <c r="S251" s="25" t="str">
        <f aca="false">IF(L251="","",IF(ABS(L251)&lt;=1.96*O251,"Yes","No"))</f>
        <v>Yes</v>
      </c>
      <c r="T251" s="52" t="n">
        <f aca="false">IF(D251="","",ROUND(SQRT(((D251+G251)*O251/100)^2+(J251*(D251+G251)*0.10931)^2),0))</f>
        <v>65</v>
      </c>
      <c r="U251" s="25"/>
    </row>
    <row r="252" customFormat="false" ht="15" hidden="false" customHeight="false" outlineLevel="0" collapsed="false">
      <c r="A252" s="25" t="s">
        <v>385</v>
      </c>
      <c r="B252" s="25" t="s">
        <v>418</v>
      </c>
      <c r="C252" s="25" t="s">
        <v>425</v>
      </c>
      <c r="D252" s="52" t="n">
        <v>338</v>
      </c>
      <c r="E252" s="52" t="n">
        <v>337</v>
      </c>
      <c r="F252" s="63" t="n">
        <f aca="false">IF(E252="","",D252-E252)</f>
        <v>1</v>
      </c>
      <c r="G252" s="52" t="n">
        <v>297</v>
      </c>
      <c r="H252" s="52" t="n">
        <v>296</v>
      </c>
      <c r="I252" s="63" t="n">
        <f aca="false">IF(H252="","",G252-H252)</f>
        <v>1</v>
      </c>
      <c r="J252" s="53" t="n">
        <f aca="false">IF(OR(D252="",D252+G252=0),"",D252/(D252+G252))</f>
        <v>0.532283464566929</v>
      </c>
      <c r="K252" s="53" t="n">
        <f aca="false">IF(E252="","",E252/(E252+H252))</f>
        <v>0.532385466034755</v>
      </c>
      <c r="L252" s="64" t="n">
        <f aca="false">IF(OR(K252="",J252=""),"",(J252-K252)*100)</f>
        <v>-0.0102001467826018</v>
      </c>
      <c r="M252" s="28" t="n">
        <v>3.51968652681483</v>
      </c>
      <c r="N252" s="28" t="n">
        <v>0.395914373242782</v>
      </c>
      <c r="O252" s="28" t="n">
        <f aca="false">SQRT(M252^2+N252^2)</f>
        <v>3.54188388262265</v>
      </c>
      <c r="P252" s="53" t="n">
        <f aca="false">IF(J252="","",MAX(0,J252-1.96*O252/100))</f>
        <v>0.462862540467525</v>
      </c>
      <c r="Q252" s="53" t="n">
        <f aca="false">IF(J252="","",MIN(1,J252+1.96*O252/100))</f>
        <v>0.601704388666333</v>
      </c>
      <c r="R252" s="25" t="str">
        <f aca="false">IF(L252="","",IF(ABS(L252)&lt;=O252,"Yes","No"))</f>
        <v>Yes</v>
      </c>
      <c r="S252" s="25" t="str">
        <f aca="false">IF(L252="","",IF(ABS(L252)&lt;=1.96*O252,"Yes","No"))</f>
        <v>Yes</v>
      </c>
      <c r="T252" s="52" t="n">
        <f aca="false">IF(D252="","",ROUND(SQRT(((D252+G252)*O252/100)^2+(J252*(D252+G252)*0.1901)^2),0))</f>
        <v>68</v>
      </c>
      <c r="U252" s="25"/>
    </row>
    <row r="253" customFormat="false" ht="15" hidden="false" customHeight="false" outlineLevel="0" collapsed="false">
      <c r="A253" s="25" t="s">
        <v>385</v>
      </c>
      <c r="B253" s="25" t="s">
        <v>418</v>
      </c>
      <c r="C253" s="25" t="s">
        <v>426</v>
      </c>
      <c r="D253" s="52" t="n">
        <v>504</v>
      </c>
      <c r="E253" s="52" t="n">
        <v>517</v>
      </c>
      <c r="F253" s="63" t="n">
        <f aca="false">IF(E253="","",D253-E253)</f>
        <v>-13</v>
      </c>
      <c r="G253" s="52" t="n">
        <v>392</v>
      </c>
      <c r="H253" s="52" t="n">
        <v>388</v>
      </c>
      <c r="I253" s="63" t="n">
        <f aca="false">IF(H253="","",G253-H253)</f>
        <v>4</v>
      </c>
      <c r="J253" s="53" t="n">
        <f aca="false">IF(OR(D253="",D253+G253=0),"",D253/(D253+G253))</f>
        <v>0.5625</v>
      </c>
      <c r="K253" s="53" t="n">
        <f aca="false">IF(E253="","",E253/(E253+H253))</f>
        <v>0.571270718232044</v>
      </c>
      <c r="L253" s="64" t="n">
        <f aca="false">IF(OR(K253="",J253=""),"",(J253-K253)*100)</f>
        <v>-0.877071823204423</v>
      </c>
      <c r="M253" s="28" t="n">
        <v>2.29525849334818</v>
      </c>
      <c r="N253" s="28" t="n">
        <v>0.395914373242782</v>
      </c>
      <c r="O253" s="28" t="n">
        <f aca="false">SQRT(M253^2+N253^2)</f>
        <v>2.32915429764264</v>
      </c>
      <c r="P253" s="53" t="n">
        <f aca="false">IF(J253="","",MAX(0,J253-1.96*O253/100))</f>
        <v>0.516848575766204</v>
      </c>
      <c r="Q253" s="53" t="n">
        <f aca="false">IF(J253="","",MIN(1,J253+1.96*O253/100))</f>
        <v>0.608151424233796</v>
      </c>
      <c r="R253" s="25" t="str">
        <f aca="false">IF(L253="","",IF(ABS(L253)&lt;=O253,"Yes","No"))</f>
        <v>Yes</v>
      </c>
      <c r="S253" s="25" t="str">
        <f aca="false">IF(L253="","",IF(ABS(L253)&lt;=1.96*O253,"Yes","No"))</f>
        <v>Yes</v>
      </c>
      <c r="T253" s="52" t="n">
        <f aca="false">IF(D253="","",ROUND(SQRT(((D253+G253)*O253/100)^2+(J253*(D253+G253)*0.10931)^2),0))</f>
        <v>59</v>
      </c>
      <c r="U253" s="25"/>
    </row>
    <row r="254" customFormat="false" ht="15" hidden="false" customHeight="false" outlineLevel="0" collapsed="false">
      <c r="A254" s="25" t="s">
        <v>385</v>
      </c>
      <c r="B254" s="25" t="s">
        <v>418</v>
      </c>
      <c r="C254" s="25" t="s">
        <v>427</v>
      </c>
      <c r="D254" s="52" t="n">
        <v>312</v>
      </c>
      <c r="E254" s="52" t="n">
        <v>329</v>
      </c>
      <c r="F254" s="63" t="n">
        <f aca="false">IF(E254="","",D254-E254)</f>
        <v>-17</v>
      </c>
      <c r="G254" s="52" t="n">
        <v>236</v>
      </c>
      <c r="H254" s="52" t="n">
        <v>217</v>
      </c>
      <c r="I254" s="63" t="n">
        <f aca="false">IF(H254="","",G254-H254)</f>
        <v>19</v>
      </c>
      <c r="J254" s="53" t="n">
        <f aca="false">IF(OR(D254="",D254+G254=0),"",D254/(D254+G254))</f>
        <v>0.569343065693431</v>
      </c>
      <c r="K254" s="53" t="n">
        <f aca="false">IF(E254="","",E254/(E254+H254))</f>
        <v>0.602564102564103</v>
      </c>
      <c r="L254" s="64" t="n">
        <f aca="false">IF(OR(K254="",J254=""),"",(J254-K254)*100)</f>
        <v>-3.32210368706719</v>
      </c>
      <c r="M254" s="28" t="n">
        <v>3.51968652681483</v>
      </c>
      <c r="N254" s="28" t="n">
        <v>0.395914373242782</v>
      </c>
      <c r="O254" s="28" t="n">
        <f aca="false">SQRT(M254^2+N254^2)</f>
        <v>3.54188388262265</v>
      </c>
      <c r="P254" s="53" t="n">
        <f aca="false">IF(J254="","",MAX(0,J254-1.96*O254/100))</f>
        <v>0.499922141594027</v>
      </c>
      <c r="Q254" s="53" t="n">
        <f aca="false">IF(J254="","",MIN(1,J254+1.96*O254/100))</f>
        <v>0.638763989792835</v>
      </c>
      <c r="R254" s="25" t="str">
        <f aca="false">IF(L254="","",IF(ABS(L254)&lt;=O254,"Yes","No"))</f>
        <v>Yes</v>
      </c>
      <c r="S254" s="25" t="str">
        <f aca="false">IF(L254="","",IF(ABS(L254)&lt;=1.96*O254,"Yes","No"))</f>
        <v>Yes</v>
      </c>
      <c r="T254" s="52" t="n">
        <f aca="false">IF(D254="","",ROUND(SQRT(((D254+G254)*O254/100)^2+(J254*(D254+G254)*0.1901)^2),0))</f>
        <v>62</v>
      </c>
      <c r="U254" s="25"/>
    </row>
    <row r="255" customFormat="false" ht="15" hidden="false" customHeight="false" outlineLevel="0" collapsed="false">
      <c r="A255" s="25" t="s">
        <v>385</v>
      </c>
      <c r="B255" s="25" t="s">
        <v>418</v>
      </c>
      <c r="C255" s="25" t="s">
        <v>428</v>
      </c>
      <c r="D255" s="52" t="n">
        <v>328</v>
      </c>
      <c r="E255" s="52" t="n">
        <v>352</v>
      </c>
      <c r="F255" s="63" t="n">
        <f aca="false">IF(E255="","",D255-E255)</f>
        <v>-24</v>
      </c>
      <c r="G255" s="52" t="n">
        <v>360</v>
      </c>
      <c r="H255" s="52" t="n">
        <v>326</v>
      </c>
      <c r="I255" s="63" t="n">
        <f aca="false">IF(H255="","",G255-H255)</f>
        <v>34</v>
      </c>
      <c r="J255" s="53" t="n">
        <f aca="false">IF(OR(D255="",D255+G255=0),"",D255/(D255+G255))</f>
        <v>0.476744186046512</v>
      </c>
      <c r="K255" s="53" t="n">
        <f aca="false">IF(E255="","",E255/(E255+H255))</f>
        <v>0.519174041297935</v>
      </c>
      <c r="L255" s="64" t="n">
        <f aca="false">IF(OR(K255="",J255=""),"",(J255-K255)*100)</f>
        <v>-4.24298552514235</v>
      </c>
      <c r="M255" s="28" t="n">
        <v>3.51968652681483</v>
      </c>
      <c r="N255" s="28" t="n">
        <v>0.395914373242782</v>
      </c>
      <c r="O255" s="28" t="n">
        <f aca="false">SQRT(M255^2+N255^2)</f>
        <v>3.54188388262265</v>
      </c>
      <c r="P255" s="53" t="n">
        <f aca="false">IF(J255="","",MAX(0,J255-1.96*O255/100))</f>
        <v>0.407323261947108</v>
      </c>
      <c r="Q255" s="53" t="n">
        <f aca="false">IF(J255="","",MIN(1,J255+1.96*O255/100))</f>
        <v>0.546165110145916</v>
      </c>
      <c r="R255" s="25" t="str">
        <f aca="false">IF(L255="","",IF(ABS(L255)&lt;=O255,"Yes","No"))</f>
        <v>No</v>
      </c>
      <c r="S255" s="25" t="str">
        <f aca="false">IF(L255="","",IF(ABS(L255)&lt;=1.96*O255,"Yes","No"))</f>
        <v>Yes</v>
      </c>
      <c r="T255" s="52" t="n">
        <f aca="false">IF(D255="","",ROUND(SQRT(((D255+G255)*O255/100)^2+(J255*(D255+G255)*0.1901)^2),0))</f>
        <v>67</v>
      </c>
      <c r="U255" s="25"/>
    </row>
    <row r="256" customFormat="false" ht="15" hidden="false" customHeight="false" outlineLevel="0" collapsed="false">
      <c r="A256" s="25" t="s">
        <v>385</v>
      </c>
      <c r="B256" s="25" t="s">
        <v>418</v>
      </c>
      <c r="C256" s="25" t="s">
        <v>429</v>
      </c>
      <c r="D256" s="52" t="n">
        <v>418</v>
      </c>
      <c r="E256" s="52" t="n">
        <v>420</v>
      </c>
      <c r="F256" s="63" t="n">
        <f aca="false">IF(E256="","",D256-E256)</f>
        <v>-2</v>
      </c>
      <c r="G256" s="52" t="n">
        <v>378</v>
      </c>
      <c r="H256" s="52" t="n">
        <v>378</v>
      </c>
      <c r="I256" s="63" t="n">
        <f aca="false">IF(H256="","",G256-H256)</f>
        <v>0</v>
      </c>
      <c r="J256" s="53" t="n">
        <f aca="false">IF(OR(D256="",D256+G256=0),"",D256/(D256+G256))</f>
        <v>0.525125628140704</v>
      </c>
      <c r="K256" s="53" t="n">
        <f aca="false">IF(E256="","",E256/(E256+H256))</f>
        <v>0.526315789473684</v>
      </c>
      <c r="L256" s="64" t="n">
        <f aca="false">IF(OR(K256="",J256=""),"",(J256-K256)*100)</f>
        <v>-0.119016133298067</v>
      </c>
      <c r="M256" s="28" t="n">
        <v>2.29525849334818</v>
      </c>
      <c r="N256" s="28" t="n">
        <v>0.395914373242782</v>
      </c>
      <c r="O256" s="28" t="n">
        <f aca="false">SQRT(M256^2+N256^2)</f>
        <v>2.32915429764264</v>
      </c>
      <c r="P256" s="53" t="n">
        <f aca="false">IF(J256="","",MAX(0,J256-1.96*O256/100))</f>
        <v>0.479474203906908</v>
      </c>
      <c r="Q256" s="53" t="n">
        <f aca="false">IF(J256="","",MIN(1,J256+1.96*O256/100))</f>
        <v>0.570777052374499</v>
      </c>
      <c r="R256" s="25" t="str">
        <f aca="false">IF(L256="","",IF(ABS(L256)&lt;=O256,"Yes","No"))</f>
        <v>Yes</v>
      </c>
      <c r="S256" s="25" t="str">
        <f aca="false">IF(L256="","",IF(ABS(L256)&lt;=1.96*O256,"Yes","No"))</f>
        <v>Yes</v>
      </c>
      <c r="T256" s="52" t="n">
        <f aca="false">IF(D256="","",ROUND(SQRT(((D256+G256)*O256/100)^2+(J256*(D256+G256)*0.10931)^2),0))</f>
        <v>49</v>
      </c>
      <c r="U256" s="25"/>
    </row>
    <row r="257" customFormat="false" ht="15" hidden="false" customHeight="false" outlineLevel="0" collapsed="false">
      <c r="A257" s="25" t="s">
        <v>385</v>
      </c>
      <c r="B257" s="25" t="s">
        <v>418</v>
      </c>
      <c r="C257" s="25" t="s">
        <v>430</v>
      </c>
      <c r="D257" s="52" t="n">
        <v>486</v>
      </c>
      <c r="E257" s="52" t="n">
        <v>522</v>
      </c>
      <c r="F257" s="63" t="n">
        <f aca="false">IF(E257="","",D257-E257)</f>
        <v>-36</v>
      </c>
      <c r="G257" s="52" t="n">
        <v>406</v>
      </c>
      <c r="H257" s="52" t="n">
        <v>400</v>
      </c>
      <c r="I257" s="63" t="n">
        <f aca="false">IF(H257="","",G257-H257)</f>
        <v>6</v>
      </c>
      <c r="J257" s="53" t="n">
        <f aca="false">IF(OR(D257="",D257+G257=0),"",D257/(D257+G257))</f>
        <v>0.544843049327354</v>
      </c>
      <c r="K257" s="53" t="n">
        <f aca="false">IF(E257="","",E257/(E257+H257))</f>
        <v>0.566160520607375</v>
      </c>
      <c r="L257" s="64" t="n">
        <f aca="false">IF(OR(K257="",J257=""),"",(J257-K257)*100)</f>
        <v>-2.1317471280021</v>
      </c>
      <c r="M257" s="28" t="n">
        <v>2.29525849334818</v>
      </c>
      <c r="N257" s="28" t="n">
        <v>0.395914373242782</v>
      </c>
      <c r="O257" s="28" t="n">
        <f aca="false">SQRT(M257^2+N257^2)</f>
        <v>2.32915429764264</v>
      </c>
      <c r="P257" s="53" t="n">
        <f aca="false">IF(J257="","",MAX(0,J257-1.96*O257/100))</f>
        <v>0.499191625093559</v>
      </c>
      <c r="Q257" s="53" t="n">
        <f aca="false">IF(J257="","",MIN(1,J257+1.96*O257/100))</f>
        <v>0.59049447356115</v>
      </c>
      <c r="R257" s="25" t="str">
        <f aca="false">IF(L257="","",IF(ABS(L257)&lt;=O257,"Yes","No"))</f>
        <v>Yes</v>
      </c>
      <c r="S257" s="25" t="str">
        <f aca="false">IF(L257="","",IF(ABS(L257)&lt;=1.96*O257,"Yes","No"))</f>
        <v>Yes</v>
      </c>
      <c r="T257" s="52" t="n">
        <f aca="false">IF(D257="","",ROUND(SQRT(((D257+G257)*O257/100)^2+(J257*(D257+G257)*0.10931)^2),0))</f>
        <v>57</v>
      </c>
      <c r="U257" s="25"/>
    </row>
    <row r="258" customFormat="false" ht="15" hidden="false" customHeight="false" outlineLevel="0" collapsed="false">
      <c r="A258" s="25" t="s">
        <v>385</v>
      </c>
      <c r="B258" s="25" t="s">
        <v>418</v>
      </c>
      <c r="C258" s="25" t="s">
        <v>431</v>
      </c>
      <c r="D258" s="52" t="n">
        <v>429</v>
      </c>
      <c r="E258" s="52" t="n">
        <v>436</v>
      </c>
      <c r="F258" s="63" t="n">
        <f aca="false">IF(E258="","",D258-E258)</f>
        <v>-7</v>
      </c>
      <c r="G258" s="52" t="n">
        <v>438</v>
      </c>
      <c r="H258" s="52" t="n">
        <v>423</v>
      </c>
      <c r="I258" s="63" t="n">
        <f aca="false">IF(H258="","",G258-H258)</f>
        <v>15</v>
      </c>
      <c r="J258" s="53" t="n">
        <f aca="false">IF(OR(D258="",D258+G258=0),"",D258/(D258+G258))</f>
        <v>0.494809688581315</v>
      </c>
      <c r="K258" s="53" t="n">
        <f aca="false">IF(E258="","",E258/(E258+H258))</f>
        <v>0.507566938300349</v>
      </c>
      <c r="L258" s="64" t="n">
        <f aca="false">IF(OR(K258="",J258=""),"",(J258-K258)*100)</f>
        <v>-1.27572497190344</v>
      </c>
      <c r="M258" s="28" t="n">
        <v>2.29525849334818</v>
      </c>
      <c r="N258" s="28" t="n">
        <v>0.395914373242782</v>
      </c>
      <c r="O258" s="28" t="n">
        <f aca="false">SQRT(M258^2+N258^2)</f>
        <v>2.32915429764264</v>
      </c>
      <c r="P258" s="53" t="n">
        <f aca="false">IF(J258="","",MAX(0,J258-1.96*O258/100))</f>
        <v>0.449158264347519</v>
      </c>
      <c r="Q258" s="53" t="n">
        <f aca="false">IF(J258="","",MIN(1,J258+1.96*O258/100))</f>
        <v>0.540461112815111</v>
      </c>
      <c r="R258" s="25" t="str">
        <f aca="false">IF(L258="","",IF(ABS(L258)&lt;=O258,"Yes","No"))</f>
        <v>Yes</v>
      </c>
      <c r="S258" s="25" t="str">
        <f aca="false">IF(L258="","",IF(ABS(L258)&lt;=1.96*O258,"Yes","No"))</f>
        <v>Yes</v>
      </c>
      <c r="T258" s="52" t="n">
        <f aca="false">IF(D258="","",ROUND(SQRT(((D258+G258)*O258/100)^2+(J258*(D258+G258)*0.10931)^2),0))</f>
        <v>51</v>
      </c>
      <c r="U258" s="25"/>
    </row>
    <row r="259" customFormat="false" ht="15" hidden="false" customHeight="false" outlineLevel="0" collapsed="false">
      <c r="A259" s="25" t="s">
        <v>385</v>
      </c>
      <c r="B259" s="25" t="s">
        <v>418</v>
      </c>
      <c r="C259" s="25" t="s">
        <v>432</v>
      </c>
      <c r="D259" s="52" t="n">
        <v>943</v>
      </c>
      <c r="E259" s="52" t="n">
        <v>925</v>
      </c>
      <c r="F259" s="63" t="n">
        <f aca="false">IF(E259="","",D259-E259)</f>
        <v>18</v>
      </c>
      <c r="G259" s="52" t="n">
        <v>788</v>
      </c>
      <c r="H259" s="52" t="n">
        <v>710</v>
      </c>
      <c r="I259" s="63" t="n">
        <f aca="false">IF(H259="","",G259-H259)</f>
        <v>78</v>
      </c>
      <c r="J259" s="53" t="n">
        <f aca="false">IF(OR(D259="",D259+G259=0),"",D259/(D259+G259))</f>
        <v>0.544771808203351</v>
      </c>
      <c r="K259" s="53" t="n">
        <f aca="false">IF(E259="","",E259/(E259+H259))</f>
        <v>0.565749235474006</v>
      </c>
      <c r="L259" s="64" t="n">
        <f aca="false">IF(OR(K259="",J259=""),"",(J259-K259)*100)</f>
        <v>-2.09774272706554</v>
      </c>
      <c r="M259" s="28" t="n">
        <v>2.07368371626919</v>
      </c>
      <c r="N259" s="28" t="n">
        <v>0.395914373242782</v>
      </c>
      <c r="O259" s="28" t="n">
        <f aca="false">SQRT(M259^2+N259^2)</f>
        <v>2.11114005837136</v>
      </c>
      <c r="P259" s="53" t="n">
        <f aca="false">IF(J259="","",MAX(0,J259-1.96*O259/100))</f>
        <v>0.503393463059272</v>
      </c>
      <c r="Q259" s="53" t="n">
        <f aca="false">IF(J259="","",MIN(1,J259+1.96*O259/100))</f>
        <v>0.586150153347429</v>
      </c>
      <c r="R259" s="25" t="str">
        <f aca="false">IF(L259="","",IF(ABS(L259)&lt;=O259,"Yes","No"))</f>
        <v>Yes</v>
      </c>
      <c r="S259" s="25" t="str">
        <f aca="false">IF(L259="","",IF(ABS(L259)&lt;=1.96*O259,"Yes","No"))</f>
        <v>Yes</v>
      </c>
      <c r="T259" s="52" t="n">
        <f aca="false">IF(D259="","",ROUND(SQRT(((D259+G259)*O259/100)^2+(J259*(D259+G259)*0.08889)^2),0))</f>
        <v>91</v>
      </c>
      <c r="U259" s="25"/>
    </row>
    <row r="260" customFormat="false" ht="15" hidden="false" customHeight="false" outlineLevel="0" collapsed="false">
      <c r="A260" s="25" t="s">
        <v>385</v>
      </c>
      <c r="B260" s="25" t="s">
        <v>418</v>
      </c>
      <c r="C260" s="25" t="s">
        <v>433</v>
      </c>
      <c r="D260" s="52" t="n">
        <v>489</v>
      </c>
      <c r="E260" s="52" t="n">
        <v>535</v>
      </c>
      <c r="F260" s="63" t="n">
        <f aca="false">IF(E260="","",D260-E260)</f>
        <v>-46</v>
      </c>
      <c r="G260" s="52" t="n">
        <v>530</v>
      </c>
      <c r="H260" s="52" t="n">
        <v>514</v>
      </c>
      <c r="I260" s="63" t="n">
        <f aca="false">IF(H260="","",G260-H260)</f>
        <v>16</v>
      </c>
      <c r="J260" s="53" t="n">
        <f aca="false">IF(OR(D260="",D260+G260=0),"",D260/(D260+G260))</f>
        <v>0.479882237487733</v>
      </c>
      <c r="K260" s="53" t="n">
        <f aca="false">IF(E260="","",E260/(E260+H260))</f>
        <v>0.510009532888465</v>
      </c>
      <c r="L260" s="64" t="n">
        <f aca="false">IF(OR(K260="",J260=""),"",(J260-K260)*100)</f>
        <v>-3.01272954007321</v>
      </c>
      <c r="M260" s="28" t="n">
        <v>2.29525849334818</v>
      </c>
      <c r="N260" s="28" t="n">
        <v>0.395914373242782</v>
      </c>
      <c r="O260" s="28" t="n">
        <f aca="false">SQRT(M260^2+N260^2)</f>
        <v>2.32915429764264</v>
      </c>
      <c r="P260" s="53" t="n">
        <f aca="false">IF(J260="","",MAX(0,J260-1.96*O260/100))</f>
        <v>0.434230813253937</v>
      </c>
      <c r="Q260" s="53" t="n">
        <f aca="false">IF(J260="","",MIN(1,J260+1.96*O260/100))</f>
        <v>0.525533661721529</v>
      </c>
      <c r="R260" s="25" t="str">
        <f aca="false">IF(L260="","",IF(ABS(L260)&lt;=O260,"Yes","No"))</f>
        <v>No</v>
      </c>
      <c r="S260" s="25" t="str">
        <f aca="false">IF(L260="","",IF(ABS(L260)&lt;=1.96*O260,"Yes","No"))</f>
        <v>Yes</v>
      </c>
      <c r="T260" s="52" t="n">
        <f aca="false">IF(D260="","",ROUND(SQRT(((D260+G260)*O260/100)^2+(J260*(D260+G260)*0.10931)^2),0))</f>
        <v>58</v>
      </c>
      <c r="U260" s="25"/>
    </row>
    <row r="261" customFormat="false" ht="15" hidden="false" customHeight="false" outlineLevel="0" collapsed="false">
      <c r="A261" s="25" t="s">
        <v>385</v>
      </c>
      <c r="B261" s="25" t="s">
        <v>418</v>
      </c>
      <c r="C261" s="25" t="s">
        <v>434</v>
      </c>
      <c r="D261" s="52" t="n">
        <v>452</v>
      </c>
      <c r="E261" s="52" t="n">
        <v>499</v>
      </c>
      <c r="F261" s="63" t="n">
        <f aca="false">IF(E261="","",D261-E261)</f>
        <v>-47</v>
      </c>
      <c r="G261" s="52" t="n">
        <v>487</v>
      </c>
      <c r="H261" s="52" t="n">
        <v>468</v>
      </c>
      <c r="I261" s="63" t="n">
        <f aca="false">IF(H261="","",G261-H261)</f>
        <v>19</v>
      </c>
      <c r="J261" s="53" t="n">
        <f aca="false">IF(OR(D261="",D261+G261=0),"",D261/(D261+G261))</f>
        <v>0.48136315228967</v>
      </c>
      <c r="K261" s="53" t="n">
        <f aca="false">IF(E261="","",E261/(E261+H261))</f>
        <v>0.516028955532575</v>
      </c>
      <c r="L261" s="64" t="n">
        <f aca="false">IF(OR(K261="",J261=""),"",(J261-K261)*100)</f>
        <v>-3.46658032429051</v>
      </c>
      <c r="M261" s="28" t="n">
        <v>2.29525849334818</v>
      </c>
      <c r="N261" s="28" t="n">
        <v>0.395914373242782</v>
      </c>
      <c r="O261" s="28" t="n">
        <f aca="false">SQRT(M261^2+N261^2)</f>
        <v>2.32915429764264</v>
      </c>
      <c r="P261" s="53" t="n">
        <f aca="false">IF(J261="","",MAX(0,J261-1.96*O261/100))</f>
        <v>0.435711728055874</v>
      </c>
      <c r="Q261" s="53" t="n">
        <f aca="false">IF(J261="","",MIN(1,J261+1.96*O261/100))</f>
        <v>0.527014576523466</v>
      </c>
      <c r="R261" s="25" t="str">
        <f aca="false">IF(L261="","",IF(ABS(L261)&lt;=O261,"Yes","No"))</f>
        <v>No</v>
      </c>
      <c r="S261" s="25" t="str">
        <f aca="false">IF(L261="","",IF(ABS(L261)&lt;=1.96*O261,"Yes","No"))</f>
        <v>Yes</v>
      </c>
      <c r="T261" s="52" t="n">
        <f aca="false">IF(D261="","",ROUND(SQRT(((D261+G261)*O261/100)^2+(J261*(D261+G261)*0.10931)^2),0))</f>
        <v>54</v>
      </c>
      <c r="U261" s="25"/>
    </row>
    <row r="262" customFormat="false" ht="15" hidden="false" customHeight="false" outlineLevel="0" collapsed="false">
      <c r="A262" s="25" t="s">
        <v>385</v>
      </c>
      <c r="B262" s="25" t="s">
        <v>418</v>
      </c>
      <c r="C262" s="25" t="s">
        <v>435</v>
      </c>
      <c r="D262" s="52" t="n">
        <v>499</v>
      </c>
      <c r="E262" s="52" t="n">
        <v>503</v>
      </c>
      <c r="F262" s="63" t="n">
        <f aca="false">IF(E262="","",D262-E262)</f>
        <v>-4</v>
      </c>
      <c r="G262" s="52" t="n">
        <v>466</v>
      </c>
      <c r="H262" s="52" t="n">
        <v>468</v>
      </c>
      <c r="I262" s="63" t="n">
        <f aca="false">IF(H262="","",G262-H262)</f>
        <v>-2</v>
      </c>
      <c r="J262" s="53" t="n">
        <f aca="false">IF(OR(D262="",D262+G262=0),"",D262/(D262+G262))</f>
        <v>0.517098445595855</v>
      </c>
      <c r="K262" s="53" t="n">
        <f aca="false">IF(E262="","",E262/(E262+H262))</f>
        <v>0.518022657054583</v>
      </c>
      <c r="L262" s="64" t="n">
        <f aca="false">IF(OR(K262="",J262=""),"",(J262-K262)*100)</f>
        <v>-0.0924211458728008</v>
      </c>
      <c r="M262" s="28" t="n">
        <v>2.29525849334818</v>
      </c>
      <c r="N262" s="28" t="n">
        <v>0.395914373242782</v>
      </c>
      <c r="O262" s="28" t="n">
        <f aca="false">SQRT(M262^2+N262^2)</f>
        <v>2.32915429764264</v>
      </c>
      <c r="P262" s="53" t="n">
        <f aca="false">IF(J262="","",MAX(0,J262-1.96*O262/100))</f>
        <v>0.471447021362059</v>
      </c>
      <c r="Q262" s="53" t="n">
        <f aca="false">IF(J262="","",MIN(1,J262+1.96*O262/100))</f>
        <v>0.562749869829651</v>
      </c>
      <c r="R262" s="25" t="str">
        <f aca="false">IF(L262="","",IF(ABS(L262)&lt;=O262,"Yes","No"))</f>
        <v>Yes</v>
      </c>
      <c r="S262" s="25" t="str">
        <f aca="false">IF(L262="","",IF(ABS(L262)&lt;=1.96*O262,"Yes","No"))</f>
        <v>Yes</v>
      </c>
      <c r="T262" s="52" t="n">
        <f aca="false">IF(D262="","",ROUND(SQRT(((D262+G262)*O262/100)^2+(J262*(D262+G262)*0.10931)^2),0))</f>
        <v>59</v>
      </c>
      <c r="U262" s="25"/>
    </row>
    <row r="263" customFormat="false" ht="15" hidden="false" customHeight="false" outlineLevel="0" collapsed="false">
      <c r="A263" s="25" t="s">
        <v>385</v>
      </c>
      <c r="B263" s="25" t="s">
        <v>436</v>
      </c>
      <c r="C263" s="25" t="s">
        <v>437</v>
      </c>
      <c r="D263" s="52" t="n">
        <v>865</v>
      </c>
      <c r="E263" s="52" t="n">
        <v>939</v>
      </c>
      <c r="F263" s="63" t="n">
        <f aca="false">IF(E263="","",D263-E263)</f>
        <v>-74</v>
      </c>
      <c r="G263" s="52" t="n">
        <v>1525</v>
      </c>
      <c r="H263" s="52" t="n">
        <v>1452</v>
      </c>
      <c r="I263" s="63" t="n">
        <f aca="false">IF(H263="","",G263-H263)</f>
        <v>73</v>
      </c>
      <c r="J263" s="53" t="n">
        <f aca="false">IF(OR(D263="",D263+G263=0),"",D263/(D263+G263))</f>
        <v>0.361924686192469</v>
      </c>
      <c r="K263" s="53" t="n">
        <f aca="false">IF(E263="","",E263/(E263+H263))</f>
        <v>0.392722710163112</v>
      </c>
      <c r="L263" s="64" t="n">
        <f aca="false">IF(OR(K263="",J263=""),"",(J263-K263)*100)</f>
        <v>-3.07980239706431</v>
      </c>
      <c r="M263" s="28" t="n">
        <v>2.07368371626919</v>
      </c>
      <c r="N263" s="28" t="n">
        <v>0.395914373242782</v>
      </c>
      <c r="O263" s="28" t="n">
        <f aca="false">SQRT(M263^2+N263^2)</f>
        <v>2.11114005837136</v>
      </c>
      <c r="P263" s="53" t="n">
        <f aca="false">IF(J263="","",MAX(0,J263-1.96*O263/100))</f>
        <v>0.32054634104839</v>
      </c>
      <c r="Q263" s="53" t="n">
        <f aca="false">IF(J263="","",MIN(1,J263+1.96*O263/100))</f>
        <v>0.403303031336547</v>
      </c>
      <c r="R263" s="25" t="str">
        <f aca="false">IF(L263="","",IF(ABS(L263)&lt;=O263,"Yes","No"))</f>
        <v>No</v>
      </c>
      <c r="S263" s="25" t="str">
        <f aca="false">IF(L263="","",IF(ABS(L263)&lt;=1.96*O263,"Yes","No"))</f>
        <v>Yes</v>
      </c>
      <c r="T263" s="52" t="n">
        <f aca="false">IF(D263="","",ROUND(SQRT(((D263+G263)*O263/100)^2+(J263*(D263+G263)*0.08889)^2),0))</f>
        <v>92</v>
      </c>
      <c r="U263" s="25"/>
    </row>
    <row r="264" customFormat="false" ht="15" hidden="false" customHeight="false" outlineLevel="0" collapsed="false">
      <c r="A264" s="25" t="s">
        <v>385</v>
      </c>
      <c r="B264" s="25" t="s">
        <v>436</v>
      </c>
      <c r="C264" s="25" t="s">
        <v>438</v>
      </c>
      <c r="D264" s="52" t="n">
        <v>787</v>
      </c>
      <c r="E264" s="52" t="n">
        <v>820</v>
      </c>
      <c r="F264" s="63" t="n">
        <f aca="false">IF(E264="","",D264-E264)</f>
        <v>-33</v>
      </c>
      <c r="G264" s="52" t="n">
        <v>1250</v>
      </c>
      <c r="H264" s="52" t="n">
        <v>1185</v>
      </c>
      <c r="I264" s="63" t="n">
        <f aca="false">IF(H264="","",G264-H264)</f>
        <v>65</v>
      </c>
      <c r="J264" s="53" t="n">
        <f aca="false">IF(OR(D264="",D264+G264=0),"",D264/(D264+G264))</f>
        <v>0.386352479135984</v>
      </c>
      <c r="K264" s="53" t="n">
        <f aca="false">IF(E264="","",E264/(E264+H264))</f>
        <v>0.408977556109726</v>
      </c>
      <c r="L264" s="64" t="n">
        <f aca="false">IF(OR(K264="",J264=""),"",(J264-K264)*100)</f>
        <v>-2.26250769737414</v>
      </c>
      <c r="M264" s="28" t="n">
        <v>2.07368371626919</v>
      </c>
      <c r="N264" s="28" t="n">
        <v>0.395914373242782</v>
      </c>
      <c r="O264" s="28" t="n">
        <f aca="false">SQRT(M264^2+N264^2)</f>
        <v>2.11114005837136</v>
      </c>
      <c r="P264" s="53" t="n">
        <f aca="false">IF(J264="","",MAX(0,J264-1.96*O264/100))</f>
        <v>0.344974133991906</v>
      </c>
      <c r="Q264" s="53" t="n">
        <f aca="false">IF(J264="","",MIN(1,J264+1.96*O264/100))</f>
        <v>0.427730824280063</v>
      </c>
      <c r="R264" s="25" t="str">
        <f aca="false">IF(L264="","",IF(ABS(L264)&lt;=O264,"Yes","No"))</f>
        <v>No</v>
      </c>
      <c r="S264" s="25" t="str">
        <f aca="false">IF(L264="","",IF(ABS(L264)&lt;=1.96*O264,"Yes","No"))</f>
        <v>Yes</v>
      </c>
      <c r="T264" s="52" t="n">
        <f aca="false">IF(D264="","",ROUND(SQRT(((D264+G264)*O264/100)^2+(J264*(D264+G264)*0.08889)^2),0))</f>
        <v>82</v>
      </c>
      <c r="U264" s="25"/>
    </row>
    <row r="265" customFormat="false" ht="15" hidden="false" customHeight="false" outlineLevel="0" collapsed="false">
      <c r="A265" s="25" t="s">
        <v>385</v>
      </c>
      <c r="B265" s="25" t="s">
        <v>436</v>
      </c>
      <c r="C265" s="25" t="s">
        <v>439</v>
      </c>
      <c r="D265" s="52" t="n">
        <v>397</v>
      </c>
      <c r="E265" s="52" t="n">
        <v>410</v>
      </c>
      <c r="F265" s="63" t="n">
        <f aca="false">IF(E265="","",D265-E265)</f>
        <v>-13</v>
      </c>
      <c r="G265" s="52" t="n">
        <v>790</v>
      </c>
      <c r="H265" s="52" t="n">
        <v>822</v>
      </c>
      <c r="I265" s="63" t="n">
        <f aca="false">IF(H265="","",G265-H265)</f>
        <v>-32</v>
      </c>
      <c r="J265" s="53" t="n">
        <f aca="false">IF(OR(D265="",D265+G265=0),"",D265/(D265+G265))</f>
        <v>0.334456613310868</v>
      </c>
      <c r="K265" s="53" t="n">
        <f aca="false">IF(E265="","",E265/(E265+H265))</f>
        <v>0.332792207792208</v>
      </c>
      <c r="L265" s="64" t="n">
        <f aca="false">IF(OR(K265="",J265=""),"",(J265-K265)*100)</f>
        <v>0.166440551865993</v>
      </c>
      <c r="M265" s="28" t="n">
        <v>2.29525849334818</v>
      </c>
      <c r="N265" s="28" t="n">
        <v>0.395914373242782</v>
      </c>
      <c r="O265" s="28" t="n">
        <f aca="false">SQRT(M265^2+N265^2)</f>
        <v>2.32915429764264</v>
      </c>
      <c r="P265" s="53" t="n">
        <f aca="false">IF(J265="","",MAX(0,J265-1.96*O265/100))</f>
        <v>0.288805189077072</v>
      </c>
      <c r="Q265" s="53" t="n">
        <f aca="false">IF(J265="","",MIN(1,J265+1.96*O265/100))</f>
        <v>0.380108037544664</v>
      </c>
      <c r="R265" s="25" t="str">
        <f aca="false">IF(L265="","",IF(ABS(L265)&lt;=O265,"Yes","No"))</f>
        <v>Yes</v>
      </c>
      <c r="S265" s="25" t="str">
        <f aca="false">IF(L265="","",IF(ABS(L265)&lt;=1.96*O265,"Yes","No"))</f>
        <v>Yes</v>
      </c>
      <c r="T265" s="52" t="n">
        <f aca="false">IF(D265="","",ROUND(SQRT(((D265+G265)*O265/100)^2+(J265*(D265+G265)*0.10931)^2),0))</f>
        <v>51</v>
      </c>
      <c r="U265" s="25"/>
    </row>
    <row r="266" customFormat="false" ht="15" hidden="false" customHeight="false" outlineLevel="0" collapsed="false">
      <c r="A266" s="25" t="s">
        <v>385</v>
      </c>
      <c r="B266" s="25" t="s">
        <v>440</v>
      </c>
      <c r="C266" s="25" t="s">
        <v>440</v>
      </c>
      <c r="D266" s="52" t="n">
        <v>40</v>
      </c>
      <c r="E266" s="52" t="n">
        <v>40</v>
      </c>
      <c r="F266" s="63" t="n">
        <f aca="false">IF(E266="","",D266-E266)</f>
        <v>0</v>
      </c>
      <c r="G266" s="52" t="n">
        <v>81</v>
      </c>
      <c r="H266" s="52" t="n">
        <v>83</v>
      </c>
      <c r="I266" s="63" t="n">
        <f aca="false">IF(H266="","",G266-H266)</f>
        <v>-2</v>
      </c>
      <c r="J266" s="53" t="n">
        <f aca="false">IF(OR(D266="",D266+G266=0),"",D266/(D266+G266))</f>
        <v>0.330578512396694</v>
      </c>
      <c r="K266" s="53" t="n">
        <f aca="false">IF(E266="","",E266/(E266+H266))</f>
        <v>0.32520325203252</v>
      </c>
      <c r="L266" s="64" t="n">
        <f aca="false">IF(OR(K266="",J266=""),"",(J266-K266)*100)</f>
        <v>0.537526036417391</v>
      </c>
      <c r="M266" s="28" t="n">
        <v>3.51968652681483</v>
      </c>
      <c r="N266" s="28" t="n">
        <v>0.395914373242782</v>
      </c>
      <c r="O266" s="28" t="n">
        <f aca="false">SQRT(M266^2+N266^2)</f>
        <v>3.54188388262265</v>
      </c>
      <c r="P266" s="53" t="n">
        <f aca="false">IF(J266="","",MAX(0,J266-1.96*O266/100))</f>
        <v>0.26115758829729</v>
      </c>
      <c r="Q266" s="53" t="n">
        <f aca="false">IF(J266="","",MIN(1,J266+1.96*O266/100))</f>
        <v>0.399999436496098</v>
      </c>
      <c r="R266" s="25" t="str">
        <f aca="false">IF(L266="","",IF(ABS(L266)&lt;=O266,"Yes","No"))</f>
        <v>Yes</v>
      </c>
      <c r="S266" s="25" t="str">
        <f aca="false">IF(L266="","",IF(ABS(L266)&lt;=1.96*O266,"Yes","No"))</f>
        <v>Yes</v>
      </c>
      <c r="T266" s="52" t="n">
        <f aca="false">IF(D266="","",ROUND(SQRT(((D266+G266)*O266/100)^2+(J266*(D266+G266)*0.1901)^2),0))</f>
        <v>9</v>
      </c>
      <c r="U266" s="25"/>
    </row>
    <row r="267" customFormat="false" ht="15" hidden="false" customHeight="false" outlineLevel="0" collapsed="false">
      <c r="A267" s="25" t="s">
        <v>385</v>
      </c>
      <c r="B267" s="25" t="s">
        <v>441</v>
      </c>
      <c r="C267" s="25" t="s">
        <v>442</v>
      </c>
      <c r="D267" s="52" t="n">
        <v>701</v>
      </c>
      <c r="E267" s="52" t="n">
        <v>774</v>
      </c>
      <c r="F267" s="63" t="n">
        <f aca="false">IF(E267="","",D267-E267)</f>
        <v>-73</v>
      </c>
      <c r="G267" s="52" t="n">
        <v>1034</v>
      </c>
      <c r="H267" s="52" t="n">
        <v>1032</v>
      </c>
      <c r="I267" s="63" t="n">
        <f aca="false">IF(H267="","",G267-H267)</f>
        <v>2</v>
      </c>
      <c r="J267" s="53" t="n">
        <f aca="false">IF(OR(D267="",D267+G267=0),"",D267/(D267+G267))</f>
        <v>0.404034582132565</v>
      </c>
      <c r="K267" s="53" t="n">
        <f aca="false">IF(E267="","",E267/(E267+H267))</f>
        <v>0.428571428571429</v>
      </c>
      <c r="L267" s="64" t="n">
        <f aca="false">IF(OR(K267="",J267=""),"",(J267-K267)*100)</f>
        <v>-2.45368464388637</v>
      </c>
      <c r="M267" s="28" t="n">
        <v>2.07368371626919</v>
      </c>
      <c r="N267" s="28" t="n">
        <v>0.395914373242782</v>
      </c>
      <c r="O267" s="28" t="n">
        <f aca="false">SQRT(M267^2+N267^2)</f>
        <v>2.11114005837136</v>
      </c>
      <c r="P267" s="53" t="n">
        <f aca="false">IF(J267="","",MAX(0,J267-1.96*O267/100))</f>
        <v>0.362656236988486</v>
      </c>
      <c r="Q267" s="53" t="n">
        <f aca="false">IF(J267="","",MIN(1,J267+1.96*O267/100))</f>
        <v>0.445412927276643</v>
      </c>
      <c r="R267" s="25" t="str">
        <f aca="false">IF(L267="","",IF(ABS(L267)&lt;=O267,"Yes","No"))</f>
        <v>No</v>
      </c>
      <c r="S267" s="25" t="str">
        <f aca="false">IF(L267="","",IF(ABS(L267)&lt;=1.96*O267,"Yes","No"))</f>
        <v>Yes</v>
      </c>
      <c r="T267" s="52" t="n">
        <f aca="false">IF(D267="","",ROUND(SQRT(((D267+G267)*O267/100)^2+(J267*(D267+G267)*0.08889)^2),0))</f>
        <v>72</v>
      </c>
      <c r="U267" s="25"/>
    </row>
    <row r="268" customFormat="false" ht="15" hidden="false" customHeight="false" outlineLevel="0" collapsed="false">
      <c r="A268" s="25" t="s">
        <v>385</v>
      </c>
      <c r="B268" s="25" t="s">
        <v>441</v>
      </c>
      <c r="C268" s="25" t="s">
        <v>443</v>
      </c>
      <c r="D268" s="52" t="n">
        <v>702</v>
      </c>
      <c r="E268" s="52" t="n">
        <v>710</v>
      </c>
      <c r="F268" s="63" t="n">
        <f aca="false">IF(E268="","",D268-E268)</f>
        <v>-8</v>
      </c>
      <c r="G268" s="52" t="n">
        <v>922</v>
      </c>
      <c r="H268" s="52" t="n">
        <v>927</v>
      </c>
      <c r="I268" s="63" t="n">
        <f aca="false">IF(H268="","",G268-H268)</f>
        <v>-5</v>
      </c>
      <c r="J268" s="53" t="n">
        <f aca="false">IF(OR(D268="",D268+G268=0),"",D268/(D268+G268))</f>
        <v>0.432266009852217</v>
      </c>
      <c r="K268" s="53" t="n">
        <f aca="false">IF(E268="","",E268/(E268+H268))</f>
        <v>0.433720219914478</v>
      </c>
      <c r="L268" s="64" t="n">
        <f aca="false">IF(OR(K268="",J268=""),"",(J268-K268)*100)</f>
        <v>-0.145421006226093</v>
      </c>
      <c r="M268" s="28" t="n">
        <v>2.07368371626919</v>
      </c>
      <c r="N268" s="28" t="n">
        <v>0.395914373242782</v>
      </c>
      <c r="O268" s="28" t="n">
        <f aca="false">SQRT(M268^2+N268^2)</f>
        <v>2.11114005837136</v>
      </c>
      <c r="P268" s="53" t="n">
        <f aca="false">IF(J268="","",MAX(0,J268-1.96*O268/100))</f>
        <v>0.390887664708138</v>
      </c>
      <c r="Q268" s="53" t="n">
        <f aca="false">IF(J268="","",MIN(1,J268+1.96*O268/100))</f>
        <v>0.473644354996295</v>
      </c>
      <c r="R268" s="25" t="str">
        <f aca="false">IF(L268="","",IF(ABS(L268)&lt;=O268,"Yes","No"))</f>
        <v>Yes</v>
      </c>
      <c r="S268" s="25" t="str">
        <f aca="false">IF(L268="","",IF(ABS(L268)&lt;=1.96*O268,"Yes","No"))</f>
        <v>Yes</v>
      </c>
      <c r="T268" s="52" t="n">
        <f aca="false">IF(D268="","",ROUND(SQRT(((D268+G268)*O268/100)^2+(J268*(D268+G268)*0.08889)^2),0))</f>
        <v>71</v>
      </c>
      <c r="U268" s="25"/>
    </row>
    <row r="269" customFormat="false" ht="15" hidden="false" customHeight="false" outlineLevel="0" collapsed="false">
      <c r="A269" s="25" t="s">
        <v>385</v>
      </c>
      <c r="B269" s="25" t="s">
        <v>444</v>
      </c>
      <c r="C269" s="25" t="s">
        <v>444</v>
      </c>
      <c r="D269" s="52" t="n">
        <v>192</v>
      </c>
      <c r="E269" s="52" t="n">
        <v>217</v>
      </c>
      <c r="F269" s="63" t="n">
        <f aca="false">IF(E269="","",D269-E269)</f>
        <v>-25</v>
      </c>
      <c r="G269" s="52" t="n">
        <v>319</v>
      </c>
      <c r="H269" s="52" t="n">
        <v>309</v>
      </c>
      <c r="I269" s="63" t="n">
        <f aca="false">IF(H269="","",G269-H269)</f>
        <v>10</v>
      </c>
      <c r="J269" s="53" t="n">
        <f aca="false">IF(OR(D269="",D269+G269=0),"",D269/(D269+G269))</f>
        <v>0.37573385518591</v>
      </c>
      <c r="K269" s="53" t="n">
        <f aca="false">IF(E269="","",E269/(E269+H269))</f>
        <v>0.41254752851711</v>
      </c>
      <c r="L269" s="64" t="n">
        <f aca="false">IF(OR(K269="",J269=""),"",(J269-K269)*100)</f>
        <v>-3.68136733312003</v>
      </c>
      <c r="M269" s="28" t="n">
        <v>3.51968652681483</v>
      </c>
      <c r="N269" s="28" t="n">
        <v>0.395914373242782</v>
      </c>
      <c r="O269" s="28" t="n">
        <f aca="false">SQRT(M269^2+N269^2)</f>
        <v>3.54188388262265</v>
      </c>
      <c r="P269" s="53" t="n">
        <f aca="false">IF(J269="","",MAX(0,J269-1.96*O269/100))</f>
        <v>0.306312931086506</v>
      </c>
      <c r="Q269" s="53" t="n">
        <f aca="false">IF(J269="","",MIN(1,J269+1.96*O269/100))</f>
        <v>0.445154779285314</v>
      </c>
      <c r="R269" s="25" t="str">
        <f aca="false">IF(L269="","",IF(ABS(L269)&lt;=O269,"Yes","No"))</f>
        <v>No</v>
      </c>
      <c r="S269" s="25" t="str">
        <f aca="false">IF(L269="","",IF(ABS(L269)&lt;=1.96*O269,"Yes","No"))</f>
        <v>Yes</v>
      </c>
      <c r="T269" s="52" t="n">
        <f aca="false">IF(D269="","",ROUND(SQRT(((D269+G269)*O269/100)^2+(J269*(D269+G269)*0.1901)^2),0))</f>
        <v>41</v>
      </c>
      <c r="U269" s="25"/>
    </row>
    <row r="270" customFormat="false" ht="15" hidden="false" customHeight="false" outlineLevel="0" collapsed="false">
      <c r="A270" s="25" t="s">
        <v>385</v>
      </c>
      <c r="B270" s="25" t="s">
        <v>445</v>
      </c>
      <c r="C270" s="25" t="s">
        <v>446</v>
      </c>
      <c r="D270" s="52" t="n">
        <v>306</v>
      </c>
      <c r="E270" s="52"/>
      <c r="F270" s="63" t="str">
        <f aca="false">IF(E270="","",D270-E270)</f>
        <v/>
      </c>
      <c r="G270" s="52" t="n">
        <v>135</v>
      </c>
      <c r="H270" s="52"/>
      <c r="I270" s="63" t="str">
        <f aca="false">IF(H270="","",G270-H270)</f>
        <v/>
      </c>
      <c r="J270" s="53" t="n">
        <f aca="false">IF(OR(D270="",D270+G270=0),"",D270/(D270+G270))</f>
        <v>0.693877551020408</v>
      </c>
      <c r="K270" s="53" t="str">
        <f aca="false">IF(E270="","",E270/(E270+H270))</f>
        <v/>
      </c>
      <c r="L270" s="64" t="str">
        <f aca="false">IF(OR(K270="",J270=""),"",(J270-K270)*100)</f>
        <v/>
      </c>
      <c r="M270" s="28" t="n">
        <v>3.51968652681483</v>
      </c>
      <c r="N270" s="28" t="n">
        <v>0.395914373242782</v>
      </c>
      <c r="O270" s="28" t="n">
        <f aca="false">SQRT(M270^2+N270^2)</f>
        <v>3.54188388262265</v>
      </c>
      <c r="P270" s="53" t="n">
        <f aca="false">IF(J270="","",MAX(0,J270-1.96*O270/100))</f>
        <v>0.624456626921004</v>
      </c>
      <c r="Q270" s="53" t="n">
        <f aca="false">IF(J270="","",MIN(1,J270+1.96*O270/100))</f>
        <v>0.763298475119812</v>
      </c>
      <c r="R270" s="25" t="str">
        <f aca="false">IF(L270="","",IF(ABS(L270)&lt;=O270,"Yes","No"))</f>
        <v/>
      </c>
      <c r="S270" s="25" t="str">
        <f aca="false">IF(L270="","",IF(ABS(L270)&lt;=1.96*O270,"Yes","No"))</f>
        <v/>
      </c>
      <c r="T270" s="52" t="n">
        <f aca="false">IF(D270="","",ROUND(SQRT(((D270+G270)*O270/100)^2+(J270*(D270+G270)*0.1901)^2),0))</f>
        <v>60</v>
      </c>
      <c r="U270" s="25" t="s">
        <v>702</v>
      </c>
    </row>
    <row r="271" customFormat="false" ht="15" hidden="false" customHeight="false" outlineLevel="0" collapsed="false">
      <c r="A271" s="25" t="s">
        <v>385</v>
      </c>
      <c r="B271" s="25" t="s">
        <v>445</v>
      </c>
      <c r="C271" s="25" t="s">
        <v>447</v>
      </c>
      <c r="D271" s="52" t="n">
        <v>487</v>
      </c>
      <c r="E271" s="52"/>
      <c r="F271" s="63" t="str">
        <f aca="false">IF(E271="","",D271-E271)</f>
        <v/>
      </c>
      <c r="G271" s="52" t="n">
        <v>213</v>
      </c>
      <c r="H271" s="52"/>
      <c r="I271" s="63" t="str">
        <f aca="false">IF(H271="","",G271-H271)</f>
        <v/>
      </c>
      <c r="J271" s="53" t="n">
        <f aca="false">IF(OR(D271="",D271+G271=0),"",D271/(D271+G271))</f>
        <v>0.695714285714286</v>
      </c>
      <c r="K271" s="53" t="str">
        <f aca="false">IF(E271="","",E271/(E271+H271))</f>
        <v/>
      </c>
      <c r="L271" s="64" t="str">
        <f aca="false">IF(OR(K271="",J271=""),"",(J271-K271)*100)</f>
        <v/>
      </c>
      <c r="M271" s="28" t="n">
        <v>3.51968652681483</v>
      </c>
      <c r="N271" s="28" t="n">
        <v>0.395914373242782</v>
      </c>
      <c r="O271" s="28" t="n">
        <f aca="false">SQRT(M271^2+N271^2)</f>
        <v>3.54188388262265</v>
      </c>
      <c r="P271" s="53" t="n">
        <f aca="false">IF(J271="","",MAX(0,J271-1.96*O271/100))</f>
        <v>0.626293361614882</v>
      </c>
      <c r="Q271" s="53" t="n">
        <f aca="false">IF(J271="","",MIN(1,J271+1.96*O271/100))</f>
        <v>0.76513520981369</v>
      </c>
      <c r="R271" s="25" t="str">
        <f aca="false">IF(L271="","",IF(ABS(L271)&lt;=O271,"Yes","No"))</f>
        <v/>
      </c>
      <c r="S271" s="25" t="str">
        <f aca="false">IF(L271="","",IF(ABS(L271)&lt;=1.96*O271,"Yes","No"))</f>
        <v/>
      </c>
      <c r="T271" s="52" t="n">
        <f aca="false">IF(D271="","",ROUND(SQRT(((D271+G271)*O271/100)^2+(J271*(D271+G271)*0.1901)^2),0))</f>
        <v>96</v>
      </c>
      <c r="U271" s="25" t="s">
        <v>702</v>
      </c>
    </row>
    <row r="272" customFormat="false" ht="15" hidden="false" customHeight="false" outlineLevel="0" collapsed="false">
      <c r="A272" s="25" t="s">
        <v>385</v>
      </c>
      <c r="B272" s="25" t="s">
        <v>445</v>
      </c>
      <c r="C272" s="25" t="s">
        <v>448</v>
      </c>
      <c r="D272" s="52" t="n">
        <v>467</v>
      </c>
      <c r="E272" s="52" t="n">
        <v>492</v>
      </c>
      <c r="F272" s="63" t="n">
        <f aca="false">IF(E272="","",D272-E272)</f>
        <v>-25</v>
      </c>
      <c r="G272" s="52" t="n">
        <v>169</v>
      </c>
      <c r="H272" s="52" t="n">
        <v>197</v>
      </c>
      <c r="I272" s="63" t="n">
        <f aca="false">IF(H272="","",G272-H272)</f>
        <v>-28</v>
      </c>
      <c r="J272" s="53" t="n">
        <f aca="false">IF(OR(D272="",D272+G272=0),"",D272/(D272+G272))</f>
        <v>0.734276729559748</v>
      </c>
      <c r="K272" s="53" t="n">
        <f aca="false">IF(E272="","",E272/(E272+H272))</f>
        <v>0.714078374455733</v>
      </c>
      <c r="L272" s="64" t="n">
        <f aca="false">IF(OR(K272="",J272=""),"",(J272-K272)*100)</f>
        <v>2.01983551040155</v>
      </c>
      <c r="M272" s="28" t="n">
        <v>3.51968652681483</v>
      </c>
      <c r="N272" s="28" t="n">
        <v>0.395914373242782</v>
      </c>
      <c r="O272" s="28" t="n">
        <f aca="false">SQRT(M272^2+N272^2)</f>
        <v>3.54188388262265</v>
      </c>
      <c r="P272" s="53" t="n">
        <f aca="false">IF(J272="","",MAX(0,J272-1.96*O272/100))</f>
        <v>0.664855805460345</v>
      </c>
      <c r="Q272" s="53" t="n">
        <f aca="false">IF(J272="","",MIN(1,J272+1.96*O272/100))</f>
        <v>0.803697653659152</v>
      </c>
      <c r="R272" s="25" t="str">
        <f aca="false">IF(L272="","",IF(ABS(L272)&lt;=O272,"Yes","No"))</f>
        <v>Yes</v>
      </c>
      <c r="S272" s="25" t="str">
        <f aca="false">IF(L272="","",IF(ABS(L272)&lt;=1.96*O272,"Yes","No"))</f>
        <v>Yes</v>
      </c>
      <c r="T272" s="52" t="n">
        <f aca="false">IF(D272="","",ROUND(SQRT(((D272+G272)*O272/100)^2+(J272*(D272+G272)*0.1901)^2),0))</f>
        <v>92</v>
      </c>
      <c r="U272" s="25"/>
    </row>
    <row r="273" customFormat="false" ht="15" hidden="false" customHeight="false" outlineLevel="0" collapsed="false">
      <c r="A273" s="25" t="s">
        <v>385</v>
      </c>
      <c r="B273" s="25" t="s">
        <v>445</v>
      </c>
      <c r="C273" s="25" t="s">
        <v>449</v>
      </c>
      <c r="D273" s="52" t="n">
        <v>699</v>
      </c>
      <c r="E273" s="52" t="n">
        <v>743</v>
      </c>
      <c r="F273" s="63" t="n">
        <f aca="false">IF(E273="","",D273-E273)</f>
        <v>-44</v>
      </c>
      <c r="G273" s="52" t="n">
        <v>276</v>
      </c>
      <c r="H273" s="52" t="n">
        <v>265</v>
      </c>
      <c r="I273" s="63" t="n">
        <f aca="false">IF(H273="","",G273-H273)</f>
        <v>11</v>
      </c>
      <c r="J273" s="53" t="n">
        <f aca="false">IF(OR(D273="",D273+G273=0),"",D273/(D273+G273))</f>
        <v>0.716923076923077</v>
      </c>
      <c r="K273" s="53" t="n">
        <f aca="false">IF(E273="","",E273/(E273+H273))</f>
        <v>0.737103174603175</v>
      </c>
      <c r="L273" s="64" t="n">
        <f aca="false">IF(OR(K273="",J273=""),"",(J273-K273)*100)</f>
        <v>-2.01800976800978</v>
      </c>
      <c r="M273" s="28" t="n">
        <v>2.29525849334818</v>
      </c>
      <c r="N273" s="28" t="n">
        <v>0.395914373242782</v>
      </c>
      <c r="O273" s="28" t="n">
        <f aca="false">SQRT(M273^2+N273^2)</f>
        <v>2.32915429764264</v>
      </c>
      <c r="P273" s="53" t="n">
        <f aca="false">IF(J273="","",MAX(0,J273-1.96*O273/100))</f>
        <v>0.671271652689281</v>
      </c>
      <c r="Q273" s="53" t="n">
        <f aca="false">IF(J273="","",MIN(1,J273+1.96*O273/100))</f>
        <v>0.762574501156873</v>
      </c>
      <c r="R273" s="25" t="str">
        <f aca="false">IF(L273="","",IF(ABS(L273)&lt;=O273,"Yes","No"))</f>
        <v>Yes</v>
      </c>
      <c r="S273" s="25" t="str">
        <f aca="false">IF(L273="","",IF(ABS(L273)&lt;=1.96*O273,"Yes","No"))</f>
        <v>Yes</v>
      </c>
      <c r="T273" s="52" t="n">
        <f aca="false">IF(D273="","",ROUND(SQRT(((D273+G273)*O273/100)^2+(J273*(D273+G273)*0.10931)^2),0))</f>
        <v>80</v>
      </c>
      <c r="U273" s="25"/>
    </row>
    <row r="274" customFormat="false" ht="15" hidden="false" customHeight="false" outlineLevel="0" collapsed="false">
      <c r="A274" s="25" t="s">
        <v>385</v>
      </c>
      <c r="B274" s="25" t="s">
        <v>445</v>
      </c>
      <c r="C274" s="25" t="s">
        <v>450</v>
      </c>
      <c r="D274" s="52" t="n">
        <v>654</v>
      </c>
      <c r="E274" s="52" t="n">
        <v>1109</v>
      </c>
      <c r="F274" s="63" t="n">
        <f aca="false">IF(E274="","",D274-E274)</f>
        <v>-455</v>
      </c>
      <c r="G274" s="52" t="n">
        <v>169</v>
      </c>
      <c r="H274" s="52" t="n">
        <v>290</v>
      </c>
      <c r="I274" s="63" t="n">
        <f aca="false">IF(H274="","",G274-H274)</f>
        <v>-121</v>
      </c>
      <c r="J274" s="53" t="n">
        <f aca="false">IF(OR(D274="",D274+G274=0),"",D274/(D274+G274))</f>
        <v>0.794653705953827</v>
      </c>
      <c r="K274" s="53" t="n">
        <f aca="false">IF(E274="","",E274/(E274+H274))</f>
        <v>0.792709077912795</v>
      </c>
      <c r="L274" s="64" t="n">
        <f aca="false">IF(OR(K274="",J274=""),"",(J274-K274)*100)</f>
        <v>0.194462804103257</v>
      </c>
      <c r="M274" s="28" t="n">
        <v>2.29525849334818</v>
      </c>
      <c r="N274" s="28" t="n">
        <v>0.395914373242782</v>
      </c>
      <c r="O274" s="28" t="n">
        <f aca="false">SQRT(M274^2+N274^2)</f>
        <v>2.32915429764264</v>
      </c>
      <c r="P274" s="53" t="n">
        <f aca="false">IF(J274="","",MAX(0,J274-1.96*O274/100))</f>
        <v>0.749002281720032</v>
      </c>
      <c r="Q274" s="53" t="n">
        <f aca="false">IF(J274="","",MIN(1,J274+1.96*O274/100))</f>
        <v>0.840305130187623</v>
      </c>
      <c r="R274" s="25" t="str">
        <f aca="false">IF(L274="","",IF(ABS(L274)&lt;=O274,"Yes","No"))</f>
        <v>Yes</v>
      </c>
      <c r="S274" s="25" t="str">
        <f aca="false">IF(L274="","",IF(ABS(L274)&lt;=1.96*O274,"Yes","No"))</f>
        <v>Yes</v>
      </c>
      <c r="T274" s="52" t="n">
        <f aca="false">IF(D274="","",ROUND(SQRT(((D274+G274)*O274/100)^2+(J274*(D274+G274)*0.10931)^2),0))</f>
        <v>74</v>
      </c>
      <c r="U274" s="25"/>
    </row>
    <row r="275" customFormat="false" ht="15" hidden="false" customHeight="false" outlineLevel="0" collapsed="false">
      <c r="A275" s="25" t="s">
        <v>385</v>
      </c>
      <c r="B275" s="25" t="s">
        <v>445</v>
      </c>
      <c r="C275" s="25" t="s">
        <v>451</v>
      </c>
      <c r="D275" s="52" t="n">
        <v>598</v>
      </c>
      <c r="E275" s="52" t="n">
        <v>566</v>
      </c>
      <c r="F275" s="63" t="n">
        <f aca="false">IF(E275="","",D275-E275)</f>
        <v>32</v>
      </c>
      <c r="G275" s="52" t="n">
        <v>249</v>
      </c>
      <c r="H275" s="52" t="n">
        <v>257</v>
      </c>
      <c r="I275" s="63" t="n">
        <f aca="false">IF(H275="","",G275-H275)</f>
        <v>-8</v>
      </c>
      <c r="J275" s="53" t="n">
        <f aca="false">IF(OR(D275="",D275+G275=0),"",D275/(D275+G275))</f>
        <v>0.706021251475797</v>
      </c>
      <c r="K275" s="53" t="n">
        <f aca="false">IF(E275="","",E275/(E275+H275))</f>
        <v>0.687727825030377</v>
      </c>
      <c r="L275" s="64" t="n">
        <f aca="false">IF(OR(K275="",J275=""),"",(J275-K275)*100)</f>
        <v>1.82934264454203</v>
      </c>
      <c r="M275" s="28" t="n">
        <v>2.29525849334818</v>
      </c>
      <c r="N275" s="28" t="n">
        <v>0.395914373242782</v>
      </c>
      <c r="O275" s="28" t="n">
        <f aca="false">SQRT(M275^2+N275^2)</f>
        <v>2.32915429764264</v>
      </c>
      <c r="P275" s="53" t="n">
        <f aca="false">IF(J275="","",MAX(0,J275-1.96*O275/100))</f>
        <v>0.660369827242001</v>
      </c>
      <c r="Q275" s="53" t="n">
        <f aca="false">IF(J275="","",MIN(1,J275+1.96*O275/100))</f>
        <v>0.751672675709593</v>
      </c>
      <c r="R275" s="25" t="str">
        <f aca="false">IF(L275="","",IF(ABS(L275)&lt;=O275,"Yes","No"))</f>
        <v>Yes</v>
      </c>
      <c r="S275" s="25" t="str">
        <f aca="false">IF(L275="","",IF(ABS(L275)&lt;=1.96*O275,"Yes","No"))</f>
        <v>Yes</v>
      </c>
      <c r="T275" s="52" t="n">
        <f aca="false">IF(D275="","",ROUND(SQRT(((D275+G275)*O275/100)^2+(J275*(D275+G275)*0.10931)^2),0))</f>
        <v>68</v>
      </c>
      <c r="U275" s="25"/>
    </row>
    <row r="276" customFormat="false" ht="15" hidden="false" customHeight="false" outlineLevel="0" collapsed="false">
      <c r="A276" s="25" t="s">
        <v>385</v>
      </c>
      <c r="B276" s="25" t="s">
        <v>445</v>
      </c>
      <c r="C276" s="25" t="s">
        <v>452</v>
      </c>
      <c r="D276" s="52" t="n">
        <v>506</v>
      </c>
      <c r="E276" s="52" t="n">
        <v>517</v>
      </c>
      <c r="F276" s="63" t="n">
        <f aca="false">IF(E276="","",D276-E276)</f>
        <v>-11</v>
      </c>
      <c r="G276" s="52" t="n">
        <v>272</v>
      </c>
      <c r="H276" s="52" t="n">
        <v>265</v>
      </c>
      <c r="I276" s="63" t="n">
        <f aca="false">IF(H276="","",G276-H276)</f>
        <v>7</v>
      </c>
      <c r="J276" s="53" t="n">
        <f aca="false">IF(OR(D276="",D276+G276=0),"",D276/(D276+G276))</f>
        <v>0.650385604113111</v>
      </c>
      <c r="K276" s="53" t="n">
        <f aca="false">IF(E276="","",E276/(E276+H276))</f>
        <v>0.661125319693095</v>
      </c>
      <c r="L276" s="64" t="n">
        <f aca="false">IF(OR(K276="",J276=""),"",(J276-K276)*100)</f>
        <v>-1.07397155799841</v>
      </c>
      <c r="M276" s="28" t="n">
        <v>2.29525849334818</v>
      </c>
      <c r="N276" s="28" t="n">
        <v>0.395914373242782</v>
      </c>
      <c r="O276" s="28" t="n">
        <f aca="false">SQRT(M276^2+N276^2)</f>
        <v>2.32915429764264</v>
      </c>
      <c r="P276" s="53" t="n">
        <f aca="false">IF(J276="","",MAX(0,J276-1.96*O276/100))</f>
        <v>0.604734179879315</v>
      </c>
      <c r="Q276" s="53" t="n">
        <f aca="false">IF(J276="","",MIN(1,J276+1.96*O276/100))</f>
        <v>0.696037028346906</v>
      </c>
      <c r="R276" s="25" t="str">
        <f aca="false">IF(L276="","",IF(ABS(L276)&lt;=O276,"Yes","No"))</f>
        <v>Yes</v>
      </c>
      <c r="S276" s="25" t="str">
        <f aca="false">IF(L276="","",IF(ABS(L276)&lt;=1.96*O276,"Yes","No"))</f>
        <v>Yes</v>
      </c>
      <c r="T276" s="52" t="n">
        <f aca="false">IF(D276="","",ROUND(SQRT(((D276+G276)*O276/100)^2+(J276*(D276+G276)*0.10931)^2),0))</f>
        <v>58</v>
      </c>
      <c r="U276" s="25"/>
    </row>
    <row r="277" customFormat="false" ht="15" hidden="false" customHeight="false" outlineLevel="0" collapsed="false">
      <c r="A277" s="25" t="s">
        <v>385</v>
      </c>
      <c r="B277" s="25" t="s">
        <v>445</v>
      </c>
      <c r="C277" s="25" t="s">
        <v>453</v>
      </c>
      <c r="D277" s="52" t="n">
        <v>212</v>
      </c>
      <c r="E277" s="52" t="n">
        <v>233</v>
      </c>
      <c r="F277" s="63" t="n">
        <f aca="false">IF(E277="","",D277-E277)</f>
        <v>-21</v>
      </c>
      <c r="G277" s="52" t="n">
        <v>90</v>
      </c>
      <c r="H277" s="52" t="n">
        <v>84</v>
      </c>
      <c r="I277" s="63" t="n">
        <f aca="false">IF(H277="","",G277-H277)</f>
        <v>6</v>
      </c>
      <c r="J277" s="53" t="n">
        <f aca="false">IF(OR(D277="",D277+G277=0),"",D277/(D277+G277))</f>
        <v>0.701986754966887</v>
      </c>
      <c r="K277" s="53" t="n">
        <f aca="false">IF(E277="","",E277/(E277+H277))</f>
        <v>0.735015772870662</v>
      </c>
      <c r="L277" s="64" t="n">
        <f aca="false">IF(OR(K277="",J277=""),"",(J277-K277)*100)</f>
        <v>-3.3029017903775</v>
      </c>
      <c r="M277" s="28" t="n">
        <v>3.51968652681483</v>
      </c>
      <c r="N277" s="28" t="n">
        <v>0.395914373242782</v>
      </c>
      <c r="O277" s="28" t="n">
        <f aca="false">SQRT(M277^2+N277^2)</f>
        <v>3.54188388262265</v>
      </c>
      <c r="P277" s="53" t="n">
        <f aca="false">IF(J277="","",MAX(0,J277-1.96*O277/100))</f>
        <v>0.632565830867484</v>
      </c>
      <c r="Q277" s="53" t="n">
        <f aca="false">IF(J277="","",MIN(1,J277+1.96*O277/100))</f>
        <v>0.771407679066291</v>
      </c>
      <c r="R277" s="25" t="str">
        <f aca="false">IF(L277="","",IF(ABS(L277)&lt;=O277,"Yes","No"))</f>
        <v>Yes</v>
      </c>
      <c r="S277" s="25" t="str">
        <f aca="false">IF(L277="","",IF(ABS(L277)&lt;=1.96*O277,"Yes","No"))</f>
        <v>Yes</v>
      </c>
      <c r="T277" s="52" t="n">
        <f aca="false">IF(D277="","",ROUND(SQRT(((D277+G277)*O277/100)^2+(J277*(D277+G277)*0.1901)^2),0))</f>
        <v>42</v>
      </c>
      <c r="U277" s="25"/>
    </row>
    <row r="278" customFormat="false" ht="15" hidden="false" customHeight="false" outlineLevel="0" collapsed="false">
      <c r="A278" s="25" t="s">
        <v>385</v>
      </c>
      <c r="B278" s="25" t="s">
        <v>445</v>
      </c>
      <c r="C278" s="25" t="s">
        <v>454</v>
      </c>
      <c r="D278" s="52" t="n">
        <v>367</v>
      </c>
      <c r="E278" s="52" t="n">
        <v>391</v>
      </c>
      <c r="F278" s="63" t="n">
        <f aca="false">IF(E278="","",D278-E278)</f>
        <v>-24</v>
      </c>
      <c r="G278" s="52" t="n">
        <v>129</v>
      </c>
      <c r="H278" s="52" t="n">
        <v>126</v>
      </c>
      <c r="I278" s="63" t="n">
        <f aca="false">IF(H278="","",G278-H278)</f>
        <v>3</v>
      </c>
      <c r="J278" s="53" t="n">
        <f aca="false">IF(OR(D278="",D278+G278=0),"",D278/(D278+G278))</f>
        <v>0.73991935483871</v>
      </c>
      <c r="K278" s="53" t="n">
        <f aca="false">IF(E278="","",E278/(E278+H278))</f>
        <v>0.756286266924565</v>
      </c>
      <c r="L278" s="64" t="n">
        <f aca="false">IF(OR(K278="",J278=""),"",(J278-K278)*100)</f>
        <v>-1.63669120858552</v>
      </c>
      <c r="M278" s="28" t="n">
        <v>3.51968652681483</v>
      </c>
      <c r="N278" s="28" t="n">
        <v>0.395914373242782</v>
      </c>
      <c r="O278" s="28" t="n">
        <f aca="false">SQRT(M278^2+N278^2)</f>
        <v>3.54188388262265</v>
      </c>
      <c r="P278" s="53" t="n">
        <f aca="false">IF(J278="","",MAX(0,J278-1.96*O278/100))</f>
        <v>0.670498430739306</v>
      </c>
      <c r="Q278" s="53" t="n">
        <f aca="false">IF(J278="","",MIN(1,J278+1.96*O278/100))</f>
        <v>0.809340278938114</v>
      </c>
      <c r="R278" s="25" t="str">
        <f aca="false">IF(L278="","",IF(ABS(L278)&lt;=O278,"Yes","No"))</f>
        <v>Yes</v>
      </c>
      <c r="S278" s="25" t="str">
        <f aca="false">IF(L278="","",IF(ABS(L278)&lt;=1.96*O278,"Yes","No"))</f>
        <v>Yes</v>
      </c>
      <c r="T278" s="52" t="n">
        <f aca="false">IF(D278="","",ROUND(SQRT(((D278+G278)*O278/100)^2+(J278*(D278+G278)*0.1901)^2),0))</f>
        <v>72</v>
      </c>
      <c r="U278" s="25"/>
    </row>
    <row r="279" customFormat="false" ht="15" hidden="false" customHeight="false" outlineLevel="0" collapsed="false">
      <c r="A279" s="25" t="s">
        <v>385</v>
      </c>
      <c r="B279" s="25" t="s">
        <v>445</v>
      </c>
      <c r="C279" s="25" t="s">
        <v>455</v>
      </c>
      <c r="D279" s="52" t="n">
        <v>419</v>
      </c>
      <c r="E279" s="52" t="n">
        <v>381</v>
      </c>
      <c r="F279" s="63" t="n">
        <f aca="false">IF(E279="","",D279-E279)</f>
        <v>38</v>
      </c>
      <c r="G279" s="52" t="n">
        <v>153</v>
      </c>
      <c r="H279" s="52" t="n">
        <v>184</v>
      </c>
      <c r="I279" s="63" t="n">
        <f aca="false">IF(H279="","",G279-H279)</f>
        <v>-31</v>
      </c>
      <c r="J279" s="53" t="n">
        <f aca="false">IF(OR(D279="",D279+G279=0),"",D279/(D279+G279))</f>
        <v>0.732517482517483</v>
      </c>
      <c r="K279" s="53" t="n">
        <f aca="false">IF(E279="","",E279/(E279+H279))</f>
        <v>0.674336283185841</v>
      </c>
      <c r="L279" s="64" t="n">
        <f aca="false">IF(OR(K279="",J279=""),"",(J279-K279)*100)</f>
        <v>5.81811993316418</v>
      </c>
      <c r="M279" s="28" t="n">
        <v>3.51968652681483</v>
      </c>
      <c r="N279" s="28" t="n">
        <v>0.395914373242782</v>
      </c>
      <c r="O279" s="28" t="n">
        <f aca="false">SQRT(M279^2+N279^2)</f>
        <v>3.54188388262265</v>
      </c>
      <c r="P279" s="53" t="n">
        <f aca="false">IF(J279="","",MAX(0,J279-1.96*O279/100))</f>
        <v>0.663096558418079</v>
      </c>
      <c r="Q279" s="53" t="n">
        <f aca="false">IF(J279="","",MIN(1,J279+1.96*O279/100))</f>
        <v>0.801938406616886</v>
      </c>
      <c r="R279" s="25" t="str">
        <f aca="false">IF(L279="","",IF(ABS(L279)&lt;=O279,"Yes","No"))</f>
        <v>No</v>
      </c>
      <c r="S279" s="25" t="str">
        <f aca="false">IF(L279="","",IF(ABS(L279)&lt;=1.96*O279,"Yes","No"))</f>
        <v>Yes</v>
      </c>
      <c r="T279" s="52" t="n">
        <f aca="false">IF(D279="","",ROUND(SQRT(((D279+G279)*O279/100)^2+(J279*(D279+G279)*0.1901)^2),0))</f>
        <v>82</v>
      </c>
      <c r="U279" s="25"/>
    </row>
    <row r="280" customFormat="false" ht="15" hidden="false" customHeight="false" outlineLevel="0" collapsed="false">
      <c r="A280" s="25" t="s">
        <v>385</v>
      </c>
      <c r="B280" s="25" t="s">
        <v>445</v>
      </c>
      <c r="C280" s="25" t="s">
        <v>456</v>
      </c>
      <c r="D280" s="52" t="n">
        <v>436</v>
      </c>
      <c r="E280" s="52"/>
      <c r="F280" s="63" t="str">
        <f aca="false">IF(E280="","",D280-E280)</f>
        <v/>
      </c>
      <c r="G280" s="52" t="n">
        <v>187</v>
      </c>
      <c r="H280" s="52"/>
      <c r="I280" s="63" t="str">
        <f aca="false">IF(H280="","",G280-H280)</f>
        <v/>
      </c>
      <c r="J280" s="53" t="n">
        <f aca="false">IF(OR(D280="",D280+G280=0),"",D280/(D280+G280))</f>
        <v>0.69983948635634</v>
      </c>
      <c r="K280" s="53" t="str">
        <f aca="false">IF(E280="","",E280/(E280+H280))</f>
        <v/>
      </c>
      <c r="L280" s="64" t="str">
        <f aca="false">IF(OR(K280="",J280=""),"",(J280-K280)*100)</f>
        <v/>
      </c>
      <c r="M280" s="28" t="n">
        <v>3.51968652681483</v>
      </c>
      <c r="N280" s="28" t="n">
        <v>0.395914373242782</v>
      </c>
      <c r="O280" s="28" t="n">
        <f aca="false">SQRT(M280^2+N280^2)</f>
        <v>3.54188388262265</v>
      </c>
      <c r="P280" s="53" t="n">
        <f aca="false">IF(J280="","",MAX(0,J280-1.96*O280/100))</f>
        <v>0.630418562256936</v>
      </c>
      <c r="Q280" s="53" t="n">
        <f aca="false">IF(J280="","",MIN(1,J280+1.96*O280/100))</f>
        <v>0.769260410455744</v>
      </c>
      <c r="R280" s="25" t="str">
        <f aca="false">IF(L280="","",IF(ABS(L280)&lt;=O280,"Yes","No"))</f>
        <v/>
      </c>
      <c r="S280" s="25" t="str">
        <f aca="false">IF(L280="","",IF(ABS(L280)&lt;=1.96*O280,"Yes","No"))</f>
        <v/>
      </c>
      <c r="T280" s="52" t="n">
        <f aca="false">IF(D280="","",ROUND(SQRT(((D280+G280)*O280/100)^2+(J280*(D280+G280)*0.1901)^2),0))</f>
        <v>86</v>
      </c>
      <c r="U280" s="25" t="s">
        <v>702</v>
      </c>
    </row>
    <row r="281" customFormat="false" ht="15" hidden="false" customHeight="false" outlineLevel="0" collapsed="false">
      <c r="A281" s="25" t="s">
        <v>385</v>
      </c>
      <c r="B281" s="25" t="s">
        <v>445</v>
      </c>
      <c r="C281" s="25" t="s">
        <v>457</v>
      </c>
      <c r="D281" s="52" t="n">
        <v>938</v>
      </c>
      <c r="E281" s="52" t="n">
        <v>912</v>
      </c>
      <c r="F281" s="63" t="n">
        <f aca="false">IF(E281="","",D281-E281)</f>
        <v>26</v>
      </c>
      <c r="G281" s="52" t="n">
        <v>448</v>
      </c>
      <c r="H281" s="52" t="n">
        <v>445</v>
      </c>
      <c r="I281" s="63" t="n">
        <f aca="false">IF(H281="","",G281-H281)</f>
        <v>3</v>
      </c>
      <c r="J281" s="53" t="n">
        <f aca="false">IF(OR(D281="",D281+G281=0),"",D281/(D281+G281))</f>
        <v>0.676767676767677</v>
      </c>
      <c r="K281" s="53" t="n">
        <f aca="false">IF(E281="","",E281/(E281+H281))</f>
        <v>0.672070744288873</v>
      </c>
      <c r="L281" s="64" t="n">
        <f aca="false">IF(OR(K281="",J281=""),"",(J281-K281)*100)</f>
        <v>0.469693247880432</v>
      </c>
      <c r="M281" s="28" t="n">
        <v>2.07368371626919</v>
      </c>
      <c r="N281" s="28" t="n">
        <v>0.395914373242782</v>
      </c>
      <c r="O281" s="28" t="n">
        <f aca="false">SQRT(M281^2+N281^2)</f>
        <v>2.11114005837136</v>
      </c>
      <c r="P281" s="53" t="n">
        <f aca="false">IF(J281="","",MAX(0,J281-1.96*O281/100))</f>
        <v>0.635389331623598</v>
      </c>
      <c r="Q281" s="53" t="n">
        <f aca="false">IF(J281="","",MIN(1,J281+1.96*O281/100))</f>
        <v>0.718146021911755</v>
      </c>
      <c r="R281" s="25" t="str">
        <f aca="false">IF(L281="","",IF(ABS(L281)&lt;=O281,"Yes","No"))</f>
        <v>Yes</v>
      </c>
      <c r="S281" s="25" t="str">
        <f aca="false">IF(L281="","",IF(ABS(L281)&lt;=1.96*O281,"Yes","No"))</f>
        <v>Yes</v>
      </c>
      <c r="T281" s="52" t="n">
        <f aca="false">IF(D281="","",ROUND(SQRT(((D281+G281)*O281/100)^2+(J281*(D281+G281)*0.08889)^2),0))</f>
        <v>88</v>
      </c>
      <c r="U281" s="25"/>
    </row>
    <row r="282" customFormat="false" ht="15" hidden="false" customHeight="false" outlineLevel="0" collapsed="false">
      <c r="A282" s="25" t="s">
        <v>385</v>
      </c>
      <c r="B282" s="25" t="s">
        <v>458</v>
      </c>
      <c r="C282" s="25" t="s">
        <v>459</v>
      </c>
      <c r="D282" s="52" t="n">
        <v>1360</v>
      </c>
      <c r="E282" s="52"/>
      <c r="F282" s="63" t="str">
        <f aca="false">IF(E282="","",D282-E282)</f>
        <v/>
      </c>
      <c r="G282" s="52" t="n">
        <v>1445</v>
      </c>
      <c r="H282" s="52"/>
      <c r="I282" s="63" t="str">
        <f aca="false">IF(H282="","",G282-H282)</f>
        <v/>
      </c>
      <c r="J282" s="53" t="n">
        <f aca="false">IF(OR(D282="",D282+G282=0),"",D282/(D282+G282))</f>
        <v>0.484848484848485</v>
      </c>
      <c r="K282" s="53" t="str">
        <f aca="false">IF(E282="","",E282/(E282+H282))</f>
        <v/>
      </c>
      <c r="L282" s="64" t="str">
        <f aca="false">IF(OR(K282="",J282=""),"",(J282-K282)*100)</f>
        <v/>
      </c>
      <c r="M282" s="28" t="n">
        <v>2.07368371626919</v>
      </c>
      <c r="N282" s="28" t="n">
        <v>0.395914373242782</v>
      </c>
      <c r="O282" s="28" t="n">
        <f aca="false">SQRT(M282^2+N282^2)</f>
        <v>2.11114005837136</v>
      </c>
      <c r="P282" s="53" t="n">
        <f aca="false">IF(J282="","",MAX(0,J282-1.96*O282/100))</f>
        <v>0.443470139704406</v>
      </c>
      <c r="Q282" s="53" t="n">
        <f aca="false">IF(J282="","",MIN(1,J282+1.96*O282/100))</f>
        <v>0.526226829992563</v>
      </c>
      <c r="R282" s="25" t="str">
        <f aca="false">IF(L282="","",IF(ABS(L282)&lt;=O282,"Yes","No"))</f>
        <v/>
      </c>
      <c r="S282" s="25" t="str">
        <f aca="false">IF(L282="","",IF(ABS(L282)&lt;=1.96*O282,"Yes","No"))</f>
        <v/>
      </c>
      <c r="T282" s="52" t="n">
        <f aca="false">IF(D282="","",ROUND(SQRT(((D282+G282)*O282/100)^2+(J282*(D282+G282)*0.08889)^2),0))</f>
        <v>135</v>
      </c>
      <c r="U282" s="25" t="s">
        <v>702</v>
      </c>
    </row>
    <row r="283" customFormat="false" ht="15" hidden="false" customHeight="false" outlineLevel="0" collapsed="false">
      <c r="A283" s="25" t="s">
        <v>385</v>
      </c>
      <c r="B283" s="25" t="s">
        <v>458</v>
      </c>
      <c r="C283" s="25" t="s">
        <v>460</v>
      </c>
      <c r="D283" s="52" t="n">
        <v>664</v>
      </c>
      <c r="E283" s="52"/>
      <c r="F283" s="63" t="str">
        <f aca="false">IF(E283="","",D283-E283)</f>
        <v/>
      </c>
      <c r="G283" s="52" t="n">
        <v>653</v>
      </c>
      <c r="H283" s="52"/>
      <c r="I283" s="63" t="str">
        <f aca="false">IF(H283="","",G283-H283)</f>
        <v/>
      </c>
      <c r="J283" s="53" t="n">
        <f aca="false">IF(OR(D283="",D283+G283=0),"",D283/(D283+G283))</f>
        <v>0.5041761579347</v>
      </c>
      <c r="K283" s="53" t="str">
        <f aca="false">IF(E283="","",E283/(E283+H283))</f>
        <v/>
      </c>
      <c r="L283" s="64" t="str">
        <f aca="false">IF(OR(K283="",J283=""),"",(J283-K283)*100)</f>
        <v/>
      </c>
      <c r="M283" s="28" t="n">
        <v>2.07368371626919</v>
      </c>
      <c r="N283" s="28" t="n">
        <v>0.395914373242782</v>
      </c>
      <c r="O283" s="28" t="n">
        <f aca="false">SQRT(M283^2+N283^2)</f>
        <v>2.11114005837136</v>
      </c>
      <c r="P283" s="53" t="n">
        <f aca="false">IF(J283="","",MAX(0,J283-1.96*O283/100))</f>
        <v>0.462797812790622</v>
      </c>
      <c r="Q283" s="53" t="n">
        <f aca="false">IF(J283="","",MIN(1,J283+1.96*O283/100))</f>
        <v>0.545554503078779</v>
      </c>
      <c r="R283" s="25" t="str">
        <f aca="false">IF(L283="","",IF(ABS(L283)&lt;=O283,"Yes","No"))</f>
        <v/>
      </c>
      <c r="S283" s="25" t="str">
        <f aca="false">IF(L283="","",IF(ABS(L283)&lt;=1.96*O283,"Yes","No"))</f>
        <v/>
      </c>
      <c r="T283" s="52" t="n">
        <f aca="false">IF(D283="","",ROUND(SQRT(((D283+G283)*O283/100)^2+(J283*(D283+G283)*0.08889)^2),0))</f>
        <v>65</v>
      </c>
      <c r="U283" s="25" t="s">
        <v>702</v>
      </c>
    </row>
    <row r="284" customFormat="false" ht="15" hidden="false" customHeight="false" outlineLevel="0" collapsed="false">
      <c r="A284" s="25" t="s">
        <v>385</v>
      </c>
      <c r="B284" s="25" t="s">
        <v>458</v>
      </c>
      <c r="C284" s="25" t="s">
        <v>461</v>
      </c>
      <c r="D284" s="52" t="n">
        <v>807</v>
      </c>
      <c r="E284" s="52"/>
      <c r="F284" s="63" t="str">
        <f aca="false">IF(E284="","",D284-E284)</f>
        <v/>
      </c>
      <c r="G284" s="52" t="n">
        <v>746</v>
      </c>
      <c r="H284" s="52"/>
      <c r="I284" s="63" t="str">
        <f aca="false">IF(H284="","",G284-H284)</f>
        <v/>
      </c>
      <c r="J284" s="53" t="n">
        <f aca="false">IF(OR(D284="",D284+G284=0),"",D284/(D284+G284))</f>
        <v>0.519639407598197</v>
      </c>
      <c r="K284" s="53" t="str">
        <f aca="false">IF(E284="","",E284/(E284+H284))</f>
        <v/>
      </c>
      <c r="L284" s="64" t="str">
        <f aca="false">IF(OR(K284="",J284=""),"",(J284-K284)*100)</f>
        <v/>
      </c>
      <c r="M284" s="28" t="n">
        <v>2.07368371626919</v>
      </c>
      <c r="N284" s="28" t="n">
        <v>0.395914373242782</v>
      </c>
      <c r="O284" s="28" t="n">
        <f aca="false">SQRT(M284^2+N284^2)</f>
        <v>2.11114005837136</v>
      </c>
      <c r="P284" s="53" t="n">
        <f aca="false">IF(J284="","",MAX(0,J284-1.96*O284/100))</f>
        <v>0.478261062454119</v>
      </c>
      <c r="Q284" s="53" t="n">
        <f aca="false">IF(J284="","",MIN(1,J284+1.96*O284/100))</f>
        <v>0.561017752742276</v>
      </c>
      <c r="R284" s="25" t="str">
        <f aca="false">IF(L284="","",IF(ABS(L284)&lt;=O284,"Yes","No"))</f>
        <v/>
      </c>
      <c r="S284" s="25" t="str">
        <f aca="false">IF(L284="","",IF(ABS(L284)&lt;=1.96*O284,"Yes","No"))</f>
        <v/>
      </c>
      <c r="T284" s="52" t="n">
        <f aca="false">IF(D284="","",ROUND(SQRT(((D284+G284)*O284/100)^2+(J284*(D284+G284)*0.08889)^2),0))</f>
        <v>79</v>
      </c>
      <c r="U284" s="25" t="s">
        <v>702</v>
      </c>
    </row>
    <row r="285" customFormat="false" ht="15" hidden="false" customHeight="false" outlineLevel="0" collapsed="false">
      <c r="A285" s="25" t="s">
        <v>385</v>
      </c>
      <c r="B285" s="25" t="s">
        <v>458</v>
      </c>
      <c r="C285" s="25" t="s">
        <v>462</v>
      </c>
      <c r="D285" s="52" t="n">
        <v>747</v>
      </c>
      <c r="E285" s="52"/>
      <c r="F285" s="63" t="str">
        <f aca="false">IF(E285="","",D285-E285)</f>
        <v/>
      </c>
      <c r="G285" s="52" t="n">
        <v>726</v>
      </c>
      <c r="H285" s="52"/>
      <c r="I285" s="63" t="str">
        <f aca="false">IF(H285="","",G285-H285)</f>
        <v/>
      </c>
      <c r="J285" s="53" t="n">
        <f aca="false">IF(OR(D285="",D285+G285=0),"",D285/(D285+G285))</f>
        <v>0.507128309572301</v>
      </c>
      <c r="K285" s="53" t="str">
        <f aca="false">IF(E285="","",E285/(E285+H285))</f>
        <v/>
      </c>
      <c r="L285" s="64" t="str">
        <f aca="false">IF(OR(K285="",J285=""),"",(J285-K285)*100)</f>
        <v/>
      </c>
      <c r="M285" s="28" t="n">
        <v>2.07368371626919</v>
      </c>
      <c r="N285" s="28" t="n">
        <v>0.395914373242782</v>
      </c>
      <c r="O285" s="28" t="n">
        <f aca="false">SQRT(M285^2+N285^2)</f>
        <v>2.11114005837136</v>
      </c>
      <c r="P285" s="53" t="n">
        <f aca="false">IF(J285="","",MAX(0,J285-1.96*O285/100))</f>
        <v>0.465749964428223</v>
      </c>
      <c r="Q285" s="53" t="n">
        <f aca="false">IF(J285="","",MIN(1,J285+1.96*O285/100))</f>
        <v>0.54850665471638</v>
      </c>
      <c r="R285" s="25" t="str">
        <f aca="false">IF(L285="","",IF(ABS(L285)&lt;=O285,"Yes","No"))</f>
        <v/>
      </c>
      <c r="S285" s="25" t="str">
        <f aca="false">IF(L285="","",IF(ABS(L285)&lt;=1.96*O285,"Yes","No"))</f>
        <v/>
      </c>
      <c r="T285" s="52" t="n">
        <f aca="false">IF(D285="","",ROUND(SQRT(((D285+G285)*O285/100)^2+(J285*(D285+G285)*0.08889)^2),0))</f>
        <v>73</v>
      </c>
      <c r="U285" s="25" t="s">
        <v>702</v>
      </c>
    </row>
    <row r="286" customFormat="false" ht="15" hidden="false" customHeight="false" outlineLevel="0" collapsed="false">
      <c r="A286" s="25" t="s">
        <v>385</v>
      </c>
      <c r="B286" s="25" t="s">
        <v>458</v>
      </c>
      <c r="C286" s="25" t="s">
        <v>463</v>
      </c>
      <c r="D286" s="52" t="n">
        <v>976</v>
      </c>
      <c r="E286" s="52" t="n">
        <v>975</v>
      </c>
      <c r="F286" s="63" t="n">
        <f aca="false">IF(E286="","",D286-E286)</f>
        <v>1</v>
      </c>
      <c r="G286" s="52" t="n">
        <v>881</v>
      </c>
      <c r="H286" s="52" t="n">
        <v>935</v>
      </c>
      <c r="I286" s="63" t="n">
        <f aca="false">IF(H286="","",G286-H286)</f>
        <v>-54</v>
      </c>
      <c r="J286" s="53" t="n">
        <f aca="false">IF(OR(D286="",D286+G286=0),"",D286/(D286+G286))</f>
        <v>0.525578890683899</v>
      </c>
      <c r="K286" s="53" t="n">
        <f aca="false">IF(E286="","",E286/(E286+H286))</f>
        <v>0.510471204188482</v>
      </c>
      <c r="L286" s="64" t="n">
        <f aca="false">IF(OR(K286="",J286=""),"",(J286-K286)*100)</f>
        <v>1.51076864954171</v>
      </c>
      <c r="M286" s="28" t="n">
        <v>2.07368371626919</v>
      </c>
      <c r="N286" s="28" t="n">
        <v>0.395914373242782</v>
      </c>
      <c r="O286" s="28" t="n">
        <f aca="false">SQRT(M286^2+N286^2)</f>
        <v>2.11114005837136</v>
      </c>
      <c r="P286" s="53" t="n">
        <f aca="false">IF(J286="","",MAX(0,J286-1.96*O286/100))</f>
        <v>0.48420054553982</v>
      </c>
      <c r="Q286" s="53" t="n">
        <f aca="false">IF(J286="","",MIN(1,J286+1.96*O286/100))</f>
        <v>0.566957235827977</v>
      </c>
      <c r="R286" s="25" t="str">
        <f aca="false">IF(L286="","",IF(ABS(L286)&lt;=O286,"Yes","No"))</f>
        <v>Yes</v>
      </c>
      <c r="S286" s="25" t="str">
        <f aca="false">IF(L286="","",IF(ABS(L286)&lt;=1.96*O286,"Yes","No"))</f>
        <v>Yes</v>
      </c>
      <c r="T286" s="52" t="n">
        <f aca="false">IF(D286="","",ROUND(SQRT(((D286+G286)*O286/100)^2+(J286*(D286+G286)*0.08889)^2),0))</f>
        <v>95</v>
      </c>
      <c r="U286" s="25"/>
    </row>
    <row r="287" customFormat="false" ht="15" hidden="false" customHeight="false" outlineLevel="0" collapsed="false">
      <c r="A287" s="25" t="s">
        <v>385</v>
      </c>
      <c r="B287" s="25" t="s">
        <v>458</v>
      </c>
      <c r="C287" s="25" t="s">
        <v>464</v>
      </c>
      <c r="D287" s="52" t="n">
        <v>770</v>
      </c>
      <c r="E287" s="52"/>
      <c r="F287" s="63" t="str">
        <f aca="false">IF(E287="","",D287-E287)</f>
        <v/>
      </c>
      <c r="G287" s="52" t="n">
        <v>762</v>
      </c>
      <c r="H287" s="52"/>
      <c r="I287" s="63" t="str">
        <f aca="false">IF(H287="","",G287-H287)</f>
        <v/>
      </c>
      <c r="J287" s="53" t="n">
        <f aca="false">IF(OR(D287="",D287+G287=0),"",D287/(D287+G287))</f>
        <v>0.502610966057441</v>
      </c>
      <c r="K287" s="53" t="str">
        <f aca="false">IF(E287="","",E287/(E287+H287))</f>
        <v/>
      </c>
      <c r="L287" s="64" t="str">
        <f aca="false">IF(OR(K287="",J287=""),"",(J287-K287)*100)</f>
        <v/>
      </c>
      <c r="M287" s="28" t="n">
        <v>2.07368371626919</v>
      </c>
      <c r="N287" s="28" t="n">
        <v>0.395914373242782</v>
      </c>
      <c r="O287" s="28" t="n">
        <f aca="false">SQRT(M287^2+N287^2)</f>
        <v>2.11114005837136</v>
      </c>
      <c r="P287" s="53" t="n">
        <f aca="false">IF(J287="","",MAX(0,J287-1.96*O287/100))</f>
        <v>0.461232620913363</v>
      </c>
      <c r="Q287" s="53" t="n">
        <f aca="false">IF(J287="","",MIN(1,J287+1.96*O287/100))</f>
        <v>0.54398931120152</v>
      </c>
      <c r="R287" s="25" t="str">
        <f aca="false">IF(L287="","",IF(ABS(L287)&lt;=O287,"Yes","No"))</f>
        <v/>
      </c>
      <c r="S287" s="25" t="str">
        <f aca="false">IF(L287="","",IF(ABS(L287)&lt;=1.96*O287,"Yes","No"))</f>
        <v/>
      </c>
      <c r="T287" s="52" t="n">
        <f aca="false">IF(D287="","",ROUND(SQRT(((D287+G287)*O287/100)^2+(J287*(D287+G287)*0.08889)^2),0))</f>
        <v>76</v>
      </c>
      <c r="U287" s="25" t="s">
        <v>702</v>
      </c>
    </row>
    <row r="288" customFormat="false" ht="15" hidden="false" customHeight="false" outlineLevel="0" collapsed="false">
      <c r="A288" s="25" t="s">
        <v>385</v>
      </c>
      <c r="B288" s="25" t="s">
        <v>458</v>
      </c>
      <c r="C288" s="25" t="s">
        <v>465</v>
      </c>
      <c r="D288" s="52" t="n">
        <v>700</v>
      </c>
      <c r="E288" s="52"/>
      <c r="F288" s="63" t="str">
        <f aca="false">IF(E288="","",D288-E288)</f>
        <v/>
      </c>
      <c r="G288" s="52" t="n">
        <v>709</v>
      </c>
      <c r="H288" s="52"/>
      <c r="I288" s="63" t="str">
        <f aca="false">IF(H288="","",G288-H288)</f>
        <v/>
      </c>
      <c r="J288" s="53" t="n">
        <f aca="false">IF(OR(D288="",D288+G288=0),"",D288/(D288+G288))</f>
        <v>0.49680624556423</v>
      </c>
      <c r="K288" s="53" t="str">
        <f aca="false">IF(E288="","",E288/(E288+H288))</f>
        <v/>
      </c>
      <c r="L288" s="64" t="str">
        <f aca="false">IF(OR(K288="",J288=""),"",(J288-K288)*100)</f>
        <v/>
      </c>
      <c r="M288" s="28" t="n">
        <v>2.07368371626919</v>
      </c>
      <c r="N288" s="28" t="n">
        <v>0.395914373242782</v>
      </c>
      <c r="O288" s="28" t="n">
        <f aca="false">SQRT(M288^2+N288^2)</f>
        <v>2.11114005837136</v>
      </c>
      <c r="P288" s="53" t="n">
        <f aca="false">IF(J288="","",MAX(0,J288-1.96*O288/100))</f>
        <v>0.455427900420151</v>
      </c>
      <c r="Q288" s="53" t="n">
        <f aca="false">IF(J288="","",MIN(1,J288+1.96*O288/100))</f>
        <v>0.538184590708309</v>
      </c>
      <c r="R288" s="25" t="str">
        <f aca="false">IF(L288="","",IF(ABS(L288)&lt;=O288,"Yes","No"))</f>
        <v/>
      </c>
      <c r="S288" s="25" t="str">
        <f aca="false">IF(L288="","",IF(ABS(L288)&lt;=1.96*O288,"Yes","No"))</f>
        <v/>
      </c>
      <c r="T288" s="52" t="n">
        <f aca="false">IF(D288="","",ROUND(SQRT(((D288+G288)*O288/100)^2+(J288*(D288+G288)*0.08889)^2),0))</f>
        <v>69</v>
      </c>
      <c r="U288" s="25" t="s">
        <v>702</v>
      </c>
    </row>
    <row r="289" customFormat="false" ht="15" hidden="false" customHeight="false" outlineLevel="0" collapsed="false">
      <c r="A289" s="25" t="s">
        <v>385</v>
      </c>
      <c r="B289" s="25" t="s">
        <v>466</v>
      </c>
      <c r="C289" s="25" t="s">
        <v>466</v>
      </c>
      <c r="D289" s="52" t="n">
        <v>741</v>
      </c>
      <c r="E289" s="52" t="n">
        <v>714</v>
      </c>
      <c r="F289" s="63" t="n">
        <f aca="false">IF(E289="","",D289-E289)</f>
        <v>27</v>
      </c>
      <c r="G289" s="52" t="n">
        <v>524</v>
      </c>
      <c r="H289" s="52" t="n">
        <v>484</v>
      </c>
      <c r="I289" s="63" t="n">
        <f aca="false">IF(H289="","",G289-H289)</f>
        <v>40</v>
      </c>
      <c r="J289" s="53" t="n">
        <f aca="false">IF(OR(D289="",D289+G289=0),"",D289/(D289+G289))</f>
        <v>0.585770750988142</v>
      </c>
      <c r="K289" s="53" t="n">
        <f aca="false">IF(E289="","",E289/(E289+H289))</f>
        <v>0.595993322203673</v>
      </c>
      <c r="L289" s="64" t="n">
        <f aca="false">IF(OR(K289="",J289=""),"",(J289-K289)*100)</f>
        <v>-1.02225712155305</v>
      </c>
      <c r="M289" s="28" t="n">
        <v>2.07368371626919</v>
      </c>
      <c r="N289" s="28" t="n">
        <v>0.395914373242782</v>
      </c>
      <c r="O289" s="28" t="n">
        <f aca="false">SQRT(M289^2+N289^2)</f>
        <v>2.11114005837136</v>
      </c>
      <c r="P289" s="53" t="n">
        <f aca="false">IF(J289="","",MAX(0,J289-1.96*O289/100))</f>
        <v>0.544392405844064</v>
      </c>
      <c r="Q289" s="53" t="n">
        <f aca="false">IF(J289="","",MIN(1,J289+1.96*O289/100))</f>
        <v>0.627149096132221</v>
      </c>
      <c r="R289" s="25" t="str">
        <f aca="false">IF(L289="","",IF(ABS(L289)&lt;=O289,"Yes","No"))</f>
        <v>Yes</v>
      </c>
      <c r="S289" s="25" t="str">
        <f aca="false">IF(L289="","",IF(ABS(L289)&lt;=1.96*O289,"Yes","No"))</f>
        <v>Yes</v>
      </c>
      <c r="T289" s="52" t="n">
        <f aca="false">IF(D289="","",ROUND(SQRT(((D289+G289)*O289/100)^2+(J289*(D289+G289)*0.08889)^2),0))</f>
        <v>71</v>
      </c>
      <c r="U289" s="25"/>
    </row>
    <row r="290" customFormat="false" ht="15" hidden="false" customHeight="false" outlineLevel="0" collapsed="false">
      <c r="A290" s="25" t="s">
        <v>385</v>
      </c>
      <c r="B290" s="25" t="s">
        <v>467</v>
      </c>
      <c r="C290" s="25" t="s">
        <v>467</v>
      </c>
      <c r="D290" s="52" t="n">
        <v>99</v>
      </c>
      <c r="E290" s="52" t="n">
        <v>109</v>
      </c>
      <c r="F290" s="63" t="n">
        <f aca="false">IF(E290="","",D290-E290)</f>
        <v>-10</v>
      </c>
      <c r="G290" s="52" t="n">
        <v>106</v>
      </c>
      <c r="H290" s="52" t="n">
        <v>97</v>
      </c>
      <c r="I290" s="63" t="n">
        <f aca="false">IF(H290="","",G290-H290)</f>
        <v>9</v>
      </c>
      <c r="J290" s="53" t="n">
        <f aca="false">IF(OR(D290="",D290+G290=0),"",D290/(D290+G290))</f>
        <v>0.482926829268293</v>
      </c>
      <c r="K290" s="53" t="n">
        <f aca="false">IF(E290="","",E290/(E290+H290))</f>
        <v>0.529126213592233</v>
      </c>
      <c r="L290" s="64" t="n">
        <f aca="false">IF(OR(K290="",J290=""),"",(J290-K290)*100)</f>
        <v>-4.61993843239403</v>
      </c>
      <c r="M290" s="28" t="n">
        <v>3.51968652681483</v>
      </c>
      <c r="N290" s="28" t="n">
        <v>0.395914373242782</v>
      </c>
      <c r="O290" s="28" t="n">
        <f aca="false">SQRT(M290^2+N290^2)</f>
        <v>3.54188388262265</v>
      </c>
      <c r="P290" s="53" t="n">
        <f aca="false">IF(J290="","",MAX(0,J290-1.96*O290/100))</f>
        <v>0.413505905168889</v>
      </c>
      <c r="Q290" s="53" t="n">
        <f aca="false">IF(J290="","",MIN(1,J290+1.96*O290/100))</f>
        <v>0.552347753367697</v>
      </c>
      <c r="R290" s="25" t="str">
        <f aca="false">IF(L290="","",IF(ABS(L290)&lt;=O290,"Yes","No"))</f>
        <v>No</v>
      </c>
      <c r="S290" s="25" t="str">
        <f aca="false">IF(L290="","",IF(ABS(L290)&lt;=1.96*O290,"Yes","No"))</f>
        <v>Yes</v>
      </c>
      <c r="T290" s="52" t="n">
        <f aca="false">IF(D290="","",ROUND(SQRT(((D290+G290)*O290/100)^2+(J290*(D290+G290)*0.1901)^2),0))</f>
        <v>20</v>
      </c>
      <c r="U290" s="25"/>
    </row>
    <row r="291" customFormat="false" ht="15" hidden="false" customHeight="false" outlineLevel="0" collapsed="false">
      <c r="A291" s="25" t="s">
        <v>385</v>
      </c>
      <c r="B291" s="25" t="s">
        <v>292</v>
      </c>
      <c r="C291" s="25" t="s">
        <v>468</v>
      </c>
      <c r="D291" s="52" t="n">
        <v>911</v>
      </c>
      <c r="E291" s="52" t="n">
        <v>955</v>
      </c>
      <c r="F291" s="63" t="n">
        <f aca="false">IF(E291="","",D291-E291)</f>
        <v>-44</v>
      </c>
      <c r="G291" s="52" t="n">
        <v>729</v>
      </c>
      <c r="H291" s="52" t="n">
        <v>692</v>
      </c>
      <c r="I291" s="63" t="n">
        <f aca="false">IF(H291="","",G291-H291)</f>
        <v>37</v>
      </c>
      <c r="J291" s="53" t="n">
        <f aca="false">IF(OR(D291="",D291+G291=0),"",D291/(D291+G291))</f>
        <v>0.555487804878049</v>
      </c>
      <c r="K291" s="53" t="n">
        <f aca="false">IF(E291="","",E291/(E291+H291))</f>
        <v>0.579842137219186</v>
      </c>
      <c r="L291" s="64" t="n">
        <f aca="false">IF(OR(K291="",J291=""),"",(J291-K291)*100)</f>
        <v>-2.43543323411376</v>
      </c>
      <c r="M291" s="28" t="n">
        <v>2.07368371626919</v>
      </c>
      <c r="N291" s="28" t="n">
        <v>0.395914373242782</v>
      </c>
      <c r="O291" s="28" t="n">
        <f aca="false">SQRT(M291^2+N291^2)</f>
        <v>2.11114005837136</v>
      </c>
      <c r="P291" s="53" t="n">
        <f aca="false">IF(J291="","",MAX(0,J291-1.96*O291/100))</f>
        <v>0.51410945973397</v>
      </c>
      <c r="Q291" s="53" t="n">
        <f aca="false">IF(J291="","",MIN(1,J291+1.96*O291/100))</f>
        <v>0.596866150022127</v>
      </c>
      <c r="R291" s="25" t="str">
        <f aca="false">IF(L291="","",IF(ABS(L291)&lt;=O291,"Yes","No"))</f>
        <v>No</v>
      </c>
      <c r="S291" s="25" t="str">
        <f aca="false">IF(L291="","",IF(ABS(L291)&lt;=1.96*O291,"Yes","No"))</f>
        <v>Yes</v>
      </c>
      <c r="T291" s="52" t="n">
        <f aca="false">IF(D291="","",ROUND(SQRT(((D291+G291)*O291/100)^2+(J291*(D291+G291)*0.08889)^2),0))</f>
        <v>88</v>
      </c>
      <c r="U291" s="25"/>
    </row>
    <row r="292" customFormat="false" ht="15" hidden="false" customHeight="false" outlineLevel="0" collapsed="false">
      <c r="A292" s="25" t="s">
        <v>385</v>
      </c>
      <c r="B292" s="25" t="s">
        <v>292</v>
      </c>
      <c r="C292" s="25" t="s">
        <v>469</v>
      </c>
      <c r="D292" s="52" t="n">
        <v>853</v>
      </c>
      <c r="E292" s="52" t="n">
        <v>910</v>
      </c>
      <c r="F292" s="63" t="n">
        <f aca="false">IF(E292="","",D292-E292)</f>
        <v>-57</v>
      </c>
      <c r="G292" s="52" t="n">
        <v>771</v>
      </c>
      <c r="H292" s="52" t="n">
        <v>742</v>
      </c>
      <c r="I292" s="63" t="n">
        <f aca="false">IF(H292="","",G292-H292)</f>
        <v>29</v>
      </c>
      <c r="J292" s="53" t="n">
        <f aca="false">IF(OR(D292="",D292+G292=0),"",D292/(D292+G292))</f>
        <v>0.525246305418719</v>
      </c>
      <c r="K292" s="53" t="n">
        <f aca="false">IF(E292="","",E292/(E292+H292))</f>
        <v>0.550847457627119</v>
      </c>
      <c r="L292" s="64" t="n">
        <f aca="false">IF(OR(K292="",J292=""),"",(J292-K292)*100)</f>
        <v>-2.56011522083994</v>
      </c>
      <c r="M292" s="28" t="n">
        <v>2.07368371626919</v>
      </c>
      <c r="N292" s="28" t="n">
        <v>0.395914373242782</v>
      </c>
      <c r="O292" s="28" t="n">
        <f aca="false">SQRT(M292^2+N292^2)</f>
        <v>2.11114005837136</v>
      </c>
      <c r="P292" s="53" t="n">
        <f aca="false">IF(J292="","",MAX(0,J292-1.96*O292/100))</f>
        <v>0.483867960274641</v>
      </c>
      <c r="Q292" s="53" t="n">
        <f aca="false">IF(J292="","",MIN(1,J292+1.96*O292/100))</f>
        <v>0.566624650562798</v>
      </c>
      <c r="R292" s="25" t="str">
        <f aca="false">IF(L292="","",IF(ABS(L292)&lt;=O292,"Yes","No"))</f>
        <v>No</v>
      </c>
      <c r="S292" s="25" t="str">
        <f aca="false">IF(L292="","",IF(ABS(L292)&lt;=1.96*O292,"Yes","No"))</f>
        <v>Yes</v>
      </c>
      <c r="T292" s="52" t="n">
        <f aca="false">IF(D292="","",ROUND(SQRT(((D292+G292)*O292/100)^2+(J292*(D292+G292)*0.08889)^2),0))</f>
        <v>83</v>
      </c>
      <c r="U292" s="25"/>
    </row>
    <row r="293" customFormat="false" ht="15" hidden="false" customHeight="false" outlineLevel="0" collapsed="false">
      <c r="A293" s="25" t="s">
        <v>385</v>
      </c>
      <c r="B293" s="25" t="s">
        <v>292</v>
      </c>
      <c r="C293" s="25" t="s">
        <v>470</v>
      </c>
      <c r="D293" s="52" t="n">
        <v>434</v>
      </c>
      <c r="E293" s="52" t="n">
        <v>446</v>
      </c>
      <c r="F293" s="63" t="n">
        <f aca="false">IF(E293="","",D293-E293)</f>
        <v>-12</v>
      </c>
      <c r="G293" s="52" t="n">
        <v>421</v>
      </c>
      <c r="H293" s="52" t="n">
        <v>410</v>
      </c>
      <c r="I293" s="63" t="n">
        <f aca="false">IF(H293="","",G293-H293)</f>
        <v>11</v>
      </c>
      <c r="J293" s="53" t="n">
        <f aca="false">IF(OR(D293="",D293+G293=0),"",D293/(D293+G293))</f>
        <v>0.507602339181287</v>
      </c>
      <c r="K293" s="53" t="n">
        <f aca="false">IF(E293="","",E293/(E293+H293))</f>
        <v>0.521028037383178</v>
      </c>
      <c r="L293" s="64" t="n">
        <f aca="false">IF(OR(K293="",J293=""),"",(J293-K293)*100)</f>
        <v>-1.34256982018911</v>
      </c>
      <c r="M293" s="28" t="n">
        <v>2.29525849334818</v>
      </c>
      <c r="N293" s="28" t="n">
        <v>0.395914373242782</v>
      </c>
      <c r="O293" s="28" t="n">
        <f aca="false">SQRT(M293^2+N293^2)</f>
        <v>2.32915429764264</v>
      </c>
      <c r="P293" s="53" t="n">
        <f aca="false">IF(J293="","",MAX(0,J293-1.96*O293/100))</f>
        <v>0.461950914947491</v>
      </c>
      <c r="Q293" s="53" t="n">
        <f aca="false">IF(J293="","",MIN(1,J293+1.96*O293/100))</f>
        <v>0.553253763415082</v>
      </c>
      <c r="R293" s="25" t="str">
        <f aca="false">IF(L293="","",IF(ABS(L293)&lt;=O293,"Yes","No"))</f>
        <v>Yes</v>
      </c>
      <c r="S293" s="25" t="str">
        <f aca="false">IF(L293="","",IF(ABS(L293)&lt;=1.96*O293,"Yes","No"))</f>
        <v>Yes</v>
      </c>
      <c r="T293" s="52" t="n">
        <f aca="false">IF(D293="","",ROUND(SQRT(((D293+G293)*O293/100)^2+(J293*(D293+G293)*0.10931)^2),0))</f>
        <v>51</v>
      </c>
      <c r="U293" s="25"/>
    </row>
    <row r="294" customFormat="false" ht="15" hidden="false" customHeight="false" outlineLevel="0" collapsed="false">
      <c r="A294" s="25" t="s">
        <v>385</v>
      </c>
      <c r="B294" s="25" t="s">
        <v>292</v>
      </c>
      <c r="C294" s="25" t="s">
        <v>471</v>
      </c>
      <c r="D294" s="52" t="n">
        <v>728</v>
      </c>
      <c r="E294" s="52" t="n">
        <v>744</v>
      </c>
      <c r="F294" s="63" t="n">
        <f aca="false">IF(E294="","",D294-E294)</f>
        <v>-16</v>
      </c>
      <c r="G294" s="52" t="n">
        <v>709</v>
      </c>
      <c r="H294" s="52" t="n">
        <v>678</v>
      </c>
      <c r="I294" s="63" t="n">
        <f aca="false">IF(H294="","",G294-H294)</f>
        <v>31</v>
      </c>
      <c r="J294" s="53" t="n">
        <f aca="false">IF(OR(D294="",D294+G294=0),"",D294/(D294+G294))</f>
        <v>0.50661099512874</v>
      </c>
      <c r="K294" s="53" t="n">
        <f aca="false">IF(E294="","",E294/(E294+H294))</f>
        <v>0.523206751054852</v>
      </c>
      <c r="L294" s="64" t="n">
        <f aca="false">IF(OR(K294="",J294=""),"",(J294-K294)*100)</f>
        <v>-1.6595755926112</v>
      </c>
      <c r="M294" s="28" t="n">
        <v>2.07368371626919</v>
      </c>
      <c r="N294" s="28" t="n">
        <v>0.395914373242782</v>
      </c>
      <c r="O294" s="28" t="n">
        <f aca="false">SQRT(M294^2+N294^2)</f>
        <v>2.11114005837136</v>
      </c>
      <c r="P294" s="53" t="n">
        <f aca="false">IF(J294="","",MAX(0,J294-1.96*O294/100))</f>
        <v>0.465232649984662</v>
      </c>
      <c r="Q294" s="53" t="n">
        <f aca="false">IF(J294="","",MIN(1,J294+1.96*O294/100))</f>
        <v>0.547989340272819</v>
      </c>
      <c r="R294" s="25" t="str">
        <f aca="false">IF(L294="","",IF(ABS(L294)&lt;=O294,"Yes","No"))</f>
        <v>Yes</v>
      </c>
      <c r="S294" s="25" t="str">
        <f aca="false">IF(L294="","",IF(ABS(L294)&lt;=1.96*O294,"Yes","No"))</f>
        <v>Yes</v>
      </c>
      <c r="T294" s="52" t="n">
        <f aca="false">IF(D294="","",ROUND(SQRT(((D294+G294)*O294/100)^2+(J294*(D294+G294)*0.08889)^2),0))</f>
        <v>71</v>
      </c>
      <c r="U294" s="25"/>
    </row>
    <row r="295" customFormat="false" ht="15" hidden="false" customHeight="false" outlineLevel="0" collapsed="false">
      <c r="A295" s="25" t="s">
        <v>385</v>
      </c>
      <c r="B295" s="25" t="s">
        <v>292</v>
      </c>
      <c r="C295" s="25" t="s">
        <v>472</v>
      </c>
      <c r="D295" s="52" t="n">
        <v>763</v>
      </c>
      <c r="E295" s="52" t="n">
        <v>775</v>
      </c>
      <c r="F295" s="63" t="n">
        <f aca="false">IF(E295="","",D295-E295)</f>
        <v>-12</v>
      </c>
      <c r="G295" s="52" t="n">
        <v>654</v>
      </c>
      <c r="H295" s="52" t="n">
        <v>645</v>
      </c>
      <c r="I295" s="63" t="n">
        <f aca="false">IF(H295="","",G295-H295)</f>
        <v>9</v>
      </c>
      <c r="J295" s="53" t="n">
        <f aca="false">IF(OR(D295="",D295+G295=0),"",D295/(D295+G295))</f>
        <v>0.538461538461538</v>
      </c>
      <c r="K295" s="53" t="n">
        <f aca="false">IF(E295="","",E295/(E295+H295))</f>
        <v>0.545774647887324</v>
      </c>
      <c r="L295" s="64" t="n">
        <f aca="false">IF(OR(K295="",J295=""),"",(J295-K295)*100)</f>
        <v>-0.731310942578556</v>
      </c>
      <c r="M295" s="28" t="n">
        <v>2.07368371626919</v>
      </c>
      <c r="N295" s="28" t="n">
        <v>0.395914373242782</v>
      </c>
      <c r="O295" s="28" t="n">
        <f aca="false">SQRT(M295^2+N295^2)</f>
        <v>2.11114005837136</v>
      </c>
      <c r="P295" s="53" t="n">
        <f aca="false">IF(J295="","",MAX(0,J295-1.96*O295/100))</f>
        <v>0.49708319331746</v>
      </c>
      <c r="Q295" s="53" t="n">
        <f aca="false">IF(J295="","",MIN(1,J295+1.96*O295/100))</f>
        <v>0.579839883605617</v>
      </c>
      <c r="R295" s="25" t="str">
        <f aca="false">IF(L295="","",IF(ABS(L295)&lt;=O295,"Yes","No"))</f>
        <v>Yes</v>
      </c>
      <c r="S295" s="25" t="str">
        <f aca="false">IF(L295="","",IF(ABS(L295)&lt;=1.96*O295,"Yes","No"))</f>
        <v>Yes</v>
      </c>
      <c r="T295" s="52" t="n">
        <f aca="false">IF(D295="","",ROUND(SQRT(((D295+G295)*O295/100)^2+(J295*(D295+G295)*0.08889)^2),0))</f>
        <v>74</v>
      </c>
      <c r="U295" s="25"/>
    </row>
    <row r="296" customFormat="false" ht="15" hidden="false" customHeight="false" outlineLevel="0" collapsed="false">
      <c r="A296" s="25" t="s">
        <v>385</v>
      </c>
      <c r="B296" s="25" t="s">
        <v>292</v>
      </c>
      <c r="C296" s="25" t="s">
        <v>473</v>
      </c>
      <c r="D296" s="52" t="n">
        <v>509</v>
      </c>
      <c r="E296" s="52" t="n">
        <v>511</v>
      </c>
      <c r="F296" s="63" t="n">
        <f aca="false">IF(E296="","",D296-E296)</f>
        <v>-2</v>
      </c>
      <c r="G296" s="52" t="n">
        <v>468</v>
      </c>
      <c r="H296" s="52" t="n">
        <v>453</v>
      </c>
      <c r="I296" s="63" t="n">
        <f aca="false">IF(H296="","",G296-H296)</f>
        <v>15</v>
      </c>
      <c r="J296" s="53" t="n">
        <f aca="false">IF(OR(D296="",D296+G296=0),"",D296/(D296+G296))</f>
        <v>0.520982599795292</v>
      </c>
      <c r="K296" s="53" t="n">
        <f aca="false">IF(E296="","",E296/(E296+H296))</f>
        <v>0.530082987551867</v>
      </c>
      <c r="L296" s="64" t="n">
        <f aca="false">IF(OR(K296="",J296=""),"",(J296-K296)*100)</f>
        <v>-0.910038775657551</v>
      </c>
      <c r="M296" s="28" t="n">
        <v>2.29525849334818</v>
      </c>
      <c r="N296" s="28" t="n">
        <v>0.395914373242782</v>
      </c>
      <c r="O296" s="28" t="n">
        <f aca="false">SQRT(M296^2+N296^2)</f>
        <v>2.32915429764264</v>
      </c>
      <c r="P296" s="53" t="n">
        <f aca="false">IF(J296="","",MAX(0,J296-1.96*O296/100))</f>
        <v>0.475331175561496</v>
      </c>
      <c r="Q296" s="53" t="n">
        <f aca="false">IF(J296="","",MIN(1,J296+1.96*O296/100))</f>
        <v>0.566634024029088</v>
      </c>
      <c r="R296" s="25" t="str">
        <f aca="false">IF(L296="","",IF(ABS(L296)&lt;=O296,"Yes","No"))</f>
        <v>Yes</v>
      </c>
      <c r="S296" s="25" t="str">
        <f aca="false">IF(L296="","",IF(ABS(L296)&lt;=1.96*O296,"Yes","No"))</f>
        <v>Yes</v>
      </c>
      <c r="T296" s="52" t="n">
        <f aca="false">IF(D296="","",ROUND(SQRT(((D296+G296)*O296/100)^2+(J296*(D296+G296)*0.10931)^2),0))</f>
        <v>60</v>
      </c>
      <c r="U296" s="25"/>
    </row>
    <row r="297" customFormat="false" ht="15" hidden="false" customHeight="false" outlineLevel="0" collapsed="false">
      <c r="A297" s="25" t="s">
        <v>385</v>
      </c>
      <c r="B297" s="25" t="s">
        <v>474</v>
      </c>
      <c r="C297" s="25" t="s">
        <v>475</v>
      </c>
      <c r="D297" s="52" t="n">
        <v>570</v>
      </c>
      <c r="E297" s="52" t="n">
        <v>553</v>
      </c>
      <c r="F297" s="63" t="n">
        <f aca="false">IF(E297="","",D297-E297)</f>
        <v>17</v>
      </c>
      <c r="G297" s="52" t="n">
        <v>622</v>
      </c>
      <c r="H297" s="52" t="n">
        <v>581</v>
      </c>
      <c r="I297" s="63" t="n">
        <f aca="false">IF(H297="","",G297-H297)</f>
        <v>41</v>
      </c>
      <c r="J297" s="53" t="n">
        <f aca="false">IF(OR(D297="",D297+G297=0),"",D297/(D297+G297))</f>
        <v>0.478187919463087</v>
      </c>
      <c r="K297" s="53" t="n">
        <f aca="false">IF(E297="","",E297/(E297+H297))</f>
        <v>0.487654320987654</v>
      </c>
      <c r="L297" s="64" t="n">
        <f aca="false">IF(OR(K297="",J297=""),"",(J297-K297)*100)</f>
        <v>-0.946640152456707</v>
      </c>
      <c r="M297" s="28" t="n">
        <v>2.29525849334818</v>
      </c>
      <c r="N297" s="28" t="n">
        <v>0.395914373242782</v>
      </c>
      <c r="O297" s="28" t="n">
        <f aca="false">SQRT(M297^2+N297^2)</f>
        <v>2.32915429764264</v>
      </c>
      <c r="P297" s="53" t="n">
        <f aca="false">IF(J297="","",MAX(0,J297-1.96*O297/100))</f>
        <v>0.432536495229292</v>
      </c>
      <c r="Q297" s="53" t="n">
        <f aca="false">IF(J297="","",MIN(1,J297+1.96*O297/100))</f>
        <v>0.523839343696883</v>
      </c>
      <c r="R297" s="25" t="str">
        <f aca="false">IF(L297="","",IF(ABS(L297)&lt;=O297,"Yes","No"))</f>
        <v>Yes</v>
      </c>
      <c r="S297" s="25" t="str">
        <f aca="false">IF(L297="","",IF(ABS(L297)&lt;=1.96*O297,"Yes","No"))</f>
        <v>Yes</v>
      </c>
      <c r="T297" s="52" t="n">
        <f aca="false">IF(D297="","",ROUND(SQRT(((D297+G297)*O297/100)^2+(J297*(D297+G297)*0.10931)^2),0))</f>
        <v>68</v>
      </c>
      <c r="U297" s="25"/>
    </row>
    <row r="298" customFormat="false" ht="15" hidden="false" customHeight="false" outlineLevel="0" collapsed="false">
      <c r="A298" s="25" t="s">
        <v>385</v>
      </c>
      <c r="B298" s="25" t="s">
        <v>474</v>
      </c>
      <c r="C298" s="25" t="s">
        <v>476</v>
      </c>
      <c r="D298" s="52" t="n">
        <v>463</v>
      </c>
      <c r="E298" s="52" t="n">
        <v>473</v>
      </c>
      <c r="F298" s="63" t="n">
        <f aca="false">IF(E298="","",D298-E298)</f>
        <v>-10</v>
      </c>
      <c r="G298" s="52" t="n">
        <v>432</v>
      </c>
      <c r="H298" s="52" t="n">
        <v>465</v>
      </c>
      <c r="I298" s="63" t="n">
        <f aca="false">IF(H298="","",G298-H298)</f>
        <v>-33</v>
      </c>
      <c r="J298" s="53" t="n">
        <f aca="false">IF(OR(D298="",D298+G298=0),"",D298/(D298+G298))</f>
        <v>0.51731843575419</v>
      </c>
      <c r="K298" s="53" t="n">
        <f aca="false">IF(E298="","",E298/(E298+H298))</f>
        <v>0.504264392324094</v>
      </c>
      <c r="L298" s="64" t="n">
        <f aca="false">IF(OR(K298="",J298=""),"",(J298-K298)*100)</f>
        <v>1.30540434300961</v>
      </c>
      <c r="M298" s="28" t="n">
        <v>2.29525849334818</v>
      </c>
      <c r="N298" s="28" t="n">
        <v>0.395914373242782</v>
      </c>
      <c r="O298" s="28" t="n">
        <f aca="false">SQRT(M298^2+N298^2)</f>
        <v>2.32915429764264</v>
      </c>
      <c r="P298" s="53" t="n">
        <f aca="false">IF(J298="","",MAX(0,J298-1.96*O298/100))</f>
        <v>0.471667011520394</v>
      </c>
      <c r="Q298" s="53" t="n">
        <f aca="false">IF(J298="","",MIN(1,J298+1.96*O298/100))</f>
        <v>0.562969859987986</v>
      </c>
      <c r="R298" s="25" t="str">
        <f aca="false">IF(L298="","",IF(ABS(L298)&lt;=O298,"Yes","No"))</f>
        <v>Yes</v>
      </c>
      <c r="S298" s="25" t="str">
        <f aca="false">IF(L298="","",IF(ABS(L298)&lt;=1.96*O298,"Yes","No"))</f>
        <v>Yes</v>
      </c>
      <c r="T298" s="52" t="n">
        <f aca="false">IF(D298="","",ROUND(SQRT(((D298+G298)*O298/100)^2+(J298*(D298+G298)*0.10931)^2),0))</f>
        <v>55</v>
      </c>
      <c r="U298" s="25"/>
    </row>
    <row r="299" customFormat="false" ht="15" hidden="false" customHeight="false" outlineLevel="0" collapsed="false">
      <c r="A299" s="25" t="s">
        <v>385</v>
      </c>
      <c r="B299" s="25" t="s">
        <v>474</v>
      </c>
      <c r="C299" s="25" t="s">
        <v>477</v>
      </c>
      <c r="D299" s="52" t="n">
        <v>678</v>
      </c>
      <c r="E299" s="52" t="n">
        <v>700</v>
      </c>
      <c r="F299" s="63" t="n">
        <f aca="false">IF(E299="","",D299-E299)</f>
        <v>-22</v>
      </c>
      <c r="G299" s="52" t="n">
        <v>594</v>
      </c>
      <c r="H299" s="52" t="n">
        <v>639</v>
      </c>
      <c r="I299" s="63" t="n">
        <f aca="false">IF(H299="","",G299-H299)</f>
        <v>-45</v>
      </c>
      <c r="J299" s="53" t="n">
        <f aca="false">IF(OR(D299="",D299+G299=0),"",D299/(D299+G299))</f>
        <v>0.533018867924528</v>
      </c>
      <c r="K299" s="53" t="n">
        <f aca="false">IF(E299="","",E299/(E299+H299))</f>
        <v>0.522778192681105</v>
      </c>
      <c r="L299" s="64" t="n">
        <f aca="false">IF(OR(K299="",J299=""),"",(J299-K299)*100)</f>
        <v>1.02406752434231</v>
      </c>
      <c r="M299" s="28" t="n">
        <v>2.07368371626919</v>
      </c>
      <c r="N299" s="28" t="n">
        <v>0.395914373242782</v>
      </c>
      <c r="O299" s="28" t="n">
        <f aca="false">SQRT(M299^2+N299^2)</f>
        <v>2.11114005837136</v>
      </c>
      <c r="P299" s="53" t="n">
        <f aca="false">IF(J299="","",MAX(0,J299-1.96*O299/100))</f>
        <v>0.49164052278045</v>
      </c>
      <c r="Q299" s="53" t="n">
        <f aca="false">IF(J299="","",MIN(1,J299+1.96*O299/100))</f>
        <v>0.574397213068607</v>
      </c>
      <c r="R299" s="25" t="str">
        <f aca="false">IF(L299="","",IF(ABS(L299)&lt;=O299,"Yes","No"))</f>
        <v>Yes</v>
      </c>
      <c r="S299" s="25" t="str">
        <f aca="false">IF(L299="","",IF(ABS(L299)&lt;=1.96*O299,"Yes","No"))</f>
        <v>Yes</v>
      </c>
      <c r="T299" s="52" t="n">
        <f aca="false">IF(D299="","",ROUND(SQRT(((D299+G299)*O299/100)^2+(J299*(D299+G299)*0.08889)^2),0))</f>
        <v>66</v>
      </c>
      <c r="U299" s="25"/>
    </row>
    <row r="300" customFormat="false" ht="15" hidden="false" customHeight="false" outlineLevel="0" collapsed="false">
      <c r="A300" s="25" t="s">
        <v>385</v>
      </c>
      <c r="B300" s="25" t="s">
        <v>478</v>
      </c>
      <c r="C300" s="25" t="s">
        <v>479</v>
      </c>
      <c r="D300" s="52" t="n">
        <v>542</v>
      </c>
      <c r="E300" s="52" t="n">
        <v>546</v>
      </c>
      <c r="F300" s="63" t="n">
        <f aca="false">IF(E300="","",D300-E300)</f>
        <v>-4</v>
      </c>
      <c r="G300" s="52" t="n">
        <v>1116</v>
      </c>
      <c r="H300" s="52" t="n">
        <v>1089</v>
      </c>
      <c r="I300" s="63" t="n">
        <f aca="false">IF(H300="","",G300-H300)</f>
        <v>27</v>
      </c>
      <c r="J300" s="53" t="n">
        <f aca="false">IF(OR(D300="",D300+G300=0),"",D300/(D300+G300))</f>
        <v>0.326899879372738</v>
      </c>
      <c r="K300" s="53" t="n">
        <f aca="false">IF(E300="","",E300/(E300+H300))</f>
        <v>0.33394495412844</v>
      </c>
      <c r="L300" s="64" t="n">
        <f aca="false">IF(OR(K300="",J300=""),"",(J300-K300)*100)</f>
        <v>-0.704507475570215</v>
      </c>
      <c r="M300" s="28" t="n">
        <v>2.07368371626919</v>
      </c>
      <c r="N300" s="28" t="n">
        <v>0.395914373242782</v>
      </c>
      <c r="O300" s="28" t="n">
        <f aca="false">SQRT(M300^2+N300^2)</f>
        <v>2.11114005837136</v>
      </c>
      <c r="P300" s="53" t="n">
        <f aca="false">IF(J300="","",MAX(0,J300-1.96*O300/100))</f>
        <v>0.28552153422866</v>
      </c>
      <c r="Q300" s="53" t="n">
        <f aca="false">IF(J300="","",MIN(1,J300+1.96*O300/100))</f>
        <v>0.368278224516817</v>
      </c>
      <c r="R300" s="25" t="str">
        <f aca="false">IF(L300="","",IF(ABS(L300)&lt;=O300,"Yes","No"))</f>
        <v>Yes</v>
      </c>
      <c r="S300" s="25" t="str">
        <f aca="false">IF(L300="","",IF(ABS(L300)&lt;=1.96*O300,"Yes","No"))</f>
        <v>Yes</v>
      </c>
      <c r="T300" s="52" t="n">
        <f aca="false">IF(D300="","",ROUND(SQRT(((D300+G300)*O300/100)^2+(J300*(D300+G300)*0.08889)^2),0))</f>
        <v>60</v>
      </c>
      <c r="U300" s="25"/>
    </row>
    <row r="301" customFormat="false" ht="15" hidden="false" customHeight="false" outlineLevel="0" collapsed="false">
      <c r="A301" s="25" t="s">
        <v>385</v>
      </c>
      <c r="B301" s="25" t="s">
        <v>478</v>
      </c>
      <c r="C301" s="25" t="s">
        <v>480</v>
      </c>
      <c r="D301" s="52" t="n">
        <v>619</v>
      </c>
      <c r="E301" s="52" t="n">
        <v>636</v>
      </c>
      <c r="F301" s="63" t="n">
        <f aca="false">IF(E301="","",D301-E301)</f>
        <v>-17</v>
      </c>
      <c r="G301" s="52" t="n">
        <v>1231</v>
      </c>
      <c r="H301" s="52" t="n">
        <v>1262</v>
      </c>
      <c r="I301" s="63" t="n">
        <f aca="false">IF(H301="","",G301-H301)</f>
        <v>-31</v>
      </c>
      <c r="J301" s="53" t="n">
        <f aca="false">IF(OR(D301="",D301+G301=0),"",D301/(D301+G301))</f>
        <v>0.334594594594595</v>
      </c>
      <c r="K301" s="53" t="n">
        <f aca="false">IF(E301="","",E301/(E301+H301))</f>
        <v>0.33508956796628</v>
      </c>
      <c r="L301" s="64" t="n">
        <f aca="false">IF(OR(K301="",J301=""),"",(J301-K301)*100)</f>
        <v>-0.0494973371685692</v>
      </c>
      <c r="M301" s="28" t="n">
        <v>2.07368371626919</v>
      </c>
      <c r="N301" s="28" t="n">
        <v>0.395914373242782</v>
      </c>
      <c r="O301" s="28" t="n">
        <f aca="false">SQRT(M301^2+N301^2)</f>
        <v>2.11114005837136</v>
      </c>
      <c r="P301" s="53" t="n">
        <f aca="false">IF(J301="","",MAX(0,J301-1.96*O301/100))</f>
        <v>0.293216249450516</v>
      </c>
      <c r="Q301" s="53" t="n">
        <f aca="false">IF(J301="","",MIN(1,J301+1.96*O301/100))</f>
        <v>0.375972939738673</v>
      </c>
      <c r="R301" s="25" t="str">
        <f aca="false">IF(L301="","",IF(ABS(L301)&lt;=O301,"Yes","No"))</f>
        <v>Yes</v>
      </c>
      <c r="S301" s="25" t="str">
        <f aca="false">IF(L301="","",IF(ABS(L301)&lt;=1.96*O301,"Yes","No"))</f>
        <v>Yes</v>
      </c>
      <c r="T301" s="52" t="n">
        <f aca="false">IF(D301="","",ROUND(SQRT(((D301+G301)*O301/100)^2+(J301*(D301+G301)*0.08889)^2),0))</f>
        <v>67</v>
      </c>
      <c r="U301" s="25"/>
    </row>
    <row r="302" customFormat="false" ht="15" hidden="false" customHeight="false" outlineLevel="0" collapsed="false">
      <c r="A302" s="25" t="s">
        <v>385</v>
      </c>
      <c r="B302" s="25" t="s">
        <v>478</v>
      </c>
      <c r="C302" s="25" t="s">
        <v>481</v>
      </c>
      <c r="D302" s="52" t="n">
        <v>212</v>
      </c>
      <c r="E302" s="52" t="n">
        <v>224</v>
      </c>
      <c r="F302" s="63" t="n">
        <f aca="false">IF(E302="","",D302-E302)</f>
        <v>-12</v>
      </c>
      <c r="G302" s="52" t="n">
        <v>505</v>
      </c>
      <c r="H302" s="52" t="n">
        <v>495</v>
      </c>
      <c r="I302" s="63" t="n">
        <f aca="false">IF(H302="","",G302-H302)</f>
        <v>10</v>
      </c>
      <c r="J302" s="53" t="n">
        <f aca="false">IF(OR(D302="",D302+G302=0),"",D302/(D302+G302))</f>
        <v>0.295676429567643</v>
      </c>
      <c r="K302" s="53" t="n">
        <f aca="false">IF(E302="","",E302/(E302+H302))</f>
        <v>0.311543810848401</v>
      </c>
      <c r="L302" s="64" t="n">
        <f aca="false">IF(OR(K302="",J302=""),"",(J302-K302)*100)</f>
        <v>-1.58673812807576</v>
      </c>
      <c r="M302" s="28" t="n">
        <v>3.51968652681483</v>
      </c>
      <c r="N302" s="28" t="n">
        <v>0.395914373242782</v>
      </c>
      <c r="O302" s="28" t="n">
        <f aca="false">SQRT(M302^2+N302^2)</f>
        <v>3.54188388262265</v>
      </c>
      <c r="P302" s="53" t="n">
        <f aca="false">IF(J302="","",MAX(0,J302-1.96*O302/100))</f>
        <v>0.226255505468239</v>
      </c>
      <c r="Q302" s="53" t="n">
        <f aca="false">IF(J302="","",MIN(1,J302+1.96*O302/100))</f>
        <v>0.365097353667047</v>
      </c>
      <c r="R302" s="25" t="str">
        <f aca="false">IF(L302="","",IF(ABS(L302)&lt;=O302,"Yes","No"))</f>
        <v>Yes</v>
      </c>
      <c r="S302" s="25" t="str">
        <f aca="false">IF(L302="","",IF(ABS(L302)&lt;=1.96*O302,"Yes","No"))</f>
        <v>Yes</v>
      </c>
      <c r="T302" s="52" t="n">
        <f aca="false">IF(D302="","",ROUND(SQRT(((D302+G302)*O302/100)^2+(J302*(D302+G302)*0.1901)^2),0))</f>
        <v>48</v>
      </c>
      <c r="U302" s="25"/>
    </row>
    <row r="303" customFormat="false" ht="15" hidden="false" customHeight="false" outlineLevel="0" collapsed="false">
      <c r="A303" s="25" t="s">
        <v>385</v>
      </c>
      <c r="B303" s="25" t="s">
        <v>478</v>
      </c>
      <c r="C303" s="25" t="s">
        <v>482</v>
      </c>
      <c r="D303" s="52" t="n">
        <v>476</v>
      </c>
      <c r="E303" s="52" t="n">
        <v>478</v>
      </c>
      <c r="F303" s="63" t="n">
        <f aca="false">IF(E303="","",D303-E303)</f>
        <v>-2</v>
      </c>
      <c r="G303" s="52" t="n">
        <v>950</v>
      </c>
      <c r="H303" s="52" t="n">
        <v>948</v>
      </c>
      <c r="I303" s="63" t="n">
        <f aca="false">IF(H303="","",G303-H303)</f>
        <v>2</v>
      </c>
      <c r="J303" s="53" t="n">
        <f aca="false">IF(OR(D303="",D303+G303=0),"",D303/(D303+G303))</f>
        <v>0.333800841514727</v>
      </c>
      <c r="K303" s="53" t="n">
        <f aca="false">IF(E303="","",E303/(E303+H303))</f>
        <v>0.335203366058906</v>
      </c>
      <c r="L303" s="64" t="n">
        <f aca="false">IF(OR(K303="",J303=""),"",(J303-K303)*100)</f>
        <v>-0.140252454417955</v>
      </c>
      <c r="M303" s="28" t="n">
        <v>2.07368371626919</v>
      </c>
      <c r="N303" s="28" t="n">
        <v>0.395914373242782</v>
      </c>
      <c r="O303" s="28" t="n">
        <f aca="false">SQRT(M303^2+N303^2)</f>
        <v>2.11114005837136</v>
      </c>
      <c r="P303" s="53" t="n">
        <f aca="false">IF(J303="","",MAX(0,J303-1.96*O303/100))</f>
        <v>0.292422496370648</v>
      </c>
      <c r="Q303" s="53" t="n">
        <f aca="false">IF(J303="","",MIN(1,J303+1.96*O303/100))</f>
        <v>0.375179186658805</v>
      </c>
      <c r="R303" s="25" t="str">
        <f aca="false">IF(L303="","",IF(ABS(L303)&lt;=O303,"Yes","No"))</f>
        <v>Yes</v>
      </c>
      <c r="S303" s="25" t="str">
        <f aca="false">IF(L303="","",IF(ABS(L303)&lt;=1.96*O303,"Yes","No"))</f>
        <v>Yes</v>
      </c>
      <c r="T303" s="52" t="n">
        <f aca="false">IF(D303="","",ROUND(SQRT(((D303+G303)*O303/100)^2+(J303*(D303+G303)*0.08889)^2),0))</f>
        <v>52</v>
      </c>
      <c r="U303" s="25"/>
    </row>
    <row r="304" customFormat="false" ht="15" hidden="false" customHeight="false" outlineLevel="0" collapsed="false">
      <c r="A304" s="25" t="s">
        <v>385</v>
      </c>
      <c r="B304" s="25" t="s">
        <v>478</v>
      </c>
      <c r="C304" s="25" t="s">
        <v>483</v>
      </c>
      <c r="D304" s="52" t="n">
        <v>326</v>
      </c>
      <c r="E304" s="52" t="n">
        <v>360</v>
      </c>
      <c r="F304" s="63" t="n">
        <f aca="false">IF(E304="","",D304-E304)</f>
        <v>-34</v>
      </c>
      <c r="G304" s="52" t="n">
        <v>672</v>
      </c>
      <c r="H304" s="52" t="n">
        <v>645</v>
      </c>
      <c r="I304" s="63" t="n">
        <f aca="false">IF(H304="","",G304-H304)</f>
        <v>27</v>
      </c>
      <c r="J304" s="53" t="n">
        <f aca="false">IF(OR(D304="",D304+G304=0),"",D304/(D304+G304))</f>
        <v>0.326653306613226</v>
      </c>
      <c r="K304" s="53" t="n">
        <f aca="false">IF(E304="","",E304/(E304+H304))</f>
        <v>0.358208955223881</v>
      </c>
      <c r="L304" s="64" t="n">
        <f aca="false">IF(OR(K304="",J304=""),"",(J304-K304)*100)</f>
        <v>-3.15556486106541</v>
      </c>
      <c r="M304" s="28" t="n">
        <v>2.29525849334818</v>
      </c>
      <c r="N304" s="28" t="n">
        <v>0.395914373242782</v>
      </c>
      <c r="O304" s="28" t="n">
        <f aca="false">SQRT(M304^2+N304^2)</f>
        <v>2.32915429764264</v>
      </c>
      <c r="P304" s="53" t="n">
        <f aca="false">IF(J304="","",MAX(0,J304-1.96*O304/100))</f>
        <v>0.281001882379431</v>
      </c>
      <c r="Q304" s="53" t="n">
        <f aca="false">IF(J304="","",MIN(1,J304+1.96*O304/100))</f>
        <v>0.372304730847022</v>
      </c>
      <c r="R304" s="25" t="str">
        <f aca="false">IF(L304="","",IF(ABS(L304)&lt;=O304,"Yes","No"))</f>
        <v>No</v>
      </c>
      <c r="S304" s="25" t="str">
        <f aca="false">IF(L304="","",IF(ABS(L304)&lt;=1.96*O304,"Yes","No"))</f>
        <v>Yes</v>
      </c>
      <c r="T304" s="52" t="n">
        <f aca="false">IF(D304="","",ROUND(SQRT(((D304+G304)*O304/100)^2+(J304*(D304+G304)*0.10931)^2),0))</f>
        <v>43</v>
      </c>
      <c r="U304" s="25"/>
    </row>
    <row r="305" customFormat="false" ht="15" hidden="false" customHeight="false" outlineLevel="0" collapsed="false">
      <c r="A305" s="25" t="s">
        <v>385</v>
      </c>
      <c r="B305" s="25" t="s">
        <v>484</v>
      </c>
      <c r="C305" s="25" t="s">
        <v>485</v>
      </c>
      <c r="D305" s="52" t="n">
        <v>63</v>
      </c>
      <c r="E305" s="52" t="n">
        <v>264</v>
      </c>
      <c r="F305" s="63" t="n">
        <f aca="false">IF(E305="","",D305-E305)</f>
        <v>-201</v>
      </c>
      <c r="G305" s="52" t="n">
        <v>117</v>
      </c>
      <c r="H305" s="52" t="n">
        <v>439</v>
      </c>
      <c r="I305" s="63" t="n">
        <f aca="false">IF(H305="","",G305-H305)</f>
        <v>-322</v>
      </c>
      <c r="J305" s="53" t="n">
        <f aca="false">IF(OR(D305="",D305+G305=0),"",D305/(D305+G305))</f>
        <v>0.35</v>
      </c>
      <c r="K305" s="53" t="n">
        <f aca="false">IF(E305="","",E305/(E305+H305))</f>
        <v>0.375533428165007</v>
      </c>
      <c r="L305" s="64" t="n">
        <f aca="false">IF(OR(K305="",J305=""),"",(J305-K305)*100)</f>
        <v>-2.55334281650071</v>
      </c>
      <c r="M305" s="28" t="n">
        <v>3.51968652681483</v>
      </c>
      <c r="N305" s="28" t="n">
        <v>0.395914373242782</v>
      </c>
      <c r="O305" s="28" t="n">
        <f aca="false">SQRT(M305^2+N305^2)</f>
        <v>3.54188388262265</v>
      </c>
      <c r="P305" s="53" t="n">
        <f aca="false">IF(J305="","",MAX(0,J305-1.96*O305/100))</f>
        <v>0.280579075900596</v>
      </c>
      <c r="Q305" s="53" t="n">
        <f aca="false">IF(J305="","",MIN(1,J305+1.96*O305/100))</f>
        <v>0.419420924099404</v>
      </c>
      <c r="R305" s="25" t="str">
        <f aca="false">IF(L305="","",IF(ABS(L305)&lt;=O305,"Yes","No"))</f>
        <v>Yes</v>
      </c>
      <c r="S305" s="25" t="str">
        <f aca="false">IF(L305="","",IF(ABS(L305)&lt;=1.96*O305,"Yes","No"))</f>
        <v>Yes</v>
      </c>
      <c r="T305" s="52" t="n">
        <f aca="false">IF(D305="","",ROUND(SQRT(((D305+G305)*O305/100)^2+(J305*(D305+G305)*0.1901)^2),0))</f>
        <v>14</v>
      </c>
      <c r="U305" s="25"/>
    </row>
    <row r="306" customFormat="false" ht="15" hidden="false" customHeight="false" outlineLevel="0" collapsed="false">
      <c r="A306" s="25" t="s">
        <v>385</v>
      </c>
      <c r="B306" s="25" t="s">
        <v>484</v>
      </c>
      <c r="C306" s="25" t="s">
        <v>486</v>
      </c>
      <c r="D306" s="52" t="n">
        <v>358</v>
      </c>
      <c r="E306" s="52" t="n">
        <v>361</v>
      </c>
      <c r="F306" s="63" t="n">
        <f aca="false">IF(E306="","",D306-E306)</f>
        <v>-3</v>
      </c>
      <c r="G306" s="52" t="n">
        <v>748</v>
      </c>
      <c r="H306" s="52" t="n">
        <v>775</v>
      </c>
      <c r="I306" s="63" t="n">
        <f aca="false">IF(H306="","",G306-H306)</f>
        <v>-27</v>
      </c>
      <c r="J306" s="53" t="n">
        <f aca="false">IF(OR(D306="",D306+G306=0),"",D306/(D306+G306))</f>
        <v>0.32368896925859</v>
      </c>
      <c r="K306" s="53" t="n">
        <f aca="false">IF(E306="","",E306/(E306+H306))</f>
        <v>0.317781690140845</v>
      </c>
      <c r="L306" s="64" t="n">
        <f aca="false">IF(OR(K306="",J306=""),"",(J306-K306)*100)</f>
        <v>0.590727911774447</v>
      </c>
      <c r="M306" s="28" t="n">
        <v>2.29525849334818</v>
      </c>
      <c r="N306" s="28" t="n">
        <v>0.395914373242782</v>
      </c>
      <c r="O306" s="28" t="n">
        <f aca="false">SQRT(M306^2+N306^2)</f>
        <v>2.32915429764264</v>
      </c>
      <c r="P306" s="53" t="n">
        <f aca="false">IF(J306="","",MAX(0,J306-1.96*O306/100))</f>
        <v>0.278037545024794</v>
      </c>
      <c r="Q306" s="53" t="n">
        <f aca="false">IF(J306="","",MIN(1,J306+1.96*O306/100))</f>
        <v>0.369340393492385</v>
      </c>
      <c r="R306" s="25" t="str">
        <f aca="false">IF(L306="","",IF(ABS(L306)&lt;=O306,"Yes","No"))</f>
        <v>Yes</v>
      </c>
      <c r="S306" s="25" t="str">
        <f aca="false">IF(L306="","",IF(ABS(L306)&lt;=1.96*O306,"Yes","No"))</f>
        <v>Yes</v>
      </c>
      <c r="T306" s="52" t="n">
        <f aca="false">IF(D306="","",ROUND(SQRT(((D306+G306)*O306/100)^2+(J306*(D306+G306)*0.10931)^2),0))</f>
        <v>47</v>
      </c>
      <c r="U306" s="25"/>
    </row>
    <row r="307" customFormat="false" ht="15" hidden="false" customHeight="false" outlineLevel="0" collapsed="false">
      <c r="A307" s="25" t="s">
        <v>385</v>
      </c>
      <c r="B307" s="25" t="s">
        <v>487</v>
      </c>
      <c r="C307" s="25" t="s">
        <v>488</v>
      </c>
      <c r="D307" s="52" t="n">
        <v>257</v>
      </c>
      <c r="E307" s="52"/>
      <c r="F307" s="63" t="str">
        <f aca="false">IF(E307="","",D307-E307)</f>
        <v/>
      </c>
      <c r="G307" s="52" t="n">
        <v>357</v>
      </c>
      <c r="H307" s="52"/>
      <c r="I307" s="63" t="str">
        <f aca="false">IF(H307="","",G307-H307)</f>
        <v/>
      </c>
      <c r="J307" s="53" t="n">
        <f aca="false">IF(OR(D307="",D307+G307=0),"",D307/(D307+G307))</f>
        <v>0.4185667752443</v>
      </c>
      <c r="K307" s="53" t="str">
        <f aca="false">IF(E307="","",E307/(E307+H307))</f>
        <v/>
      </c>
      <c r="L307" s="64" t="str">
        <f aca="false">IF(OR(K307="",J307=""),"",(J307-K307)*100)</f>
        <v/>
      </c>
      <c r="M307" s="28" t="n">
        <v>3.51968652681483</v>
      </c>
      <c r="N307" s="28" t="n">
        <v>0.395914373242782</v>
      </c>
      <c r="O307" s="28" t="n">
        <f aca="false">SQRT(M307^2+N307^2)</f>
        <v>3.54188388262265</v>
      </c>
      <c r="P307" s="53" t="n">
        <f aca="false">IF(J307="","",MAX(0,J307-1.96*O307/100))</f>
        <v>0.349145851144896</v>
      </c>
      <c r="Q307" s="53" t="n">
        <f aca="false">IF(J307="","",MIN(1,J307+1.96*O307/100))</f>
        <v>0.487987699343704</v>
      </c>
      <c r="R307" s="25" t="str">
        <f aca="false">IF(L307="","",IF(ABS(L307)&lt;=O307,"Yes","No"))</f>
        <v/>
      </c>
      <c r="S307" s="25" t="str">
        <f aca="false">IF(L307="","",IF(ABS(L307)&lt;=1.96*O307,"Yes","No"))</f>
        <v/>
      </c>
      <c r="T307" s="52" t="n">
        <f aca="false">IF(D307="","",ROUND(SQRT(((D307+G307)*O307/100)^2+(J307*(D307+G307)*0.1901)^2),0))</f>
        <v>53</v>
      </c>
      <c r="U307" s="25" t="s">
        <v>702</v>
      </c>
    </row>
    <row r="308" customFormat="false" ht="15" hidden="false" customHeight="false" outlineLevel="0" collapsed="false">
      <c r="A308" s="25" t="s">
        <v>385</v>
      </c>
      <c r="B308" s="25" t="s">
        <v>487</v>
      </c>
      <c r="C308" s="25" t="s">
        <v>489</v>
      </c>
      <c r="D308" s="52" t="n">
        <v>607</v>
      </c>
      <c r="E308" s="52"/>
      <c r="F308" s="63" t="str">
        <f aca="false">IF(E308="","",D308-E308)</f>
        <v/>
      </c>
      <c r="G308" s="52" t="n">
        <v>793</v>
      </c>
      <c r="H308" s="52"/>
      <c r="I308" s="63" t="str">
        <f aca="false">IF(H308="","",G308-H308)</f>
        <v/>
      </c>
      <c r="J308" s="53" t="n">
        <f aca="false">IF(OR(D308="",D308+G308=0),"",D308/(D308+G308))</f>
        <v>0.433571428571429</v>
      </c>
      <c r="K308" s="53" t="str">
        <f aca="false">IF(E308="","",E308/(E308+H308))</f>
        <v/>
      </c>
      <c r="L308" s="64" t="str">
        <f aca="false">IF(OR(K308="",J308=""),"",(J308-K308)*100)</f>
        <v/>
      </c>
      <c r="M308" s="28" t="n">
        <v>2.07368371626919</v>
      </c>
      <c r="N308" s="28" t="n">
        <v>0.395914373242782</v>
      </c>
      <c r="O308" s="28" t="n">
        <f aca="false">SQRT(M308^2+N308^2)</f>
        <v>2.11114005837136</v>
      </c>
      <c r="P308" s="53" t="n">
        <f aca="false">IF(J308="","",MAX(0,J308-1.96*O308/100))</f>
        <v>0.39219308342735</v>
      </c>
      <c r="Q308" s="53" t="n">
        <f aca="false">IF(J308="","",MIN(1,J308+1.96*O308/100))</f>
        <v>0.474949773715507</v>
      </c>
      <c r="R308" s="25" t="str">
        <f aca="false">IF(L308="","",IF(ABS(L308)&lt;=O308,"Yes","No"))</f>
        <v/>
      </c>
      <c r="S308" s="25" t="str">
        <f aca="false">IF(L308="","",IF(ABS(L308)&lt;=1.96*O308,"Yes","No"))</f>
        <v/>
      </c>
      <c r="T308" s="52" t="n">
        <f aca="false">IF(D308="","",ROUND(SQRT(((D308+G308)*O308/100)^2+(J308*(D308+G308)*0.08889)^2),0))</f>
        <v>62</v>
      </c>
      <c r="U308" s="25" t="s">
        <v>702</v>
      </c>
    </row>
    <row r="309" customFormat="false" ht="15" hidden="false" customHeight="false" outlineLevel="0" collapsed="false">
      <c r="A309" s="25" t="s">
        <v>385</v>
      </c>
      <c r="B309" s="25" t="s">
        <v>487</v>
      </c>
      <c r="C309" s="25" t="s">
        <v>490</v>
      </c>
      <c r="D309" s="52" t="n">
        <v>579</v>
      </c>
      <c r="E309" s="52" t="n">
        <v>606</v>
      </c>
      <c r="F309" s="63" t="n">
        <f aca="false">IF(E309="","",D309-E309)</f>
        <v>-27</v>
      </c>
      <c r="G309" s="52" t="n">
        <v>835</v>
      </c>
      <c r="H309" s="52" t="n">
        <v>825</v>
      </c>
      <c r="I309" s="63" t="n">
        <f aca="false">IF(H309="","",G309-H309)</f>
        <v>10</v>
      </c>
      <c r="J309" s="53" t="n">
        <f aca="false">IF(OR(D309="",D309+G309=0),"",D309/(D309+G309))</f>
        <v>0.409476661951909</v>
      </c>
      <c r="K309" s="53" t="n">
        <f aca="false">IF(E309="","",E309/(E309+H309))</f>
        <v>0.423480083857442</v>
      </c>
      <c r="L309" s="64" t="n">
        <f aca="false">IF(OR(K309="",J309=""),"",(J309-K309)*100)</f>
        <v>-1.40034219055329</v>
      </c>
      <c r="M309" s="28" t="n">
        <v>2.07368371626919</v>
      </c>
      <c r="N309" s="28" t="n">
        <v>0.395914373242782</v>
      </c>
      <c r="O309" s="28" t="n">
        <f aca="false">SQRT(M309^2+N309^2)</f>
        <v>2.11114005837136</v>
      </c>
      <c r="P309" s="53" t="n">
        <f aca="false">IF(J309="","",MAX(0,J309-1.96*O309/100))</f>
        <v>0.368098316807831</v>
      </c>
      <c r="Q309" s="53" t="n">
        <f aca="false">IF(J309="","",MIN(1,J309+1.96*O309/100))</f>
        <v>0.450855007095988</v>
      </c>
      <c r="R309" s="25" t="str">
        <f aca="false">IF(L309="","",IF(ABS(L309)&lt;=O309,"Yes","No"))</f>
        <v>Yes</v>
      </c>
      <c r="S309" s="25" t="str">
        <f aca="false">IF(L309="","",IF(ABS(L309)&lt;=1.96*O309,"Yes","No"))</f>
        <v>Yes</v>
      </c>
      <c r="T309" s="52" t="n">
        <f aca="false">IF(D309="","",ROUND(SQRT(((D309+G309)*O309/100)^2+(J309*(D309+G309)*0.08889)^2),0))</f>
        <v>59</v>
      </c>
      <c r="U309" s="25"/>
    </row>
    <row r="310" customFormat="false" ht="15" hidden="false" customHeight="false" outlineLevel="0" collapsed="false">
      <c r="A310" s="25" t="s">
        <v>385</v>
      </c>
      <c r="B310" s="25" t="s">
        <v>487</v>
      </c>
      <c r="C310" s="25" t="s">
        <v>491</v>
      </c>
      <c r="D310" s="52" t="n">
        <v>558</v>
      </c>
      <c r="E310" s="52"/>
      <c r="F310" s="63" t="str">
        <f aca="false">IF(E310="","",D310-E310)</f>
        <v/>
      </c>
      <c r="G310" s="52" t="n">
        <v>786</v>
      </c>
      <c r="H310" s="52"/>
      <c r="I310" s="63" t="str">
        <f aca="false">IF(H310="","",G310-H310)</f>
        <v/>
      </c>
      <c r="J310" s="53" t="n">
        <f aca="false">IF(OR(D310="",D310+G310=0),"",D310/(D310+G310))</f>
        <v>0.415178571428571</v>
      </c>
      <c r="K310" s="53" t="str">
        <f aca="false">IF(E310="","",E310/(E310+H310))</f>
        <v/>
      </c>
      <c r="L310" s="64" t="str">
        <f aca="false">IF(OR(K310="",J310=""),"",(J310-K310)*100)</f>
        <v/>
      </c>
      <c r="M310" s="28" t="n">
        <v>2.07368371626919</v>
      </c>
      <c r="N310" s="28" t="n">
        <v>0.395914373242782</v>
      </c>
      <c r="O310" s="28" t="n">
        <f aca="false">SQRT(M310^2+N310^2)</f>
        <v>2.11114005837136</v>
      </c>
      <c r="P310" s="53" t="n">
        <f aca="false">IF(J310="","",MAX(0,J310-1.96*O310/100))</f>
        <v>0.373800226284493</v>
      </c>
      <c r="Q310" s="53" t="n">
        <f aca="false">IF(J310="","",MIN(1,J310+1.96*O310/100))</f>
        <v>0.45655691657265</v>
      </c>
      <c r="R310" s="25" t="str">
        <f aca="false">IF(L310="","",IF(ABS(L310)&lt;=O310,"Yes","No"))</f>
        <v/>
      </c>
      <c r="S310" s="25" t="str">
        <f aca="false">IF(L310="","",IF(ABS(L310)&lt;=1.96*O310,"Yes","No"))</f>
        <v/>
      </c>
      <c r="T310" s="52" t="n">
        <f aca="false">IF(D310="","",ROUND(SQRT(((D310+G310)*O310/100)^2+(J310*(D310+G310)*0.08889)^2),0))</f>
        <v>57</v>
      </c>
      <c r="U310" s="25" t="s">
        <v>702</v>
      </c>
    </row>
    <row r="311" customFormat="false" ht="15" hidden="false" customHeight="false" outlineLevel="0" collapsed="false">
      <c r="A311" s="25" t="s">
        <v>385</v>
      </c>
      <c r="B311" s="25" t="s">
        <v>492</v>
      </c>
      <c r="C311" s="25" t="s">
        <v>493</v>
      </c>
      <c r="D311" s="52" t="n">
        <v>573</v>
      </c>
      <c r="E311" s="52" t="n">
        <v>585</v>
      </c>
      <c r="F311" s="63" t="n">
        <f aca="false">IF(E311="","",D311-E311)</f>
        <v>-12</v>
      </c>
      <c r="G311" s="52" t="n">
        <v>533</v>
      </c>
      <c r="H311" s="52" t="n">
        <v>527</v>
      </c>
      <c r="I311" s="63" t="n">
        <f aca="false">IF(H311="","",G311-H311)</f>
        <v>6</v>
      </c>
      <c r="J311" s="53" t="n">
        <f aca="false">IF(OR(D311="",D311+G311=0),"",D311/(D311+G311))</f>
        <v>0.518083182640145</v>
      </c>
      <c r="K311" s="53" t="n">
        <f aca="false">IF(E311="","",E311/(E311+H311))</f>
        <v>0.526079136690647</v>
      </c>
      <c r="L311" s="64" t="n">
        <f aca="false">IF(OR(K311="",J311=""),"",(J311-K311)*100)</f>
        <v>-0.79959540505028</v>
      </c>
      <c r="M311" s="28" t="n">
        <v>2.29525849334818</v>
      </c>
      <c r="N311" s="28" t="n">
        <v>0.395914373242782</v>
      </c>
      <c r="O311" s="28" t="n">
        <f aca="false">SQRT(M311^2+N311^2)</f>
        <v>2.32915429764264</v>
      </c>
      <c r="P311" s="53" t="n">
        <f aca="false">IF(J311="","",MAX(0,J311-1.96*O311/100))</f>
        <v>0.472431758406349</v>
      </c>
      <c r="Q311" s="53" t="n">
        <f aca="false">IF(J311="","",MIN(1,J311+1.96*O311/100))</f>
        <v>0.56373460687394</v>
      </c>
      <c r="R311" s="25" t="str">
        <f aca="false">IF(L311="","",IF(ABS(L311)&lt;=O311,"Yes","No"))</f>
        <v>Yes</v>
      </c>
      <c r="S311" s="25" t="str">
        <f aca="false">IF(L311="","",IF(ABS(L311)&lt;=1.96*O311,"Yes","No"))</f>
        <v>Yes</v>
      </c>
      <c r="T311" s="52" t="n">
        <f aca="false">IF(D311="","",ROUND(SQRT(((D311+G311)*O311/100)^2+(J311*(D311+G311)*0.10931)^2),0))</f>
        <v>68</v>
      </c>
      <c r="U311" s="25"/>
    </row>
    <row r="312" customFormat="false" ht="15" hidden="false" customHeight="false" outlineLevel="0" collapsed="false">
      <c r="A312" s="25" t="s">
        <v>385</v>
      </c>
      <c r="B312" s="25" t="s">
        <v>492</v>
      </c>
      <c r="C312" s="25" t="s">
        <v>494</v>
      </c>
      <c r="D312" s="52" t="n">
        <v>668</v>
      </c>
      <c r="E312" s="52" t="n">
        <v>639</v>
      </c>
      <c r="F312" s="63" t="n">
        <f aca="false">IF(E312="","",D312-E312)</f>
        <v>29</v>
      </c>
      <c r="G312" s="52" t="n">
        <v>896</v>
      </c>
      <c r="H312" s="52" t="n">
        <v>886</v>
      </c>
      <c r="I312" s="63" t="n">
        <f aca="false">IF(H312="","",G312-H312)</f>
        <v>10</v>
      </c>
      <c r="J312" s="53" t="n">
        <f aca="false">IF(OR(D312="",D312+G312=0),"",D312/(D312+G312))</f>
        <v>0.427109974424552</v>
      </c>
      <c r="K312" s="53" t="n">
        <f aca="false">IF(E312="","",E312/(E312+H312))</f>
        <v>0.419016393442623</v>
      </c>
      <c r="L312" s="64" t="n">
        <f aca="false">IF(OR(K312="",J312=""),"",(J312-K312)*100)</f>
        <v>0.809358098192953</v>
      </c>
      <c r="M312" s="28" t="n">
        <v>2.07368371626919</v>
      </c>
      <c r="N312" s="28" t="n">
        <v>0.395914373242782</v>
      </c>
      <c r="O312" s="28" t="n">
        <f aca="false">SQRT(M312^2+N312^2)</f>
        <v>2.11114005837136</v>
      </c>
      <c r="P312" s="53" t="n">
        <f aca="false">IF(J312="","",MAX(0,J312-1.96*O312/100))</f>
        <v>0.385731629280474</v>
      </c>
      <c r="Q312" s="53" t="n">
        <f aca="false">IF(J312="","",MIN(1,J312+1.96*O312/100))</f>
        <v>0.468488319568631</v>
      </c>
      <c r="R312" s="25" t="str">
        <f aca="false">IF(L312="","",IF(ABS(L312)&lt;=O312,"Yes","No"))</f>
        <v>Yes</v>
      </c>
      <c r="S312" s="25" t="str">
        <f aca="false">IF(L312="","",IF(ABS(L312)&lt;=1.96*O312,"Yes","No"))</f>
        <v>Yes</v>
      </c>
      <c r="T312" s="52" t="n">
        <f aca="false">IF(D312="","",ROUND(SQRT(((D312+G312)*O312/100)^2+(J312*(D312+G312)*0.08889)^2),0))</f>
        <v>68</v>
      </c>
      <c r="U312" s="25"/>
    </row>
    <row r="313" customFormat="false" ht="15" hidden="false" customHeight="false" outlineLevel="0" collapsed="false">
      <c r="A313" s="25" t="s">
        <v>385</v>
      </c>
      <c r="B313" s="25" t="s">
        <v>492</v>
      </c>
      <c r="C313" s="25" t="s">
        <v>495</v>
      </c>
      <c r="D313" s="52" t="n">
        <v>299</v>
      </c>
      <c r="E313" s="52"/>
      <c r="F313" s="63" t="str">
        <f aca="false">IF(E313="","",D313-E313)</f>
        <v/>
      </c>
      <c r="G313" s="52" t="n">
        <v>371</v>
      </c>
      <c r="H313" s="52"/>
      <c r="I313" s="63" t="str">
        <f aca="false">IF(H313="","",G313-H313)</f>
        <v/>
      </c>
      <c r="J313" s="53" t="n">
        <f aca="false">IF(OR(D313="",D313+G313=0),"",D313/(D313+G313))</f>
        <v>0.446268656716418</v>
      </c>
      <c r="K313" s="53" t="str">
        <f aca="false">IF(E313="","",E313/(E313+H313))</f>
        <v/>
      </c>
      <c r="L313" s="64" t="str">
        <f aca="false">IF(OR(K313="",J313=""),"",(J313-K313)*100)</f>
        <v/>
      </c>
      <c r="M313" s="28" t="n">
        <v>3.51968652681483</v>
      </c>
      <c r="N313" s="28" t="n">
        <v>0.395914373242782</v>
      </c>
      <c r="O313" s="28" t="n">
        <f aca="false">SQRT(M313^2+N313^2)</f>
        <v>3.54188388262265</v>
      </c>
      <c r="P313" s="53" t="n">
        <f aca="false">IF(J313="","",MAX(0,J313-1.96*O313/100))</f>
        <v>0.376847732617014</v>
      </c>
      <c r="Q313" s="53" t="n">
        <f aca="false">IF(J313="","",MIN(1,J313+1.96*O313/100))</f>
        <v>0.515689580815822</v>
      </c>
      <c r="R313" s="25" t="str">
        <f aca="false">IF(L313="","",IF(ABS(L313)&lt;=O313,"Yes","No"))</f>
        <v/>
      </c>
      <c r="S313" s="25" t="str">
        <f aca="false">IF(L313="","",IF(ABS(L313)&lt;=1.96*O313,"Yes","No"))</f>
        <v/>
      </c>
      <c r="T313" s="52" t="n">
        <f aca="false">IF(D313="","",ROUND(SQRT(((D313+G313)*O313/100)^2+(J313*(D313+G313)*0.1901)^2),0))</f>
        <v>62</v>
      </c>
      <c r="U313" s="25" t="s">
        <v>702</v>
      </c>
    </row>
    <row r="314" customFormat="false" ht="15" hidden="false" customHeight="false" outlineLevel="0" collapsed="false">
      <c r="A314" s="25" t="s">
        <v>385</v>
      </c>
      <c r="B314" s="25" t="s">
        <v>492</v>
      </c>
      <c r="C314" s="25" t="s">
        <v>496</v>
      </c>
      <c r="D314" s="52" t="n">
        <v>468</v>
      </c>
      <c r="E314" s="52" t="n">
        <v>496</v>
      </c>
      <c r="F314" s="63" t="n">
        <f aca="false">IF(E314="","",D314-E314)</f>
        <v>-28</v>
      </c>
      <c r="G314" s="52" t="n">
        <v>463</v>
      </c>
      <c r="H314" s="52" t="n">
        <v>458</v>
      </c>
      <c r="I314" s="63" t="n">
        <f aca="false">IF(H314="","",G314-H314)</f>
        <v>5</v>
      </c>
      <c r="J314" s="53" t="n">
        <f aca="false">IF(OR(D314="",D314+G314=0),"",D314/(D314+G314))</f>
        <v>0.502685284640172</v>
      </c>
      <c r="K314" s="53" t="n">
        <f aca="false">IF(E314="","",E314/(E314+H314))</f>
        <v>0.519916142557652</v>
      </c>
      <c r="L314" s="64" t="n">
        <f aca="false">IF(OR(K314="",J314=""),"",(J314-K314)*100)</f>
        <v>-1.72308579174801</v>
      </c>
      <c r="M314" s="28" t="n">
        <v>2.29525849334818</v>
      </c>
      <c r="N314" s="28" t="n">
        <v>0.395914373242782</v>
      </c>
      <c r="O314" s="28" t="n">
        <f aca="false">SQRT(M314^2+N314^2)</f>
        <v>2.32915429764264</v>
      </c>
      <c r="P314" s="53" t="n">
        <f aca="false">IF(J314="","",MAX(0,J314-1.96*O314/100))</f>
        <v>0.457033860406376</v>
      </c>
      <c r="Q314" s="53" t="n">
        <f aca="false">IF(J314="","",MIN(1,J314+1.96*O314/100))</f>
        <v>0.548336708873968</v>
      </c>
      <c r="R314" s="25" t="str">
        <f aca="false">IF(L314="","",IF(ABS(L314)&lt;=O314,"Yes","No"))</f>
        <v>Yes</v>
      </c>
      <c r="S314" s="25" t="str">
        <f aca="false">IF(L314="","",IF(ABS(L314)&lt;=1.96*O314,"Yes","No"))</f>
        <v>Yes</v>
      </c>
      <c r="T314" s="52" t="n">
        <f aca="false">IF(D314="","",ROUND(SQRT(((D314+G314)*O314/100)^2+(J314*(D314+G314)*0.10931)^2),0))</f>
        <v>56</v>
      </c>
      <c r="U314" s="25"/>
    </row>
    <row r="315" customFormat="false" ht="15" hidden="false" customHeight="false" outlineLevel="0" collapsed="false">
      <c r="A315" s="25" t="s">
        <v>385</v>
      </c>
      <c r="B315" s="25" t="s">
        <v>492</v>
      </c>
      <c r="C315" s="25" t="s">
        <v>497</v>
      </c>
      <c r="D315" s="52" t="n">
        <v>398</v>
      </c>
      <c r="E315" s="52" t="n">
        <v>423</v>
      </c>
      <c r="F315" s="63" t="n">
        <f aca="false">IF(E315="","",D315-E315)</f>
        <v>-25</v>
      </c>
      <c r="G315" s="52" t="n">
        <v>578</v>
      </c>
      <c r="H315" s="52" t="n">
        <v>592</v>
      </c>
      <c r="I315" s="63" t="n">
        <f aca="false">IF(H315="","",G315-H315)</f>
        <v>-14</v>
      </c>
      <c r="J315" s="53" t="n">
        <f aca="false">IF(OR(D315="",D315+G315=0),"",D315/(D315+G315))</f>
        <v>0.407786885245902</v>
      </c>
      <c r="K315" s="53" t="n">
        <f aca="false">IF(E315="","",E315/(E315+H315))</f>
        <v>0.416748768472906</v>
      </c>
      <c r="L315" s="64" t="n">
        <f aca="false">IF(OR(K315="",J315=""),"",(J315-K315)*100)</f>
        <v>-0.896188322700481</v>
      </c>
      <c r="M315" s="28" t="n">
        <v>2.29525849334818</v>
      </c>
      <c r="N315" s="28" t="n">
        <v>0.395914373242782</v>
      </c>
      <c r="O315" s="28" t="n">
        <f aca="false">SQRT(M315^2+N315^2)</f>
        <v>2.32915429764264</v>
      </c>
      <c r="P315" s="53" t="n">
        <f aca="false">IF(J315="","",MAX(0,J315-1.96*O315/100))</f>
        <v>0.362135461012106</v>
      </c>
      <c r="Q315" s="53" t="n">
        <f aca="false">IF(J315="","",MIN(1,J315+1.96*O315/100))</f>
        <v>0.453438309479697</v>
      </c>
      <c r="R315" s="25" t="str">
        <f aca="false">IF(L315="","",IF(ABS(L315)&lt;=O315,"Yes","No"))</f>
        <v>Yes</v>
      </c>
      <c r="S315" s="25" t="str">
        <f aca="false">IF(L315="","",IF(ABS(L315)&lt;=1.96*O315,"Yes","No"))</f>
        <v>Yes</v>
      </c>
      <c r="T315" s="52" t="n">
        <f aca="false">IF(D315="","",ROUND(SQRT(((D315+G315)*O315/100)^2+(J315*(D315+G315)*0.10931)^2),0))</f>
        <v>49</v>
      </c>
      <c r="U315" s="25"/>
    </row>
    <row r="316" customFormat="false" ht="15" hidden="false" customHeight="false" outlineLevel="0" collapsed="false">
      <c r="A316" s="25" t="s">
        <v>385</v>
      </c>
      <c r="B316" s="25" t="s">
        <v>492</v>
      </c>
      <c r="C316" s="25" t="s">
        <v>498</v>
      </c>
      <c r="D316" s="52" t="n">
        <v>390</v>
      </c>
      <c r="E316" s="52"/>
      <c r="F316" s="63" t="str">
        <f aca="false">IF(E316="","",D316-E316)</f>
        <v/>
      </c>
      <c r="G316" s="52" t="n">
        <v>438</v>
      </c>
      <c r="H316" s="52"/>
      <c r="I316" s="63" t="str">
        <f aca="false">IF(H316="","",G316-H316)</f>
        <v/>
      </c>
      <c r="J316" s="53" t="n">
        <f aca="false">IF(OR(D316="",D316+G316=0),"",D316/(D316+G316))</f>
        <v>0.471014492753623</v>
      </c>
      <c r="K316" s="53" t="str">
        <f aca="false">IF(E316="","",E316/(E316+H316))</f>
        <v/>
      </c>
      <c r="L316" s="64" t="str">
        <f aca="false">IF(OR(K316="",J316=""),"",(J316-K316)*100)</f>
        <v/>
      </c>
      <c r="M316" s="28" t="n">
        <v>2.29525849334818</v>
      </c>
      <c r="N316" s="28" t="n">
        <v>0.395914373242782</v>
      </c>
      <c r="O316" s="28" t="n">
        <f aca="false">SQRT(M316^2+N316^2)</f>
        <v>2.32915429764264</v>
      </c>
      <c r="P316" s="53" t="n">
        <f aca="false">IF(J316="","",MAX(0,J316-1.96*O316/100))</f>
        <v>0.425363068519827</v>
      </c>
      <c r="Q316" s="53" t="n">
        <f aca="false">IF(J316="","",MIN(1,J316+1.96*O316/100))</f>
        <v>0.516665916987419</v>
      </c>
      <c r="R316" s="25" t="str">
        <f aca="false">IF(L316="","",IF(ABS(L316)&lt;=O316,"Yes","No"))</f>
        <v/>
      </c>
      <c r="S316" s="25" t="str">
        <f aca="false">IF(L316="","",IF(ABS(L316)&lt;=1.96*O316,"Yes","No"))</f>
        <v/>
      </c>
      <c r="T316" s="52" t="n">
        <f aca="false">IF(D316="","",ROUND(SQRT(((D316+G316)*O316/100)^2+(J316*(D316+G316)*0.10931)^2),0))</f>
        <v>47</v>
      </c>
      <c r="U316" s="25" t="s">
        <v>702</v>
      </c>
    </row>
    <row r="317" customFormat="false" ht="15" hidden="false" customHeight="false" outlineLevel="0" collapsed="false">
      <c r="A317" s="25" t="s">
        <v>385</v>
      </c>
      <c r="B317" s="25" t="s">
        <v>499</v>
      </c>
      <c r="C317" s="25" t="s">
        <v>500</v>
      </c>
      <c r="D317" s="52" t="n">
        <v>371</v>
      </c>
      <c r="E317" s="52" t="n">
        <v>409</v>
      </c>
      <c r="F317" s="63" t="n">
        <f aca="false">IF(E317="","",D317-E317)</f>
        <v>-38</v>
      </c>
      <c r="G317" s="52" t="n">
        <v>790</v>
      </c>
      <c r="H317" s="52" t="n">
        <v>764</v>
      </c>
      <c r="I317" s="63" t="n">
        <f aca="false">IF(H317="","",G317-H317)</f>
        <v>26</v>
      </c>
      <c r="J317" s="53" t="n">
        <f aca="false">IF(OR(D317="",D317+G317=0),"",D317/(D317+G317))</f>
        <v>0.319552110249785</v>
      </c>
      <c r="K317" s="53" t="n">
        <f aca="false">IF(E317="","",E317/(E317+H317))</f>
        <v>0.348678601875533</v>
      </c>
      <c r="L317" s="64" t="n">
        <f aca="false">IF(OR(K317="",J317=""),"",(J317-K317)*100)</f>
        <v>-2.91264916257482</v>
      </c>
      <c r="M317" s="28" t="n">
        <v>2.29525849334818</v>
      </c>
      <c r="N317" s="28" t="n">
        <v>0.395914373242782</v>
      </c>
      <c r="O317" s="28" t="n">
        <f aca="false">SQRT(M317^2+N317^2)</f>
        <v>2.32915429764264</v>
      </c>
      <c r="P317" s="53" t="n">
        <f aca="false">IF(J317="","",MAX(0,J317-1.96*O317/100))</f>
        <v>0.273900686015989</v>
      </c>
      <c r="Q317" s="53" t="n">
        <f aca="false">IF(J317="","",MIN(1,J317+1.96*O317/100))</f>
        <v>0.36520353448358</v>
      </c>
      <c r="R317" s="25" t="str">
        <f aca="false">IF(L317="","",IF(ABS(L317)&lt;=O317,"Yes","No"))</f>
        <v>No</v>
      </c>
      <c r="S317" s="25" t="str">
        <f aca="false">IF(L317="","",IF(ABS(L317)&lt;=1.96*O317,"Yes","No"))</f>
        <v>Yes</v>
      </c>
      <c r="T317" s="52" t="n">
        <f aca="false">IF(D317="","",ROUND(SQRT(((D317+G317)*O317/100)^2+(J317*(D317+G317)*0.10931)^2),0))</f>
        <v>49</v>
      </c>
      <c r="U317" s="25"/>
    </row>
    <row r="318" customFormat="false" ht="15" hidden="false" customHeight="false" outlineLevel="0" collapsed="false">
      <c r="A318" s="25" t="s">
        <v>385</v>
      </c>
      <c r="B318" s="25" t="s">
        <v>499</v>
      </c>
      <c r="C318" s="25" t="s">
        <v>501</v>
      </c>
      <c r="D318" s="52" t="n">
        <v>767</v>
      </c>
      <c r="E318" s="52" t="n">
        <v>805</v>
      </c>
      <c r="F318" s="63" t="n">
        <f aca="false">IF(E318="","",D318-E318)</f>
        <v>-38</v>
      </c>
      <c r="G318" s="52" t="n">
        <v>1575</v>
      </c>
      <c r="H318" s="52" t="n">
        <v>1577</v>
      </c>
      <c r="I318" s="63" t="n">
        <f aca="false">IF(H318="","",G318-H318)</f>
        <v>-2</v>
      </c>
      <c r="J318" s="53" t="n">
        <f aca="false">IF(OR(D318="",D318+G318=0),"",D318/(D318+G318))</f>
        <v>0.327497865072588</v>
      </c>
      <c r="K318" s="53" t="n">
        <f aca="false">IF(E318="","",E318/(E318+H318))</f>
        <v>0.337951301427372</v>
      </c>
      <c r="L318" s="64" t="n">
        <f aca="false">IF(OR(K318="",J318=""),"",(J318-K318)*100)</f>
        <v>-1.04534363547844</v>
      </c>
      <c r="M318" s="28" t="n">
        <v>2.07368371626919</v>
      </c>
      <c r="N318" s="28" t="n">
        <v>0.395914373242782</v>
      </c>
      <c r="O318" s="28" t="n">
        <f aca="false">SQRT(M318^2+N318^2)</f>
        <v>2.11114005837136</v>
      </c>
      <c r="P318" s="53" t="n">
        <f aca="false">IF(J318="","",MAX(0,J318-1.96*O318/100))</f>
        <v>0.286119519928509</v>
      </c>
      <c r="Q318" s="53" t="n">
        <f aca="false">IF(J318="","",MIN(1,J318+1.96*O318/100))</f>
        <v>0.368876210216666</v>
      </c>
      <c r="R318" s="25" t="str">
        <f aca="false">IF(L318="","",IF(ABS(L318)&lt;=O318,"Yes","No"))</f>
        <v>Yes</v>
      </c>
      <c r="S318" s="25" t="str">
        <f aca="false">IF(L318="","",IF(ABS(L318)&lt;=1.96*O318,"Yes","No"))</f>
        <v>Yes</v>
      </c>
      <c r="T318" s="52" t="n">
        <f aca="false">IF(D318="","",ROUND(SQRT(((D318+G318)*O318/100)^2+(J318*(D318+G318)*0.08889)^2),0))</f>
        <v>84</v>
      </c>
      <c r="U318" s="25"/>
    </row>
    <row r="319" customFormat="false" ht="15" hidden="false" customHeight="false" outlineLevel="0" collapsed="false">
      <c r="A319" s="25" t="s">
        <v>385</v>
      </c>
      <c r="B319" s="25" t="s">
        <v>499</v>
      </c>
      <c r="C319" s="25" t="s">
        <v>502</v>
      </c>
      <c r="D319" s="52" t="n">
        <v>531</v>
      </c>
      <c r="E319" s="52" t="n">
        <v>547</v>
      </c>
      <c r="F319" s="63" t="n">
        <f aca="false">IF(E319="","",D319-E319)</f>
        <v>-16</v>
      </c>
      <c r="G319" s="52" t="n">
        <v>1150</v>
      </c>
      <c r="H319" s="52" t="n">
        <v>1179</v>
      </c>
      <c r="I319" s="63" t="n">
        <f aca="false">IF(H319="","",G319-H319)</f>
        <v>-29</v>
      </c>
      <c r="J319" s="53" t="n">
        <f aca="false">IF(OR(D319="",D319+G319=0),"",D319/(D319+G319))</f>
        <v>0.315883402736466</v>
      </c>
      <c r="K319" s="53" t="n">
        <f aca="false">IF(E319="","",E319/(E319+H319))</f>
        <v>0.316917728852839</v>
      </c>
      <c r="L319" s="64" t="n">
        <f aca="false">IF(OR(K319="",J319=""),"",(J319-K319)*100)</f>
        <v>-0.103432611637255</v>
      </c>
      <c r="M319" s="28" t="n">
        <v>2.07368371626919</v>
      </c>
      <c r="N319" s="28" t="n">
        <v>0.395914373242782</v>
      </c>
      <c r="O319" s="28" t="n">
        <f aca="false">SQRT(M319^2+N319^2)</f>
        <v>2.11114005837136</v>
      </c>
      <c r="P319" s="53" t="n">
        <f aca="false">IF(J319="","",MAX(0,J319-1.96*O319/100))</f>
        <v>0.274505057592388</v>
      </c>
      <c r="Q319" s="53" t="n">
        <f aca="false">IF(J319="","",MIN(1,J319+1.96*O319/100))</f>
        <v>0.357261747880545</v>
      </c>
      <c r="R319" s="25" t="str">
        <f aca="false">IF(L319="","",IF(ABS(L319)&lt;=O319,"Yes","No"))</f>
        <v>Yes</v>
      </c>
      <c r="S319" s="25" t="str">
        <f aca="false">IF(L319="","",IF(ABS(L319)&lt;=1.96*O319,"Yes","No"))</f>
        <v>Yes</v>
      </c>
      <c r="T319" s="52" t="n">
        <f aca="false">IF(D319="","",ROUND(SQRT(((D319+G319)*O319/100)^2+(J319*(D319+G319)*0.08889)^2),0))</f>
        <v>59</v>
      </c>
      <c r="U319" s="25"/>
    </row>
    <row r="320" customFormat="false" ht="15" hidden="false" customHeight="false" outlineLevel="0" collapsed="false">
      <c r="A320" s="25" t="s">
        <v>385</v>
      </c>
      <c r="B320" s="25" t="s">
        <v>499</v>
      </c>
      <c r="C320" s="25" t="s">
        <v>503</v>
      </c>
      <c r="D320" s="52" t="n">
        <v>249</v>
      </c>
      <c r="E320" s="52" t="n">
        <v>245</v>
      </c>
      <c r="F320" s="63" t="n">
        <f aca="false">IF(E320="","",D320-E320)</f>
        <v>4</v>
      </c>
      <c r="G320" s="52" t="n">
        <v>513</v>
      </c>
      <c r="H320" s="52" t="n">
        <v>537</v>
      </c>
      <c r="I320" s="63" t="n">
        <f aca="false">IF(H320="","",G320-H320)</f>
        <v>-24</v>
      </c>
      <c r="J320" s="53" t="n">
        <f aca="false">IF(OR(D320="",D320+G320=0),"",D320/(D320+G320))</f>
        <v>0.326771653543307</v>
      </c>
      <c r="K320" s="53" t="n">
        <f aca="false">IF(E320="","",E320/(E320+H320))</f>
        <v>0.313299232736573</v>
      </c>
      <c r="L320" s="64" t="n">
        <f aca="false">IF(OR(K320="",J320=""),"",(J320-K320)*100)</f>
        <v>1.34724208067342</v>
      </c>
      <c r="M320" s="28" t="n">
        <v>2.29525849334818</v>
      </c>
      <c r="N320" s="28" t="n">
        <v>0.395914373242782</v>
      </c>
      <c r="O320" s="28" t="n">
        <f aca="false">SQRT(M320^2+N320^2)</f>
        <v>2.32915429764264</v>
      </c>
      <c r="P320" s="53" t="n">
        <f aca="false">IF(J320="","",MAX(0,J320-1.96*O320/100))</f>
        <v>0.281120229309511</v>
      </c>
      <c r="Q320" s="53" t="n">
        <f aca="false">IF(J320="","",MIN(1,J320+1.96*O320/100))</f>
        <v>0.372423077777103</v>
      </c>
      <c r="R320" s="25" t="str">
        <f aca="false">IF(L320="","",IF(ABS(L320)&lt;=O320,"Yes","No"))</f>
        <v>Yes</v>
      </c>
      <c r="S320" s="25" t="str">
        <f aca="false">IF(L320="","",IF(ABS(L320)&lt;=1.96*O320,"Yes","No"))</f>
        <v>Yes</v>
      </c>
      <c r="T320" s="52" t="n">
        <f aca="false">IF(D320="","",ROUND(SQRT(((D320+G320)*O320/100)^2+(J320*(D320+G320)*0.10931)^2),0))</f>
        <v>32</v>
      </c>
      <c r="U320" s="25"/>
    </row>
    <row r="321" customFormat="false" ht="15" hidden="false" customHeight="false" outlineLevel="0" collapsed="false">
      <c r="A321" s="25" t="s">
        <v>385</v>
      </c>
      <c r="B321" s="25" t="s">
        <v>504</v>
      </c>
      <c r="C321" s="25" t="s">
        <v>505</v>
      </c>
      <c r="D321" s="52" t="n">
        <v>561</v>
      </c>
      <c r="E321" s="52" t="n">
        <v>601</v>
      </c>
      <c r="F321" s="63" t="n">
        <f aca="false">IF(E321="","",D321-E321)</f>
        <v>-40</v>
      </c>
      <c r="G321" s="52" t="n">
        <v>618</v>
      </c>
      <c r="H321" s="52" t="n">
        <v>605</v>
      </c>
      <c r="I321" s="63" t="n">
        <f aca="false">IF(H321="","",G321-H321)</f>
        <v>13</v>
      </c>
      <c r="J321" s="53" t="n">
        <f aca="false">IF(OR(D321="",D321+G321=0),"",D321/(D321+G321))</f>
        <v>0.475826972010178</v>
      </c>
      <c r="K321" s="53" t="n">
        <f aca="false">IF(E321="","",E321/(E321+H321))</f>
        <v>0.498341625207297</v>
      </c>
      <c r="L321" s="64" t="n">
        <f aca="false">IF(OR(K321="",J321=""),"",(J321-K321)*100)</f>
        <v>-2.25146531971188</v>
      </c>
      <c r="M321" s="28" t="n">
        <v>2.29525849334818</v>
      </c>
      <c r="N321" s="28" t="n">
        <v>0.395914373242782</v>
      </c>
      <c r="O321" s="28" t="n">
        <f aca="false">SQRT(M321^2+N321^2)</f>
        <v>2.32915429764264</v>
      </c>
      <c r="P321" s="53" t="n">
        <f aca="false">IF(J321="","",MAX(0,J321-1.96*O321/100))</f>
        <v>0.430175547776382</v>
      </c>
      <c r="Q321" s="53" t="n">
        <f aca="false">IF(J321="","",MIN(1,J321+1.96*O321/100))</f>
        <v>0.521478396243974</v>
      </c>
      <c r="R321" s="25" t="str">
        <f aca="false">IF(L321="","",IF(ABS(L321)&lt;=O321,"Yes","No"))</f>
        <v>Yes</v>
      </c>
      <c r="S321" s="25" t="str">
        <f aca="false">IF(L321="","",IF(ABS(L321)&lt;=1.96*O321,"Yes","No"))</f>
        <v>Yes</v>
      </c>
      <c r="T321" s="52" t="n">
        <f aca="false">IF(D321="","",ROUND(SQRT(((D321+G321)*O321/100)^2+(J321*(D321+G321)*0.10931)^2),0))</f>
        <v>67</v>
      </c>
      <c r="U321" s="25"/>
    </row>
    <row r="322" customFormat="false" ht="15" hidden="false" customHeight="false" outlineLevel="0" collapsed="false">
      <c r="A322" s="25" t="s">
        <v>385</v>
      </c>
      <c r="B322" s="25" t="s">
        <v>504</v>
      </c>
      <c r="C322" s="25" t="s">
        <v>506</v>
      </c>
      <c r="D322" s="52" t="n">
        <v>513</v>
      </c>
      <c r="E322" s="52" t="n">
        <v>523</v>
      </c>
      <c r="F322" s="63" t="n">
        <f aca="false">IF(E322="","",D322-E322)</f>
        <v>-10</v>
      </c>
      <c r="G322" s="52" t="n">
        <v>492</v>
      </c>
      <c r="H322" s="52" t="n">
        <v>542</v>
      </c>
      <c r="I322" s="63" t="n">
        <f aca="false">IF(H322="","",G322-H322)</f>
        <v>-50</v>
      </c>
      <c r="J322" s="53" t="n">
        <f aca="false">IF(OR(D322="",D322+G322=0),"",D322/(D322+G322))</f>
        <v>0.51044776119403</v>
      </c>
      <c r="K322" s="53" t="n">
        <f aca="false">IF(E322="","",E322/(E322+H322))</f>
        <v>0.491079812206573</v>
      </c>
      <c r="L322" s="64" t="n">
        <f aca="false">IF(OR(K322="",J322=""),"",(J322-K322)*100)</f>
        <v>1.93679489874571</v>
      </c>
      <c r="M322" s="28" t="n">
        <v>2.29525849334818</v>
      </c>
      <c r="N322" s="28" t="n">
        <v>0.395914373242782</v>
      </c>
      <c r="O322" s="28" t="n">
        <f aca="false">SQRT(M322^2+N322^2)</f>
        <v>2.32915429764264</v>
      </c>
      <c r="P322" s="53" t="n">
        <f aca="false">IF(J322="","",MAX(0,J322-1.96*O322/100))</f>
        <v>0.464796336960234</v>
      </c>
      <c r="Q322" s="53" t="n">
        <f aca="false">IF(J322="","",MIN(1,J322+1.96*O322/100))</f>
        <v>0.556099185427826</v>
      </c>
      <c r="R322" s="25" t="str">
        <f aca="false">IF(L322="","",IF(ABS(L322)&lt;=O322,"Yes","No"))</f>
        <v>Yes</v>
      </c>
      <c r="S322" s="25" t="str">
        <f aca="false">IF(L322="","",IF(ABS(L322)&lt;=1.96*O322,"Yes","No"))</f>
        <v>Yes</v>
      </c>
      <c r="T322" s="52" t="n">
        <f aca="false">IF(D322="","",ROUND(SQRT(((D322+G322)*O322/100)^2+(J322*(D322+G322)*0.10931)^2),0))</f>
        <v>61</v>
      </c>
      <c r="U322" s="25"/>
    </row>
    <row r="323" customFormat="false" ht="15" hidden="false" customHeight="false" outlineLevel="0" collapsed="false">
      <c r="A323" s="25" t="s">
        <v>385</v>
      </c>
      <c r="B323" s="25" t="s">
        <v>504</v>
      </c>
      <c r="C323" s="25" t="s">
        <v>507</v>
      </c>
      <c r="D323" s="52" t="n">
        <v>468</v>
      </c>
      <c r="E323" s="52" t="n">
        <v>472</v>
      </c>
      <c r="F323" s="63" t="n">
        <f aca="false">IF(E323="","",D323-E323)</f>
        <v>-4</v>
      </c>
      <c r="G323" s="52" t="n">
        <v>514</v>
      </c>
      <c r="H323" s="52" t="n">
        <v>517</v>
      </c>
      <c r="I323" s="63" t="n">
        <f aca="false">IF(H323="","",G323-H323)</f>
        <v>-3</v>
      </c>
      <c r="J323" s="53" t="n">
        <f aca="false">IF(OR(D323="",D323+G323=0),"",D323/(D323+G323))</f>
        <v>0.476578411405295</v>
      </c>
      <c r="K323" s="53" t="n">
        <f aca="false">IF(E323="","",E323/(E323+H323))</f>
        <v>0.477249747219414</v>
      </c>
      <c r="L323" s="64" t="n">
        <f aca="false">IF(OR(K323="",J323=""),"",(J323-K323)*100)</f>
        <v>-0.0671335814118212</v>
      </c>
      <c r="M323" s="28" t="n">
        <v>2.29525849334818</v>
      </c>
      <c r="N323" s="28" t="n">
        <v>0.395914373242782</v>
      </c>
      <c r="O323" s="28" t="n">
        <f aca="false">SQRT(M323^2+N323^2)</f>
        <v>2.32915429764264</v>
      </c>
      <c r="P323" s="53" t="n">
        <f aca="false">IF(J323="","",MAX(0,J323-1.96*O323/100))</f>
        <v>0.4309269871715</v>
      </c>
      <c r="Q323" s="53" t="n">
        <f aca="false">IF(J323="","",MIN(1,J323+1.96*O323/100))</f>
        <v>0.522229835639091</v>
      </c>
      <c r="R323" s="25" t="str">
        <f aca="false">IF(L323="","",IF(ABS(L323)&lt;=O323,"Yes","No"))</f>
        <v>Yes</v>
      </c>
      <c r="S323" s="25" t="str">
        <f aca="false">IF(L323="","",IF(ABS(L323)&lt;=1.96*O323,"Yes","No"))</f>
        <v>Yes</v>
      </c>
      <c r="T323" s="52" t="n">
        <f aca="false">IF(D323="","",ROUND(SQRT(((D323+G323)*O323/100)^2+(J323*(D323+G323)*0.10931)^2),0))</f>
        <v>56</v>
      </c>
      <c r="U323" s="25"/>
    </row>
    <row r="324" customFormat="false" ht="15" hidden="false" customHeight="false" outlineLevel="0" collapsed="false">
      <c r="A324" s="25" t="s">
        <v>385</v>
      </c>
      <c r="B324" s="25" t="s">
        <v>508</v>
      </c>
      <c r="C324" s="25" t="s">
        <v>509</v>
      </c>
      <c r="D324" s="52" t="n">
        <v>244</v>
      </c>
      <c r="E324" s="52" t="n">
        <v>222</v>
      </c>
      <c r="F324" s="63" t="n">
        <f aca="false">IF(E324="","",D324-E324)</f>
        <v>22</v>
      </c>
      <c r="G324" s="52" t="n">
        <v>285</v>
      </c>
      <c r="H324" s="52" t="n">
        <v>276</v>
      </c>
      <c r="I324" s="63" t="n">
        <f aca="false">IF(H324="","",G324-H324)</f>
        <v>9</v>
      </c>
      <c r="J324" s="53" t="n">
        <f aca="false">IF(OR(D324="",D324+G324=0),"",D324/(D324+G324))</f>
        <v>0.46124763705104</v>
      </c>
      <c r="K324" s="53" t="n">
        <f aca="false">IF(E324="","",E324/(E324+H324))</f>
        <v>0.445783132530121</v>
      </c>
      <c r="L324" s="64" t="n">
        <f aca="false">IF(OR(K324="",J324=""),"",(J324-K324)*100)</f>
        <v>1.54645045209192</v>
      </c>
      <c r="M324" s="28" t="n">
        <v>3.51968652681483</v>
      </c>
      <c r="N324" s="28" t="n">
        <v>0.395914373242782</v>
      </c>
      <c r="O324" s="28" t="n">
        <f aca="false">SQRT(M324^2+N324^2)</f>
        <v>3.54188388262265</v>
      </c>
      <c r="P324" s="53" t="n">
        <f aca="false">IF(J324="","",MAX(0,J324-1.96*O324/100))</f>
        <v>0.391826712951636</v>
      </c>
      <c r="Q324" s="53" t="n">
        <f aca="false">IF(J324="","",MIN(1,J324+1.96*O324/100))</f>
        <v>0.530668561150444</v>
      </c>
      <c r="R324" s="25" t="str">
        <f aca="false">IF(L324="","",IF(ABS(L324)&lt;=O324,"Yes","No"))</f>
        <v>Yes</v>
      </c>
      <c r="S324" s="25" t="str">
        <f aca="false">IF(L324="","",IF(ABS(L324)&lt;=1.96*O324,"Yes","No"))</f>
        <v>Yes</v>
      </c>
      <c r="T324" s="52" t="n">
        <f aca="false">IF(D324="","",ROUND(SQRT(((D324+G324)*O324/100)^2+(J324*(D324+G324)*0.1901)^2),0))</f>
        <v>50</v>
      </c>
      <c r="U324" s="25"/>
    </row>
    <row r="325" customFormat="false" ht="15" hidden="false" customHeight="false" outlineLevel="0" collapsed="false">
      <c r="A325" s="25" t="s">
        <v>385</v>
      </c>
      <c r="B325" s="25" t="s">
        <v>508</v>
      </c>
      <c r="C325" s="25" t="s">
        <v>510</v>
      </c>
      <c r="D325" s="52" t="n">
        <v>618</v>
      </c>
      <c r="E325" s="52" t="n">
        <v>625</v>
      </c>
      <c r="F325" s="63" t="n">
        <f aca="false">IF(E325="","",D325-E325)</f>
        <v>-7</v>
      </c>
      <c r="G325" s="52" t="n">
        <v>631</v>
      </c>
      <c r="H325" s="52" t="n">
        <v>613</v>
      </c>
      <c r="I325" s="63" t="n">
        <f aca="false">IF(H325="","",G325-H325)</f>
        <v>18</v>
      </c>
      <c r="J325" s="53" t="n">
        <f aca="false">IF(OR(D325="",D325+G325=0),"",D325/(D325+G325))</f>
        <v>0.494795836669335</v>
      </c>
      <c r="K325" s="53" t="n">
        <f aca="false">IF(E325="","",E325/(E325+H325))</f>
        <v>0.504846526655897</v>
      </c>
      <c r="L325" s="64" t="n">
        <f aca="false">IF(OR(K325="",J325=""),"",(J325-K325)*100)</f>
        <v>-1.00506899865611</v>
      </c>
      <c r="M325" s="28" t="n">
        <v>2.07368371626919</v>
      </c>
      <c r="N325" s="28" t="n">
        <v>0.395914373242782</v>
      </c>
      <c r="O325" s="28" t="n">
        <f aca="false">SQRT(M325^2+N325^2)</f>
        <v>2.11114005837136</v>
      </c>
      <c r="P325" s="53" t="n">
        <f aca="false">IF(J325="","",MAX(0,J325-1.96*O325/100))</f>
        <v>0.453417491525257</v>
      </c>
      <c r="Q325" s="53" t="n">
        <f aca="false">IF(J325="","",MIN(1,J325+1.96*O325/100))</f>
        <v>0.536174181813414</v>
      </c>
      <c r="R325" s="25" t="str">
        <f aca="false">IF(L325="","",IF(ABS(L325)&lt;=O325,"Yes","No"))</f>
        <v>Yes</v>
      </c>
      <c r="S325" s="25" t="str">
        <f aca="false">IF(L325="","",IF(ABS(L325)&lt;=1.96*O325,"Yes","No"))</f>
        <v>Yes</v>
      </c>
      <c r="T325" s="52" t="n">
        <f aca="false">IF(D325="","",ROUND(SQRT(((D325+G325)*O325/100)^2+(J325*(D325+G325)*0.08889)^2),0))</f>
        <v>61</v>
      </c>
      <c r="U325" s="25"/>
    </row>
    <row r="326" customFormat="false" ht="15" hidden="false" customHeight="false" outlineLevel="0" collapsed="false">
      <c r="A326" s="25" t="s">
        <v>385</v>
      </c>
      <c r="B326" s="25" t="s">
        <v>511</v>
      </c>
      <c r="C326" s="25" t="s">
        <v>512</v>
      </c>
      <c r="D326" s="52" t="n">
        <v>658</v>
      </c>
      <c r="E326" s="52" t="n">
        <v>628</v>
      </c>
      <c r="F326" s="63" t="n">
        <f aca="false">IF(E326="","",D326-E326)</f>
        <v>30</v>
      </c>
      <c r="G326" s="52" t="n">
        <v>740</v>
      </c>
      <c r="H326" s="52" t="n">
        <v>719</v>
      </c>
      <c r="I326" s="63" t="n">
        <f aca="false">IF(H326="","",G326-H326)</f>
        <v>21</v>
      </c>
      <c r="J326" s="53" t="n">
        <f aca="false">IF(OR(D326="",D326+G326=0),"",D326/(D326+G326))</f>
        <v>0.470672389127325</v>
      </c>
      <c r="K326" s="53" t="n">
        <f aca="false">IF(E326="","",E326/(E326+H326))</f>
        <v>0.466221232368226</v>
      </c>
      <c r="L326" s="64" t="n">
        <f aca="false">IF(OR(K326="",J326=""),"",(J326-K326)*100)</f>
        <v>0.445115675909902</v>
      </c>
      <c r="M326" s="28" t="n">
        <v>2.07368371626919</v>
      </c>
      <c r="N326" s="28" t="n">
        <v>0.395914373242782</v>
      </c>
      <c r="O326" s="28" t="n">
        <f aca="false">SQRT(M326^2+N326^2)</f>
        <v>2.11114005837136</v>
      </c>
      <c r="P326" s="53" t="n">
        <f aca="false">IF(J326="","",MAX(0,J326-1.96*O326/100))</f>
        <v>0.429294043983246</v>
      </c>
      <c r="Q326" s="53" t="n">
        <f aca="false">IF(J326="","",MIN(1,J326+1.96*O326/100))</f>
        <v>0.512050734271403</v>
      </c>
      <c r="R326" s="25" t="str">
        <f aca="false">IF(L326="","",IF(ABS(L326)&lt;=O326,"Yes","No"))</f>
        <v>Yes</v>
      </c>
      <c r="S326" s="25" t="str">
        <f aca="false">IF(L326="","",IF(ABS(L326)&lt;=1.96*O326,"Yes","No"))</f>
        <v>Yes</v>
      </c>
      <c r="T326" s="52" t="n">
        <f aca="false">IF(D326="","",ROUND(SQRT(((D326+G326)*O326/100)^2+(J326*(D326+G326)*0.08889)^2),0))</f>
        <v>66</v>
      </c>
      <c r="U326" s="25"/>
    </row>
    <row r="327" customFormat="false" ht="15" hidden="false" customHeight="false" outlineLevel="0" collapsed="false">
      <c r="A327" s="25" t="s">
        <v>385</v>
      </c>
      <c r="B327" s="25" t="s">
        <v>511</v>
      </c>
      <c r="C327" s="25" t="s">
        <v>513</v>
      </c>
      <c r="D327" s="52" t="n">
        <v>573</v>
      </c>
      <c r="E327" s="52" t="n">
        <v>588</v>
      </c>
      <c r="F327" s="63" t="n">
        <f aca="false">IF(E327="","",D327-E327)</f>
        <v>-15</v>
      </c>
      <c r="G327" s="52" t="n">
        <v>638</v>
      </c>
      <c r="H327" s="52" t="n">
        <v>628</v>
      </c>
      <c r="I327" s="63" t="n">
        <f aca="false">IF(H327="","",G327-H327)</f>
        <v>10</v>
      </c>
      <c r="J327" s="53" t="n">
        <f aca="false">IF(OR(D327="",D327+G327=0),"",D327/(D327+G327))</f>
        <v>0.473162675474814</v>
      </c>
      <c r="K327" s="53" t="n">
        <f aca="false">IF(E327="","",E327/(E327+H327))</f>
        <v>0.483552631578947</v>
      </c>
      <c r="L327" s="64" t="n">
        <f aca="false">IF(OR(K327="",J327=""),"",(J327-K327)*100)</f>
        <v>-1.03899561041331</v>
      </c>
      <c r="M327" s="28" t="n">
        <v>2.07368371626919</v>
      </c>
      <c r="N327" s="28" t="n">
        <v>0.395914373242782</v>
      </c>
      <c r="O327" s="28" t="n">
        <f aca="false">SQRT(M327^2+N327^2)</f>
        <v>2.11114005837136</v>
      </c>
      <c r="P327" s="53" t="n">
        <f aca="false">IF(J327="","",MAX(0,J327-1.96*O327/100))</f>
        <v>0.431784330330736</v>
      </c>
      <c r="Q327" s="53" t="n">
        <f aca="false">IF(J327="","",MIN(1,J327+1.96*O327/100))</f>
        <v>0.514541020618893</v>
      </c>
      <c r="R327" s="25" t="str">
        <f aca="false">IF(L327="","",IF(ABS(L327)&lt;=O327,"Yes","No"))</f>
        <v>Yes</v>
      </c>
      <c r="S327" s="25" t="str">
        <f aca="false">IF(L327="","",IF(ABS(L327)&lt;=1.96*O327,"Yes","No"))</f>
        <v>Yes</v>
      </c>
      <c r="T327" s="52" t="n">
        <f aca="false">IF(D327="","",ROUND(SQRT(((D327+G327)*O327/100)^2+(J327*(D327+G327)*0.08889)^2),0))</f>
        <v>57</v>
      </c>
      <c r="U327" s="25"/>
    </row>
    <row r="328" customFormat="false" ht="15" hidden="false" customHeight="false" outlineLevel="0" collapsed="false">
      <c r="A328" s="25" t="s">
        <v>385</v>
      </c>
      <c r="B328" s="25" t="s">
        <v>511</v>
      </c>
      <c r="C328" s="25" t="s">
        <v>514</v>
      </c>
      <c r="D328" s="52" t="n">
        <v>1200</v>
      </c>
      <c r="E328" s="52" t="n">
        <v>1120</v>
      </c>
      <c r="F328" s="63" t="n">
        <f aca="false">IF(E328="","",D328-E328)</f>
        <v>80</v>
      </c>
      <c r="G328" s="52" t="n">
        <v>1337</v>
      </c>
      <c r="H328" s="52" t="n">
        <v>1352</v>
      </c>
      <c r="I328" s="63" t="n">
        <f aca="false">IF(H328="","",G328-H328)</f>
        <v>-15</v>
      </c>
      <c r="J328" s="53" t="n">
        <f aca="false">IF(OR(D328="",D328+G328=0),"",D328/(D328+G328))</f>
        <v>0.472999605833662</v>
      </c>
      <c r="K328" s="53" t="n">
        <f aca="false">IF(E328="","",E328/(E328+H328))</f>
        <v>0.453074433656958</v>
      </c>
      <c r="L328" s="64" t="n">
        <f aca="false">IF(OR(K328="",J328=""),"",(J328-K328)*100)</f>
        <v>1.99251721767039</v>
      </c>
      <c r="M328" s="28" t="n">
        <v>2.07368371626919</v>
      </c>
      <c r="N328" s="28" t="n">
        <v>0.395914373242782</v>
      </c>
      <c r="O328" s="28" t="n">
        <f aca="false">SQRT(M328^2+N328^2)</f>
        <v>2.11114005837136</v>
      </c>
      <c r="P328" s="53" t="n">
        <f aca="false">IF(J328="","",MAX(0,J328-1.96*O328/100))</f>
        <v>0.431621260689583</v>
      </c>
      <c r="Q328" s="53" t="n">
        <f aca="false">IF(J328="","",MIN(1,J328+1.96*O328/100))</f>
        <v>0.51437795097774</v>
      </c>
      <c r="R328" s="25" t="str">
        <f aca="false">IF(L328="","",IF(ABS(L328)&lt;=O328,"Yes","No"))</f>
        <v>Yes</v>
      </c>
      <c r="S328" s="25" t="str">
        <f aca="false">IF(L328="","",IF(ABS(L328)&lt;=1.96*O328,"Yes","No"))</f>
        <v>Yes</v>
      </c>
      <c r="T328" s="52" t="n">
        <f aca="false">IF(D328="","",ROUND(SQRT(((D328+G328)*O328/100)^2+(J328*(D328+G328)*0.08889)^2),0))</f>
        <v>119</v>
      </c>
      <c r="U328" s="25"/>
    </row>
    <row r="329" customFormat="false" ht="15" hidden="false" customHeight="false" outlineLevel="0" collapsed="false">
      <c r="A329" s="25" t="s">
        <v>385</v>
      </c>
      <c r="B329" s="25" t="s">
        <v>511</v>
      </c>
      <c r="C329" s="25" t="s">
        <v>515</v>
      </c>
      <c r="D329" s="52" t="n">
        <v>258</v>
      </c>
      <c r="E329" s="52" t="n">
        <v>237</v>
      </c>
      <c r="F329" s="63" t="n">
        <f aca="false">IF(E329="","",D329-E329)</f>
        <v>21</v>
      </c>
      <c r="G329" s="52" t="n">
        <v>309</v>
      </c>
      <c r="H329" s="52" t="n">
        <v>324</v>
      </c>
      <c r="I329" s="63" t="n">
        <f aca="false">IF(H329="","",G329-H329)</f>
        <v>-15</v>
      </c>
      <c r="J329" s="53" t="n">
        <f aca="false">IF(OR(D329="",D329+G329=0),"",D329/(D329+G329))</f>
        <v>0.455026455026455</v>
      </c>
      <c r="K329" s="53" t="n">
        <f aca="false">IF(E329="","",E329/(E329+H329))</f>
        <v>0.422459893048128</v>
      </c>
      <c r="L329" s="64" t="n">
        <f aca="false">IF(OR(K329="",J329=""),"",(J329-K329)*100)</f>
        <v>3.25665619783266</v>
      </c>
      <c r="M329" s="28" t="n">
        <v>3.51968652681483</v>
      </c>
      <c r="N329" s="28" t="n">
        <v>0.395914373242782</v>
      </c>
      <c r="O329" s="28" t="n">
        <f aca="false">SQRT(M329^2+N329^2)</f>
        <v>3.54188388262265</v>
      </c>
      <c r="P329" s="53" t="n">
        <f aca="false">IF(J329="","",MAX(0,J329-1.96*O329/100))</f>
        <v>0.385605530927051</v>
      </c>
      <c r="Q329" s="53" t="n">
        <f aca="false">IF(J329="","",MIN(1,J329+1.96*O329/100))</f>
        <v>0.524447379125859</v>
      </c>
      <c r="R329" s="25" t="str">
        <f aca="false">IF(L329="","",IF(ABS(L329)&lt;=O329,"Yes","No"))</f>
        <v>Yes</v>
      </c>
      <c r="S329" s="25" t="str">
        <f aca="false">IF(L329="","",IF(ABS(L329)&lt;=1.96*O329,"Yes","No"))</f>
        <v>Yes</v>
      </c>
      <c r="T329" s="52" t="n">
        <f aca="false">IF(D329="","",ROUND(SQRT(((D329+G329)*O329/100)^2+(J329*(D329+G329)*0.1901)^2),0))</f>
        <v>53</v>
      </c>
      <c r="U329" s="25"/>
    </row>
    <row r="330" customFormat="false" ht="15" hidden="false" customHeight="false" outlineLevel="0" collapsed="false">
      <c r="A330" s="25" t="s">
        <v>385</v>
      </c>
      <c r="B330" s="25" t="s">
        <v>516</v>
      </c>
      <c r="C330" s="25" t="s">
        <v>517</v>
      </c>
      <c r="D330" s="52" t="n">
        <v>639</v>
      </c>
      <c r="E330" s="52" t="n">
        <v>600</v>
      </c>
      <c r="F330" s="63" t="n">
        <f aca="false">IF(E330="","",D330-E330)</f>
        <v>39</v>
      </c>
      <c r="G330" s="52" t="n">
        <v>686</v>
      </c>
      <c r="H330" s="52" t="n">
        <v>681</v>
      </c>
      <c r="I330" s="63" t="n">
        <f aca="false">IF(H330="","",G330-H330)</f>
        <v>5</v>
      </c>
      <c r="J330" s="53" t="n">
        <f aca="false">IF(OR(D330="",D330+G330=0),"",D330/(D330+G330))</f>
        <v>0.482264150943396</v>
      </c>
      <c r="K330" s="53" t="n">
        <f aca="false">IF(E330="","",E330/(E330+H330))</f>
        <v>0.468384074941452</v>
      </c>
      <c r="L330" s="64" t="n">
        <f aca="false">IF(OR(K330="",J330=""),"",(J330-K330)*100)</f>
        <v>1.38800760019442</v>
      </c>
      <c r="M330" s="28" t="n">
        <v>2.07368371626919</v>
      </c>
      <c r="N330" s="28" t="n">
        <v>0.395914373242782</v>
      </c>
      <c r="O330" s="28" t="n">
        <f aca="false">SQRT(M330^2+N330^2)</f>
        <v>2.11114005837136</v>
      </c>
      <c r="P330" s="53" t="n">
        <f aca="false">IF(J330="","",MAX(0,J330-1.96*O330/100))</f>
        <v>0.440885805799318</v>
      </c>
      <c r="Q330" s="53" t="n">
        <f aca="false">IF(J330="","",MIN(1,J330+1.96*O330/100))</f>
        <v>0.523642496087475</v>
      </c>
      <c r="R330" s="25" t="str">
        <f aca="false">IF(L330="","",IF(ABS(L330)&lt;=O330,"Yes","No"))</f>
        <v>Yes</v>
      </c>
      <c r="S330" s="25" t="str">
        <f aca="false">IF(L330="","",IF(ABS(L330)&lt;=1.96*O330,"Yes","No"))</f>
        <v>Yes</v>
      </c>
      <c r="T330" s="52" t="n">
        <f aca="false">IF(D330="","",ROUND(SQRT(((D330+G330)*O330/100)^2+(J330*(D330+G330)*0.08889)^2),0))</f>
        <v>63</v>
      </c>
      <c r="U330" s="25"/>
    </row>
    <row r="331" customFormat="false" ht="15" hidden="false" customHeight="false" outlineLevel="0" collapsed="false">
      <c r="A331" s="25" t="s">
        <v>385</v>
      </c>
      <c r="B331" s="25" t="s">
        <v>516</v>
      </c>
      <c r="C331" s="25" t="s">
        <v>518</v>
      </c>
      <c r="D331" s="52" t="n">
        <v>514</v>
      </c>
      <c r="E331" s="52"/>
      <c r="F331" s="63" t="str">
        <f aca="false">IF(E331="","",D331-E331)</f>
        <v/>
      </c>
      <c r="G331" s="52" t="n">
        <v>491</v>
      </c>
      <c r="H331" s="52"/>
      <c r="I331" s="63" t="str">
        <f aca="false">IF(H331="","",G331-H331)</f>
        <v/>
      </c>
      <c r="J331" s="53" t="n">
        <f aca="false">IF(OR(D331="",D331+G331=0),"",D331/(D331+G331))</f>
        <v>0.511442786069652</v>
      </c>
      <c r="K331" s="53" t="str">
        <f aca="false">IF(E331="","",E331/(E331+H331))</f>
        <v/>
      </c>
      <c r="L331" s="64" t="str">
        <f aca="false">IF(OR(K331="",J331=""),"",(J331-K331)*100)</f>
        <v/>
      </c>
      <c r="M331" s="28" t="n">
        <v>2.29525849334818</v>
      </c>
      <c r="N331" s="28" t="n">
        <v>0.395914373242782</v>
      </c>
      <c r="O331" s="28" t="n">
        <f aca="false">SQRT(M331^2+N331^2)</f>
        <v>2.32915429764264</v>
      </c>
      <c r="P331" s="53" t="n">
        <f aca="false">IF(J331="","",MAX(0,J331-1.96*O331/100))</f>
        <v>0.465791361835856</v>
      </c>
      <c r="Q331" s="53" t="n">
        <f aca="false">IF(J331="","",MIN(1,J331+1.96*O331/100))</f>
        <v>0.557094210303448</v>
      </c>
      <c r="R331" s="25" t="str">
        <f aca="false">IF(L331="","",IF(ABS(L331)&lt;=O331,"Yes","No"))</f>
        <v/>
      </c>
      <c r="S331" s="25" t="str">
        <f aca="false">IF(L331="","",IF(ABS(L331)&lt;=1.96*O331,"Yes","No"))</f>
        <v/>
      </c>
      <c r="T331" s="52" t="n">
        <f aca="false">IF(D331="","",ROUND(SQRT(((D331+G331)*O331/100)^2+(J331*(D331+G331)*0.10931)^2),0))</f>
        <v>61</v>
      </c>
      <c r="U331" s="25" t="s">
        <v>702</v>
      </c>
    </row>
    <row r="332" customFormat="false" ht="15" hidden="false" customHeight="false" outlineLevel="0" collapsed="false">
      <c r="A332" s="25" t="s">
        <v>385</v>
      </c>
      <c r="B332" s="25" t="s">
        <v>516</v>
      </c>
      <c r="C332" s="25" t="s">
        <v>519</v>
      </c>
      <c r="D332" s="52" t="n">
        <v>790</v>
      </c>
      <c r="E332" s="52"/>
      <c r="F332" s="63" t="str">
        <f aca="false">IF(E332="","",D332-E332)</f>
        <v/>
      </c>
      <c r="G332" s="52" t="n">
        <v>780</v>
      </c>
      <c r="H332" s="52"/>
      <c r="I332" s="63" t="str">
        <f aca="false">IF(H332="","",G332-H332)</f>
        <v/>
      </c>
      <c r="J332" s="53" t="n">
        <f aca="false">IF(OR(D332="",D332+G332=0),"",D332/(D332+G332))</f>
        <v>0.503184713375796</v>
      </c>
      <c r="K332" s="53" t="str">
        <f aca="false">IF(E332="","",E332/(E332+H332))</f>
        <v/>
      </c>
      <c r="L332" s="64" t="str">
        <f aca="false">IF(OR(K332="",J332=""),"",(J332-K332)*100)</f>
        <v/>
      </c>
      <c r="M332" s="28" t="n">
        <v>2.07368371626919</v>
      </c>
      <c r="N332" s="28" t="n">
        <v>0.395914373242782</v>
      </c>
      <c r="O332" s="28" t="n">
        <f aca="false">SQRT(M332^2+N332^2)</f>
        <v>2.11114005837136</v>
      </c>
      <c r="P332" s="53" t="n">
        <f aca="false">IF(J332="","",MAX(0,J332-1.96*O332/100))</f>
        <v>0.461806368231718</v>
      </c>
      <c r="Q332" s="53" t="n">
        <f aca="false">IF(J332="","",MIN(1,J332+1.96*O332/100))</f>
        <v>0.544563058519875</v>
      </c>
      <c r="R332" s="25" t="str">
        <f aca="false">IF(L332="","",IF(ABS(L332)&lt;=O332,"Yes","No"))</f>
        <v/>
      </c>
      <c r="S332" s="25" t="str">
        <f aca="false">IF(L332="","",IF(ABS(L332)&lt;=1.96*O332,"Yes","No"))</f>
        <v/>
      </c>
      <c r="T332" s="52" t="n">
        <f aca="false">IF(D332="","",ROUND(SQRT(((D332+G332)*O332/100)^2+(J332*(D332+G332)*0.08889)^2),0))</f>
        <v>78</v>
      </c>
      <c r="U332" s="25" t="s">
        <v>702</v>
      </c>
    </row>
    <row r="333" customFormat="false" ht="15" hidden="false" customHeight="false" outlineLevel="0" collapsed="false">
      <c r="A333" s="25" t="s">
        <v>385</v>
      </c>
      <c r="B333" s="25" t="s">
        <v>516</v>
      </c>
      <c r="C333" s="25" t="s">
        <v>520</v>
      </c>
      <c r="D333" s="52" t="n">
        <v>855</v>
      </c>
      <c r="E333" s="52" t="n">
        <v>824</v>
      </c>
      <c r="F333" s="63" t="n">
        <f aca="false">IF(E333="","",D333-E333)</f>
        <v>31</v>
      </c>
      <c r="G333" s="52" t="n">
        <v>792</v>
      </c>
      <c r="H333" s="52" t="n">
        <v>795</v>
      </c>
      <c r="I333" s="63" t="n">
        <f aca="false">IF(H333="","",G333-H333)</f>
        <v>-3</v>
      </c>
      <c r="J333" s="53" t="n">
        <f aca="false">IF(OR(D333="",D333+G333=0),"",D333/(D333+G333))</f>
        <v>0.519125683060109</v>
      </c>
      <c r="K333" s="53" t="n">
        <f aca="false">IF(E333="","",E333/(E333+H333))</f>
        <v>0.508956145768993</v>
      </c>
      <c r="L333" s="64" t="n">
        <f aca="false">IF(OR(K333="",J333=""),"",(J333-K333)*100)</f>
        <v>1.01695372911161</v>
      </c>
      <c r="M333" s="28" t="n">
        <v>2.07368371626919</v>
      </c>
      <c r="N333" s="28" t="n">
        <v>0.395914373242782</v>
      </c>
      <c r="O333" s="28" t="n">
        <f aca="false">SQRT(M333^2+N333^2)</f>
        <v>2.11114005837136</v>
      </c>
      <c r="P333" s="53" t="n">
        <f aca="false">IF(J333="","",MAX(0,J333-1.96*O333/100))</f>
        <v>0.477747337916031</v>
      </c>
      <c r="Q333" s="53" t="n">
        <f aca="false">IF(J333="","",MIN(1,J333+1.96*O333/100))</f>
        <v>0.560504028204188</v>
      </c>
      <c r="R333" s="25" t="str">
        <f aca="false">IF(L333="","",IF(ABS(L333)&lt;=O333,"Yes","No"))</f>
        <v>Yes</v>
      </c>
      <c r="S333" s="25" t="str">
        <f aca="false">IF(L333="","",IF(ABS(L333)&lt;=1.96*O333,"Yes","No"))</f>
        <v>Yes</v>
      </c>
      <c r="T333" s="52" t="n">
        <f aca="false">IF(D333="","",ROUND(SQRT(((D333+G333)*O333/100)^2+(J333*(D333+G333)*0.08889)^2),0))</f>
        <v>84</v>
      </c>
      <c r="U333" s="25"/>
    </row>
    <row r="334" customFormat="false" ht="15" hidden="false" customHeight="false" outlineLevel="0" collapsed="false">
      <c r="A334" s="25" t="s">
        <v>385</v>
      </c>
      <c r="B334" s="25" t="s">
        <v>516</v>
      </c>
      <c r="C334" s="25" t="s">
        <v>521</v>
      </c>
      <c r="D334" s="52" t="n">
        <v>1182</v>
      </c>
      <c r="E334" s="52" t="n">
        <v>1193</v>
      </c>
      <c r="F334" s="63" t="n">
        <f aca="false">IF(E334="","",D334-E334)</f>
        <v>-11</v>
      </c>
      <c r="G334" s="52" t="n">
        <v>1303</v>
      </c>
      <c r="H334" s="52" t="n">
        <v>1334</v>
      </c>
      <c r="I334" s="63" t="n">
        <f aca="false">IF(H334="","",G334-H334)</f>
        <v>-31</v>
      </c>
      <c r="J334" s="53" t="n">
        <f aca="false">IF(OR(D334="",D334+G334=0),"",D334/(D334+G334))</f>
        <v>0.475653923541247</v>
      </c>
      <c r="K334" s="53" t="n">
        <f aca="false">IF(E334="","",E334/(E334+H334))</f>
        <v>0.47210130589632</v>
      </c>
      <c r="L334" s="64" t="n">
        <f aca="false">IF(OR(K334="",J334=""),"",(J334-K334)*100)</f>
        <v>0.35526176449277</v>
      </c>
      <c r="M334" s="28" t="n">
        <v>2.07368371626919</v>
      </c>
      <c r="N334" s="28" t="n">
        <v>0.395914373242782</v>
      </c>
      <c r="O334" s="28" t="n">
        <f aca="false">SQRT(M334^2+N334^2)</f>
        <v>2.11114005837136</v>
      </c>
      <c r="P334" s="53" t="n">
        <f aca="false">IF(J334="","",MAX(0,J334-1.96*O334/100))</f>
        <v>0.434275578397169</v>
      </c>
      <c r="Q334" s="53" t="n">
        <f aca="false">IF(J334="","",MIN(1,J334+1.96*O334/100))</f>
        <v>0.517032268685326</v>
      </c>
      <c r="R334" s="25" t="str">
        <f aca="false">IF(L334="","",IF(ABS(L334)&lt;=O334,"Yes","No"))</f>
        <v>Yes</v>
      </c>
      <c r="S334" s="25" t="str">
        <f aca="false">IF(L334="","",IF(ABS(L334)&lt;=1.96*O334,"Yes","No"))</f>
        <v>Yes</v>
      </c>
      <c r="T334" s="52" t="n">
        <f aca="false">IF(D334="","",ROUND(SQRT(((D334+G334)*O334/100)^2+(J334*(D334+G334)*0.08889)^2),0))</f>
        <v>117</v>
      </c>
      <c r="U334" s="25"/>
    </row>
    <row r="335" customFormat="false" ht="15" hidden="false" customHeight="false" outlineLevel="0" collapsed="false">
      <c r="A335" s="25" t="s">
        <v>385</v>
      </c>
      <c r="B335" s="25" t="s">
        <v>516</v>
      </c>
      <c r="C335" s="25" t="s">
        <v>522</v>
      </c>
      <c r="D335" s="52" t="n">
        <v>739</v>
      </c>
      <c r="E335" s="52" t="n">
        <v>755</v>
      </c>
      <c r="F335" s="63" t="n">
        <f aca="false">IF(E335="","",D335-E335)</f>
        <v>-16</v>
      </c>
      <c r="G335" s="52" t="n">
        <v>816</v>
      </c>
      <c r="H335" s="52" t="n">
        <v>789</v>
      </c>
      <c r="I335" s="63" t="n">
        <f aca="false">IF(H335="","",G335-H335)</f>
        <v>27</v>
      </c>
      <c r="J335" s="53" t="n">
        <f aca="false">IF(OR(D335="",D335+G335=0),"",D335/(D335+G335))</f>
        <v>0.47524115755627</v>
      </c>
      <c r="K335" s="53" t="n">
        <f aca="false">IF(E335="","",E335/(E335+H335))</f>
        <v>0.4889896373057</v>
      </c>
      <c r="L335" s="64" t="n">
        <f aca="false">IF(OR(K335="",J335=""),"",(J335-K335)*100)</f>
        <v>-1.37484797494294</v>
      </c>
      <c r="M335" s="28" t="n">
        <v>2.07368371626919</v>
      </c>
      <c r="N335" s="28" t="n">
        <v>0.395914373242782</v>
      </c>
      <c r="O335" s="28" t="n">
        <f aca="false">SQRT(M335^2+N335^2)</f>
        <v>2.11114005837136</v>
      </c>
      <c r="P335" s="53" t="n">
        <f aca="false">IF(J335="","",MAX(0,J335-1.96*O335/100))</f>
        <v>0.433862812412192</v>
      </c>
      <c r="Q335" s="53" t="n">
        <f aca="false">IF(J335="","",MIN(1,J335+1.96*O335/100))</f>
        <v>0.516619502700349</v>
      </c>
      <c r="R335" s="25" t="str">
        <f aca="false">IF(L335="","",IF(ABS(L335)&lt;=O335,"Yes","No"))</f>
        <v>Yes</v>
      </c>
      <c r="S335" s="25" t="str">
        <f aca="false">IF(L335="","",IF(ABS(L335)&lt;=1.96*O335,"Yes","No"))</f>
        <v>Yes</v>
      </c>
      <c r="T335" s="52" t="n">
        <f aca="false">IF(D335="","",ROUND(SQRT(((D335+G335)*O335/100)^2+(J335*(D335+G335)*0.08889)^2),0))</f>
        <v>73</v>
      </c>
      <c r="U335" s="25"/>
    </row>
    <row r="336" customFormat="false" ht="15" hidden="false" customHeight="false" outlineLevel="0" collapsed="false">
      <c r="A336" s="25" t="s">
        <v>385</v>
      </c>
      <c r="B336" s="25" t="s">
        <v>516</v>
      </c>
      <c r="C336" s="25" t="s">
        <v>523</v>
      </c>
      <c r="D336" s="52" t="n">
        <v>761</v>
      </c>
      <c r="E336" s="52"/>
      <c r="F336" s="63" t="str">
        <f aca="false">IF(E336="","",D336-E336)</f>
        <v/>
      </c>
      <c r="G336" s="52" t="n">
        <v>710</v>
      </c>
      <c r="H336" s="52"/>
      <c r="I336" s="63" t="str">
        <f aca="false">IF(H336="","",G336-H336)</f>
        <v/>
      </c>
      <c r="J336" s="53" t="n">
        <f aca="false">IF(OR(D336="",D336+G336=0),"",D336/(D336+G336))</f>
        <v>0.517335146159076</v>
      </c>
      <c r="K336" s="53" t="str">
        <f aca="false">IF(E336="","",E336/(E336+H336))</f>
        <v/>
      </c>
      <c r="L336" s="64" t="str">
        <f aca="false">IF(OR(K336="",J336=""),"",(J336-K336)*100)</f>
        <v/>
      </c>
      <c r="M336" s="28" t="n">
        <v>2.07368371626919</v>
      </c>
      <c r="N336" s="28" t="n">
        <v>0.395914373242782</v>
      </c>
      <c r="O336" s="28" t="n">
        <f aca="false">SQRT(M336^2+N336^2)</f>
        <v>2.11114005837136</v>
      </c>
      <c r="P336" s="53" t="n">
        <f aca="false">IF(J336="","",MAX(0,J336-1.96*O336/100))</f>
        <v>0.475956801014997</v>
      </c>
      <c r="Q336" s="53" t="n">
        <f aca="false">IF(J336="","",MIN(1,J336+1.96*O336/100))</f>
        <v>0.558713491303154</v>
      </c>
      <c r="R336" s="25" t="str">
        <f aca="false">IF(L336="","",IF(ABS(L336)&lt;=O336,"Yes","No"))</f>
        <v/>
      </c>
      <c r="S336" s="25" t="str">
        <f aca="false">IF(L336="","",IF(ABS(L336)&lt;=1.96*O336,"Yes","No"))</f>
        <v/>
      </c>
      <c r="T336" s="52" t="n">
        <f aca="false">IF(D336="","",ROUND(SQRT(((D336+G336)*O336/100)^2+(J336*(D336+G336)*0.08889)^2),0))</f>
        <v>74</v>
      </c>
      <c r="U336" s="25" t="s">
        <v>702</v>
      </c>
    </row>
    <row r="337" customFormat="false" ht="15" hidden="false" customHeight="false" outlineLevel="0" collapsed="false">
      <c r="A337" s="25" t="s">
        <v>385</v>
      </c>
      <c r="B337" s="25" t="s">
        <v>516</v>
      </c>
      <c r="C337" s="25" t="s">
        <v>524</v>
      </c>
      <c r="D337" s="52" t="n">
        <v>738</v>
      </c>
      <c r="E337" s="52"/>
      <c r="F337" s="63" t="str">
        <f aca="false">IF(E337="","",D337-E337)</f>
        <v/>
      </c>
      <c r="G337" s="52" t="n">
        <v>739</v>
      </c>
      <c r="H337" s="52"/>
      <c r="I337" s="63" t="str">
        <f aca="false">IF(H337="","",G337-H337)</f>
        <v/>
      </c>
      <c r="J337" s="53" t="n">
        <f aca="false">IF(OR(D337="",D337+G337=0),"",D337/(D337+G337))</f>
        <v>0.499661475964794</v>
      </c>
      <c r="K337" s="53" t="str">
        <f aca="false">IF(E337="","",E337/(E337+H337))</f>
        <v/>
      </c>
      <c r="L337" s="64" t="str">
        <f aca="false">IF(OR(K337="",J337=""),"",(J337-K337)*100)</f>
        <v/>
      </c>
      <c r="M337" s="28" t="n">
        <v>2.07368371626919</v>
      </c>
      <c r="N337" s="28" t="n">
        <v>0.395914373242782</v>
      </c>
      <c r="O337" s="28" t="n">
        <f aca="false">SQRT(M337^2+N337^2)</f>
        <v>2.11114005837136</v>
      </c>
      <c r="P337" s="53" t="n">
        <f aca="false">IF(J337="","",MAX(0,J337-1.96*O337/100))</f>
        <v>0.458283130820715</v>
      </c>
      <c r="Q337" s="53" t="n">
        <f aca="false">IF(J337="","",MIN(1,J337+1.96*O337/100))</f>
        <v>0.541039821108872</v>
      </c>
      <c r="R337" s="25" t="str">
        <f aca="false">IF(L337="","",IF(ABS(L337)&lt;=O337,"Yes","No"))</f>
        <v/>
      </c>
      <c r="S337" s="25" t="str">
        <f aca="false">IF(L337="","",IF(ABS(L337)&lt;=1.96*O337,"Yes","No"))</f>
        <v/>
      </c>
      <c r="T337" s="52" t="n">
        <f aca="false">IF(D337="","",ROUND(SQRT(((D337+G337)*O337/100)^2+(J337*(D337+G337)*0.08889)^2),0))</f>
        <v>73</v>
      </c>
      <c r="U337" s="25" t="s">
        <v>702</v>
      </c>
    </row>
    <row r="338" customFormat="false" ht="15" hidden="false" customHeight="false" outlineLevel="0" collapsed="false">
      <c r="A338" s="25" t="s">
        <v>385</v>
      </c>
      <c r="B338" s="25" t="s">
        <v>516</v>
      </c>
      <c r="C338" s="25" t="s">
        <v>525</v>
      </c>
      <c r="D338" s="52" t="n">
        <v>333</v>
      </c>
      <c r="E338" s="52"/>
      <c r="F338" s="63" t="str">
        <f aca="false">IF(E338="","",D338-E338)</f>
        <v/>
      </c>
      <c r="G338" s="52" t="n">
        <v>343</v>
      </c>
      <c r="H338" s="52"/>
      <c r="I338" s="63" t="str">
        <f aca="false">IF(H338="","",G338-H338)</f>
        <v/>
      </c>
      <c r="J338" s="53" t="n">
        <f aca="false">IF(OR(D338="",D338+G338=0),"",D338/(D338+G338))</f>
        <v>0.492603550295858</v>
      </c>
      <c r="K338" s="53" t="str">
        <f aca="false">IF(E338="","",E338/(E338+H338))</f>
        <v/>
      </c>
      <c r="L338" s="64" t="str">
        <f aca="false">IF(OR(K338="",J338=""),"",(J338-K338)*100)</f>
        <v/>
      </c>
      <c r="M338" s="28" t="n">
        <v>3.51968652681483</v>
      </c>
      <c r="N338" s="28" t="n">
        <v>0.395914373242782</v>
      </c>
      <c r="O338" s="28" t="n">
        <f aca="false">SQRT(M338^2+N338^2)</f>
        <v>3.54188388262265</v>
      </c>
      <c r="P338" s="53" t="n">
        <f aca="false">IF(J338="","",MAX(0,J338-1.96*O338/100))</f>
        <v>0.423182626196454</v>
      </c>
      <c r="Q338" s="53" t="n">
        <f aca="false">IF(J338="","",MIN(1,J338+1.96*O338/100))</f>
        <v>0.562024474395262</v>
      </c>
      <c r="R338" s="25" t="str">
        <f aca="false">IF(L338="","",IF(ABS(L338)&lt;=O338,"Yes","No"))</f>
        <v/>
      </c>
      <c r="S338" s="25" t="str">
        <f aca="false">IF(L338="","",IF(ABS(L338)&lt;=1.96*O338,"Yes","No"))</f>
        <v/>
      </c>
      <c r="T338" s="52" t="n">
        <f aca="false">IF(D338="","",ROUND(SQRT(((D338+G338)*O338/100)^2+(J338*(D338+G338)*0.1901)^2),0))</f>
        <v>68</v>
      </c>
      <c r="U338" s="25" t="s">
        <v>702</v>
      </c>
    </row>
    <row r="339" customFormat="false" ht="15" hidden="false" customHeight="false" outlineLevel="0" collapsed="false">
      <c r="A339" s="25" t="s">
        <v>385</v>
      </c>
      <c r="B339" s="25" t="s">
        <v>526</v>
      </c>
      <c r="C339" s="25" t="s">
        <v>527</v>
      </c>
      <c r="D339" s="52" t="n">
        <v>110</v>
      </c>
      <c r="E339" s="52" t="n">
        <v>112</v>
      </c>
      <c r="F339" s="63" t="n">
        <f aca="false">IF(E339="","",D339-E339)</f>
        <v>-2</v>
      </c>
      <c r="G339" s="52" t="n">
        <v>186</v>
      </c>
      <c r="H339" s="52" t="n">
        <v>199</v>
      </c>
      <c r="I339" s="63" t="n">
        <f aca="false">IF(H339="","",G339-H339)</f>
        <v>-13</v>
      </c>
      <c r="J339" s="53" t="n">
        <f aca="false">IF(OR(D339="",D339+G339=0),"",D339/(D339+G339))</f>
        <v>0.371621621621622</v>
      </c>
      <c r="K339" s="53" t="n">
        <f aca="false">IF(E339="","",E339/(E339+H339))</f>
        <v>0.360128617363344</v>
      </c>
      <c r="L339" s="64" t="n">
        <f aca="false">IF(OR(K339="",J339=""),"",(J339-K339)*100)</f>
        <v>1.14930042582775</v>
      </c>
      <c r="M339" s="28" t="n">
        <v>3.51968652681483</v>
      </c>
      <c r="N339" s="28" t="n">
        <v>0.395914373242782</v>
      </c>
      <c r="O339" s="28" t="n">
        <f aca="false">SQRT(M339^2+N339^2)</f>
        <v>3.54188388262265</v>
      </c>
      <c r="P339" s="53" t="n">
        <f aca="false">IF(J339="","",MAX(0,J339-1.96*O339/100))</f>
        <v>0.302200697522218</v>
      </c>
      <c r="Q339" s="53" t="n">
        <f aca="false">IF(J339="","",MIN(1,J339+1.96*O339/100))</f>
        <v>0.441042545721025</v>
      </c>
      <c r="R339" s="25" t="str">
        <f aca="false">IF(L339="","",IF(ABS(L339)&lt;=O339,"Yes","No"))</f>
        <v>Yes</v>
      </c>
      <c r="S339" s="25" t="str">
        <f aca="false">IF(L339="","",IF(ABS(L339)&lt;=1.96*O339,"Yes","No"))</f>
        <v>Yes</v>
      </c>
      <c r="T339" s="52" t="n">
        <f aca="false">IF(D339="","",ROUND(SQRT(((D339+G339)*O339/100)^2+(J339*(D339+G339)*0.1901)^2),0))</f>
        <v>23</v>
      </c>
      <c r="U339" s="25"/>
    </row>
    <row r="340" customFormat="false" ht="15" hidden="false" customHeight="false" outlineLevel="0" collapsed="false">
      <c r="A340" s="25" t="s">
        <v>385</v>
      </c>
      <c r="B340" s="25" t="s">
        <v>526</v>
      </c>
      <c r="C340" s="25" t="s">
        <v>528</v>
      </c>
      <c r="D340" s="52" t="n">
        <v>241</v>
      </c>
      <c r="E340" s="52" t="n">
        <v>259</v>
      </c>
      <c r="F340" s="63" t="n">
        <f aca="false">IF(E340="","",D340-E340)</f>
        <v>-18</v>
      </c>
      <c r="G340" s="52" t="n">
        <v>472</v>
      </c>
      <c r="H340" s="52" t="n">
        <v>480</v>
      </c>
      <c r="I340" s="63" t="n">
        <f aca="false">IF(H340="","",G340-H340)</f>
        <v>-8</v>
      </c>
      <c r="J340" s="53" t="n">
        <f aca="false">IF(OR(D340="",D340+G340=0),"",D340/(D340+G340))</f>
        <v>0.338008415147265</v>
      </c>
      <c r="K340" s="53" t="n">
        <f aca="false">IF(E340="","",E340/(E340+H340))</f>
        <v>0.350473612990528</v>
      </c>
      <c r="L340" s="64" t="n">
        <f aca="false">IF(OR(K340="",J340=""),"",(J340-K340)*100)</f>
        <v>-1.24651978432627</v>
      </c>
      <c r="M340" s="28" t="n">
        <v>3.51968652681483</v>
      </c>
      <c r="N340" s="28" t="n">
        <v>0.395914373242782</v>
      </c>
      <c r="O340" s="28" t="n">
        <f aca="false">SQRT(M340^2+N340^2)</f>
        <v>3.54188388262265</v>
      </c>
      <c r="P340" s="53" t="n">
        <f aca="false">IF(J340="","",MAX(0,J340-1.96*O340/100))</f>
        <v>0.268587491047861</v>
      </c>
      <c r="Q340" s="53" t="n">
        <f aca="false">IF(J340="","",MIN(1,J340+1.96*O340/100))</f>
        <v>0.407429339246669</v>
      </c>
      <c r="R340" s="25" t="str">
        <f aca="false">IF(L340="","",IF(ABS(L340)&lt;=O340,"Yes","No"))</f>
        <v>Yes</v>
      </c>
      <c r="S340" s="25" t="str">
        <f aca="false">IF(L340="","",IF(ABS(L340)&lt;=1.96*O340,"Yes","No"))</f>
        <v>Yes</v>
      </c>
      <c r="T340" s="52" t="n">
        <f aca="false">IF(D340="","",ROUND(SQRT(((D340+G340)*O340/100)^2+(J340*(D340+G340)*0.1901)^2),0))</f>
        <v>52</v>
      </c>
      <c r="U340" s="25"/>
    </row>
    <row r="341" customFormat="false" ht="15" hidden="false" customHeight="false" outlineLevel="0" collapsed="false">
      <c r="A341" s="25" t="s">
        <v>385</v>
      </c>
      <c r="B341" s="25" t="s">
        <v>526</v>
      </c>
      <c r="C341" s="25" t="s">
        <v>529</v>
      </c>
      <c r="D341" s="52" t="n">
        <v>200</v>
      </c>
      <c r="E341" s="52" t="n">
        <v>204</v>
      </c>
      <c r="F341" s="63" t="n">
        <f aca="false">IF(E341="","",D341-E341)</f>
        <v>-4</v>
      </c>
      <c r="G341" s="52" t="n">
        <v>296</v>
      </c>
      <c r="H341" s="52" t="n">
        <v>301</v>
      </c>
      <c r="I341" s="63" t="n">
        <f aca="false">IF(H341="","",G341-H341)</f>
        <v>-5</v>
      </c>
      <c r="J341" s="53" t="n">
        <f aca="false">IF(OR(D341="",D341+G341=0),"",D341/(D341+G341))</f>
        <v>0.403225806451613</v>
      </c>
      <c r="K341" s="53" t="n">
        <f aca="false">IF(E341="","",E341/(E341+H341))</f>
        <v>0.403960396039604</v>
      </c>
      <c r="L341" s="64" t="n">
        <f aca="false">IF(OR(K341="",J341=""),"",(J341-K341)*100)</f>
        <v>-0.0734589587991108</v>
      </c>
      <c r="M341" s="28" t="n">
        <v>3.51968652681483</v>
      </c>
      <c r="N341" s="28" t="n">
        <v>0.395914373242782</v>
      </c>
      <c r="O341" s="28" t="n">
        <f aca="false">SQRT(M341^2+N341^2)</f>
        <v>3.54188388262265</v>
      </c>
      <c r="P341" s="53" t="n">
        <f aca="false">IF(J341="","",MAX(0,J341-1.96*O341/100))</f>
        <v>0.333804882352209</v>
      </c>
      <c r="Q341" s="53" t="n">
        <f aca="false">IF(J341="","",MIN(1,J341+1.96*O341/100))</f>
        <v>0.472646730551017</v>
      </c>
      <c r="R341" s="25" t="str">
        <f aca="false">IF(L341="","",IF(ABS(L341)&lt;=O341,"Yes","No"))</f>
        <v>Yes</v>
      </c>
      <c r="S341" s="25" t="str">
        <f aca="false">IF(L341="","",IF(ABS(L341)&lt;=1.96*O341,"Yes","No"))</f>
        <v>Yes</v>
      </c>
      <c r="T341" s="52" t="n">
        <f aca="false">IF(D341="","",ROUND(SQRT(((D341+G341)*O341/100)^2+(J341*(D341+G341)*0.1901)^2),0))</f>
        <v>42</v>
      </c>
      <c r="U341" s="25"/>
    </row>
    <row r="342" customFormat="false" ht="15" hidden="false" customHeight="false" outlineLevel="0" collapsed="false">
      <c r="A342" s="25" t="s">
        <v>385</v>
      </c>
      <c r="B342" s="25" t="s">
        <v>526</v>
      </c>
      <c r="C342" s="25" t="s">
        <v>530</v>
      </c>
      <c r="D342" s="52" t="n">
        <v>140</v>
      </c>
      <c r="E342" s="52" t="n">
        <v>128</v>
      </c>
      <c r="F342" s="63" t="n">
        <f aca="false">IF(E342="","",D342-E342)</f>
        <v>12</v>
      </c>
      <c r="G342" s="52" t="n">
        <v>196</v>
      </c>
      <c r="H342" s="52" t="n">
        <v>200</v>
      </c>
      <c r="I342" s="63" t="n">
        <f aca="false">IF(H342="","",G342-H342)</f>
        <v>-4</v>
      </c>
      <c r="J342" s="53" t="n">
        <f aca="false">IF(OR(D342="",D342+G342=0),"",D342/(D342+G342))</f>
        <v>0.416666666666667</v>
      </c>
      <c r="K342" s="53" t="n">
        <f aca="false">IF(E342="","",E342/(E342+H342))</f>
        <v>0.390243902439024</v>
      </c>
      <c r="L342" s="64" t="n">
        <f aca="false">IF(OR(K342="",J342=""),"",(J342-K342)*100)</f>
        <v>2.64227642276423</v>
      </c>
      <c r="M342" s="28" t="n">
        <v>3.51968652681483</v>
      </c>
      <c r="N342" s="28" t="n">
        <v>0.395914373242782</v>
      </c>
      <c r="O342" s="28" t="n">
        <f aca="false">SQRT(M342^2+N342^2)</f>
        <v>3.54188388262265</v>
      </c>
      <c r="P342" s="53" t="n">
        <f aca="false">IF(J342="","",MAX(0,J342-1.96*O342/100))</f>
        <v>0.347245742567263</v>
      </c>
      <c r="Q342" s="53" t="n">
        <f aca="false">IF(J342="","",MIN(1,J342+1.96*O342/100))</f>
        <v>0.486087590766071</v>
      </c>
      <c r="R342" s="25" t="str">
        <f aca="false">IF(L342="","",IF(ABS(L342)&lt;=O342,"Yes","No"))</f>
        <v>Yes</v>
      </c>
      <c r="S342" s="25" t="str">
        <f aca="false">IF(L342="","",IF(ABS(L342)&lt;=1.96*O342,"Yes","No"))</f>
        <v>Yes</v>
      </c>
      <c r="T342" s="52" t="n">
        <f aca="false">IF(D342="","",ROUND(SQRT(((D342+G342)*O342/100)^2+(J342*(D342+G342)*0.1901)^2),0))</f>
        <v>29</v>
      </c>
      <c r="U342" s="25"/>
    </row>
    <row r="343" customFormat="false" ht="15" hidden="false" customHeight="false" outlineLevel="0" collapsed="false">
      <c r="A343" s="25" t="s">
        <v>385</v>
      </c>
      <c r="B343" s="25" t="s">
        <v>531</v>
      </c>
      <c r="C343" s="25" t="s">
        <v>532</v>
      </c>
      <c r="D343" s="52" t="n">
        <v>383</v>
      </c>
      <c r="E343" s="52" t="n">
        <v>412</v>
      </c>
      <c r="F343" s="63" t="n">
        <f aca="false">IF(E343="","",D343-E343)</f>
        <v>-29</v>
      </c>
      <c r="G343" s="52" t="n">
        <v>809</v>
      </c>
      <c r="H343" s="52" t="n">
        <v>767</v>
      </c>
      <c r="I343" s="63" t="n">
        <f aca="false">IF(H343="","",G343-H343)</f>
        <v>42</v>
      </c>
      <c r="J343" s="53" t="n">
        <f aca="false">IF(OR(D343="",D343+G343=0),"",D343/(D343+G343))</f>
        <v>0.321308724832215</v>
      </c>
      <c r="K343" s="53" t="n">
        <f aca="false">IF(E343="","",E343/(E343+H343))</f>
        <v>0.349448685326548</v>
      </c>
      <c r="L343" s="64" t="n">
        <f aca="false">IF(OR(K343="",J343=""),"",(J343-K343)*100)</f>
        <v>-2.81399604943331</v>
      </c>
      <c r="M343" s="28" t="n">
        <v>2.29525849334818</v>
      </c>
      <c r="N343" s="28" t="n">
        <v>0.395914373242782</v>
      </c>
      <c r="O343" s="28" t="n">
        <f aca="false">SQRT(M343^2+N343^2)</f>
        <v>2.32915429764264</v>
      </c>
      <c r="P343" s="53" t="n">
        <f aca="false">IF(J343="","",MAX(0,J343-1.96*O343/100))</f>
        <v>0.275657300598419</v>
      </c>
      <c r="Q343" s="53" t="n">
        <f aca="false">IF(J343="","",MIN(1,J343+1.96*O343/100))</f>
        <v>0.366960149066011</v>
      </c>
      <c r="R343" s="25" t="str">
        <f aca="false">IF(L343="","",IF(ABS(L343)&lt;=O343,"Yes","No"))</f>
        <v>No</v>
      </c>
      <c r="S343" s="25" t="str">
        <f aca="false">IF(L343="","",IF(ABS(L343)&lt;=1.96*O343,"Yes","No"))</f>
        <v>Yes</v>
      </c>
      <c r="T343" s="52" t="n">
        <f aca="false">IF(D343="","",ROUND(SQRT(((D343+G343)*O343/100)^2+(J343*(D343+G343)*0.10931)^2),0))</f>
        <v>50</v>
      </c>
      <c r="U343" s="25"/>
    </row>
    <row r="344" customFormat="false" ht="15" hidden="false" customHeight="false" outlineLevel="0" collapsed="false">
      <c r="A344" s="25" t="s">
        <v>385</v>
      </c>
      <c r="B344" s="25" t="s">
        <v>531</v>
      </c>
      <c r="C344" s="25" t="s">
        <v>533</v>
      </c>
      <c r="D344" s="52" t="n">
        <v>320</v>
      </c>
      <c r="E344" s="52" t="n">
        <v>361</v>
      </c>
      <c r="F344" s="63" t="n">
        <f aca="false">IF(E344="","",D344-E344)</f>
        <v>-41</v>
      </c>
      <c r="G344" s="52" t="n">
        <v>666</v>
      </c>
      <c r="H344" s="52" t="n">
        <v>633</v>
      </c>
      <c r="I344" s="63" t="n">
        <f aca="false">IF(H344="","",G344-H344)</f>
        <v>33</v>
      </c>
      <c r="J344" s="53" t="n">
        <f aca="false">IF(OR(D344="",D344+G344=0),"",D344/(D344+G344))</f>
        <v>0.324543610547667</v>
      </c>
      <c r="K344" s="53" t="n">
        <f aca="false">IF(E344="","",E344/(E344+H344))</f>
        <v>0.36317907444668</v>
      </c>
      <c r="L344" s="64" t="n">
        <f aca="false">IF(OR(K344="",J344=""),"",(J344-K344)*100)</f>
        <v>-3.86354638990127</v>
      </c>
      <c r="M344" s="28" t="n">
        <v>2.29525849334818</v>
      </c>
      <c r="N344" s="28" t="n">
        <v>0.395914373242782</v>
      </c>
      <c r="O344" s="28" t="n">
        <f aca="false">SQRT(M344^2+N344^2)</f>
        <v>2.32915429764264</v>
      </c>
      <c r="P344" s="53" t="n">
        <f aca="false">IF(J344="","",MAX(0,J344-1.96*O344/100))</f>
        <v>0.278892186313872</v>
      </c>
      <c r="Q344" s="53" t="n">
        <f aca="false">IF(J344="","",MIN(1,J344+1.96*O344/100))</f>
        <v>0.370195034781463</v>
      </c>
      <c r="R344" s="25" t="str">
        <f aca="false">IF(L344="","",IF(ABS(L344)&lt;=O344,"Yes","No"))</f>
        <v>No</v>
      </c>
      <c r="S344" s="25" t="str">
        <f aca="false">IF(L344="","",IF(ABS(L344)&lt;=1.96*O344,"Yes","No"))</f>
        <v>Yes</v>
      </c>
      <c r="T344" s="52" t="n">
        <f aca="false">IF(D344="","",ROUND(SQRT(((D344+G344)*O344/100)^2+(J344*(D344+G344)*0.10931)^2),0))</f>
        <v>42</v>
      </c>
      <c r="U344" s="25"/>
    </row>
    <row r="345" customFormat="false" ht="15" hidden="false" customHeight="false" outlineLevel="0" collapsed="false">
      <c r="A345" s="25" t="s">
        <v>385</v>
      </c>
      <c r="B345" s="25" t="s">
        <v>531</v>
      </c>
      <c r="C345" s="25" t="s">
        <v>534</v>
      </c>
      <c r="D345" s="52" t="n">
        <v>281</v>
      </c>
      <c r="E345" s="52" t="n">
        <v>286</v>
      </c>
      <c r="F345" s="63" t="n">
        <f aca="false">IF(E345="","",D345-E345)</f>
        <v>-5</v>
      </c>
      <c r="G345" s="52" t="n">
        <v>595</v>
      </c>
      <c r="H345" s="52" t="n">
        <v>553</v>
      </c>
      <c r="I345" s="63" t="n">
        <f aca="false">IF(H345="","",G345-H345)</f>
        <v>42</v>
      </c>
      <c r="J345" s="53" t="n">
        <f aca="false">IF(OR(D345="",D345+G345=0),"",D345/(D345+G345))</f>
        <v>0.320776255707763</v>
      </c>
      <c r="K345" s="53" t="n">
        <f aca="false">IF(E345="","",E345/(E345+H345))</f>
        <v>0.34088200238379</v>
      </c>
      <c r="L345" s="64" t="n">
        <f aca="false">IF(OR(K345="",J345=""),"",(J345-K345)*100)</f>
        <v>-2.01057466760277</v>
      </c>
      <c r="M345" s="28" t="n">
        <v>2.29525849334818</v>
      </c>
      <c r="N345" s="28" t="n">
        <v>0.395914373242782</v>
      </c>
      <c r="O345" s="28" t="n">
        <f aca="false">SQRT(M345^2+N345^2)</f>
        <v>2.32915429764264</v>
      </c>
      <c r="P345" s="53" t="n">
        <f aca="false">IF(J345="","",MAX(0,J345-1.96*O345/100))</f>
        <v>0.275124831473967</v>
      </c>
      <c r="Q345" s="53" t="n">
        <f aca="false">IF(J345="","",MIN(1,J345+1.96*O345/100))</f>
        <v>0.366427679941558</v>
      </c>
      <c r="R345" s="25" t="str">
        <f aca="false">IF(L345="","",IF(ABS(L345)&lt;=O345,"Yes","No"))</f>
        <v>Yes</v>
      </c>
      <c r="S345" s="25" t="str">
        <f aca="false">IF(L345="","",IF(ABS(L345)&lt;=1.96*O345,"Yes","No"))</f>
        <v>Yes</v>
      </c>
      <c r="T345" s="52" t="n">
        <f aca="false">IF(D345="","",ROUND(SQRT(((D345+G345)*O345/100)^2+(J345*(D345+G345)*0.10931)^2),0))</f>
        <v>37</v>
      </c>
      <c r="U345" s="25"/>
    </row>
    <row r="346" customFormat="false" ht="15" hidden="false" customHeight="false" outlineLevel="0" collapsed="false">
      <c r="A346" s="25" t="s">
        <v>385</v>
      </c>
      <c r="B346" s="25" t="s">
        <v>531</v>
      </c>
      <c r="C346" s="25" t="s">
        <v>535</v>
      </c>
      <c r="D346" s="52" t="n">
        <v>290</v>
      </c>
      <c r="E346" s="52" t="n">
        <v>302</v>
      </c>
      <c r="F346" s="63" t="n">
        <f aca="false">IF(E346="","",D346-E346)</f>
        <v>-12</v>
      </c>
      <c r="G346" s="52" t="n">
        <v>606</v>
      </c>
      <c r="H346" s="52" t="n">
        <v>608</v>
      </c>
      <c r="I346" s="63" t="n">
        <f aca="false">IF(H346="","",G346-H346)</f>
        <v>-2</v>
      </c>
      <c r="J346" s="53" t="n">
        <f aca="false">IF(OR(D346="",D346+G346=0),"",D346/(D346+G346))</f>
        <v>0.323660714285714</v>
      </c>
      <c r="K346" s="53" t="n">
        <f aca="false">IF(E346="","",E346/(E346+H346))</f>
        <v>0.331868131868132</v>
      </c>
      <c r="L346" s="64" t="n">
        <f aca="false">IF(OR(K346="",J346=""),"",(J346-K346)*100)</f>
        <v>-0.820741758241755</v>
      </c>
      <c r="M346" s="28" t="n">
        <v>2.29525849334818</v>
      </c>
      <c r="N346" s="28" t="n">
        <v>0.395914373242782</v>
      </c>
      <c r="O346" s="28" t="n">
        <f aca="false">SQRT(M346^2+N346^2)</f>
        <v>2.32915429764264</v>
      </c>
      <c r="P346" s="53" t="n">
        <f aca="false">IF(J346="","",MAX(0,J346-1.96*O346/100))</f>
        <v>0.278009290051919</v>
      </c>
      <c r="Q346" s="53" t="n">
        <f aca="false">IF(J346="","",MIN(1,J346+1.96*O346/100))</f>
        <v>0.36931213851951</v>
      </c>
      <c r="R346" s="25" t="str">
        <f aca="false">IF(L346="","",IF(ABS(L346)&lt;=O346,"Yes","No"))</f>
        <v>Yes</v>
      </c>
      <c r="S346" s="25" t="str">
        <f aca="false">IF(L346="","",IF(ABS(L346)&lt;=1.96*O346,"Yes","No"))</f>
        <v>Yes</v>
      </c>
      <c r="T346" s="52" t="n">
        <f aca="false">IF(D346="","",ROUND(SQRT(((D346+G346)*O346/100)^2+(J346*(D346+G346)*0.10931)^2),0))</f>
        <v>38</v>
      </c>
      <c r="U346" s="25"/>
    </row>
    <row r="347" customFormat="false" ht="15" hidden="false" customHeight="false" outlineLevel="0" collapsed="false">
      <c r="A347" s="25" t="s">
        <v>385</v>
      </c>
      <c r="B347" s="25" t="s">
        <v>536</v>
      </c>
      <c r="C347" s="25" t="s">
        <v>537</v>
      </c>
      <c r="D347" s="52" t="n">
        <v>79</v>
      </c>
      <c r="E347" s="52" t="n">
        <v>92</v>
      </c>
      <c r="F347" s="63" t="n">
        <f aca="false">IF(E347="","",D347-E347)</f>
        <v>-13</v>
      </c>
      <c r="G347" s="52" t="n">
        <v>170</v>
      </c>
      <c r="H347" s="52" t="n">
        <v>167</v>
      </c>
      <c r="I347" s="63" t="n">
        <f aca="false">IF(H347="","",G347-H347)</f>
        <v>3</v>
      </c>
      <c r="J347" s="53" t="n">
        <f aca="false">IF(OR(D347="",D347+G347=0),"",D347/(D347+G347))</f>
        <v>0.317269076305221</v>
      </c>
      <c r="K347" s="53" t="n">
        <f aca="false">IF(E347="","",E347/(E347+H347))</f>
        <v>0.355212355212355</v>
      </c>
      <c r="L347" s="64" t="n">
        <f aca="false">IF(OR(K347="",J347=""),"",(J347-K347)*100)</f>
        <v>-3.79432789071343</v>
      </c>
      <c r="M347" s="28" t="n">
        <v>3.51968652681483</v>
      </c>
      <c r="N347" s="28" t="n">
        <v>0.395914373242782</v>
      </c>
      <c r="O347" s="28" t="n">
        <f aca="false">SQRT(M347^2+N347^2)</f>
        <v>3.54188388262265</v>
      </c>
      <c r="P347" s="53" t="n">
        <f aca="false">IF(J347="","",MAX(0,J347-1.96*O347/100))</f>
        <v>0.247848152205817</v>
      </c>
      <c r="Q347" s="53" t="n">
        <f aca="false">IF(J347="","",MIN(1,J347+1.96*O347/100))</f>
        <v>0.386690000404625</v>
      </c>
      <c r="R347" s="25" t="str">
        <f aca="false">IF(L347="","",IF(ABS(L347)&lt;=O347,"Yes","No"))</f>
        <v>No</v>
      </c>
      <c r="S347" s="25" t="str">
        <f aca="false">IF(L347="","",IF(ABS(L347)&lt;=1.96*O347,"Yes","No"))</f>
        <v>Yes</v>
      </c>
      <c r="T347" s="52" t="n">
        <f aca="false">IF(D347="","",ROUND(SQRT(((D347+G347)*O347/100)^2+(J347*(D347+G347)*0.1901)^2),0))</f>
        <v>17</v>
      </c>
      <c r="U347" s="25"/>
    </row>
    <row r="348" customFormat="false" ht="15" hidden="false" customHeight="false" outlineLevel="0" collapsed="false">
      <c r="A348" s="25" t="s">
        <v>385</v>
      </c>
      <c r="B348" s="25" t="s">
        <v>538</v>
      </c>
      <c r="C348" s="25" t="s">
        <v>539</v>
      </c>
      <c r="D348" s="52" t="n">
        <v>349</v>
      </c>
      <c r="E348" s="52" t="n">
        <v>335</v>
      </c>
      <c r="F348" s="63" t="n">
        <f aca="false">IF(E348="","",D348-E348)</f>
        <v>14</v>
      </c>
      <c r="G348" s="52" t="n">
        <v>583</v>
      </c>
      <c r="H348" s="52" t="n">
        <v>581</v>
      </c>
      <c r="I348" s="63" t="n">
        <f aca="false">IF(H348="","",G348-H348)</f>
        <v>2</v>
      </c>
      <c r="J348" s="53" t="n">
        <f aca="false">IF(OR(D348="",D348+G348=0),"",D348/(D348+G348))</f>
        <v>0.374463519313305</v>
      </c>
      <c r="K348" s="53" t="n">
        <f aca="false">IF(E348="","",E348/(E348+H348))</f>
        <v>0.365720524017467</v>
      </c>
      <c r="L348" s="64" t="n">
        <f aca="false">IF(OR(K348="",J348=""),"",(J348-K348)*100)</f>
        <v>0.87429952958375</v>
      </c>
      <c r="M348" s="28" t="n">
        <v>2.29525849334818</v>
      </c>
      <c r="N348" s="28" t="n">
        <v>0.395914373242782</v>
      </c>
      <c r="O348" s="28" t="n">
        <f aca="false">SQRT(M348^2+N348^2)</f>
        <v>2.32915429764264</v>
      </c>
      <c r="P348" s="53" t="n">
        <f aca="false">IF(J348="","",MAX(0,J348-1.96*O348/100))</f>
        <v>0.328812095079509</v>
      </c>
      <c r="Q348" s="53" t="n">
        <f aca="false">IF(J348="","",MIN(1,J348+1.96*O348/100))</f>
        <v>0.420114943547101</v>
      </c>
      <c r="R348" s="25" t="str">
        <f aca="false">IF(L348="","",IF(ABS(L348)&lt;=O348,"Yes","No"))</f>
        <v>Yes</v>
      </c>
      <c r="S348" s="25" t="str">
        <f aca="false">IF(L348="","",IF(ABS(L348)&lt;=1.96*O348,"Yes","No"))</f>
        <v>Yes</v>
      </c>
      <c r="T348" s="52" t="n">
        <f aca="false">IF(D348="","",ROUND(SQRT(((D348+G348)*O348/100)^2+(J348*(D348+G348)*0.10931)^2),0))</f>
        <v>44</v>
      </c>
      <c r="U348" s="25"/>
    </row>
    <row r="349" customFormat="false" ht="15" hidden="false" customHeight="false" outlineLevel="0" collapsed="false">
      <c r="A349" s="25" t="s">
        <v>385</v>
      </c>
      <c r="B349" s="25" t="s">
        <v>540</v>
      </c>
      <c r="C349" s="25" t="s">
        <v>541</v>
      </c>
      <c r="D349" s="52" t="n">
        <v>211</v>
      </c>
      <c r="E349" s="52" t="n">
        <v>210</v>
      </c>
      <c r="F349" s="63" t="n">
        <f aca="false">IF(E349="","",D349-E349)</f>
        <v>1</v>
      </c>
      <c r="G349" s="52" t="n">
        <v>303</v>
      </c>
      <c r="H349" s="52" t="n">
        <v>309</v>
      </c>
      <c r="I349" s="63" t="n">
        <f aca="false">IF(H349="","",G349-H349)</f>
        <v>-6</v>
      </c>
      <c r="J349" s="53" t="n">
        <f aca="false">IF(OR(D349="",D349+G349=0),"",D349/(D349+G349))</f>
        <v>0.410505836575875</v>
      </c>
      <c r="K349" s="53" t="n">
        <f aca="false">IF(E349="","",E349/(E349+H349))</f>
        <v>0.404624277456647</v>
      </c>
      <c r="L349" s="64" t="n">
        <f aca="false">IF(OR(K349="",J349=""),"",(J349-K349)*100)</f>
        <v>0.588155911922805</v>
      </c>
      <c r="M349" s="28" t="n">
        <v>3.51968652681483</v>
      </c>
      <c r="N349" s="28" t="n">
        <v>0.395914373242782</v>
      </c>
      <c r="O349" s="28" t="n">
        <f aca="false">SQRT(M349^2+N349^2)</f>
        <v>3.54188388262265</v>
      </c>
      <c r="P349" s="53" t="n">
        <f aca="false">IF(J349="","",MAX(0,J349-1.96*O349/100))</f>
        <v>0.341084912476472</v>
      </c>
      <c r="Q349" s="53" t="n">
        <f aca="false">IF(J349="","",MIN(1,J349+1.96*O349/100))</f>
        <v>0.479926760675279</v>
      </c>
      <c r="R349" s="25" t="str">
        <f aca="false">IF(L349="","",IF(ABS(L349)&lt;=O349,"Yes","No"))</f>
        <v>Yes</v>
      </c>
      <c r="S349" s="25" t="str">
        <f aca="false">IF(L349="","",IF(ABS(L349)&lt;=1.96*O349,"Yes","No"))</f>
        <v>Yes</v>
      </c>
      <c r="T349" s="52" t="n">
        <f aca="false">IF(D349="","",ROUND(SQRT(((D349+G349)*O349/100)^2+(J349*(D349+G349)*0.1901)^2),0))</f>
        <v>44</v>
      </c>
      <c r="U349" s="25"/>
    </row>
    <row r="350" customFormat="false" ht="15" hidden="false" customHeight="false" outlineLevel="0" collapsed="false">
      <c r="A350" s="25" t="s">
        <v>385</v>
      </c>
      <c r="B350" s="25" t="s">
        <v>542</v>
      </c>
      <c r="C350" s="25" t="s">
        <v>543</v>
      </c>
      <c r="D350" s="52" t="n">
        <v>330</v>
      </c>
      <c r="E350" s="52" t="n">
        <v>331</v>
      </c>
      <c r="F350" s="63" t="n">
        <f aca="false">IF(E350="","",D350-E350)</f>
        <v>-1</v>
      </c>
      <c r="G350" s="52" t="n">
        <v>442</v>
      </c>
      <c r="H350" s="52" t="n">
        <v>458</v>
      </c>
      <c r="I350" s="63" t="n">
        <f aca="false">IF(H350="","",G350-H350)</f>
        <v>-16</v>
      </c>
      <c r="J350" s="53" t="n">
        <f aca="false">IF(OR(D350="",D350+G350=0),"",D350/(D350+G350))</f>
        <v>0.427461139896373</v>
      </c>
      <c r="K350" s="53" t="n">
        <f aca="false">IF(E350="","",E350/(E350+H350))</f>
        <v>0.419518377693283</v>
      </c>
      <c r="L350" s="64" t="n">
        <f aca="false">IF(OR(K350="",J350=""),"",(J350-K350)*100)</f>
        <v>0.794276220309043</v>
      </c>
      <c r="M350" s="28" t="n">
        <v>2.29525849334818</v>
      </c>
      <c r="N350" s="28" t="n">
        <v>0.395914373242782</v>
      </c>
      <c r="O350" s="28" t="n">
        <f aca="false">SQRT(M350^2+N350^2)</f>
        <v>2.32915429764264</v>
      </c>
      <c r="P350" s="53" t="n">
        <f aca="false">IF(J350="","",MAX(0,J350-1.96*O350/100))</f>
        <v>0.381809715662577</v>
      </c>
      <c r="Q350" s="53" t="n">
        <f aca="false">IF(J350="","",MIN(1,J350+1.96*O350/100))</f>
        <v>0.473112564130169</v>
      </c>
      <c r="R350" s="25" t="str">
        <f aca="false">IF(L350="","",IF(ABS(L350)&lt;=O350,"Yes","No"))</f>
        <v>Yes</v>
      </c>
      <c r="S350" s="25" t="str">
        <f aca="false">IF(L350="","",IF(ABS(L350)&lt;=1.96*O350,"Yes","No"))</f>
        <v>Yes</v>
      </c>
      <c r="T350" s="52" t="n">
        <f aca="false">IF(D350="","",ROUND(SQRT(((D350+G350)*O350/100)^2+(J350*(D350+G350)*0.10931)^2),0))</f>
        <v>40</v>
      </c>
      <c r="U350" s="25"/>
    </row>
    <row r="351" customFormat="false" ht="15" hidden="false" customHeight="false" outlineLevel="0" collapsed="false">
      <c r="A351" s="25" t="s">
        <v>385</v>
      </c>
      <c r="B351" s="25" t="s">
        <v>544</v>
      </c>
      <c r="C351" s="25" t="s">
        <v>545</v>
      </c>
      <c r="D351" s="52" t="n">
        <v>290</v>
      </c>
      <c r="E351" s="52" t="n">
        <v>307</v>
      </c>
      <c r="F351" s="63" t="n">
        <f aca="false">IF(E351="","",D351-E351)</f>
        <v>-17</v>
      </c>
      <c r="G351" s="52" t="n">
        <v>749</v>
      </c>
      <c r="H351" s="52" t="n">
        <v>746</v>
      </c>
      <c r="I351" s="63" t="n">
        <f aca="false">IF(H351="","",G351-H351)</f>
        <v>3</v>
      </c>
      <c r="J351" s="53" t="n">
        <f aca="false">IF(OR(D351="",D351+G351=0),"",D351/(D351+G351))</f>
        <v>0.279114533205005</v>
      </c>
      <c r="K351" s="53" t="n">
        <f aca="false">IF(E351="","",E351/(E351+H351))</f>
        <v>0.291547958214625</v>
      </c>
      <c r="L351" s="64" t="n">
        <f aca="false">IF(OR(K351="",J351=""),"",(J351-K351)*100)</f>
        <v>-1.24334250096201</v>
      </c>
      <c r="M351" s="28" t="n">
        <v>2.29525849334818</v>
      </c>
      <c r="N351" s="28" t="n">
        <v>0.395914373242782</v>
      </c>
      <c r="O351" s="28" t="n">
        <f aca="false">SQRT(M351^2+N351^2)</f>
        <v>2.32915429764264</v>
      </c>
      <c r="P351" s="53" t="n">
        <f aca="false">IF(J351="","",MAX(0,J351-1.96*O351/100))</f>
        <v>0.233463108971209</v>
      </c>
      <c r="Q351" s="53" t="n">
        <f aca="false">IF(J351="","",MIN(1,J351+1.96*O351/100))</f>
        <v>0.324765957438801</v>
      </c>
      <c r="R351" s="25" t="str">
        <f aca="false">IF(L351="","",IF(ABS(L351)&lt;=O351,"Yes","No"))</f>
        <v>Yes</v>
      </c>
      <c r="S351" s="25" t="str">
        <f aca="false">IF(L351="","",IF(ABS(L351)&lt;=1.96*O351,"Yes","No"))</f>
        <v>Yes</v>
      </c>
      <c r="T351" s="52" t="n">
        <f aca="false">IF(D351="","",ROUND(SQRT(((D351+G351)*O351/100)^2+(J351*(D351+G351)*0.10931)^2),0))</f>
        <v>40</v>
      </c>
      <c r="U351" s="25"/>
    </row>
    <row r="352" customFormat="false" ht="15" hidden="false" customHeight="false" outlineLevel="0" collapsed="false">
      <c r="A352" s="25" t="s">
        <v>385</v>
      </c>
      <c r="B352" s="25" t="s">
        <v>544</v>
      </c>
      <c r="C352" s="25" t="s">
        <v>546</v>
      </c>
      <c r="D352" s="52" t="n">
        <v>221</v>
      </c>
      <c r="E352" s="52" t="n">
        <v>232</v>
      </c>
      <c r="F352" s="63" t="n">
        <f aca="false">IF(E352="","",D352-E352)</f>
        <v>-11</v>
      </c>
      <c r="G352" s="52" t="n">
        <v>496</v>
      </c>
      <c r="H352" s="52" t="n">
        <v>487</v>
      </c>
      <c r="I352" s="63" t="n">
        <f aca="false">IF(H352="","",G352-H352)</f>
        <v>9</v>
      </c>
      <c r="J352" s="53" t="n">
        <f aca="false">IF(OR(D352="",D352+G352=0),"",D352/(D352+G352))</f>
        <v>0.308228730822873</v>
      </c>
      <c r="K352" s="53" t="n">
        <f aca="false">IF(E352="","",E352/(E352+H352))</f>
        <v>0.322670375521558</v>
      </c>
      <c r="L352" s="64" t="n">
        <f aca="false">IF(OR(K352="",J352=""),"",(J352-K352)*100)</f>
        <v>-1.44416446986846</v>
      </c>
      <c r="M352" s="28" t="n">
        <v>3.51968652681483</v>
      </c>
      <c r="N352" s="28" t="n">
        <v>0.395914373242782</v>
      </c>
      <c r="O352" s="28" t="n">
        <f aca="false">SQRT(M352^2+N352^2)</f>
        <v>3.54188388262265</v>
      </c>
      <c r="P352" s="53" t="n">
        <f aca="false">IF(J352="","",MAX(0,J352-1.96*O352/100))</f>
        <v>0.238807806723469</v>
      </c>
      <c r="Q352" s="53" t="n">
        <f aca="false">IF(J352="","",MIN(1,J352+1.96*O352/100))</f>
        <v>0.377649654922277</v>
      </c>
      <c r="R352" s="25" t="str">
        <f aca="false">IF(L352="","",IF(ABS(L352)&lt;=O352,"Yes","No"))</f>
        <v>Yes</v>
      </c>
      <c r="S352" s="25" t="str">
        <f aca="false">IF(L352="","",IF(ABS(L352)&lt;=1.96*O352,"Yes","No"))</f>
        <v>Yes</v>
      </c>
      <c r="T352" s="52" t="n">
        <f aca="false">IF(D352="","",ROUND(SQRT(((D352+G352)*O352/100)^2+(J352*(D352+G352)*0.1901)^2),0))</f>
        <v>49</v>
      </c>
      <c r="U352" s="25"/>
    </row>
    <row r="353" customFormat="false" ht="15" hidden="false" customHeight="false" outlineLevel="0" collapsed="false">
      <c r="A353" s="25" t="s">
        <v>385</v>
      </c>
      <c r="B353" s="25" t="s">
        <v>544</v>
      </c>
      <c r="C353" s="25" t="s">
        <v>547</v>
      </c>
      <c r="D353" s="52" t="n">
        <v>178</v>
      </c>
      <c r="E353" s="52" t="n">
        <v>178</v>
      </c>
      <c r="F353" s="63" t="n">
        <f aca="false">IF(E353="","",D353-E353)</f>
        <v>0</v>
      </c>
      <c r="G353" s="52" t="n">
        <v>440</v>
      </c>
      <c r="H353" s="52" t="n">
        <v>480</v>
      </c>
      <c r="I353" s="63" t="n">
        <f aca="false">IF(H353="","",G353-H353)</f>
        <v>-40</v>
      </c>
      <c r="J353" s="53" t="n">
        <f aca="false">IF(OR(D353="",D353+G353=0),"",D353/(D353+G353))</f>
        <v>0.288025889967638</v>
      </c>
      <c r="K353" s="53" t="n">
        <f aca="false">IF(E353="","",E353/(E353+H353))</f>
        <v>0.270516717325228</v>
      </c>
      <c r="L353" s="64" t="n">
        <f aca="false">IF(OR(K353="",J353=""),"",(J353-K353)*100)</f>
        <v>1.75091726424096</v>
      </c>
      <c r="M353" s="28" t="n">
        <v>3.51968652681483</v>
      </c>
      <c r="N353" s="28" t="n">
        <v>0.395914373242782</v>
      </c>
      <c r="O353" s="28" t="n">
        <f aca="false">SQRT(M353^2+N353^2)</f>
        <v>3.54188388262265</v>
      </c>
      <c r="P353" s="53" t="n">
        <f aca="false">IF(J353="","",MAX(0,J353-1.96*O353/100))</f>
        <v>0.218604965868234</v>
      </c>
      <c r="Q353" s="53" t="n">
        <f aca="false">IF(J353="","",MIN(1,J353+1.96*O353/100))</f>
        <v>0.357446814067041</v>
      </c>
      <c r="R353" s="25" t="str">
        <f aca="false">IF(L353="","",IF(ABS(L353)&lt;=O353,"Yes","No"))</f>
        <v>Yes</v>
      </c>
      <c r="S353" s="25" t="str">
        <f aca="false">IF(L353="","",IF(ABS(L353)&lt;=1.96*O353,"Yes","No"))</f>
        <v>Yes</v>
      </c>
      <c r="T353" s="52" t="n">
        <f aca="false">IF(D353="","",ROUND(SQRT(((D353+G353)*O353/100)^2+(J353*(D353+G353)*0.1901)^2),0))</f>
        <v>40</v>
      </c>
      <c r="U353" s="25"/>
    </row>
    <row r="354" customFormat="false" ht="15" hidden="false" customHeight="false" outlineLevel="0" collapsed="false">
      <c r="A354" s="25" t="s">
        <v>385</v>
      </c>
      <c r="B354" s="25" t="s">
        <v>544</v>
      </c>
      <c r="C354" s="25" t="s">
        <v>548</v>
      </c>
      <c r="D354" s="52" t="n">
        <v>185</v>
      </c>
      <c r="E354" s="52" t="n">
        <v>180</v>
      </c>
      <c r="F354" s="63" t="n">
        <f aca="false">IF(E354="","",D354-E354)</f>
        <v>5</v>
      </c>
      <c r="G354" s="52" t="n">
        <v>415</v>
      </c>
      <c r="H354" s="52" t="n">
        <v>430</v>
      </c>
      <c r="I354" s="63" t="n">
        <f aca="false">IF(H354="","",G354-H354)</f>
        <v>-15</v>
      </c>
      <c r="J354" s="53" t="n">
        <f aca="false">IF(OR(D354="",D354+G354=0),"",D354/(D354+G354))</f>
        <v>0.308333333333333</v>
      </c>
      <c r="K354" s="53" t="n">
        <f aca="false">IF(E354="","",E354/(E354+H354))</f>
        <v>0.295081967213115</v>
      </c>
      <c r="L354" s="64" t="n">
        <f aca="false">IF(OR(K354="",J354=""),"",(J354-K354)*100)</f>
        <v>1.32513661202186</v>
      </c>
      <c r="M354" s="28" t="n">
        <v>3.51968652681483</v>
      </c>
      <c r="N354" s="28" t="n">
        <v>0.395914373242782</v>
      </c>
      <c r="O354" s="28" t="n">
        <f aca="false">SQRT(M354^2+N354^2)</f>
        <v>3.54188388262265</v>
      </c>
      <c r="P354" s="53" t="n">
        <f aca="false">IF(J354="","",MAX(0,J354-1.96*O354/100))</f>
        <v>0.238912409233929</v>
      </c>
      <c r="Q354" s="53" t="n">
        <f aca="false">IF(J354="","",MIN(1,J354+1.96*O354/100))</f>
        <v>0.377754257432737</v>
      </c>
      <c r="R354" s="25" t="str">
        <f aca="false">IF(L354="","",IF(ABS(L354)&lt;=O354,"Yes","No"))</f>
        <v>Yes</v>
      </c>
      <c r="S354" s="25" t="str">
        <f aca="false">IF(L354="","",IF(ABS(L354)&lt;=1.96*O354,"Yes","No"))</f>
        <v>Yes</v>
      </c>
      <c r="T354" s="52" t="n">
        <f aca="false">IF(D354="","",ROUND(SQRT(((D354+G354)*O354/100)^2+(J354*(D354+G354)*0.1901)^2),0))</f>
        <v>41</v>
      </c>
      <c r="U354" s="25"/>
    </row>
    <row r="355" customFormat="false" ht="15" hidden="false" customHeight="false" outlineLevel="0" collapsed="false">
      <c r="A355" s="25" t="s">
        <v>385</v>
      </c>
      <c r="B355" s="25" t="s">
        <v>544</v>
      </c>
      <c r="C355" s="25" t="s">
        <v>549</v>
      </c>
      <c r="D355" s="52" t="n">
        <v>313</v>
      </c>
      <c r="E355" s="52" t="n">
        <v>345</v>
      </c>
      <c r="F355" s="63" t="n">
        <f aca="false">IF(E355="","",D355-E355)</f>
        <v>-32</v>
      </c>
      <c r="G355" s="52" t="n">
        <v>575</v>
      </c>
      <c r="H355" s="52" t="n">
        <v>573</v>
      </c>
      <c r="I355" s="63" t="n">
        <f aca="false">IF(H355="","",G355-H355)</f>
        <v>2</v>
      </c>
      <c r="J355" s="53" t="n">
        <f aca="false">IF(OR(D355="",D355+G355=0),"",D355/(D355+G355))</f>
        <v>0.352477477477478</v>
      </c>
      <c r="K355" s="53" t="n">
        <f aca="false">IF(E355="","",E355/(E355+H355))</f>
        <v>0.375816993464052</v>
      </c>
      <c r="L355" s="64" t="n">
        <f aca="false">IF(OR(K355="",J355=""),"",(J355-K355)*100)</f>
        <v>-2.33395159865748</v>
      </c>
      <c r="M355" s="28" t="n">
        <v>2.29525849334818</v>
      </c>
      <c r="N355" s="28" t="n">
        <v>0.395914373242782</v>
      </c>
      <c r="O355" s="28" t="n">
        <f aca="false">SQRT(M355^2+N355^2)</f>
        <v>2.32915429764264</v>
      </c>
      <c r="P355" s="53" t="n">
        <f aca="false">IF(J355="","",MAX(0,J355-1.96*O355/100))</f>
        <v>0.306826053243682</v>
      </c>
      <c r="Q355" s="53" t="n">
        <f aca="false">IF(J355="","",MIN(1,J355+1.96*O355/100))</f>
        <v>0.398128901711273</v>
      </c>
      <c r="R355" s="25" t="str">
        <f aca="false">IF(L355="","",IF(ABS(L355)&lt;=O355,"Yes","No"))</f>
        <v>No</v>
      </c>
      <c r="S355" s="25" t="str">
        <f aca="false">IF(L355="","",IF(ABS(L355)&lt;=1.96*O355,"Yes","No"))</f>
        <v>Yes</v>
      </c>
      <c r="T355" s="52" t="n">
        <f aca="false">IF(D355="","",ROUND(SQRT(((D355+G355)*O355/100)^2+(J355*(D355+G355)*0.10931)^2),0))</f>
        <v>40</v>
      </c>
      <c r="U355" s="25"/>
    </row>
    <row r="356" customFormat="false" ht="15" hidden="false" customHeight="false" outlineLevel="0" collapsed="false">
      <c r="A356" s="25" t="s">
        <v>385</v>
      </c>
      <c r="B356" s="25" t="s">
        <v>550</v>
      </c>
      <c r="C356" s="25" t="s">
        <v>551</v>
      </c>
      <c r="D356" s="52" t="n">
        <v>1085</v>
      </c>
      <c r="E356" s="52" t="n">
        <v>1084</v>
      </c>
      <c r="F356" s="63" t="n">
        <f aca="false">IF(E356="","",D356-E356)</f>
        <v>1</v>
      </c>
      <c r="G356" s="52" t="n">
        <v>1150</v>
      </c>
      <c r="H356" s="52" t="n">
        <v>1187</v>
      </c>
      <c r="I356" s="63" t="n">
        <f aca="false">IF(H356="","",G356-H356)</f>
        <v>-37</v>
      </c>
      <c r="J356" s="53" t="n">
        <f aca="false">IF(OR(D356="",D356+G356=0),"",D356/(D356+G356))</f>
        <v>0.485458612975392</v>
      </c>
      <c r="K356" s="53" t="n">
        <f aca="false">IF(E356="","",E356/(E356+H356))</f>
        <v>0.477322765301629</v>
      </c>
      <c r="L356" s="64" t="n">
        <f aca="false">IF(OR(K356="",J356=""),"",(J356-K356)*100)</f>
        <v>0.813584767376224</v>
      </c>
      <c r="M356" s="28" t="n">
        <v>2.07368371626919</v>
      </c>
      <c r="N356" s="28" t="n">
        <v>0.395914373242782</v>
      </c>
      <c r="O356" s="28" t="n">
        <f aca="false">SQRT(M356^2+N356^2)</f>
        <v>2.11114005837136</v>
      </c>
      <c r="P356" s="53" t="n">
        <f aca="false">IF(J356="","",MAX(0,J356-1.96*O356/100))</f>
        <v>0.444080267831313</v>
      </c>
      <c r="Q356" s="53" t="n">
        <f aca="false">IF(J356="","",MIN(1,J356+1.96*O356/100))</f>
        <v>0.52683695811947</v>
      </c>
      <c r="R356" s="25" t="str">
        <f aca="false">IF(L356="","",IF(ABS(L356)&lt;=O356,"Yes","No"))</f>
        <v>Yes</v>
      </c>
      <c r="S356" s="25" t="str">
        <f aca="false">IF(L356="","",IF(ABS(L356)&lt;=1.96*O356,"Yes","No"))</f>
        <v>Yes</v>
      </c>
      <c r="T356" s="52" t="n">
        <f aca="false">IF(D356="","",ROUND(SQRT(((D356+G356)*O356/100)^2+(J356*(D356+G356)*0.08889)^2),0))</f>
        <v>107</v>
      </c>
      <c r="U356" s="25"/>
    </row>
    <row r="357" customFormat="false" ht="15" hidden="false" customHeight="false" outlineLevel="0" collapsed="false">
      <c r="A357" s="25" t="s">
        <v>385</v>
      </c>
      <c r="B357" s="25" t="s">
        <v>550</v>
      </c>
      <c r="C357" s="25" t="s">
        <v>552</v>
      </c>
      <c r="D357" s="52" t="n">
        <v>353</v>
      </c>
      <c r="E357" s="52"/>
      <c r="F357" s="63" t="str">
        <f aca="false">IF(E357="","",D357-E357)</f>
        <v/>
      </c>
      <c r="G357" s="52" t="n">
        <v>380</v>
      </c>
      <c r="H357" s="52"/>
      <c r="I357" s="63" t="str">
        <f aca="false">IF(H357="","",G357-H357)</f>
        <v/>
      </c>
      <c r="J357" s="53" t="n">
        <f aca="false">IF(OR(D357="",D357+G357=0),"",D357/(D357+G357))</f>
        <v>0.481582537517053</v>
      </c>
      <c r="K357" s="53" t="str">
        <f aca="false">IF(E357="","",E357/(E357+H357))</f>
        <v/>
      </c>
      <c r="L357" s="64" t="str">
        <f aca="false">IF(OR(K357="",J357=""),"",(J357-K357)*100)</f>
        <v/>
      </c>
      <c r="M357" s="28" t="n">
        <v>3.51968652681483</v>
      </c>
      <c r="N357" s="28" t="n">
        <v>0.395914373242782</v>
      </c>
      <c r="O357" s="28" t="n">
        <f aca="false">SQRT(M357^2+N357^2)</f>
        <v>3.54188388262265</v>
      </c>
      <c r="P357" s="53" t="n">
        <f aca="false">IF(J357="","",MAX(0,J357-1.96*O357/100))</f>
        <v>0.412161613417649</v>
      </c>
      <c r="Q357" s="53" t="n">
        <f aca="false">IF(J357="","",MIN(1,J357+1.96*O357/100))</f>
        <v>0.551003461616457</v>
      </c>
      <c r="R357" s="25" t="str">
        <f aca="false">IF(L357="","",IF(ABS(L357)&lt;=O357,"Yes","No"))</f>
        <v/>
      </c>
      <c r="S357" s="25" t="str">
        <f aca="false">IF(L357="","",IF(ABS(L357)&lt;=1.96*O357,"Yes","No"))</f>
        <v/>
      </c>
      <c r="T357" s="52" t="n">
        <f aca="false">IF(D357="","",ROUND(SQRT(((D357+G357)*O357/100)^2+(J357*(D357+G357)*0.1901)^2),0))</f>
        <v>72</v>
      </c>
      <c r="U357" s="25" t="s">
        <v>702</v>
      </c>
    </row>
    <row r="358" customFormat="false" ht="15" hidden="false" customHeight="false" outlineLevel="0" collapsed="false">
      <c r="A358" s="25" t="s">
        <v>385</v>
      </c>
      <c r="B358" s="25" t="s">
        <v>550</v>
      </c>
      <c r="C358" s="25" t="s">
        <v>553</v>
      </c>
      <c r="D358" s="52" t="n">
        <v>860</v>
      </c>
      <c r="E358" s="52" t="n">
        <v>880</v>
      </c>
      <c r="F358" s="63" t="n">
        <f aca="false">IF(E358="","",D358-E358)</f>
        <v>-20</v>
      </c>
      <c r="G358" s="52" t="n">
        <v>974</v>
      </c>
      <c r="H358" s="52" t="n">
        <v>960</v>
      </c>
      <c r="I358" s="63" t="n">
        <f aca="false">IF(H358="","",G358-H358)</f>
        <v>14</v>
      </c>
      <c r="J358" s="53" t="n">
        <f aca="false">IF(OR(D358="",D358+G358=0),"",D358/(D358+G358))</f>
        <v>0.468920392584515</v>
      </c>
      <c r="K358" s="53" t="n">
        <f aca="false">IF(E358="","",E358/(E358+H358))</f>
        <v>0.478260869565217</v>
      </c>
      <c r="L358" s="64" t="n">
        <f aca="false">IF(OR(K358="",J358=""),"",(J358-K358)*100)</f>
        <v>-0.934047698070267</v>
      </c>
      <c r="M358" s="28" t="n">
        <v>2.07368371626919</v>
      </c>
      <c r="N358" s="28" t="n">
        <v>0.395914373242782</v>
      </c>
      <c r="O358" s="28" t="n">
        <f aca="false">SQRT(M358^2+N358^2)</f>
        <v>2.11114005837136</v>
      </c>
      <c r="P358" s="53" t="n">
        <f aca="false">IF(J358="","",MAX(0,J358-1.96*O358/100))</f>
        <v>0.427542047440436</v>
      </c>
      <c r="Q358" s="53" t="n">
        <f aca="false">IF(J358="","",MIN(1,J358+1.96*O358/100))</f>
        <v>0.510298737728593</v>
      </c>
      <c r="R358" s="25" t="str">
        <f aca="false">IF(L358="","",IF(ABS(L358)&lt;=O358,"Yes","No"))</f>
        <v>Yes</v>
      </c>
      <c r="S358" s="25" t="str">
        <f aca="false">IF(L358="","",IF(ABS(L358)&lt;=1.96*O358,"Yes","No"))</f>
        <v>Yes</v>
      </c>
      <c r="T358" s="52" t="n">
        <f aca="false">IF(D358="","",ROUND(SQRT(((D358+G358)*O358/100)^2+(J358*(D358+G358)*0.08889)^2),0))</f>
        <v>86</v>
      </c>
      <c r="U358" s="25"/>
    </row>
    <row r="359" customFormat="false" ht="15" hidden="false" customHeight="false" outlineLevel="0" collapsed="false">
      <c r="A359" s="25" t="s">
        <v>385</v>
      </c>
      <c r="B359" s="25" t="s">
        <v>550</v>
      </c>
      <c r="C359" s="25" t="s">
        <v>554</v>
      </c>
      <c r="D359" s="52" t="n">
        <v>267</v>
      </c>
      <c r="E359" s="52"/>
      <c r="F359" s="63" t="str">
        <f aca="false">IF(E359="","",D359-E359)</f>
        <v/>
      </c>
      <c r="G359" s="52" t="n">
        <v>286</v>
      </c>
      <c r="H359" s="52"/>
      <c r="I359" s="63" t="str">
        <f aca="false">IF(H359="","",G359-H359)</f>
        <v/>
      </c>
      <c r="J359" s="53" t="n">
        <f aca="false">IF(OR(D359="",D359+G359=0),"",D359/(D359+G359))</f>
        <v>0.482820976491863</v>
      </c>
      <c r="K359" s="53" t="str">
        <f aca="false">IF(E359="","",E359/(E359+H359))</f>
        <v/>
      </c>
      <c r="L359" s="64" t="str">
        <f aca="false">IF(OR(K359="",J359=""),"",(J359-K359)*100)</f>
        <v/>
      </c>
      <c r="M359" s="28" t="n">
        <v>3.51968652681483</v>
      </c>
      <c r="N359" s="28" t="n">
        <v>0.395914373242782</v>
      </c>
      <c r="O359" s="28" t="n">
        <f aca="false">SQRT(M359^2+N359^2)</f>
        <v>3.54188388262265</v>
      </c>
      <c r="P359" s="53" t="n">
        <f aca="false">IF(J359="","",MAX(0,J359-1.96*O359/100))</f>
        <v>0.413400052392459</v>
      </c>
      <c r="Q359" s="53" t="n">
        <f aca="false">IF(J359="","",MIN(1,J359+1.96*O359/100))</f>
        <v>0.552241900591266</v>
      </c>
      <c r="R359" s="25" t="str">
        <f aca="false">IF(L359="","",IF(ABS(L359)&lt;=O359,"Yes","No"))</f>
        <v/>
      </c>
      <c r="S359" s="25" t="str">
        <f aca="false">IF(L359="","",IF(ABS(L359)&lt;=1.96*O359,"Yes","No"))</f>
        <v/>
      </c>
      <c r="T359" s="52" t="n">
        <f aca="false">IF(D359="","",ROUND(SQRT(((D359+G359)*O359/100)^2+(J359*(D359+G359)*0.1901)^2),0))</f>
        <v>54</v>
      </c>
      <c r="U359" s="25" t="s">
        <v>702</v>
      </c>
    </row>
    <row r="360" customFormat="false" ht="15" hidden="false" customHeight="false" outlineLevel="0" collapsed="false">
      <c r="A360" s="25" t="s">
        <v>385</v>
      </c>
      <c r="B360" s="25" t="s">
        <v>555</v>
      </c>
      <c r="C360" s="25" t="s">
        <v>556</v>
      </c>
      <c r="D360" s="52" t="n">
        <v>421</v>
      </c>
      <c r="E360" s="52" t="n">
        <v>416</v>
      </c>
      <c r="F360" s="63" t="n">
        <f aca="false">IF(E360="","",D360-E360)</f>
        <v>5</v>
      </c>
      <c r="G360" s="52" t="n">
        <v>640</v>
      </c>
      <c r="H360" s="52" t="n">
        <v>658</v>
      </c>
      <c r="I360" s="63" t="n">
        <f aca="false">IF(H360="","",G360-H360)</f>
        <v>-18</v>
      </c>
      <c r="J360" s="53" t="n">
        <f aca="false">IF(OR(D360="",D360+G360=0),"",D360/(D360+G360))</f>
        <v>0.39679547596607</v>
      </c>
      <c r="K360" s="53" t="n">
        <f aca="false">IF(E360="","",E360/(E360+H360))</f>
        <v>0.387337057728119</v>
      </c>
      <c r="L360" s="64" t="n">
        <f aca="false">IF(OR(K360="",J360=""),"",(J360-K360)*100)</f>
        <v>0.945841823795057</v>
      </c>
      <c r="M360" s="28" t="n">
        <v>2.29525849334818</v>
      </c>
      <c r="N360" s="28" t="n">
        <v>0.395914373242782</v>
      </c>
      <c r="O360" s="28" t="n">
        <f aca="false">SQRT(M360^2+N360^2)</f>
        <v>2.32915429764264</v>
      </c>
      <c r="P360" s="53" t="n">
        <f aca="false">IF(J360="","",MAX(0,J360-1.96*O360/100))</f>
        <v>0.351144051732274</v>
      </c>
      <c r="Q360" s="53" t="n">
        <f aca="false">IF(J360="","",MIN(1,J360+1.96*O360/100))</f>
        <v>0.442446900199866</v>
      </c>
      <c r="R360" s="25" t="str">
        <f aca="false">IF(L360="","",IF(ABS(L360)&lt;=O360,"Yes","No"))</f>
        <v>Yes</v>
      </c>
      <c r="S360" s="25" t="str">
        <f aca="false">IF(L360="","",IF(ABS(L360)&lt;=1.96*O360,"Yes","No"))</f>
        <v>Yes</v>
      </c>
      <c r="T360" s="52" t="n">
        <f aca="false">IF(D360="","",ROUND(SQRT(((D360+G360)*O360/100)^2+(J360*(D360+G360)*0.10931)^2),0))</f>
        <v>52</v>
      </c>
      <c r="U360" s="25"/>
    </row>
    <row r="361" customFormat="false" ht="15" hidden="false" customHeight="false" outlineLevel="0" collapsed="false">
      <c r="A361" s="25" t="s">
        <v>385</v>
      </c>
      <c r="B361" s="25" t="s">
        <v>360</v>
      </c>
      <c r="C361" s="25" t="s">
        <v>557</v>
      </c>
      <c r="D361" s="52" t="n">
        <v>526</v>
      </c>
      <c r="E361" s="52" t="n">
        <v>541</v>
      </c>
      <c r="F361" s="63" t="n">
        <f aca="false">IF(E361="","",D361-E361)</f>
        <v>-15</v>
      </c>
      <c r="G361" s="52" t="n">
        <v>1100</v>
      </c>
      <c r="H361" s="52" t="n">
        <v>1106</v>
      </c>
      <c r="I361" s="63" t="n">
        <f aca="false">IF(H361="","",G361-H361)</f>
        <v>-6</v>
      </c>
      <c r="J361" s="53" t="n">
        <f aca="false">IF(OR(D361="",D361+G361=0),"",D361/(D361+G361))</f>
        <v>0.323493234932349</v>
      </c>
      <c r="K361" s="53" t="n">
        <f aca="false">IF(E361="","",E361/(E361+H361))</f>
        <v>0.328476017000607</v>
      </c>
      <c r="L361" s="64" t="n">
        <f aca="false">IF(OR(K361="",J361=""),"",(J361-K361)*100)</f>
        <v>-0.498278206825786</v>
      </c>
      <c r="M361" s="28" t="n">
        <v>2.07368371626919</v>
      </c>
      <c r="N361" s="28" t="n">
        <v>0.395914373242782</v>
      </c>
      <c r="O361" s="28" t="n">
        <f aca="false">SQRT(M361^2+N361^2)</f>
        <v>2.11114005837136</v>
      </c>
      <c r="P361" s="53" t="n">
        <f aca="false">IF(J361="","",MAX(0,J361-1.96*O361/100))</f>
        <v>0.282114889788271</v>
      </c>
      <c r="Q361" s="53" t="n">
        <f aca="false">IF(J361="","",MIN(1,J361+1.96*O361/100))</f>
        <v>0.364871580076428</v>
      </c>
      <c r="R361" s="25" t="str">
        <f aca="false">IF(L361="","",IF(ABS(L361)&lt;=O361,"Yes","No"))</f>
        <v>Yes</v>
      </c>
      <c r="S361" s="25" t="str">
        <f aca="false">IF(L361="","",IF(ABS(L361)&lt;=1.96*O361,"Yes","No"))</f>
        <v>Yes</v>
      </c>
      <c r="T361" s="52" t="n">
        <f aca="false">IF(D361="","",ROUND(SQRT(((D361+G361)*O361/100)^2+(J361*(D361+G361)*0.08889)^2),0))</f>
        <v>58</v>
      </c>
      <c r="U361" s="25"/>
    </row>
    <row r="362" customFormat="false" ht="15" hidden="false" customHeight="false" outlineLevel="0" collapsed="false">
      <c r="A362" s="25" t="s">
        <v>385</v>
      </c>
      <c r="B362" s="25" t="s">
        <v>360</v>
      </c>
      <c r="C362" s="25" t="s">
        <v>558</v>
      </c>
      <c r="D362" s="52" t="n">
        <v>585</v>
      </c>
      <c r="E362" s="52" t="n">
        <v>500</v>
      </c>
      <c r="F362" s="63" t="n">
        <f aca="false">IF(E362="","",D362-E362)</f>
        <v>85</v>
      </c>
      <c r="G362" s="52" t="n">
        <v>1212</v>
      </c>
      <c r="H362" s="52" t="n">
        <v>982</v>
      </c>
      <c r="I362" s="63" t="n">
        <f aca="false">IF(H362="","",G362-H362)</f>
        <v>230</v>
      </c>
      <c r="J362" s="53" t="n">
        <f aca="false">IF(OR(D362="",D362+G362=0),"",D362/(D362+G362))</f>
        <v>0.325542570951586</v>
      </c>
      <c r="K362" s="53" t="n">
        <f aca="false">IF(E362="","",E362/(E362+H362))</f>
        <v>0.337381916329285</v>
      </c>
      <c r="L362" s="64" t="n">
        <f aca="false">IF(OR(K362="",J362=""),"",(J362-K362)*100)</f>
        <v>-1.18393453776988</v>
      </c>
      <c r="M362" s="28" t="n">
        <v>2.07368371626919</v>
      </c>
      <c r="N362" s="28" t="n">
        <v>0.395914373242782</v>
      </c>
      <c r="O362" s="28" t="n">
        <f aca="false">SQRT(M362^2+N362^2)</f>
        <v>2.11114005837136</v>
      </c>
      <c r="P362" s="53" t="n">
        <f aca="false">IF(J362="","",MAX(0,J362-1.96*O362/100))</f>
        <v>0.284164225807507</v>
      </c>
      <c r="Q362" s="53" t="n">
        <f aca="false">IF(J362="","",MIN(1,J362+1.96*O362/100))</f>
        <v>0.366920916095665</v>
      </c>
      <c r="R362" s="25" t="str">
        <f aca="false">IF(L362="","",IF(ABS(L362)&lt;=O362,"Yes","No"))</f>
        <v>Yes</v>
      </c>
      <c r="S362" s="25" t="str">
        <f aca="false">IF(L362="","",IF(ABS(L362)&lt;=1.96*O362,"Yes","No"))</f>
        <v>Yes</v>
      </c>
      <c r="T362" s="52" t="n">
        <f aca="false">IF(D362="","",ROUND(SQRT(((D362+G362)*O362/100)^2+(J362*(D362+G362)*0.08889)^2),0))</f>
        <v>64</v>
      </c>
      <c r="U362" s="25"/>
    </row>
    <row r="363" customFormat="false" ht="15" hidden="false" customHeight="false" outlineLevel="0" collapsed="false">
      <c r="A363" s="25" t="s">
        <v>385</v>
      </c>
      <c r="B363" s="25" t="s">
        <v>560</v>
      </c>
      <c r="C363" s="25" t="s">
        <v>560</v>
      </c>
      <c r="D363" s="52" t="n">
        <v>277</v>
      </c>
      <c r="E363" s="52" t="n">
        <v>281</v>
      </c>
      <c r="F363" s="63" t="n">
        <f aca="false">IF(E363="","",D363-E363)</f>
        <v>-4</v>
      </c>
      <c r="G363" s="52" t="n">
        <v>330</v>
      </c>
      <c r="H363" s="52" t="n">
        <v>310</v>
      </c>
      <c r="I363" s="63" t="n">
        <f aca="false">IF(H363="","",G363-H363)</f>
        <v>20</v>
      </c>
      <c r="J363" s="53" t="n">
        <f aca="false">IF(OR(D363="",D363+G363=0),"",D363/(D363+G363))</f>
        <v>0.456342668863262</v>
      </c>
      <c r="K363" s="53" t="n">
        <f aca="false">IF(E363="","",E363/(E363+H363))</f>
        <v>0.475465313028765</v>
      </c>
      <c r="L363" s="64" t="n">
        <f aca="false">IF(OR(K363="",J363=""),"",(J363-K363)*100)</f>
        <v>-1.91226441655029</v>
      </c>
      <c r="M363" s="28" t="n">
        <v>3.51968652681483</v>
      </c>
      <c r="N363" s="28" t="n">
        <v>0.395914373242782</v>
      </c>
      <c r="O363" s="28" t="n">
        <f aca="false">SQRT(M363^2+N363^2)</f>
        <v>3.54188388262265</v>
      </c>
      <c r="P363" s="53" t="n">
        <f aca="false">IF(J363="","",MAX(0,J363-1.96*O363/100))</f>
        <v>0.386921744763858</v>
      </c>
      <c r="Q363" s="53" t="n">
        <f aca="false">IF(J363="","",MIN(1,J363+1.96*O363/100))</f>
        <v>0.525763592962666</v>
      </c>
      <c r="R363" s="25" t="str">
        <f aca="false">IF(L363="","",IF(ABS(L363)&lt;=O363,"Yes","No"))</f>
        <v>Yes</v>
      </c>
      <c r="S363" s="25" t="str">
        <f aca="false">IF(L363="","",IF(ABS(L363)&lt;=1.96*O363,"Yes","No"))</f>
        <v>Yes</v>
      </c>
      <c r="T363" s="52" t="n">
        <f aca="false">IF(D363="","",ROUND(SQRT(((D363+G363)*O363/100)^2+(J363*(D363+G363)*0.1901)^2),0))</f>
        <v>57</v>
      </c>
      <c r="U363" s="25"/>
    </row>
    <row r="364" customFormat="false" ht="15" hidden="false" customHeight="false" outlineLevel="0" collapsed="false">
      <c r="A364" s="25" t="s">
        <v>385</v>
      </c>
      <c r="B364" s="25" t="s">
        <v>561</v>
      </c>
      <c r="C364" s="25" t="s">
        <v>562</v>
      </c>
      <c r="D364" s="52" t="n">
        <v>480</v>
      </c>
      <c r="E364" s="52" t="n">
        <v>514</v>
      </c>
      <c r="F364" s="63" t="n">
        <f aca="false">IF(E364="","",D364-E364)</f>
        <v>-34</v>
      </c>
      <c r="G364" s="52" t="n">
        <v>718</v>
      </c>
      <c r="H364" s="52" t="n">
        <v>713</v>
      </c>
      <c r="I364" s="63" t="n">
        <f aca="false">IF(H364="","",G364-H364)</f>
        <v>5</v>
      </c>
      <c r="J364" s="53" t="n">
        <f aca="false">IF(OR(D364="",D364+G364=0),"",D364/(D364+G364))</f>
        <v>0.400667779632721</v>
      </c>
      <c r="K364" s="53" t="n">
        <f aca="false">IF(E364="","",E364/(E364+H364))</f>
        <v>0.418907905460473</v>
      </c>
      <c r="L364" s="64" t="n">
        <f aca="false">IF(OR(K364="",J364=""),"",(J364-K364)*100)</f>
        <v>-1.82401258277515</v>
      </c>
      <c r="M364" s="28" t="n">
        <v>2.07368371626919</v>
      </c>
      <c r="N364" s="28" t="n">
        <v>0.395914373242782</v>
      </c>
      <c r="O364" s="28" t="n">
        <f aca="false">SQRT(M364^2+N364^2)</f>
        <v>2.11114005837136</v>
      </c>
      <c r="P364" s="53" t="n">
        <f aca="false">IF(J364="","",MAX(0,J364-1.96*O364/100))</f>
        <v>0.359289434488643</v>
      </c>
      <c r="Q364" s="53" t="n">
        <f aca="false">IF(J364="","",MIN(1,J364+1.96*O364/100))</f>
        <v>0.4420461247768</v>
      </c>
      <c r="R364" s="25" t="str">
        <f aca="false">IF(L364="","",IF(ABS(L364)&lt;=O364,"Yes","No"))</f>
        <v>Yes</v>
      </c>
      <c r="S364" s="25" t="str">
        <f aca="false">IF(L364="","",IF(ABS(L364)&lt;=1.96*O364,"Yes","No"))</f>
        <v>Yes</v>
      </c>
      <c r="T364" s="52" t="n">
        <f aca="false">IF(D364="","",ROUND(SQRT(((D364+G364)*O364/100)^2+(J364*(D364+G364)*0.08889)^2),0))</f>
        <v>50</v>
      </c>
      <c r="U364" s="25"/>
    </row>
    <row r="365" customFormat="false" ht="15" hidden="false" customHeight="false" outlineLevel="0" collapsed="false">
      <c r="A365" s="25" t="s">
        <v>385</v>
      </c>
      <c r="B365" s="25" t="s">
        <v>561</v>
      </c>
      <c r="C365" s="25" t="s">
        <v>563</v>
      </c>
      <c r="D365" s="52" t="n">
        <v>408</v>
      </c>
      <c r="E365" s="52" t="n">
        <v>425</v>
      </c>
      <c r="F365" s="63" t="n">
        <f aca="false">IF(E365="","",D365-E365)</f>
        <v>-17</v>
      </c>
      <c r="G365" s="52" t="n">
        <v>677</v>
      </c>
      <c r="H365" s="52" t="n">
        <v>656</v>
      </c>
      <c r="I365" s="63" t="n">
        <f aca="false">IF(H365="","",G365-H365)</f>
        <v>21</v>
      </c>
      <c r="J365" s="53" t="n">
        <f aca="false">IF(OR(D365="",D365+G365=0),"",D365/(D365+G365))</f>
        <v>0.376036866359447</v>
      </c>
      <c r="K365" s="53" t="n">
        <f aca="false">IF(E365="","",E365/(E365+H365))</f>
        <v>0.393154486586494</v>
      </c>
      <c r="L365" s="64" t="n">
        <f aca="false">IF(OR(K365="",J365=""),"",(J365-K365)*100)</f>
        <v>-1.7117620227047</v>
      </c>
      <c r="M365" s="28" t="n">
        <v>2.29525849334818</v>
      </c>
      <c r="N365" s="28" t="n">
        <v>0.395914373242782</v>
      </c>
      <c r="O365" s="28" t="n">
        <f aca="false">SQRT(M365^2+N365^2)</f>
        <v>2.32915429764264</v>
      </c>
      <c r="P365" s="53" t="n">
        <f aca="false">IF(J365="","",MAX(0,J365-1.96*O365/100))</f>
        <v>0.330385442125651</v>
      </c>
      <c r="Q365" s="53" t="n">
        <f aca="false">IF(J365="","",MIN(1,J365+1.96*O365/100))</f>
        <v>0.421688290593243</v>
      </c>
      <c r="R365" s="25" t="str">
        <f aca="false">IF(L365="","",IF(ABS(L365)&lt;=O365,"Yes","No"))</f>
        <v>Yes</v>
      </c>
      <c r="S365" s="25" t="str">
        <f aca="false">IF(L365="","",IF(ABS(L365)&lt;=1.96*O365,"Yes","No"))</f>
        <v>Yes</v>
      </c>
      <c r="T365" s="52" t="n">
        <f aca="false">IF(D365="","",ROUND(SQRT(((D365+G365)*O365/100)^2+(J365*(D365+G365)*0.10931)^2),0))</f>
        <v>51</v>
      </c>
      <c r="U365" s="25"/>
    </row>
    <row r="366" customFormat="false" ht="15" hidden="false" customHeight="false" outlineLevel="0" collapsed="false">
      <c r="A366" s="25" t="s">
        <v>385</v>
      </c>
      <c r="B366" s="25" t="s">
        <v>561</v>
      </c>
      <c r="C366" s="25" t="s">
        <v>564</v>
      </c>
      <c r="D366" s="52" t="n">
        <v>575</v>
      </c>
      <c r="E366" s="52" t="n">
        <v>624</v>
      </c>
      <c r="F366" s="63" t="n">
        <f aca="false">IF(E366="","",D366-E366)</f>
        <v>-49</v>
      </c>
      <c r="G366" s="52" t="n">
        <v>645</v>
      </c>
      <c r="H366" s="52" t="n">
        <v>618</v>
      </c>
      <c r="I366" s="63" t="n">
        <f aca="false">IF(H366="","",G366-H366)</f>
        <v>27</v>
      </c>
      <c r="J366" s="53" t="n">
        <f aca="false">IF(OR(D366="",D366+G366=0),"",D366/(D366+G366))</f>
        <v>0.471311475409836</v>
      </c>
      <c r="K366" s="53" t="n">
        <f aca="false">IF(E366="","",E366/(E366+H366))</f>
        <v>0.502415458937198</v>
      </c>
      <c r="L366" s="64" t="n">
        <f aca="false">IF(OR(K366="",J366=""),"",(J366-K366)*100)</f>
        <v>-3.1103983527362</v>
      </c>
      <c r="M366" s="28" t="n">
        <v>2.07368371626919</v>
      </c>
      <c r="N366" s="28" t="n">
        <v>0.395914373242782</v>
      </c>
      <c r="O366" s="28" t="n">
        <f aca="false">SQRT(M366^2+N366^2)</f>
        <v>2.11114005837136</v>
      </c>
      <c r="P366" s="53" t="n">
        <f aca="false">IF(J366="","",MAX(0,J366-1.96*O366/100))</f>
        <v>0.429933130265758</v>
      </c>
      <c r="Q366" s="53" t="n">
        <f aca="false">IF(J366="","",MIN(1,J366+1.96*O366/100))</f>
        <v>0.512689820553915</v>
      </c>
      <c r="R366" s="25" t="str">
        <f aca="false">IF(L366="","",IF(ABS(L366)&lt;=O366,"Yes","No"))</f>
        <v>No</v>
      </c>
      <c r="S366" s="25" t="str">
        <f aca="false">IF(L366="","",IF(ABS(L366)&lt;=1.96*O366,"Yes","No"))</f>
        <v>Yes</v>
      </c>
      <c r="T366" s="52" t="n">
        <f aca="false">IF(D366="","",ROUND(SQRT(((D366+G366)*O366/100)^2+(J366*(D366+G366)*0.08889)^2),0))</f>
        <v>57</v>
      </c>
      <c r="U366" s="25"/>
    </row>
    <row r="367" customFormat="false" ht="15" hidden="false" customHeight="false" outlineLevel="0" collapsed="false">
      <c r="A367" s="25" t="s">
        <v>385</v>
      </c>
      <c r="B367" s="25" t="s">
        <v>561</v>
      </c>
      <c r="C367" s="25" t="s">
        <v>565</v>
      </c>
      <c r="D367" s="52" t="n">
        <v>290</v>
      </c>
      <c r="E367" s="52" t="n">
        <v>284</v>
      </c>
      <c r="F367" s="63" t="n">
        <f aca="false">IF(E367="","",D367-E367)</f>
        <v>6</v>
      </c>
      <c r="G367" s="52" t="n">
        <v>405</v>
      </c>
      <c r="H367" s="52" t="n">
        <v>414</v>
      </c>
      <c r="I367" s="63" t="n">
        <f aca="false">IF(H367="","",G367-H367)</f>
        <v>-9</v>
      </c>
      <c r="J367" s="53" t="n">
        <f aca="false">IF(OR(D367="",D367+G367=0),"",D367/(D367+G367))</f>
        <v>0.41726618705036</v>
      </c>
      <c r="K367" s="53" t="n">
        <f aca="false">IF(E367="","",E367/(E367+H367))</f>
        <v>0.406876790830946</v>
      </c>
      <c r="L367" s="64" t="n">
        <f aca="false">IF(OR(K367="",J367=""),"",(J367-K367)*100)</f>
        <v>1.03893962194141</v>
      </c>
      <c r="M367" s="28" t="n">
        <v>3.51968652681483</v>
      </c>
      <c r="N367" s="28" t="n">
        <v>0.395914373242782</v>
      </c>
      <c r="O367" s="28" t="n">
        <f aca="false">SQRT(M367^2+N367^2)</f>
        <v>3.54188388262265</v>
      </c>
      <c r="P367" s="53" t="n">
        <f aca="false">IF(J367="","",MAX(0,J367-1.96*O367/100))</f>
        <v>0.347845262950956</v>
      </c>
      <c r="Q367" s="53" t="n">
        <f aca="false">IF(J367="","",MIN(1,J367+1.96*O367/100))</f>
        <v>0.486687111149764</v>
      </c>
      <c r="R367" s="25" t="str">
        <f aca="false">IF(L367="","",IF(ABS(L367)&lt;=O367,"Yes","No"))</f>
        <v>Yes</v>
      </c>
      <c r="S367" s="25" t="str">
        <f aca="false">IF(L367="","",IF(ABS(L367)&lt;=1.96*O367,"Yes","No"))</f>
        <v>Yes</v>
      </c>
      <c r="T367" s="52" t="n">
        <f aca="false">IF(D367="","",ROUND(SQRT(((D367+G367)*O367/100)^2+(J367*(D367+G367)*0.1901)^2),0))</f>
        <v>60</v>
      </c>
      <c r="U367" s="25"/>
    </row>
    <row r="368" customFormat="false" ht="15" hidden="false" customHeight="false" outlineLevel="0" collapsed="false">
      <c r="A368" s="25" t="s">
        <v>385</v>
      </c>
      <c r="B368" s="25" t="s">
        <v>566</v>
      </c>
      <c r="C368" s="25" t="s">
        <v>567</v>
      </c>
      <c r="D368" s="52" t="n">
        <v>636</v>
      </c>
      <c r="E368" s="52" t="n">
        <v>648</v>
      </c>
      <c r="F368" s="63" t="n">
        <f aca="false">IF(E368="","",D368-E368)</f>
        <v>-12</v>
      </c>
      <c r="G368" s="52" t="n">
        <v>446</v>
      </c>
      <c r="H368" s="52" t="n">
        <v>462</v>
      </c>
      <c r="I368" s="63" t="n">
        <f aca="false">IF(H368="","",G368-H368)</f>
        <v>-16</v>
      </c>
      <c r="J368" s="53" t="n">
        <f aca="false">IF(OR(D368="",D368+G368=0),"",D368/(D368+G368))</f>
        <v>0.587800369685767</v>
      </c>
      <c r="K368" s="53" t="n">
        <f aca="false">IF(E368="","",E368/(E368+H368))</f>
        <v>0.583783783783784</v>
      </c>
      <c r="L368" s="64" t="n">
        <f aca="false">IF(OR(K368="",J368=""),"",(J368-K368)*100)</f>
        <v>0.401658590198328</v>
      </c>
      <c r="M368" s="28" t="n">
        <v>2.29525849334818</v>
      </c>
      <c r="N368" s="28" t="n">
        <v>0.395914373242782</v>
      </c>
      <c r="O368" s="28" t="n">
        <f aca="false">SQRT(M368^2+N368^2)</f>
        <v>2.32915429764264</v>
      </c>
      <c r="P368" s="53" t="n">
        <f aca="false">IF(J368="","",MAX(0,J368-1.96*O368/100))</f>
        <v>0.542148945451971</v>
      </c>
      <c r="Q368" s="53" t="n">
        <f aca="false">IF(J368="","",MIN(1,J368+1.96*O368/100))</f>
        <v>0.633451793919563</v>
      </c>
      <c r="R368" s="25" t="str">
        <f aca="false">IF(L368="","",IF(ABS(L368)&lt;=O368,"Yes","No"))</f>
        <v>Yes</v>
      </c>
      <c r="S368" s="25" t="str">
        <f aca="false">IF(L368="","",IF(ABS(L368)&lt;=1.96*O368,"Yes","No"))</f>
        <v>Yes</v>
      </c>
      <c r="T368" s="52" t="n">
        <f aca="false">IF(D368="","",ROUND(SQRT(((D368+G368)*O368/100)^2+(J368*(D368+G368)*0.10931)^2),0))</f>
        <v>74</v>
      </c>
      <c r="U368" s="25"/>
    </row>
    <row r="369" customFormat="false" ht="15" hidden="false" customHeight="false" outlineLevel="0" collapsed="false">
      <c r="A369" s="25" t="s">
        <v>385</v>
      </c>
      <c r="B369" s="25" t="s">
        <v>566</v>
      </c>
      <c r="C369" s="25" t="s">
        <v>568</v>
      </c>
      <c r="D369" s="52" t="n">
        <v>490</v>
      </c>
      <c r="E369" s="52" t="n">
        <v>491</v>
      </c>
      <c r="F369" s="63" t="n">
        <f aca="false">IF(E369="","",D369-E369)</f>
        <v>-1</v>
      </c>
      <c r="G369" s="52" t="n">
        <v>393</v>
      </c>
      <c r="H369" s="52" t="n">
        <v>402</v>
      </c>
      <c r="I369" s="63" t="n">
        <f aca="false">IF(H369="","",G369-H369)</f>
        <v>-9</v>
      </c>
      <c r="J369" s="53" t="n">
        <f aca="false">IF(OR(D369="",D369+G369=0),"",D369/(D369+G369))</f>
        <v>0.554926387315968</v>
      </c>
      <c r="K369" s="53" t="n">
        <f aca="false">IF(E369="","",E369/(E369+H369))</f>
        <v>0.5498320268757</v>
      </c>
      <c r="L369" s="64" t="n">
        <f aca="false">IF(OR(K369="",J369=""),"",(J369-K369)*100)</f>
        <v>0.509436044026845</v>
      </c>
      <c r="M369" s="28" t="n">
        <v>2.29525849334818</v>
      </c>
      <c r="N369" s="28" t="n">
        <v>0.395914373242782</v>
      </c>
      <c r="O369" s="28" t="n">
        <f aca="false">SQRT(M369^2+N369^2)</f>
        <v>2.32915429764264</v>
      </c>
      <c r="P369" s="53" t="n">
        <f aca="false">IF(J369="","",MAX(0,J369-1.96*O369/100))</f>
        <v>0.509274963082173</v>
      </c>
      <c r="Q369" s="53" t="n">
        <f aca="false">IF(J369="","",MIN(1,J369+1.96*O369/100))</f>
        <v>0.600577811549764</v>
      </c>
      <c r="R369" s="25" t="str">
        <f aca="false">IF(L369="","",IF(ABS(L369)&lt;=O369,"Yes","No"))</f>
        <v>Yes</v>
      </c>
      <c r="S369" s="25" t="str">
        <f aca="false">IF(L369="","",IF(ABS(L369)&lt;=1.96*O369,"Yes","No"))</f>
        <v>Yes</v>
      </c>
      <c r="T369" s="52" t="n">
        <f aca="false">IF(D369="","",ROUND(SQRT(((D369+G369)*O369/100)^2+(J369*(D369+G369)*0.10931)^2),0))</f>
        <v>57</v>
      </c>
      <c r="U369" s="25"/>
    </row>
    <row r="370" customFormat="false" ht="15" hidden="false" customHeight="false" outlineLevel="0" collapsed="false">
      <c r="A370" s="25" t="s">
        <v>385</v>
      </c>
      <c r="B370" s="25" t="s">
        <v>566</v>
      </c>
      <c r="C370" s="25" t="s">
        <v>569</v>
      </c>
      <c r="D370" s="52" t="n">
        <v>784</v>
      </c>
      <c r="E370" s="52" t="n">
        <v>758</v>
      </c>
      <c r="F370" s="63" t="n">
        <f aca="false">IF(E370="","",D370-E370)</f>
        <v>26</v>
      </c>
      <c r="G370" s="52" t="n">
        <v>656</v>
      </c>
      <c r="H370" s="52" t="n">
        <v>674</v>
      </c>
      <c r="I370" s="63" t="n">
        <f aca="false">IF(H370="","",G370-H370)</f>
        <v>-18</v>
      </c>
      <c r="J370" s="53" t="n">
        <f aca="false">IF(OR(D370="",D370+G370=0),"",D370/(D370+G370))</f>
        <v>0.544444444444444</v>
      </c>
      <c r="K370" s="53" t="n">
        <f aca="false">IF(E370="","",E370/(E370+H370))</f>
        <v>0.529329608938548</v>
      </c>
      <c r="L370" s="64" t="n">
        <f aca="false">IF(OR(K370="",J370=""),"",(J370-K370)*100)</f>
        <v>1.51148355058969</v>
      </c>
      <c r="M370" s="28" t="n">
        <v>2.07368371626919</v>
      </c>
      <c r="N370" s="28" t="n">
        <v>0.395914373242782</v>
      </c>
      <c r="O370" s="28" t="n">
        <f aca="false">SQRT(M370^2+N370^2)</f>
        <v>2.11114005837136</v>
      </c>
      <c r="P370" s="53" t="n">
        <f aca="false">IF(J370="","",MAX(0,J370-1.96*O370/100))</f>
        <v>0.503066099300366</v>
      </c>
      <c r="Q370" s="53" t="n">
        <f aca="false">IF(J370="","",MIN(1,J370+1.96*O370/100))</f>
        <v>0.585822789588523</v>
      </c>
      <c r="R370" s="25" t="str">
        <f aca="false">IF(L370="","",IF(ABS(L370)&lt;=O370,"Yes","No"))</f>
        <v>Yes</v>
      </c>
      <c r="S370" s="25" t="str">
        <f aca="false">IF(L370="","",IF(ABS(L370)&lt;=1.96*O370,"Yes","No"))</f>
        <v>Yes</v>
      </c>
      <c r="T370" s="52" t="n">
        <f aca="false">IF(D370="","",ROUND(SQRT(((D370+G370)*O370/100)^2+(J370*(D370+G370)*0.08889)^2),0))</f>
        <v>76</v>
      </c>
      <c r="U370" s="25"/>
    </row>
    <row r="371" customFormat="false" ht="15" hidden="false" customHeight="false" outlineLevel="0" collapsed="false">
      <c r="A371" s="25" t="s">
        <v>385</v>
      </c>
      <c r="B371" s="25" t="s">
        <v>570</v>
      </c>
      <c r="C371" s="25" t="s">
        <v>570</v>
      </c>
      <c r="D371" s="52" t="n">
        <v>645</v>
      </c>
      <c r="E371" s="52" t="n">
        <v>634</v>
      </c>
      <c r="F371" s="63" t="n">
        <f aca="false">IF(E371="","",D371-E371)</f>
        <v>11</v>
      </c>
      <c r="G371" s="52" t="n">
        <v>881</v>
      </c>
      <c r="H371" s="52" t="n">
        <v>856</v>
      </c>
      <c r="I371" s="63" t="n">
        <f aca="false">IF(H371="","",G371-H371)</f>
        <v>25</v>
      </c>
      <c r="J371" s="53" t="n">
        <f aca="false">IF(OR(D371="",D371+G371=0),"",D371/(D371+G371))</f>
        <v>0.422673656618611</v>
      </c>
      <c r="K371" s="53" t="n">
        <f aca="false">IF(E371="","",E371/(E371+H371))</f>
        <v>0.425503355704698</v>
      </c>
      <c r="L371" s="64" t="n">
        <f aca="false">IF(OR(K371="",J371=""),"",(J371-K371)*100)</f>
        <v>-0.282969908608727</v>
      </c>
      <c r="M371" s="28" t="n">
        <v>2.07368371626919</v>
      </c>
      <c r="N371" s="28" t="n">
        <v>0.395914373242782</v>
      </c>
      <c r="O371" s="28" t="n">
        <f aca="false">SQRT(M371^2+N371^2)</f>
        <v>2.11114005837136</v>
      </c>
      <c r="P371" s="53" t="n">
        <f aca="false">IF(J371="","",MAX(0,J371-1.96*O371/100))</f>
        <v>0.381295311474532</v>
      </c>
      <c r="Q371" s="53" t="n">
        <f aca="false">IF(J371="","",MIN(1,J371+1.96*O371/100))</f>
        <v>0.464052001762689</v>
      </c>
      <c r="R371" s="25" t="str">
        <f aca="false">IF(L371="","",IF(ABS(L371)&lt;=O371,"Yes","No"))</f>
        <v>Yes</v>
      </c>
      <c r="S371" s="25" t="str">
        <f aca="false">IF(L371="","",IF(ABS(L371)&lt;=1.96*O371,"Yes","No"))</f>
        <v>Yes</v>
      </c>
      <c r="T371" s="52" t="n">
        <f aca="false">IF(D371="","",ROUND(SQRT(((D371+G371)*O371/100)^2+(J371*(D371+G371)*0.08889)^2),0))</f>
        <v>66</v>
      </c>
      <c r="U371" s="25"/>
    </row>
    <row r="373" customFormat="false" ht="15" hidden="false" customHeight="false" outlineLevel="0" collapsed="false">
      <c r="A373" s="20" t="s">
        <v>703</v>
      </c>
      <c r="B373" s="65"/>
      <c r="C373" s="65"/>
      <c r="D373" s="66" t="n">
        <f aca="false">SUMIF(E2:E371,"&lt;&gt;",D2:D371)</f>
        <v>181824</v>
      </c>
      <c r="E373" s="66" t="n">
        <f aca="false">SUM(E2:E371)</f>
        <v>183378</v>
      </c>
      <c r="F373" s="67" t="n">
        <f aca="false">D373-E373</f>
        <v>-1554</v>
      </c>
      <c r="G373" s="66" t="n">
        <f aca="false">SUMIF(H2:H371,"&lt;&gt;",G2:G371)</f>
        <v>188762</v>
      </c>
      <c r="H373" s="66" t="n">
        <f aca="false">SUM(H2:H371)</f>
        <v>189309</v>
      </c>
      <c r="I373" s="67" t="n">
        <f aca="false">G373-H373</f>
        <v>-547</v>
      </c>
      <c r="J373" s="68" t="n">
        <f aca="false">D373/(D373+G373)</f>
        <v>0.490639149886936</v>
      </c>
      <c r="K373" s="68" t="n">
        <f aca="false">E373/(E373+H373)</f>
        <v>0.492042920735094</v>
      </c>
      <c r="L373" s="69" t="n">
        <f aca="false">(J373-K373)*100</f>
        <v>-0.140377084815824</v>
      </c>
      <c r="M373" s="70" t="n">
        <v>0</v>
      </c>
      <c r="N373" s="70" t="n">
        <v>0.395914373242782</v>
      </c>
      <c r="O373" s="70" t="n">
        <f aca="false">SQRT(M373^2+N373^2)</f>
        <v>0.395914373242782</v>
      </c>
      <c r="P373" s="68" t="n">
        <f aca="false">J373-1.96*O373/100</f>
        <v>0.482879228171377</v>
      </c>
      <c r="Q373" s="68" t="n">
        <f aca="false">J373+1.96*O373/100</f>
        <v>0.498399071602494</v>
      </c>
      <c r="R373" s="65" t="str">
        <f aca="false">IF(ABS(L373)&lt;=O373,"Yes","No")</f>
        <v>Yes</v>
      </c>
      <c r="S373" s="65" t="str">
        <f aca="false">IF(ABS(L373)&lt;=1.96*O373,"Yes","No")</f>
        <v>Yes</v>
      </c>
      <c r="T373" s="66" t="n">
        <f aca="false">ROUND(SQRT(((D373+G373)*O373/100)^2+(J373*(D373+G373)*0.06248)^2),0)</f>
        <v>11455</v>
      </c>
    </row>
    <row r="374" customFormat="false" ht="15" hidden="false" customHeight="false" outlineLevel="0" collapsed="false">
      <c r="A374" s="20" t="s">
        <v>704</v>
      </c>
      <c r="B374" s="65"/>
      <c r="C374" s="65"/>
      <c r="D374" s="66" t="n">
        <f aca="false">SUM(D2:D371)</f>
        <v>196542</v>
      </c>
      <c r="E374" s="66"/>
      <c r="F374" s="67"/>
      <c r="G374" s="66" t="n">
        <f aca="false">SUM(G2:G371)</f>
        <v>203187</v>
      </c>
      <c r="H374" s="66"/>
      <c r="I374" s="67"/>
      <c r="J374" s="68" t="n">
        <f aca="false">D374/(D374+G374)</f>
        <v>0.49168811870042</v>
      </c>
      <c r="K374" s="68"/>
      <c r="L374" s="69"/>
      <c r="M374" s="70"/>
      <c r="N374" s="70"/>
      <c r="O374" s="70"/>
      <c r="P374" s="68"/>
      <c r="Q374" s="68"/>
      <c r="R374" s="65"/>
      <c r="S374" s="65"/>
      <c r="T374" s="66"/>
    </row>
    <row r="376" customFormat="false" ht="15" hidden="false" customHeight="false" outlineLevel="0" collapsed="false">
      <c r="A376" s="2" t="s">
        <v>705</v>
      </c>
      <c r="F376" s="71" t="n">
        <f aca="false">(SUMIF(F2:F371,"&gt;0")-SUMIF(F2:F371,"&lt;0"))/COUNT(F2:F371)</f>
        <v>26.0526315789474</v>
      </c>
    </row>
    <row r="377" customFormat="false" ht="15" hidden="false" customHeight="false" outlineLevel="0" collapsed="false">
      <c r="A377" s="2" t="s">
        <v>706</v>
      </c>
      <c r="F377" s="71" t="n">
        <f aca="false">(SUMIF(I2:I371,"&gt;0")-SUMIF(I2:I371,"&lt;0"))/COUNT(I2:I371)</f>
        <v>21.827485380117</v>
      </c>
    </row>
    <row r="378" customFormat="false" ht="15" hidden="false" customHeight="false" outlineLevel="0" collapsed="false">
      <c r="A378" s="2" t="s">
        <v>707</v>
      </c>
      <c r="F378" s="72" t="n">
        <f aca="false">(SUMIF(L2:L371,"&gt;0")-SUMIF(L2:L371,"&lt;0"))/COUNT(L2:L371)</f>
        <v>1.65596961959024</v>
      </c>
    </row>
    <row r="379" customFormat="false" ht="15" hidden="false" customHeight="false" outlineLevel="0" collapsed="false">
      <c r="A379" s="5" t="s">
        <v>708</v>
      </c>
      <c r="F379" s="73" t="n">
        <f aca="false">SQRT(SUMSQ(L2:L371)/COUNT(L2:L371))</f>
        <v>2.32101843738426</v>
      </c>
    </row>
    <row r="380" customFormat="false" ht="15" hidden="false" customHeight="false" outlineLevel="0" collapsed="false">
      <c r="A380" s="5" t="s">
        <v>709</v>
      </c>
      <c r="F380" s="74" t="n">
        <f aca="false">L373</f>
        <v>-0.140377084815824</v>
      </c>
    </row>
    <row r="381" customFormat="false" ht="15" hidden="false" customHeight="false" outlineLevel="0" collapsed="false">
      <c r="A381" s="5" t="s">
        <v>710</v>
      </c>
      <c r="F381" s="73" t="n">
        <f aca="false">SQRT((SUMSQ(L2:L371)-2*L373*SUM(L2:L371)+COUNT(L2:L371)*L373^2)/COUNT(L2:L371))</f>
        <v>2.33035968827426</v>
      </c>
    </row>
    <row r="382" customFormat="false" ht="15" hidden="false" customHeight="false" outlineLevel="0" collapsed="false">
      <c r="A382" s="2" t="s">
        <v>711</v>
      </c>
      <c r="F382" s="75" t="n">
        <f aca="false">D373/E373-1</f>
        <v>-0.00847429898897356</v>
      </c>
    </row>
    <row r="383" customFormat="false" ht="15" hidden="false" customHeight="false" outlineLevel="0" collapsed="false">
      <c r="A383" s="5" t="s">
        <v>712</v>
      </c>
      <c r="F383" s="76" t="n">
        <f aca="false">G373/H373-1</f>
        <v>-0.00288945586316547</v>
      </c>
    </row>
    <row r="384" customFormat="false" ht="15" hidden="false" customHeight="false" outlineLevel="0" collapsed="false">
      <c r="A384" s="2" t="s">
        <v>713</v>
      </c>
      <c r="F384" s="75" t="n">
        <f aca="false">(D373+G373)/(E373+H373)-1</f>
        <v>-0.00563743838663544</v>
      </c>
    </row>
    <row r="385" customFormat="false" ht="15" hidden="false" customHeight="false" outlineLevel="0" collapsed="false">
      <c r="A385" s="2" t="s">
        <v>714</v>
      </c>
      <c r="F385" s="72" t="n">
        <f aca="false">AVERAGE(O2:O371)</f>
        <v>2.65982993959446</v>
      </c>
    </row>
    <row r="386" customFormat="false" ht="15" hidden="false" customHeight="false" outlineLevel="0" collapsed="false">
      <c r="A386" s="5" t="s">
        <v>715</v>
      </c>
      <c r="F386" s="77" t="n">
        <f aca="false">COUNTIF(R2:R371,"Yes")/(COUNTIF(R2:R371,"Yes")+COUNTIF(R2:R371,"No"))</f>
        <v>0.807017543859649</v>
      </c>
    </row>
    <row r="387" customFormat="false" ht="15" hidden="false" customHeight="false" outlineLevel="0" collapsed="false">
      <c r="A387" s="5" t="s">
        <v>716</v>
      </c>
      <c r="F387" s="77" t="n">
        <f aca="false">COUNTIF(S2:S371,"Yes")/(COUNTIF(S2:S371,"Yes")+COUNTIF(S2:S371,"No"))</f>
        <v>0.970760233918129</v>
      </c>
    </row>
    <row r="388" customFormat="false" ht="15" hidden="false" customHeight="false" outlineLevel="0" collapsed="false">
      <c r="A388" s="2" t="s">
        <v>717</v>
      </c>
      <c r="F388" s="78" t="n">
        <f aca="false">COUNTIFS(L2:L371,"&gt;=-3",L2:L371,"&lt;=3")/COUNT(L2:L371)</f>
        <v>0.847953216374269</v>
      </c>
    </row>
    <row r="389" customFormat="false" ht="15" hidden="false" customHeight="false" outlineLevel="0" collapsed="false">
      <c r="A389" s="2" t="s">
        <v>718</v>
      </c>
      <c r="F389" s="79" t="n">
        <f aca="false">COUNT(E2:E371)</f>
        <v>342</v>
      </c>
    </row>
    <row r="390" customFormat="false" ht="15" hidden="false" customHeight="false" outlineLevel="0" collapsed="false">
      <c r="A390" s="2" t="s">
        <v>719</v>
      </c>
      <c r="F390" s="79" t="n">
        <f aca="false">COUNTA(A2:A371)</f>
        <v>370</v>
      </c>
    </row>
    <row r="392" customFormat="false" ht="15" hidden="false" customHeight="false" outlineLevel="0" collapsed="false">
      <c r="U392" s="5" t="s">
        <v>103</v>
      </c>
    </row>
    <row r="393" customFormat="false" ht="28.35" hidden="false" customHeight="false" outlineLevel="0" collapsed="false">
      <c r="U393" s="62" t="s">
        <v>720</v>
      </c>
    </row>
    <row r="394" customFormat="false" ht="28.35" hidden="false" customHeight="false" outlineLevel="0" collapsed="false">
      <c r="U394" s="62" t="s">
        <v>721</v>
      </c>
    </row>
    <row r="395" customFormat="false" ht="28.35" hidden="false" customHeight="false" outlineLevel="0" collapsed="false">
      <c r="U395" s="62" t="s">
        <v>722</v>
      </c>
    </row>
    <row r="396" customFormat="false" ht="28.35" hidden="false" customHeight="false" outlineLevel="0" collapsed="false">
      <c r="U396" s="62" t="s">
        <v>723</v>
      </c>
    </row>
    <row r="397" customFormat="false" ht="41.75" hidden="false" customHeight="false" outlineLevel="0" collapsed="false">
      <c r="U397" s="62" t="s">
        <v>724</v>
      </c>
    </row>
    <row r="398" customFormat="false" ht="41.75" hidden="false" customHeight="false" outlineLevel="0" collapsed="false">
      <c r="U398" s="62" t="s">
        <v>725</v>
      </c>
    </row>
    <row r="399" customFormat="false" ht="28.35" hidden="false" customHeight="false" outlineLevel="0" collapsed="false">
      <c r="U399" s="62" t="s">
        <v>726</v>
      </c>
    </row>
    <row r="400" customFormat="false" ht="28.35" hidden="false" customHeight="false" outlineLevel="0" collapsed="false">
      <c r="U400" s="62" t="s">
        <v>727</v>
      </c>
    </row>
    <row r="401" customFormat="false" ht="28.35" hidden="false" customHeight="false" outlineLevel="0" collapsed="false">
      <c r="U401" s="62" t="s">
        <v>728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685</v>
      </c>
      <c r="E1" s="8" t="s">
        <v>686</v>
      </c>
      <c r="F1" s="8" t="s">
        <v>687</v>
      </c>
      <c r="G1" s="8" t="s">
        <v>688</v>
      </c>
      <c r="H1" s="8" t="s">
        <v>689</v>
      </c>
      <c r="I1" s="8" t="s">
        <v>690</v>
      </c>
      <c r="J1" s="8" t="s">
        <v>691</v>
      </c>
      <c r="K1" s="8" t="s">
        <v>692</v>
      </c>
      <c r="L1" s="8" t="s">
        <v>693</v>
      </c>
      <c r="M1" s="8" t="s">
        <v>694</v>
      </c>
      <c r="N1" s="8" t="s">
        <v>695</v>
      </c>
      <c r="O1" s="8" t="s">
        <v>106</v>
      </c>
      <c r="P1" s="8" t="s">
        <v>696</v>
      </c>
      <c r="Q1" s="8" t="s">
        <v>697</v>
      </c>
      <c r="R1" s="8" t="s">
        <v>698</v>
      </c>
      <c r="S1" s="8" t="s">
        <v>699</v>
      </c>
      <c r="T1" s="8" t="s">
        <v>700</v>
      </c>
      <c r="U1" s="8" t="s">
        <v>701</v>
      </c>
    </row>
    <row r="2" customFormat="false" ht="15" hidden="false" customHeight="false" outlineLevel="0" collapsed="false">
      <c r="A2" s="25" t="s">
        <v>126</v>
      </c>
      <c r="B2" s="25" t="s">
        <v>127</v>
      </c>
      <c r="C2" s="25" t="s">
        <v>127</v>
      </c>
      <c r="D2" s="52" t="n">
        <v>159</v>
      </c>
      <c r="E2" s="52" t="n">
        <v>181</v>
      </c>
      <c r="F2" s="63" t="n">
        <f aca="false">IF(E2="","",D2-E2)</f>
        <v>-22</v>
      </c>
      <c r="G2" s="52" t="n">
        <v>279</v>
      </c>
      <c r="H2" s="52" t="n">
        <v>284</v>
      </c>
      <c r="I2" s="63" t="n">
        <f aca="false">IF(H2="","",G2-H2)</f>
        <v>-5</v>
      </c>
      <c r="J2" s="53" t="n">
        <f aca="false">IF(OR(D2="",D2+G2=0),"",D2/(D2+G2))</f>
        <v>0.363013698630137</v>
      </c>
      <c r="K2" s="53" t="n">
        <f aca="false">IF(E2="","",E2/(E2+H2))</f>
        <v>0.389247311827957</v>
      </c>
      <c r="L2" s="64" t="n">
        <f aca="false">IF(OR(K2="",J2=""),"",(J2-K2)*100)</f>
        <v>-2.623361319782</v>
      </c>
      <c r="M2" s="28" t="n">
        <v>3.19821915242569</v>
      </c>
      <c r="N2" s="28" t="n">
        <v>0.397844942258686</v>
      </c>
      <c r="O2" s="28" t="n">
        <f aca="false">SQRT(M2^2+N2^2)</f>
        <v>3.22286927209642</v>
      </c>
      <c r="P2" s="53" t="n">
        <f aca="false">IF(J2="","",MAX(0,J2-1.96*O2/100))</f>
        <v>0.299845460897047</v>
      </c>
      <c r="Q2" s="53" t="n">
        <f aca="false">IF(J2="","",MIN(1,J2+1.96*O2/100))</f>
        <v>0.426181936363227</v>
      </c>
      <c r="R2" s="25" t="str">
        <f aca="false">IF(L2="","",IF(ABS(L2)&lt;=O2,"Yes","No"))</f>
        <v>Yes</v>
      </c>
      <c r="S2" s="25" t="str">
        <f aca="false">IF(L2="","",IF(ABS(L2)&lt;=1.96*O2,"Yes","No"))</f>
        <v>Yes</v>
      </c>
      <c r="T2" s="52" t="n">
        <f aca="false">IF(D2="","",ROUND(SQRT(((D2+G2)*O2/100)^2+(J2*(D2+G2)*0.1901)^2),0))</f>
        <v>33</v>
      </c>
      <c r="U2" s="25"/>
    </row>
    <row r="3" customFormat="false" ht="15" hidden="false" customHeight="false" outlineLevel="0" collapsed="false">
      <c r="A3" s="25" t="s">
        <v>126</v>
      </c>
      <c r="B3" s="25" t="s">
        <v>131</v>
      </c>
      <c r="C3" s="25" t="s">
        <v>131</v>
      </c>
      <c r="D3" s="52" t="n">
        <v>103</v>
      </c>
      <c r="E3" s="52" t="n">
        <v>118</v>
      </c>
      <c r="F3" s="63" t="n">
        <f aca="false">IF(E3="","",D3-E3)</f>
        <v>-15</v>
      </c>
      <c r="G3" s="52" t="n">
        <v>301</v>
      </c>
      <c r="H3" s="52" t="n">
        <v>298</v>
      </c>
      <c r="I3" s="63" t="n">
        <f aca="false">IF(H3="","",G3-H3)</f>
        <v>3</v>
      </c>
      <c r="J3" s="53" t="n">
        <f aca="false">IF(OR(D3="",D3+G3=0),"",D3/(D3+G3))</f>
        <v>0.254950495049505</v>
      </c>
      <c r="K3" s="53" t="n">
        <f aca="false">IF(E3="","",E3/(E3+H3))</f>
        <v>0.283653846153846</v>
      </c>
      <c r="L3" s="64" t="n">
        <f aca="false">IF(OR(K3="",J3=""),"",(J3-K3)*100)</f>
        <v>-2.87033511043412</v>
      </c>
      <c r="M3" s="28" t="n">
        <v>3.19821915242569</v>
      </c>
      <c r="N3" s="28" t="n">
        <v>0.397844942258686</v>
      </c>
      <c r="O3" s="28" t="n">
        <f aca="false">SQRT(M3^2+N3^2)</f>
        <v>3.22286927209642</v>
      </c>
      <c r="P3" s="53" t="n">
        <f aca="false">IF(J3="","",MAX(0,J3-1.96*O3/100))</f>
        <v>0.191782257316415</v>
      </c>
      <c r="Q3" s="53" t="n">
        <f aca="false">IF(J3="","",MIN(1,J3+1.96*O3/100))</f>
        <v>0.318118732782595</v>
      </c>
      <c r="R3" s="25" t="str">
        <f aca="false">IF(L3="","",IF(ABS(L3)&lt;=O3,"Yes","No"))</f>
        <v>Yes</v>
      </c>
      <c r="S3" s="25" t="str">
        <f aca="false">IF(L3="","",IF(ABS(L3)&lt;=1.96*O3,"Yes","No"))</f>
        <v>Yes</v>
      </c>
      <c r="T3" s="52" t="n">
        <f aca="false">IF(D3="","",ROUND(SQRT(((D3+G3)*O3/100)^2+(J3*(D3+G3)*0.1901)^2),0))</f>
        <v>24</v>
      </c>
      <c r="U3" s="25"/>
    </row>
    <row r="4" customFormat="false" ht="15" hidden="false" customHeight="false" outlineLevel="0" collapsed="false">
      <c r="A4" s="25" t="s">
        <v>126</v>
      </c>
      <c r="B4" s="25" t="s">
        <v>132</v>
      </c>
      <c r="C4" s="25" t="s">
        <v>132</v>
      </c>
      <c r="D4" s="52" t="n">
        <v>126</v>
      </c>
      <c r="E4" s="52" t="n">
        <v>143</v>
      </c>
      <c r="F4" s="63" t="n">
        <f aca="false">IF(E4="","",D4-E4)</f>
        <v>-17</v>
      </c>
      <c r="G4" s="52" t="n">
        <v>277</v>
      </c>
      <c r="H4" s="52" t="n">
        <v>309</v>
      </c>
      <c r="I4" s="63" t="n">
        <f aca="false">IF(H4="","",G4-H4)</f>
        <v>-32</v>
      </c>
      <c r="J4" s="53" t="n">
        <f aca="false">IF(OR(D4="",D4+G4=0),"",D4/(D4+G4))</f>
        <v>0.312655086848635</v>
      </c>
      <c r="K4" s="53" t="n">
        <f aca="false">IF(E4="","",E4/(E4+H4))</f>
        <v>0.316371681415929</v>
      </c>
      <c r="L4" s="64" t="n">
        <f aca="false">IF(OR(K4="",J4=""),"",(J4-K4)*100)</f>
        <v>-0.371659456729395</v>
      </c>
      <c r="M4" s="28" t="n">
        <v>3.19821915242569</v>
      </c>
      <c r="N4" s="28" t="n">
        <v>0.397844942258686</v>
      </c>
      <c r="O4" s="28" t="n">
        <f aca="false">SQRT(M4^2+N4^2)</f>
        <v>3.22286927209642</v>
      </c>
      <c r="P4" s="53" t="n">
        <f aca="false">IF(J4="","",MAX(0,J4-1.96*O4/100))</f>
        <v>0.249486849115545</v>
      </c>
      <c r="Q4" s="53" t="n">
        <f aca="false">IF(J4="","",MIN(1,J4+1.96*O4/100))</f>
        <v>0.375823324581725</v>
      </c>
      <c r="R4" s="25" t="str">
        <f aca="false">IF(L4="","",IF(ABS(L4)&lt;=O4,"Yes","No"))</f>
        <v>Yes</v>
      </c>
      <c r="S4" s="25" t="str">
        <f aca="false">IF(L4="","",IF(ABS(L4)&lt;=1.96*O4,"Yes","No"))</f>
        <v>Yes</v>
      </c>
      <c r="T4" s="52" t="n">
        <f aca="false">IF(D4="","",ROUND(SQRT(((D4+G4)*O4/100)^2+(J4*(D4+G4)*0.1901)^2),0))</f>
        <v>27</v>
      </c>
      <c r="U4" s="25"/>
    </row>
    <row r="5" customFormat="false" ht="15" hidden="false" customHeight="false" outlineLevel="0" collapsed="false">
      <c r="A5" s="25" t="s">
        <v>126</v>
      </c>
      <c r="B5" s="25" t="s">
        <v>133</v>
      </c>
      <c r="C5" s="25" t="s">
        <v>134</v>
      </c>
      <c r="D5" s="52" t="n">
        <v>200</v>
      </c>
      <c r="E5" s="52" t="n">
        <v>202</v>
      </c>
      <c r="F5" s="63" t="n">
        <f aca="false">IF(E5="","",D5-E5)</f>
        <v>-2</v>
      </c>
      <c r="G5" s="52" t="n">
        <v>592</v>
      </c>
      <c r="H5" s="52" t="n">
        <v>640</v>
      </c>
      <c r="I5" s="63" t="n">
        <f aca="false">IF(H5="","",G5-H5)</f>
        <v>-48</v>
      </c>
      <c r="J5" s="53" t="n">
        <f aca="false">IF(OR(D5="",D5+G5=0),"",D5/(D5+G5))</f>
        <v>0.252525252525253</v>
      </c>
      <c r="K5" s="53" t="n">
        <f aca="false">IF(E5="","",E5/(E5+H5))</f>
        <v>0.239904988123515</v>
      </c>
      <c r="L5" s="64" t="n">
        <f aca="false">IF(OR(K5="",J5=""),"",(J5-K5)*100)</f>
        <v>1.26202644017371</v>
      </c>
      <c r="M5" s="28" t="n">
        <v>2.42668038003648</v>
      </c>
      <c r="N5" s="28" t="n">
        <v>0.397844942258686</v>
      </c>
      <c r="O5" s="28" t="n">
        <f aca="false">SQRT(M5^2+N5^2)</f>
        <v>2.45907670985165</v>
      </c>
      <c r="P5" s="53" t="n">
        <f aca="false">IF(J5="","",MAX(0,J5-1.96*O5/100))</f>
        <v>0.20432734901216</v>
      </c>
      <c r="Q5" s="53" t="n">
        <f aca="false">IF(J5="","",MIN(1,J5+1.96*O5/100))</f>
        <v>0.300723156038345</v>
      </c>
      <c r="R5" s="25" t="str">
        <f aca="false">IF(L5="","",IF(ABS(L5)&lt;=O5,"Yes","No"))</f>
        <v>Yes</v>
      </c>
      <c r="S5" s="25" t="str">
        <f aca="false">IF(L5="","",IF(ABS(L5)&lt;=1.96*O5,"Yes","No"))</f>
        <v>Yes</v>
      </c>
      <c r="T5" s="52" t="n">
        <f aca="false">IF(D5="","",ROUND(SQRT(((D5+G5)*O5/100)^2+(J5*(D5+G5)*0.10931)^2),0))</f>
        <v>29</v>
      </c>
      <c r="U5" s="25"/>
    </row>
    <row r="6" customFormat="false" ht="15" hidden="false" customHeight="false" outlineLevel="0" collapsed="false">
      <c r="A6" s="25" t="s">
        <v>126</v>
      </c>
      <c r="B6" s="25" t="s">
        <v>133</v>
      </c>
      <c r="C6" s="25" t="s">
        <v>136</v>
      </c>
      <c r="D6" s="52" t="n">
        <v>201</v>
      </c>
      <c r="E6" s="52" t="n">
        <v>232</v>
      </c>
      <c r="F6" s="63" t="n">
        <f aca="false">IF(E6="","",D6-E6)</f>
        <v>-31</v>
      </c>
      <c r="G6" s="52" t="n">
        <v>582</v>
      </c>
      <c r="H6" s="52" t="n">
        <v>603</v>
      </c>
      <c r="I6" s="63" t="n">
        <f aca="false">IF(H6="","",G6-H6)</f>
        <v>-21</v>
      </c>
      <c r="J6" s="53" t="n">
        <f aca="false">IF(OR(D6="",D6+G6=0),"",D6/(D6+G6))</f>
        <v>0.256704980842912</v>
      </c>
      <c r="K6" s="53" t="n">
        <f aca="false">IF(E6="","",E6/(E6+H6))</f>
        <v>0.277844311377246</v>
      </c>
      <c r="L6" s="64" t="n">
        <f aca="false">IF(OR(K6="",J6=""),"",(J6-K6)*100)</f>
        <v>-2.11393305343336</v>
      </c>
      <c r="M6" s="28" t="n">
        <v>2.42668038003648</v>
      </c>
      <c r="N6" s="28" t="n">
        <v>0.397844942258686</v>
      </c>
      <c r="O6" s="28" t="n">
        <f aca="false">SQRT(M6^2+N6^2)</f>
        <v>2.45907670985165</v>
      </c>
      <c r="P6" s="53" t="n">
        <f aca="false">IF(J6="","",MAX(0,J6-1.96*O6/100))</f>
        <v>0.20850707732982</v>
      </c>
      <c r="Q6" s="53" t="n">
        <f aca="false">IF(J6="","",MIN(1,J6+1.96*O6/100))</f>
        <v>0.304902884356004</v>
      </c>
      <c r="R6" s="25" t="str">
        <f aca="false">IF(L6="","",IF(ABS(L6)&lt;=O6,"Yes","No"))</f>
        <v>Yes</v>
      </c>
      <c r="S6" s="25" t="str">
        <f aca="false">IF(L6="","",IF(ABS(L6)&lt;=1.96*O6,"Yes","No"))</f>
        <v>Yes</v>
      </c>
      <c r="T6" s="52" t="n">
        <f aca="false">IF(D6="","",ROUND(SQRT(((D6+G6)*O6/100)^2+(J6*(D6+G6)*0.10931)^2),0))</f>
        <v>29</v>
      </c>
      <c r="U6" s="25"/>
    </row>
    <row r="7" customFormat="false" ht="15" hidden="false" customHeight="false" outlineLevel="0" collapsed="false">
      <c r="A7" s="25" t="s">
        <v>126</v>
      </c>
      <c r="B7" s="25" t="s">
        <v>137</v>
      </c>
      <c r="C7" s="25" t="s">
        <v>137</v>
      </c>
      <c r="D7" s="52" t="n">
        <v>40</v>
      </c>
      <c r="E7" s="52" t="n">
        <v>38</v>
      </c>
      <c r="F7" s="63" t="n">
        <f aca="false">IF(E7="","",D7-E7)</f>
        <v>2</v>
      </c>
      <c r="G7" s="52" t="n">
        <v>72</v>
      </c>
      <c r="H7" s="52" t="n">
        <v>78</v>
      </c>
      <c r="I7" s="63" t="n">
        <f aca="false">IF(H7="","",G7-H7)</f>
        <v>-6</v>
      </c>
      <c r="J7" s="53" t="n">
        <f aca="false">IF(OR(D7="",D7+G7=0),"",D7/(D7+G7))</f>
        <v>0.357142857142857</v>
      </c>
      <c r="K7" s="53" t="n">
        <f aca="false">IF(E7="","",E7/(E7+H7))</f>
        <v>0.327586206896552</v>
      </c>
      <c r="L7" s="64" t="n">
        <f aca="false">IF(OR(K7="",J7=""),"",(J7-K7)*100)</f>
        <v>2.95566502463054</v>
      </c>
      <c r="M7" s="28" t="n">
        <v>3.19821915242569</v>
      </c>
      <c r="N7" s="28" t="n">
        <v>0.397844942258686</v>
      </c>
      <c r="O7" s="28" t="n">
        <f aca="false">SQRT(M7^2+N7^2)</f>
        <v>3.22286927209642</v>
      </c>
      <c r="P7" s="53" t="n">
        <f aca="false">IF(J7="","",MAX(0,J7-1.96*O7/100))</f>
        <v>0.293974619409767</v>
      </c>
      <c r="Q7" s="53" t="n">
        <f aca="false">IF(J7="","",MIN(1,J7+1.96*O7/100))</f>
        <v>0.420311094875947</v>
      </c>
      <c r="R7" s="25" t="str">
        <f aca="false">IF(L7="","",IF(ABS(L7)&lt;=O7,"Yes","No"))</f>
        <v>Yes</v>
      </c>
      <c r="S7" s="25" t="str">
        <f aca="false">IF(L7="","",IF(ABS(L7)&lt;=1.96*O7,"Yes","No"))</f>
        <v>Yes</v>
      </c>
      <c r="T7" s="52" t="n">
        <f aca="false">IF(D7="","",ROUND(SQRT(((D7+G7)*O7/100)^2+(J7*(D7+G7)*0.1901)^2),0))</f>
        <v>8</v>
      </c>
      <c r="U7" s="25"/>
    </row>
    <row r="8" customFormat="false" ht="15" hidden="false" customHeight="false" outlineLevel="0" collapsed="false">
      <c r="A8" s="25" t="s">
        <v>126</v>
      </c>
      <c r="B8" s="25" t="s">
        <v>138</v>
      </c>
      <c r="C8" s="25" t="s">
        <v>139</v>
      </c>
      <c r="D8" s="52" t="n">
        <v>264</v>
      </c>
      <c r="E8" s="52" t="n">
        <v>301</v>
      </c>
      <c r="F8" s="63" t="n">
        <f aca="false">IF(E8="","",D8-E8)</f>
        <v>-37</v>
      </c>
      <c r="G8" s="52" t="n">
        <v>745</v>
      </c>
      <c r="H8" s="52" t="n">
        <v>760</v>
      </c>
      <c r="I8" s="63" t="n">
        <f aca="false">IF(H8="","",G8-H8)</f>
        <v>-15</v>
      </c>
      <c r="J8" s="53" t="n">
        <f aca="false">IF(OR(D8="",D8+G8=0),"",D8/(D8+G8))</f>
        <v>0.261645193260654</v>
      </c>
      <c r="K8" s="53" t="n">
        <f aca="false">IF(E8="","",E8/(E8+H8))</f>
        <v>0.283694627709708</v>
      </c>
      <c r="L8" s="64" t="n">
        <f aca="false">IF(OR(K8="",J8=""),"",(J8-K8)*100)</f>
        <v>-2.20494344490537</v>
      </c>
      <c r="M8" s="28" t="n">
        <v>2.42668038003648</v>
      </c>
      <c r="N8" s="28" t="n">
        <v>0.397844942258686</v>
      </c>
      <c r="O8" s="28" t="n">
        <f aca="false">SQRT(M8^2+N8^2)</f>
        <v>2.45907670985165</v>
      </c>
      <c r="P8" s="53" t="n">
        <f aca="false">IF(J8="","",MAX(0,J8-1.96*O8/100))</f>
        <v>0.213447289747562</v>
      </c>
      <c r="Q8" s="53" t="n">
        <f aca="false">IF(J8="","",MIN(1,J8+1.96*O8/100))</f>
        <v>0.309843096773747</v>
      </c>
      <c r="R8" s="25" t="str">
        <f aca="false">IF(L8="","",IF(ABS(L8)&lt;=O8,"Yes","No"))</f>
        <v>Yes</v>
      </c>
      <c r="S8" s="25" t="str">
        <f aca="false">IF(L8="","",IF(ABS(L8)&lt;=1.96*O8,"Yes","No"))</f>
        <v>Yes</v>
      </c>
      <c r="T8" s="52" t="n">
        <f aca="false">IF(D8="","",ROUND(SQRT(((D8+G8)*O8/100)^2+(J8*(D8+G8)*0.10931)^2),0))</f>
        <v>38</v>
      </c>
      <c r="U8" s="25"/>
    </row>
    <row r="9" customFormat="false" ht="15" hidden="false" customHeight="false" outlineLevel="0" collapsed="false">
      <c r="A9" s="25" t="s">
        <v>126</v>
      </c>
      <c r="B9" s="25" t="s">
        <v>138</v>
      </c>
      <c r="C9" s="25" t="s">
        <v>140</v>
      </c>
      <c r="D9" s="52" t="n">
        <v>152</v>
      </c>
      <c r="E9" s="52" t="n">
        <v>164</v>
      </c>
      <c r="F9" s="63" t="n">
        <f aca="false">IF(E9="","",D9-E9)</f>
        <v>-12</v>
      </c>
      <c r="G9" s="52" t="n">
        <v>436</v>
      </c>
      <c r="H9" s="52" t="n">
        <v>450</v>
      </c>
      <c r="I9" s="63" t="n">
        <f aca="false">IF(H9="","",G9-H9)</f>
        <v>-14</v>
      </c>
      <c r="J9" s="53" t="n">
        <f aca="false">IF(OR(D9="",D9+G9=0),"",D9/(D9+G9))</f>
        <v>0.258503401360544</v>
      </c>
      <c r="K9" s="53" t="n">
        <f aca="false">IF(E9="","",E9/(E9+H9))</f>
        <v>0.267100977198697</v>
      </c>
      <c r="L9" s="64" t="n">
        <f aca="false">IF(OR(K9="",J9=""),"",(J9-K9)*100)</f>
        <v>-0.859757583815285</v>
      </c>
      <c r="M9" s="28" t="n">
        <v>3.19821915242569</v>
      </c>
      <c r="N9" s="28" t="n">
        <v>0.397844942258686</v>
      </c>
      <c r="O9" s="28" t="n">
        <f aca="false">SQRT(M9^2+N9^2)</f>
        <v>3.22286927209642</v>
      </c>
      <c r="P9" s="53" t="n">
        <f aca="false">IF(J9="","",MAX(0,J9-1.96*O9/100))</f>
        <v>0.195335163627454</v>
      </c>
      <c r="Q9" s="53" t="n">
        <f aca="false">IF(J9="","",MIN(1,J9+1.96*O9/100))</f>
        <v>0.321671639093634</v>
      </c>
      <c r="R9" s="25" t="str">
        <f aca="false">IF(L9="","",IF(ABS(L9)&lt;=O9,"Yes","No"))</f>
        <v>Yes</v>
      </c>
      <c r="S9" s="25" t="str">
        <f aca="false">IF(L9="","",IF(ABS(L9)&lt;=1.96*O9,"Yes","No"))</f>
        <v>Yes</v>
      </c>
      <c r="T9" s="52" t="n">
        <f aca="false">IF(D9="","",ROUND(SQRT(((D9+G9)*O9/100)^2+(J9*(D9+G9)*0.1901)^2),0))</f>
        <v>35</v>
      </c>
      <c r="U9" s="25"/>
    </row>
    <row r="10" customFormat="false" ht="15" hidden="false" customHeight="false" outlineLevel="0" collapsed="false">
      <c r="A10" s="25" t="s">
        <v>126</v>
      </c>
      <c r="B10" s="25" t="s">
        <v>138</v>
      </c>
      <c r="C10" s="25" t="s">
        <v>141</v>
      </c>
      <c r="D10" s="52" t="n">
        <v>209</v>
      </c>
      <c r="E10" s="52" t="n">
        <v>235</v>
      </c>
      <c r="F10" s="63" t="n">
        <f aca="false">IF(E10="","",D10-E10)</f>
        <v>-26</v>
      </c>
      <c r="G10" s="52" t="n">
        <v>629</v>
      </c>
      <c r="H10" s="52" t="n">
        <v>626</v>
      </c>
      <c r="I10" s="63" t="n">
        <f aca="false">IF(H10="","",G10-H10)</f>
        <v>3</v>
      </c>
      <c r="J10" s="53" t="n">
        <f aca="false">IF(OR(D10="",D10+G10=0),"",D10/(D10+G10))</f>
        <v>0.249403341288783</v>
      </c>
      <c r="K10" s="53" t="n">
        <f aca="false">IF(E10="","",E10/(E10+H10))</f>
        <v>0.272938443670151</v>
      </c>
      <c r="L10" s="64" t="n">
        <f aca="false">IF(OR(K10="",J10=""),"",(J10-K10)*100)</f>
        <v>-2.35351023813682</v>
      </c>
      <c r="M10" s="28" t="n">
        <v>2.42668038003648</v>
      </c>
      <c r="N10" s="28" t="n">
        <v>0.397844942258686</v>
      </c>
      <c r="O10" s="28" t="n">
        <f aca="false">SQRT(M10^2+N10^2)</f>
        <v>2.45907670985165</v>
      </c>
      <c r="P10" s="53" t="n">
        <f aca="false">IF(J10="","",MAX(0,J10-1.96*O10/100))</f>
        <v>0.20120543777569</v>
      </c>
      <c r="Q10" s="53" t="n">
        <f aca="false">IF(J10="","",MIN(1,J10+1.96*O10/100))</f>
        <v>0.297601244801875</v>
      </c>
      <c r="R10" s="25" t="str">
        <f aca="false">IF(L10="","",IF(ABS(L10)&lt;=O10,"Yes","No"))</f>
        <v>Yes</v>
      </c>
      <c r="S10" s="25" t="str">
        <f aca="false">IF(L10="","",IF(ABS(L10)&lt;=1.96*O10,"Yes","No"))</f>
        <v>Yes</v>
      </c>
      <c r="T10" s="52" t="n">
        <f aca="false">IF(D10="","",ROUND(SQRT(((D10+G10)*O10/100)^2+(J10*(D10+G10)*0.10931)^2),0))</f>
        <v>31</v>
      </c>
      <c r="U10" s="25"/>
    </row>
    <row r="11" customFormat="false" ht="15" hidden="false" customHeight="false" outlineLevel="0" collapsed="false">
      <c r="A11" s="25" t="s">
        <v>126</v>
      </c>
      <c r="B11" s="25" t="s">
        <v>142</v>
      </c>
      <c r="C11" s="25" t="s">
        <v>143</v>
      </c>
      <c r="D11" s="52" t="n">
        <v>220</v>
      </c>
      <c r="E11" s="52" t="n">
        <v>229</v>
      </c>
      <c r="F11" s="63" t="n">
        <f aca="false">IF(E11="","",D11-E11)</f>
        <v>-9</v>
      </c>
      <c r="G11" s="52" t="n">
        <v>275</v>
      </c>
      <c r="H11" s="52" t="n">
        <v>297</v>
      </c>
      <c r="I11" s="63" t="n">
        <f aca="false">IF(H11="","",G11-H11)</f>
        <v>-22</v>
      </c>
      <c r="J11" s="53" t="n">
        <f aca="false">IF(OR(D11="",D11+G11=0),"",D11/(D11+G11))</f>
        <v>0.444444444444444</v>
      </c>
      <c r="K11" s="53" t="n">
        <f aca="false">IF(E11="","",E11/(E11+H11))</f>
        <v>0.435361216730038</v>
      </c>
      <c r="L11" s="64" t="n">
        <f aca="false">IF(OR(K11="",J11=""),"",(J11-K11)*100)</f>
        <v>0.908322771440639</v>
      </c>
      <c r="M11" s="28" t="n">
        <v>3.19821915242569</v>
      </c>
      <c r="N11" s="28" t="n">
        <v>0.397844942258686</v>
      </c>
      <c r="O11" s="28" t="n">
        <f aca="false">SQRT(M11^2+N11^2)</f>
        <v>3.22286927209642</v>
      </c>
      <c r="P11" s="53" t="n">
        <f aca="false">IF(J11="","",MAX(0,J11-1.96*O11/100))</f>
        <v>0.381276206711355</v>
      </c>
      <c r="Q11" s="53" t="n">
        <f aca="false">IF(J11="","",MIN(1,J11+1.96*O11/100))</f>
        <v>0.507612682177534</v>
      </c>
      <c r="R11" s="25" t="str">
        <f aca="false">IF(L11="","",IF(ABS(L11)&lt;=O11,"Yes","No"))</f>
        <v>Yes</v>
      </c>
      <c r="S11" s="25" t="str">
        <f aca="false">IF(L11="","",IF(ABS(L11)&lt;=1.96*O11,"Yes","No"))</f>
        <v>Yes</v>
      </c>
      <c r="T11" s="52" t="n">
        <f aca="false">IF(D11="","",ROUND(SQRT(((D11+G11)*O11/100)^2+(J11*(D11+G11)*0.1901)^2),0))</f>
        <v>45</v>
      </c>
      <c r="U11" s="25"/>
    </row>
    <row r="12" customFormat="false" ht="15" hidden="false" customHeight="false" outlineLevel="0" collapsed="false">
      <c r="A12" s="25" t="s">
        <v>126</v>
      </c>
      <c r="B12" s="25" t="s">
        <v>142</v>
      </c>
      <c r="C12" s="25" t="s">
        <v>144</v>
      </c>
      <c r="D12" s="52" t="n">
        <v>162</v>
      </c>
      <c r="E12" s="52" t="n">
        <v>163</v>
      </c>
      <c r="F12" s="63" t="n">
        <f aca="false">IF(E12="","",D12-E12)</f>
        <v>-1</v>
      </c>
      <c r="G12" s="52" t="n">
        <v>208</v>
      </c>
      <c r="H12" s="52" t="n">
        <v>226</v>
      </c>
      <c r="I12" s="63" t="n">
        <f aca="false">IF(H12="","",G12-H12)</f>
        <v>-18</v>
      </c>
      <c r="J12" s="53" t="n">
        <f aca="false">IF(OR(D12="",D12+G12=0),"",D12/(D12+G12))</f>
        <v>0.437837837837838</v>
      </c>
      <c r="K12" s="53" t="n">
        <f aca="false">IF(E12="","",E12/(E12+H12))</f>
        <v>0.419023136246787</v>
      </c>
      <c r="L12" s="64" t="n">
        <f aca="false">IF(OR(K12="",J12=""),"",(J12-K12)*100)</f>
        <v>1.88147015910513</v>
      </c>
      <c r="M12" s="28" t="n">
        <v>3.19821915242569</v>
      </c>
      <c r="N12" s="28" t="n">
        <v>0.397844942258686</v>
      </c>
      <c r="O12" s="28" t="n">
        <f aca="false">SQRT(M12^2+N12^2)</f>
        <v>3.22286927209642</v>
      </c>
      <c r="P12" s="53" t="n">
        <f aca="false">IF(J12="","",MAX(0,J12-1.96*O12/100))</f>
        <v>0.374669600104748</v>
      </c>
      <c r="Q12" s="53" t="n">
        <f aca="false">IF(J12="","",MIN(1,J12+1.96*O12/100))</f>
        <v>0.501006075570928</v>
      </c>
      <c r="R12" s="25" t="str">
        <f aca="false">IF(L12="","",IF(ABS(L12)&lt;=O12,"Yes","No"))</f>
        <v>Yes</v>
      </c>
      <c r="S12" s="25" t="str">
        <f aca="false">IF(L12="","",IF(ABS(L12)&lt;=1.96*O12,"Yes","No"))</f>
        <v>Yes</v>
      </c>
      <c r="T12" s="52" t="n">
        <f aca="false">IF(D12="","",ROUND(SQRT(((D12+G12)*O12/100)^2+(J12*(D12+G12)*0.1901)^2),0))</f>
        <v>33</v>
      </c>
      <c r="U12" s="25"/>
    </row>
    <row r="13" customFormat="false" ht="15" hidden="false" customHeight="false" outlineLevel="0" collapsed="false">
      <c r="A13" s="25" t="s">
        <v>126</v>
      </c>
      <c r="B13" s="25" t="s">
        <v>142</v>
      </c>
      <c r="C13" s="25" t="s">
        <v>145</v>
      </c>
      <c r="D13" s="52" t="n">
        <v>279</v>
      </c>
      <c r="E13" s="52" t="n">
        <v>286</v>
      </c>
      <c r="F13" s="63" t="n">
        <f aca="false">IF(E13="","",D13-E13)</f>
        <v>-7</v>
      </c>
      <c r="G13" s="52" t="n">
        <v>446</v>
      </c>
      <c r="H13" s="52" t="n">
        <v>464</v>
      </c>
      <c r="I13" s="63" t="n">
        <f aca="false">IF(H13="","",G13-H13)</f>
        <v>-18</v>
      </c>
      <c r="J13" s="53" t="n">
        <f aca="false">IF(OR(D13="",D13+G13=0),"",D13/(D13+G13))</f>
        <v>0.384827586206897</v>
      </c>
      <c r="K13" s="53" t="n">
        <f aca="false">IF(E13="","",E13/(E13+H13))</f>
        <v>0.381333333333333</v>
      </c>
      <c r="L13" s="64" t="n">
        <f aca="false">IF(OR(K13="",J13=""),"",(J13-K13)*100)</f>
        <v>0.34942528735632</v>
      </c>
      <c r="M13" s="28" t="n">
        <v>3.19821915242569</v>
      </c>
      <c r="N13" s="28" t="n">
        <v>0.397844942258686</v>
      </c>
      <c r="O13" s="28" t="n">
        <f aca="false">SQRT(M13^2+N13^2)</f>
        <v>3.22286927209642</v>
      </c>
      <c r="P13" s="53" t="n">
        <f aca="false">IF(J13="","",MAX(0,J13-1.96*O13/100))</f>
        <v>0.321659348473807</v>
      </c>
      <c r="Q13" s="53" t="n">
        <f aca="false">IF(J13="","",MIN(1,J13+1.96*O13/100))</f>
        <v>0.447995823939986</v>
      </c>
      <c r="R13" s="25" t="str">
        <f aca="false">IF(L13="","",IF(ABS(L13)&lt;=O13,"Yes","No"))</f>
        <v>Yes</v>
      </c>
      <c r="S13" s="25" t="str">
        <f aca="false">IF(L13="","",IF(ABS(L13)&lt;=1.96*O13,"Yes","No"))</f>
        <v>Yes</v>
      </c>
      <c r="T13" s="52" t="n">
        <f aca="false">IF(D13="","",ROUND(SQRT(((D13+G13)*O13/100)^2+(J13*(D13+G13)*0.1901)^2),0))</f>
        <v>58</v>
      </c>
      <c r="U13" s="25"/>
    </row>
    <row r="14" customFormat="false" ht="15" hidden="false" customHeight="false" outlineLevel="0" collapsed="false">
      <c r="A14" s="25" t="s">
        <v>126</v>
      </c>
      <c r="B14" s="25" t="s">
        <v>142</v>
      </c>
      <c r="C14" s="25" t="s">
        <v>146</v>
      </c>
      <c r="D14" s="52" t="n">
        <v>128</v>
      </c>
      <c r="E14" s="52" t="n">
        <v>138</v>
      </c>
      <c r="F14" s="63" t="n">
        <f aca="false">IF(E14="","",D14-E14)</f>
        <v>-10</v>
      </c>
      <c r="G14" s="52" t="n">
        <v>121</v>
      </c>
      <c r="H14" s="52" t="n">
        <v>134</v>
      </c>
      <c r="I14" s="63" t="n">
        <f aca="false">IF(H14="","",G14-H14)</f>
        <v>-13</v>
      </c>
      <c r="J14" s="53" t="n">
        <f aca="false">IF(OR(D14="",D14+G14=0),"",D14/(D14+G14))</f>
        <v>0.514056224899598</v>
      </c>
      <c r="K14" s="53" t="n">
        <f aca="false">IF(E14="","",E14/(E14+H14))</f>
        <v>0.507352941176471</v>
      </c>
      <c r="L14" s="64" t="n">
        <f aca="false">IF(OR(K14="",J14=""),"",(J14-K14)*100)</f>
        <v>0.670328372312778</v>
      </c>
      <c r="M14" s="28" t="n">
        <v>3.19821915242569</v>
      </c>
      <c r="N14" s="28" t="n">
        <v>0.397844942258686</v>
      </c>
      <c r="O14" s="28" t="n">
        <f aca="false">SQRT(M14^2+N14^2)</f>
        <v>3.22286927209642</v>
      </c>
      <c r="P14" s="53" t="n">
        <f aca="false">IF(J14="","",MAX(0,J14-1.96*O14/100))</f>
        <v>0.450887987166508</v>
      </c>
      <c r="Q14" s="53" t="n">
        <f aca="false">IF(J14="","",MIN(1,J14+1.96*O14/100))</f>
        <v>0.577224462632688</v>
      </c>
      <c r="R14" s="25" t="str">
        <f aca="false">IF(L14="","",IF(ABS(L14)&lt;=O14,"Yes","No"))</f>
        <v>Yes</v>
      </c>
      <c r="S14" s="25" t="str">
        <f aca="false">IF(L14="","",IF(ABS(L14)&lt;=1.96*O14,"Yes","No"))</f>
        <v>Yes</v>
      </c>
      <c r="T14" s="52" t="n">
        <f aca="false">IF(D14="","",ROUND(SQRT(((D14+G14)*O14/100)^2+(J14*(D14+G14)*0.1901)^2),0))</f>
        <v>26</v>
      </c>
      <c r="U14" s="25"/>
    </row>
    <row r="15" customFormat="false" ht="15" hidden="false" customHeight="false" outlineLevel="0" collapsed="false">
      <c r="A15" s="25" t="s">
        <v>126</v>
      </c>
      <c r="B15" s="25" t="s">
        <v>142</v>
      </c>
      <c r="C15" s="25" t="s">
        <v>147</v>
      </c>
      <c r="D15" s="52" t="n">
        <v>269</v>
      </c>
      <c r="E15" s="52" t="n">
        <v>275</v>
      </c>
      <c r="F15" s="63" t="n">
        <f aca="false">IF(E15="","",D15-E15)</f>
        <v>-6</v>
      </c>
      <c r="G15" s="52" t="n">
        <v>323</v>
      </c>
      <c r="H15" s="52" t="n">
        <v>352</v>
      </c>
      <c r="I15" s="63" t="n">
        <f aca="false">IF(H15="","",G15-H15)</f>
        <v>-29</v>
      </c>
      <c r="J15" s="53" t="n">
        <f aca="false">IF(OR(D15="",D15+G15=0),"",D15/(D15+G15))</f>
        <v>0.454391891891892</v>
      </c>
      <c r="K15" s="53" t="n">
        <f aca="false">IF(E15="","",E15/(E15+H15))</f>
        <v>0.43859649122807</v>
      </c>
      <c r="L15" s="64" t="n">
        <f aca="false">IF(OR(K15="",J15=""),"",(J15-K15)*100)</f>
        <v>1.57954006638217</v>
      </c>
      <c r="M15" s="28" t="n">
        <v>3.19821915242569</v>
      </c>
      <c r="N15" s="28" t="n">
        <v>0.397844942258686</v>
      </c>
      <c r="O15" s="28" t="n">
        <f aca="false">SQRT(M15^2+N15^2)</f>
        <v>3.22286927209642</v>
      </c>
      <c r="P15" s="53" t="n">
        <f aca="false">IF(J15="","",MAX(0,J15-1.96*O15/100))</f>
        <v>0.391223654158802</v>
      </c>
      <c r="Q15" s="53" t="n">
        <f aca="false">IF(J15="","",MIN(1,J15+1.96*O15/100))</f>
        <v>0.517560129624982</v>
      </c>
      <c r="R15" s="25" t="str">
        <f aca="false">IF(L15="","",IF(ABS(L15)&lt;=O15,"Yes","No"))</f>
        <v>Yes</v>
      </c>
      <c r="S15" s="25" t="str">
        <f aca="false">IF(L15="","",IF(ABS(L15)&lt;=1.96*O15,"Yes","No"))</f>
        <v>Yes</v>
      </c>
      <c r="T15" s="52" t="n">
        <f aca="false">IF(D15="","",ROUND(SQRT(((D15+G15)*O15/100)^2+(J15*(D15+G15)*0.1901)^2),0))</f>
        <v>55</v>
      </c>
      <c r="U15" s="25"/>
    </row>
    <row r="16" customFormat="false" ht="15" hidden="false" customHeight="false" outlineLevel="0" collapsed="false">
      <c r="A16" s="25" t="s">
        <v>126</v>
      </c>
      <c r="B16" s="25" t="s">
        <v>148</v>
      </c>
      <c r="C16" s="25" t="s">
        <v>149</v>
      </c>
      <c r="D16" s="52" t="n">
        <v>108</v>
      </c>
      <c r="E16" s="52" t="n">
        <v>120</v>
      </c>
      <c r="F16" s="63" t="n">
        <f aca="false">IF(E16="","",D16-E16)</f>
        <v>-12</v>
      </c>
      <c r="G16" s="52" t="n">
        <v>218</v>
      </c>
      <c r="H16" s="52" t="n">
        <v>202</v>
      </c>
      <c r="I16" s="63" t="n">
        <f aca="false">IF(H16="","",G16-H16)</f>
        <v>16</v>
      </c>
      <c r="J16" s="53" t="n">
        <f aca="false">IF(OR(D16="",D16+G16=0),"",D16/(D16+G16))</f>
        <v>0.331288343558282</v>
      </c>
      <c r="K16" s="53" t="n">
        <f aca="false">IF(E16="","",E16/(E16+H16))</f>
        <v>0.372670807453416</v>
      </c>
      <c r="L16" s="64" t="n">
        <f aca="false">IF(OR(K16="",J16=""),"",(J16-K16)*100)</f>
        <v>-4.13824638951339</v>
      </c>
      <c r="M16" s="28" t="n">
        <v>3.19821915242569</v>
      </c>
      <c r="N16" s="28" t="n">
        <v>0.397844942258686</v>
      </c>
      <c r="O16" s="28" t="n">
        <f aca="false">SQRT(M16^2+N16^2)</f>
        <v>3.22286927209642</v>
      </c>
      <c r="P16" s="53" t="n">
        <f aca="false">IF(J16="","",MAX(0,J16-1.96*O16/100))</f>
        <v>0.268120105825192</v>
      </c>
      <c r="Q16" s="53" t="n">
        <f aca="false">IF(J16="","",MIN(1,J16+1.96*O16/100))</f>
        <v>0.394456581291372</v>
      </c>
      <c r="R16" s="25" t="str">
        <f aca="false">IF(L16="","",IF(ABS(L16)&lt;=O16,"Yes","No"))</f>
        <v>No</v>
      </c>
      <c r="S16" s="25" t="str">
        <f aca="false">IF(L16="","",IF(ABS(L16)&lt;=1.96*O16,"Yes","No"))</f>
        <v>Yes</v>
      </c>
      <c r="T16" s="52" t="n">
        <f aca="false">IF(D16="","",ROUND(SQRT(((D16+G16)*O16/100)^2+(J16*(D16+G16)*0.1901)^2),0))</f>
        <v>23</v>
      </c>
      <c r="U16" s="25"/>
    </row>
    <row r="17" customFormat="false" ht="15" hidden="false" customHeight="false" outlineLevel="0" collapsed="false">
      <c r="A17" s="25" t="s">
        <v>126</v>
      </c>
      <c r="B17" s="25" t="s">
        <v>148</v>
      </c>
      <c r="C17" s="25" t="s">
        <v>150</v>
      </c>
      <c r="D17" s="52" t="n">
        <v>213</v>
      </c>
      <c r="E17" s="52" t="n">
        <v>227</v>
      </c>
      <c r="F17" s="63" t="n">
        <f aca="false">IF(E17="","",D17-E17)</f>
        <v>-14</v>
      </c>
      <c r="G17" s="52" t="n">
        <v>503</v>
      </c>
      <c r="H17" s="52" t="n">
        <v>484</v>
      </c>
      <c r="I17" s="63" t="n">
        <f aca="false">IF(H17="","",G17-H17)</f>
        <v>19</v>
      </c>
      <c r="J17" s="53" t="n">
        <f aca="false">IF(OR(D17="",D17+G17=0),"",D17/(D17+G17))</f>
        <v>0.297486033519553</v>
      </c>
      <c r="K17" s="53" t="n">
        <f aca="false">IF(E17="","",E17/(E17+H17))</f>
        <v>0.319268635724332</v>
      </c>
      <c r="L17" s="64" t="n">
        <f aca="false">IF(OR(K17="",J17=""),"",(J17-K17)*100)</f>
        <v>-2.17826022047789</v>
      </c>
      <c r="M17" s="28" t="n">
        <v>3.19821915242569</v>
      </c>
      <c r="N17" s="28" t="n">
        <v>0.397844942258686</v>
      </c>
      <c r="O17" s="28" t="n">
        <f aca="false">SQRT(M17^2+N17^2)</f>
        <v>3.22286927209642</v>
      </c>
      <c r="P17" s="53" t="n">
        <f aca="false">IF(J17="","",MAX(0,J17-1.96*O17/100))</f>
        <v>0.234317795786463</v>
      </c>
      <c r="Q17" s="53" t="n">
        <f aca="false">IF(J17="","",MIN(1,J17+1.96*O17/100))</f>
        <v>0.360654271252643</v>
      </c>
      <c r="R17" s="25" t="str">
        <f aca="false">IF(L17="","",IF(ABS(L17)&lt;=O17,"Yes","No"))</f>
        <v>Yes</v>
      </c>
      <c r="S17" s="25" t="str">
        <f aca="false">IF(L17="","",IF(ABS(L17)&lt;=1.96*O17,"Yes","No"))</f>
        <v>Yes</v>
      </c>
      <c r="T17" s="52" t="n">
        <f aca="false">IF(D17="","",ROUND(SQRT(((D17+G17)*O17/100)^2+(J17*(D17+G17)*0.1901)^2),0))</f>
        <v>47</v>
      </c>
      <c r="U17" s="25"/>
    </row>
    <row r="18" customFormat="false" ht="15" hidden="false" customHeight="false" outlineLevel="0" collapsed="false">
      <c r="A18" s="25" t="s">
        <v>126</v>
      </c>
      <c r="B18" s="25" t="s">
        <v>151</v>
      </c>
      <c r="C18" s="25" t="s">
        <v>152</v>
      </c>
      <c r="D18" s="52" t="n">
        <v>271</v>
      </c>
      <c r="E18" s="52" t="n">
        <v>249</v>
      </c>
      <c r="F18" s="63" t="n">
        <f aca="false">IF(E18="","",D18-E18)</f>
        <v>22</v>
      </c>
      <c r="G18" s="52" t="n">
        <v>382</v>
      </c>
      <c r="H18" s="52" t="n">
        <v>392</v>
      </c>
      <c r="I18" s="63" t="n">
        <f aca="false">IF(H18="","",G18-H18)</f>
        <v>-10</v>
      </c>
      <c r="J18" s="53" t="n">
        <f aca="false">IF(OR(D18="",D18+G18=0),"",D18/(D18+G18))</f>
        <v>0.415007656967841</v>
      </c>
      <c r="K18" s="53" t="n">
        <f aca="false">IF(E18="","",E18/(E18+H18))</f>
        <v>0.388455538221529</v>
      </c>
      <c r="L18" s="64" t="n">
        <f aca="false">IF(OR(K18="",J18=""),"",(J18-K18)*100)</f>
        <v>2.65521187463119</v>
      </c>
      <c r="M18" s="28" t="n">
        <v>3.19821915242569</v>
      </c>
      <c r="N18" s="28" t="n">
        <v>0.397844942258686</v>
      </c>
      <c r="O18" s="28" t="n">
        <f aca="false">SQRT(M18^2+N18^2)</f>
        <v>3.22286927209642</v>
      </c>
      <c r="P18" s="53" t="n">
        <f aca="false">IF(J18="","",MAX(0,J18-1.96*O18/100))</f>
        <v>0.351839419234751</v>
      </c>
      <c r="Q18" s="53" t="n">
        <f aca="false">IF(J18="","",MIN(1,J18+1.96*O18/100))</f>
        <v>0.478175894700931</v>
      </c>
      <c r="R18" s="25" t="str">
        <f aca="false">IF(L18="","",IF(ABS(L18)&lt;=O18,"Yes","No"))</f>
        <v>Yes</v>
      </c>
      <c r="S18" s="25" t="str">
        <f aca="false">IF(L18="","",IF(ABS(L18)&lt;=1.96*O18,"Yes","No"))</f>
        <v>Yes</v>
      </c>
      <c r="T18" s="52" t="n">
        <f aca="false">IF(D18="","",ROUND(SQRT(((D18+G18)*O18/100)^2+(J18*(D18+G18)*0.1901)^2),0))</f>
        <v>56</v>
      </c>
      <c r="U18" s="25"/>
    </row>
    <row r="19" customFormat="false" ht="15" hidden="false" customHeight="false" outlineLevel="0" collapsed="false">
      <c r="A19" s="25" t="s">
        <v>126</v>
      </c>
      <c r="B19" s="25" t="s">
        <v>151</v>
      </c>
      <c r="C19" s="25" t="s">
        <v>153</v>
      </c>
      <c r="D19" s="52" t="n">
        <v>168</v>
      </c>
      <c r="E19" s="52" t="n">
        <v>152</v>
      </c>
      <c r="F19" s="63" t="n">
        <f aca="false">IF(E19="","",D19-E19)</f>
        <v>16</v>
      </c>
      <c r="G19" s="52" t="n">
        <v>241</v>
      </c>
      <c r="H19" s="52" t="n">
        <v>246</v>
      </c>
      <c r="I19" s="63" t="n">
        <f aca="false">IF(H19="","",G19-H19)</f>
        <v>-5</v>
      </c>
      <c r="J19" s="53" t="n">
        <f aca="false">IF(OR(D19="",D19+G19=0),"",D19/(D19+G19))</f>
        <v>0.410757946210269</v>
      </c>
      <c r="K19" s="53" t="n">
        <f aca="false">IF(E19="","",E19/(E19+H19))</f>
        <v>0.381909547738693</v>
      </c>
      <c r="L19" s="64" t="n">
        <f aca="false">IF(OR(K19="",J19=""),"",(J19-K19)*100)</f>
        <v>2.88483984715755</v>
      </c>
      <c r="M19" s="28" t="n">
        <v>3.19821915242569</v>
      </c>
      <c r="N19" s="28" t="n">
        <v>0.397844942258686</v>
      </c>
      <c r="O19" s="28" t="n">
        <f aca="false">SQRT(M19^2+N19^2)</f>
        <v>3.22286927209642</v>
      </c>
      <c r="P19" s="53" t="n">
        <f aca="false">IF(J19="","",MAX(0,J19-1.96*O19/100))</f>
        <v>0.347589708477179</v>
      </c>
      <c r="Q19" s="53" t="n">
        <f aca="false">IF(J19="","",MIN(1,J19+1.96*O19/100))</f>
        <v>0.473926183943359</v>
      </c>
      <c r="R19" s="25" t="str">
        <f aca="false">IF(L19="","",IF(ABS(L19)&lt;=O19,"Yes","No"))</f>
        <v>Yes</v>
      </c>
      <c r="S19" s="25" t="str">
        <f aca="false">IF(L19="","",IF(ABS(L19)&lt;=1.96*O19,"Yes","No"))</f>
        <v>Yes</v>
      </c>
      <c r="T19" s="52" t="n">
        <f aca="false">IF(D19="","",ROUND(SQRT(((D19+G19)*O19/100)^2+(J19*(D19+G19)*0.1901)^2),0))</f>
        <v>35</v>
      </c>
      <c r="U19" s="25"/>
    </row>
    <row r="20" customFormat="false" ht="15" hidden="false" customHeight="false" outlineLevel="0" collapsed="false">
      <c r="A20" s="25" t="s">
        <v>126</v>
      </c>
      <c r="B20" s="25" t="s">
        <v>151</v>
      </c>
      <c r="C20" s="25" t="s">
        <v>154</v>
      </c>
      <c r="D20" s="52" t="n">
        <v>154</v>
      </c>
      <c r="E20" s="52" t="n">
        <v>165</v>
      </c>
      <c r="F20" s="63" t="n">
        <f aca="false">IF(E20="","",D20-E20)</f>
        <v>-11</v>
      </c>
      <c r="G20" s="52" t="n">
        <v>193</v>
      </c>
      <c r="H20" s="52" t="n">
        <v>237</v>
      </c>
      <c r="I20" s="63" t="n">
        <f aca="false">IF(H20="","",G20-H20)</f>
        <v>-44</v>
      </c>
      <c r="J20" s="53" t="n">
        <f aca="false">IF(OR(D20="",D20+G20=0),"",D20/(D20+G20))</f>
        <v>0.443804034582133</v>
      </c>
      <c r="K20" s="53" t="n">
        <f aca="false">IF(E20="","",E20/(E20+H20))</f>
        <v>0.41044776119403</v>
      </c>
      <c r="L20" s="64" t="n">
        <f aca="false">IF(OR(K20="",J20=""),"",(J20-K20)*100)</f>
        <v>3.33562733881027</v>
      </c>
      <c r="M20" s="28" t="n">
        <v>3.19821915242569</v>
      </c>
      <c r="N20" s="28" t="n">
        <v>0.397844942258686</v>
      </c>
      <c r="O20" s="28" t="n">
        <f aca="false">SQRT(M20^2+N20^2)</f>
        <v>3.22286927209642</v>
      </c>
      <c r="P20" s="53" t="n">
        <f aca="false">IF(J20="","",MAX(0,J20-1.96*O20/100))</f>
        <v>0.380635796849043</v>
      </c>
      <c r="Q20" s="53" t="n">
        <f aca="false">IF(J20="","",MIN(1,J20+1.96*O20/100))</f>
        <v>0.506972272315223</v>
      </c>
      <c r="R20" s="25" t="str">
        <f aca="false">IF(L20="","",IF(ABS(L20)&lt;=O20,"Yes","No"))</f>
        <v>No</v>
      </c>
      <c r="S20" s="25" t="str">
        <f aca="false">IF(L20="","",IF(ABS(L20)&lt;=1.96*O20,"Yes","No"))</f>
        <v>Yes</v>
      </c>
      <c r="T20" s="52" t="n">
        <f aca="false">IF(D20="","",ROUND(SQRT(((D20+G20)*O20/100)^2+(J20*(D20+G20)*0.1901)^2),0))</f>
        <v>31</v>
      </c>
      <c r="U20" s="25"/>
    </row>
    <row r="21" customFormat="false" ht="15" hidden="false" customHeight="false" outlineLevel="0" collapsed="false">
      <c r="A21" s="25" t="s">
        <v>126</v>
      </c>
      <c r="B21" s="25" t="s">
        <v>155</v>
      </c>
      <c r="C21" s="25" t="s">
        <v>155</v>
      </c>
      <c r="D21" s="52" t="n">
        <v>40</v>
      </c>
      <c r="E21" s="52" t="n">
        <v>38</v>
      </c>
      <c r="F21" s="63" t="n">
        <f aca="false">IF(E21="","",D21-E21)</f>
        <v>2</v>
      </c>
      <c r="G21" s="52" t="n">
        <v>99</v>
      </c>
      <c r="H21" s="52" t="n">
        <v>106</v>
      </c>
      <c r="I21" s="63" t="n">
        <f aca="false">IF(H21="","",G21-H21)</f>
        <v>-7</v>
      </c>
      <c r="J21" s="53" t="n">
        <f aca="false">IF(OR(D21="",D21+G21=0),"",D21/(D21+G21))</f>
        <v>0.287769784172662</v>
      </c>
      <c r="K21" s="53" t="n">
        <f aca="false">IF(E21="","",E21/(E21+H21))</f>
        <v>0.263888888888889</v>
      </c>
      <c r="L21" s="64" t="n">
        <f aca="false">IF(OR(K21="",J21=""),"",(J21-K21)*100)</f>
        <v>2.3880895283773</v>
      </c>
      <c r="M21" s="28" t="n">
        <v>3.19821915242569</v>
      </c>
      <c r="N21" s="28" t="n">
        <v>0.397844942258686</v>
      </c>
      <c r="O21" s="28" t="n">
        <f aca="false">SQRT(M21^2+N21^2)</f>
        <v>3.22286927209642</v>
      </c>
      <c r="P21" s="53" t="n">
        <f aca="false">IF(J21="","",MAX(0,J21-1.96*O21/100))</f>
        <v>0.224601546439572</v>
      </c>
      <c r="Q21" s="53" t="n">
        <f aca="false">IF(J21="","",MIN(1,J21+1.96*O21/100))</f>
        <v>0.350938021905752</v>
      </c>
      <c r="R21" s="25" t="str">
        <f aca="false">IF(L21="","",IF(ABS(L21)&lt;=O21,"Yes","No"))</f>
        <v>Yes</v>
      </c>
      <c r="S21" s="25" t="str">
        <f aca="false">IF(L21="","",IF(ABS(L21)&lt;=1.96*O21,"Yes","No"))</f>
        <v>Yes</v>
      </c>
      <c r="T21" s="52" t="n">
        <f aca="false">IF(D21="","",ROUND(SQRT(((D21+G21)*O21/100)^2+(J21*(D21+G21)*0.1901)^2),0))</f>
        <v>9</v>
      </c>
      <c r="U21" s="25"/>
    </row>
    <row r="22" customFormat="false" ht="15" hidden="false" customHeight="false" outlineLevel="0" collapsed="false">
      <c r="A22" s="25" t="s">
        <v>126</v>
      </c>
      <c r="B22" s="25" t="s">
        <v>156</v>
      </c>
      <c r="C22" s="25" t="s">
        <v>156</v>
      </c>
      <c r="D22" s="52" t="n">
        <v>48</v>
      </c>
      <c r="E22" s="52" t="n">
        <v>58</v>
      </c>
      <c r="F22" s="63" t="n">
        <f aca="false">IF(E22="","",D22-E22)</f>
        <v>-10</v>
      </c>
      <c r="G22" s="52" t="n">
        <v>216</v>
      </c>
      <c r="H22" s="52" t="n">
        <v>214</v>
      </c>
      <c r="I22" s="63" t="n">
        <f aca="false">IF(H22="","",G22-H22)</f>
        <v>2</v>
      </c>
      <c r="J22" s="53" t="n">
        <f aca="false">IF(OR(D22="",D22+G22=0),"",D22/(D22+G22))</f>
        <v>0.181818181818182</v>
      </c>
      <c r="K22" s="53" t="n">
        <f aca="false">IF(E22="","",E22/(E22+H22))</f>
        <v>0.213235294117647</v>
      </c>
      <c r="L22" s="64" t="n">
        <f aca="false">IF(OR(K22="",J22=""),"",(J22-K22)*100)</f>
        <v>-3.14171122994652</v>
      </c>
      <c r="M22" s="28" t="n">
        <v>3.19821915242569</v>
      </c>
      <c r="N22" s="28" t="n">
        <v>0.397844942258686</v>
      </c>
      <c r="O22" s="28" t="n">
        <f aca="false">SQRT(M22^2+N22^2)</f>
        <v>3.22286927209642</v>
      </c>
      <c r="P22" s="53" t="n">
        <f aca="false">IF(J22="","",MAX(0,J22-1.96*O22/100))</f>
        <v>0.118649944085092</v>
      </c>
      <c r="Q22" s="53" t="n">
        <f aca="false">IF(J22="","",MIN(1,J22+1.96*O22/100))</f>
        <v>0.244986419551272</v>
      </c>
      <c r="R22" s="25" t="str">
        <f aca="false">IF(L22="","",IF(ABS(L22)&lt;=O22,"Yes","No"))</f>
        <v>Yes</v>
      </c>
      <c r="S22" s="25" t="str">
        <f aca="false">IF(L22="","",IF(ABS(L22)&lt;=1.96*O22,"Yes","No"))</f>
        <v>Yes</v>
      </c>
      <c r="T22" s="52" t="n">
        <f aca="false">IF(D22="","",ROUND(SQRT(((D22+G22)*O22/100)^2+(J22*(D22+G22)*0.1901)^2),0))</f>
        <v>12</v>
      </c>
      <c r="U22" s="25"/>
    </row>
    <row r="23" customFormat="false" ht="15" hidden="false" customHeight="false" outlineLevel="0" collapsed="false">
      <c r="A23" s="25" t="s">
        <v>126</v>
      </c>
      <c r="B23" s="25" t="s">
        <v>157</v>
      </c>
      <c r="C23" s="25" t="s">
        <v>158</v>
      </c>
      <c r="D23" s="52" t="n">
        <v>307</v>
      </c>
      <c r="E23" s="52" t="n">
        <v>321</v>
      </c>
      <c r="F23" s="63" t="n">
        <f aca="false">IF(E23="","",D23-E23)</f>
        <v>-14</v>
      </c>
      <c r="G23" s="52" t="n">
        <v>478</v>
      </c>
      <c r="H23" s="52" t="n">
        <v>498</v>
      </c>
      <c r="I23" s="63" t="n">
        <f aca="false">IF(H23="","",G23-H23)</f>
        <v>-20</v>
      </c>
      <c r="J23" s="53" t="n">
        <f aca="false">IF(OR(D23="",D23+G23=0),"",D23/(D23+G23))</f>
        <v>0.391082802547771</v>
      </c>
      <c r="K23" s="53" t="n">
        <f aca="false">IF(E23="","",E23/(E23+H23))</f>
        <v>0.391941391941392</v>
      </c>
      <c r="L23" s="64" t="n">
        <f aca="false">IF(OR(K23="",J23=""),"",(J23-K23)*100)</f>
        <v>-0.0858589393621212</v>
      </c>
      <c r="M23" s="28" t="n">
        <v>2.42668038003648</v>
      </c>
      <c r="N23" s="28" t="n">
        <v>0.397844942258686</v>
      </c>
      <c r="O23" s="28" t="n">
        <f aca="false">SQRT(M23^2+N23^2)</f>
        <v>2.45907670985165</v>
      </c>
      <c r="P23" s="53" t="n">
        <f aca="false">IF(J23="","",MAX(0,J23-1.96*O23/100))</f>
        <v>0.342884899034678</v>
      </c>
      <c r="Q23" s="53" t="n">
        <f aca="false">IF(J23="","",MIN(1,J23+1.96*O23/100))</f>
        <v>0.439280706060863</v>
      </c>
      <c r="R23" s="25" t="str">
        <f aca="false">IF(L23="","",IF(ABS(L23)&lt;=O23,"Yes","No"))</f>
        <v>Yes</v>
      </c>
      <c r="S23" s="25" t="str">
        <f aca="false">IF(L23="","",IF(ABS(L23)&lt;=1.96*O23,"Yes","No"))</f>
        <v>Yes</v>
      </c>
      <c r="T23" s="52" t="n">
        <f aca="false">IF(D23="","",ROUND(SQRT(((D23+G23)*O23/100)^2+(J23*(D23+G23)*0.10931)^2),0))</f>
        <v>39</v>
      </c>
      <c r="U23" s="25"/>
    </row>
    <row r="24" customFormat="false" ht="15" hidden="false" customHeight="false" outlineLevel="0" collapsed="false">
      <c r="A24" s="25" t="s">
        <v>126</v>
      </c>
      <c r="B24" s="25" t="s">
        <v>157</v>
      </c>
      <c r="C24" s="25" t="s">
        <v>159</v>
      </c>
      <c r="D24" s="52" t="n">
        <v>287</v>
      </c>
      <c r="E24" s="52" t="n">
        <v>288</v>
      </c>
      <c r="F24" s="63" t="n">
        <f aca="false">IF(E24="","",D24-E24)</f>
        <v>-1</v>
      </c>
      <c r="G24" s="52" t="n">
        <v>417</v>
      </c>
      <c r="H24" s="52" t="n">
        <v>448</v>
      </c>
      <c r="I24" s="63" t="n">
        <f aca="false">IF(H24="","",G24-H24)</f>
        <v>-31</v>
      </c>
      <c r="J24" s="53" t="n">
        <f aca="false">IF(OR(D24="",D24+G24=0),"",D24/(D24+G24))</f>
        <v>0.407670454545455</v>
      </c>
      <c r="K24" s="53" t="n">
        <f aca="false">IF(E24="","",E24/(E24+H24))</f>
        <v>0.391304347826087</v>
      </c>
      <c r="L24" s="64" t="n">
        <f aca="false">IF(OR(K24="",J24=""),"",(J24-K24)*100)</f>
        <v>1.63661067193676</v>
      </c>
      <c r="M24" s="28" t="n">
        <v>3.19821915242569</v>
      </c>
      <c r="N24" s="28" t="n">
        <v>0.397844942258686</v>
      </c>
      <c r="O24" s="28" t="n">
        <f aca="false">SQRT(M24^2+N24^2)</f>
        <v>3.22286927209642</v>
      </c>
      <c r="P24" s="53" t="n">
        <f aca="false">IF(J24="","",MAX(0,J24-1.96*O24/100))</f>
        <v>0.344502216812365</v>
      </c>
      <c r="Q24" s="53" t="n">
        <f aca="false">IF(J24="","",MIN(1,J24+1.96*O24/100))</f>
        <v>0.470838692278544</v>
      </c>
      <c r="R24" s="25" t="str">
        <f aca="false">IF(L24="","",IF(ABS(L24)&lt;=O24,"Yes","No"))</f>
        <v>Yes</v>
      </c>
      <c r="S24" s="25" t="str">
        <f aca="false">IF(L24="","",IF(ABS(L24)&lt;=1.96*O24,"Yes","No"))</f>
        <v>Yes</v>
      </c>
      <c r="T24" s="52" t="n">
        <f aca="false">IF(D24="","",ROUND(SQRT(((D24+G24)*O24/100)^2+(J24*(D24+G24)*0.1901)^2),0))</f>
        <v>59</v>
      </c>
      <c r="U24" s="25"/>
    </row>
    <row r="25" customFormat="false" ht="15" hidden="false" customHeight="false" outlineLevel="0" collapsed="false">
      <c r="A25" s="25" t="s">
        <v>126</v>
      </c>
      <c r="B25" s="25" t="s">
        <v>157</v>
      </c>
      <c r="C25" s="25" t="s">
        <v>160</v>
      </c>
      <c r="D25" s="52" t="n">
        <v>303</v>
      </c>
      <c r="E25" s="52" t="n">
        <v>317</v>
      </c>
      <c r="F25" s="63" t="n">
        <f aca="false">IF(E25="","",D25-E25)</f>
        <v>-14</v>
      </c>
      <c r="G25" s="52" t="n">
        <v>472</v>
      </c>
      <c r="H25" s="52" t="n">
        <v>527</v>
      </c>
      <c r="I25" s="63" t="n">
        <f aca="false">IF(H25="","",G25-H25)</f>
        <v>-55</v>
      </c>
      <c r="J25" s="53" t="n">
        <f aca="false">IF(OR(D25="",D25+G25=0),"",D25/(D25+G25))</f>
        <v>0.390967741935484</v>
      </c>
      <c r="K25" s="53" t="n">
        <f aca="false">IF(E25="","",E25/(E25+H25))</f>
        <v>0.375592417061611</v>
      </c>
      <c r="L25" s="64" t="n">
        <f aca="false">IF(OR(K25="",J25=""),"",(J25-K25)*100)</f>
        <v>1.53753248738725</v>
      </c>
      <c r="M25" s="28" t="n">
        <v>2.42668038003648</v>
      </c>
      <c r="N25" s="28" t="n">
        <v>0.397844942258686</v>
      </c>
      <c r="O25" s="28" t="n">
        <f aca="false">SQRT(M25^2+N25^2)</f>
        <v>2.45907670985165</v>
      </c>
      <c r="P25" s="53" t="n">
        <f aca="false">IF(J25="","",MAX(0,J25-1.96*O25/100))</f>
        <v>0.342769838422392</v>
      </c>
      <c r="Q25" s="53" t="n">
        <f aca="false">IF(J25="","",MIN(1,J25+1.96*O25/100))</f>
        <v>0.439165645448576</v>
      </c>
      <c r="R25" s="25" t="str">
        <f aca="false">IF(L25="","",IF(ABS(L25)&lt;=O25,"Yes","No"))</f>
        <v>Yes</v>
      </c>
      <c r="S25" s="25" t="str">
        <f aca="false">IF(L25="","",IF(ABS(L25)&lt;=1.96*O25,"Yes","No"))</f>
        <v>Yes</v>
      </c>
      <c r="T25" s="52" t="n">
        <f aca="false">IF(D25="","",ROUND(SQRT(((D25+G25)*O25/100)^2+(J25*(D25+G25)*0.10931)^2),0))</f>
        <v>38</v>
      </c>
      <c r="U25" s="25"/>
    </row>
    <row r="26" customFormat="false" ht="15" hidden="false" customHeight="false" outlineLevel="0" collapsed="false">
      <c r="A26" s="25" t="s">
        <v>126</v>
      </c>
      <c r="B26" s="25" t="s">
        <v>161</v>
      </c>
      <c r="C26" s="25" t="s">
        <v>162</v>
      </c>
      <c r="D26" s="52" t="n">
        <v>292</v>
      </c>
      <c r="E26" s="52" t="n">
        <v>285</v>
      </c>
      <c r="F26" s="63" t="n">
        <f aca="false">IF(E26="","",D26-E26)</f>
        <v>7</v>
      </c>
      <c r="G26" s="52" t="n">
        <v>713</v>
      </c>
      <c r="H26" s="52" t="n">
        <v>760</v>
      </c>
      <c r="I26" s="63" t="n">
        <f aca="false">IF(H26="","",G26-H26)</f>
        <v>-47</v>
      </c>
      <c r="J26" s="53" t="n">
        <f aca="false">IF(OR(D26="",D26+G26=0),"",D26/(D26+G26))</f>
        <v>0.290547263681592</v>
      </c>
      <c r="K26" s="53" t="n">
        <f aca="false">IF(E26="","",E26/(E26+H26))</f>
        <v>0.272727272727273</v>
      </c>
      <c r="L26" s="64" t="n">
        <f aca="false">IF(OR(K26="",J26=""),"",(J26-K26)*100)</f>
        <v>1.78199909543194</v>
      </c>
      <c r="M26" s="28" t="n">
        <v>2.42668038003648</v>
      </c>
      <c r="N26" s="28" t="n">
        <v>0.397844942258686</v>
      </c>
      <c r="O26" s="28" t="n">
        <f aca="false">SQRT(M26^2+N26^2)</f>
        <v>2.45907670985165</v>
      </c>
      <c r="P26" s="53" t="n">
        <f aca="false">IF(J26="","",MAX(0,J26-1.96*O26/100))</f>
        <v>0.2423493601685</v>
      </c>
      <c r="Q26" s="53" t="n">
        <f aca="false">IF(J26="","",MIN(1,J26+1.96*O26/100))</f>
        <v>0.338745167194684</v>
      </c>
      <c r="R26" s="25" t="str">
        <f aca="false">IF(L26="","",IF(ABS(L26)&lt;=O26,"Yes","No"))</f>
        <v>Yes</v>
      </c>
      <c r="S26" s="25" t="str">
        <f aca="false">IF(L26="","",IF(ABS(L26)&lt;=1.96*O26,"Yes","No"))</f>
        <v>Yes</v>
      </c>
      <c r="T26" s="52" t="n">
        <f aca="false">IF(D26="","",ROUND(SQRT(((D26+G26)*O26/100)^2+(J26*(D26+G26)*0.10931)^2),0))</f>
        <v>40</v>
      </c>
      <c r="U26" s="25"/>
    </row>
    <row r="27" customFormat="false" ht="15" hidden="false" customHeight="false" outlineLevel="0" collapsed="false">
      <c r="A27" s="25" t="s">
        <v>126</v>
      </c>
      <c r="B27" s="25" t="s">
        <v>161</v>
      </c>
      <c r="C27" s="25" t="s">
        <v>163</v>
      </c>
      <c r="D27" s="52" t="n">
        <v>210</v>
      </c>
      <c r="E27" s="52" t="n">
        <v>228</v>
      </c>
      <c r="F27" s="63" t="n">
        <f aca="false">IF(E27="","",D27-E27)</f>
        <v>-18</v>
      </c>
      <c r="G27" s="52" t="n">
        <v>465</v>
      </c>
      <c r="H27" s="52" t="n">
        <v>522</v>
      </c>
      <c r="I27" s="63" t="n">
        <f aca="false">IF(H27="","",G27-H27)</f>
        <v>-57</v>
      </c>
      <c r="J27" s="53" t="n">
        <f aca="false">IF(OR(D27="",D27+G27=0),"",D27/(D27+G27))</f>
        <v>0.311111111111111</v>
      </c>
      <c r="K27" s="53" t="n">
        <f aca="false">IF(E27="","",E27/(E27+H27))</f>
        <v>0.304</v>
      </c>
      <c r="L27" s="64" t="n">
        <f aca="false">IF(OR(K27="",J27=""),"",(J27-K27)*100)</f>
        <v>0.711111111111112</v>
      </c>
      <c r="M27" s="28" t="n">
        <v>3.19821915242569</v>
      </c>
      <c r="N27" s="28" t="n">
        <v>0.397844942258686</v>
      </c>
      <c r="O27" s="28" t="n">
        <f aca="false">SQRT(M27^2+N27^2)</f>
        <v>3.22286927209642</v>
      </c>
      <c r="P27" s="53" t="n">
        <f aca="false">IF(J27="","",MAX(0,J27-1.96*O27/100))</f>
        <v>0.247942873378021</v>
      </c>
      <c r="Q27" s="53" t="n">
        <f aca="false">IF(J27="","",MIN(1,J27+1.96*O27/100))</f>
        <v>0.374279348844201</v>
      </c>
      <c r="R27" s="25" t="str">
        <f aca="false">IF(L27="","",IF(ABS(L27)&lt;=O27,"Yes","No"))</f>
        <v>Yes</v>
      </c>
      <c r="S27" s="25" t="str">
        <f aca="false">IF(L27="","",IF(ABS(L27)&lt;=1.96*O27,"Yes","No"))</f>
        <v>Yes</v>
      </c>
      <c r="T27" s="52" t="n">
        <f aca="false">IF(D27="","",ROUND(SQRT(((D27+G27)*O27/100)^2+(J27*(D27+G27)*0.1901)^2),0))</f>
        <v>45</v>
      </c>
      <c r="U27" s="25"/>
    </row>
    <row r="28" customFormat="false" ht="15" hidden="false" customHeight="false" outlineLevel="0" collapsed="false">
      <c r="A28" s="25" t="s">
        <v>126</v>
      </c>
      <c r="B28" s="25" t="s">
        <v>164</v>
      </c>
      <c r="C28" s="25" t="s">
        <v>165</v>
      </c>
      <c r="D28" s="52" t="n">
        <v>129</v>
      </c>
      <c r="E28" s="52" t="n">
        <v>135</v>
      </c>
      <c r="F28" s="63" t="n">
        <f aca="false">IF(E28="","",D28-E28)</f>
        <v>-6</v>
      </c>
      <c r="G28" s="52" t="n">
        <v>388</v>
      </c>
      <c r="H28" s="52" t="n">
        <v>395</v>
      </c>
      <c r="I28" s="63" t="n">
        <f aca="false">IF(H28="","",G28-H28)</f>
        <v>-7</v>
      </c>
      <c r="J28" s="53" t="n">
        <f aca="false">IF(OR(D28="",D28+G28=0),"",D28/(D28+G28))</f>
        <v>0.249516441005803</v>
      </c>
      <c r="K28" s="53" t="n">
        <f aca="false">IF(E28="","",E28/(E28+H28))</f>
        <v>0.254716981132075</v>
      </c>
      <c r="L28" s="64" t="n">
        <f aca="false">IF(OR(K28="",J28=""),"",(J28-K28)*100)</f>
        <v>-0.520054012627277</v>
      </c>
      <c r="M28" s="28" t="n">
        <v>3.19821915242569</v>
      </c>
      <c r="N28" s="28" t="n">
        <v>0.397844942258686</v>
      </c>
      <c r="O28" s="28" t="n">
        <f aca="false">SQRT(M28^2+N28^2)</f>
        <v>3.22286927209642</v>
      </c>
      <c r="P28" s="53" t="n">
        <f aca="false">IF(J28="","",MAX(0,J28-1.96*O28/100))</f>
        <v>0.186348203272713</v>
      </c>
      <c r="Q28" s="53" t="n">
        <f aca="false">IF(J28="","",MIN(1,J28+1.96*O28/100))</f>
        <v>0.312684678738893</v>
      </c>
      <c r="R28" s="25" t="str">
        <f aca="false">IF(L28="","",IF(ABS(L28)&lt;=O28,"Yes","No"))</f>
        <v>Yes</v>
      </c>
      <c r="S28" s="25" t="str">
        <f aca="false">IF(L28="","",IF(ABS(L28)&lt;=1.96*O28,"Yes","No"))</f>
        <v>Yes</v>
      </c>
      <c r="T28" s="52" t="n">
        <f aca="false">IF(D28="","",ROUND(SQRT(((D28+G28)*O28/100)^2+(J28*(D28+G28)*0.1901)^2),0))</f>
        <v>30</v>
      </c>
      <c r="U28" s="25"/>
    </row>
    <row r="29" customFormat="false" ht="15" hidden="false" customHeight="false" outlineLevel="0" collapsed="false">
      <c r="A29" s="25" t="s">
        <v>126</v>
      </c>
      <c r="B29" s="25" t="s">
        <v>164</v>
      </c>
      <c r="C29" s="25" t="s">
        <v>166</v>
      </c>
      <c r="D29" s="52" t="n">
        <v>112</v>
      </c>
      <c r="E29" s="52" t="n">
        <v>124</v>
      </c>
      <c r="F29" s="63" t="n">
        <f aca="false">IF(E29="","",D29-E29)</f>
        <v>-12</v>
      </c>
      <c r="G29" s="52" t="n">
        <v>283</v>
      </c>
      <c r="H29" s="52" t="n">
        <v>298</v>
      </c>
      <c r="I29" s="63" t="n">
        <f aca="false">IF(H29="","",G29-H29)</f>
        <v>-15</v>
      </c>
      <c r="J29" s="53" t="n">
        <f aca="false">IF(OR(D29="",D29+G29=0),"",D29/(D29+G29))</f>
        <v>0.283544303797468</v>
      </c>
      <c r="K29" s="53" t="n">
        <f aca="false">IF(E29="","",E29/(E29+H29))</f>
        <v>0.293838862559242</v>
      </c>
      <c r="L29" s="64" t="n">
        <f aca="false">IF(OR(K29="",J29=""),"",(J29-K29)*100)</f>
        <v>-1.02945587617733</v>
      </c>
      <c r="M29" s="28" t="n">
        <v>3.19821915242569</v>
      </c>
      <c r="N29" s="28" t="n">
        <v>0.397844942258686</v>
      </c>
      <c r="O29" s="28" t="n">
        <f aca="false">SQRT(M29^2+N29^2)</f>
        <v>3.22286927209642</v>
      </c>
      <c r="P29" s="53" t="n">
        <f aca="false">IF(J29="","",MAX(0,J29-1.96*O29/100))</f>
        <v>0.220376066064378</v>
      </c>
      <c r="Q29" s="53" t="n">
        <f aca="false">IF(J29="","",MIN(1,J29+1.96*O29/100))</f>
        <v>0.346712541530558</v>
      </c>
      <c r="R29" s="25" t="str">
        <f aca="false">IF(L29="","",IF(ABS(L29)&lt;=O29,"Yes","No"))</f>
        <v>Yes</v>
      </c>
      <c r="S29" s="25" t="str">
        <f aca="false">IF(L29="","",IF(ABS(L29)&lt;=1.96*O29,"Yes","No"))</f>
        <v>Yes</v>
      </c>
      <c r="T29" s="52" t="n">
        <f aca="false">IF(D29="","",ROUND(SQRT(((D29+G29)*O29/100)^2+(J29*(D29+G29)*0.1901)^2),0))</f>
        <v>25</v>
      </c>
      <c r="U29" s="25"/>
    </row>
    <row r="30" customFormat="false" ht="15" hidden="false" customHeight="false" outlineLevel="0" collapsed="false">
      <c r="A30" s="25" t="s">
        <v>126</v>
      </c>
      <c r="B30" s="25" t="s">
        <v>164</v>
      </c>
      <c r="C30" s="25" t="s">
        <v>167</v>
      </c>
      <c r="D30" s="52" t="n">
        <v>354</v>
      </c>
      <c r="E30" s="52" t="n">
        <v>424</v>
      </c>
      <c r="F30" s="63" t="n">
        <f aca="false">IF(E30="","",D30-E30)</f>
        <v>-70</v>
      </c>
      <c r="G30" s="52" t="n">
        <v>923</v>
      </c>
      <c r="H30" s="52" t="n">
        <v>988</v>
      </c>
      <c r="I30" s="63" t="n">
        <f aca="false">IF(H30="","",G30-H30)</f>
        <v>-65</v>
      </c>
      <c r="J30" s="53" t="n">
        <f aca="false">IF(OR(D30="",D30+G30=0),"",D30/(D30+G30))</f>
        <v>0.277212216131558</v>
      </c>
      <c r="K30" s="53" t="n">
        <f aca="false">IF(E30="","",E30/(E30+H30))</f>
        <v>0.30028328611898</v>
      </c>
      <c r="L30" s="64" t="n">
        <f aca="false">IF(OR(K30="",J30=""),"",(J30-K30)*100)</f>
        <v>-2.30710699874219</v>
      </c>
      <c r="M30" s="28" t="n">
        <v>2.49017287917352</v>
      </c>
      <c r="N30" s="28" t="n">
        <v>0.397844942258686</v>
      </c>
      <c r="O30" s="28" t="n">
        <f aca="false">SQRT(M30^2+N30^2)</f>
        <v>2.52175366882892</v>
      </c>
      <c r="P30" s="53" t="n">
        <f aca="false">IF(J30="","",MAX(0,J30-1.96*O30/100))</f>
        <v>0.227785844222511</v>
      </c>
      <c r="Q30" s="53" t="n">
        <f aca="false">IF(J30="","",MIN(1,J30+1.96*O30/100))</f>
        <v>0.326638588040605</v>
      </c>
      <c r="R30" s="25" t="str">
        <f aca="false">IF(L30="","",IF(ABS(L30)&lt;=O30,"Yes","No"))</f>
        <v>Yes</v>
      </c>
      <c r="S30" s="25" t="str">
        <f aca="false">IF(L30="","",IF(ABS(L30)&lt;=1.96*O30,"Yes","No"))</f>
        <v>Yes</v>
      </c>
      <c r="T30" s="52" t="n">
        <f aca="false">IF(D30="","",ROUND(SQRT(((D30+G30)*O30/100)^2+(J30*(D30+G30)*0.08889)^2),0))</f>
        <v>45</v>
      </c>
      <c r="U30" s="25"/>
    </row>
    <row r="31" customFormat="false" ht="15" hidden="false" customHeight="false" outlineLevel="0" collapsed="false">
      <c r="A31" s="25" t="s">
        <v>126</v>
      </c>
      <c r="B31" s="25" t="s">
        <v>169</v>
      </c>
      <c r="C31" s="25" t="s">
        <v>170</v>
      </c>
      <c r="D31" s="52" t="n">
        <v>286</v>
      </c>
      <c r="E31" s="52" t="n">
        <v>279</v>
      </c>
      <c r="F31" s="63" t="n">
        <f aca="false">IF(E31="","",D31-E31)</f>
        <v>7</v>
      </c>
      <c r="G31" s="52" t="n">
        <v>418</v>
      </c>
      <c r="H31" s="52" t="n">
        <v>445</v>
      </c>
      <c r="I31" s="63" t="n">
        <f aca="false">IF(H31="","",G31-H31)</f>
        <v>-27</v>
      </c>
      <c r="J31" s="53" t="n">
        <f aca="false">IF(OR(D31="",D31+G31=0),"",D31/(D31+G31))</f>
        <v>0.40625</v>
      </c>
      <c r="K31" s="53" t="n">
        <f aca="false">IF(E31="","",E31/(E31+H31))</f>
        <v>0.385359116022099</v>
      </c>
      <c r="L31" s="64" t="n">
        <f aca="false">IF(OR(K31="",J31=""),"",(J31-K31)*100)</f>
        <v>2.08908839779006</v>
      </c>
      <c r="M31" s="28" t="n">
        <v>3.19821915242569</v>
      </c>
      <c r="N31" s="28" t="n">
        <v>0.397844942258686</v>
      </c>
      <c r="O31" s="28" t="n">
        <f aca="false">SQRT(M31^2+N31^2)</f>
        <v>3.22286927209642</v>
      </c>
      <c r="P31" s="53" t="n">
        <f aca="false">IF(J31="","",MAX(0,J31-1.96*O31/100))</f>
        <v>0.34308176226691</v>
      </c>
      <c r="Q31" s="53" t="n">
        <f aca="false">IF(J31="","",MIN(1,J31+1.96*O31/100))</f>
        <v>0.46941823773309</v>
      </c>
      <c r="R31" s="25" t="str">
        <f aca="false">IF(L31="","",IF(ABS(L31)&lt;=O31,"Yes","No"))</f>
        <v>Yes</v>
      </c>
      <c r="S31" s="25" t="str">
        <f aca="false">IF(L31="","",IF(ABS(L31)&lt;=1.96*O31,"Yes","No"))</f>
        <v>Yes</v>
      </c>
      <c r="T31" s="52" t="n">
        <f aca="false">IF(D31="","",ROUND(SQRT(((D31+G31)*O31/100)^2+(J31*(D31+G31)*0.1901)^2),0))</f>
        <v>59</v>
      </c>
      <c r="U31" s="25"/>
    </row>
    <row r="32" customFormat="false" ht="15" hidden="false" customHeight="false" outlineLevel="0" collapsed="false">
      <c r="A32" s="25" t="s">
        <v>126</v>
      </c>
      <c r="B32" s="25" t="s">
        <v>169</v>
      </c>
      <c r="C32" s="25" t="s">
        <v>171</v>
      </c>
      <c r="D32" s="52" t="n">
        <v>286</v>
      </c>
      <c r="E32" s="52" t="n">
        <v>309</v>
      </c>
      <c r="F32" s="63" t="n">
        <f aca="false">IF(E32="","",D32-E32)</f>
        <v>-23</v>
      </c>
      <c r="G32" s="52" t="n">
        <v>467</v>
      </c>
      <c r="H32" s="52" t="n">
        <v>488</v>
      </c>
      <c r="I32" s="63" t="n">
        <f aca="false">IF(H32="","",G32-H32)</f>
        <v>-21</v>
      </c>
      <c r="J32" s="53" t="n">
        <f aca="false">IF(OR(D32="",D32+G32=0),"",D32/(D32+G32))</f>
        <v>0.379814077025232</v>
      </c>
      <c r="K32" s="53" t="n">
        <f aca="false">IF(E32="","",E32/(E32+H32))</f>
        <v>0.387703889585947</v>
      </c>
      <c r="L32" s="64" t="n">
        <f aca="false">IF(OR(K32="",J32=""),"",(J32-K32)*100)</f>
        <v>-0.788981256071492</v>
      </c>
      <c r="M32" s="28" t="n">
        <v>3.19821915242569</v>
      </c>
      <c r="N32" s="28" t="n">
        <v>0.397844942258686</v>
      </c>
      <c r="O32" s="28" t="n">
        <f aca="false">SQRT(M32^2+N32^2)</f>
        <v>3.22286927209642</v>
      </c>
      <c r="P32" s="53" t="n">
        <f aca="false">IF(J32="","",MAX(0,J32-1.96*O32/100))</f>
        <v>0.316645839292143</v>
      </c>
      <c r="Q32" s="53" t="n">
        <f aca="false">IF(J32="","",MIN(1,J32+1.96*O32/100))</f>
        <v>0.442982314758322</v>
      </c>
      <c r="R32" s="25" t="str">
        <f aca="false">IF(L32="","",IF(ABS(L32)&lt;=O32,"Yes","No"))</f>
        <v>Yes</v>
      </c>
      <c r="S32" s="25" t="str">
        <f aca="false">IF(L32="","",IF(ABS(L32)&lt;=1.96*O32,"Yes","No"))</f>
        <v>Yes</v>
      </c>
      <c r="T32" s="52" t="n">
        <f aca="false">IF(D32="","",ROUND(SQRT(((D32+G32)*O32/100)^2+(J32*(D32+G32)*0.1901)^2),0))</f>
        <v>60</v>
      </c>
      <c r="U32" s="25"/>
    </row>
    <row r="33" customFormat="false" ht="15" hidden="false" customHeight="false" outlineLevel="0" collapsed="false">
      <c r="A33" s="25" t="s">
        <v>126</v>
      </c>
      <c r="B33" s="25" t="s">
        <v>172</v>
      </c>
      <c r="C33" s="25" t="s">
        <v>172</v>
      </c>
      <c r="D33" s="52" t="n">
        <v>106</v>
      </c>
      <c r="E33" s="52" t="n">
        <v>134</v>
      </c>
      <c r="F33" s="63" t="n">
        <f aca="false">IF(E33="","",D33-E33)</f>
        <v>-28</v>
      </c>
      <c r="G33" s="52" t="n">
        <v>489</v>
      </c>
      <c r="H33" s="52" t="n">
        <v>503</v>
      </c>
      <c r="I33" s="63" t="n">
        <f aca="false">IF(H33="","",G33-H33)</f>
        <v>-14</v>
      </c>
      <c r="J33" s="53" t="n">
        <f aca="false">IF(OR(D33="",D33+G33=0),"",D33/(D33+G33))</f>
        <v>0.178151260504202</v>
      </c>
      <c r="K33" s="53" t="n">
        <f aca="false">IF(E33="","",E33/(E33+H33))</f>
        <v>0.210361067503925</v>
      </c>
      <c r="L33" s="64" t="n">
        <f aca="false">IF(OR(K33="",J33=""),"",(J33-K33)*100)</f>
        <v>-3.2209806999723</v>
      </c>
      <c r="M33" s="28" t="n">
        <v>3.19821915242569</v>
      </c>
      <c r="N33" s="28" t="n">
        <v>0.397844942258686</v>
      </c>
      <c r="O33" s="28" t="n">
        <f aca="false">SQRT(M33^2+N33^2)</f>
        <v>3.22286927209642</v>
      </c>
      <c r="P33" s="53" t="n">
        <f aca="false">IF(J33="","",MAX(0,J33-1.96*O33/100))</f>
        <v>0.114983022771112</v>
      </c>
      <c r="Q33" s="53" t="n">
        <f aca="false">IF(J33="","",MIN(1,J33+1.96*O33/100))</f>
        <v>0.241319498237292</v>
      </c>
      <c r="R33" s="25" t="str">
        <f aca="false">IF(L33="","",IF(ABS(L33)&lt;=O33,"Yes","No"))</f>
        <v>Yes</v>
      </c>
      <c r="S33" s="25" t="str">
        <f aca="false">IF(L33="","",IF(ABS(L33)&lt;=1.96*O33,"Yes","No"))</f>
        <v>Yes</v>
      </c>
      <c r="T33" s="52" t="n">
        <f aca="false">IF(D33="","",ROUND(SQRT(((D33+G33)*O33/100)^2+(J33*(D33+G33)*0.1901)^2),0))</f>
        <v>28</v>
      </c>
      <c r="U33" s="25"/>
    </row>
    <row r="34" customFormat="false" ht="15" hidden="false" customHeight="false" outlineLevel="0" collapsed="false">
      <c r="A34" s="25" t="s">
        <v>126</v>
      </c>
      <c r="B34" s="25" t="s">
        <v>173</v>
      </c>
      <c r="C34" s="25" t="s">
        <v>174</v>
      </c>
      <c r="D34" s="52" t="n">
        <v>295</v>
      </c>
      <c r="E34" s="52" t="n">
        <v>281</v>
      </c>
      <c r="F34" s="63" t="n">
        <f aca="false">IF(E34="","",D34-E34)</f>
        <v>14</v>
      </c>
      <c r="G34" s="52" t="n">
        <v>574</v>
      </c>
      <c r="H34" s="52" t="n">
        <v>592</v>
      </c>
      <c r="I34" s="63" t="n">
        <f aca="false">IF(H34="","",G34-H34)</f>
        <v>-18</v>
      </c>
      <c r="J34" s="53" t="n">
        <f aca="false">IF(OR(D34="",D34+G34=0),"",D34/(D34+G34))</f>
        <v>0.339470655926352</v>
      </c>
      <c r="K34" s="53" t="n">
        <f aca="false">IF(E34="","",E34/(E34+H34))</f>
        <v>0.321878579610538</v>
      </c>
      <c r="L34" s="64" t="n">
        <f aca="false">IF(OR(K34="",J34=""),"",(J34-K34)*100)</f>
        <v>1.75920763158137</v>
      </c>
      <c r="M34" s="28" t="n">
        <v>2.42668038003648</v>
      </c>
      <c r="N34" s="28" t="n">
        <v>0.397844942258686</v>
      </c>
      <c r="O34" s="28" t="n">
        <f aca="false">SQRT(M34^2+N34^2)</f>
        <v>2.45907670985165</v>
      </c>
      <c r="P34" s="53" t="n">
        <f aca="false">IF(J34="","",MAX(0,J34-1.96*O34/100))</f>
        <v>0.29127275241326</v>
      </c>
      <c r="Q34" s="53" t="n">
        <f aca="false">IF(J34="","",MIN(1,J34+1.96*O34/100))</f>
        <v>0.387668559439445</v>
      </c>
      <c r="R34" s="25" t="str">
        <f aca="false">IF(L34="","",IF(ABS(L34)&lt;=O34,"Yes","No"))</f>
        <v>Yes</v>
      </c>
      <c r="S34" s="25" t="str">
        <f aca="false">IF(L34="","",IF(ABS(L34)&lt;=1.96*O34,"Yes","No"))</f>
        <v>Yes</v>
      </c>
      <c r="T34" s="52" t="n">
        <f aca="false">IF(D34="","",ROUND(SQRT(((D34+G34)*O34/100)^2+(J34*(D34+G34)*0.10931)^2),0))</f>
        <v>39</v>
      </c>
      <c r="U34" s="25"/>
    </row>
    <row r="35" customFormat="false" ht="15" hidden="false" customHeight="false" outlineLevel="0" collapsed="false">
      <c r="A35" s="25" t="s">
        <v>126</v>
      </c>
      <c r="B35" s="25" t="s">
        <v>173</v>
      </c>
      <c r="C35" s="25" t="s">
        <v>175</v>
      </c>
      <c r="D35" s="52" t="n">
        <v>485</v>
      </c>
      <c r="E35" s="52" t="n">
        <v>467</v>
      </c>
      <c r="F35" s="63" t="n">
        <f aca="false">IF(E35="","",D35-E35)</f>
        <v>18</v>
      </c>
      <c r="G35" s="52" t="n">
        <v>791</v>
      </c>
      <c r="H35" s="52" t="n">
        <v>782</v>
      </c>
      <c r="I35" s="63" t="n">
        <f aca="false">IF(H35="","",G35-H35)</f>
        <v>9</v>
      </c>
      <c r="J35" s="53" t="n">
        <f aca="false">IF(OR(D35="",D35+G35=0),"",D35/(D35+G35))</f>
        <v>0.380094043887147</v>
      </c>
      <c r="K35" s="53" t="n">
        <f aca="false">IF(E35="","",E35/(E35+H35))</f>
        <v>0.373899119295436</v>
      </c>
      <c r="L35" s="64" t="n">
        <f aca="false">IF(OR(K35="",J35=""),"",(J35-K35)*100)</f>
        <v>0.6194924591711</v>
      </c>
      <c r="M35" s="28" t="n">
        <v>2.49017287917352</v>
      </c>
      <c r="N35" s="28" t="n">
        <v>0.397844942258686</v>
      </c>
      <c r="O35" s="28" t="n">
        <f aca="false">SQRT(M35^2+N35^2)</f>
        <v>2.52175366882892</v>
      </c>
      <c r="P35" s="53" t="n">
        <f aca="false">IF(J35="","",MAX(0,J35-1.96*O35/100))</f>
        <v>0.3306676719781</v>
      </c>
      <c r="Q35" s="53" t="n">
        <f aca="false">IF(J35="","",MIN(1,J35+1.96*O35/100))</f>
        <v>0.429520415796194</v>
      </c>
      <c r="R35" s="25" t="str">
        <f aca="false">IF(L35="","",IF(ABS(L35)&lt;=O35,"Yes","No"))</f>
        <v>Yes</v>
      </c>
      <c r="S35" s="25" t="str">
        <f aca="false">IF(L35="","",IF(ABS(L35)&lt;=1.96*O35,"Yes","No"))</f>
        <v>Yes</v>
      </c>
      <c r="T35" s="52" t="n">
        <f aca="false">IF(D35="","",ROUND(SQRT(((D35+G35)*O35/100)^2+(J35*(D35+G35)*0.08889)^2),0))</f>
        <v>54</v>
      </c>
      <c r="U35" s="25"/>
    </row>
    <row r="36" customFormat="false" ht="15" hidden="false" customHeight="false" outlineLevel="0" collapsed="false">
      <c r="A36" s="25" t="s">
        <v>126</v>
      </c>
      <c r="B36" s="25" t="s">
        <v>173</v>
      </c>
      <c r="C36" s="25" t="s">
        <v>176</v>
      </c>
      <c r="D36" s="52" t="n">
        <v>143</v>
      </c>
      <c r="E36" s="52" t="n">
        <v>136</v>
      </c>
      <c r="F36" s="63" t="n">
        <f aca="false">IF(E36="","",D36-E36)</f>
        <v>7</v>
      </c>
      <c r="G36" s="52" t="n">
        <v>272</v>
      </c>
      <c r="H36" s="52" t="n">
        <v>278</v>
      </c>
      <c r="I36" s="63" t="n">
        <f aca="false">IF(H36="","",G36-H36)</f>
        <v>-6</v>
      </c>
      <c r="J36" s="53" t="n">
        <f aca="false">IF(OR(D36="",D36+G36=0),"",D36/(D36+G36))</f>
        <v>0.344578313253012</v>
      </c>
      <c r="K36" s="53" t="n">
        <f aca="false">IF(E36="","",E36/(E36+H36))</f>
        <v>0.328502415458937</v>
      </c>
      <c r="L36" s="64" t="n">
        <f aca="false">IF(OR(K36="",J36=""),"",(J36-K36)*100)</f>
        <v>1.60758977940748</v>
      </c>
      <c r="M36" s="28" t="n">
        <v>3.19821915242569</v>
      </c>
      <c r="N36" s="28" t="n">
        <v>0.397844942258686</v>
      </c>
      <c r="O36" s="28" t="n">
        <f aca="false">SQRT(M36^2+N36^2)</f>
        <v>3.22286927209642</v>
      </c>
      <c r="P36" s="53" t="n">
        <f aca="false">IF(J36="","",MAX(0,J36-1.96*O36/100))</f>
        <v>0.281410075519922</v>
      </c>
      <c r="Q36" s="53" t="n">
        <f aca="false">IF(J36="","",MIN(1,J36+1.96*O36/100))</f>
        <v>0.407746550986102</v>
      </c>
      <c r="R36" s="25" t="str">
        <f aca="false">IF(L36="","",IF(ABS(L36)&lt;=O36,"Yes","No"))</f>
        <v>Yes</v>
      </c>
      <c r="S36" s="25" t="str">
        <f aca="false">IF(L36="","",IF(ABS(L36)&lt;=1.96*O36,"Yes","No"))</f>
        <v>Yes</v>
      </c>
      <c r="T36" s="52" t="n">
        <f aca="false">IF(D36="","",ROUND(SQRT(((D36+G36)*O36/100)^2+(J36*(D36+G36)*0.1901)^2),0))</f>
        <v>30</v>
      </c>
      <c r="U36" s="25"/>
    </row>
    <row r="37" customFormat="false" ht="15" hidden="false" customHeight="false" outlineLevel="0" collapsed="false">
      <c r="A37" s="25" t="s">
        <v>126</v>
      </c>
      <c r="B37" s="25" t="s">
        <v>177</v>
      </c>
      <c r="C37" s="25" t="s">
        <v>177</v>
      </c>
      <c r="D37" s="52" t="n">
        <v>57</v>
      </c>
      <c r="E37" s="52" t="n">
        <v>68</v>
      </c>
      <c r="F37" s="63" t="n">
        <f aca="false">IF(E37="","",D37-E37)</f>
        <v>-11</v>
      </c>
      <c r="G37" s="52" t="n">
        <v>158</v>
      </c>
      <c r="H37" s="52" t="n">
        <v>153</v>
      </c>
      <c r="I37" s="63" t="n">
        <f aca="false">IF(H37="","",G37-H37)</f>
        <v>5</v>
      </c>
      <c r="J37" s="53" t="n">
        <f aca="false">IF(OR(D37="",D37+G37=0),"",D37/(D37+G37))</f>
        <v>0.265116279069767</v>
      </c>
      <c r="K37" s="53" t="n">
        <f aca="false">IF(E37="","",E37/(E37+H37))</f>
        <v>0.307692307692308</v>
      </c>
      <c r="L37" s="64" t="n">
        <f aca="false">IF(OR(K37="",J37=""),"",(J37-K37)*100)</f>
        <v>-4.25760286225403</v>
      </c>
      <c r="M37" s="28" t="n">
        <v>3.19821915242569</v>
      </c>
      <c r="N37" s="28" t="n">
        <v>0.397844942258686</v>
      </c>
      <c r="O37" s="28" t="n">
        <f aca="false">SQRT(M37^2+N37^2)</f>
        <v>3.22286927209642</v>
      </c>
      <c r="P37" s="53" t="n">
        <f aca="false">IF(J37="","",MAX(0,J37-1.96*O37/100))</f>
        <v>0.201948041336678</v>
      </c>
      <c r="Q37" s="53" t="n">
        <f aca="false">IF(J37="","",MIN(1,J37+1.96*O37/100))</f>
        <v>0.328284516802857</v>
      </c>
      <c r="R37" s="25" t="str">
        <f aca="false">IF(L37="","",IF(ABS(L37)&lt;=O37,"Yes","No"))</f>
        <v>No</v>
      </c>
      <c r="S37" s="25" t="str">
        <f aca="false">IF(L37="","",IF(ABS(L37)&lt;=1.96*O37,"Yes","No"))</f>
        <v>Yes</v>
      </c>
      <c r="T37" s="52" t="n">
        <f aca="false">IF(D37="","",ROUND(SQRT(((D37+G37)*O37/100)^2+(J37*(D37+G37)*0.1901)^2),0))</f>
        <v>13</v>
      </c>
      <c r="U37" s="25"/>
    </row>
    <row r="38" customFormat="false" ht="15" hidden="false" customHeight="false" outlineLevel="0" collapsed="false">
      <c r="A38" s="25" t="s">
        <v>126</v>
      </c>
      <c r="B38" s="25" t="s">
        <v>178</v>
      </c>
      <c r="C38" s="25" t="s">
        <v>179</v>
      </c>
      <c r="D38" s="52" t="n">
        <v>385</v>
      </c>
      <c r="E38" s="52" t="n">
        <v>432</v>
      </c>
      <c r="F38" s="63" t="n">
        <f aca="false">IF(E38="","",D38-E38)</f>
        <v>-47</v>
      </c>
      <c r="G38" s="52" t="n">
        <v>651</v>
      </c>
      <c r="H38" s="52" t="n">
        <v>705</v>
      </c>
      <c r="I38" s="63" t="n">
        <f aca="false">IF(H38="","",G38-H38)</f>
        <v>-54</v>
      </c>
      <c r="J38" s="53" t="n">
        <f aca="false">IF(OR(D38="",D38+G38=0),"",D38/(D38+G38))</f>
        <v>0.371621621621622</v>
      </c>
      <c r="K38" s="53" t="n">
        <f aca="false">IF(E38="","",E38/(E38+H38))</f>
        <v>0.379947229551451</v>
      </c>
      <c r="L38" s="64" t="n">
        <f aca="false">IF(OR(K38="",J38=""),"",(J38-K38)*100)</f>
        <v>-0.832560792982956</v>
      </c>
      <c r="M38" s="28" t="n">
        <v>2.42668038003648</v>
      </c>
      <c r="N38" s="28" t="n">
        <v>0.397844942258686</v>
      </c>
      <c r="O38" s="28" t="n">
        <f aca="false">SQRT(M38^2+N38^2)</f>
        <v>2.45907670985165</v>
      </c>
      <c r="P38" s="53" t="n">
        <f aca="false">IF(J38="","",MAX(0,J38-1.96*O38/100))</f>
        <v>0.323423718108529</v>
      </c>
      <c r="Q38" s="53" t="n">
        <f aca="false">IF(J38="","",MIN(1,J38+1.96*O38/100))</f>
        <v>0.419819525134714</v>
      </c>
      <c r="R38" s="25" t="str">
        <f aca="false">IF(L38="","",IF(ABS(L38)&lt;=O38,"Yes","No"))</f>
        <v>Yes</v>
      </c>
      <c r="S38" s="25" t="str">
        <f aca="false">IF(L38="","",IF(ABS(L38)&lt;=1.96*O38,"Yes","No"))</f>
        <v>Yes</v>
      </c>
      <c r="T38" s="52" t="n">
        <f aca="false">IF(D38="","",ROUND(SQRT(((D38+G38)*O38/100)^2+(J38*(D38+G38)*0.10931)^2),0))</f>
        <v>49</v>
      </c>
      <c r="U38" s="25"/>
    </row>
    <row r="39" customFormat="false" ht="15" hidden="false" customHeight="false" outlineLevel="0" collapsed="false">
      <c r="A39" s="25" t="s">
        <v>126</v>
      </c>
      <c r="B39" s="25" t="s">
        <v>178</v>
      </c>
      <c r="C39" s="25" t="s">
        <v>180</v>
      </c>
      <c r="D39" s="52" t="n">
        <v>286</v>
      </c>
      <c r="E39" s="52" t="n">
        <v>296</v>
      </c>
      <c r="F39" s="63" t="n">
        <f aca="false">IF(E39="","",D39-E39)</f>
        <v>-10</v>
      </c>
      <c r="G39" s="52" t="n">
        <v>519</v>
      </c>
      <c r="H39" s="52" t="n">
        <v>529</v>
      </c>
      <c r="I39" s="63" t="n">
        <f aca="false">IF(H39="","",G39-H39)</f>
        <v>-10</v>
      </c>
      <c r="J39" s="53" t="n">
        <f aca="false">IF(OR(D39="",D39+G39=0),"",D39/(D39+G39))</f>
        <v>0.35527950310559</v>
      </c>
      <c r="K39" s="53" t="n">
        <f aca="false">IF(E39="","",E39/(E39+H39))</f>
        <v>0.358787878787879</v>
      </c>
      <c r="L39" s="64" t="n">
        <f aca="false">IF(OR(K39="",J39=""),"",(J39-K39)*100)</f>
        <v>-0.350837568228868</v>
      </c>
      <c r="M39" s="28" t="n">
        <v>2.42668038003648</v>
      </c>
      <c r="N39" s="28" t="n">
        <v>0.397844942258686</v>
      </c>
      <c r="O39" s="28" t="n">
        <f aca="false">SQRT(M39^2+N39^2)</f>
        <v>2.45907670985165</v>
      </c>
      <c r="P39" s="53" t="n">
        <f aca="false">IF(J39="","",MAX(0,J39-1.96*O39/100))</f>
        <v>0.307081599592498</v>
      </c>
      <c r="Q39" s="53" t="n">
        <f aca="false">IF(J39="","",MIN(1,J39+1.96*O39/100))</f>
        <v>0.403477406618683</v>
      </c>
      <c r="R39" s="25" t="str">
        <f aca="false">IF(L39="","",IF(ABS(L39)&lt;=O39,"Yes","No"))</f>
        <v>Yes</v>
      </c>
      <c r="S39" s="25" t="str">
        <f aca="false">IF(L39="","",IF(ABS(L39)&lt;=1.96*O39,"Yes","No"))</f>
        <v>Yes</v>
      </c>
      <c r="T39" s="52" t="n">
        <f aca="false">IF(D39="","",ROUND(SQRT(((D39+G39)*O39/100)^2+(J39*(D39+G39)*0.10931)^2),0))</f>
        <v>37</v>
      </c>
      <c r="U39" s="25"/>
    </row>
    <row r="40" customFormat="false" ht="15" hidden="false" customHeight="false" outlineLevel="0" collapsed="false">
      <c r="A40" s="25" t="s">
        <v>126</v>
      </c>
      <c r="B40" s="25" t="s">
        <v>178</v>
      </c>
      <c r="C40" s="25" t="s">
        <v>181</v>
      </c>
      <c r="D40" s="52" t="n">
        <v>419</v>
      </c>
      <c r="E40" s="52" t="n">
        <v>460</v>
      </c>
      <c r="F40" s="63" t="n">
        <f aca="false">IF(E40="","",D40-E40)</f>
        <v>-41</v>
      </c>
      <c r="G40" s="52" t="n">
        <v>741</v>
      </c>
      <c r="H40" s="52" t="n">
        <v>791</v>
      </c>
      <c r="I40" s="63" t="n">
        <f aca="false">IF(H40="","",G40-H40)</f>
        <v>-50</v>
      </c>
      <c r="J40" s="53" t="n">
        <f aca="false">IF(OR(D40="",D40+G40=0),"",D40/(D40+G40))</f>
        <v>0.361206896551724</v>
      </c>
      <c r="K40" s="53" t="n">
        <f aca="false">IF(E40="","",E40/(E40+H40))</f>
        <v>0.367705835331735</v>
      </c>
      <c r="L40" s="64" t="n">
        <f aca="false">IF(OR(K40="",J40=""),"",(J40-K40)*100)</f>
        <v>-0.649893878001051</v>
      </c>
      <c r="M40" s="28" t="n">
        <v>2.42668038003648</v>
      </c>
      <c r="N40" s="28" t="n">
        <v>0.397844942258686</v>
      </c>
      <c r="O40" s="28" t="n">
        <f aca="false">SQRT(M40^2+N40^2)</f>
        <v>2.45907670985165</v>
      </c>
      <c r="P40" s="53" t="n">
        <f aca="false">IF(J40="","",MAX(0,J40-1.96*O40/100))</f>
        <v>0.313008993038632</v>
      </c>
      <c r="Q40" s="53" t="n">
        <f aca="false">IF(J40="","",MIN(1,J40+1.96*O40/100))</f>
        <v>0.409404800064817</v>
      </c>
      <c r="R40" s="25" t="str">
        <f aca="false">IF(L40="","",IF(ABS(L40)&lt;=O40,"Yes","No"))</f>
        <v>Yes</v>
      </c>
      <c r="S40" s="25" t="str">
        <f aca="false">IF(L40="","",IF(ABS(L40)&lt;=1.96*O40,"Yes","No"))</f>
        <v>Yes</v>
      </c>
      <c r="T40" s="52" t="n">
        <f aca="false">IF(D40="","",ROUND(SQRT(((D40+G40)*O40/100)^2+(J40*(D40+G40)*0.10931)^2),0))</f>
        <v>54</v>
      </c>
      <c r="U40" s="25"/>
    </row>
    <row r="41" customFormat="false" ht="15" hidden="false" customHeight="false" outlineLevel="0" collapsed="false">
      <c r="A41" s="25" t="s">
        <v>126</v>
      </c>
      <c r="B41" s="25" t="s">
        <v>178</v>
      </c>
      <c r="C41" s="25" t="s">
        <v>182</v>
      </c>
      <c r="D41" s="52" t="n">
        <v>370</v>
      </c>
      <c r="E41" s="52" t="n">
        <v>425</v>
      </c>
      <c r="F41" s="63" t="n">
        <f aca="false">IF(E41="","",D41-E41)</f>
        <v>-55</v>
      </c>
      <c r="G41" s="52" t="n">
        <v>825</v>
      </c>
      <c r="H41" s="52" t="n">
        <v>920</v>
      </c>
      <c r="I41" s="63" t="n">
        <f aca="false">IF(H41="","",G41-H41)</f>
        <v>-95</v>
      </c>
      <c r="J41" s="53" t="n">
        <f aca="false">IF(OR(D41="",D41+G41=0),"",D41/(D41+G41))</f>
        <v>0.309623430962343</v>
      </c>
      <c r="K41" s="53" t="n">
        <f aca="false">IF(E41="","",E41/(E41+H41))</f>
        <v>0.315985130111524</v>
      </c>
      <c r="L41" s="64" t="n">
        <f aca="false">IF(OR(K41="",J41=""),"",(J41-K41)*100)</f>
        <v>-0.636169914918111</v>
      </c>
      <c r="M41" s="28" t="n">
        <v>2.49017287917352</v>
      </c>
      <c r="N41" s="28" t="n">
        <v>0.397844942258686</v>
      </c>
      <c r="O41" s="28" t="n">
        <f aca="false">SQRT(M41^2+N41^2)</f>
        <v>2.52175366882892</v>
      </c>
      <c r="P41" s="53" t="n">
        <f aca="false">IF(J41="","",MAX(0,J41-1.96*O41/100))</f>
        <v>0.260197059053296</v>
      </c>
      <c r="Q41" s="53" t="n">
        <f aca="false">IF(J41="","",MIN(1,J41+1.96*O41/100))</f>
        <v>0.35904980287139</v>
      </c>
      <c r="R41" s="25" t="str">
        <f aca="false">IF(L41="","",IF(ABS(L41)&lt;=O41,"Yes","No"))</f>
        <v>Yes</v>
      </c>
      <c r="S41" s="25" t="str">
        <f aca="false">IF(L41="","",IF(ABS(L41)&lt;=1.96*O41,"Yes","No"))</f>
        <v>Yes</v>
      </c>
      <c r="T41" s="52" t="n">
        <f aca="false">IF(D41="","",ROUND(SQRT(((D41+G41)*O41/100)^2+(J41*(D41+G41)*0.08889)^2),0))</f>
        <v>45</v>
      </c>
      <c r="U41" s="25"/>
    </row>
    <row r="42" customFormat="false" ht="15" hidden="false" customHeight="false" outlineLevel="0" collapsed="false">
      <c r="A42" s="25" t="s">
        <v>126</v>
      </c>
      <c r="B42" s="25" t="s">
        <v>178</v>
      </c>
      <c r="C42" s="25" t="s">
        <v>183</v>
      </c>
      <c r="D42" s="52" t="n">
        <v>350</v>
      </c>
      <c r="E42" s="52" t="n">
        <v>397</v>
      </c>
      <c r="F42" s="63" t="n">
        <f aca="false">IF(E42="","",D42-E42)</f>
        <v>-47</v>
      </c>
      <c r="G42" s="52" t="n">
        <v>699</v>
      </c>
      <c r="H42" s="52" t="n">
        <v>692</v>
      </c>
      <c r="I42" s="63" t="n">
        <f aca="false">IF(H42="","",G42-H42)</f>
        <v>7</v>
      </c>
      <c r="J42" s="53" t="n">
        <f aca="false">IF(OR(D42="",D42+G42=0),"",D42/(D42+G42))</f>
        <v>0.333651096282174</v>
      </c>
      <c r="K42" s="53" t="n">
        <f aca="false">IF(E42="","",E42/(E42+H42))</f>
        <v>0.36455463728191</v>
      </c>
      <c r="L42" s="64" t="n">
        <f aca="false">IF(OR(K42="",J42=""),"",(J42-K42)*100)</f>
        <v>-3.09035409997365</v>
      </c>
      <c r="M42" s="28" t="n">
        <v>2.42668038003648</v>
      </c>
      <c r="N42" s="28" t="n">
        <v>0.397844942258686</v>
      </c>
      <c r="O42" s="28" t="n">
        <f aca="false">SQRT(M42^2+N42^2)</f>
        <v>2.45907670985165</v>
      </c>
      <c r="P42" s="53" t="n">
        <f aca="false">IF(J42="","",MAX(0,J42-1.96*O42/100))</f>
        <v>0.285453192769081</v>
      </c>
      <c r="Q42" s="53" t="n">
        <f aca="false">IF(J42="","",MIN(1,J42+1.96*O42/100))</f>
        <v>0.381848999795266</v>
      </c>
      <c r="R42" s="25" t="str">
        <f aca="false">IF(L42="","",IF(ABS(L42)&lt;=O42,"Yes","No"))</f>
        <v>No</v>
      </c>
      <c r="S42" s="25" t="str">
        <f aca="false">IF(L42="","",IF(ABS(L42)&lt;=1.96*O42,"Yes","No"))</f>
        <v>Yes</v>
      </c>
      <c r="T42" s="52" t="n">
        <f aca="false">IF(D42="","",ROUND(SQRT(((D42+G42)*O42/100)^2+(J42*(D42+G42)*0.10931)^2),0))</f>
        <v>46</v>
      </c>
      <c r="U42" s="25"/>
    </row>
    <row r="43" customFormat="false" ht="15" hidden="false" customHeight="false" outlineLevel="0" collapsed="false">
      <c r="A43" s="25" t="s">
        <v>126</v>
      </c>
      <c r="B43" s="25" t="s">
        <v>184</v>
      </c>
      <c r="C43" s="25" t="s">
        <v>185</v>
      </c>
      <c r="D43" s="52" t="n">
        <v>181</v>
      </c>
      <c r="E43" s="52" t="n">
        <v>175</v>
      </c>
      <c r="F43" s="63" t="n">
        <f aca="false">IF(E43="","",D43-E43)</f>
        <v>6</v>
      </c>
      <c r="G43" s="52" t="n">
        <v>199</v>
      </c>
      <c r="H43" s="52" t="n">
        <v>212</v>
      </c>
      <c r="I43" s="63" t="n">
        <f aca="false">IF(H43="","",G43-H43)</f>
        <v>-13</v>
      </c>
      <c r="J43" s="53" t="n">
        <f aca="false">IF(OR(D43="",D43+G43=0),"",D43/(D43+G43))</f>
        <v>0.476315789473684</v>
      </c>
      <c r="K43" s="53" t="n">
        <f aca="false">IF(E43="","",E43/(E43+H43))</f>
        <v>0.452196382428941</v>
      </c>
      <c r="L43" s="64" t="n">
        <f aca="false">IF(OR(K43="",J43=""),"",(J43-K43)*100)</f>
        <v>2.41194070447436</v>
      </c>
      <c r="M43" s="28" t="n">
        <v>3.19821915242569</v>
      </c>
      <c r="N43" s="28" t="n">
        <v>0.397844942258686</v>
      </c>
      <c r="O43" s="28" t="n">
        <f aca="false">SQRT(M43^2+N43^2)</f>
        <v>3.22286927209642</v>
      </c>
      <c r="P43" s="53" t="n">
        <f aca="false">IF(J43="","",MAX(0,J43-1.96*O43/100))</f>
        <v>0.413147551740594</v>
      </c>
      <c r="Q43" s="53" t="n">
        <f aca="false">IF(J43="","",MIN(1,J43+1.96*O43/100))</f>
        <v>0.539484027206774</v>
      </c>
      <c r="R43" s="25" t="str">
        <f aca="false">IF(L43="","",IF(ABS(L43)&lt;=O43,"Yes","No"))</f>
        <v>Yes</v>
      </c>
      <c r="S43" s="25" t="str">
        <f aca="false">IF(L43="","",IF(ABS(L43)&lt;=1.96*O43,"Yes","No"))</f>
        <v>Yes</v>
      </c>
      <c r="T43" s="52" t="n">
        <f aca="false">IF(D43="","",ROUND(SQRT(((D43+G43)*O43/100)^2+(J43*(D43+G43)*0.1901)^2),0))</f>
        <v>37</v>
      </c>
      <c r="U43" s="25"/>
    </row>
    <row r="44" customFormat="false" ht="15" hidden="false" customHeight="false" outlineLevel="0" collapsed="false">
      <c r="A44" s="25" t="s">
        <v>126</v>
      </c>
      <c r="B44" s="25" t="s">
        <v>184</v>
      </c>
      <c r="C44" s="25" t="s">
        <v>186</v>
      </c>
      <c r="D44" s="52" t="n">
        <v>182</v>
      </c>
      <c r="E44" s="52" t="n">
        <v>184</v>
      </c>
      <c r="F44" s="63" t="n">
        <f aca="false">IF(E44="","",D44-E44)</f>
        <v>-2</v>
      </c>
      <c r="G44" s="52" t="n">
        <v>209</v>
      </c>
      <c r="H44" s="52" t="n">
        <v>208</v>
      </c>
      <c r="I44" s="63" t="n">
        <f aca="false">IF(H44="","",G44-H44)</f>
        <v>1</v>
      </c>
      <c r="J44" s="53" t="n">
        <f aca="false">IF(OR(D44="",D44+G44=0),"",D44/(D44+G44))</f>
        <v>0.465473145780051</v>
      </c>
      <c r="K44" s="53" t="n">
        <f aca="false">IF(E44="","",E44/(E44+H44))</f>
        <v>0.469387755102041</v>
      </c>
      <c r="L44" s="64" t="n">
        <f aca="false">IF(OR(K44="",J44=""),"",(J44-K44)*100)</f>
        <v>-0.391460932198967</v>
      </c>
      <c r="M44" s="28" t="n">
        <v>3.19821915242569</v>
      </c>
      <c r="N44" s="28" t="n">
        <v>0.397844942258686</v>
      </c>
      <c r="O44" s="28" t="n">
        <f aca="false">SQRT(M44^2+N44^2)</f>
        <v>3.22286927209642</v>
      </c>
      <c r="P44" s="53" t="n">
        <f aca="false">IF(J44="","",MAX(0,J44-1.96*O44/100))</f>
        <v>0.402304908046961</v>
      </c>
      <c r="Q44" s="53" t="n">
        <f aca="false">IF(J44="","",MIN(1,J44+1.96*O44/100))</f>
        <v>0.528641383513141</v>
      </c>
      <c r="R44" s="25" t="str">
        <f aca="false">IF(L44="","",IF(ABS(L44)&lt;=O44,"Yes","No"))</f>
        <v>Yes</v>
      </c>
      <c r="S44" s="25" t="str">
        <f aca="false">IF(L44="","",IF(ABS(L44)&lt;=1.96*O44,"Yes","No"))</f>
        <v>Yes</v>
      </c>
      <c r="T44" s="52" t="n">
        <f aca="false">IF(D44="","",ROUND(SQRT(((D44+G44)*O44/100)^2+(J44*(D44+G44)*0.1901)^2),0))</f>
        <v>37</v>
      </c>
      <c r="U44" s="25"/>
    </row>
    <row r="45" customFormat="false" ht="15" hidden="false" customHeight="false" outlineLevel="0" collapsed="false">
      <c r="A45" s="25" t="s">
        <v>126</v>
      </c>
      <c r="B45" s="25" t="s">
        <v>184</v>
      </c>
      <c r="C45" s="25" t="s">
        <v>187</v>
      </c>
      <c r="D45" s="52" t="n">
        <v>114</v>
      </c>
      <c r="E45" s="52" t="n">
        <v>102</v>
      </c>
      <c r="F45" s="63" t="n">
        <f aca="false">IF(E45="","",D45-E45)</f>
        <v>12</v>
      </c>
      <c r="G45" s="52" t="n">
        <v>191</v>
      </c>
      <c r="H45" s="52" t="n">
        <v>192</v>
      </c>
      <c r="I45" s="63" t="n">
        <f aca="false">IF(H45="","",G45-H45)</f>
        <v>-1</v>
      </c>
      <c r="J45" s="53" t="n">
        <f aca="false">IF(OR(D45="",D45+G45=0),"",D45/(D45+G45))</f>
        <v>0.373770491803279</v>
      </c>
      <c r="K45" s="53" t="n">
        <f aca="false">IF(E45="","",E45/(E45+H45))</f>
        <v>0.346938775510204</v>
      </c>
      <c r="L45" s="64" t="n">
        <f aca="false">IF(OR(K45="",J45=""),"",(J45-K45)*100)</f>
        <v>2.68317162930746</v>
      </c>
      <c r="M45" s="28" t="n">
        <v>3.19821915242569</v>
      </c>
      <c r="N45" s="28" t="n">
        <v>0.397844942258686</v>
      </c>
      <c r="O45" s="28" t="n">
        <f aca="false">SQRT(M45^2+N45^2)</f>
        <v>3.22286927209642</v>
      </c>
      <c r="P45" s="53" t="n">
        <f aca="false">IF(J45="","",MAX(0,J45-1.96*O45/100))</f>
        <v>0.310602254070189</v>
      </c>
      <c r="Q45" s="53" t="n">
        <f aca="false">IF(J45="","",MIN(1,J45+1.96*O45/100))</f>
        <v>0.436938729536369</v>
      </c>
      <c r="R45" s="25" t="str">
        <f aca="false">IF(L45="","",IF(ABS(L45)&lt;=O45,"Yes","No"))</f>
        <v>Yes</v>
      </c>
      <c r="S45" s="25" t="str">
        <f aca="false">IF(L45="","",IF(ABS(L45)&lt;=1.96*O45,"Yes","No"))</f>
        <v>Yes</v>
      </c>
      <c r="T45" s="52" t="n">
        <f aca="false">IF(D45="","",ROUND(SQRT(((D45+G45)*O45/100)^2+(J45*(D45+G45)*0.1901)^2),0))</f>
        <v>24</v>
      </c>
      <c r="U45" s="25"/>
    </row>
    <row r="46" customFormat="false" ht="15" hidden="false" customHeight="false" outlineLevel="0" collapsed="false">
      <c r="A46" s="25" t="s">
        <v>126</v>
      </c>
      <c r="B46" s="25" t="s">
        <v>184</v>
      </c>
      <c r="C46" s="25" t="s">
        <v>188</v>
      </c>
      <c r="D46" s="52" t="n">
        <v>187</v>
      </c>
      <c r="E46" s="52" t="n">
        <v>194</v>
      </c>
      <c r="F46" s="63" t="n">
        <f aca="false">IF(E46="","",D46-E46)</f>
        <v>-7</v>
      </c>
      <c r="G46" s="52" t="n">
        <v>276</v>
      </c>
      <c r="H46" s="52" t="n">
        <v>296</v>
      </c>
      <c r="I46" s="63" t="n">
        <f aca="false">IF(H46="","",G46-H46)</f>
        <v>-20</v>
      </c>
      <c r="J46" s="53" t="n">
        <f aca="false">IF(OR(D46="",D46+G46=0),"",D46/(D46+G46))</f>
        <v>0.403887688984881</v>
      </c>
      <c r="K46" s="53" t="n">
        <f aca="false">IF(E46="","",E46/(E46+H46))</f>
        <v>0.395918367346939</v>
      </c>
      <c r="L46" s="64" t="n">
        <f aca="false">IF(OR(K46="",J46=""),"",(J46-K46)*100)</f>
        <v>0.796932163794245</v>
      </c>
      <c r="M46" s="28" t="n">
        <v>3.19821915242569</v>
      </c>
      <c r="N46" s="28" t="n">
        <v>0.397844942258686</v>
      </c>
      <c r="O46" s="28" t="n">
        <f aca="false">SQRT(M46^2+N46^2)</f>
        <v>3.22286927209642</v>
      </c>
      <c r="P46" s="53" t="n">
        <f aca="false">IF(J46="","",MAX(0,J46-1.96*O46/100))</f>
        <v>0.340719451251791</v>
      </c>
      <c r="Q46" s="53" t="n">
        <f aca="false">IF(J46="","",MIN(1,J46+1.96*O46/100))</f>
        <v>0.467055926717971</v>
      </c>
      <c r="R46" s="25" t="str">
        <f aca="false">IF(L46="","",IF(ABS(L46)&lt;=O46,"Yes","No"))</f>
        <v>Yes</v>
      </c>
      <c r="S46" s="25" t="str">
        <f aca="false">IF(L46="","",IF(ABS(L46)&lt;=1.96*O46,"Yes","No"))</f>
        <v>Yes</v>
      </c>
      <c r="T46" s="52" t="n">
        <f aca="false">IF(D46="","",ROUND(SQRT(((D46+G46)*O46/100)^2+(J46*(D46+G46)*0.1901)^2),0))</f>
        <v>39</v>
      </c>
      <c r="U46" s="25"/>
    </row>
    <row r="47" customFormat="false" ht="15" hidden="false" customHeight="false" outlineLevel="0" collapsed="false">
      <c r="A47" s="25" t="s">
        <v>126</v>
      </c>
      <c r="B47" s="25" t="s">
        <v>189</v>
      </c>
      <c r="C47" s="25" t="s">
        <v>190</v>
      </c>
      <c r="D47" s="52" t="n">
        <v>254</v>
      </c>
      <c r="E47" s="52" t="n">
        <v>298</v>
      </c>
      <c r="F47" s="63" t="n">
        <f aca="false">IF(E47="","",D47-E47)</f>
        <v>-44</v>
      </c>
      <c r="G47" s="52" t="n">
        <v>670</v>
      </c>
      <c r="H47" s="52" t="n">
        <v>649</v>
      </c>
      <c r="I47" s="63" t="n">
        <f aca="false">IF(H47="","",G47-H47)</f>
        <v>21</v>
      </c>
      <c r="J47" s="53" t="n">
        <f aca="false">IF(OR(D47="",D47+G47=0),"",D47/(D47+G47))</f>
        <v>0.274891774891775</v>
      </c>
      <c r="K47" s="53" t="n">
        <f aca="false">IF(E47="","",E47/(E47+H47))</f>
        <v>0.31467793030623</v>
      </c>
      <c r="L47" s="64" t="n">
        <f aca="false">IF(OR(K47="",J47=""),"",(J47-K47)*100)</f>
        <v>-3.97861554144553</v>
      </c>
      <c r="M47" s="28" t="n">
        <v>2.42668038003648</v>
      </c>
      <c r="N47" s="28" t="n">
        <v>0.397844942258686</v>
      </c>
      <c r="O47" s="28" t="n">
        <f aca="false">SQRT(M47^2+N47^2)</f>
        <v>2.45907670985165</v>
      </c>
      <c r="P47" s="53" t="n">
        <f aca="false">IF(J47="","",MAX(0,J47-1.96*O47/100))</f>
        <v>0.226693871378683</v>
      </c>
      <c r="Q47" s="53" t="n">
        <f aca="false">IF(J47="","",MIN(1,J47+1.96*O47/100))</f>
        <v>0.323089678404867</v>
      </c>
      <c r="R47" s="25" t="str">
        <f aca="false">IF(L47="","",IF(ABS(L47)&lt;=O47,"Yes","No"))</f>
        <v>No</v>
      </c>
      <c r="S47" s="25" t="str">
        <f aca="false">IF(L47="","",IF(ABS(L47)&lt;=1.96*O47,"Yes","No"))</f>
        <v>Yes</v>
      </c>
      <c r="T47" s="52" t="n">
        <f aca="false">IF(D47="","",ROUND(SQRT(((D47+G47)*O47/100)^2+(J47*(D47+G47)*0.10931)^2),0))</f>
        <v>36</v>
      </c>
      <c r="U47" s="25"/>
    </row>
    <row r="48" customFormat="false" ht="15" hidden="false" customHeight="false" outlineLevel="0" collapsed="false">
      <c r="A48" s="25" t="s">
        <v>126</v>
      </c>
      <c r="B48" s="25" t="s">
        <v>189</v>
      </c>
      <c r="C48" s="25" t="s">
        <v>191</v>
      </c>
      <c r="D48" s="52" t="n">
        <v>231</v>
      </c>
      <c r="E48" s="52" t="n">
        <v>253</v>
      </c>
      <c r="F48" s="63" t="n">
        <f aca="false">IF(E48="","",D48-E48)</f>
        <v>-22</v>
      </c>
      <c r="G48" s="52" t="n">
        <v>670</v>
      </c>
      <c r="H48" s="52" t="n">
        <v>710</v>
      </c>
      <c r="I48" s="63" t="n">
        <f aca="false">IF(H48="","",G48-H48)</f>
        <v>-40</v>
      </c>
      <c r="J48" s="53" t="n">
        <f aca="false">IF(OR(D48="",D48+G48=0),"",D48/(D48+G48))</f>
        <v>0.25638179800222</v>
      </c>
      <c r="K48" s="53" t="n">
        <f aca="false">IF(E48="","",E48/(E48+H48))</f>
        <v>0.262720664589823</v>
      </c>
      <c r="L48" s="64" t="n">
        <f aca="false">IF(OR(K48="",J48=""),"",(J48-K48)*100)</f>
        <v>-0.633886658760369</v>
      </c>
      <c r="M48" s="28" t="n">
        <v>2.42668038003648</v>
      </c>
      <c r="N48" s="28" t="n">
        <v>0.397844942258686</v>
      </c>
      <c r="O48" s="28" t="n">
        <f aca="false">SQRT(M48^2+N48^2)</f>
        <v>2.45907670985165</v>
      </c>
      <c r="P48" s="53" t="n">
        <f aca="false">IF(J48="","",MAX(0,J48-1.96*O48/100))</f>
        <v>0.208183894489127</v>
      </c>
      <c r="Q48" s="53" t="n">
        <f aca="false">IF(J48="","",MIN(1,J48+1.96*O48/100))</f>
        <v>0.304579701515312</v>
      </c>
      <c r="R48" s="25" t="str">
        <f aca="false">IF(L48="","",IF(ABS(L48)&lt;=O48,"Yes","No"))</f>
        <v>Yes</v>
      </c>
      <c r="S48" s="25" t="str">
        <f aca="false">IF(L48="","",IF(ABS(L48)&lt;=1.96*O48,"Yes","No"))</f>
        <v>Yes</v>
      </c>
      <c r="T48" s="52" t="n">
        <f aca="false">IF(D48="","",ROUND(SQRT(((D48+G48)*O48/100)^2+(J48*(D48+G48)*0.10931)^2),0))</f>
        <v>34</v>
      </c>
      <c r="U48" s="25"/>
    </row>
    <row r="49" customFormat="false" ht="15" hidden="false" customHeight="false" outlineLevel="0" collapsed="false">
      <c r="A49" s="25" t="s">
        <v>126</v>
      </c>
      <c r="B49" s="25" t="s">
        <v>189</v>
      </c>
      <c r="C49" s="25" t="s">
        <v>192</v>
      </c>
      <c r="D49" s="52" t="n">
        <v>220</v>
      </c>
      <c r="E49" s="52" t="n">
        <v>238</v>
      </c>
      <c r="F49" s="63" t="n">
        <f aca="false">IF(E49="","",D49-E49)</f>
        <v>-18</v>
      </c>
      <c r="G49" s="52" t="n">
        <v>598</v>
      </c>
      <c r="H49" s="52" t="n">
        <v>586</v>
      </c>
      <c r="I49" s="63" t="n">
        <f aca="false">IF(H49="","",G49-H49)</f>
        <v>12</v>
      </c>
      <c r="J49" s="53" t="n">
        <f aca="false">IF(OR(D49="",D49+G49=0),"",D49/(D49+G49))</f>
        <v>0.268948655256724</v>
      </c>
      <c r="K49" s="53" t="n">
        <f aca="false">IF(E49="","",E49/(E49+H49))</f>
        <v>0.288834951456311</v>
      </c>
      <c r="L49" s="64" t="n">
        <f aca="false">IF(OR(K49="",J49=""),"",(J49-K49)*100)</f>
        <v>-1.98862961995869</v>
      </c>
      <c r="M49" s="28" t="n">
        <v>2.42668038003648</v>
      </c>
      <c r="N49" s="28" t="n">
        <v>0.397844942258686</v>
      </c>
      <c r="O49" s="28" t="n">
        <f aca="false">SQRT(M49^2+N49^2)</f>
        <v>2.45907670985165</v>
      </c>
      <c r="P49" s="53" t="n">
        <f aca="false">IF(J49="","",MAX(0,J49-1.96*O49/100))</f>
        <v>0.220750751743631</v>
      </c>
      <c r="Q49" s="53" t="n">
        <f aca="false">IF(J49="","",MIN(1,J49+1.96*O49/100))</f>
        <v>0.317146558769816</v>
      </c>
      <c r="R49" s="25" t="str">
        <f aca="false">IF(L49="","",IF(ABS(L49)&lt;=O49,"Yes","No"))</f>
        <v>Yes</v>
      </c>
      <c r="S49" s="25" t="str">
        <f aca="false">IF(L49="","",IF(ABS(L49)&lt;=1.96*O49,"Yes","No"))</f>
        <v>Yes</v>
      </c>
      <c r="T49" s="52" t="n">
        <f aca="false">IF(D49="","",ROUND(SQRT(((D49+G49)*O49/100)^2+(J49*(D49+G49)*0.10931)^2),0))</f>
        <v>31</v>
      </c>
      <c r="U49" s="25"/>
    </row>
    <row r="50" customFormat="false" ht="15" hidden="false" customHeight="false" outlineLevel="0" collapsed="false">
      <c r="A50" s="25" t="s">
        <v>126</v>
      </c>
      <c r="B50" s="25" t="s">
        <v>193</v>
      </c>
      <c r="C50" s="25" t="s">
        <v>194</v>
      </c>
      <c r="D50" s="52" t="n">
        <v>204</v>
      </c>
      <c r="E50" s="52" t="n">
        <v>238</v>
      </c>
      <c r="F50" s="63" t="n">
        <f aca="false">IF(E50="","",D50-E50)</f>
        <v>-34</v>
      </c>
      <c r="G50" s="52" t="n">
        <v>589</v>
      </c>
      <c r="H50" s="52" t="n">
        <v>541</v>
      </c>
      <c r="I50" s="63" t="n">
        <f aca="false">IF(H50="","",G50-H50)</f>
        <v>48</v>
      </c>
      <c r="J50" s="53" t="n">
        <f aca="false">IF(OR(D50="",D50+G50=0),"",D50/(D50+G50))</f>
        <v>0.257250945775536</v>
      </c>
      <c r="K50" s="53" t="n">
        <f aca="false">IF(E50="","",E50/(E50+H50))</f>
        <v>0.305519897304236</v>
      </c>
      <c r="L50" s="64" t="n">
        <f aca="false">IF(OR(K50="",J50=""),"",(J50-K50)*100)</f>
        <v>-4.82689515287003</v>
      </c>
      <c r="M50" s="28" t="n">
        <v>2.42668038003648</v>
      </c>
      <c r="N50" s="28" t="n">
        <v>0.397844942258686</v>
      </c>
      <c r="O50" s="28" t="n">
        <f aca="false">SQRT(M50^2+N50^2)</f>
        <v>2.45907670985165</v>
      </c>
      <c r="P50" s="53" t="n">
        <f aca="false">IF(J50="","",MAX(0,J50-1.96*O50/100))</f>
        <v>0.209053042262444</v>
      </c>
      <c r="Q50" s="53" t="n">
        <f aca="false">IF(J50="","",MIN(1,J50+1.96*O50/100))</f>
        <v>0.305448849288628</v>
      </c>
      <c r="R50" s="25" t="str">
        <f aca="false">IF(L50="","",IF(ABS(L50)&lt;=O50,"Yes","No"))</f>
        <v>No</v>
      </c>
      <c r="S50" s="25" t="str">
        <f aca="false">IF(L50="","",IF(ABS(L50)&lt;=1.96*O50,"Yes","No"))</f>
        <v>No</v>
      </c>
      <c r="T50" s="52" t="n">
        <f aca="false">IF(D50="","",ROUND(SQRT(((D50+G50)*O50/100)^2+(J50*(D50+G50)*0.10931)^2),0))</f>
        <v>30</v>
      </c>
      <c r="U50" s="25"/>
    </row>
    <row r="51" customFormat="false" ht="15" hidden="false" customHeight="false" outlineLevel="0" collapsed="false">
      <c r="A51" s="25" t="s">
        <v>126</v>
      </c>
      <c r="B51" s="25" t="s">
        <v>193</v>
      </c>
      <c r="C51" s="25" t="s">
        <v>195</v>
      </c>
      <c r="D51" s="52" t="n">
        <v>102</v>
      </c>
      <c r="E51" s="52" t="n">
        <v>103</v>
      </c>
      <c r="F51" s="63" t="n">
        <f aca="false">IF(E51="","",D51-E51)</f>
        <v>-1</v>
      </c>
      <c r="G51" s="52" t="n">
        <v>294</v>
      </c>
      <c r="H51" s="52" t="n">
        <v>292</v>
      </c>
      <c r="I51" s="63" t="n">
        <f aca="false">IF(H51="","",G51-H51)</f>
        <v>2</v>
      </c>
      <c r="J51" s="53" t="n">
        <f aca="false">IF(OR(D51="",D51+G51=0),"",D51/(D51+G51))</f>
        <v>0.257575757575758</v>
      </c>
      <c r="K51" s="53" t="n">
        <f aca="false">IF(E51="","",E51/(E51+H51))</f>
        <v>0.260759493670886</v>
      </c>
      <c r="L51" s="64" t="n">
        <f aca="false">IF(OR(K51="",J51=""),"",(J51-K51)*100)</f>
        <v>-0.318373609512851</v>
      </c>
      <c r="M51" s="28" t="n">
        <v>3.19821915242569</v>
      </c>
      <c r="N51" s="28" t="n">
        <v>0.397844942258686</v>
      </c>
      <c r="O51" s="28" t="n">
        <f aca="false">SQRT(M51^2+N51^2)</f>
        <v>3.22286927209642</v>
      </c>
      <c r="P51" s="53" t="n">
        <f aca="false">IF(J51="","",MAX(0,J51-1.96*O51/100))</f>
        <v>0.194407519842668</v>
      </c>
      <c r="Q51" s="53" t="n">
        <f aca="false">IF(J51="","",MIN(1,J51+1.96*O51/100))</f>
        <v>0.320743995308847</v>
      </c>
      <c r="R51" s="25" t="str">
        <f aca="false">IF(L51="","",IF(ABS(L51)&lt;=O51,"Yes","No"))</f>
        <v>Yes</v>
      </c>
      <c r="S51" s="25" t="str">
        <f aca="false">IF(L51="","",IF(ABS(L51)&lt;=1.96*O51,"Yes","No"))</f>
        <v>Yes</v>
      </c>
      <c r="T51" s="52" t="n">
        <f aca="false">IF(D51="","",ROUND(SQRT(((D51+G51)*O51/100)^2+(J51*(D51+G51)*0.1901)^2),0))</f>
        <v>23</v>
      </c>
      <c r="U51" s="25"/>
    </row>
    <row r="52" customFormat="false" ht="15" hidden="false" customHeight="false" outlineLevel="0" collapsed="false">
      <c r="A52" s="25" t="s">
        <v>126</v>
      </c>
      <c r="B52" s="25" t="s">
        <v>196</v>
      </c>
      <c r="C52" s="25" t="s">
        <v>196</v>
      </c>
      <c r="D52" s="52" t="n">
        <v>58</v>
      </c>
      <c r="E52" s="52" t="n">
        <v>53</v>
      </c>
      <c r="F52" s="63" t="n">
        <f aca="false">IF(E52="","",D52-E52)</f>
        <v>5</v>
      </c>
      <c r="G52" s="52" t="n">
        <v>85</v>
      </c>
      <c r="H52" s="52" t="n">
        <v>99</v>
      </c>
      <c r="I52" s="63" t="n">
        <f aca="false">IF(H52="","",G52-H52)</f>
        <v>-14</v>
      </c>
      <c r="J52" s="53" t="n">
        <f aca="false">IF(OR(D52="",D52+G52=0),"",D52/(D52+G52))</f>
        <v>0.405594405594406</v>
      </c>
      <c r="K52" s="53" t="n">
        <f aca="false">IF(E52="","",E52/(E52+H52))</f>
        <v>0.348684210526316</v>
      </c>
      <c r="L52" s="64" t="n">
        <f aca="false">IF(OR(K52="",J52=""),"",(J52-K52)*100)</f>
        <v>5.69101950680898</v>
      </c>
      <c r="M52" s="28" t="n">
        <v>3.19821915242569</v>
      </c>
      <c r="N52" s="28" t="n">
        <v>0.397844942258686</v>
      </c>
      <c r="O52" s="28" t="n">
        <f aca="false">SQRT(M52^2+N52^2)</f>
        <v>3.22286927209642</v>
      </c>
      <c r="P52" s="53" t="n">
        <f aca="false">IF(J52="","",MAX(0,J52-1.96*O52/100))</f>
        <v>0.342426167861316</v>
      </c>
      <c r="Q52" s="53" t="n">
        <f aca="false">IF(J52="","",MIN(1,J52+1.96*O52/100))</f>
        <v>0.468762643327495</v>
      </c>
      <c r="R52" s="25" t="str">
        <f aca="false">IF(L52="","",IF(ABS(L52)&lt;=O52,"Yes","No"))</f>
        <v>No</v>
      </c>
      <c r="S52" s="25" t="str">
        <f aca="false">IF(L52="","",IF(ABS(L52)&lt;=1.96*O52,"Yes","No"))</f>
        <v>Yes</v>
      </c>
      <c r="T52" s="52" t="n">
        <f aca="false">IF(D52="","",ROUND(SQRT(((D52+G52)*O52/100)^2+(J52*(D52+G52)*0.1901)^2),0))</f>
        <v>12</v>
      </c>
      <c r="U52" s="25"/>
    </row>
    <row r="53" customFormat="false" ht="15" hidden="false" customHeight="false" outlineLevel="0" collapsed="false">
      <c r="A53" s="25" t="s">
        <v>197</v>
      </c>
      <c r="B53" s="25" t="s">
        <v>198</v>
      </c>
      <c r="C53" s="25" t="s">
        <v>198</v>
      </c>
      <c r="D53" s="52" t="n">
        <v>682</v>
      </c>
      <c r="E53" s="52" t="n">
        <v>601</v>
      </c>
      <c r="F53" s="63" t="n">
        <f aca="false">IF(E53="","",D53-E53)</f>
        <v>81</v>
      </c>
      <c r="G53" s="52" t="n">
        <v>737</v>
      </c>
      <c r="H53" s="52" t="n">
        <v>766</v>
      </c>
      <c r="I53" s="63" t="n">
        <f aca="false">IF(H53="","",G53-H53)</f>
        <v>-29</v>
      </c>
      <c r="J53" s="53" t="n">
        <f aca="false">IF(OR(D53="",D53+G53=0),"",D53/(D53+G53))</f>
        <v>0.48062015503876</v>
      </c>
      <c r="K53" s="53" t="n">
        <f aca="false">IF(E53="","",E53/(E53+H53))</f>
        <v>0.439648866130212</v>
      </c>
      <c r="L53" s="64" t="n">
        <f aca="false">IF(OR(K53="",J53=""),"",(J53-K53)*100)</f>
        <v>4.09712889085476</v>
      </c>
      <c r="M53" s="28" t="n">
        <v>2.49017287917352</v>
      </c>
      <c r="N53" s="28" t="n">
        <v>0.397844942258686</v>
      </c>
      <c r="O53" s="28" t="n">
        <f aca="false">SQRT(M53^2+N53^2)</f>
        <v>2.52175366882892</v>
      </c>
      <c r="P53" s="53" t="n">
        <f aca="false">IF(J53="","",MAX(0,J53-1.96*O53/100))</f>
        <v>0.431193783129713</v>
      </c>
      <c r="Q53" s="53" t="n">
        <f aca="false">IF(J53="","",MIN(1,J53+1.96*O53/100))</f>
        <v>0.530046526947807</v>
      </c>
      <c r="R53" s="25" t="str">
        <f aca="false">IF(L53="","",IF(ABS(L53)&lt;=O53,"Yes","No"))</f>
        <v>No</v>
      </c>
      <c r="S53" s="25" t="str">
        <f aca="false">IF(L53="","",IF(ABS(L53)&lt;=1.96*O53,"Yes","No"))</f>
        <v>Yes</v>
      </c>
      <c r="T53" s="52" t="n">
        <f aca="false">IF(D53="","",ROUND(SQRT(((D53+G53)*O53/100)^2+(J53*(D53+G53)*0.08889)^2),0))</f>
        <v>70</v>
      </c>
      <c r="U53" s="25"/>
    </row>
    <row r="54" customFormat="false" ht="15" hidden="false" customHeight="false" outlineLevel="0" collapsed="false">
      <c r="A54" s="25" t="s">
        <v>197</v>
      </c>
      <c r="B54" s="25" t="s">
        <v>199</v>
      </c>
      <c r="C54" s="25" t="s">
        <v>200</v>
      </c>
      <c r="D54" s="52" t="n">
        <v>542</v>
      </c>
      <c r="E54" s="52" t="n">
        <v>437</v>
      </c>
      <c r="F54" s="63" t="n">
        <f aca="false">IF(E54="","",D54-E54)</f>
        <v>105</v>
      </c>
      <c r="G54" s="52" t="n">
        <v>172</v>
      </c>
      <c r="H54" s="52" t="n">
        <v>173</v>
      </c>
      <c r="I54" s="63" t="n">
        <f aca="false">IF(H54="","",G54-H54)</f>
        <v>-1</v>
      </c>
      <c r="J54" s="53" t="n">
        <f aca="false">IF(OR(D54="",D54+G54=0),"",D54/(D54+G54))</f>
        <v>0.759103641456583</v>
      </c>
      <c r="K54" s="53" t="n">
        <f aca="false">IF(E54="","",E54/(E54+H54))</f>
        <v>0.716393442622951</v>
      </c>
      <c r="L54" s="64" t="n">
        <f aca="false">IF(OR(K54="",J54=""),"",(J54-K54)*100)</f>
        <v>4.27101988336318</v>
      </c>
      <c r="M54" s="28" t="n">
        <v>3.19821915242569</v>
      </c>
      <c r="N54" s="28" t="n">
        <v>0.397844942258686</v>
      </c>
      <c r="O54" s="28" t="n">
        <f aca="false">SQRT(M54^2+N54^2)</f>
        <v>3.22286927209642</v>
      </c>
      <c r="P54" s="53" t="n">
        <f aca="false">IF(J54="","",MAX(0,J54-1.96*O54/100))</f>
        <v>0.695935403723493</v>
      </c>
      <c r="Q54" s="53" t="n">
        <f aca="false">IF(J54="","",MIN(1,J54+1.96*O54/100))</f>
        <v>0.822271879189673</v>
      </c>
      <c r="R54" s="25" t="str">
        <f aca="false">IF(L54="","",IF(ABS(L54)&lt;=O54,"Yes","No"))</f>
        <v>No</v>
      </c>
      <c r="S54" s="25" t="str">
        <f aca="false">IF(L54="","",IF(ABS(L54)&lt;=1.96*O54,"Yes","No"))</f>
        <v>Yes</v>
      </c>
      <c r="T54" s="52" t="n">
        <f aca="false">IF(D54="","",ROUND(SQRT(((D54+G54)*O54/100)^2+(J54*(D54+G54)*0.1901)^2),0))</f>
        <v>106</v>
      </c>
      <c r="U54" s="25"/>
    </row>
    <row r="55" customFormat="false" ht="15" hidden="false" customHeight="false" outlineLevel="0" collapsed="false">
      <c r="A55" s="25" t="s">
        <v>197</v>
      </c>
      <c r="B55" s="25" t="s">
        <v>199</v>
      </c>
      <c r="C55" s="25" t="s">
        <v>201</v>
      </c>
      <c r="D55" s="52" t="n">
        <v>348</v>
      </c>
      <c r="E55" s="52" t="n">
        <v>328</v>
      </c>
      <c r="F55" s="63" t="n">
        <f aca="false">IF(E55="","",D55-E55)</f>
        <v>20</v>
      </c>
      <c r="G55" s="52" t="n">
        <v>128</v>
      </c>
      <c r="H55" s="52" t="n">
        <v>173</v>
      </c>
      <c r="I55" s="63" t="n">
        <f aca="false">IF(H55="","",G55-H55)</f>
        <v>-45</v>
      </c>
      <c r="J55" s="53" t="n">
        <f aca="false">IF(OR(D55="",D55+G55=0),"",D55/(D55+G55))</f>
        <v>0.73109243697479</v>
      </c>
      <c r="K55" s="53" t="n">
        <f aca="false">IF(E55="","",E55/(E55+H55))</f>
        <v>0.654690618762475</v>
      </c>
      <c r="L55" s="64" t="n">
        <f aca="false">IF(OR(K55="",J55=""),"",(J55-K55)*100)</f>
        <v>7.64018182123149</v>
      </c>
      <c r="M55" s="28" t="n">
        <v>3.19821915242569</v>
      </c>
      <c r="N55" s="28" t="n">
        <v>0.397844942258686</v>
      </c>
      <c r="O55" s="28" t="n">
        <f aca="false">SQRT(M55^2+N55^2)</f>
        <v>3.22286927209642</v>
      </c>
      <c r="P55" s="53" t="n">
        <f aca="false">IF(J55="","",MAX(0,J55-1.96*O55/100))</f>
        <v>0.6679241992417</v>
      </c>
      <c r="Q55" s="53" t="n">
        <f aca="false">IF(J55="","",MIN(1,J55+1.96*O55/100))</f>
        <v>0.79426067470788</v>
      </c>
      <c r="R55" s="25" t="str">
        <f aca="false">IF(L55="","",IF(ABS(L55)&lt;=O55,"Yes","No"))</f>
        <v>No</v>
      </c>
      <c r="S55" s="25" t="str">
        <f aca="false">IF(L55="","",IF(ABS(L55)&lt;=1.96*O55,"Yes","No"))</f>
        <v>No</v>
      </c>
      <c r="T55" s="52" t="n">
        <f aca="false">IF(D55="","",ROUND(SQRT(((D55+G55)*O55/100)^2+(J55*(D55+G55)*0.1901)^2),0))</f>
        <v>68</v>
      </c>
      <c r="U55" s="25"/>
    </row>
    <row r="56" customFormat="false" ht="15" hidden="false" customHeight="false" outlineLevel="0" collapsed="false">
      <c r="A56" s="25" t="s">
        <v>197</v>
      </c>
      <c r="B56" s="25" t="s">
        <v>199</v>
      </c>
      <c r="C56" s="25" t="s">
        <v>202</v>
      </c>
      <c r="D56" s="52" t="n">
        <v>393</v>
      </c>
      <c r="E56" s="52" t="n">
        <v>347</v>
      </c>
      <c r="F56" s="63" t="n">
        <f aca="false">IF(E56="","",D56-E56)</f>
        <v>46</v>
      </c>
      <c r="G56" s="52" t="n">
        <v>120</v>
      </c>
      <c r="H56" s="52" t="n">
        <v>147</v>
      </c>
      <c r="I56" s="63" t="n">
        <f aca="false">IF(H56="","",G56-H56)</f>
        <v>-27</v>
      </c>
      <c r="J56" s="53" t="n">
        <f aca="false">IF(OR(D56="",D56+G56=0),"",D56/(D56+G56))</f>
        <v>0.766081871345029</v>
      </c>
      <c r="K56" s="53" t="n">
        <f aca="false">IF(E56="","",E56/(E56+H56))</f>
        <v>0.702429149797571</v>
      </c>
      <c r="L56" s="64" t="n">
        <f aca="false">IF(OR(K56="",J56=""),"",(J56-K56)*100)</f>
        <v>6.36527215474584</v>
      </c>
      <c r="M56" s="28" t="n">
        <v>3.19821915242569</v>
      </c>
      <c r="N56" s="28" t="n">
        <v>0.397844942258686</v>
      </c>
      <c r="O56" s="28" t="n">
        <f aca="false">SQRT(M56^2+N56^2)</f>
        <v>3.22286927209642</v>
      </c>
      <c r="P56" s="53" t="n">
        <f aca="false">IF(J56="","",MAX(0,J56-1.96*O56/100))</f>
        <v>0.702913633611939</v>
      </c>
      <c r="Q56" s="53" t="n">
        <f aca="false">IF(J56="","",MIN(1,J56+1.96*O56/100))</f>
        <v>0.829250109078119</v>
      </c>
      <c r="R56" s="25" t="str">
        <f aca="false">IF(L56="","",IF(ABS(L56)&lt;=O56,"Yes","No"))</f>
        <v>No</v>
      </c>
      <c r="S56" s="25" t="str">
        <f aca="false">IF(L56="","",IF(ABS(L56)&lt;=1.96*O56,"Yes","No"))</f>
        <v>No</v>
      </c>
      <c r="T56" s="52" t="n">
        <f aca="false">IF(D56="","",ROUND(SQRT(((D56+G56)*O56/100)^2+(J56*(D56+G56)*0.1901)^2),0))</f>
        <v>77</v>
      </c>
      <c r="U56" s="25"/>
    </row>
    <row r="57" customFormat="false" ht="15" hidden="false" customHeight="false" outlineLevel="0" collapsed="false">
      <c r="A57" s="25" t="s">
        <v>197</v>
      </c>
      <c r="B57" s="25" t="s">
        <v>199</v>
      </c>
      <c r="C57" s="25" t="s">
        <v>203</v>
      </c>
      <c r="D57" s="52" t="n">
        <v>333</v>
      </c>
      <c r="E57" s="52" t="n">
        <v>314</v>
      </c>
      <c r="F57" s="63" t="n">
        <f aca="false">IF(E57="","",D57-E57)</f>
        <v>19</v>
      </c>
      <c r="G57" s="52" t="n">
        <v>141</v>
      </c>
      <c r="H57" s="52" t="n">
        <v>149</v>
      </c>
      <c r="I57" s="63" t="n">
        <f aca="false">IF(H57="","",G57-H57)</f>
        <v>-8</v>
      </c>
      <c r="J57" s="53" t="n">
        <f aca="false">IF(OR(D57="",D57+G57=0),"",D57/(D57+G57))</f>
        <v>0.70253164556962</v>
      </c>
      <c r="K57" s="53" t="n">
        <f aca="false">IF(E57="","",E57/(E57+H57))</f>
        <v>0.678185745140389</v>
      </c>
      <c r="L57" s="64" t="n">
        <f aca="false">IF(OR(K57="",J57=""),"",(J57-K57)*100)</f>
        <v>2.43459004292315</v>
      </c>
      <c r="M57" s="28" t="n">
        <v>3.19821915242569</v>
      </c>
      <c r="N57" s="28" t="n">
        <v>0.397844942258686</v>
      </c>
      <c r="O57" s="28" t="n">
        <f aca="false">SQRT(M57^2+N57^2)</f>
        <v>3.22286927209642</v>
      </c>
      <c r="P57" s="53" t="n">
        <f aca="false">IF(J57="","",MAX(0,J57-1.96*O57/100))</f>
        <v>0.63936340783653</v>
      </c>
      <c r="Q57" s="53" t="n">
        <f aca="false">IF(J57="","",MIN(1,J57+1.96*O57/100))</f>
        <v>0.76569988330271</v>
      </c>
      <c r="R57" s="25" t="str">
        <f aca="false">IF(L57="","",IF(ABS(L57)&lt;=O57,"Yes","No"))</f>
        <v>Yes</v>
      </c>
      <c r="S57" s="25" t="str">
        <f aca="false">IF(L57="","",IF(ABS(L57)&lt;=1.96*O57,"Yes","No"))</f>
        <v>Yes</v>
      </c>
      <c r="T57" s="52" t="n">
        <f aca="false">IF(D57="","",ROUND(SQRT(((D57+G57)*O57/100)^2+(J57*(D57+G57)*0.1901)^2),0))</f>
        <v>65</v>
      </c>
      <c r="U57" s="25"/>
    </row>
    <row r="58" customFormat="false" ht="15" hidden="false" customHeight="false" outlineLevel="0" collapsed="false">
      <c r="A58" s="25" t="s">
        <v>197</v>
      </c>
      <c r="B58" s="25" t="s">
        <v>199</v>
      </c>
      <c r="C58" s="25" t="s">
        <v>204</v>
      </c>
      <c r="D58" s="52" t="n">
        <v>387</v>
      </c>
      <c r="E58" s="52" t="n">
        <v>364</v>
      </c>
      <c r="F58" s="63" t="n">
        <f aca="false">IF(E58="","",D58-E58)</f>
        <v>23</v>
      </c>
      <c r="G58" s="52" t="n">
        <v>133</v>
      </c>
      <c r="H58" s="52" t="n">
        <v>137</v>
      </c>
      <c r="I58" s="63" t="n">
        <f aca="false">IF(H58="","",G58-H58)</f>
        <v>-4</v>
      </c>
      <c r="J58" s="53" t="n">
        <f aca="false">IF(OR(D58="",D58+G58=0),"",D58/(D58+G58))</f>
        <v>0.744230769230769</v>
      </c>
      <c r="K58" s="53" t="n">
        <f aca="false">IF(E58="","",E58/(E58+H58))</f>
        <v>0.726546906187625</v>
      </c>
      <c r="L58" s="64" t="n">
        <f aca="false">IF(OR(K58="",J58=""),"",(J58-K58)*100)</f>
        <v>1.76838630431445</v>
      </c>
      <c r="M58" s="28" t="n">
        <v>3.19821915242569</v>
      </c>
      <c r="N58" s="28" t="n">
        <v>0.397844942258686</v>
      </c>
      <c r="O58" s="28" t="n">
        <f aca="false">SQRT(M58^2+N58^2)</f>
        <v>3.22286927209642</v>
      </c>
      <c r="P58" s="53" t="n">
        <f aca="false">IF(J58="","",MAX(0,J58-1.96*O58/100))</f>
        <v>0.681062531497679</v>
      </c>
      <c r="Q58" s="53" t="n">
        <f aca="false">IF(J58="","",MIN(1,J58+1.96*O58/100))</f>
        <v>0.807399006963859</v>
      </c>
      <c r="R58" s="25" t="str">
        <f aca="false">IF(L58="","",IF(ABS(L58)&lt;=O58,"Yes","No"))</f>
        <v>Yes</v>
      </c>
      <c r="S58" s="25" t="str">
        <f aca="false">IF(L58="","",IF(ABS(L58)&lt;=1.96*O58,"Yes","No"))</f>
        <v>Yes</v>
      </c>
      <c r="T58" s="52" t="n">
        <f aca="false">IF(D58="","",ROUND(SQRT(((D58+G58)*O58/100)^2+(J58*(D58+G58)*0.1901)^2),0))</f>
        <v>75</v>
      </c>
      <c r="U58" s="25"/>
    </row>
    <row r="59" customFormat="false" ht="15" hidden="false" customHeight="false" outlineLevel="0" collapsed="false">
      <c r="A59" s="25" t="s">
        <v>197</v>
      </c>
      <c r="B59" s="25" t="s">
        <v>199</v>
      </c>
      <c r="C59" s="25" t="s">
        <v>205</v>
      </c>
      <c r="D59" s="52" t="n">
        <v>451</v>
      </c>
      <c r="E59" s="52" t="n">
        <v>399</v>
      </c>
      <c r="F59" s="63" t="n">
        <f aca="false">IF(E59="","",D59-E59)</f>
        <v>52</v>
      </c>
      <c r="G59" s="52" t="n">
        <v>186</v>
      </c>
      <c r="H59" s="52" t="n">
        <v>171</v>
      </c>
      <c r="I59" s="63" t="n">
        <f aca="false">IF(H59="","",G59-H59)</f>
        <v>15</v>
      </c>
      <c r="J59" s="53" t="n">
        <f aca="false">IF(OR(D59="",D59+G59=0),"",D59/(D59+G59))</f>
        <v>0.708006279434851</v>
      </c>
      <c r="K59" s="53" t="n">
        <f aca="false">IF(E59="","",E59/(E59+H59))</f>
        <v>0.7</v>
      </c>
      <c r="L59" s="64" t="n">
        <f aca="false">IF(OR(K59="",J59=""),"",(J59-K59)*100)</f>
        <v>0.800627943485088</v>
      </c>
      <c r="M59" s="28" t="n">
        <v>3.19821915242569</v>
      </c>
      <c r="N59" s="28" t="n">
        <v>0.397844942258686</v>
      </c>
      <c r="O59" s="28" t="n">
        <f aca="false">SQRT(M59^2+N59^2)</f>
        <v>3.22286927209642</v>
      </c>
      <c r="P59" s="53" t="n">
        <f aca="false">IF(J59="","",MAX(0,J59-1.96*O59/100))</f>
        <v>0.644838041701761</v>
      </c>
      <c r="Q59" s="53" t="n">
        <f aca="false">IF(J59="","",MIN(1,J59+1.96*O59/100))</f>
        <v>0.771174517167941</v>
      </c>
      <c r="R59" s="25" t="str">
        <f aca="false">IF(L59="","",IF(ABS(L59)&lt;=O59,"Yes","No"))</f>
        <v>Yes</v>
      </c>
      <c r="S59" s="25" t="str">
        <f aca="false">IF(L59="","",IF(ABS(L59)&lt;=1.96*O59,"Yes","No"))</f>
        <v>Yes</v>
      </c>
      <c r="T59" s="52" t="n">
        <f aca="false">IF(D59="","",ROUND(SQRT(((D59+G59)*O59/100)^2+(J59*(D59+G59)*0.1901)^2),0))</f>
        <v>88</v>
      </c>
      <c r="U59" s="25"/>
    </row>
    <row r="60" customFormat="false" ht="15" hidden="false" customHeight="false" outlineLevel="0" collapsed="false">
      <c r="A60" s="25" t="s">
        <v>197</v>
      </c>
      <c r="B60" s="25" t="s">
        <v>199</v>
      </c>
      <c r="C60" s="25" t="s">
        <v>206</v>
      </c>
      <c r="D60" s="52" t="n">
        <v>951</v>
      </c>
      <c r="E60" s="52" t="n">
        <v>1034</v>
      </c>
      <c r="F60" s="63" t="n">
        <f aca="false">IF(E60="","",D60-E60)</f>
        <v>-83</v>
      </c>
      <c r="G60" s="52" t="n">
        <v>322</v>
      </c>
      <c r="H60" s="52" t="n">
        <v>285</v>
      </c>
      <c r="I60" s="63" t="n">
        <f aca="false">IF(H60="","",G60-H60)</f>
        <v>37</v>
      </c>
      <c r="J60" s="53" t="n">
        <f aca="false">IF(OR(D60="",D60+G60=0),"",D60/(D60+G60))</f>
        <v>0.747054202670856</v>
      </c>
      <c r="K60" s="53" t="n">
        <f aca="false">IF(E60="","",E60/(E60+H60))</f>
        <v>0.783927217589083</v>
      </c>
      <c r="L60" s="64" t="n">
        <f aca="false">IF(OR(K60="",J60=""),"",(J60-K60)*100)</f>
        <v>-3.68730149182265</v>
      </c>
      <c r="M60" s="28" t="n">
        <v>2.49017287917352</v>
      </c>
      <c r="N60" s="28" t="n">
        <v>0.397844942258686</v>
      </c>
      <c r="O60" s="28" t="n">
        <f aca="false">SQRT(M60^2+N60^2)</f>
        <v>2.52175366882892</v>
      </c>
      <c r="P60" s="53" t="n">
        <f aca="false">IF(J60="","",MAX(0,J60-1.96*O60/100))</f>
        <v>0.697627830761809</v>
      </c>
      <c r="Q60" s="53" t="n">
        <f aca="false">IF(J60="","",MIN(1,J60+1.96*O60/100))</f>
        <v>0.796480574579903</v>
      </c>
      <c r="R60" s="25" t="str">
        <f aca="false">IF(L60="","",IF(ABS(L60)&lt;=O60,"Yes","No"))</f>
        <v>No</v>
      </c>
      <c r="S60" s="25" t="str">
        <f aca="false">IF(L60="","",IF(ABS(L60)&lt;=1.96*O60,"Yes","No"))</f>
        <v>Yes</v>
      </c>
      <c r="T60" s="52" t="n">
        <f aca="false">IF(D60="","",ROUND(SQRT(((D60+G60)*O60/100)^2+(J60*(D60+G60)*0.08889)^2),0))</f>
        <v>90</v>
      </c>
      <c r="U60" s="25"/>
    </row>
    <row r="61" customFormat="false" ht="15" hidden="false" customHeight="false" outlineLevel="0" collapsed="false">
      <c r="A61" s="25" t="s">
        <v>197</v>
      </c>
      <c r="B61" s="25" t="s">
        <v>199</v>
      </c>
      <c r="C61" s="25" t="s">
        <v>207</v>
      </c>
      <c r="D61" s="52" t="n">
        <v>391</v>
      </c>
      <c r="E61" s="52" t="n">
        <v>377</v>
      </c>
      <c r="F61" s="63" t="n">
        <f aca="false">IF(E61="","",D61-E61)</f>
        <v>14</v>
      </c>
      <c r="G61" s="52" t="n">
        <v>214</v>
      </c>
      <c r="H61" s="52" t="n">
        <v>190</v>
      </c>
      <c r="I61" s="63" t="n">
        <f aca="false">IF(H61="","",G61-H61)</f>
        <v>24</v>
      </c>
      <c r="J61" s="53" t="n">
        <f aca="false">IF(OR(D61="",D61+G61=0),"",D61/(D61+G61))</f>
        <v>0.646280991735537</v>
      </c>
      <c r="K61" s="53" t="n">
        <f aca="false">IF(E61="","",E61/(E61+H61))</f>
        <v>0.664902998236332</v>
      </c>
      <c r="L61" s="64" t="n">
        <f aca="false">IF(OR(K61="",J61=""),"",(J61-K61)*100)</f>
        <v>-1.86220065007944</v>
      </c>
      <c r="M61" s="28" t="n">
        <v>3.19821915242569</v>
      </c>
      <c r="N61" s="28" t="n">
        <v>0.397844942258686</v>
      </c>
      <c r="O61" s="28" t="n">
        <f aca="false">SQRT(M61^2+N61^2)</f>
        <v>3.22286927209642</v>
      </c>
      <c r="P61" s="53" t="n">
        <f aca="false">IF(J61="","",MAX(0,J61-1.96*O61/100))</f>
        <v>0.583112754002447</v>
      </c>
      <c r="Q61" s="53" t="n">
        <f aca="false">IF(J61="","",MIN(1,J61+1.96*O61/100))</f>
        <v>0.709449229468627</v>
      </c>
      <c r="R61" s="25" t="str">
        <f aca="false">IF(L61="","",IF(ABS(L61)&lt;=O61,"Yes","No"))</f>
        <v>Yes</v>
      </c>
      <c r="S61" s="25" t="str">
        <f aca="false">IF(L61="","",IF(ABS(L61)&lt;=1.96*O61,"Yes","No"))</f>
        <v>Yes</v>
      </c>
      <c r="T61" s="52" t="n">
        <f aca="false">IF(D61="","",ROUND(SQRT(((D61+G61)*O61/100)^2+(J61*(D61+G61)*0.1901)^2),0))</f>
        <v>77</v>
      </c>
      <c r="U61" s="25"/>
    </row>
    <row r="62" customFormat="false" ht="15" hidden="false" customHeight="false" outlineLevel="0" collapsed="false">
      <c r="A62" s="25" t="s">
        <v>197</v>
      </c>
      <c r="B62" s="25" t="s">
        <v>199</v>
      </c>
      <c r="C62" s="25" t="s">
        <v>208</v>
      </c>
      <c r="D62" s="52" t="n">
        <v>612</v>
      </c>
      <c r="E62" s="52" t="n">
        <v>619</v>
      </c>
      <c r="F62" s="63" t="n">
        <f aca="false">IF(E62="","",D62-E62)</f>
        <v>-7</v>
      </c>
      <c r="G62" s="52" t="n">
        <v>386</v>
      </c>
      <c r="H62" s="52" t="n">
        <v>400</v>
      </c>
      <c r="I62" s="63" t="n">
        <f aca="false">IF(H62="","",G62-H62)</f>
        <v>-14</v>
      </c>
      <c r="J62" s="53" t="n">
        <f aca="false">IF(OR(D62="",D62+G62=0),"",D62/(D62+G62))</f>
        <v>0.613226452905812</v>
      </c>
      <c r="K62" s="53" t="n">
        <f aca="false">IF(E62="","",E62/(E62+H62))</f>
        <v>0.607458292443572</v>
      </c>
      <c r="L62" s="64" t="n">
        <f aca="false">IF(OR(K62="",J62=""),"",(J62-K62)*100)</f>
        <v>0.576816046223949</v>
      </c>
      <c r="M62" s="28" t="n">
        <v>2.42668038003648</v>
      </c>
      <c r="N62" s="28" t="n">
        <v>0.397844942258686</v>
      </c>
      <c r="O62" s="28" t="n">
        <f aca="false">SQRT(M62^2+N62^2)</f>
        <v>2.45907670985165</v>
      </c>
      <c r="P62" s="53" t="n">
        <f aca="false">IF(J62="","",MAX(0,J62-1.96*O62/100))</f>
        <v>0.565028549392719</v>
      </c>
      <c r="Q62" s="53" t="n">
        <f aca="false">IF(J62="","",MIN(1,J62+1.96*O62/100))</f>
        <v>0.661424356418904</v>
      </c>
      <c r="R62" s="25" t="str">
        <f aca="false">IF(L62="","",IF(ABS(L62)&lt;=O62,"Yes","No"))</f>
        <v>Yes</v>
      </c>
      <c r="S62" s="25" t="str">
        <f aca="false">IF(L62="","",IF(ABS(L62)&lt;=1.96*O62,"Yes","No"))</f>
        <v>Yes</v>
      </c>
      <c r="T62" s="52" t="n">
        <f aca="false">IF(D62="","",ROUND(SQRT(((D62+G62)*O62/100)^2+(J62*(D62+G62)*0.10931)^2),0))</f>
        <v>71</v>
      </c>
      <c r="U62" s="25"/>
    </row>
    <row r="63" customFormat="false" ht="15" hidden="false" customHeight="false" outlineLevel="0" collapsed="false">
      <c r="A63" s="25" t="s">
        <v>197</v>
      </c>
      <c r="B63" s="25" t="s">
        <v>199</v>
      </c>
      <c r="C63" s="25" t="s">
        <v>209</v>
      </c>
      <c r="D63" s="52" t="n">
        <v>434</v>
      </c>
      <c r="E63" s="52" t="n">
        <v>438</v>
      </c>
      <c r="F63" s="63" t="n">
        <f aca="false">IF(E63="","",D63-E63)</f>
        <v>-4</v>
      </c>
      <c r="G63" s="52" t="n">
        <v>282</v>
      </c>
      <c r="H63" s="52" t="n">
        <v>259</v>
      </c>
      <c r="I63" s="63" t="n">
        <f aca="false">IF(H63="","",G63-H63)</f>
        <v>23</v>
      </c>
      <c r="J63" s="53" t="n">
        <f aca="false">IF(OR(D63="",D63+G63=0),"",D63/(D63+G63))</f>
        <v>0.606145251396648</v>
      </c>
      <c r="K63" s="53" t="n">
        <f aca="false">IF(E63="","",E63/(E63+H63))</f>
        <v>0.628407460545194</v>
      </c>
      <c r="L63" s="64" t="n">
        <f aca="false">IF(OR(K63="",J63=""),"",(J63-K63)*100)</f>
        <v>-2.22622091485456</v>
      </c>
      <c r="M63" s="28" t="n">
        <v>3.19821915242569</v>
      </c>
      <c r="N63" s="28" t="n">
        <v>0.397844942258686</v>
      </c>
      <c r="O63" s="28" t="n">
        <f aca="false">SQRT(M63^2+N63^2)</f>
        <v>3.22286927209642</v>
      </c>
      <c r="P63" s="53" t="n">
        <f aca="false">IF(J63="","",MAX(0,J63-1.96*O63/100))</f>
        <v>0.542977013663558</v>
      </c>
      <c r="Q63" s="53" t="n">
        <f aca="false">IF(J63="","",MIN(1,J63+1.96*O63/100))</f>
        <v>0.669313489129738</v>
      </c>
      <c r="R63" s="25" t="str">
        <f aca="false">IF(L63="","",IF(ABS(L63)&lt;=O63,"Yes","No"))</f>
        <v>Yes</v>
      </c>
      <c r="S63" s="25" t="str">
        <f aca="false">IF(L63="","",IF(ABS(L63)&lt;=1.96*O63,"Yes","No"))</f>
        <v>Yes</v>
      </c>
      <c r="T63" s="52" t="n">
        <f aca="false">IF(D63="","",ROUND(SQRT(((D63+G63)*O63/100)^2+(J63*(D63+G63)*0.1901)^2),0))</f>
        <v>86</v>
      </c>
      <c r="U63" s="25"/>
    </row>
    <row r="64" customFormat="false" ht="15" hidden="false" customHeight="false" outlineLevel="0" collapsed="false">
      <c r="A64" s="25" t="s">
        <v>197</v>
      </c>
      <c r="B64" s="25" t="s">
        <v>199</v>
      </c>
      <c r="C64" s="25" t="s">
        <v>210</v>
      </c>
      <c r="D64" s="52" t="n">
        <v>463</v>
      </c>
      <c r="E64" s="52" t="n">
        <v>428</v>
      </c>
      <c r="F64" s="63" t="n">
        <f aca="false">IF(E64="","",D64-E64)</f>
        <v>35</v>
      </c>
      <c r="G64" s="52" t="n">
        <v>197</v>
      </c>
      <c r="H64" s="52" t="n">
        <v>195</v>
      </c>
      <c r="I64" s="63" t="n">
        <f aca="false">IF(H64="","",G64-H64)</f>
        <v>2</v>
      </c>
      <c r="J64" s="53" t="n">
        <f aca="false">IF(OR(D64="",D64+G64=0),"",D64/(D64+G64))</f>
        <v>0.701515151515152</v>
      </c>
      <c r="K64" s="53" t="n">
        <f aca="false">IF(E64="","",E64/(E64+H64))</f>
        <v>0.686998394863563</v>
      </c>
      <c r="L64" s="64" t="n">
        <f aca="false">IF(OR(K64="",J64=""),"",(J64-K64)*100)</f>
        <v>1.45167566515881</v>
      </c>
      <c r="M64" s="28" t="n">
        <v>3.19821915242569</v>
      </c>
      <c r="N64" s="28" t="n">
        <v>0.397844942258686</v>
      </c>
      <c r="O64" s="28" t="n">
        <f aca="false">SQRT(M64^2+N64^2)</f>
        <v>3.22286927209642</v>
      </c>
      <c r="P64" s="53" t="n">
        <f aca="false">IF(J64="","",MAX(0,J64-1.96*O64/100))</f>
        <v>0.638346913782062</v>
      </c>
      <c r="Q64" s="53" t="n">
        <f aca="false">IF(J64="","",MIN(1,J64+1.96*O64/100))</f>
        <v>0.764683389248241</v>
      </c>
      <c r="R64" s="25" t="str">
        <f aca="false">IF(L64="","",IF(ABS(L64)&lt;=O64,"Yes","No"))</f>
        <v>Yes</v>
      </c>
      <c r="S64" s="25" t="str">
        <f aca="false">IF(L64="","",IF(ABS(L64)&lt;=1.96*O64,"Yes","No"))</f>
        <v>Yes</v>
      </c>
      <c r="T64" s="52" t="n">
        <f aca="false">IF(D64="","",ROUND(SQRT(((D64+G64)*O64/100)^2+(J64*(D64+G64)*0.1901)^2),0))</f>
        <v>91</v>
      </c>
      <c r="U64" s="25"/>
    </row>
    <row r="65" customFormat="false" ht="15" hidden="false" customHeight="false" outlineLevel="0" collapsed="false">
      <c r="A65" s="25" t="s">
        <v>197</v>
      </c>
      <c r="B65" s="25" t="s">
        <v>199</v>
      </c>
      <c r="C65" s="25" t="s">
        <v>211</v>
      </c>
      <c r="D65" s="52" t="n">
        <v>548</v>
      </c>
      <c r="E65" s="52" t="n">
        <v>563</v>
      </c>
      <c r="F65" s="63" t="n">
        <f aca="false">IF(E65="","",D65-E65)</f>
        <v>-15</v>
      </c>
      <c r="G65" s="52" t="n">
        <v>299</v>
      </c>
      <c r="H65" s="52" t="n">
        <v>322</v>
      </c>
      <c r="I65" s="63" t="n">
        <f aca="false">IF(H65="","",G65-H65)</f>
        <v>-23</v>
      </c>
      <c r="J65" s="53" t="n">
        <f aca="false">IF(OR(D65="",D65+G65=0),"",D65/(D65+G65))</f>
        <v>0.646989374262102</v>
      </c>
      <c r="K65" s="53" t="n">
        <f aca="false">IF(E65="","",E65/(E65+H65))</f>
        <v>0.636158192090396</v>
      </c>
      <c r="L65" s="64" t="n">
        <f aca="false">IF(OR(K65="",J65=""),"",(J65-K65)*100)</f>
        <v>1.08311821717061</v>
      </c>
      <c r="M65" s="28" t="n">
        <v>2.42668038003648</v>
      </c>
      <c r="N65" s="28" t="n">
        <v>0.397844942258686</v>
      </c>
      <c r="O65" s="28" t="n">
        <f aca="false">SQRT(M65^2+N65^2)</f>
        <v>2.45907670985165</v>
      </c>
      <c r="P65" s="53" t="n">
        <f aca="false">IF(J65="","",MAX(0,J65-1.96*O65/100))</f>
        <v>0.598791470749009</v>
      </c>
      <c r="Q65" s="53" t="n">
        <f aca="false">IF(J65="","",MIN(1,J65+1.96*O65/100))</f>
        <v>0.695187277775194</v>
      </c>
      <c r="R65" s="25" t="str">
        <f aca="false">IF(L65="","",IF(ABS(L65)&lt;=O65,"Yes","No"))</f>
        <v>Yes</v>
      </c>
      <c r="S65" s="25" t="str">
        <f aca="false">IF(L65="","",IF(ABS(L65)&lt;=1.96*O65,"Yes","No"))</f>
        <v>Yes</v>
      </c>
      <c r="T65" s="52" t="n">
        <f aca="false">IF(D65="","",ROUND(SQRT(((D65+G65)*O65/100)^2+(J65*(D65+G65)*0.10931)^2),0))</f>
        <v>63</v>
      </c>
      <c r="U65" s="25"/>
    </row>
    <row r="66" customFormat="false" ht="15" hidden="false" customHeight="false" outlineLevel="0" collapsed="false">
      <c r="A66" s="25" t="s">
        <v>197</v>
      </c>
      <c r="B66" s="25" t="s">
        <v>199</v>
      </c>
      <c r="C66" s="25" t="s">
        <v>212</v>
      </c>
      <c r="D66" s="52" t="n">
        <v>473</v>
      </c>
      <c r="E66" s="52" t="n">
        <v>472</v>
      </c>
      <c r="F66" s="63" t="n">
        <f aca="false">IF(E66="","",D66-E66)</f>
        <v>1</v>
      </c>
      <c r="G66" s="52" t="n">
        <v>295</v>
      </c>
      <c r="H66" s="52" t="n">
        <v>273</v>
      </c>
      <c r="I66" s="63" t="n">
        <f aca="false">IF(H66="","",G66-H66)</f>
        <v>22</v>
      </c>
      <c r="J66" s="53" t="n">
        <f aca="false">IF(OR(D66="",D66+G66=0),"",D66/(D66+G66))</f>
        <v>0.615885416666667</v>
      </c>
      <c r="K66" s="53" t="n">
        <f aca="false">IF(E66="","",E66/(E66+H66))</f>
        <v>0.633557046979866</v>
      </c>
      <c r="L66" s="64" t="n">
        <f aca="false">IF(OR(K66="",J66=""),"",(J66-K66)*100)</f>
        <v>-1.76716303131992</v>
      </c>
      <c r="M66" s="28" t="n">
        <v>2.42668038003648</v>
      </c>
      <c r="N66" s="28" t="n">
        <v>0.397844942258686</v>
      </c>
      <c r="O66" s="28" t="n">
        <f aca="false">SQRT(M66^2+N66^2)</f>
        <v>2.45907670985165</v>
      </c>
      <c r="P66" s="53" t="n">
        <f aca="false">IF(J66="","",MAX(0,J66-1.96*O66/100))</f>
        <v>0.567687513153574</v>
      </c>
      <c r="Q66" s="53" t="n">
        <f aca="false">IF(J66="","",MIN(1,J66+1.96*O66/100))</f>
        <v>0.664083320179759</v>
      </c>
      <c r="R66" s="25" t="str">
        <f aca="false">IF(L66="","",IF(ABS(L66)&lt;=O66,"Yes","No"))</f>
        <v>Yes</v>
      </c>
      <c r="S66" s="25" t="str">
        <f aca="false">IF(L66="","",IF(ABS(L66)&lt;=1.96*O66,"Yes","No"))</f>
        <v>Yes</v>
      </c>
      <c r="T66" s="52" t="n">
        <f aca="false">IF(D66="","",ROUND(SQRT(((D66+G66)*O66/100)^2+(J66*(D66+G66)*0.10931)^2),0))</f>
        <v>55</v>
      </c>
      <c r="U66" s="25"/>
    </row>
    <row r="67" customFormat="false" ht="15" hidden="false" customHeight="false" outlineLevel="0" collapsed="false">
      <c r="A67" s="25" t="s">
        <v>197</v>
      </c>
      <c r="B67" s="25" t="s">
        <v>199</v>
      </c>
      <c r="C67" s="25" t="s">
        <v>213</v>
      </c>
      <c r="D67" s="52" t="n">
        <v>435</v>
      </c>
      <c r="E67" s="52" t="n">
        <v>426</v>
      </c>
      <c r="F67" s="63" t="n">
        <f aca="false">IF(E67="","",D67-E67)</f>
        <v>9</v>
      </c>
      <c r="G67" s="52" t="n">
        <v>323</v>
      </c>
      <c r="H67" s="52" t="n">
        <v>331</v>
      </c>
      <c r="I67" s="63" t="n">
        <f aca="false">IF(H67="","",G67-H67)</f>
        <v>-8</v>
      </c>
      <c r="J67" s="53" t="n">
        <f aca="false">IF(OR(D67="",D67+G67=0),"",D67/(D67+G67))</f>
        <v>0.573878627968338</v>
      </c>
      <c r="K67" s="53" t="n">
        <f aca="false">IF(E67="","",E67/(E67+H67))</f>
        <v>0.562747688243065</v>
      </c>
      <c r="L67" s="64" t="n">
        <f aca="false">IF(OR(K67="",J67=""),"",(J67-K67)*100)</f>
        <v>1.1130939725273</v>
      </c>
      <c r="M67" s="28" t="n">
        <v>2.42668038003648</v>
      </c>
      <c r="N67" s="28" t="n">
        <v>0.397844942258686</v>
      </c>
      <c r="O67" s="28" t="n">
        <f aca="false">SQRT(M67^2+N67^2)</f>
        <v>2.45907670985165</v>
      </c>
      <c r="P67" s="53" t="n">
        <f aca="false">IF(J67="","",MAX(0,J67-1.96*O67/100))</f>
        <v>0.525680724455245</v>
      </c>
      <c r="Q67" s="53" t="n">
        <f aca="false">IF(J67="","",MIN(1,J67+1.96*O67/100))</f>
        <v>0.62207653148143</v>
      </c>
      <c r="R67" s="25" t="str">
        <f aca="false">IF(L67="","",IF(ABS(L67)&lt;=O67,"Yes","No"))</f>
        <v>Yes</v>
      </c>
      <c r="S67" s="25" t="str">
        <f aca="false">IF(L67="","",IF(ABS(L67)&lt;=1.96*O67,"Yes","No"))</f>
        <v>Yes</v>
      </c>
      <c r="T67" s="52" t="n">
        <f aca="false">IF(D67="","",ROUND(SQRT(((D67+G67)*O67/100)^2+(J67*(D67+G67)*0.10931)^2),0))</f>
        <v>51</v>
      </c>
      <c r="U67" s="25"/>
    </row>
    <row r="68" customFormat="false" ht="15" hidden="false" customHeight="false" outlineLevel="0" collapsed="false">
      <c r="A68" s="25" t="s">
        <v>197</v>
      </c>
      <c r="B68" s="25" t="s">
        <v>199</v>
      </c>
      <c r="C68" s="25" t="s">
        <v>214</v>
      </c>
      <c r="D68" s="52" t="n">
        <v>447</v>
      </c>
      <c r="E68" s="52" t="n">
        <v>418</v>
      </c>
      <c r="F68" s="63" t="n">
        <f aca="false">IF(E68="","",D68-E68)</f>
        <v>29</v>
      </c>
      <c r="G68" s="52" t="n">
        <v>270</v>
      </c>
      <c r="H68" s="52" t="n">
        <v>278</v>
      </c>
      <c r="I68" s="63" t="n">
        <f aca="false">IF(H68="","",G68-H68)</f>
        <v>-8</v>
      </c>
      <c r="J68" s="53" t="n">
        <f aca="false">IF(OR(D68="",D68+G68=0),"",D68/(D68+G68))</f>
        <v>0.623430962343096</v>
      </c>
      <c r="K68" s="53" t="n">
        <f aca="false">IF(E68="","",E68/(E68+H68))</f>
        <v>0.600574712643678</v>
      </c>
      <c r="L68" s="64" t="n">
        <f aca="false">IF(OR(K68="",J68=""),"",(J68-K68)*100)</f>
        <v>2.28562496994181</v>
      </c>
      <c r="M68" s="28" t="n">
        <v>3.19821915242569</v>
      </c>
      <c r="N68" s="28" t="n">
        <v>0.397844942258686</v>
      </c>
      <c r="O68" s="28" t="n">
        <f aca="false">SQRT(M68^2+N68^2)</f>
        <v>3.22286927209642</v>
      </c>
      <c r="P68" s="53" t="n">
        <f aca="false">IF(J68="","",MAX(0,J68-1.96*O68/100))</f>
        <v>0.560262724610006</v>
      </c>
      <c r="Q68" s="53" t="n">
        <f aca="false">IF(J68="","",MIN(1,J68+1.96*O68/100))</f>
        <v>0.686599200076186</v>
      </c>
      <c r="R68" s="25" t="str">
        <f aca="false">IF(L68="","",IF(ABS(L68)&lt;=O68,"Yes","No"))</f>
        <v>Yes</v>
      </c>
      <c r="S68" s="25" t="str">
        <f aca="false">IF(L68="","",IF(ABS(L68)&lt;=1.96*O68,"Yes","No"))</f>
        <v>Yes</v>
      </c>
      <c r="T68" s="52" t="n">
        <f aca="false">IF(D68="","",ROUND(SQRT(((D68+G68)*O68/100)^2+(J68*(D68+G68)*0.1901)^2),0))</f>
        <v>88</v>
      </c>
      <c r="U68" s="25"/>
    </row>
    <row r="69" customFormat="false" ht="15" hidden="false" customHeight="false" outlineLevel="0" collapsed="false">
      <c r="A69" s="25" t="s">
        <v>197</v>
      </c>
      <c r="B69" s="25" t="s">
        <v>199</v>
      </c>
      <c r="C69" s="25" t="s">
        <v>215</v>
      </c>
      <c r="D69" s="52" t="n">
        <v>461</v>
      </c>
      <c r="E69" s="52" t="n">
        <v>424</v>
      </c>
      <c r="F69" s="63" t="n">
        <f aca="false">IF(E69="","",D69-E69)</f>
        <v>37</v>
      </c>
      <c r="G69" s="52" t="n">
        <v>167</v>
      </c>
      <c r="H69" s="52" t="n">
        <v>188</v>
      </c>
      <c r="I69" s="63" t="n">
        <f aca="false">IF(H69="","",G69-H69)</f>
        <v>-21</v>
      </c>
      <c r="J69" s="53" t="n">
        <f aca="false">IF(OR(D69="",D69+G69=0),"",D69/(D69+G69))</f>
        <v>0.734076433121019</v>
      </c>
      <c r="K69" s="53" t="n">
        <f aca="false">IF(E69="","",E69/(E69+H69))</f>
        <v>0.69281045751634</v>
      </c>
      <c r="L69" s="64" t="n">
        <f aca="false">IF(OR(K69="",J69=""),"",(J69-K69)*100)</f>
        <v>4.12659756046793</v>
      </c>
      <c r="M69" s="28" t="n">
        <v>3.19821915242569</v>
      </c>
      <c r="N69" s="28" t="n">
        <v>0.397844942258686</v>
      </c>
      <c r="O69" s="28" t="n">
        <f aca="false">SQRT(M69^2+N69^2)</f>
        <v>3.22286927209642</v>
      </c>
      <c r="P69" s="53" t="n">
        <f aca="false">IF(J69="","",MAX(0,J69-1.96*O69/100))</f>
        <v>0.670908195387929</v>
      </c>
      <c r="Q69" s="53" t="n">
        <f aca="false">IF(J69="","",MIN(1,J69+1.96*O69/100))</f>
        <v>0.797244670854109</v>
      </c>
      <c r="R69" s="25" t="str">
        <f aca="false">IF(L69="","",IF(ABS(L69)&lt;=O69,"Yes","No"))</f>
        <v>No</v>
      </c>
      <c r="S69" s="25" t="str">
        <f aca="false">IF(L69="","",IF(ABS(L69)&lt;=1.96*O69,"Yes","No"))</f>
        <v>Yes</v>
      </c>
      <c r="T69" s="52" t="n">
        <f aca="false">IF(D69="","",ROUND(SQRT(((D69+G69)*O69/100)^2+(J69*(D69+G69)*0.1901)^2),0))</f>
        <v>90</v>
      </c>
      <c r="U69" s="25"/>
    </row>
    <row r="70" customFormat="false" ht="15" hidden="false" customHeight="false" outlineLevel="0" collapsed="false">
      <c r="A70" s="25" t="s">
        <v>197</v>
      </c>
      <c r="B70" s="25" t="s">
        <v>199</v>
      </c>
      <c r="C70" s="25" t="s">
        <v>216</v>
      </c>
      <c r="D70" s="52" t="n">
        <v>370</v>
      </c>
      <c r="E70" s="52" t="n">
        <v>330</v>
      </c>
      <c r="F70" s="63" t="n">
        <f aca="false">IF(E70="","",D70-E70)</f>
        <v>40</v>
      </c>
      <c r="G70" s="52" t="n">
        <v>173</v>
      </c>
      <c r="H70" s="52" t="n">
        <v>195</v>
      </c>
      <c r="I70" s="63" t="n">
        <f aca="false">IF(H70="","",G70-H70)</f>
        <v>-22</v>
      </c>
      <c r="J70" s="53" t="n">
        <f aca="false">IF(OR(D70="",D70+G70=0),"",D70/(D70+G70))</f>
        <v>0.681399631675875</v>
      </c>
      <c r="K70" s="53" t="n">
        <f aca="false">IF(E70="","",E70/(E70+H70))</f>
        <v>0.628571428571429</v>
      </c>
      <c r="L70" s="64" t="n">
        <f aca="false">IF(OR(K70="",J70=""),"",(J70-K70)*100)</f>
        <v>5.28282031044463</v>
      </c>
      <c r="M70" s="28" t="n">
        <v>3.19821915242569</v>
      </c>
      <c r="N70" s="28" t="n">
        <v>0.397844942258686</v>
      </c>
      <c r="O70" s="28" t="n">
        <f aca="false">SQRT(M70^2+N70^2)</f>
        <v>3.22286927209642</v>
      </c>
      <c r="P70" s="53" t="n">
        <f aca="false">IF(J70="","",MAX(0,J70-1.96*O70/100))</f>
        <v>0.618231393942785</v>
      </c>
      <c r="Q70" s="53" t="n">
        <f aca="false">IF(J70="","",MIN(1,J70+1.96*O70/100))</f>
        <v>0.744567869408965</v>
      </c>
      <c r="R70" s="25" t="str">
        <f aca="false">IF(L70="","",IF(ABS(L70)&lt;=O70,"Yes","No"))</f>
        <v>No</v>
      </c>
      <c r="S70" s="25" t="str">
        <f aca="false">IF(L70="","",IF(ABS(L70)&lt;=1.96*O70,"Yes","No"))</f>
        <v>Yes</v>
      </c>
      <c r="T70" s="52" t="n">
        <f aca="false">IF(D70="","",ROUND(SQRT(((D70+G70)*O70/100)^2+(J70*(D70+G70)*0.1901)^2),0))</f>
        <v>72</v>
      </c>
      <c r="U70" s="25"/>
    </row>
    <row r="71" customFormat="false" ht="15" hidden="false" customHeight="false" outlineLevel="0" collapsed="false">
      <c r="A71" s="25" t="s">
        <v>197</v>
      </c>
      <c r="B71" s="25" t="s">
        <v>199</v>
      </c>
      <c r="C71" s="25" t="s">
        <v>217</v>
      </c>
      <c r="D71" s="52" t="n">
        <v>450</v>
      </c>
      <c r="E71" s="52" t="n">
        <v>441</v>
      </c>
      <c r="F71" s="63" t="n">
        <f aca="false">IF(E71="","",D71-E71)</f>
        <v>9</v>
      </c>
      <c r="G71" s="52" t="n">
        <v>240</v>
      </c>
      <c r="H71" s="52" t="n">
        <v>232</v>
      </c>
      <c r="I71" s="63" t="n">
        <f aca="false">IF(H71="","",G71-H71)</f>
        <v>8</v>
      </c>
      <c r="J71" s="53" t="n">
        <f aca="false">IF(OR(D71="",D71+G71=0),"",D71/(D71+G71))</f>
        <v>0.652173913043478</v>
      </c>
      <c r="K71" s="53" t="n">
        <f aca="false">IF(E71="","",E71/(E71+H71))</f>
        <v>0.655274888558692</v>
      </c>
      <c r="L71" s="64" t="n">
        <f aca="false">IF(OR(K71="",J71=""),"",(J71-K71)*100)</f>
        <v>-0.310097551521416</v>
      </c>
      <c r="M71" s="28" t="n">
        <v>3.19821915242569</v>
      </c>
      <c r="N71" s="28" t="n">
        <v>0.397844942258686</v>
      </c>
      <c r="O71" s="28" t="n">
        <f aca="false">SQRT(M71^2+N71^2)</f>
        <v>3.22286927209642</v>
      </c>
      <c r="P71" s="53" t="n">
        <f aca="false">IF(J71="","",MAX(0,J71-1.96*O71/100))</f>
        <v>0.589005675310388</v>
      </c>
      <c r="Q71" s="53" t="n">
        <f aca="false">IF(J71="","",MIN(1,J71+1.96*O71/100))</f>
        <v>0.715342150776568</v>
      </c>
      <c r="R71" s="25" t="str">
        <f aca="false">IF(L71="","",IF(ABS(L71)&lt;=O71,"Yes","No"))</f>
        <v>Yes</v>
      </c>
      <c r="S71" s="25" t="str">
        <f aca="false">IF(L71="","",IF(ABS(L71)&lt;=1.96*O71,"Yes","No"))</f>
        <v>Yes</v>
      </c>
      <c r="T71" s="52" t="n">
        <f aca="false">IF(D71="","",ROUND(SQRT(((D71+G71)*O71/100)^2+(J71*(D71+G71)*0.1901)^2),0))</f>
        <v>88</v>
      </c>
      <c r="U71" s="25"/>
    </row>
    <row r="72" customFormat="false" ht="15" hidden="false" customHeight="false" outlineLevel="0" collapsed="false">
      <c r="A72" s="25" t="s">
        <v>197</v>
      </c>
      <c r="B72" s="25" t="s">
        <v>199</v>
      </c>
      <c r="C72" s="25" t="s">
        <v>218</v>
      </c>
      <c r="D72" s="52" t="n">
        <v>318</v>
      </c>
      <c r="E72" s="52" t="n">
        <v>313</v>
      </c>
      <c r="F72" s="63" t="n">
        <f aca="false">IF(E72="","",D72-E72)</f>
        <v>5</v>
      </c>
      <c r="G72" s="52" t="n">
        <v>140</v>
      </c>
      <c r="H72" s="52" t="n">
        <v>155</v>
      </c>
      <c r="I72" s="63" t="n">
        <f aca="false">IF(H72="","",G72-H72)</f>
        <v>-15</v>
      </c>
      <c r="J72" s="53" t="n">
        <f aca="false">IF(OR(D72="",D72+G72=0),"",D72/(D72+G72))</f>
        <v>0.694323144104803</v>
      </c>
      <c r="K72" s="53" t="n">
        <f aca="false">IF(E72="","",E72/(E72+H72))</f>
        <v>0.668803418803419</v>
      </c>
      <c r="L72" s="64" t="n">
        <f aca="false">IF(OR(K72="",J72=""),"",(J72-K72)*100)</f>
        <v>2.55197253013847</v>
      </c>
      <c r="M72" s="28" t="n">
        <v>3.19821915242569</v>
      </c>
      <c r="N72" s="28" t="n">
        <v>0.397844942258686</v>
      </c>
      <c r="O72" s="28" t="n">
        <f aca="false">SQRT(M72^2+N72^2)</f>
        <v>3.22286927209642</v>
      </c>
      <c r="P72" s="53" t="n">
        <f aca="false">IF(J72="","",MAX(0,J72-1.96*O72/100))</f>
        <v>0.631154906371714</v>
      </c>
      <c r="Q72" s="53" t="n">
        <f aca="false">IF(J72="","",MIN(1,J72+1.96*O72/100))</f>
        <v>0.757491381837893</v>
      </c>
      <c r="R72" s="25" t="str">
        <f aca="false">IF(L72="","",IF(ABS(L72)&lt;=O72,"Yes","No"))</f>
        <v>Yes</v>
      </c>
      <c r="S72" s="25" t="str">
        <f aca="false">IF(L72="","",IF(ABS(L72)&lt;=1.96*O72,"Yes","No"))</f>
        <v>Yes</v>
      </c>
      <c r="T72" s="52" t="n">
        <f aca="false">IF(D72="","",ROUND(SQRT(((D72+G72)*O72/100)^2+(J72*(D72+G72)*0.1901)^2),0))</f>
        <v>62</v>
      </c>
      <c r="U72" s="25"/>
    </row>
    <row r="73" customFormat="false" ht="15" hidden="false" customHeight="false" outlineLevel="0" collapsed="false">
      <c r="A73" s="25" t="s">
        <v>197</v>
      </c>
      <c r="B73" s="25" t="s">
        <v>199</v>
      </c>
      <c r="C73" s="25" t="s">
        <v>219</v>
      </c>
      <c r="D73" s="52" t="n">
        <v>682</v>
      </c>
      <c r="E73" s="52" t="n">
        <v>658</v>
      </c>
      <c r="F73" s="63" t="n">
        <f aca="false">IF(E73="","",D73-E73)</f>
        <v>24</v>
      </c>
      <c r="G73" s="52" t="n">
        <v>388</v>
      </c>
      <c r="H73" s="52" t="n">
        <v>375</v>
      </c>
      <c r="I73" s="63" t="n">
        <f aca="false">IF(H73="","",G73-H73)</f>
        <v>13</v>
      </c>
      <c r="J73" s="53" t="n">
        <f aca="false">IF(OR(D73="",D73+G73=0),"",D73/(D73+G73))</f>
        <v>0.637383177570093</v>
      </c>
      <c r="K73" s="53" t="n">
        <f aca="false">IF(E73="","",E73/(E73+H73))</f>
        <v>0.636979670861568</v>
      </c>
      <c r="L73" s="64" t="n">
        <f aca="false">IF(OR(K73="",J73=""),"",(J73-K73)*100)</f>
        <v>0.0403506708525181</v>
      </c>
      <c r="M73" s="28" t="n">
        <v>2.42668038003648</v>
      </c>
      <c r="N73" s="28" t="n">
        <v>0.397844942258686</v>
      </c>
      <c r="O73" s="28" t="n">
        <f aca="false">SQRT(M73^2+N73^2)</f>
        <v>2.45907670985165</v>
      </c>
      <c r="P73" s="53" t="n">
        <f aca="false">IF(J73="","",MAX(0,J73-1.96*O73/100))</f>
        <v>0.589185274057001</v>
      </c>
      <c r="Q73" s="53" t="n">
        <f aca="false">IF(J73="","",MIN(1,J73+1.96*O73/100))</f>
        <v>0.685581081083186</v>
      </c>
      <c r="R73" s="25" t="str">
        <f aca="false">IF(L73="","",IF(ABS(L73)&lt;=O73,"Yes","No"))</f>
        <v>Yes</v>
      </c>
      <c r="S73" s="25" t="str">
        <f aca="false">IF(L73="","",IF(ABS(L73)&lt;=1.96*O73,"Yes","No"))</f>
        <v>Yes</v>
      </c>
      <c r="T73" s="52" t="n">
        <f aca="false">IF(D73="","",ROUND(SQRT(((D73+G73)*O73/100)^2+(J73*(D73+G73)*0.10931)^2),0))</f>
        <v>79</v>
      </c>
      <c r="U73" s="25"/>
    </row>
    <row r="74" customFormat="false" ht="15" hidden="false" customHeight="false" outlineLevel="0" collapsed="false">
      <c r="A74" s="25" t="s">
        <v>197</v>
      </c>
      <c r="B74" s="25" t="s">
        <v>199</v>
      </c>
      <c r="C74" s="25" t="s">
        <v>220</v>
      </c>
      <c r="D74" s="52" t="n">
        <v>787</v>
      </c>
      <c r="E74" s="52" t="n">
        <v>693</v>
      </c>
      <c r="F74" s="63" t="n">
        <f aca="false">IF(E74="","",D74-E74)</f>
        <v>94</v>
      </c>
      <c r="G74" s="52" t="n">
        <v>363</v>
      </c>
      <c r="H74" s="52" t="n">
        <v>389</v>
      </c>
      <c r="I74" s="63" t="n">
        <f aca="false">IF(H74="","",G74-H74)</f>
        <v>-26</v>
      </c>
      <c r="J74" s="53" t="n">
        <f aca="false">IF(OR(D74="",D74+G74=0),"",D74/(D74+G74))</f>
        <v>0.684347826086957</v>
      </c>
      <c r="K74" s="53" t="n">
        <f aca="false">IF(E74="","",E74/(E74+H74))</f>
        <v>0.640480591497227</v>
      </c>
      <c r="L74" s="64" t="n">
        <f aca="false">IF(OR(K74="",J74=""),"",(J74-K74)*100)</f>
        <v>4.38672345897292</v>
      </c>
      <c r="M74" s="28" t="n">
        <v>2.42668038003648</v>
      </c>
      <c r="N74" s="28" t="n">
        <v>0.397844942258686</v>
      </c>
      <c r="O74" s="28" t="n">
        <f aca="false">SQRT(M74^2+N74^2)</f>
        <v>2.45907670985165</v>
      </c>
      <c r="P74" s="53" t="n">
        <f aca="false">IF(J74="","",MAX(0,J74-1.96*O74/100))</f>
        <v>0.636149922573864</v>
      </c>
      <c r="Q74" s="53" t="n">
        <f aca="false">IF(J74="","",MIN(1,J74+1.96*O74/100))</f>
        <v>0.732545729600049</v>
      </c>
      <c r="R74" s="25" t="str">
        <f aca="false">IF(L74="","",IF(ABS(L74)&lt;=O74,"Yes","No"))</f>
        <v>No</v>
      </c>
      <c r="S74" s="25" t="str">
        <f aca="false">IF(L74="","",IF(ABS(L74)&lt;=1.96*O74,"Yes","No"))</f>
        <v>Yes</v>
      </c>
      <c r="T74" s="52" t="n">
        <f aca="false">IF(D74="","",ROUND(SQRT(((D74+G74)*O74/100)^2+(J74*(D74+G74)*0.10931)^2),0))</f>
        <v>91</v>
      </c>
      <c r="U74" s="25"/>
    </row>
    <row r="75" customFormat="false" ht="15" hidden="false" customHeight="false" outlineLevel="0" collapsed="false">
      <c r="A75" s="25" t="s">
        <v>197</v>
      </c>
      <c r="B75" s="25" t="s">
        <v>199</v>
      </c>
      <c r="C75" s="25" t="s">
        <v>221</v>
      </c>
      <c r="D75" s="52" t="n">
        <v>502</v>
      </c>
      <c r="E75" s="52" t="n">
        <v>446</v>
      </c>
      <c r="F75" s="63" t="n">
        <f aca="false">IF(E75="","",D75-E75)</f>
        <v>56</v>
      </c>
      <c r="G75" s="52" t="n">
        <v>331</v>
      </c>
      <c r="H75" s="52" t="n">
        <v>382</v>
      </c>
      <c r="I75" s="63" t="n">
        <f aca="false">IF(H75="","",G75-H75)</f>
        <v>-51</v>
      </c>
      <c r="J75" s="53" t="n">
        <f aca="false">IF(OR(D75="",D75+G75=0),"",D75/(D75+G75))</f>
        <v>0.602641056422569</v>
      </c>
      <c r="K75" s="53" t="n">
        <f aca="false">IF(E75="","",E75/(E75+H75))</f>
        <v>0.538647342995169</v>
      </c>
      <c r="L75" s="64" t="n">
        <f aca="false">IF(OR(K75="",J75=""),"",(J75-K75)*100)</f>
        <v>6.39937134274</v>
      </c>
      <c r="M75" s="28" t="n">
        <v>2.42668038003648</v>
      </c>
      <c r="N75" s="28" t="n">
        <v>0.397844942258686</v>
      </c>
      <c r="O75" s="28" t="n">
        <f aca="false">SQRT(M75^2+N75^2)</f>
        <v>2.45907670985165</v>
      </c>
      <c r="P75" s="53" t="n">
        <f aca="false">IF(J75="","",MAX(0,J75-1.96*O75/100))</f>
        <v>0.554443152909477</v>
      </c>
      <c r="Q75" s="53" t="n">
        <f aca="false">IF(J75="","",MIN(1,J75+1.96*O75/100))</f>
        <v>0.650838959935661</v>
      </c>
      <c r="R75" s="25" t="str">
        <f aca="false">IF(L75="","",IF(ABS(L75)&lt;=O75,"Yes","No"))</f>
        <v>No</v>
      </c>
      <c r="S75" s="25" t="str">
        <f aca="false">IF(L75="","",IF(ABS(L75)&lt;=1.96*O75,"Yes","No"))</f>
        <v>No</v>
      </c>
      <c r="T75" s="52" t="n">
        <f aca="false">IF(D75="","",ROUND(SQRT(((D75+G75)*O75/100)^2+(J75*(D75+G75)*0.10931)^2),0))</f>
        <v>59</v>
      </c>
      <c r="U75" s="25"/>
    </row>
    <row r="76" customFormat="false" ht="15" hidden="false" customHeight="false" outlineLevel="0" collapsed="false">
      <c r="A76" s="25" t="s">
        <v>197</v>
      </c>
      <c r="B76" s="25" t="s">
        <v>199</v>
      </c>
      <c r="C76" s="25" t="s">
        <v>222</v>
      </c>
      <c r="D76" s="52" t="n">
        <v>633</v>
      </c>
      <c r="E76" s="52" t="n">
        <v>627</v>
      </c>
      <c r="F76" s="63" t="n">
        <f aca="false">IF(E76="","",D76-E76)</f>
        <v>6</v>
      </c>
      <c r="G76" s="52" t="n">
        <v>377</v>
      </c>
      <c r="H76" s="52" t="n">
        <v>389</v>
      </c>
      <c r="I76" s="63" t="n">
        <f aca="false">IF(H76="","",G76-H76)</f>
        <v>-12</v>
      </c>
      <c r="J76" s="53" t="n">
        <f aca="false">IF(OR(D76="",D76+G76=0),"",D76/(D76+G76))</f>
        <v>0.626732673267327</v>
      </c>
      <c r="K76" s="53" t="n">
        <f aca="false">IF(E76="","",E76/(E76+H76))</f>
        <v>0.617125984251969</v>
      </c>
      <c r="L76" s="64" t="n">
        <f aca="false">IF(OR(K76="",J76=""),"",(J76-K76)*100)</f>
        <v>0.960668901535822</v>
      </c>
      <c r="M76" s="28" t="n">
        <v>2.42668038003648</v>
      </c>
      <c r="N76" s="28" t="n">
        <v>0.397844942258686</v>
      </c>
      <c r="O76" s="28" t="n">
        <f aca="false">SQRT(M76^2+N76^2)</f>
        <v>2.45907670985165</v>
      </c>
      <c r="P76" s="53" t="n">
        <f aca="false">IF(J76="","",MAX(0,J76-1.96*O76/100))</f>
        <v>0.578534769754234</v>
      </c>
      <c r="Q76" s="53" t="n">
        <f aca="false">IF(J76="","",MIN(1,J76+1.96*O76/100))</f>
        <v>0.674930576780419</v>
      </c>
      <c r="R76" s="25" t="str">
        <f aca="false">IF(L76="","",IF(ABS(L76)&lt;=O76,"Yes","No"))</f>
        <v>Yes</v>
      </c>
      <c r="S76" s="25" t="str">
        <f aca="false">IF(L76="","",IF(ABS(L76)&lt;=1.96*O76,"Yes","No"))</f>
        <v>Yes</v>
      </c>
      <c r="T76" s="52" t="n">
        <f aca="false">IF(D76="","",ROUND(SQRT(((D76+G76)*O76/100)^2+(J76*(D76+G76)*0.10931)^2),0))</f>
        <v>74</v>
      </c>
      <c r="U76" s="25"/>
    </row>
    <row r="77" customFormat="false" ht="15" hidden="false" customHeight="false" outlineLevel="0" collapsed="false">
      <c r="A77" s="25" t="s">
        <v>197</v>
      </c>
      <c r="B77" s="25" t="s">
        <v>199</v>
      </c>
      <c r="C77" s="25" t="s">
        <v>223</v>
      </c>
      <c r="D77" s="52" t="n">
        <v>651</v>
      </c>
      <c r="E77" s="52" t="n">
        <v>645</v>
      </c>
      <c r="F77" s="63" t="n">
        <f aca="false">IF(E77="","",D77-E77)</f>
        <v>6</v>
      </c>
      <c r="G77" s="52" t="n">
        <v>380</v>
      </c>
      <c r="H77" s="52" t="n">
        <v>418</v>
      </c>
      <c r="I77" s="63" t="n">
        <f aca="false">IF(H77="","",G77-H77)</f>
        <v>-38</v>
      </c>
      <c r="J77" s="53" t="n">
        <f aca="false">IF(OR(D77="",D77+G77=0),"",D77/(D77+G77))</f>
        <v>0.631425800193986</v>
      </c>
      <c r="K77" s="53" t="n">
        <f aca="false">IF(E77="","",E77/(E77+H77))</f>
        <v>0.606773283160865</v>
      </c>
      <c r="L77" s="64" t="n">
        <f aca="false">IF(OR(K77="",J77=""),"",(J77-K77)*100)</f>
        <v>2.4652517033121</v>
      </c>
      <c r="M77" s="28" t="n">
        <v>2.42668038003648</v>
      </c>
      <c r="N77" s="28" t="n">
        <v>0.397844942258686</v>
      </c>
      <c r="O77" s="28" t="n">
        <f aca="false">SQRT(M77^2+N77^2)</f>
        <v>2.45907670985165</v>
      </c>
      <c r="P77" s="53" t="n">
        <f aca="false">IF(J77="","",MAX(0,J77-1.96*O77/100))</f>
        <v>0.583227896680894</v>
      </c>
      <c r="Q77" s="53" t="n">
        <f aca="false">IF(J77="","",MIN(1,J77+1.96*O77/100))</f>
        <v>0.679623703707079</v>
      </c>
      <c r="R77" s="25" t="str">
        <f aca="false">IF(L77="","",IF(ABS(L77)&lt;=O77,"Yes","No"))</f>
        <v>No</v>
      </c>
      <c r="S77" s="25" t="str">
        <f aca="false">IF(L77="","",IF(ABS(L77)&lt;=1.96*O77,"Yes","No"))</f>
        <v>Yes</v>
      </c>
      <c r="T77" s="52" t="n">
        <f aca="false">IF(D77="","",ROUND(SQRT(((D77+G77)*O77/100)^2+(J77*(D77+G77)*0.10931)^2),0))</f>
        <v>76</v>
      </c>
      <c r="U77" s="25"/>
    </row>
    <row r="78" customFormat="false" ht="15" hidden="false" customHeight="false" outlineLevel="0" collapsed="false">
      <c r="A78" s="25" t="s">
        <v>197</v>
      </c>
      <c r="B78" s="25" t="s">
        <v>199</v>
      </c>
      <c r="C78" s="25" t="s">
        <v>224</v>
      </c>
      <c r="D78" s="52" t="n">
        <v>511</v>
      </c>
      <c r="E78" s="52" t="n">
        <v>452</v>
      </c>
      <c r="F78" s="63" t="n">
        <f aca="false">IF(E78="","",D78-E78)</f>
        <v>59</v>
      </c>
      <c r="G78" s="52" t="n">
        <v>299</v>
      </c>
      <c r="H78" s="52" t="n">
        <v>341</v>
      </c>
      <c r="I78" s="63" t="n">
        <f aca="false">IF(H78="","",G78-H78)</f>
        <v>-42</v>
      </c>
      <c r="J78" s="53" t="n">
        <f aca="false">IF(OR(D78="",D78+G78=0),"",D78/(D78+G78))</f>
        <v>0.630864197530864</v>
      </c>
      <c r="K78" s="53" t="n">
        <f aca="false">IF(E78="","",E78/(E78+H78))</f>
        <v>0.569987389659521</v>
      </c>
      <c r="L78" s="64" t="n">
        <f aca="false">IF(OR(K78="",J78=""),"",(J78-K78)*100)</f>
        <v>6.08768078713434</v>
      </c>
      <c r="M78" s="28" t="n">
        <v>2.42668038003648</v>
      </c>
      <c r="N78" s="28" t="n">
        <v>0.397844942258686</v>
      </c>
      <c r="O78" s="28" t="n">
        <f aca="false">SQRT(M78^2+N78^2)</f>
        <v>2.45907670985165</v>
      </c>
      <c r="P78" s="53" t="n">
        <f aca="false">IF(J78="","",MAX(0,J78-1.96*O78/100))</f>
        <v>0.582666294017772</v>
      </c>
      <c r="Q78" s="53" t="n">
        <f aca="false">IF(J78="","",MIN(1,J78+1.96*O78/100))</f>
        <v>0.679062101043957</v>
      </c>
      <c r="R78" s="25" t="str">
        <f aca="false">IF(L78="","",IF(ABS(L78)&lt;=O78,"Yes","No"))</f>
        <v>No</v>
      </c>
      <c r="S78" s="25" t="str">
        <f aca="false">IF(L78="","",IF(ABS(L78)&lt;=1.96*O78,"Yes","No"))</f>
        <v>No</v>
      </c>
      <c r="T78" s="52" t="n">
        <f aca="false">IF(D78="","",ROUND(SQRT(((D78+G78)*O78/100)^2+(J78*(D78+G78)*0.10931)^2),0))</f>
        <v>59</v>
      </c>
      <c r="U78" s="25"/>
    </row>
    <row r="79" customFormat="false" ht="15" hidden="false" customHeight="false" outlineLevel="0" collapsed="false">
      <c r="A79" s="25" t="s">
        <v>197</v>
      </c>
      <c r="B79" s="25" t="s">
        <v>199</v>
      </c>
      <c r="C79" s="25" t="s">
        <v>225</v>
      </c>
      <c r="D79" s="52" t="n">
        <v>573</v>
      </c>
      <c r="E79" s="52" t="n">
        <v>541</v>
      </c>
      <c r="F79" s="63" t="n">
        <f aca="false">IF(E79="","",D79-E79)</f>
        <v>32</v>
      </c>
      <c r="G79" s="52" t="n">
        <v>336</v>
      </c>
      <c r="H79" s="52" t="n">
        <v>325</v>
      </c>
      <c r="I79" s="63" t="n">
        <f aca="false">IF(H79="","",G79-H79)</f>
        <v>11</v>
      </c>
      <c r="J79" s="53" t="n">
        <f aca="false">IF(OR(D79="",D79+G79=0),"",D79/(D79+G79))</f>
        <v>0.63036303630363</v>
      </c>
      <c r="K79" s="53" t="n">
        <f aca="false">IF(E79="","",E79/(E79+H79))</f>
        <v>0.624711316397229</v>
      </c>
      <c r="L79" s="64" t="n">
        <f aca="false">IF(OR(K79="",J79=""),"",(J79-K79)*100)</f>
        <v>0.565171990640168</v>
      </c>
      <c r="M79" s="28" t="n">
        <v>2.42668038003648</v>
      </c>
      <c r="N79" s="28" t="n">
        <v>0.397844942258686</v>
      </c>
      <c r="O79" s="28" t="n">
        <f aca="false">SQRT(M79^2+N79^2)</f>
        <v>2.45907670985165</v>
      </c>
      <c r="P79" s="53" t="n">
        <f aca="false">IF(J79="","",MAX(0,J79-1.96*O79/100))</f>
        <v>0.582165132790538</v>
      </c>
      <c r="Q79" s="53" t="n">
        <f aca="false">IF(J79="","",MIN(1,J79+1.96*O79/100))</f>
        <v>0.678560939816723</v>
      </c>
      <c r="R79" s="25" t="str">
        <f aca="false">IF(L79="","",IF(ABS(L79)&lt;=O79,"Yes","No"))</f>
        <v>Yes</v>
      </c>
      <c r="S79" s="25" t="str">
        <f aca="false">IF(L79="","",IF(ABS(L79)&lt;=1.96*O79,"Yes","No"))</f>
        <v>Yes</v>
      </c>
      <c r="T79" s="52" t="n">
        <f aca="false">IF(D79="","",ROUND(SQRT(((D79+G79)*O79/100)^2+(J79*(D79+G79)*0.10931)^2),0))</f>
        <v>67</v>
      </c>
      <c r="U79" s="25"/>
    </row>
    <row r="80" customFormat="false" ht="15" hidden="false" customHeight="false" outlineLevel="0" collapsed="false">
      <c r="A80" s="25" t="s">
        <v>197</v>
      </c>
      <c r="B80" s="25" t="s">
        <v>199</v>
      </c>
      <c r="C80" s="25" t="s">
        <v>226</v>
      </c>
      <c r="D80" s="52" t="n">
        <v>809</v>
      </c>
      <c r="E80" s="52" t="n">
        <v>783</v>
      </c>
      <c r="F80" s="63" t="n">
        <f aca="false">IF(E80="","",D80-E80)</f>
        <v>26</v>
      </c>
      <c r="G80" s="52" t="n">
        <v>524</v>
      </c>
      <c r="H80" s="52" t="n">
        <v>562</v>
      </c>
      <c r="I80" s="63" t="n">
        <f aca="false">IF(H80="","",G80-H80)</f>
        <v>-38</v>
      </c>
      <c r="J80" s="53" t="n">
        <f aca="false">IF(OR(D80="",D80+G80=0),"",D80/(D80+G80))</f>
        <v>0.606901725431358</v>
      </c>
      <c r="K80" s="53" t="n">
        <f aca="false">IF(E80="","",E80/(E80+H80))</f>
        <v>0.582156133828996</v>
      </c>
      <c r="L80" s="64" t="n">
        <f aca="false">IF(OR(K80="",J80=""),"",(J80-K80)*100)</f>
        <v>2.47455916023615</v>
      </c>
      <c r="M80" s="28" t="n">
        <v>2.49017287917352</v>
      </c>
      <c r="N80" s="28" t="n">
        <v>0.397844942258686</v>
      </c>
      <c r="O80" s="28" t="n">
        <f aca="false">SQRT(M80^2+N80^2)</f>
        <v>2.52175366882892</v>
      </c>
      <c r="P80" s="53" t="n">
        <f aca="false">IF(J80="","",MAX(0,J80-1.96*O80/100))</f>
        <v>0.557475353522311</v>
      </c>
      <c r="Q80" s="53" t="n">
        <f aca="false">IF(J80="","",MIN(1,J80+1.96*O80/100))</f>
        <v>0.656328097340405</v>
      </c>
      <c r="R80" s="25" t="str">
        <f aca="false">IF(L80="","",IF(ABS(L80)&lt;=O80,"Yes","No"))</f>
        <v>Yes</v>
      </c>
      <c r="S80" s="25" t="str">
        <f aca="false">IF(L80="","",IF(ABS(L80)&lt;=1.96*O80,"Yes","No"))</f>
        <v>Yes</v>
      </c>
      <c r="T80" s="52" t="n">
        <f aca="false">IF(D80="","",ROUND(SQRT(((D80+G80)*O80/100)^2+(J80*(D80+G80)*0.08889)^2),0))</f>
        <v>79</v>
      </c>
      <c r="U80" s="25"/>
    </row>
    <row r="81" customFormat="false" ht="15" hidden="false" customHeight="false" outlineLevel="0" collapsed="false">
      <c r="A81" s="25" t="s">
        <v>197</v>
      </c>
      <c r="B81" s="25" t="s">
        <v>199</v>
      </c>
      <c r="C81" s="25" t="s">
        <v>227</v>
      </c>
      <c r="D81" s="52" t="n">
        <v>469</v>
      </c>
      <c r="E81" s="52" t="n">
        <v>454</v>
      </c>
      <c r="F81" s="63" t="n">
        <f aca="false">IF(E81="","",D81-E81)</f>
        <v>15</v>
      </c>
      <c r="G81" s="52" t="n">
        <v>230</v>
      </c>
      <c r="H81" s="52" t="n">
        <v>218</v>
      </c>
      <c r="I81" s="63" t="n">
        <f aca="false">IF(H81="","",G81-H81)</f>
        <v>12</v>
      </c>
      <c r="J81" s="53" t="n">
        <f aca="false">IF(OR(D81="",D81+G81=0),"",D81/(D81+G81))</f>
        <v>0.670958512160229</v>
      </c>
      <c r="K81" s="53" t="n">
        <f aca="false">IF(E81="","",E81/(E81+H81))</f>
        <v>0.675595238095238</v>
      </c>
      <c r="L81" s="64" t="n">
        <f aca="false">IF(OR(K81="",J81=""),"",(J81-K81)*100)</f>
        <v>-0.463672593500919</v>
      </c>
      <c r="M81" s="28" t="n">
        <v>3.19821915242569</v>
      </c>
      <c r="N81" s="28" t="n">
        <v>0.397844942258686</v>
      </c>
      <c r="O81" s="28" t="n">
        <f aca="false">SQRT(M81^2+N81^2)</f>
        <v>3.22286927209642</v>
      </c>
      <c r="P81" s="53" t="n">
        <f aca="false">IF(J81="","",MAX(0,J81-1.96*O81/100))</f>
        <v>0.607790274427139</v>
      </c>
      <c r="Q81" s="53" t="n">
        <f aca="false">IF(J81="","",MIN(1,J81+1.96*O81/100))</f>
        <v>0.734126749893319</v>
      </c>
      <c r="R81" s="25" t="str">
        <f aca="false">IF(L81="","",IF(ABS(L81)&lt;=O81,"Yes","No"))</f>
        <v>Yes</v>
      </c>
      <c r="S81" s="25" t="str">
        <f aca="false">IF(L81="","",IF(ABS(L81)&lt;=1.96*O81,"Yes","No"))</f>
        <v>Yes</v>
      </c>
      <c r="T81" s="52" t="n">
        <f aca="false">IF(D81="","",ROUND(SQRT(((D81+G81)*O81/100)^2+(J81*(D81+G81)*0.1901)^2),0))</f>
        <v>92</v>
      </c>
      <c r="U81" s="25"/>
    </row>
    <row r="82" customFormat="false" ht="15" hidden="false" customHeight="false" outlineLevel="0" collapsed="false">
      <c r="A82" s="25" t="s">
        <v>197</v>
      </c>
      <c r="B82" s="25" t="s">
        <v>199</v>
      </c>
      <c r="C82" s="25" t="s">
        <v>228</v>
      </c>
      <c r="D82" s="52" t="n">
        <v>478</v>
      </c>
      <c r="E82" s="52" t="n">
        <v>502</v>
      </c>
      <c r="F82" s="63" t="n">
        <f aca="false">IF(E82="","",D82-E82)</f>
        <v>-24</v>
      </c>
      <c r="G82" s="52" t="n">
        <v>293</v>
      </c>
      <c r="H82" s="52" t="n">
        <v>274</v>
      </c>
      <c r="I82" s="63" t="n">
        <f aca="false">IF(H82="","",G82-H82)</f>
        <v>19</v>
      </c>
      <c r="J82" s="53" t="n">
        <f aca="false">IF(OR(D82="",D82+G82=0),"",D82/(D82+G82))</f>
        <v>0.619974059662776</v>
      </c>
      <c r="K82" s="53" t="n">
        <f aca="false">IF(E82="","",E82/(E82+H82))</f>
        <v>0.646907216494845</v>
      </c>
      <c r="L82" s="64" t="n">
        <f aca="false">IF(OR(K82="",J82=""),"",(J82-K82)*100)</f>
        <v>-2.69331568320698</v>
      </c>
      <c r="M82" s="28" t="n">
        <v>2.42668038003648</v>
      </c>
      <c r="N82" s="28" t="n">
        <v>0.397844942258686</v>
      </c>
      <c r="O82" s="28" t="n">
        <f aca="false">SQRT(M82^2+N82^2)</f>
        <v>2.45907670985165</v>
      </c>
      <c r="P82" s="53" t="n">
        <f aca="false">IF(J82="","",MAX(0,J82-1.96*O82/100))</f>
        <v>0.571776156149683</v>
      </c>
      <c r="Q82" s="53" t="n">
        <f aca="false">IF(J82="","",MIN(1,J82+1.96*O82/100))</f>
        <v>0.668171963175868</v>
      </c>
      <c r="R82" s="25" t="str">
        <f aca="false">IF(L82="","",IF(ABS(L82)&lt;=O82,"Yes","No"))</f>
        <v>No</v>
      </c>
      <c r="S82" s="25" t="str">
        <f aca="false">IF(L82="","",IF(ABS(L82)&lt;=1.96*O82,"Yes","No"))</f>
        <v>Yes</v>
      </c>
      <c r="T82" s="52" t="n">
        <f aca="false">IF(D82="","",ROUND(SQRT(((D82+G82)*O82/100)^2+(J82*(D82+G82)*0.10931)^2),0))</f>
        <v>56</v>
      </c>
      <c r="U82" s="25"/>
    </row>
    <row r="83" customFormat="false" ht="15" hidden="false" customHeight="false" outlineLevel="0" collapsed="false">
      <c r="A83" s="25" t="s">
        <v>197</v>
      </c>
      <c r="B83" s="25" t="s">
        <v>199</v>
      </c>
      <c r="C83" s="25" t="s">
        <v>229</v>
      </c>
      <c r="D83" s="52" t="n">
        <v>482</v>
      </c>
      <c r="E83" s="52" t="n">
        <v>502</v>
      </c>
      <c r="F83" s="63" t="n">
        <f aca="false">IF(E83="","",D83-E83)</f>
        <v>-20</v>
      </c>
      <c r="G83" s="52" t="n">
        <v>321</v>
      </c>
      <c r="H83" s="52" t="n">
        <v>283</v>
      </c>
      <c r="I83" s="63" t="n">
        <f aca="false">IF(H83="","",G83-H83)</f>
        <v>38</v>
      </c>
      <c r="J83" s="53" t="n">
        <f aca="false">IF(OR(D83="",D83+G83=0),"",D83/(D83+G83))</f>
        <v>0.600249066002491</v>
      </c>
      <c r="K83" s="53" t="n">
        <f aca="false">IF(E83="","",E83/(E83+H83))</f>
        <v>0.639490445859873</v>
      </c>
      <c r="L83" s="64" t="n">
        <f aca="false">IF(OR(K83="",J83=""),"",(J83-K83)*100)</f>
        <v>-3.9241379857382</v>
      </c>
      <c r="M83" s="28" t="n">
        <v>2.42668038003648</v>
      </c>
      <c r="N83" s="28" t="n">
        <v>0.397844942258686</v>
      </c>
      <c r="O83" s="28" t="n">
        <f aca="false">SQRT(M83^2+N83^2)</f>
        <v>2.45907670985165</v>
      </c>
      <c r="P83" s="53" t="n">
        <f aca="false">IF(J83="","",MAX(0,J83-1.96*O83/100))</f>
        <v>0.552051162489398</v>
      </c>
      <c r="Q83" s="53" t="n">
        <f aca="false">IF(J83="","",MIN(1,J83+1.96*O83/100))</f>
        <v>0.648446969515583</v>
      </c>
      <c r="R83" s="25" t="str">
        <f aca="false">IF(L83="","",IF(ABS(L83)&lt;=O83,"Yes","No"))</f>
        <v>No</v>
      </c>
      <c r="S83" s="25" t="str">
        <f aca="false">IF(L83="","",IF(ABS(L83)&lt;=1.96*O83,"Yes","No"))</f>
        <v>Yes</v>
      </c>
      <c r="T83" s="52" t="n">
        <f aca="false">IF(D83="","",ROUND(SQRT(((D83+G83)*O83/100)^2+(J83*(D83+G83)*0.10931)^2),0))</f>
        <v>56</v>
      </c>
      <c r="U83" s="25"/>
    </row>
    <row r="84" customFormat="false" ht="15" hidden="false" customHeight="false" outlineLevel="0" collapsed="false">
      <c r="A84" s="25" t="s">
        <v>197</v>
      </c>
      <c r="B84" s="25" t="s">
        <v>199</v>
      </c>
      <c r="C84" s="25" t="s">
        <v>230</v>
      </c>
      <c r="D84" s="52" t="n">
        <v>362</v>
      </c>
      <c r="E84" s="52"/>
      <c r="F84" s="63" t="str">
        <f aca="false">IF(E84="","",D84-E84)</f>
        <v/>
      </c>
      <c r="G84" s="52" t="n">
        <v>241</v>
      </c>
      <c r="H84" s="52"/>
      <c r="I84" s="63" t="str">
        <f aca="false">IF(H84="","",G84-H84)</f>
        <v/>
      </c>
      <c r="J84" s="53" t="n">
        <f aca="false">IF(OR(D84="",D84+G84=0),"",D84/(D84+G84))</f>
        <v>0.600331674958541</v>
      </c>
      <c r="K84" s="53" t="str">
        <f aca="false">IF(E84="","",E84/(E84+H84))</f>
        <v/>
      </c>
      <c r="L84" s="64" t="str">
        <f aca="false">IF(OR(K84="",J84=""),"",(J84-K84)*100)</f>
        <v/>
      </c>
      <c r="M84" s="28" t="n">
        <v>3.19821915242569</v>
      </c>
      <c r="N84" s="28" t="n">
        <v>0.397844942258686</v>
      </c>
      <c r="O84" s="28" t="n">
        <f aca="false">SQRT(M84^2+N84^2)</f>
        <v>3.22286927209642</v>
      </c>
      <c r="P84" s="53" t="n">
        <f aca="false">IF(J84="","",MAX(0,J84-1.96*O84/100))</f>
        <v>0.537163437225451</v>
      </c>
      <c r="Q84" s="53" t="n">
        <f aca="false">IF(J84="","",MIN(1,J84+1.96*O84/100))</f>
        <v>0.663499912691631</v>
      </c>
      <c r="R84" s="25" t="str">
        <f aca="false">IF(L84="","",IF(ABS(L84)&lt;=O84,"Yes","No"))</f>
        <v/>
      </c>
      <c r="S84" s="25" t="str">
        <f aca="false">IF(L84="","",IF(ABS(L84)&lt;=1.96*O84,"Yes","No"))</f>
        <v/>
      </c>
      <c r="T84" s="52" t="n">
        <f aca="false">IF(D84="","",ROUND(SQRT(((D84+G84)*O84/100)^2+(J84*(D84+G84)*0.1901)^2),0))</f>
        <v>72</v>
      </c>
      <c r="U84" s="25" t="s">
        <v>702</v>
      </c>
    </row>
    <row r="85" customFormat="false" ht="15" hidden="false" customHeight="false" outlineLevel="0" collapsed="false">
      <c r="A85" s="25" t="s">
        <v>197</v>
      </c>
      <c r="B85" s="25" t="s">
        <v>199</v>
      </c>
      <c r="C85" s="25" t="s">
        <v>232</v>
      </c>
      <c r="D85" s="52" t="n">
        <v>922</v>
      </c>
      <c r="E85" s="52"/>
      <c r="F85" s="63" t="str">
        <f aca="false">IF(E85="","",D85-E85)</f>
        <v/>
      </c>
      <c r="G85" s="52" t="n">
        <v>615</v>
      </c>
      <c r="H85" s="52"/>
      <c r="I85" s="63" t="str">
        <f aca="false">IF(H85="","",G85-H85)</f>
        <v/>
      </c>
      <c r="J85" s="53" t="n">
        <f aca="false">IF(OR(D85="",D85+G85=0),"",D85/(D85+G85))</f>
        <v>0.599869876382563</v>
      </c>
      <c r="K85" s="53" t="str">
        <f aca="false">IF(E85="","",E85/(E85+H85))</f>
        <v/>
      </c>
      <c r="L85" s="64" t="str">
        <f aca="false">IF(OR(K85="",J85=""),"",(J85-K85)*100)</f>
        <v/>
      </c>
      <c r="M85" s="28" t="n">
        <v>2.49017287917352</v>
      </c>
      <c r="N85" s="28" t="n">
        <v>0.397844942258686</v>
      </c>
      <c r="O85" s="28" t="n">
        <f aca="false">SQRT(M85^2+N85^2)</f>
        <v>2.52175366882892</v>
      </c>
      <c r="P85" s="53" t="n">
        <f aca="false">IF(J85="","",MAX(0,J85-1.96*O85/100))</f>
        <v>0.550443504473517</v>
      </c>
      <c r="Q85" s="53" t="n">
        <f aca="false">IF(J85="","",MIN(1,J85+1.96*O85/100))</f>
        <v>0.64929624829161</v>
      </c>
      <c r="R85" s="25" t="str">
        <f aca="false">IF(L85="","",IF(ABS(L85)&lt;=O85,"Yes","No"))</f>
        <v/>
      </c>
      <c r="S85" s="25" t="str">
        <f aca="false">IF(L85="","",IF(ABS(L85)&lt;=1.96*O85,"Yes","No"))</f>
        <v/>
      </c>
      <c r="T85" s="52" t="n">
        <f aca="false">IF(D85="","",ROUND(SQRT(((D85+G85)*O85/100)^2+(J85*(D85+G85)*0.08889)^2),0))</f>
        <v>91</v>
      </c>
      <c r="U85" s="25" t="s">
        <v>702</v>
      </c>
    </row>
    <row r="86" customFormat="false" ht="15" hidden="false" customHeight="false" outlineLevel="0" collapsed="false">
      <c r="A86" s="25" t="s">
        <v>197</v>
      </c>
      <c r="B86" s="25" t="s">
        <v>199</v>
      </c>
      <c r="C86" s="25" t="s">
        <v>234</v>
      </c>
      <c r="D86" s="52" t="n">
        <v>496</v>
      </c>
      <c r="E86" s="52" t="n">
        <v>488</v>
      </c>
      <c r="F86" s="63" t="n">
        <f aca="false">IF(E86="","",D86-E86)</f>
        <v>8</v>
      </c>
      <c r="G86" s="52" t="n">
        <v>254</v>
      </c>
      <c r="H86" s="52" t="n">
        <v>252</v>
      </c>
      <c r="I86" s="63" t="n">
        <f aca="false">IF(H86="","",G86-H86)</f>
        <v>2</v>
      </c>
      <c r="J86" s="53" t="n">
        <f aca="false">IF(OR(D86="",D86+G86=0),"",D86/(D86+G86))</f>
        <v>0.661333333333333</v>
      </c>
      <c r="K86" s="53" t="n">
        <f aca="false">IF(E86="","",E86/(E86+H86))</f>
        <v>0.65945945945946</v>
      </c>
      <c r="L86" s="64" t="n">
        <f aca="false">IF(OR(K86="",J86=""),"",(J86-K86)*100)</f>
        <v>0.187387387387383</v>
      </c>
      <c r="M86" s="28" t="n">
        <v>3.19821915242569</v>
      </c>
      <c r="N86" s="28" t="n">
        <v>0.397844942258686</v>
      </c>
      <c r="O86" s="28" t="n">
        <f aca="false">SQRT(M86^2+N86^2)</f>
        <v>3.22286927209642</v>
      </c>
      <c r="P86" s="53" t="n">
        <f aca="false">IF(J86="","",MAX(0,J86-1.96*O86/100))</f>
        <v>0.598165095600243</v>
      </c>
      <c r="Q86" s="53" t="n">
        <f aca="false">IF(J86="","",MIN(1,J86+1.96*O86/100))</f>
        <v>0.724501571066423</v>
      </c>
      <c r="R86" s="25" t="str">
        <f aca="false">IF(L86="","",IF(ABS(L86)&lt;=O86,"Yes","No"))</f>
        <v>Yes</v>
      </c>
      <c r="S86" s="25" t="str">
        <f aca="false">IF(L86="","",IF(ABS(L86)&lt;=1.96*O86,"Yes","No"))</f>
        <v>Yes</v>
      </c>
      <c r="T86" s="52" t="n">
        <f aca="false">IF(D86="","",ROUND(SQRT(((D86+G86)*O86/100)^2+(J86*(D86+G86)*0.1901)^2),0))</f>
        <v>97</v>
      </c>
      <c r="U86" s="25"/>
    </row>
    <row r="87" customFormat="false" ht="15" hidden="false" customHeight="false" outlineLevel="0" collapsed="false">
      <c r="A87" s="25" t="s">
        <v>197</v>
      </c>
      <c r="B87" s="25" t="s">
        <v>199</v>
      </c>
      <c r="C87" s="25" t="s">
        <v>235</v>
      </c>
      <c r="D87" s="52" t="n">
        <v>619</v>
      </c>
      <c r="E87" s="52" t="n">
        <v>601</v>
      </c>
      <c r="F87" s="63" t="n">
        <f aca="false">IF(E87="","",D87-E87)</f>
        <v>18</v>
      </c>
      <c r="G87" s="52" t="n">
        <v>411</v>
      </c>
      <c r="H87" s="52" t="n">
        <v>394</v>
      </c>
      <c r="I87" s="63" t="n">
        <f aca="false">IF(H87="","",G87-H87)</f>
        <v>17</v>
      </c>
      <c r="J87" s="53" t="n">
        <f aca="false">IF(OR(D87="",D87+G87=0),"",D87/(D87+G87))</f>
        <v>0.600970873786408</v>
      </c>
      <c r="K87" s="53" t="n">
        <f aca="false">IF(E87="","",E87/(E87+H87))</f>
        <v>0.604020100502513</v>
      </c>
      <c r="L87" s="64" t="n">
        <f aca="false">IF(OR(K87="",J87=""),"",(J87-K87)*100)</f>
        <v>-0.304922671610475</v>
      </c>
      <c r="M87" s="28" t="n">
        <v>2.42668038003648</v>
      </c>
      <c r="N87" s="28" t="n">
        <v>0.397844942258686</v>
      </c>
      <c r="O87" s="28" t="n">
        <f aca="false">SQRT(M87^2+N87^2)</f>
        <v>2.45907670985165</v>
      </c>
      <c r="P87" s="53" t="n">
        <f aca="false">IF(J87="","",MAX(0,J87-1.96*O87/100))</f>
        <v>0.552772970273315</v>
      </c>
      <c r="Q87" s="53" t="n">
        <f aca="false">IF(J87="","",MIN(1,J87+1.96*O87/100))</f>
        <v>0.6491687772995</v>
      </c>
      <c r="R87" s="25" t="str">
        <f aca="false">IF(L87="","",IF(ABS(L87)&lt;=O87,"Yes","No"))</f>
        <v>Yes</v>
      </c>
      <c r="S87" s="25" t="str">
        <f aca="false">IF(L87="","",IF(ABS(L87)&lt;=1.96*O87,"Yes","No"))</f>
        <v>Yes</v>
      </c>
      <c r="T87" s="52" t="n">
        <f aca="false">IF(D87="","",ROUND(SQRT(((D87+G87)*O87/100)^2+(J87*(D87+G87)*0.10931)^2),0))</f>
        <v>72</v>
      </c>
      <c r="U87" s="25"/>
    </row>
    <row r="88" customFormat="false" ht="15" hidden="false" customHeight="false" outlineLevel="0" collapsed="false">
      <c r="A88" s="25" t="s">
        <v>197</v>
      </c>
      <c r="B88" s="25" t="s">
        <v>199</v>
      </c>
      <c r="C88" s="25" t="s">
        <v>236</v>
      </c>
      <c r="D88" s="52" t="n">
        <v>17</v>
      </c>
      <c r="E88" s="52"/>
      <c r="F88" s="63" t="str">
        <f aca="false">IF(E88="","",D88-E88)</f>
        <v/>
      </c>
      <c r="G88" s="52" t="n">
        <v>12</v>
      </c>
      <c r="H88" s="52"/>
      <c r="I88" s="63" t="str">
        <f aca="false">IF(H88="","",G88-H88)</f>
        <v/>
      </c>
      <c r="J88" s="53" t="n">
        <f aca="false">IF(OR(D88="",D88+G88=0),"",D88/(D88+G88))</f>
        <v>0.586206896551724</v>
      </c>
      <c r="K88" s="53" t="str">
        <f aca="false">IF(E88="","",E88/(E88+H88))</f>
        <v/>
      </c>
      <c r="L88" s="64" t="str">
        <f aca="false">IF(OR(K88="",J88=""),"",(J88-K88)*100)</f>
        <v/>
      </c>
      <c r="M88" s="28" t="n">
        <v>3.19821915242569</v>
      </c>
      <c r="N88" s="28" t="n">
        <v>0.397844942258686</v>
      </c>
      <c r="O88" s="28" t="n">
        <f aca="false">SQRT(M88^2+N88^2)</f>
        <v>3.22286927209642</v>
      </c>
      <c r="P88" s="53" t="n">
        <f aca="false">IF(J88="","",MAX(0,J88-1.96*O88/100))</f>
        <v>0.523038658818634</v>
      </c>
      <c r="Q88" s="53" t="n">
        <f aca="false">IF(J88="","",MIN(1,J88+1.96*O88/100))</f>
        <v>0.649375134284814</v>
      </c>
      <c r="R88" s="25" t="str">
        <f aca="false">IF(L88="","",IF(ABS(L88)&lt;=O88,"Yes","No"))</f>
        <v/>
      </c>
      <c r="S88" s="25" t="str">
        <f aca="false">IF(L88="","",IF(ABS(L88)&lt;=1.96*O88,"Yes","No"))</f>
        <v/>
      </c>
      <c r="T88" s="52" t="n">
        <f aca="false">IF(D88="","",ROUND(SQRT(((D88+G88)*O88/100)^2+(J88*(D88+G88)*0.1901)^2),0))</f>
        <v>3</v>
      </c>
      <c r="U88" s="25" t="s">
        <v>702</v>
      </c>
    </row>
    <row r="89" customFormat="false" ht="15" hidden="false" customHeight="false" outlineLevel="0" collapsed="false">
      <c r="A89" s="25" t="s">
        <v>197</v>
      </c>
      <c r="B89" s="25" t="s">
        <v>199</v>
      </c>
      <c r="C89" s="25" t="s">
        <v>237</v>
      </c>
      <c r="D89" s="52" t="n">
        <v>357</v>
      </c>
      <c r="E89" s="52" t="n">
        <v>330</v>
      </c>
      <c r="F89" s="63" t="n">
        <f aca="false">IF(E89="","",D89-E89)</f>
        <v>27</v>
      </c>
      <c r="G89" s="52" t="n">
        <v>246</v>
      </c>
      <c r="H89" s="52" t="n">
        <v>270</v>
      </c>
      <c r="I89" s="63" t="n">
        <f aca="false">IF(H89="","",G89-H89)</f>
        <v>-24</v>
      </c>
      <c r="J89" s="53" t="n">
        <f aca="false">IF(OR(D89="",D89+G89=0),"",D89/(D89+G89))</f>
        <v>0.592039800995025</v>
      </c>
      <c r="K89" s="53" t="n">
        <f aca="false">IF(E89="","",E89/(E89+H89))</f>
        <v>0.55</v>
      </c>
      <c r="L89" s="64" t="n">
        <f aca="false">IF(OR(K89="",J89=""),"",(J89-K89)*100)</f>
        <v>4.20398009950248</v>
      </c>
      <c r="M89" s="28" t="n">
        <v>3.19821915242569</v>
      </c>
      <c r="N89" s="28" t="n">
        <v>0.397844942258686</v>
      </c>
      <c r="O89" s="28" t="n">
        <f aca="false">SQRT(M89^2+N89^2)</f>
        <v>3.22286927209642</v>
      </c>
      <c r="P89" s="53" t="n">
        <f aca="false">IF(J89="","",MAX(0,J89-1.96*O89/100))</f>
        <v>0.528871563261935</v>
      </c>
      <c r="Q89" s="53" t="n">
        <f aca="false">IF(J89="","",MIN(1,J89+1.96*O89/100))</f>
        <v>0.655208038728115</v>
      </c>
      <c r="R89" s="25" t="str">
        <f aca="false">IF(L89="","",IF(ABS(L89)&lt;=O89,"Yes","No"))</f>
        <v>No</v>
      </c>
      <c r="S89" s="25" t="str">
        <f aca="false">IF(L89="","",IF(ABS(L89)&lt;=1.96*O89,"Yes","No"))</f>
        <v>Yes</v>
      </c>
      <c r="T89" s="52" t="n">
        <f aca="false">IF(D89="","",ROUND(SQRT(((D89+G89)*O89/100)^2+(J89*(D89+G89)*0.1901)^2),0))</f>
        <v>71</v>
      </c>
      <c r="U89" s="25"/>
    </row>
    <row r="90" customFormat="false" ht="15" hidden="false" customHeight="false" outlineLevel="0" collapsed="false">
      <c r="A90" s="25" t="s">
        <v>197</v>
      </c>
      <c r="B90" s="25" t="s">
        <v>199</v>
      </c>
      <c r="C90" s="25" t="s">
        <v>238</v>
      </c>
      <c r="D90" s="52" t="n">
        <v>625</v>
      </c>
      <c r="E90" s="52" t="n">
        <v>591</v>
      </c>
      <c r="F90" s="63" t="n">
        <f aca="false">IF(E90="","",D90-E90)</f>
        <v>34</v>
      </c>
      <c r="G90" s="52" t="n">
        <v>306</v>
      </c>
      <c r="H90" s="52" t="n">
        <v>333</v>
      </c>
      <c r="I90" s="63" t="n">
        <f aca="false">IF(H90="","",G90-H90)</f>
        <v>-27</v>
      </c>
      <c r="J90" s="53" t="n">
        <f aca="false">IF(OR(D90="",D90+G90=0),"",D90/(D90+G90))</f>
        <v>0.671321160042965</v>
      </c>
      <c r="K90" s="53" t="n">
        <f aca="false">IF(E90="","",E90/(E90+H90))</f>
        <v>0.63961038961039</v>
      </c>
      <c r="L90" s="64" t="n">
        <f aca="false">IF(OR(K90="",J90=""),"",(J90-K90)*100)</f>
        <v>3.1710770432575</v>
      </c>
      <c r="M90" s="28" t="n">
        <v>2.42668038003648</v>
      </c>
      <c r="N90" s="28" t="n">
        <v>0.397844942258686</v>
      </c>
      <c r="O90" s="28" t="n">
        <f aca="false">SQRT(M90^2+N90^2)</f>
        <v>2.45907670985165</v>
      </c>
      <c r="P90" s="53" t="n">
        <f aca="false">IF(J90="","",MAX(0,J90-1.96*O90/100))</f>
        <v>0.623123256529872</v>
      </c>
      <c r="Q90" s="53" t="n">
        <f aca="false">IF(J90="","",MIN(1,J90+1.96*O90/100))</f>
        <v>0.719519063556057</v>
      </c>
      <c r="R90" s="25" t="str">
        <f aca="false">IF(L90="","",IF(ABS(L90)&lt;=O90,"Yes","No"))</f>
        <v>No</v>
      </c>
      <c r="S90" s="25" t="str">
        <f aca="false">IF(L90="","",IF(ABS(L90)&lt;=1.96*O90,"Yes","No"))</f>
        <v>Yes</v>
      </c>
      <c r="T90" s="52" t="n">
        <f aca="false">IF(D90="","",ROUND(SQRT(((D90+G90)*O90/100)^2+(J90*(D90+G90)*0.10931)^2),0))</f>
        <v>72</v>
      </c>
      <c r="U90" s="25"/>
    </row>
    <row r="91" customFormat="false" ht="15" hidden="false" customHeight="false" outlineLevel="0" collapsed="false">
      <c r="A91" s="25" t="s">
        <v>197</v>
      </c>
      <c r="B91" s="25" t="s">
        <v>199</v>
      </c>
      <c r="C91" s="25" t="s">
        <v>239</v>
      </c>
      <c r="D91" s="52" t="n">
        <v>345</v>
      </c>
      <c r="E91" s="52" t="n">
        <v>347</v>
      </c>
      <c r="F91" s="63" t="n">
        <f aca="false">IF(E91="","",D91-E91)</f>
        <v>-2</v>
      </c>
      <c r="G91" s="52" t="n">
        <v>247</v>
      </c>
      <c r="H91" s="52" t="n">
        <v>243</v>
      </c>
      <c r="I91" s="63" t="n">
        <f aca="false">IF(H91="","",G91-H91)</f>
        <v>4</v>
      </c>
      <c r="J91" s="53" t="n">
        <f aca="false">IF(OR(D91="",D91+G91=0),"",D91/(D91+G91))</f>
        <v>0.58277027027027</v>
      </c>
      <c r="K91" s="53" t="n">
        <f aca="false">IF(E91="","",E91/(E91+H91))</f>
        <v>0.588135593220339</v>
      </c>
      <c r="L91" s="64" t="n">
        <f aca="false">IF(OR(K91="",J91=""),"",(J91-K91)*100)</f>
        <v>-0.536532295006875</v>
      </c>
      <c r="M91" s="28" t="n">
        <v>3.19821915242569</v>
      </c>
      <c r="N91" s="28" t="n">
        <v>0.397844942258686</v>
      </c>
      <c r="O91" s="28" t="n">
        <f aca="false">SQRT(M91^2+N91^2)</f>
        <v>3.22286927209642</v>
      </c>
      <c r="P91" s="53" t="n">
        <f aca="false">IF(J91="","",MAX(0,J91-1.96*O91/100))</f>
        <v>0.51960203253718</v>
      </c>
      <c r="Q91" s="53" t="n">
        <f aca="false">IF(J91="","",MIN(1,J91+1.96*O91/100))</f>
        <v>0.64593850800336</v>
      </c>
      <c r="R91" s="25" t="str">
        <f aca="false">IF(L91="","",IF(ABS(L91)&lt;=O91,"Yes","No"))</f>
        <v>Yes</v>
      </c>
      <c r="S91" s="25" t="str">
        <f aca="false">IF(L91="","",IF(ABS(L91)&lt;=1.96*O91,"Yes","No"))</f>
        <v>Yes</v>
      </c>
      <c r="T91" s="52" t="n">
        <f aca="false">IF(D91="","",ROUND(SQRT(((D91+G91)*O91/100)^2+(J91*(D91+G91)*0.1901)^2),0))</f>
        <v>68</v>
      </c>
      <c r="U91" s="25"/>
    </row>
    <row r="92" customFormat="false" ht="15" hidden="false" customHeight="false" outlineLevel="0" collapsed="false">
      <c r="A92" s="25" t="s">
        <v>197</v>
      </c>
      <c r="B92" s="25" t="s">
        <v>199</v>
      </c>
      <c r="C92" s="25" t="s">
        <v>240</v>
      </c>
      <c r="D92" s="52" t="n">
        <v>469</v>
      </c>
      <c r="E92" s="52" t="n">
        <v>440</v>
      </c>
      <c r="F92" s="63" t="n">
        <f aca="false">IF(E92="","",D92-E92)</f>
        <v>29</v>
      </c>
      <c r="G92" s="52" t="n">
        <v>247</v>
      </c>
      <c r="H92" s="52" t="n">
        <v>259</v>
      </c>
      <c r="I92" s="63" t="n">
        <f aca="false">IF(H92="","",G92-H92)</f>
        <v>-12</v>
      </c>
      <c r="J92" s="53" t="n">
        <f aca="false">IF(OR(D92="",D92+G92=0),"",D92/(D92+G92))</f>
        <v>0.655027932960894</v>
      </c>
      <c r="K92" s="53" t="n">
        <f aca="false">IF(E92="","",E92/(E92+H92))</f>
        <v>0.629470672389127</v>
      </c>
      <c r="L92" s="64" t="n">
        <f aca="false">IF(OR(K92="",J92=""),"",(J92-K92)*100)</f>
        <v>2.55572605717666</v>
      </c>
      <c r="M92" s="28" t="n">
        <v>3.19821915242569</v>
      </c>
      <c r="N92" s="28" t="n">
        <v>0.397844942258686</v>
      </c>
      <c r="O92" s="28" t="n">
        <f aca="false">SQRT(M92^2+N92^2)</f>
        <v>3.22286927209642</v>
      </c>
      <c r="P92" s="53" t="n">
        <f aca="false">IF(J92="","",MAX(0,J92-1.96*O92/100))</f>
        <v>0.591859695227804</v>
      </c>
      <c r="Q92" s="53" t="n">
        <f aca="false">IF(J92="","",MIN(1,J92+1.96*O92/100))</f>
        <v>0.718196170693984</v>
      </c>
      <c r="R92" s="25" t="str">
        <f aca="false">IF(L92="","",IF(ABS(L92)&lt;=O92,"Yes","No"))</f>
        <v>Yes</v>
      </c>
      <c r="S92" s="25" t="str">
        <f aca="false">IF(L92="","",IF(ABS(L92)&lt;=1.96*O92,"Yes","No"))</f>
        <v>Yes</v>
      </c>
      <c r="T92" s="52" t="n">
        <f aca="false">IF(D92="","",ROUND(SQRT(((D92+G92)*O92/100)^2+(J92*(D92+G92)*0.1901)^2),0))</f>
        <v>92</v>
      </c>
      <c r="U92" s="25"/>
    </row>
    <row r="93" customFormat="false" ht="15" hidden="false" customHeight="false" outlineLevel="0" collapsed="false">
      <c r="A93" s="25" t="s">
        <v>197</v>
      </c>
      <c r="B93" s="25" t="s">
        <v>199</v>
      </c>
      <c r="C93" s="25" t="s">
        <v>241</v>
      </c>
      <c r="D93" s="52" t="n">
        <v>573</v>
      </c>
      <c r="E93" s="52" t="n">
        <v>553</v>
      </c>
      <c r="F93" s="63" t="n">
        <f aca="false">IF(E93="","",D93-E93)</f>
        <v>20</v>
      </c>
      <c r="G93" s="52" t="n">
        <v>400</v>
      </c>
      <c r="H93" s="52" t="n">
        <v>367</v>
      </c>
      <c r="I93" s="63" t="n">
        <f aca="false">IF(H93="","",G93-H93)</f>
        <v>33</v>
      </c>
      <c r="J93" s="53" t="n">
        <f aca="false">IF(OR(D93="",D93+G93=0),"",D93/(D93+G93))</f>
        <v>0.588900308324769</v>
      </c>
      <c r="K93" s="53" t="n">
        <f aca="false">IF(E93="","",E93/(E93+H93))</f>
        <v>0.601086956521739</v>
      </c>
      <c r="L93" s="64" t="n">
        <f aca="false">IF(OR(K93="",J93=""),"",(J93-K93)*100)</f>
        <v>-1.21866481969704</v>
      </c>
      <c r="M93" s="28" t="n">
        <v>2.42668038003648</v>
      </c>
      <c r="N93" s="28" t="n">
        <v>0.397844942258686</v>
      </c>
      <c r="O93" s="28" t="n">
        <f aca="false">SQRT(M93^2+N93^2)</f>
        <v>2.45907670985165</v>
      </c>
      <c r="P93" s="53" t="n">
        <f aca="false">IF(J93="","",MAX(0,J93-1.96*O93/100))</f>
        <v>0.540702404811676</v>
      </c>
      <c r="Q93" s="53" t="n">
        <f aca="false">IF(J93="","",MIN(1,J93+1.96*O93/100))</f>
        <v>0.637098211837861</v>
      </c>
      <c r="R93" s="25" t="str">
        <f aca="false">IF(L93="","",IF(ABS(L93)&lt;=O93,"Yes","No"))</f>
        <v>Yes</v>
      </c>
      <c r="S93" s="25" t="str">
        <f aca="false">IF(L93="","",IF(ABS(L93)&lt;=1.96*O93,"Yes","No"))</f>
        <v>Yes</v>
      </c>
      <c r="T93" s="52" t="n">
        <f aca="false">IF(D93="","",ROUND(SQRT(((D93+G93)*O93/100)^2+(J93*(D93+G93)*0.10931)^2),0))</f>
        <v>67</v>
      </c>
      <c r="U93" s="25"/>
    </row>
    <row r="94" customFormat="false" ht="15" hidden="false" customHeight="false" outlineLevel="0" collapsed="false">
      <c r="A94" s="25" t="s">
        <v>197</v>
      </c>
      <c r="B94" s="25" t="s">
        <v>199</v>
      </c>
      <c r="C94" s="25" t="s">
        <v>242</v>
      </c>
      <c r="D94" s="52" t="n">
        <v>1</v>
      </c>
      <c r="E94" s="52"/>
      <c r="F94" s="63" t="str">
        <f aca="false">IF(E94="","",D94-E94)</f>
        <v/>
      </c>
      <c r="G94" s="52" t="n">
        <v>1</v>
      </c>
      <c r="H94" s="52"/>
      <c r="I94" s="63" t="str">
        <f aca="false">IF(H94="","",G94-H94)</f>
        <v/>
      </c>
      <c r="J94" s="53" t="n">
        <f aca="false">IF(OR(D94="",D94+G94=0),"",D94/(D94+G94))</f>
        <v>0.5</v>
      </c>
      <c r="K94" s="53" t="str">
        <f aca="false">IF(E94="","",E94/(E94+H94))</f>
        <v/>
      </c>
      <c r="L94" s="64" t="str">
        <f aca="false">IF(OR(K94="",J94=""),"",(J94-K94)*100)</f>
        <v/>
      </c>
      <c r="M94" s="28" t="n">
        <v>3.19821915242569</v>
      </c>
      <c r="N94" s="28" t="n">
        <v>0.397844942258686</v>
      </c>
      <c r="O94" s="28" t="n">
        <f aca="false">SQRT(M94^2+N94^2)</f>
        <v>3.22286927209642</v>
      </c>
      <c r="P94" s="53" t="n">
        <f aca="false">IF(J94="","",MAX(0,J94-1.96*O94/100))</f>
        <v>0.43683176226691</v>
      </c>
      <c r="Q94" s="53" t="n">
        <f aca="false">IF(J94="","",MIN(1,J94+1.96*O94/100))</f>
        <v>0.56316823773309</v>
      </c>
      <c r="R94" s="25" t="str">
        <f aca="false">IF(L94="","",IF(ABS(L94)&lt;=O94,"Yes","No"))</f>
        <v/>
      </c>
      <c r="S94" s="25" t="str">
        <f aca="false">IF(L94="","",IF(ABS(L94)&lt;=1.96*O94,"Yes","No"))</f>
        <v/>
      </c>
      <c r="T94" s="52" t="n">
        <f aca="false">IF(D94="","",ROUND(SQRT(((D94+G94)*O94/100)^2+(J94*(D94+G94)*0.1901)^2),0))</f>
        <v>0</v>
      </c>
      <c r="U94" s="25" t="s">
        <v>702</v>
      </c>
    </row>
    <row r="95" customFormat="false" ht="15" hidden="false" customHeight="false" outlineLevel="0" collapsed="false">
      <c r="A95" s="25" t="s">
        <v>197</v>
      </c>
      <c r="B95" s="25" t="s">
        <v>199</v>
      </c>
      <c r="C95" s="25" t="s">
        <v>243</v>
      </c>
      <c r="D95" s="52" t="n">
        <v>866</v>
      </c>
      <c r="E95" s="52" t="n">
        <v>821</v>
      </c>
      <c r="F95" s="63" t="n">
        <f aca="false">IF(E95="","",D95-E95)</f>
        <v>45</v>
      </c>
      <c r="G95" s="52" t="n">
        <v>512</v>
      </c>
      <c r="H95" s="52" t="n">
        <v>504</v>
      </c>
      <c r="I95" s="63" t="n">
        <f aca="false">IF(H95="","",G95-H95)</f>
        <v>8</v>
      </c>
      <c r="J95" s="53" t="n">
        <f aca="false">IF(OR(D95="",D95+G95=0),"",D95/(D95+G95))</f>
        <v>0.62844702467344</v>
      </c>
      <c r="K95" s="53" t="n">
        <f aca="false">IF(E95="","",E95/(E95+H95))</f>
        <v>0.619622641509434</v>
      </c>
      <c r="L95" s="64" t="n">
        <f aca="false">IF(OR(K95="",J95=""),"",(J95-K95)*100)</f>
        <v>0.88243831640058</v>
      </c>
      <c r="M95" s="28" t="n">
        <v>2.49017287917352</v>
      </c>
      <c r="N95" s="28" t="n">
        <v>0.397844942258686</v>
      </c>
      <c r="O95" s="28" t="n">
        <f aca="false">SQRT(M95^2+N95^2)</f>
        <v>2.52175366882892</v>
      </c>
      <c r="P95" s="53" t="n">
        <f aca="false">IF(J95="","",MAX(0,J95-1.96*O95/100))</f>
        <v>0.579020652764393</v>
      </c>
      <c r="Q95" s="53" t="n">
        <f aca="false">IF(J95="","",MIN(1,J95+1.96*O95/100))</f>
        <v>0.677873396582487</v>
      </c>
      <c r="R95" s="25" t="str">
        <f aca="false">IF(L95="","",IF(ABS(L95)&lt;=O95,"Yes","No"))</f>
        <v>Yes</v>
      </c>
      <c r="S95" s="25" t="str">
        <f aca="false">IF(L95="","",IF(ABS(L95)&lt;=1.96*O95,"Yes","No"))</f>
        <v>Yes</v>
      </c>
      <c r="T95" s="52" t="n">
        <f aca="false">IF(D95="","",ROUND(SQRT(((D95+G95)*O95/100)^2+(J95*(D95+G95)*0.08889)^2),0))</f>
        <v>84</v>
      </c>
      <c r="U95" s="25"/>
    </row>
    <row r="96" customFormat="false" ht="15" hidden="false" customHeight="false" outlineLevel="0" collapsed="false">
      <c r="A96" s="25" t="s">
        <v>197</v>
      </c>
      <c r="B96" s="25" t="s">
        <v>199</v>
      </c>
      <c r="C96" s="25" t="s">
        <v>244</v>
      </c>
      <c r="D96" s="52" t="n">
        <v>517</v>
      </c>
      <c r="E96" s="52" t="n">
        <v>487</v>
      </c>
      <c r="F96" s="63" t="n">
        <f aca="false">IF(E96="","",D96-E96)</f>
        <v>30</v>
      </c>
      <c r="G96" s="52" t="n">
        <v>153</v>
      </c>
      <c r="H96" s="52" t="n">
        <v>191</v>
      </c>
      <c r="I96" s="63" t="n">
        <f aca="false">IF(H96="","",G96-H96)</f>
        <v>-38</v>
      </c>
      <c r="J96" s="53" t="n">
        <f aca="false">IF(OR(D96="",D96+G96=0),"",D96/(D96+G96))</f>
        <v>0.771641791044776</v>
      </c>
      <c r="K96" s="53" t="n">
        <f aca="false">IF(E96="","",E96/(E96+H96))</f>
        <v>0.718289085545723</v>
      </c>
      <c r="L96" s="64" t="n">
        <f aca="false">IF(OR(K96="",J96=""),"",(J96-K96)*100)</f>
        <v>5.33527054990535</v>
      </c>
      <c r="M96" s="28" t="n">
        <v>3.19821915242569</v>
      </c>
      <c r="N96" s="28" t="n">
        <v>0.397844942258686</v>
      </c>
      <c r="O96" s="28" t="n">
        <f aca="false">SQRT(M96^2+N96^2)</f>
        <v>3.22286927209642</v>
      </c>
      <c r="P96" s="53" t="n">
        <f aca="false">IF(J96="","",MAX(0,J96-1.96*O96/100))</f>
        <v>0.708473553311686</v>
      </c>
      <c r="Q96" s="53" t="n">
        <f aca="false">IF(J96="","",MIN(1,J96+1.96*O96/100))</f>
        <v>0.834810028777866</v>
      </c>
      <c r="R96" s="25" t="str">
        <f aca="false">IF(L96="","",IF(ABS(L96)&lt;=O96,"Yes","No"))</f>
        <v>No</v>
      </c>
      <c r="S96" s="25" t="str">
        <f aca="false">IF(L96="","",IF(ABS(L96)&lt;=1.96*O96,"Yes","No"))</f>
        <v>Yes</v>
      </c>
      <c r="T96" s="52" t="n">
        <f aca="false">IF(D96="","",ROUND(SQRT(((D96+G96)*O96/100)^2+(J96*(D96+G96)*0.1901)^2),0))</f>
        <v>101</v>
      </c>
      <c r="U96" s="25"/>
    </row>
    <row r="97" customFormat="false" ht="15" hidden="false" customHeight="false" outlineLevel="0" collapsed="false">
      <c r="A97" s="25" t="s">
        <v>197</v>
      </c>
      <c r="B97" s="25" t="s">
        <v>199</v>
      </c>
      <c r="C97" s="25" t="s">
        <v>245</v>
      </c>
      <c r="D97" s="52" t="n">
        <v>464</v>
      </c>
      <c r="E97" s="52" t="n">
        <v>418</v>
      </c>
      <c r="F97" s="63" t="n">
        <f aca="false">IF(E97="","",D97-E97)</f>
        <v>46</v>
      </c>
      <c r="G97" s="52" t="n">
        <v>168</v>
      </c>
      <c r="H97" s="52" t="n">
        <v>181</v>
      </c>
      <c r="I97" s="63" t="n">
        <f aca="false">IF(H97="","",G97-H97)</f>
        <v>-13</v>
      </c>
      <c r="J97" s="53" t="n">
        <f aca="false">IF(OR(D97="",D97+G97=0),"",D97/(D97+G97))</f>
        <v>0.734177215189873</v>
      </c>
      <c r="K97" s="53" t="n">
        <f aca="false">IF(E97="","",E97/(E97+H97))</f>
        <v>0.697829716193656</v>
      </c>
      <c r="L97" s="64" t="n">
        <f aca="false">IF(OR(K97="",J97=""),"",(J97-K97)*100)</f>
        <v>3.63474989962174</v>
      </c>
      <c r="M97" s="28" t="n">
        <v>3.19821915242569</v>
      </c>
      <c r="N97" s="28" t="n">
        <v>0.397844942258686</v>
      </c>
      <c r="O97" s="28" t="n">
        <f aca="false">SQRT(M97^2+N97^2)</f>
        <v>3.22286927209642</v>
      </c>
      <c r="P97" s="53" t="n">
        <f aca="false">IF(J97="","",MAX(0,J97-1.96*O97/100))</f>
        <v>0.671008977456784</v>
      </c>
      <c r="Q97" s="53" t="n">
        <f aca="false">IF(J97="","",MIN(1,J97+1.96*O97/100))</f>
        <v>0.797345452922963</v>
      </c>
      <c r="R97" s="25" t="str">
        <f aca="false">IF(L97="","",IF(ABS(L97)&lt;=O97,"Yes","No"))</f>
        <v>No</v>
      </c>
      <c r="S97" s="25" t="str">
        <f aca="false">IF(L97="","",IF(ABS(L97)&lt;=1.96*O97,"Yes","No"))</f>
        <v>Yes</v>
      </c>
      <c r="T97" s="52" t="n">
        <f aca="false">IF(D97="","",ROUND(SQRT(((D97+G97)*O97/100)^2+(J97*(D97+G97)*0.1901)^2),0))</f>
        <v>91</v>
      </c>
      <c r="U97" s="25"/>
    </row>
    <row r="98" customFormat="false" ht="15" hidden="false" customHeight="false" outlineLevel="0" collapsed="false">
      <c r="A98" s="25" t="s">
        <v>197</v>
      </c>
      <c r="B98" s="25" t="s">
        <v>199</v>
      </c>
      <c r="C98" s="25" t="s">
        <v>246</v>
      </c>
      <c r="D98" s="52" t="n">
        <v>653</v>
      </c>
      <c r="E98" s="52" t="n">
        <v>677</v>
      </c>
      <c r="F98" s="63" t="n">
        <f aca="false">IF(E98="","",D98-E98)</f>
        <v>-24</v>
      </c>
      <c r="G98" s="52" t="n">
        <v>213</v>
      </c>
      <c r="H98" s="52" t="n">
        <v>264</v>
      </c>
      <c r="I98" s="63" t="n">
        <f aca="false">IF(H98="","",G98-H98)</f>
        <v>-51</v>
      </c>
      <c r="J98" s="53" t="n">
        <f aca="false">IF(OR(D98="",D98+G98=0),"",D98/(D98+G98))</f>
        <v>0.754041570438799</v>
      </c>
      <c r="K98" s="53" t="n">
        <f aca="false">IF(E98="","",E98/(E98+H98))</f>
        <v>0.719447396386823</v>
      </c>
      <c r="L98" s="64" t="n">
        <f aca="false">IF(OR(K98="",J98=""),"",(J98-K98)*100)</f>
        <v>3.45941740519765</v>
      </c>
      <c r="M98" s="28" t="n">
        <v>2.42668038003648</v>
      </c>
      <c r="N98" s="28" t="n">
        <v>0.397844942258686</v>
      </c>
      <c r="O98" s="28" t="n">
        <f aca="false">SQRT(M98^2+N98^2)</f>
        <v>2.45907670985165</v>
      </c>
      <c r="P98" s="53" t="n">
        <f aca="false">IF(J98="","",MAX(0,J98-1.96*O98/100))</f>
        <v>0.705843666925707</v>
      </c>
      <c r="Q98" s="53" t="n">
        <f aca="false">IF(J98="","",MIN(1,J98+1.96*O98/100))</f>
        <v>0.802239473951891</v>
      </c>
      <c r="R98" s="25" t="str">
        <f aca="false">IF(L98="","",IF(ABS(L98)&lt;=O98,"Yes","No"))</f>
        <v>No</v>
      </c>
      <c r="S98" s="25" t="str">
        <f aca="false">IF(L98="","",IF(ABS(L98)&lt;=1.96*O98,"Yes","No"))</f>
        <v>Yes</v>
      </c>
      <c r="T98" s="52" t="n">
        <f aca="false">IF(D98="","",ROUND(SQRT(((D98+G98)*O98/100)^2+(J98*(D98+G98)*0.10931)^2),0))</f>
        <v>74</v>
      </c>
      <c r="U98" s="25"/>
    </row>
    <row r="99" customFormat="false" ht="15" hidden="false" customHeight="false" outlineLevel="0" collapsed="false">
      <c r="A99" s="25" t="s">
        <v>197</v>
      </c>
      <c r="B99" s="25" t="s">
        <v>199</v>
      </c>
      <c r="C99" s="25" t="s">
        <v>247</v>
      </c>
      <c r="D99" s="52" t="n">
        <v>298</v>
      </c>
      <c r="E99" s="52" t="n">
        <v>283</v>
      </c>
      <c r="F99" s="63" t="n">
        <f aca="false">IF(E99="","",D99-E99)</f>
        <v>15</v>
      </c>
      <c r="G99" s="52" t="n">
        <v>114</v>
      </c>
      <c r="H99" s="52" t="n">
        <v>138</v>
      </c>
      <c r="I99" s="63" t="n">
        <f aca="false">IF(H99="","",G99-H99)</f>
        <v>-24</v>
      </c>
      <c r="J99" s="53" t="n">
        <f aca="false">IF(OR(D99="",D99+G99=0),"",D99/(D99+G99))</f>
        <v>0.723300970873786</v>
      </c>
      <c r="K99" s="53" t="n">
        <f aca="false">IF(E99="","",E99/(E99+H99))</f>
        <v>0.672209026128266</v>
      </c>
      <c r="L99" s="64" t="n">
        <f aca="false">IF(OR(K99="",J99=""),"",(J99-K99)*100)</f>
        <v>5.10919447455204</v>
      </c>
      <c r="M99" s="28" t="n">
        <v>3.19821915242569</v>
      </c>
      <c r="N99" s="28" t="n">
        <v>0.397844942258686</v>
      </c>
      <c r="O99" s="28" t="n">
        <f aca="false">SQRT(M99^2+N99^2)</f>
        <v>3.22286927209642</v>
      </c>
      <c r="P99" s="53" t="n">
        <f aca="false">IF(J99="","",MAX(0,J99-1.96*O99/100))</f>
        <v>0.660132733140697</v>
      </c>
      <c r="Q99" s="53" t="n">
        <f aca="false">IF(J99="","",MIN(1,J99+1.96*O99/100))</f>
        <v>0.786469208606876</v>
      </c>
      <c r="R99" s="25" t="str">
        <f aca="false">IF(L99="","",IF(ABS(L99)&lt;=O99,"Yes","No"))</f>
        <v>No</v>
      </c>
      <c r="S99" s="25" t="str">
        <f aca="false">IF(L99="","",IF(ABS(L99)&lt;=1.96*O99,"Yes","No"))</f>
        <v>Yes</v>
      </c>
      <c r="T99" s="52" t="n">
        <f aca="false">IF(D99="","",ROUND(SQRT(((D99+G99)*O99/100)^2+(J99*(D99+G99)*0.1901)^2),0))</f>
        <v>58</v>
      </c>
      <c r="U99" s="25"/>
    </row>
    <row r="100" customFormat="false" ht="15" hidden="false" customHeight="false" outlineLevel="0" collapsed="false">
      <c r="A100" s="25" t="s">
        <v>197</v>
      </c>
      <c r="B100" s="25" t="s">
        <v>199</v>
      </c>
      <c r="C100" s="25" t="s">
        <v>248</v>
      </c>
      <c r="D100" s="52" t="n">
        <v>468</v>
      </c>
      <c r="E100" s="52" t="n">
        <v>447</v>
      </c>
      <c r="F100" s="63" t="n">
        <f aca="false">IF(E100="","",D100-E100)</f>
        <v>21</v>
      </c>
      <c r="G100" s="52" t="n">
        <v>142</v>
      </c>
      <c r="H100" s="52" t="n">
        <v>152</v>
      </c>
      <c r="I100" s="63" t="n">
        <f aca="false">IF(H100="","",G100-H100)</f>
        <v>-10</v>
      </c>
      <c r="J100" s="53" t="n">
        <f aca="false">IF(OR(D100="",D100+G100=0),"",D100/(D100+G100))</f>
        <v>0.767213114754098</v>
      </c>
      <c r="K100" s="53" t="n">
        <f aca="false">IF(E100="","",E100/(E100+H100))</f>
        <v>0.746243739565943</v>
      </c>
      <c r="L100" s="64" t="n">
        <f aca="false">IF(OR(K100="",J100=""),"",(J100-K100)*100)</f>
        <v>2.09693751881551</v>
      </c>
      <c r="M100" s="28" t="n">
        <v>3.19821915242569</v>
      </c>
      <c r="N100" s="28" t="n">
        <v>0.397844942258686</v>
      </c>
      <c r="O100" s="28" t="n">
        <f aca="false">SQRT(M100^2+N100^2)</f>
        <v>3.22286927209642</v>
      </c>
      <c r="P100" s="53" t="n">
        <f aca="false">IF(J100="","",MAX(0,J100-1.96*O100/100))</f>
        <v>0.704044877021009</v>
      </c>
      <c r="Q100" s="53" t="n">
        <f aca="false">IF(J100="","",MIN(1,J100+1.96*O100/100))</f>
        <v>0.830381352487188</v>
      </c>
      <c r="R100" s="25" t="str">
        <f aca="false">IF(L100="","",IF(ABS(L100)&lt;=O100,"Yes","No"))</f>
        <v>Yes</v>
      </c>
      <c r="S100" s="25" t="str">
        <f aca="false">IF(L100="","",IF(ABS(L100)&lt;=1.96*O100,"Yes","No"))</f>
        <v>Yes</v>
      </c>
      <c r="T100" s="52" t="n">
        <f aca="false">IF(D100="","",ROUND(SQRT(((D100+G100)*O100/100)^2+(J100*(D100+G100)*0.1901)^2),0))</f>
        <v>91</v>
      </c>
      <c r="U100" s="25"/>
    </row>
    <row r="101" customFormat="false" ht="15" hidden="false" customHeight="false" outlineLevel="0" collapsed="false">
      <c r="A101" s="25" t="s">
        <v>197</v>
      </c>
      <c r="B101" s="25" t="s">
        <v>199</v>
      </c>
      <c r="C101" s="25" t="s">
        <v>249</v>
      </c>
      <c r="D101" s="52" t="n">
        <v>240</v>
      </c>
      <c r="E101" s="52" t="n">
        <v>179</v>
      </c>
      <c r="F101" s="63" t="n">
        <f aca="false">IF(E101="","",D101-E101)</f>
        <v>61</v>
      </c>
      <c r="G101" s="52" t="n">
        <v>85</v>
      </c>
      <c r="H101" s="52" t="n">
        <v>112</v>
      </c>
      <c r="I101" s="63" t="n">
        <f aca="false">IF(H101="","",G101-H101)</f>
        <v>-27</v>
      </c>
      <c r="J101" s="53" t="n">
        <f aca="false">IF(OR(D101="",D101+G101=0),"",D101/(D101+G101))</f>
        <v>0.738461538461539</v>
      </c>
      <c r="K101" s="53" t="n">
        <f aca="false">IF(E101="","",E101/(E101+H101))</f>
        <v>0.615120274914089</v>
      </c>
      <c r="L101" s="64" t="n">
        <f aca="false">IF(OR(K101="",J101=""),"",(J101-K101)*100)</f>
        <v>12.3341263547449</v>
      </c>
      <c r="M101" s="28" t="n">
        <v>3.19821915242569</v>
      </c>
      <c r="N101" s="28" t="n">
        <v>0.397844942258686</v>
      </c>
      <c r="O101" s="28" t="n">
        <f aca="false">SQRT(M101^2+N101^2)</f>
        <v>3.22286927209642</v>
      </c>
      <c r="P101" s="53" t="n">
        <f aca="false">IF(J101="","",MAX(0,J101-1.96*O101/100))</f>
        <v>0.675293300728449</v>
      </c>
      <c r="Q101" s="53" t="n">
        <f aca="false">IF(J101="","",MIN(1,J101+1.96*O101/100))</f>
        <v>0.801629776194628</v>
      </c>
      <c r="R101" s="25" t="str">
        <f aca="false">IF(L101="","",IF(ABS(L101)&lt;=O101,"Yes","No"))</f>
        <v>No</v>
      </c>
      <c r="S101" s="25" t="str">
        <f aca="false">IF(L101="","",IF(ABS(L101)&lt;=1.96*O101,"Yes","No"))</f>
        <v>No</v>
      </c>
      <c r="T101" s="52" t="n">
        <f aca="false">IF(D101="","",ROUND(SQRT(((D101+G101)*O101/100)^2+(J101*(D101+G101)*0.1901)^2),0))</f>
        <v>47</v>
      </c>
      <c r="U101" s="25"/>
    </row>
    <row r="102" customFormat="false" ht="15" hidden="false" customHeight="false" outlineLevel="0" collapsed="false">
      <c r="A102" s="25" t="s">
        <v>197</v>
      </c>
      <c r="B102" s="25" t="s">
        <v>199</v>
      </c>
      <c r="C102" s="25" t="s">
        <v>250</v>
      </c>
      <c r="D102" s="52" t="n">
        <v>385</v>
      </c>
      <c r="E102" s="52" t="n">
        <v>357</v>
      </c>
      <c r="F102" s="63" t="n">
        <f aca="false">IF(E102="","",D102-E102)</f>
        <v>28</v>
      </c>
      <c r="G102" s="52" t="n">
        <v>183</v>
      </c>
      <c r="H102" s="52" t="n">
        <v>225</v>
      </c>
      <c r="I102" s="63" t="n">
        <f aca="false">IF(H102="","",G102-H102)</f>
        <v>-42</v>
      </c>
      <c r="J102" s="53" t="n">
        <f aca="false">IF(OR(D102="",D102+G102=0),"",D102/(D102+G102))</f>
        <v>0.677816901408451</v>
      </c>
      <c r="K102" s="53" t="n">
        <f aca="false">IF(E102="","",E102/(E102+H102))</f>
        <v>0.61340206185567</v>
      </c>
      <c r="L102" s="64" t="n">
        <f aca="false">IF(OR(K102="",J102=""),"",(J102-K102)*100)</f>
        <v>6.44148395527806</v>
      </c>
      <c r="M102" s="28" t="n">
        <v>3.19821915242569</v>
      </c>
      <c r="N102" s="28" t="n">
        <v>0.397844942258686</v>
      </c>
      <c r="O102" s="28" t="n">
        <f aca="false">SQRT(M102^2+N102^2)</f>
        <v>3.22286927209642</v>
      </c>
      <c r="P102" s="53" t="n">
        <f aca="false">IF(J102="","",MAX(0,J102-1.96*O102/100))</f>
        <v>0.614648663675361</v>
      </c>
      <c r="Q102" s="53" t="n">
        <f aca="false">IF(J102="","",MIN(1,J102+1.96*O102/100))</f>
        <v>0.740985139141541</v>
      </c>
      <c r="R102" s="25" t="str">
        <f aca="false">IF(L102="","",IF(ABS(L102)&lt;=O102,"Yes","No"))</f>
        <v>No</v>
      </c>
      <c r="S102" s="25" t="str">
        <f aca="false">IF(L102="","",IF(ABS(L102)&lt;=1.96*O102,"Yes","No"))</f>
        <v>No</v>
      </c>
      <c r="T102" s="52" t="n">
        <f aca="false">IF(D102="","",ROUND(SQRT(((D102+G102)*O102/100)^2+(J102*(D102+G102)*0.1901)^2),0))</f>
        <v>75</v>
      </c>
      <c r="U102" s="25"/>
    </row>
    <row r="103" customFormat="false" ht="15" hidden="false" customHeight="false" outlineLevel="0" collapsed="false">
      <c r="A103" s="25" t="s">
        <v>197</v>
      </c>
      <c r="B103" s="25" t="s">
        <v>199</v>
      </c>
      <c r="C103" s="25" t="s">
        <v>251</v>
      </c>
      <c r="D103" s="52" t="n">
        <v>583</v>
      </c>
      <c r="E103" s="52" t="n">
        <v>520</v>
      </c>
      <c r="F103" s="63" t="n">
        <f aca="false">IF(E103="","",D103-E103)</f>
        <v>63</v>
      </c>
      <c r="G103" s="52" t="n">
        <v>200</v>
      </c>
      <c r="H103" s="52" t="n">
        <v>193</v>
      </c>
      <c r="I103" s="63" t="n">
        <f aca="false">IF(H103="","",G103-H103)</f>
        <v>7</v>
      </c>
      <c r="J103" s="53" t="n">
        <f aca="false">IF(OR(D103="",D103+G103=0),"",D103/(D103+G103))</f>
        <v>0.744572158365262</v>
      </c>
      <c r="K103" s="53" t="n">
        <f aca="false">IF(E103="","",E103/(E103+H103))</f>
        <v>0.729312762973352</v>
      </c>
      <c r="L103" s="64" t="n">
        <f aca="false">IF(OR(K103="",J103=""),"",(J103-K103)*100)</f>
        <v>1.52593953919098</v>
      </c>
      <c r="M103" s="28" t="n">
        <v>2.42668038003648</v>
      </c>
      <c r="N103" s="28" t="n">
        <v>0.397844942258686</v>
      </c>
      <c r="O103" s="28" t="n">
        <f aca="false">SQRT(M103^2+N103^2)</f>
        <v>2.45907670985165</v>
      </c>
      <c r="P103" s="53" t="n">
        <f aca="false">IF(J103="","",MAX(0,J103-1.96*O103/100))</f>
        <v>0.696374254852169</v>
      </c>
      <c r="Q103" s="53" t="n">
        <f aca="false">IF(J103="","",MIN(1,J103+1.96*O103/100))</f>
        <v>0.792770061878354</v>
      </c>
      <c r="R103" s="25" t="str">
        <f aca="false">IF(L103="","",IF(ABS(L103)&lt;=O103,"Yes","No"))</f>
        <v>Yes</v>
      </c>
      <c r="S103" s="25" t="str">
        <f aca="false">IF(L103="","",IF(ABS(L103)&lt;=1.96*O103,"Yes","No"))</f>
        <v>Yes</v>
      </c>
      <c r="T103" s="52" t="n">
        <f aca="false">IF(D103="","",ROUND(SQRT(((D103+G103)*O103/100)^2+(J103*(D103+G103)*0.10931)^2),0))</f>
        <v>67</v>
      </c>
      <c r="U103" s="25"/>
    </row>
    <row r="104" customFormat="false" ht="15" hidden="false" customHeight="false" outlineLevel="0" collapsed="false">
      <c r="A104" s="25" t="s">
        <v>197</v>
      </c>
      <c r="B104" s="25" t="s">
        <v>199</v>
      </c>
      <c r="C104" s="25" t="s">
        <v>252</v>
      </c>
      <c r="D104" s="52" t="n">
        <v>230</v>
      </c>
      <c r="E104" s="52" t="n">
        <v>218</v>
      </c>
      <c r="F104" s="63" t="n">
        <f aca="false">IF(E104="","",D104-E104)</f>
        <v>12</v>
      </c>
      <c r="G104" s="52" t="n">
        <v>76</v>
      </c>
      <c r="H104" s="52" t="n">
        <v>86</v>
      </c>
      <c r="I104" s="63" t="n">
        <f aca="false">IF(H104="","",G104-H104)</f>
        <v>-10</v>
      </c>
      <c r="J104" s="53" t="n">
        <f aca="false">IF(OR(D104="",D104+G104=0),"",D104/(D104+G104))</f>
        <v>0.751633986928105</v>
      </c>
      <c r="K104" s="53" t="n">
        <f aca="false">IF(E104="","",E104/(E104+H104))</f>
        <v>0.717105263157895</v>
      </c>
      <c r="L104" s="64" t="n">
        <f aca="false">IF(OR(K104="",J104=""),"",(J104-K104)*100)</f>
        <v>3.45287237702099</v>
      </c>
      <c r="M104" s="28" t="n">
        <v>3.19821915242569</v>
      </c>
      <c r="N104" s="28" t="n">
        <v>0.397844942258686</v>
      </c>
      <c r="O104" s="28" t="n">
        <f aca="false">SQRT(M104^2+N104^2)</f>
        <v>3.22286927209642</v>
      </c>
      <c r="P104" s="53" t="n">
        <f aca="false">IF(J104="","",MAX(0,J104-1.96*O104/100))</f>
        <v>0.688465749195015</v>
      </c>
      <c r="Q104" s="53" t="n">
        <f aca="false">IF(J104="","",MIN(1,J104+1.96*O104/100))</f>
        <v>0.814802224661195</v>
      </c>
      <c r="R104" s="25" t="str">
        <f aca="false">IF(L104="","",IF(ABS(L104)&lt;=O104,"Yes","No"))</f>
        <v>No</v>
      </c>
      <c r="S104" s="25" t="str">
        <f aca="false">IF(L104="","",IF(ABS(L104)&lt;=1.96*O104,"Yes","No"))</f>
        <v>Yes</v>
      </c>
      <c r="T104" s="52" t="n">
        <f aca="false">IF(D104="","",ROUND(SQRT(((D104+G104)*O104/100)^2+(J104*(D104+G104)*0.1901)^2),0))</f>
        <v>45</v>
      </c>
      <c r="U104" s="25"/>
    </row>
    <row r="105" customFormat="false" ht="15" hidden="false" customHeight="false" outlineLevel="0" collapsed="false">
      <c r="A105" s="25" t="s">
        <v>197</v>
      </c>
      <c r="B105" s="25" t="s">
        <v>199</v>
      </c>
      <c r="C105" s="25" t="s">
        <v>253</v>
      </c>
      <c r="D105" s="52" t="n">
        <v>264</v>
      </c>
      <c r="E105" s="52" t="n">
        <v>262</v>
      </c>
      <c r="F105" s="63" t="n">
        <f aca="false">IF(E105="","",D105-E105)</f>
        <v>2</v>
      </c>
      <c r="G105" s="52" t="n">
        <v>76</v>
      </c>
      <c r="H105" s="52" t="n">
        <v>109</v>
      </c>
      <c r="I105" s="63" t="n">
        <f aca="false">IF(H105="","",G105-H105)</f>
        <v>-33</v>
      </c>
      <c r="J105" s="53" t="n">
        <f aca="false">IF(OR(D105="",D105+G105=0),"",D105/(D105+G105))</f>
        <v>0.776470588235294</v>
      </c>
      <c r="K105" s="53" t="n">
        <f aca="false">IF(E105="","",E105/(E105+H105))</f>
        <v>0.706199460916442</v>
      </c>
      <c r="L105" s="64" t="n">
        <f aca="false">IF(OR(K105="",J105=""),"",(J105-K105)*100)</f>
        <v>7.02711273188521</v>
      </c>
      <c r="M105" s="28" t="n">
        <v>3.19821915242569</v>
      </c>
      <c r="N105" s="28" t="n">
        <v>0.397844942258686</v>
      </c>
      <c r="O105" s="28" t="n">
        <f aca="false">SQRT(M105^2+N105^2)</f>
        <v>3.22286927209642</v>
      </c>
      <c r="P105" s="53" t="n">
        <f aca="false">IF(J105="","",MAX(0,J105-1.96*O105/100))</f>
        <v>0.713302350502204</v>
      </c>
      <c r="Q105" s="53" t="n">
        <f aca="false">IF(J105="","",MIN(1,J105+1.96*O105/100))</f>
        <v>0.839638825968384</v>
      </c>
      <c r="R105" s="25" t="str">
        <f aca="false">IF(L105="","",IF(ABS(L105)&lt;=O105,"Yes","No"))</f>
        <v>No</v>
      </c>
      <c r="S105" s="25" t="str">
        <f aca="false">IF(L105="","",IF(ABS(L105)&lt;=1.96*O105,"Yes","No"))</f>
        <v>No</v>
      </c>
      <c r="T105" s="52" t="n">
        <f aca="false">IF(D105="","",ROUND(SQRT(((D105+G105)*O105/100)^2+(J105*(D105+G105)*0.1901)^2),0))</f>
        <v>51</v>
      </c>
      <c r="U105" s="25"/>
    </row>
    <row r="106" customFormat="false" ht="15" hidden="false" customHeight="false" outlineLevel="0" collapsed="false">
      <c r="A106" s="25" t="s">
        <v>197</v>
      </c>
      <c r="B106" s="25" t="s">
        <v>199</v>
      </c>
      <c r="C106" s="25" t="s">
        <v>254</v>
      </c>
      <c r="D106" s="52" t="n">
        <v>441</v>
      </c>
      <c r="E106" s="52" t="n">
        <v>424</v>
      </c>
      <c r="F106" s="63" t="n">
        <f aca="false">IF(E106="","",D106-E106)</f>
        <v>17</v>
      </c>
      <c r="G106" s="52" t="n">
        <v>144</v>
      </c>
      <c r="H106" s="52" t="n">
        <v>151</v>
      </c>
      <c r="I106" s="63" t="n">
        <f aca="false">IF(H106="","",G106-H106)</f>
        <v>-7</v>
      </c>
      <c r="J106" s="53" t="n">
        <f aca="false">IF(OR(D106="",D106+G106=0),"",D106/(D106+G106))</f>
        <v>0.753846153846154</v>
      </c>
      <c r="K106" s="53" t="n">
        <f aca="false">IF(E106="","",E106/(E106+H106))</f>
        <v>0.737391304347826</v>
      </c>
      <c r="L106" s="64" t="n">
        <f aca="false">IF(OR(K106="",J106=""),"",(J106-K106)*100)</f>
        <v>1.64548494983278</v>
      </c>
      <c r="M106" s="28" t="n">
        <v>3.19821915242569</v>
      </c>
      <c r="N106" s="28" t="n">
        <v>0.397844942258686</v>
      </c>
      <c r="O106" s="28" t="n">
        <f aca="false">SQRT(M106^2+N106^2)</f>
        <v>3.22286927209642</v>
      </c>
      <c r="P106" s="53" t="n">
        <f aca="false">IF(J106="","",MAX(0,J106-1.96*O106/100))</f>
        <v>0.690677916113064</v>
      </c>
      <c r="Q106" s="53" t="n">
        <f aca="false">IF(J106="","",MIN(1,J106+1.96*O106/100))</f>
        <v>0.817014391579244</v>
      </c>
      <c r="R106" s="25" t="str">
        <f aca="false">IF(L106="","",IF(ABS(L106)&lt;=O106,"Yes","No"))</f>
        <v>Yes</v>
      </c>
      <c r="S106" s="25" t="str">
        <f aca="false">IF(L106="","",IF(ABS(L106)&lt;=1.96*O106,"Yes","No"))</f>
        <v>Yes</v>
      </c>
      <c r="T106" s="52" t="n">
        <f aca="false">IF(D106="","",ROUND(SQRT(((D106+G106)*O106/100)^2+(J106*(D106+G106)*0.1901)^2),0))</f>
        <v>86</v>
      </c>
      <c r="U106" s="25"/>
    </row>
    <row r="107" customFormat="false" ht="15" hidden="false" customHeight="false" outlineLevel="0" collapsed="false">
      <c r="A107" s="25" t="s">
        <v>197</v>
      </c>
      <c r="B107" s="25" t="s">
        <v>199</v>
      </c>
      <c r="C107" s="25" t="s">
        <v>255</v>
      </c>
      <c r="D107" s="52" t="n">
        <v>538</v>
      </c>
      <c r="E107" s="52" t="n">
        <v>565</v>
      </c>
      <c r="F107" s="63" t="n">
        <f aca="false">IF(E107="","",D107-E107)</f>
        <v>-27</v>
      </c>
      <c r="G107" s="52" t="n">
        <v>268</v>
      </c>
      <c r="H107" s="52" t="n">
        <v>277</v>
      </c>
      <c r="I107" s="63" t="n">
        <f aca="false">IF(H107="","",G107-H107)</f>
        <v>-9</v>
      </c>
      <c r="J107" s="53" t="n">
        <f aca="false">IF(OR(D107="",D107+G107=0),"",D107/(D107+G107))</f>
        <v>0.667493796526055</v>
      </c>
      <c r="K107" s="53" t="n">
        <f aca="false">IF(E107="","",E107/(E107+H107))</f>
        <v>0.671021377672209</v>
      </c>
      <c r="L107" s="64" t="n">
        <f aca="false">IF(OR(K107="",J107=""),"",(J107-K107)*100)</f>
        <v>-0.352758114615448</v>
      </c>
      <c r="M107" s="28" t="n">
        <v>2.42668038003648</v>
      </c>
      <c r="N107" s="28" t="n">
        <v>0.397844942258686</v>
      </c>
      <c r="O107" s="28" t="n">
        <f aca="false">SQRT(M107^2+N107^2)</f>
        <v>2.45907670985165</v>
      </c>
      <c r="P107" s="53" t="n">
        <f aca="false">IF(J107="","",MAX(0,J107-1.96*O107/100))</f>
        <v>0.619295893012962</v>
      </c>
      <c r="Q107" s="53" t="n">
        <f aca="false">IF(J107="","",MIN(1,J107+1.96*O107/100))</f>
        <v>0.715691700039147</v>
      </c>
      <c r="R107" s="25" t="str">
        <f aca="false">IF(L107="","",IF(ABS(L107)&lt;=O107,"Yes","No"))</f>
        <v>Yes</v>
      </c>
      <c r="S107" s="25" t="str">
        <f aca="false">IF(L107="","",IF(ABS(L107)&lt;=1.96*O107,"Yes","No"))</f>
        <v>Yes</v>
      </c>
      <c r="T107" s="52" t="n">
        <f aca="false">IF(D107="","",ROUND(SQRT(((D107+G107)*O107/100)^2+(J107*(D107+G107)*0.10931)^2),0))</f>
        <v>62</v>
      </c>
      <c r="U107" s="25"/>
    </row>
    <row r="108" customFormat="false" ht="15" hidden="false" customHeight="false" outlineLevel="0" collapsed="false">
      <c r="A108" s="25" t="s">
        <v>197</v>
      </c>
      <c r="B108" s="25" t="s">
        <v>199</v>
      </c>
      <c r="C108" s="25" t="s">
        <v>256</v>
      </c>
      <c r="D108" s="52" t="n">
        <v>252</v>
      </c>
      <c r="E108" s="52" t="n">
        <v>260</v>
      </c>
      <c r="F108" s="63" t="n">
        <f aca="false">IF(E108="","",D108-E108)</f>
        <v>-8</v>
      </c>
      <c r="G108" s="52" t="n">
        <v>108</v>
      </c>
      <c r="H108" s="52" t="n">
        <v>121</v>
      </c>
      <c r="I108" s="63" t="n">
        <f aca="false">IF(H108="","",G108-H108)</f>
        <v>-13</v>
      </c>
      <c r="J108" s="53" t="n">
        <f aca="false">IF(OR(D108="",D108+G108=0),"",D108/(D108+G108))</f>
        <v>0.7</v>
      </c>
      <c r="K108" s="53" t="n">
        <f aca="false">IF(E108="","",E108/(E108+H108))</f>
        <v>0.68241469816273</v>
      </c>
      <c r="L108" s="64" t="n">
        <f aca="false">IF(OR(K108="",J108=""),"",(J108-K108)*100)</f>
        <v>1.75853018372703</v>
      </c>
      <c r="M108" s="28" t="n">
        <v>3.19821915242569</v>
      </c>
      <c r="N108" s="28" t="n">
        <v>0.397844942258686</v>
      </c>
      <c r="O108" s="28" t="n">
        <f aca="false">SQRT(M108^2+N108^2)</f>
        <v>3.22286927209642</v>
      </c>
      <c r="P108" s="53" t="n">
        <f aca="false">IF(J108="","",MAX(0,J108-1.96*O108/100))</f>
        <v>0.63683176226691</v>
      </c>
      <c r="Q108" s="53" t="n">
        <f aca="false">IF(J108="","",MIN(1,J108+1.96*O108/100))</f>
        <v>0.76316823773309</v>
      </c>
      <c r="R108" s="25" t="str">
        <f aca="false">IF(L108="","",IF(ABS(L108)&lt;=O108,"Yes","No"))</f>
        <v>Yes</v>
      </c>
      <c r="S108" s="25" t="str">
        <f aca="false">IF(L108="","",IF(ABS(L108)&lt;=1.96*O108,"Yes","No"))</f>
        <v>Yes</v>
      </c>
      <c r="T108" s="52" t="n">
        <f aca="false">IF(D108="","",ROUND(SQRT(((D108+G108)*O108/100)^2+(J108*(D108+G108)*0.1901)^2),0))</f>
        <v>49</v>
      </c>
      <c r="U108" s="25"/>
    </row>
    <row r="109" customFormat="false" ht="15" hidden="false" customHeight="false" outlineLevel="0" collapsed="false">
      <c r="A109" s="25" t="s">
        <v>197</v>
      </c>
      <c r="B109" s="25" t="s">
        <v>199</v>
      </c>
      <c r="C109" s="25" t="s">
        <v>257</v>
      </c>
      <c r="D109" s="52" t="n">
        <v>348</v>
      </c>
      <c r="E109" s="52" t="n">
        <v>317</v>
      </c>
      <c r="F109" s="63" t="n">
        <f aca="false">IF(E109="","",D109-E109)</f>
        <v>31</v>
      </c>
      <c r="G109" s="52" t="n">
        <v>128</v>
      </c>
      <c r="H109" s="52" t="n">
        <v>152</v>
      </c>
      <c r="I109" s="63" t="n">
        <f aca="false">IF(H109="","",G109-H109)</f>
        <v>-24</v>
      </c>
      <c r="J109" s="53" t="n">
        <f aca="false">IF(OR(D109="",D109+G109=0),"",D109/(D109+G109))</f>
        <v>0.73109243697479</v>
      </c>
      <c r="K109" s="53" t="n">
        <f aca="false">IF(E109="","",E109/(E109+H109))</f>
        <v>0.67590618336887</v>
      </c>
      <c r="L109" s="64" t="n">
        <f aca="false">IF(OR(K109="",J109=""),"",(J109-K109)*100)</f>
        <v>5.51862536059199</v>
      </c>
      <c r="M109" s="28" t="n">
        <v>3.19821915242569</v>
      </c>
      <c r="N109" s="28" t="n">
        <v>0.397844942258686</v>
      </c>
      <c r="O109" s="28" t="n">
        <f aca="false">SQRT(M109^2+N109^2)</f>
        <v>3.22286927209642</v>
      </c>
      <c r="P109" s="53" t="n">
        <f aca="false">IF(J109="","",MAX(0,J109-1.96*O109/100))</f>
        <v>0.6679241992417</v>
      </c>
      <c r="Q109" s="53" t="n">
        <f aca="false">IF(J109="","",MIN(1,J109+1.96*O109/100))</f>
        <v>0.79426067470788</v>
      </c>
      <c r="R109" s="25" t="str">
        <f aca="false">IF(L109="","",IF(ABS(L109)&lt;=O109,"Yes","No"))</f>
        <v>No</v>
      </c>
      <c r="S109" s="25" t="str">
        <f aca="false">IF(L109="","",IF(ABS(L109)&lt;=1.96*O109,"Yes","No"))</f>
        <v>Yes</v>
      </c>
      <c r="T109" s="52" t="n">
        <f aca="false">IF(D109="","",ROUND(SQRT(((D109+G109)*O109/100)^2+(J109*(D109+G109)*0.1901)^2),0))</f>
        <v>68</v>
      </c>
      <c r="U109" s="25"/>
    </row>
    <row r="110" customFormat="false" ht="15" hidden="false" customHeight="false" outlineLevel="0" collapsed="false">
      <c r="A110" s="25" t="s">
        <v>197</v>
      </c>
      <c r="B110" s="25" t="s">
        <v>199</v>
      </c>
      <c r="C110" s="25" t="s">
        <v>258</v>
      </c>
      <c r="D110" s="52" t="n">
        <v>428</v>
      </c>
      <c r="E110" s="52" t="n">
        <v>424</v>
      </c>
      <c r="F110" s="63" t="n">
        <f aca="false">IF(E110="","",D110-E110)</f>
        <v>4</v>
      </c>
      <c r="G110" s="52" t="n">
        <v>258</v>
      </c>
      <c r="H110" s="52" t="n">
        <v>264</v>
      </c>
      <c r="I110" s="63" t="n">
        <f aca="false">IF(H110="","",G110-H110)</f>
        <v>-6</v>
      </c>
      <c r="J110" s="53" t="n">
        <f aca="false">IF(OR(D110="",D110+G110=0),"",D110/(D110+G110))</f>
        <v>0.623906705539359</v>
      </c>
      <c r="K110" s="53" t="n">
        <f aca="false">IF(E110="","",E110/(E110+H110))</f>
        <v>0.616279069767442</v>
      </c>
      <c r="L110" s="64" t="n">
        <f aca="false">IF(OR(K110="",J110=""),"",(J110-K110)*100)</f>
        <v>0.762763577191672</v>
      </c>
      <c r="M110" s="28" t="n">
        <v>3.19821915242569</v>
      </c>
      <c r="N110" s="28" t="n">
        <v>0.397844942258686</v>
      </c>
      <c r="O110" s="28" t="n">
        <f aca="false">SQRT(M110^2+N110^2)</f>
        <v>3.22286927209642</v>
      </c>
      <c r="P110" s="53" t="n">
        <f aca="false">IF(J110="","",MAX(0,J110-1.96*O110/100))</f>
        <v>0.560738467806269</v>
      </c>
      <c r="Q110" s="53" t="n">
        <f aca="false">IF(J110="","",MIN(1,J110+1.96*O110/100))</f>
        <v>0.687074943272448</v>
      </c>
      <c r="R110" s="25" t="str">
        <f aca="false">IF(L110="","",IF(ABS(L110)&lt;=O110,"Yes","No"))</f>
        <v>Yes</v>
      </c>
      <c r="S110" s="25" t="str">
        <f aca="false">IF(L110="","",IF(ABS(L110)&lt;=1.96*O110,"Yes","No"))</f>
        <v>Yes</v>
      </c>
      <c r="T110" s="52" t="n">
        <f aca="false">IF(D110="","",ROUND(SQRT(((D110+G110)*O110/100)^2+(J110*(D110+G110)*0.1901)^2),0))</f>
        <v>84</v>
      </c>
      <c r="U110" s="25"/>
    </row>
    <row r="111" customFormat="false" ht="15" hidden="false" customHeight="false" outlineLevel="0" collapsed="false">
      <c r="A111" s="25" t="s">
        <v>197</v>
      </c>
      <c r="B111" s="25" t="s">
        <v>199</v>
      </c>
      <c r="C111" s="25" t="s">
        <v>259</v>
      </c>
      <c r="D111" s="52" t="n">
        <v>485</v>
      </c>
      <c r="E111" s="52" t="n">
        <v>469</v>
      </c>
      <c r="F111" s="63" t="n">
        <f aca="false">IF(E111="","",D111-E111)</f>
        <v>16</v>
      </c>
      <c r="G111" s="52" t="n">
        <v>162</v>
      </c>
      <c r="H111" s="52" t="n">
        <v>215</v>
      </c>
      <c r="I111" s="63" t="n">
        <f aca="false">IF(H111="","",G111-H111)</f>
        <v>-53</v>
      </c>
      <c r="J111" s="53" t="n">
        <f aca="false">IF(OR(D111="",D111+G111=0),"",D111/(D111+G111))</f>
        <v>0.749613601236476</v>
      </c>
      <c r="K111" s="53" t="n">
        <f aca="false">IF(E111="","",E111/(E111+H111))</f>
        <v>0.685672514619883</v>
      </c>
      <c r="L111" s="64" t="n">
        <f aca="false">IF(OR(K111="",J111=""),"",(J111-K111)*100)</f>
        <v>6.3941086616593</v>
      </c>
      <c r="M111" s="28" t="n">
        <v>3.19821915242569</v>
      </c>
      <c r="N111" s="28" t="n">
        <v>0.397844942258686</v>
      </c>
      <c r="O111" s="28" t="n">
        <f aca="false">SQRT(M111^2+N111^2)</f>
        <v>3.22286927209642</v>
      </c>
      <c r="P111" s="53" t="n">
        <f aca="false">IF(J111="","",MAX(0,J111-1.96*O111/100))</f>
        <v>0.686445363503386</v>
      </c>
      <c r="Q111" s="53" t="n">
        <f aca="false">IF(J111="","",MIN(1,J111+1.96*O111/100))</f>
        <v>0.812781838969566</v>
      </c>
      <c r="R111" s="25" t="str">
        <f aca="false">IF(L111="","",IF(ABS(L111)&lt;=O111,"Yes","No"))</f>
        <v>No</v>
      </c>
      <c r="S111" s="25" t="str">
        <f aca="false">IF(L111="","",IF(ABS(L111)&lt;=1.96*O111,"Yes","No"))</f>
        <v>No</v>
      </c>
      <c r="T111" s="52" t="n">
        <f aca="false">IF(D111="","",ROUND(SQRT(((D111+G111)*O111/100)^2+(J111*(D111+G111)*0.1901)^2),0))</f>
        <v>95</v>
      </c>
      <c r="U111" s="25"/>
    </row>
    <row r="112" customFormat="false" ht="15" hidden="false" customHeight="false" outlineLevel="0" collapsed="false">
      <c r="A112" s="25" t="s">
        <v>197</v>
      </c>
      <c r="B112" s="25" t="s">
        <v>260</v>
      </c>
      <c r="C112" s="25" t="s">
        <v>261</v>
      </c>
      <c r="D112" s="52" t="n">
        <v>618</v>
      </c>
      <c r="E112" s="52" t="n">
        <v>598</v>
      </c>
      <c r="F112" s="63" t="n">
        <f aca="false">IF(E112="","",D112-E112)</f>
        <v>20</v>
      </c>
      <c r="G112" s="52" t="n">
        <v>261</v>
      </c>
      <c r="H112" s="52" t="n">
        <v>253</v>
      </c>
      <c r="I112" s="63" t="n">
        <f aca="false">IF(H112="","",G112-H112)</f>
        <v>8</v>
      </c>
      <c r="J112" s="53" t="n">
        <f aca="false">IF(OR(D112="",D112+G112=0),"",D112/(D112+G112))</f>
        <v>0.703071672354949</v>
      </c>
      <c r="K112" s="53" t="n">
        <f aca="false">IF(E112="","",E112/(E112+H112))</f>
        <v>0.702702702702703</v>
      </c>
      <c r="L112" s="64" t="n">
        <f aca="false">IF(OR(K112="",J112=""),"",(J112-K112)*100)</f>
        <v>0.0368969652246087</v>
      </c>
      <c r="M112" s="28" t="n">
        <v>2.42668038003648</v>
      </c>
      <c r="N112" s="28" t="n">
        <v>0.397844942258686</v>
      </c>
      <c r="O112" s="28" t="n">
        <f aca="false">SQRT(M112^2+N112^2)</f>
        <v>2.45907670985165</v>
      </c>
      <c r="P112" s="53" t="n">
        <f aca="false">IF(J112="","",MAX(0,J112-1.96*O112/100))</f>
        <v>0.654873768841856</v>
      </c>
      <c r="Q112" s="53" t="n">
        <f aca="false">IF(J112="","",MIN(1,J112+1.96*O112/100))</f>
        <v>0.751269575868041</v>
      </c>
      <c r="R112" s="25" t="str">
        <f aca="false">IF(L112="","",IF(ABS(L112)&lt;=O112,"Yes","No"))</f>
        <v>Yes</v>
      </c>
      <c r="S112" s="25" t="str">
        <f aca="false">IF(L112="","",IF(ABS(L112)&lt;=1.96*O112,"Yes","No"))</f>
        <v>Yes</v>
      </c>
      <c r="T112" s="52" t="n">
        <f aca="false">IF(D112="","",ROUND(SQRT(((D112+G112)*O112/100)^2+(J112*(D112+G112)*0.10931)^2),0))</f>
        <v>71</v>
      </c>
      <c r="U112" s="25"/>
    </row>
    <row r="113" customFormat="false" ht="15" hidden="false" customHeight="false" outlineLevel="0" collapsed="false">
      <c r="A113" s="25" t="s">
        <v>197</v>
      </c>
      <c r="B113" s="25" t="s">
        <v>260</v>
      </c>
      <c r="C113" s="25" t="s">
        <v>262</v>
      </c>
      <c r="D113" s="52" t="n">
        <v>428</v>
      </c>
      <c r="E113" s="52" t="n">
        <v>420</v>
      </c>
      <c r="F113" s="63" t="n">
        <f aca="false">IF(E113="","",D113-E113)</f>
        <v>8</v>
      </c>
      <c r="G113" s="52" t="n">
        <v>222</v>
      </c>
      <c r="H113" s="52" t="n">
        <v>214</v>
      </c>
      <c r="I113" s="63" t="n">
        <f aca="false">IF(H113="","",G113-H113)</f>
        <v>8</v>
      </c>
      <c r="J113" s="53" t="n">
        <f aca="false">IF(OR(D113="",D113+G113=0),"",D113/(D113+G113))</f>
        <v>0.658461538461538</v>
      </c>
      <c r="K113" s="53" t="n">
        <f aca="false">IF(E113="","",E113/(E113+H113))</f>
        <v>0.662460567823344</v>
      </c>
      <c r="L113" s="64" t="n">
        <f aca="false">IF(OR(K113="",J113=""),"",(J113-K113)*100)</f>
        <v>-0.399902936180541</v>
      </c>
      <c r="M113" s="28" t="n">
        <v>3.19821915242569</v>
      </c>
      <c r="N113" s="28" t="n">
        <v>0.397844942258686</v>
      </c>
      <c r="O113" s="28" t="n">
        <f aca="false">SQRT(M113^2+N113^2)</f>
        <v>3.22286927209642</v>
      </c>
      <c r="P113" s="53" t="n">
        <f aca="false">IF(J113="","",MAX(0,J113-1.96*O113/100))</f>
        <v>0.595293300728449</v>
      </c>
      <c r="Q113" s="53" t="n">
        <f aca="false">IF(J113="","",MIN(1,J113+1.96*O113/100))</f>
        <v>0.721629776194628</v>
      </c>
      <c r="R113" s="25" t="str">
        <f aca="false">IF(L113="","",IF(ABS(L113)&lt;=O113,"Yes","No"))</f>
        <v>Yes</v>
      </c>
      <c r="S113" s="25" t="str">
        <f aca="false">IF(L113="","",IF(ABS(L113)&lt;=1.96*O113,"Yes","No"))</f>
        <v>Yes</v>
      </c>
      <c r="T113" s="52" t="n">
        <f aca="false">IF(D113="","",ROUND(SQRT(((D113+G113)*O113/100)^2+(J113*(D113+G113)*0.1901)^2),0))</f>
        <v>84</v>
      </c>
      <c r="U113" s="25"/>
    </row>
    <row r="114" customFormat="false" ht="15" hidden="false" customHeight="false" outlineLevel="0" collapsed="false">
      <c r="A114" s="25" t="s">
        <v>197</v>
      </c>
      <c r="B114" s="25" t="s">
        <v>260</v>
      </c>
      <c r="C114" s="25" t="s">
        <v>263</v>
      </c>
      <c r="D114" s="52" t="n">
        <v>447</v>
      </c>
      <c r="E114" s="52" t="n">
        <v>438</v>
      </c>
      <c r="F114" s="63" t="n">
        <f aca="false">IF(E114="","",D114-E114)</f>
        <v>9</v>
      </c>
      <c r="G114" s="52" t="n">
        <v>186</v>
      </c>
      <c r="H114" s="52" t="n">
        <v>176</v>
      </c>
      <c r="I114" s="63" t="n">
        <f aca="false">IF(H114="","",G114-H114)</f>
        <v>10</v>
      </c>
      <c r="J114" s="53" t="n">
        <f aca="false">IF(OR(D114="",D114+G114=0),"",D114/(D114+G114))</f>
        <v>0.706161137440758</v>
      </c>
      <c r="K114" s="53" t="n">
        <f aca="false">IF(E114="","",E114/(E114+H114))</f>
        <v>0.713355048859935</v>
      </c>
      <c r="L114" s="64" t="n">
        <f aca="false">IF(OR(K114="",J114=""),"",(J114-K114)*100)</f>
        <v>-0.719391141917658</v>
      </c>
      <c r="M114" s="28" t="n">
        <v>3.19821915242569</v>
      </c>
      <c r="N114" s="28" t="n">
        <v>0.397844942258686</v>
      </c>
      <c r="O114" s="28" t="n">
        <f aca="false">SQRT(M114^2+N114^2)</f>
        <v>3.22286927209642</v>
      </c>
      <c r="P114" s="53" t="n">
        <f aca="false">IF(J114="","",MAX(0,J114-1.96*O114/100))</f>
        <v>0.642992899707668</v>
      </c>
      <c r="Q114" s="53" t="n">
        <f aca="false">IF(J114="","",MIN(1,J114+1.96*O114/100))</f>
        <v>0.769329375173848</v>
      </c>
      <c r="R114" s="25" t="str">
        <f aca="false">IF(L114="","",IF(ABS(L114)&lt;=O114,"Yes","No"))</f>
        <v>Yes</v>
      </c>
      <c r="S114" s="25" t="str">
        <f aca="false">IF(L114="","",IF(ABS(L114)&lt;=1.96*O114,"Yes","No"))</f>
        <v>Yes</v>
      </c>
      <c r="T114" s="52" t="n">
        <f aca="false">IF(D114="","",ROUND(SQRT(((D114+G114)*O114/100)^2+(J114*(D114+G114)*0.1901)^2),0))</f>
        <v>87</v>
      </c>
      <c r="U114" s="25"/>
    </row>
    <row r="115" customFormat="false" ht="15" hidden="false" customHeight="false" outlineLevel="0" collapsed="false">
      <c r="A115" s="25" t="s">
        <v>197</v>
      </c>
      <c r="B115" s="25" t="s">
        <v>260</v>
      </c>
      <c r="C115" s="25" t="s">
        <v>264</v>
      </c>
      <c r="D115" s="52" t="n">
        <v>469</v>
      </c>
      <c r="E115" s="52" t="n">
        <v>463</v>
      </c>
      <c r="F115" s="63" t="n">
        <f aca="false">IF(E115="","",D115-E115)</f>
        <v>6</v>
      </c>
      <c r="G115" s="52" t="n">
        <v>219</v>
      </c>
      <c r="H115" s="52" t="n">
        <v>219</v>
      </c>
      <c r="I115" s="63" t="n">
        <f aca="false">IF(H115="","",G115-H115)</f>
        <v>0</v>
      </c>
      <c r="J115" s="53" t="n">
        <f aca="false">IF(OR(D115="",D115+G115=0),"",D115/(D115+G115))</f>
        <v>0.681686046511628</v>
      </c>
      <c r="K115" s="53" t="n">
        <f aca="false">IF(E115="","",E115/(E115+H115))</f>
        <v>0.678885630498534</v>
      </c>
      <c r="L115" s="64" t="n">
        <f aca="false">IF(OR(K115="",J115=""),"",(J115-K115)*100)</f>
        <v>0.280041601309422</v>
      </c>
      <c r="M115" s="28" t="n">
        <v>3.19821915242569</v>
      </c>
      <c r="N115" s="28" t="n">
        <v>0.397844942258686</v>
      </c>
      <c r="O115" s="28" t="n">
        <f aca="false">SQRT(M115^2+N115^2)</f>
        <v>3.22286927209642</v>
      </c>
      <c r="P115" s="53" t="n">
        <f aca="false">IF(J115="","",MAX(0,J115-1.96*O115/100))</f>
        <v>0.618517808778538</v>
      </c>
      <c r="Q115" s="53" t="n">
        <f aca="false">IF(J115="","",MIN(1,J115+1.96*O115/100))</f>
        <v>0.744854284244718</v>
      </c>
      <c r="R115" s="25" t="str">
        <f aca="false">IF(L115="","",IF(ABS(L115)&lt;=O115,"Yes","No"))</f>
        <v>Yes</v>
      </c>
      <c r="S115" s="25" t="str">
        <f aca="false">IF(L115="","",IF(ABS(L115)&lt;=1.96*O115,"Yes","No"))</f>
        <v>Yes</v>
      </c>
      <c r="T115" s="52" t="n">
        <f aca="false">IF(D115="","",ROUND(SQRT(((D115+G115)*O115/100)^2+(J115*(D115+G115)*0.1901)^2),0))</f>
        <v>92</v>
      </c>
      <c r="U115" s="25"/>
    </row>
    <row r="116" customFormat="false" ht="15" hidden="false" customHeight="false" outlineLevel="0" collapsed="false">
      <c r="A116" s="25" t="s">
        <v>197</v>
      </c>
      <c r="B116" s="25" t="s">
        <v>260</v>
      </c>
      <c r="C116" s="25" t="s">
        <v>265</v>
      </c>
      <c r="D116" s="52" t="n">
        <v>800</v>
      </c>
      <c r="E116" s="52" t="n">
        <v>782</v>
      </c>
      <c r="F116" s="63" t="n">
        <f aca="false">IF(E116="","",D116-E116)</f>
        <v>18</v>
      </c>
      <c r="G116" s="52" t="n">
        <v>463</v>
      </c>
      <c r="H116" s="52" t="n">
        <v>404</v>
      </c>
      <c r="I116" s="63" t="n">
        <f aca="false">IF(H116="","",G116-H116)</f>
        <v>59</v>
      </c>
      <c r="J116" s="53" t="n">
        <f aca="false">IF(OR(D116="",D116+G116=0),"",D116/(D116+G116))</f>
        <v>0.63341250989707</v>
      </c>
      <c r="K116" s="53" t="n">
        <f aca="false">IF(E116="","",E116/(E116+H116))</f>
        <v>0.659359190556492</v>
      </c>
      <c r="L116" s="64" t="n">
        <f aca="false">IF(OR(K116="",J116=""),"",(J116-K116)*100)</f>
        <v>-2.5946680659422</v>
      </c>
      <c r="M116" s="28" t="n">
        <v>2.49017287917352</v>
      </c>
      <c r="N116" s="28" t="n">
        <v>0.397844942258686</v>
      </c>
      <c r="O116" s="28" t="n">
        <f aca="false">SQRT(M116^2+N116^2)</f>
        <v>2.52175366882892</v>
      </c>
      <c r="P116" s="53" t="n">
        <f aca="false">IF(J116="","",MAX(0,J116-1.96*O116/100))</f>
        <v>0.583986137988024</v>
      </c>
      <c r="Q116" s="53" t="n">
        <f aca="false">IF(J116="","",MIN(1,J116+1.96*O116/100))</f>
        <v>0.682838881806117</v>
      </c>
      <c r="R116" s="25" t="str">
        <f aca="false">IF(L116="","",IF(ABS(L116)&lt;=O116,"Yes","No"))</f>
        <v>No</v>
      </c>
      <c r="S116" s="25" t="str">
        <f aca="false">IF(L116="","",IF(ABS(L116)&lt;=1.96*O116,"Yes","No"))</f>
        <v>Yes</v>
      </c>
      <c r="T116" s="52" t="n">
        <f aca="false">IF(D116="","",ROUND(SQRT(((D116+G116)*O116/100)^2+(J116*(D116+G116)*0.08889)^2),0))</f>
        <v>78</v>
      </c>
      <c r="U116" s="25"/>
    </row>
    <row r="117" customFormat="false" ht="15" hidden="false" customHeight="false" outlineLevel="0" collapsed="false">
      <c r="A117" s="25" t="s">
        <v>197</v>
      </c>
      <c r="B117" s="25" t="s">
        <v>260</v>
      </c>
      <c r="C117" s="25" t="s">
        <v>266</v>
      </c>
      <c r="D117" s="52" t="n">
        <v>521</v>
      </c>
      <c r="E117" s="52" t="n">
        <v>503</v>
      </c>
      <c r="F117" s="63" t="n">
        <f aca="false">IF(E117="","",D117-E117)</f>
        <v>18</v>
      </c>
      <c r="G117" s="52" t="n">
        <v>322</v>
      </c>
      <c r="H117" s="52" t="n">
        <v>318</v>
      </c>
      <c r="I117" s="63" t="n">
        <f aca="false">IF(H117="","",G117-H117)</f>
        <v>4</v>
      </c>
      <c r="J117" s="53" t="n">
        <f aca="false">IF(OR(D117="",D117+G117=0),"",D117/(D117+G117))</f>
        <v>0.618030842230131</v>
      </c>
      <c r="K117" s="53" t="n">
        <f aca="false">IF(E117="","",E117/(E117+H117))</f>
        <v>0.612667478684531</v>
      </c>
      <c r="L117" s="64" t="n">
        <f aca="false">IF(OR(K117="",J117=""),"",(J117-K117)*100)</f>
        <v>0.536336354559941</v>
      </c>
      <c r="M117" s="28" t="n">
        <v>2.42668038003648</v>
      </c>
      <c r="N117" s="28" t="n">
        <v>0.397844942258686</v>
      </c>
      <c r="O117" s="28" t="n">
        <f aca="false">SQRT(M117^2+N117^2)</f>
        <v>2.45907670985165</v>
      </c>
      <c r="P117" s="53" t="n">
        <f aca="false">IF(J117="","",MAX(0,J117-1.96*O117/100))</f>
        <v>0.569832938717038</v>
      </c>
      <c r="Q117" s="53" t="n">
        <f aca="false">IF(J117="","",MIN(1,J117+1.96*O117/100))</f>
        <v>0.666228745743223</v>
      </c>
      <c r="R117" s="25" t="str">
        <f aca="false">IF(L117="","",IF(ABS(L117)&lt;=O117,"Yes","No"))</f>
        <v>Yes</v>
      </c>
      <c r="S117" s="25" t="str">
        <f aca="false">IF(L117="","",IF(ABS(L117)&lt;=1.96*O117,"Yes","No"))</f>
        <v>Yes</v>
      </c>
      <c r="T117" s="52" t="n">
        <f aca="false">IF(D117="","",ROUND(SQRT(((D117+G117)*O117/100)^2+(J117*(D117+G117)*0.10931)^2),0))</f>
        <v>61</v>
      </c>
      <c r="U117" s="25"/>
    </row>
    <row r="118" customFormat="false" ht="15" hidden="false" customHeight="false" outlineLevel="0" collapsed="false">
      <c r="A118" s="25" t="s">
        <v>197</v>
      </c>
      <c r="B118" s="25" t="s">
        <v>260</v>
      </c>
      <c r="C118" s="25" t="s">
        <v>267</v>
      </c>
      <c r="D118" s="52" t="n">
        <v>608</v>
      </c>
      <c r="E118" s="52" t="n">
        <v>597</v>
      </c>
      <c r="F118" s="63" t="n">
        <f aca="false">IF(E118="","",D118-E118)</f>
        <v>11</v>
      </c>
      <c r="G118" s="52" t="n">
        <v>425</v>
      </c>
      <c r="H118" s="52" t="n">
        <v>396</v>
      </c>
      <c r="I118" s="63" t="n">
        <f aca="false">IF(H118="","",G118-H118)</f>
        <v>29</v>
      </c>
      <c r="J118" s="53" t="n">
        <f aca="false">IF(OR(D118="",D118+G118=0),"",D118/(D118+G118))</f>
        <v>0.588576960309777</v>
      </c>
      <c r="K118" s="53" t="n">
        <f aca="false">IF(E118="","",E118/(E118+H118))</f>
        <v>0.601208459214502</v>
      </c>
      <c r="L118" s="64" t="n">
        <f aca="false">IF(OR(K118="",J118=""),"",(J118-K118)*100)</f>
        <v>-1.26314989047241</v>
      </c>
      <c r="M118" s="28" t="n">
        <v>2.42668038003648</v>
      </c>
      <c r="N118" s="28" t="n">
        <v>0.397844942258686</v>
      </c>
      <c r="O118" s="28" t="n">
        <f aca="false">SQRT(M118^2+N118^2)</f>
        <v>2.45907670985165</v>
      </c>
      <c r="P118" s="53" t="n">
        <f aca="false">IF(J118="","",MAX(0,J118-1.96*O118/100))</f>
        <v>0.540379056796685</v>
      </c>
      <c r="Q118" s="53" t="n">
        <f aca="false">IF(J118="","",MIN(1,J118+1.96*O118/100))</f>
        <v>0.63677486382287</v>
      </c>
      <c r="R118" s="25" t="str">
        <f aca="false">IF(L118="","",IF(ABS(L118)&lt;=O118,"Yes","No"))</f>
        <v>Yes</v>
      </c>
      <c r="S118" s="25" t="str">
        <f aca="false">IF(L118="","",IF(ABS(L118)&lt;=1.96*O118,"Yes","No"))</f>
        <v>Yes</v>
      </c>
      <c r="T118" s="52" t="n">
        <f aca="false">IF(D118="","",ROUND(SQRT(((D118+G118)*O118/100)^2+(J118*(D118+G118)*0.10931)^2),0))</f>
        <v>71</v>
      </c>
      <c r="U118" s="25"/>
    </row>
    <row r="119" customFormat="false" ht="15" hidden="false" customHeight="false" outlineLevel="0" collapsed="false">
      <c r="A119" s="25" t="s">
        <v>197</v>
      </c>
      <c r="B119" s="25" t="s">
        <v>260</v>
      </c>
      <c r="C119" s="25" t="s">
        <v>268</v>
      </c>
      <c r="D119" s="52" t="n">
        <v>667</v>
      </c>
      <c r="E119" s="52" t="n">
        <v>678</v>
      </c>
      <c r="F119" s="63" t="n">
        <f aca="false">IF(E119="","",D119-E119)</f>
        <v>-11</v>
      </c>
      <c r="G119" s="52" t="n">
        <v>440</v>
      </c>
      <c r="H119" s="52" t="n">
        <v>451</v>
      </c>
      <c r="I119" s="63" t="n">
        <f aca="false">IF(H119="","",G119-H119)</f>
        <v>-11</v>
      </c>
      <c r="J119" s="53" t="n">
        <f aca="false">IF(OR(D119="",D119+G119=0),"",D119/(D119+G119))</f>
        <v>0.60252935862692</v>
      </c>
      <c r="K119" s="53" t="n">
        <f aca="false">IF(E119="","",E119/(E119+H119))</f>
        <v>0.600531443755536</v>
      </c>
      <c r="L119" s="64" t="n">
        <f aca="false">IF(OR(K119="",J119=""),"",(J119-K119)*100)</f>
        <v>0.199791487138368</v>
      </c>
      <c r="M119" s="28" t="n">
        <v>2.42668038003648</v>
      </c>
      <c r="N119" s="28" t="n">
        <v>0.397844942258686</v>
      </c>
      <c r="O119" s="28" t="n">
        <f aca="false">SQRT(M119^2+N119^2)</f>
        <v>2.45907670985165</v>
      </c>
      <c r="P119" s="53" t="n">
        <f aca="false">IF(J119="","",MAX(0,J119-1.96*O119/100))</f>
        <v>0.554331455113827</v>
      </c>
      <c r="Q119" s="53" t="n">
        <f aca="false">IF(J119="","",MIN(1,J119+1.96*O119/100))</f>
        <v>0.650727262140012</v>
      </c>
      <c r="R119" s="25" t="str">
        <f aca="false">IF(L119="","",IF(ABS(L119)&lt;=O119,"Yes","No"))</f>
        <v>Yes</v>
      </c>
      <c r="S119" s="25" t="str">
        <f aca="false">IF(L119="","",IF(ABS(L119)&lt;=1.96*O119,"Yes","No"))</f>
        <v>Yes</v>
      </c>
      <c r="T119" s="52" t="n">
        <f aca="false">IF(D119="","",ROUND(SQRT(((D119+G119)*O119/100)^2+(J119*(D119+G119)*0.10931)^2),0))</f>
        <v>78</v>
      </c>
      <c r="U119" s="25"/>
    </row>
    <row r="120" customFormat="false" ht="15" hidden="false" customHeight="false" outlineLevel="0" collapsed="false">
      <c r="A120" s="25" t="s">
        <v>197</v>
      </c>
      <c r="B120" s="25" t="s">
        <v>260</v>
      </c>
      <c r="C120" s="25" t="s">
        <v>269</v>
      </c>
      <c r="D120" s="52" t="n">
        <v>526</v>
      </c>
      <c r="E120" s="52" t="n">
        <v>524</v>
      </c>
      <c r="F120" s="63" t="n">
        <f aca="false">IF(E120="","",D120-E120)</f>
        <v>2</v>
      </c>
      <c r="G120" s="52" t="n">
        <v>339</v>
      </c>
      <c r="H120" s="52" t="n">
        <v>327</v>
      </c>
      <c r="I120" s="63" t="n">
        <f aca="false">IF(H120="","",G120-H120)</f>
        <v>12</v>
      </c>
      <c r="J120" s="53" t="n">
        <f aca="false">IF(OR(D120="",D120+G120=0),"",D120/(D120+G120))</f>
        <v>0.608092485549133</v>
      </c>
      <c r="K120" s="53" t="n">
        <f aca="false">IF(E120="","",E120/(E120+H120))</f>
        <v>0.615746180963572</v>
      </c>
      <c r="L120" s="64" t="n">
        <f aca="false">IF(OR(K120="",J120=""),"",(J120-K120)*100)</f>
        <v>-0.765369541443928</v>
      </c>
      <c r="M120" s="28" t="n">
        <v>2.42668038003648</v>
      </c>
      <c r="N120" s="28" t="n">
        <v>0.397844942258686</v>
      </c>
      <c r="O120" s="28" t="n">
        <f aca="false">SQRT(M120^2+N120^2)</f>
        <v>2.45907670985165</v>
      </c>
      <c r="P120" s="53" t="n">
        <f aca="false">IF(J120="","",MAX(0,J120-1.96*O120/100))</f>
        <v>0.559894582036041</v>
      </c>
      <c r="Q120" s="53" t="n">
        <f aca="false">IF(J120="","",MIN(1,J120+1.96*O120/100))</f>
        <v>0.656290389062225</v>
      </c>
      <c r="R120" s="25" t="str">
        <f aca="false">IF(L120="","",IF(ABS(L120)&lt;=O120,"Yes","No"))</f>
        <v>Yes</v>
      </c>
      <c r="S120" s="25" t="str">
        <f aca="false">IF(L120="","",IF(ABS(L120)&lt;=1.96*O120,"Yes","No"))</f>
        <v>Yes</v>
      </c>
      <c r="T120" s="52" t="n">
        <f aca="false">IF(D120="","",ROUND(SQRT(((D120+G120)*O120/100)^2+(J120*(D120+G120)*0.10931)^2),0))</f>
        <v>61</v>
      </c>
      <c r="U120" s="25"/>
    </row>
    <row r="121" customFormat="false" ht="15" hidden="false" customHeight="false" outlineLevel="0" collapsed="false">
      <c r="A121" s="25" t="s">
        <v>197</v>
      </c>
      <c r="B121" s="25" t="s">
        <v>260</v>
      </c>
      <c r="C121" s="25" t="s">
        <v>270</v>
      </c>
      <c r="D121" s="52" t="n">
        <v>413</v>
      </c>
      <c r="E121" s="52" t="n">
        <v>437</v>
      </c>
      <c r="F121" s="63" t="n">
        <f aca="false">IF(E121="","",D121-E121)</f>
        <v>-24</v>
      </c>
      <c r="G121" s="52" t="n">
        <v>332</v>
      </c>
      <c r="H121" s="52" t="n">
        <v>344</v>
      </c>
      <c r="I121" s="63" t="n">
        <f aca="false">IF(H121="","",G121-H121)</f>
        <v>-12</v>
      </c>
      <c r="J121" s="53" t="n">
        <f aca="false">IF(OR(D121="",D121+G121=0),"",D121/(D121+G121))</f>
        <v>0.554362416107383</v>
      </c>
      <c r="K121" s="53" t="n">
        <f aca="false">IF(E121="","",E121/(E121+H121))</f>
        <v>0.559539052496799</v>
      </c>
      <c r="L121" s="64" t="n">
        <f aca="false">IF(OR(K121="",J121=""),"",(J121-K121)*100)</f>
        <v>-0.517663638941646</v>
      </c>
      <c r="M121" s="28" t="n">
        <v>3.19821915242569</v>
      </c>
      <c r="N121" s="28" t="n">
        <v>0.397844942258686</v>
      </c>
      <c r="O121" s="28" t="n">
        <f aca="false">SQRT(M121^2+N121^2)</f>
        <v>3.22286927209642</v>
      </c>
      <c r="P121" s="53" t="n">
        <f aca="false">IF(J121="","",MAX(0,J121-1.96*O121/100))</f>
        <v>0.491194178374293</v>
      </c>
      <c r="Q121" s="53" t="n">
        <f aca="false">IF(J121="","",MIN(1,J121+1.96*O121/100))</f>
        <v>0.617530653840473</v>
      </c>
      <c r="R121" s="25" t="str">
        <f aca="false">IF(L121="","",IF(ABS(L121)&lt;=O121,"Yes","No"))</f>
        <v>Yes</v>
      </c>
      <c r="S121" s="25" t="str">
        <f aca="false">IF(L121="","",IF(ABS(L121)&lt;=1.96*O121,"Yes","No"))</f>
        <v>Yes</v>
      </c>
      <c r="T121" s="52" t="n">
        <f aca="false">IF(D121="","",ROUND(SQRT(((D121+G121)*O121/100)^2+(J121*(D121+G121)*0.1901)^2),0))</f>
        <v>82</v>
      </c>
      <c r="U121" s="25"/>
    </row>
    <row r="122" customFormat="false" ht="15" hidden="false" customHeight="false" outlineLevel="0" collapsed="false">
      <c r="A122" s="25" t="s">
        <v>197</v>
      </c>
      <c r="B122" s="25" t="s">
        <v>260</v>
      </c>
      <c r="C122" s="25" t="s">
        <v>271</v>
      </c>
      <c r="D122" s="52" t="n">
        <v>577</v>
      </c>
      <c r="E122" s="52" t="n">
        <v>581</v>
      </c>
      <c r="F122" s="63" t="n">
        <f aca="false">IF(E122="","",D122-E122)</f>
        <v>-4</v>
      </c>
      <c r="G122" s="52" t="n">
        <v>357</v>
      </c>
      <c r="H122" s="52" t="n">
        <v>342</v>
      </c>
      <c r="I122" s="63" t="n">
        <f aca="false">IF(H122="","",G122-H122)</f>
        <v>15</v>
      </c>
      <c r="J122" s="53" t="n">
        <f aca="false">IF(OR(D122="",D122+G122=0),"",D122/(D122+G122))</f>
        <v>0.617773019271949</v>
      </c>
      <c r="K122" s="53" t="n">
        <f aca="false">IF(E122="","",E122/(E122+H122))</f>
        <v>0.629469122426869</v>
      </c>
      <c r="L122" s="64" t="n">
        <f aca="false">IF(OR(K122="",J122=""),"",(J122-K122)*100)</f>
        <v>-1.16961031549203</v>
      </c>
      <c r="M122" s="28" t="n">
        <v>2.42668038003648</v>
      </c>
      <c r="N122" s="28" t="n">
        <v>0.397844942258686</v>
      </c>
      <c r="O122" s="28" t="n">
        <f aca="false">SQRT(M122^2+N122^2)</f>
        <v>2.45907670985165</v>
      </c>
      <c r="P122" s="53" t="n">
        <f aca="false">IF(J122="","",MAX(0,J122-1.96*O122/100))</f>
        <v>0.569575115758856</v>
      </c>
      <c r="Q122" s="53" t="n">
        <f aca="false">IF(J122="","",MIN(1,J122+1.96*O122/100))</f>
        <v>0.665970922785041</v>
      </c>
      <c r="R122" s="25" t="str">
        <f aca="false">IF(L122="","",IF(ABS(L122)&lt;=O122,"Yes","No"))</f>
        <v>Yes</v>
      </c>
      <c r="S122" s="25" t="str">
        <f aca="false">IF(L122="","",IF(ABS(L122)&lt;=1.96*O122,"Yes","No"))</f>
        <v>Yes</v>
      </c>
      <c r="T122" s="52" t="n">
        <f aca="false">IF(D122="","",ROUND(SQRT(((D122+G122)*O122/100)^2+(J122*(D122+G122)*0.10931)^2),0))</f>
        <v>67</v>
      </c>
      <c r="U122" s="25"/>
    </row>
    <row r="123" customFormat="false" ht="15" hidden="false" customHeight="false" outlineLevel="0" collapsed="false">
      <c r="A123" s="25" t="s">
        <v>197</v>
      </c>
      <c r="B123" s="25" t="s">
        <v>260</v>
      </c>
      <c r="C123" s="25" t="s">
        <v>272</v>
      </c>
      <c r="D123" s="52" t="n">
        <v>599</v>
      </c>
      <c r="E123" s="52" t="n">
        <v>591</v>
      </c>
      <c r="F123" s="63" t="n">
        <f aca="false">IF(E123="","",D123-E123)</f>
        <v>8</v>
      </c>
      <c r="G123" s="52" t="n">
        <v>410</v>
      </c>
      <c r="H123" s="52" t="n">
        <v>390</v>
      </c>
      <c r="I123" s="63" t="n">
        <f aca="false">IF(H123="","",G123-H123)</f>
        <v>20</v>
      </c>
      <c r="J123" s="53" t="n">
        <f aca="false">IF(OR(D123="",D123+G123=0),"",D123/(D123+G123))</f>
        <v>0.593657086223984</v>
      </c>
      <c r="K123" s="53" t="n">
        <f aca="false">IF(E123="","",E123/(E123+H123))</f>
        <v>0.602446483180428</v>
      </c>
      <c r="L123" s="64" t="n">
        <f aca="false">IF(OR(K123="",J123=""),"",(J123-K123)*100)</f>
        <v>-0.878939695644398</v>
      </c>
      <c r="M123" s="28" t="n">
        <v>2.42668038003648</v>
      </c>
      <c r="N123" s="28" t="n">
        <v>0.397844942258686</v>
      </c>
      <c r="O123" s="28" t="n">
        <f aca="false">SQRT(M123^2+N123^2)</f>
        <v>2.45907670985165</v>
      </c>
      <c r="P123" s="53" t="n">
        <f aca="false">IF(J123="","",MAX(0,J123-1.96*O123/100))</f>
        <v>0.545459182710892</v>
      </c>
      <c r="Q123" s="53" t="n">
        <f aca="false">IF(J123="","",MIN(1,J123+1.96*O123/100))</f>
        <v>0.641854989737077</v>
      </c>
      <c r="R123" s="25" t="str">
        <f aca="false">IF(L123="","",IF(ABS(L123)&lt;=O123,"Yes","No"))</f>
        <v>Yes</v>
      </c>
      <c r="S123" s="25" t="str">
        <f aca="false">IF(L123="","",IF(ABS(L123)&lt;=1.96*O123,"Yes","No"))</f>
        <v>Yes</v>
      </c>
      <c r="T123" s="52" t="n">
        <f aca="false">IF(D123="","",ROUND(SQRT(((D123+G123)*O123/100)^2+(J123*(D123+G123)*0.10931)^2),0))</f>
        <v>70</v>
      </c>
      <c r="U123" s="25"/>
    </row>
    <row r="124" customFormat="false" ht="15" hidden="false" customHeight="false" outlineLevel="0" collapsed="false">
      <c r="A124" s="25" t="s">
        <v>197</v>
      </c>
      <c r="B124" s="25" t="s">
        <v>273</v>
      </c>
      <c r="C124" s="25" t="s">
        <v>274</v>
      </c>
      <c r="D124" s="52" t="n">
        <v>538</v>
      </c>
      <c r="E124" s="52" t="n">
        <v>557</v>
      </c>
      <c r="F124" s="63" t="n">
        <f aca="false">IF(E124="","",D124-E124)</f>
        <v>-19</v>
      </c>
      <c r="G124" s="52" t="n">
        <v>423</v>
      </c>
      <c r="H124" s="52" t="n">
        <v>454</v>
      </c>
      <c r="I124" s="63" t="n">
        <f aca="false">IF(H124="","",G124-H124)</f>
        <v>-31</v>
      </c>
      <c r="J124" s="53" t="n">
        <f aca="false">IF(OR(D124="",D124+G124=0),"",D124/(D124+G124))</f>
        <v>0.559833506763788</v>
      </c>
      <c r="K124" s="53" t="n">
        <f aca="false">IF(E124="","",E124/(E124+H124))</f>
        <v>0.550939663699308</v>
      </c>
      <c r="L124" s="64" t="n">
        <f aca="false">IF(OR(K124="",J124=""),"",(J124-K124)*100)</f>
        <v>0.889384306448016</v>
      </c>
      <c r="M124" s="28" t="n">
        <v>2.42668038003648</v>
      </c>
      <c r="N124" s="28" t="n">
        <v>0.397844942258686</v>
      </c>
      <c r="O124" s="28" t="n">
        <f aca="false">SQRT(M124^2+N124^2)</f>
        <v>2.45907670985165</v>
      </c>
      <c r="P124" s="53" t="n">
        <f aca="false">IF(J124="","",MAX(0,J124-1.96*O124/100))</f>
        <v>0.511635603250695</v>
      </c>
      <c r="Q124" s="53" t="n">
        <f aca="false">IF(J124="","",MIN(1,J124+1.96*O124/100))</f>
        <v>0.60803141027688</v>
      </c>
      <c r="R124" s="25" t="str">
        <f aca="false">IF(L124="","",IF(ABS(L124)&lt;=O124,"Yes","No"))</f>
        <v>Yes</v>
      </c>
      <c r="S124" s="25" t="str">
        <f aca="false">IF(L124="","",IF(ABS(L124)&lt;=1.96*O124,"Yes","No"))</f>
        <v>Yes</v>
      </c>
      <c r="T124" s="52" t="n">
        <f aca="false">IF(D124="","",ROUND(SQRT(((D124+G124)*O124/100)^2+(J124*(D124+G124)*0.10931)^2),0))</f>
        <v>63</v>
      </c>
      <c r="U124" s="25"/>
    </row>
    <row r="125" customFormat="false" ht="15" hidden="false" customHeight="false" outlineLevel="0" collapsed="false">
      <c r="A125" s="25" t="s">
        <v>197</v>
      </c>
      <c r="B125" s="25" t="s">
        <v>273</v>
      </c>
      <c r="C125" s="25" t="s">
        <v>275</v>
      </c>
      <c r="D125" s="52" t="n">
        <v>512</v>
      </c>
      <c r="E125" s="52" t="n">
        <v>467</v>
      </c>
      <c r="F125" s="63" t="n">
        <f aca="false">IF(E125="","",D125-E125)</f>
        <v>45</v>
      </c>
      <c r="G125" s="52" t="n">
        <v>539</v>
      </c>
      <c r="H125" s="52" t="n">
        <v>513</v>
      </c>
      <c r="I125" s="63" t="n">
        <f aca="false">IF(H125="","",G125-H125)</f>
        <v>26</v>
      </c>
      <c r="J125" s="53" t="n">
        <f aca="false">IF(OR(D125="",D125+G125=0),"",D125/(D125+G125))</f>
        <v>0.487155090390105</v>
      </c>
      <c r="K125" s="53" t="n">
        <f aca="false">IF(E125="","",E125/(E125+H125))</f>
        <v>0.476530612244898</v>
      </c>
      <c r="L125" s="64" t="n">
        <f aca="false">IF(OR(K125="",J125=""),"",(J125-K125)*100)</f>
        <v>1.06244781452067</v>
      </c>
      <c r="M125" s="28" t="n">
        <v>2.42668038003648</v>
      </c>
      <c r="N125" s="28" t="n">
        <v>0.397844942258686</v>
      </c>
      <c r="O125" s="28" t="n">
        <f aca="false">SQRT(M125^2+N125^2)</f>
        <v>2.45907670985165</v>
      </c>
      <c r="P125" s="53" t="n">
        <f aca="false">IF(J125="","",MAX(0,J125-1.96*O125/100))</f>
        <v>0.438957186877012</v>
      </c>
      <c r="Q125" s="53" t="n">
        <f aca="false">IF(J125="","",MIN(1,J125+1.96*O125/100))</f>
        <v>0.535352993903197</v>
      </c>
      <c r="R125" s="25" t="str">
        <f aca="false">IF(L125="","",IF(ABS(L125)&lt;=O125,"Yes","No"))</f>
        <v>Yes</v>
      </c>
      <c r="S125" s="25" t="str">
        <f aca="false">IF(L125="","",IF(ABS(L125)&lt;=1.96*O125,"Yes","No"))</f>
        <v>Yes</v>
      </c>
      <c r="T125" s="52" t="n">
        <f aca="false">IF(D125="","",ROUND(SQRT(((D125+G125)*O125/100)^2+(J125*(D125+G125)*0.10931)^2),0))</f>
        <v>62</v>
      </c>
      <c r="U125" s="25"/>
    </row>
    <row r="126" customFormat="false" ht="15" hidden="false" customHeight="false" outlineLevel="0" collapsed="false">
      <c r="A126" s="25" t="s">
        <v>197</v>
      </c>
      <c r="B126" s="25" t="s">
        <v>273</v>
      </c>
      <c r="C126" s="25" t="s">
        <v>276</v>
      </c>
      <c r="D126" s="52" t="n">
        <v>551</v>
      </c>
      <c r="E126" s="52" t="n">
        <v>536</v>
      </c>
      <c r="F126" s="63" t="n">
        <f aca="false">IF(E126="","",D126-E126)</f>
        <v>15</v>
      </c>
      <c r="G126" s="52" t="n">
        <v>528</v>
      </c>
      <c r="H126" s="52" t="n">
        <v>524</v>
      </c>
      <c r="I126" s="63" t="n">
        <f aca="false">IF(H126="","",G126-H126)</f>
        <v>4</v>
      </c>
      <c r="J126" s="53" t="n">
        <f aca="false">IF(OR(D126="",D126+G126=0),"",D126/(D126+G126))</f>
        <v>0.510658016682113</v>
      </c>
      <c r="K126" s="53" t="n">
        <f aca="false">IF(E126="","",E126/(E126+H126))</f>
        <v>0.505660377358491</v>
      </c>
      <c r="L126" s="64" t="n">
        <f aca="false">IF(OR(K126="",J126=""),"",(J126-K126)*100)</f>
        <v>0.499763932362252</v>
      </c>
      <c r="M126" s="28" t="n">
        <v>2.42668038003648</v>
      </c>
      <c r="N126" s="28" t="n">
        <v>0.397844942258686</v>
      </c>
      <c r="O126" s="28" t="n">
        <f aca="false">SQRT(M126^2+N126^2)</f>
        <v>2.45907670985165</v>
      </c>
      <c r="P126" s="53" t="n">
        <f aca="false">IF(J126="","",MAX(0,J126-1.96*O126/100))</f>
        <v>0.462460113169021</v>
      </c>
      <c r="Q126" s="53" t="n">
        <f aca="false">IF(J126="","",MIN(1,J126+1.96*O126/100))</f>
        <v>0.558855920195206</v>
      </c>
      <c r="R126" s="25" t="str">
        <f aca="false">IF(L126="","",IF(ABS(L126)&lt;=O126,"Yes","No"))</f>
        <v>Yes</v>
      </c>
      <c r="S126" s="25" t="str">
        <f aca="false">IF(L126="","",IF(ABS(L126)&lt;=1.96*O126,"Yes","No"))</f>
        <v>Yes</v>
      </c>
      <c r="T126" s="52" t="n">
        <f aca="false">IF(D126="","",ROUND(SQRT(((D126+G126)*O126/100)^2+(J126*(D126+G126)*0.10931)^2),0))</f>
        <v>66</v>
      </c>
      <c r="U126" s="25"/>
    </row>
    <row r="127" customFormat="false" ht="15" hidden="false" customHeight="false" outlineLevel="0" collapsed="false">
      <c r="A127" s="25" t="s">
        <v>197</v>
      </c>
      <c r="B127" s="25" t="s">
        <v>277</v>
      </c>
      <c r="C127" s="25" t="s">
        <v>277</v>
      </c>
      <c r="D127" s="52" t="n">
        <v>763</v>
      </c>
      <c r="E127" s="52" t="n">
        <v>735</v>
      </c>
      <c r="F127" s="63" t="n">
        <f aca="false">IF(E127="","",D127-E127)</f>
        <v>28</v>
      </c>
      <c r="G127" s="52" t="n">
        <v>809</v>
      </c>
      <c r="H127" s="52" t="n">
        <v>804</v>
      </c>
      <c r="I127" s="63" t="n">
        <f aca="false">IF(H127="","",G127-H127)</f>
        <v>5</v>
      </c>
      <c r="J127" s="53" t="n">
        <f aca="false">IF(OR(D127="",D127+G127=0),"",D127/(D127+G127))</f>
        <v>0.485368956743003</v>
      </c>
      <c r="K127" s="53" t="n">
        <f aca="false">IF(E127="","",E127/(E127+H127))</f>
        <v>0.477582846003899</v>
      </c>
      <c r="L127" s="64" t="n">
        <f aca="false">IF(OR(K127="",J127=""),"",(J127-K127)*100)</f>
        <v>0.778611073910396</v>
      </c>
      <c r="M127" s="28" t="n">
        <v>2.49017287917352</v>
      </c>
      <c r="N127" s="28" t="n">
        <v>0.397844942258686</v>
      </c>
      <c r="O127" s="28" t="n">
        <f aca="false">SQRT(M127^2+N127^2)</f>
        <v>2.52175366882892</v>
      </c>
      <c r="P127" s="53" t="n">
        <f aca="false">IF(J127="","",MAX(0,J127-1.96*O127/100))</f>
        <v>0.435942584833956</v>
      </c>
      <c r="Q127" s="53" t="n">
        <f aca="false">IF(J127="","",MIN(1,J127+1.96*O127/100))</f>
        <v>0.53479532865205</v>
      </c>
      <c r="R127" s="25" t="str">
        <f aca="false">IF(L127="","",IF(ABS(L127)&lt;=O127,"Yes","No"))</f>
        <v>Yes</v>
      </c>
      <c r="S127" s="25" t="str">
        <f aca="false">IF(L127="","",IF(ABS(L127)&lt;=1.96*O127,"Yes","No"))</f>
        <v>Yes</v>
      </c>
      <c r="T127" s="52" t="n">
        <f aca="false">IF(D127="","",ROUND(SQRT(((D127+G127)*O127/100)^2+(J127*(D127+G127)*0.08889)^2),0))</f>
        <v>79</v>
      </c>
      <c r="U127" s="25"/>
    </row>
    <row r="128" customFormat="false" ht="15" hidden="false" customHeight="false" outlineLevel="0" collapsed="false">
      <c r="A128" s="25" t="s">
        <v>197</v>
      </c>
      <c r="B128" s="25" t="s">
        <v>278</v>
      </c>
      <c r="C128" s="25" t="s">
        <v>279</v>
      </c>
      <c r="D128" s="52" t="n">
        <v>407</v>
      </c>
      <c r="E128" s="52" t="n">
        <v>372</v>
      </c>
      <c r="F128" s="63" t="n">
        <f aca="false">IF(E128="","",D128-E128)</f>
        <v>35</v>
      </c>
      <c r="G128" s="52" t="n">
        <v>400</v>
      </c>
      <c r="H128" s="52" t="n">
        <v>383</v>
      </c>
      <c r="I128" s="63" t="n">
        <f aca="false">IF(H128="","",G128-H128)</f>
        <v>17</v>
      </c>
      <c r="J128" s="53" t="n">
        <f aca="false">IF(OR(D128="",D128+G128=0),"",D128/(D128+G128))</f>
        <v>0.504337050805452</v>
      </c>
      <c r="K128" s="53" t="n">
        <f aca="false">IF(E128="","",E128/(E128+H128))</f>
        <v>0.492715231788079</v>
      </c>
      <c r="L128" s="64" t="n">
        <f aca="false">IF(OR(K128="",J128=""),"",(J128-K128)*100)</f>
        <v>1.16218190173729</v>
      </c>
      <c r="M128" s="28" t="n">
        <v>2.42668038003648</v>
      </c>
      <c r="N128" s="28" t="n">
        <v>0.397844942258686</v>
      </c>
      <c r="O128" s="28" t="n">
        <f aca="false">SQRT(M128^2+N128^2)</f>
        <v>2.45907670985165</v>
      </c>
      <c r="P128" s="53" t="n">
        <f aca="false">IF(J128="","",MAX(0,J128-1.96*O128/100))</f>
        <v>0.45613914729236</v>
      </c>
      <c r="Q128" s="53" t="n">
        <f aca="false">IF(J128="","",MIN(1,J128+1.96*O128/100))</f>
        <v>0.552534954318545</v>
      </c>
      <c r="R128" s="25" t="str">
        <f aca="false">IF(L128="","",IF(ABS(L128)&lt;=O128,"Yes","No"))</f>
        <v>Yes</v>
      </c>
      <c r="S128" s="25" t="str">
        <f aca="false">IF(L128="","",IF(ABS(L128)&lt;=1.96*O128,"Yes","No"))</f>
        <v>Yes</v>
      </c>
      <c r="T128" s="52" t="n">
        <f aca="false">IF(D128="","",ROUND(SQRT(((D128+G128)*O128/100)^2+(J128*(D128+G128)*0.10931)^2),0))</f>
        <v>49</v>
      </c>
      <c r="U128" s="25"/>
    </row>
    <row r="129" customFormat="false" ht="15" hidden="false" customHeight="false" outlineLevel="0" collapsed="false">
      <c r="A129" s="25" t="s">
        <v>197</v>
      </c>
      <c r="B129" s="25" t="s">
        <v>278</v>
      </c>
      <c r="C129" s="25" t="s">
        <v>280</v>
      </c>
      <c r="D129" s="52" t="n">
        <v>540</v>
      </c>
      <c r="E129" s="52" t="n">
        <v>527</v>
      </c>
      <c r="F129" s="63" t="n">
        <f aca="false">IF(E129="","",D129-E129)</f>
        <v>13</v>
      </c>
      <c r="G129" s="52" t="n">
        <v>491</v>
      </c>
      <c r="H129" s="52" t="n">
        <v>515</v>
      </c>
      <c r="I129" s="63" t="n">
        <f aca="false">IF(H129="","",G129-H129)</f>
        <v>-24</v>
      </c>
      <c r="J129" s="53" t="n">
        <f aca="false">IF(OR(D129="",D129+G129=0),"",D129/(D129+G129))</f>
        <v>0.52376333656644</v>
      </c>
      <c r="K129" s="53" t="n">
        <f aca="false">IF(E129="","",E129/(E129+H129))</f>
        <v>0.505758157389635</v>
      </c>
      <c r="L129" s="64" t="n">
        <f aca="false">IF(OR(K129="",J129=""),"",(J129-K129)*100)</f>
        <v>1.8005179176805</v>
      </c>
      <c r="M129" s="28" t="n">
        <v>2.42668038003648</v>
      </c>
      <c r="N129" s="28" t="n">
        <v>0.397844942258686</v>
      </c>
      <c r="O129" s="28" t="n">
        <f aca="false">SQRT(M129^2+N129^2)</f>
        <v>2.45907670985165</v>
      </c>
      <c r="P129" s="53" t="n">
        <f aca="false">IF(J129="","",MAX(0,J129-1.96*O129/100))</f>
        <v>0.475565433053348</v>
      </c>
      <c r="Q129" s="53" t="n">
        <f aca="false">IF(J129="","",MIN(1,J129+1.96*O129/100))</f>
        <v>0.571961240079533</v>
      </c>
      <c r="R129" s="25" t="str">
        <f aca="false">IF(L129="","",IF(ABS(L129)&lt;=O129,"Yes","No"))</f>
        <v>Yes</v>
      </c>
      <c r="S129" s="25" t="str">
        <f aca="false">IF(L129="","",IF(ABS(L129)&lt;=1.96*O129,"Yes","No"))</f>
        <v>Yes</v>
      </c>
      <c r="T129" s="52" t="n">
        <f aca="false">IF(D129="","",ROUND(SQRT(((D129+G129)*O129/100)^2+(J129*(D129+G129)*0.10931)^2),0))</f>
        <v>64</v>
      </c>
      <c r="U129" s="25"/>
    </row>
    <row r="130" customFormat="false" ht="15" hidden="false" customHeight="false" outlineLevel="0" collapsed="false">
      <c r="A130" s="25" t="s">
        <v>197</v>
      </c>
      <c r="B130" s="25" t="s">
        <v>281</v>
      </c>
      <c r="C130" s="25" t="s">
        <v>282</v>
      </c>
      <c r="D130" s="52" t="n">
        <v>571</v>
      </c>
      <c r="E130" s="52" t="n">
        <v>562</v>
      </c>
      <c r="F130" s="63" t="n">
        <f aca="false">IF(E130="","",D130-E130)</f>
        <v>9</v>
      </c>
      <c r="G130" s="52" t="n">
        <v>479</v>
      </c>
      <c r="H130" s="52" t="n">
        <v>497</v>
      </c>
      <c r="I130" s="63" t="n">
        <f aca="false">IF(H130="","",G130-H130)</f>
        <v>-18</v>
      </c>
      <c r="J130" s="53" t="n">
        <f aca="false">IF(OR(D130="",D130+G130=0),"",D130/(D130+G130))</f>
        <v>0.543809523809524</v>
      </c>
      <c r="K130" s="53" t="n">
        <f aca="false">IF(E130="","",E130/(E130+H130))</f>
        <v>0.530689329556185</v>
      </c>
      <c r="L130" s="64" t="n">
        <f aca="false">IF(OR(K130="",J130=""),"",(J130-K130)*100)</f>
        <v>1.31201942533388</v>
      </c>
      <c r="M130" s="28" t="n">
        <v>2.42668038003648</v>
      </c>
      <c r="N130" s="28" t="n">
        <v>0.397844942258686</v>
      </c>
      <c r="O130" s="28" t="n">
        <f aca="false">SQRT(M130^2+N130^2)</f>
        <v>2.45907670985165</v>
      </c>
      <c r="P130" s="53" t="n">
        <f aca="false">IF(J130="","",MAX(0,J130-1.96*O130/100))</f>
        <v>0.495611620296431</v>
      </c>
      <c r="Q130" s="53" t="n">
        <f aca="false">IF(J130="","",MIN(1,J130+1.96*O130/100))</f>
        <v>0.592007427322616</v>
      </c>
      <c r="R130" s="25" t="str">
        <f aca="false">IF(L130="","",IF(ABS(L130)&lt;=O130,"Yes","No"))</f>
        <v>Yes</v>
      </c>
      <c r="S130" s="25" t="str">
        <f aca="false">IF(L130="","",IF(ABS(L130)&lt;=1.96*O130,"Yes","No"))</f>
        <v>Yes</v>
      </c>
      <c r="T130" s="52" t="n">
        <f aca="false">IF(D130="","",ROUND(SQRT(((D130+G130)*O130/100)^2+(J130*(D130+G130)*0.10931)^2),0))</f>
        <v>68</v>
      </c>
      <c r="U130" s="25"/>
    </row>
    <row r="131" customFormat="false" ht="15" hidden="false" customHeight="false" outlineLevel="0" collapsed="false">
      <c r="A131" s="25" t="s">
        <v>197</v>
      </c>
      <c r="B131" s="25" t="s">
        <v>281</v>
      </c>
      <c r="C131" s="25" t="s">
        <v>283</v>
      </c>
      <c r="D131" s="52" t="n">
        <v>569</v>
      </c>
      <c r="E131" s="52" t="n">
        <v>566</v>
      </c>
      <c r="F131" s="63" t="n">
        <f aca="false">IF(E131="","",D131-E131)</f>
        <v>3</v>
      </c>
      <c r="G131" s="52" t="n">
        <v>510</v>
      </c>
      <c r="H131" s="52" t="n">
        <v>509</v>
      </c>
      <c r="I131" s="63" t="n">
        <f aca="false">IF(H131="","",G131-H131)</f>
        <v>1</v>
      </c>
      <c r="J131" s="53" t="n">
        <f aca="false">IF(OR(D131="",D131+G131=0),"",D131/(D131+G131))</f>
        <v>0.527340129749768</v>
      </c>
      <c r="K131" s="53" t="n">
        <f aca="false">IF(E131="","",E131/(E131+H131))</f>
        <v>0.526511627906977</v>
      </c>
      <c r="L131" s="64" t="n">
        <f aca="false">IF(OR(K131="",J131=""),"",(J131-K131)*100)</f>
        <v>0.0828501842791596</v>
      </c>
      <c r="M131" s="28" t="n">
        <v>2.42668038003648</v>
      </c>
      <c r="N131" s="28" t="n">
        <v>0.397844942258686</v>
      </c>
      <c r="O131" s="28" t="n">
        <f aca="false">SQRT(M131^2+N131^2)</f>
        <v>2.45907670985165</v>
      </c>
      <c r="P131" s="53" t="n">
        <f aca="false">IF(J131="","",MAX(0,J131-1.96*O131/100))</f>
        <v>0.479142226236676</v>
      </c>
      <c r="Q131" s="53" t="n">
        <f aca="false">IF(J131="","",MIN(1,J131+1.96*O131/100))</f>
        <v>0.575538033262861</v>
      </c>
      <c r="R131" s="25" t="str">
        <f aca="false">IF(L131="","",IF(ABS(L131)&lt;=O131,"Yes","No"))</f>
        <v>Yes</v>
      </c>
      <c r="S131" s="25" t="str">
        <f aca="false">IF(L131="","",IF(ABS(L131)&lt;=1.96*O131,"Yes","No"))</f>
        <v>Yes</v>
      </c>
      <c r="T131" s="52" t="n">
        <f aca="false">IF(D131="","",ROUND(SQRT(((D131+G131)*O131/100)^2+(J131*(D131+G131)*0.10931)^2),0))</f>
        <v>68</v>
      </c>
      <c r="U131" s="25"/>
    </row>
    <row r="132" customFormat="false" ht="15" hidden="false" customHeight="false" outlineLevel="0" collapsed="false">
      <c r="A132" s="25" t="s">
        <v>197</v>
      </c>
      <c r="B132" s="25" t="s">
        <v>281</v>
      </c>
      <c r="C132" s="25" t="s">
        <v>284</v>
      </c>
      <c r="D132" s="52" t="n">
        <v>803</v>
      </c>
      <c r="E132" s="52" t="n">
        <v>826</v>
      </c>
      <c r="F132" s="63" t="n">
        <f aca="false">IF(E132="","",D132-E132)</f>
        <v>-23</v>
      </c>
      <c r="G132" s="52" t="n">
        <v>795</v>
      </c>
      <c r="H132" s="52" t="n">
        <v>801</v>
      </c>
      <c r="I132" s="63" t="n">
        <f aca="false">IF(H132="","",G132-H132)</f>
        <v>-6</v>
      </c>
      <c r="J132" s="53" t="n">
        <f aca="false">IF(OR(D132="",D132+G132=0),"",D132/(D132+G132))</f>
        <v>0.502503128911139</v>
      </c>
      <c r="K132" s="53" t="n">
        <f aca="false">IF(E132="","",E132/(E132+H132))</f>
        <v>0.507682851874616</v>
      </c>
      <c r="L132" s="64" t="n">
        <f aca="false">IF(OR(K132="",J132=""),"",(J132-K132)*100)</f>
        <v>-0.517972296347691</v>
      </c>
      <c r="M132" s="28" t="n">
        <v>2.49017287917352</v>
      </c>
      <c r="N132" s="28" t="n">
        <v>0.397844942258686</v>
      </c>
      <c r="O132" s="28" t="n">
        <f aca="false">SQRT(M132^2+N132^2)</f>
        <v>2.52175366882892</v>
      </c>
      <c r="P132" s="53" t="n">
        <f aca="false">IF(J132="","",MAX(0,J132-1.96*O132/100))</f>
        <v>0.453076757002092</v>
      </c>
      <c r="Q132" s="53" t="n">
        <f aca="false">IF(J132="","",MIN(1,J132+1.96*O132/100))</f>
        <v>0.551929500820186</v>
      </c>
      <c r="R132" s="25" t="str">
        <f aca="false">IF(L132="","",IF(ABS(L132)&lt;=O132,"Yes","No"))</f>
        <v>Yes</v>
      </c>
      <c r="S132" s="25" t="str">
        <f aca="false">IF(L132="","",IF(ABS(L132)&lt;=1.96*O132,"Yes","No"))</f>
        <v>Yes</v>
      </c>
      <c r="T132" s="52" t="n">
        <f aca="false">IF(D132="","",ROUND(SQRT(((D132+G132)*O132/100)^2+(J132*(D132+G132)*0.08889)^2),0))</f>
        <v>82</v>
      </c>
      <c r="U132" s="25"/>
    </row>
    <row r="133" customFormat="false" ht="15" hidden="false" customHeight="false" outlineLevel="0" collapsed="false">
      <c r="A133" s="25" t="s">
        <v>197</v>
      </c>
      <c r="B133" s="25" t="s">
        <v>281</v>
      </c>
      <c r="C133" s="25" t="s">
        <v>285</v>
      </c>
      <c r="D133" s="52" t="n">
        <v>696</v>
      </c>
      <c r="E133" s="52" t="n">
        <v>686</v>
      </c>
      <c r="F133" s="63" t="n">
        <f aca="false">IF(E133="","",D133-E133)</f>
        <v>10</v>
      </c>
      <c r="G133" s="52" t="n">
        <v>560</v>
      </c>
      <c r="H133" s="52" t="n">
        <v>580</v>
      </c>
      <c r="I133" s="63" t="n">
        <f aca="false">IF(H133="","",G133-H133)</f>
        <v>-20</v>
      </c>
      <c r="J133" s="53" t="n">
        <f aca="false">IF(OR(D133="",D133+G133=0),"",D133/(D133+G133))</f>
        <v>0.554140127388535</v>
      </c>
      <c r="K133" s="53" t="n">
        <f aca="false">IF(E133="","",E133/(E133+H133))</f>
        <v>0.541864139020537</v>
      </c>
      <c r="L133" s="64" t="n">
        <f aca="false">IF(OR(K133="",J133=""),"",(J133-K133)*100)</f>
        <v>1.22759883679979</v>
      </c>
      <c r="M133" s="28" t="n">
        <v>2.49017287917352</v>
      </c>
      <c r="N133" s="28" t="n">
        <v>0.397844942258686</v>
      </c>
      <c r="O133" s="28" t="n">
        <f aca="false">SQRT(M133^2+N133^2)</f>
        <v>2.52175366882892</v>
      </c>
      <c r="P133" s="53" t="n">
        <f aca="false">IF(J133="","",MAX(0,J133-1.96*O133/100))</f>
        <v>0.504713755479488</v>
      </c>
      <c r="Q133" s="53" t="n">
        <f aca="false">IF(J133="","",MIN(1,J133+1.96*O133/100))</f>
        <v>0.603566499297582</v>
      </c>
      <c r="R133" s="25" t="str">
        <f aca="false">IF(L133="","",IF(ABS(L133)&lt;=O133,"Yes","No"))</f>
        <v>Yes</v>
      </c>
      <c r="S133" s="25" t="str">
        <f aca="false">IF(L133="","",IF(ABS(L133)&lt;=1.96*O133,"Yes","No"))</f>
        <v>Yes</v>
      </c>
      <c r="T133" s="52" t="n">
        <f aca="false">IF(D133="","",ROUND(SQRT(((D133+G133)*O133/100)^2+(J133*(D133+G133)*0.08889)^2),0))</f>
        <v>70</v>
      </c>
      <c r="U133" s="25"/>
    </row>
    <row r="134" customFormat="false" ht="15" hidden="false" customHeight="false" outlineLevel="0" collapsed="false">
      <c r="A134" s="25" t="s">
        <v>197</v>
      </c>
      <c r="B134" s="25" t="s">
        <v>281</v>
      </c>
      <c r="C134" s="25" t="s">
        <v>286</v>
      </c>
      <c r="D134" s="52" t="n">
        <v>347</v>
      </c>
      <c r="E134" s="52" t="n">
        <v>332</v>
      </c>
      <c r="F134" s="63" t="n">
        <f aca="false">IF(E134="","",D134-E134)</f>
        <v>15</v>
      </c>
      <c r="G134" s="52" t="n">
        <v>333</v>
      </c>
      <c r="H134" s="52" t="n">
        <v>340</v>
      </c>
      <c r="I134" s="63" t="n">
        <f aca="false">IF(H134="","",G134-H134)</f>
        <v>-7</v>
      </c>
      <c r="J134" s="53" t="n">
        <f aca="false">IF(OR(D134="",D134+G134=0),"",D134/(D134+G134))</f>
        <v>0.510294117647059</v>
      </c>
      <c r="K134" s="53" t="n">
        <f aca="false">IF(E134="","",E134/(E134+H134))</f>
        <v>0.494047619047619</v>
      </c>
      <c r="L134" s="64" t="n">
        <f aca="false">IF(OR(K134="",J134=""),"",(J134-K134)*100)</f>
        <v>1.62464985994397</v>
      </c>
      <c r="M134" s="28" t="n">
        <v>3.19821915242569</v>
      </c>
      <c r="N134" s="28" t="n">
        <v>0.397844942258686</v>
      </c>
      <c r="O134" s="28" t="n">
        <f aca="false">SQRT(M134^2+N134^2)</f>
        <v>3.22286927209642</v>
      </c>
      <c r="P134" s="53" t="n">
        <f aca="false">IF(J134="","",MAX(0,J134-1.96*O134/100))</f>
        <v>0.447125879913969</v>
      </c>
      <c r="Q134" s="53" t="n">
        <f aca="false">IF(J134="","",MIN(1,J134+1.96*O134/100))</f>
        <v>0.573462355380149</v>
      </c>
      <c r="R134" s="25" t="str">
        <f aca="false">IF(L134="","",IF(ABS(L134)&lt;=O134,"Yes","No"))</f>
        <v>Yes</v>
      </c>
      <c r="S134" s="25" t="str">
        <f aca="false">IF(L134="","",IF(ABS(L134)&lt;=1.96*O134,"Yes","No"))</f>
        <v>Yes</v>
      </c>
      <c r="T134" s="52" t="n">
        <f aca="false">IF(D134="","",ROUND(SQRT(((D134+G134)*O134/100)^2+(J134*(D134+G134)*0.1901)^2),0))</f>
        <v>70</v>
      </c>
      <c r="U134" s="25"/>
    </row>
    <row r="135" customFormat="false" ht="15" hidden="false" customHeight="false" outlineLevel="0" collapsed="false">
      <c r="A135" s="25" t="s">
        <v>197</v>
      </c>
      <c r="B135" s="25" t="s">
        <v>281</v>
      </c>
      <c r="C135" s="25" t="s">
        <v>287</v>
      </c>
      <c r="D135" s="52" t="n">
        <v>658</v>
      </c>
      <c r="E135" s="52" t="n">
        <v>691</v>
      </c>
      <c r="F135" s="63" t="n">
        <f aca="false">IF(E135="","",D135-E135)</f>
        <v>-33</v>
      </c>
      <c r="G135" s="52" t="n">
        <v>541</v>
      </c>
      <c r="H135" s="52" t="n">
        <v>509</v>
      </c>
      <c r="I135" s="63" t="n">
        <f aca="false">IF(H135="","",G135-H135)</f>
        <v>32</v>
      </c>
      <c r="J135" s="53" t="n">
        <f aca="false">IF(OR(D135="",D135+G135=0),"",D135/(D135+G135))</f>
        <v>0.548790658882402</v>
      </c>
      <c r="K135" s="53" t="n">
        <f aca="false">IF(E135="","",E135/(E135+H135))</f>
        <v>0.575833333333333</v>
      </c>
      <c r="L135" s="64" t="n">
        <f aca="false">IF(OR(K135="",J135=""),"",(J135-K135)*100)</f>
        <v>-2.70426744509313</v>
      </c>
      <c r="M135" s="28" t="n">
        <v>2.49017287917352</v>
      </c>
      <c r="N135" s="28" t="n">
        <v>0.397844942258686</v>
      </c>
      <c r="O135" s="28" t="n">
        <f aca="false">SQRT(M135^2+N135^2)</f>
        <v>2.52175366882892</v>
      </c>
      <c r="P135" s="53" t="n">
        <f aca="false">IF(J135="","",MAX(0,J135-1.96*O135/100))</f>
        <v>0.499364286973355</v>
      </c>
      <c r="Q135" s="53" t="n">
        <f aca="false">IF(J135="","",MIN(1,J135+1.96*O135/100))</f>
        <v>0.598217030791449</v>
      </c>
      <c r="R135" s="25" t="str">
        <f aca="false">IF(L135="","",IF(ABS(L135)&lt;=O135,"Yes","No"))</f>
        <v>No</v>
      </c>
      <c r="S135" s="25" t="str">
        <f aca="false">IF(L135="","",IF(ABS(L135)&lt;=1.96*O135,"Yes","No"))</f>
        <v>Yes</v>
      </c>
      <c r="T135" s="52" t="n">
        <f aca="false">IF(D135="","",ROUND(SQRT(((D135+G135)*O135/100)^2+(J135*(D135+G135)*0.08889)^2),0))</f>
        <v>66</v>
      </c>
      <c r="U135" s="25"/>
    </row>
    <row r="136" customFormat="false" ht="15" hidden="false" customHeight="false" outlineLevel="0" collapsed="false">
      <c r="A136" s="25" t="s">
        <v>197</v>
      </c>
      <c r="B136" s="25" t="s">
        <v>288</v>
      </c>
      <c r="C136" s="25" t="s">
        <v>289</v>
      </c>
      <c r="D136" s="52" t="n">
        <v>651</v>
      </c>
      <c r="E136" s="52" t="n">
        <v>579</v>
      </c>
      <c r="F136" s="63" t="n">
        <f aca="false">IF(E136="","",D136-E136)</f>
        <v>72</v>
      </c>
      <c r="G136" s="52" t="n">
        <v>291</v>
      </c>
      <c r="H136" s="52" t="n">
        <v>292</v>
      </c>
      <c r="I136" s="63" t="n">
        <f aca="false">IF(H136="","",G136-H136)</f>
        <v>-1</v>
      </c>
      <c r="J136" s="53" t="n">
        <f aca="false">IF(OR(D136="",D136+G136=0),"",D136/(D136+G136))</f>
        <v>0.691082802547771</v>
      </c>
      <c r="K136" s="53" t="n">
        <f aca="false">IF(E136="","",E136/(E136+H136))</f>
        <v>0.664753157290471</v>
      </c>
      <c r="L136" s="64" t="n">
        <f aca="false">IF(OR(K136="",J136=""),"",(J136-K136)*100)</f>
        <v>2.63296452573</v>
      </c>
      <c r="M136" s="28" t="n">
        <v>2.42668038003648</v>
      </c>
      <c r="N136" s="28" t="n">
        <v>0.397844942258686</v>
      </c>
      <c r="O136" s="28" t="n">
        <f aca="false">SQRT(M136^2+N136^2)</f>
        <v>2.45907670985165</v>
      </c>
      <c r="P136" s="53" t="n">
        <f aca="false">IF(J136="","",MAX(0,J136-1.96*O136/100))</f>
        <v>0.642884899034678</v>
      </c>
      <c r="Q136" s="53" t="n">
        <f aca="false">IF(J136="","",MIN(1,J136+1.96*O136/100))</f>
        <v>0.739280706060863</v>
      </c>
      <c r="R136" s="25" t="str">
        <f aca="false">IF(L136="","",IF(ABS(L136)&lt;=O136,"Yes","No"))</f>
        <v>No</v>
      </c>
      <c r="S136" s="25" t="str">
        <f aca="false">IF(L136="","",IF(ABS(L136)&lt;=1.96*O136,"Yes","No"))</f>
        <v>Yes</v>
      </c>
      <c r="T136" s="52" t="n">
        <f aca="false">IF(D136="","",ROUND(SQRT(((D136+G136)*O136/100)^2+(J136*(D136+G136)*0.10931)^2),0))</f>
        <v>75</v>
      </c>
      <c r="U136" s="25"/>
    </row>
    <row r="137" customFormat="false" ht="15" hidden="false" customHeight="false" outlineLevel="0" collapsed="false">
      <c r="A137" s="25" t="s">
        <v>197</v>
      </c>
      <c r="B137" s="25" t="s">
        <v>288</v>
      </c>
      <c r="C137" s="25" t="s">
        <v>290</v>
      </c>
      <c r="D137" s="52" t="n">
        <v>458</v>
      </c>
      <c r="E137" s="52" t="n">
        <v>440</v>
      </c>
      <c r="F137" s="63" t="n">
        <f aca="false">IF(E137="","",D137-E137)</f>
        <v>18</v>
      </c>
      <c r="G137" s="52" t="n">
        <v>259</v>
      </c>
      <c r="H137" s="52" t="n">
        <v>262</v>
      </c>
      <c r="I137" s="63" t="n">
        <f aca="false">IF(H137="","",G137-H137)</f>
        <v>-3</v>
      </c>
      <c r="J137" s="53" t="n">
        <f aca="false">IF(OR(D137="",D137+G137=0),"",D137/(D137+G137))</f>
        <v>0.638772663877266</v>
      </c>
      <c r="K137" s="53" t="n">
        <f aca="false">IF(E137="","",E137/(E137+H137))</f>
        <v>0.626780626780627</v>
      </c>
      <c r="L137" s="64" t="n">
        <f aca="false">IF(OR(K137="",J137=""),"",(J137-K137)*100)</f>
        <v>1.19920370966397</v>
      </c>
      <c r="M137" s="28" t="n">
        <v>3.19821915242569</v>
      </c>
      <c r="N137" s="28" t="n">
        <v>0.397844942258686</v>
      </c>
      <c r="O137" s="28" t="n">
        <f aca="false">SQRT(M137^2+N137^2)</f>
        <v>3.22286927209642</v>
      </c>
      <c r="P137" s="53" t="n">
        <f aca="false">IF(J137="","",MAX(0,J137-1.96*O137/100))</f>
        <v>0.575604426144177</v>
      </c>
      <c r="Q137" s="53" t="n">
        <f aca="false">IF(J137="","",MIN(1,J137+1.96*O137/100))</f>
        <v>0.701940901610356</v>
      </c>
      <c r="R137" s="25" t="str">
        <f aca="false">IF(L137="","",IF(ABS(L137)&lt;=O137,"Yes","No"))</f>
        <v>Yes</v>
      </c>
      <c r="S137" s="25" t="str">
        <f aca="false">IF(L137="","",IF(ABS(L137)&lt;=1.96*O137,"Yes","No"))</f>
        <v>Yes</v>
      </c>
      <c r="T137" s="52" t="n">
        <f aca="false">IF(D137="","",ROUND(SQRT(((D137+G137)*O137/100)^2+(J137*(D137+G137)*0.1901)^2),0))</f>
        <v>90</v>
      </c>
      <c r="U137" s="25"/>
    </row>
    <row r="138" customFormat="false" ht="15" hidden="false" customHeight="false" outlineLevel="0" collapsed="false">
      <c r="A138" s="25" t="s">
        <v>197</v>
      </c>
      <c r="B138" s="25" t="s">
        <v>288</v>
      </c>
      <c r="C138" s="25" t="s">
        <v>291</v>
      </c>
      <c r="D138" s="52" t="n">
        <v>444</v>
      </c>
      <c r="E138" s="52" t="n">
        <v>414</v>
      </c>
      <c r="F138" s="63" t="n">
        <f aca="false">IF(E138="","",D138-E138)</f>
        <v>30</v>
      </c>
      <c r="G138" s="52" t="n">
        <v>237</v>
      </c>
      <c r="H138" s="52" t="n">
        <v>239</v>
      </c>
      <c r="I138" s="63" t="n">
        <f aca="false">IF(H138="","",G138-H138)</f>
        <v>-2</v>
      </c>
      <c r="J138" s="53" t="n">
        <f aca="false">IF(OR(D138="",D138+G138=0),"",D138/(D138+G138))</f>
        <v>0.651982378854626</v>
      </c>
      <c r="K138" s="53" t="n">
        <f aca="false">IF(E138="","",E138/(E138+H138))</f>
        <v>0.633996937212864</v>
      </c>
      <c r="L138" s="64" t="n">
        <f aca="false">IF(OR(K138="",J138=""),"",(J138-K138)*100)</f>
        <v>1.79854416417619</v>
      </c>
      <c r="M138" s="28" t="n">
        <v>3.19821915242569</v>
      </c>
      <c r="N138" s="28" t="n">
        <v>0.397844942258686</v>
      </c>
      <c r="O138" s="28" t="n">
        <f aca="false">SQRT(M138^2+N138^2)</f>
        <v>3.22286927209642</v>
      </c>
      <c r="P138" s="53" t="n">
        <f aca="false">IF(J138="","",MAX(0,J138-1.96*O138/100))</f>
        <v>0.588814141121536</v>
      </c>
      <c r="Q138" s="53" t="n">
        <f aca="false">IF(J138="","",MIN(1,J138+1.96*O138/100))</f>
        <v>0.715150616587715</v>
      </c>
      <c r="R138" s="25" t="str">
        <f aca="false">IF(L138="","",IF(ABS(L138)&lt;=O138,"Yes","No"))</f>
        <v>Yes</v>
      </c>
      <c r="S138" s="25" t="str">
        <f aca="false">IF(L138="","",IF(ABS(L138)&lt;=1.96*O138,"Yes","No"))</f>
        <v>Yes</v>
      </c>
      <c r="T138" s="52" t="n">
        <f aca="false">IF(D138="","",ROUND(SQRT(((D138+G138)*O138/100)^2+(J138*(D138+G138)*0.1901)^2),0))</f>
        <v>87</v>
      </c>
      <c r="U138" s="25"/>
    </row>
    <row r="139" customFormat="false" ht="15" hidden="false" customHeight="false" outlineLevel="0" collapsed="false">
      <c r="A139" s="25" t="s">
        <v>197</v>
      </c>
      <c r="B139" s="25" t="s">
        <v>292</v>
      </c>
      <c r="C139" s="25" t="s">
        <v>292</v>
      </c>
      <c r="D139" s="52" t="n">
        <v>410</v>
      </c>
      <c r="E139" s="52" t="n">
        <v>379</v>
      </c>
      <c r="F139" s="63" t="n">
        <f aca="false">IF(E139="","",D139-E139)</f>
        <v>31</v>
      </c>
      <c r="G139" s="52" t="n">
        <v>331</v>
      </c>
      <c r="H139" s="52" t="n">
        <v>330</v>
      </c>
      <c r="I139" s="63" t="n">
        <f aca="false">IF(H139="","",G139-H139)</f>
        <v>1</v>
      </c>
      <c r="J139" s="53" t="n">
        <f aca="false">IF(OR(D139="",D139+G139=0),"",D139/(D139+G139))</f>
        <v>0.553306342780027</v>
      </c>
      <c r="K139" s="53" t="n">
        <f aca="false">IF(E139="","",E139/(E139+H139))</f>
        <v>0.534555712270804</v>
      </c>
      <c r="L139" s="64" t="n">
        <f aca="false">IF(OR(K139="",J139=""),"",(J139-K139)*100)</f>
        <v>1.87506305092231</v>
      </c>
      <c r="M139" s="28" t="n">
        <v>3.19821915242569</v>
      </c>
      <c r="N139" s="28" t="n">
        <v>0.397844942258686</v>
      </c>
      <c r="O139" s="28" t="n">
        <f aca="false">SQRT(M139^2+N139^2)</f>
        <v>3.22286927209642</v>
      </c>
      <c r="P139" s="53" t="n">
        <f aca="false">IF(J139="","",MAX(0,J139-1.96*O139/100))</f>
        <v>0.490138105046937</v>
      </c>
      <c r="Q139" s="53" t="n">
        <f aca="false">IF(J139="","",MIN(1,J139+1.96*O139/100))</f>
        <v>0.616474580513117</v>
      </c>
      <c r="R139" s="25" t="str">
        <f aca="false">IF(L139="","",IF(ABS(L139)&lt;=O139,"Yes","No"))</f>
        <v>Yes</v>
      </c>
      <c r="S139" s="25" t="str">
        <f aca="false">IF(L139="","",IF(ABS(L139)&lt;=1.96*O139,"Yes","No"))</f>
        <v>Yes</v>
      </c>
      <c r="T139" s="52" t="n">
        <f aca="false">IF(D139="","",ROUND(SQRT(((D139+G139)*O139/100)^2+(J139*(D139+G139)*0.1901)^2),0))</f>
        <v>82</v>
      </c>
      <c r="U139" s="25"/>
    </row>
    <row r="140" customFormat="false" ht="15" hidden="false" customHeight="false" outlineLevel="0" collapsed="false">
      <c r="A140" s="25" t="s">
        <v>197</v>
      </c>
      <c r="B140" s="25" t="s">
        <v>293</v>
      </c>
      <c r="C140" s="25" t="s">
        <v>293</v>
      </c>
      <c r="D140" s="52" t="n">
        <v>605</v>
      </c>
      <c r="E140" s="52" t="n">
        <v>654</v>
      </c>
      <c r="F140" s="63" t="n">
        <f aca="false">IF(E140="","",D140-E140)</f>
        <v>-49</v>
      </c>
      <c r="G140" s="52" t="n">
        <v>1453</v>
      </c>
      <c r="H140" s="52" t="n">
        <v>1439</v>
      </c>
      <c r="I140" s="63" t="n">
        <f aca="false">IF(H140="","",G140-H140)</f>
        <v>14</v>
      </c>
      <c r="J140" s="53" t="n">
        <f aca="false">IF(OR(D140="",D140+G140=0),"",D140/(D140+G140))</f>
        <v>0.293974732750243</v>
      </c>
      <c r="K140" s="53" t="n">
        <f aca="false">IF(E140="","",E140/(E140+H140))</f>
        <v>0.312470138557095</v>
      </c>
      <c r="L140" s="64" t="n">
        <f aca="false">IF(OR(K140="",J140=""),"",(J140-K140)*100)</f>
        <v>-1.84954058068522</v>
      </c>
      <c r="M140" s="28" t="n">
        <v>2.49017287917352</v>
      </c>
      <c r="N140" s="28" t="n">
        <v>0.397844942258686</v>
      </c>
      <c r="O140" s="28" t="n">
        <f aca="false">SQRT(M140^2+N140^2)</f>
        <v>2.52175366882892</v>
      </c>
      <c r="P140" s="53" t="n">
        <f aca="false">IF(J140="","",MAX(0,J140-1.96*O140/100))</f>
        <v>0.244548360841196</v>
      </c>
      <c r="Q140" s="53" t="n">
        <f aca="false">IF(J140="","",MIN(1,J140+1.96*O140/100))</f>
        <v>0.34340110465929</v>
      </c>
      <c r="R140" s="25" t="str">
        <f aca="false">IF(L140="","",IF(ABS(L140)&lt;=O140,"Yes","No"))</f>
        <v>Yes</v>
      </c>
      <c r="S140" s="25" t="str">
        <f aca="false">IF(L140="","",IF(ABS(L140)&lt;=1.96*O140,"Yes","No"))</f>
        <v>Yes</v>
      </c>
      <c r="T140" s="52" t="n">
        <f aca="false">IF(D140="","",ROUND(SQRT(((D140+G140)*O140/100)^2+(J140*(D140+G140)*0.08889)^2),0))</f>
        <v>75</v>
      </c>
      <c r="U140" s="25"/>
    </row>
    <row r="141" customFormat="false" ht="15" hidden="false" customHeight="false" outlineLevel="0" collapsed="false">
      <c r="A141" s="25" t="s">
        <v>197</v>
      </c>
      <c r="B141" s="25" t="s">
        <v>294</v>
      </c>
      <c r="C141" s="25" t="s">
        <v>295</v>
      </c>
      <c r="D141" s="52" t="n">
        <v>927</v>
      </c>
      <c r="E141" s="52" t="n">
        <v>928</v>
      </c>
      <c r="F141" s="63" t="n">
        <f aca="false">IF(E141="","",D141-E141)</f>
        <v>-1</v>
      </c>
      <c r="G141" s="52" t="n">
        <v>1009</v>
      </c>
      <c r="H141" s="52" t="n">
        <v>988</v>
      </c>
      <c r="I141" s="63" t="n">
        <f aca="false">IF(H141="","",G141-H141)</f>
        <v>21</v>
      </c>
      <c r="J141" s="53" t="n">
        <f aca="false">IF(OR(D141="",D141+G141=0),"",D141/(D141+G141))</f>
        <v>0.478822314049587</v>
      </c>
      <c r="K141" s="53" t="n">
        <f aca="false">IF(E141="","",E141/(E141+H141))</f>
        <v>0.484342379958246</v>
      </c>
      <c r="L141" s="64" t="n">
        <f aca="false">IF(OR(K141="",J141=""),"",(J141-K141)*100)</f>
        <v>-0.552006590865961</v>
      </c>
      <c r="M141" s="28" t="n">
        <v>2.49017287917352</v>
      </c>
      <c r="N141" s="28" t="n">
        <v>0.397844942258686</v>
      </c>
      <c r="O141" s="28" t="n">
        <f aca="false">SQRT(M141^2+N141^2)</f>
        <v>2.52175366882892</v>
      </c>
      <c r="P141" s="53" t="n">
        <f aca="false">IF(J141="","",MAX(0,J141-1.96*O141/100))</f>
        <v>0.42939594214054</v>
      </c>
      <c r="Q141" s="53" t="n">
        <f aca="false">IF(J141="","",MIN(1,J141+1.96*O141/100))</f>
        <v>0.528248685958634</v>
      </c>
      <c r="R141" s="25" t="str">
        <f aca="false">IF(L141="","",IF(ABS(L141)&lt;=O141,"Yes","No"))</f>
        <v>Yes</v>
      </c>
      <c r="S141" s="25" t="str">
        <f aca="false">IF(L141="","",IF(ABS(L141)&lt;=1.96*O141,"Yes","No"))</f>
        <v>Yes</v>
      </c>
      <c r="T141" s="52" t="n">
        <f aca="false">IF(D141="","",ROUND(SQRT(((D141+G141)*O141/100)^2+(J141*(D141+G141)*0.08889)^2),0))</f>
        <v>96</v>
      </c>
      <c r="U141" s="25"/>
    </row>
    <row r="142" customFormat="false" ht="15" hidden="false" customHeight="false" outlineLevel="0" collapsed="false">
      <c r="A142" s="25" t="s">
        <v>197</v>
      </c>
      <c r="B142" s="25" t="s">
        <v>294</v>
      </c>
      <c r="C142" s="25" t="s">
        <v>296</v>
      </c>
      <c r="D142" s="52" t="n">
        <v>1125</v>
      </c>
      <c r="E142" s="52" t="n">
        <v>1082</v>
      </c>
      <c r="F142" s="63" t="n">
        <f aca="false">IF(E142="","",D142-E142)</f>
        <v>43</v>
      </c>
      <c r="G142" s="52" t="n">
        <v>1130</v>
      </c>
      <c r="H142" s="52" t="n">
        <v>1101</v>
      </c>
      <c r="I142" s="63" t="n">
        <f aca="false">IF(H142="","",G142-H142)</f>
        <v>29</v>
      </c>
      <c r="J142" s="53" t="n">
        <f aca="false">IF(OR(D142="",D142+G142=0),"",D142/(D142+G142))</f>
        <v>0.498891352549889</v>
      </c>
      <c r="K142" s="53" t="n">
        <f aca="false">IF(E142="","",E142/(E142+H142))</f>
        <v>0.495648190563445</v>
      </c>
      <c r="L142" s="64" t="n">
        <f aca="false">IF(OR(K142="",J142=""),"",(J142-K142)*100)</f>
        <v>0.324316198644437</v>
      </c>
      <c r="M142" s="28" t="n">
        <v>2.49017287917352</v>
      </c>
      <c r="N142" s="28" t="n">
        <v>0.397844942258686</v>
      </c>
      <c r="O142" s="28" t="n">
        <f aca="false">SQRT(M142^2+N142^2)</f>
        <v>2.52175366882892</v>
      </c>
      <c r="P142" s="53" t="n">
        <f aca="false">IF(J142="","",MAX(0,J142-1.96*O142/100))</f>
        <v>0.449464980640842</v>
      </c>
      <c r="Q142" s="53" t="n">
        <f aca="false">IF(J142="","",MIN(1,J142+1.96*O142/100))</f>
        <v>0.548317724458936</v>
      </c>
      <c r="R142" s="25" t="str">
        <f aca="false">IF(L142="","",IF(ABS(L142)&lt;=O142,"Yes","No"))</f>
        <v>Yes</v>
      </c>
      <c r="S142" s="25" t="str">
        <f aca="false">IF(L142="","",IF(ABS(L142)&lt;=1.96*O142,"Yes","No"))</f>
        <v>Yes</v>
      </c>
      <c r="T142" s="52" t="n">
        <f aca="false">IF(D142="","",ROUND(SQRT(((D142+G142)*O142/100)^2+(J142*(D142+G142)*0.08889)^2),0))</f>
        <v>115</v>
      </c>
      <c r="U142" s="25"/>
    </row>
    <row r="143" customFormat="false" ht="15" hidden="false" customHeight="false" outlineLevel="0" collapsed="false">
      <c r="A143" s="25" t="s">
        <v>197</v>
      </c>
      <c r="B143" s="25" t="s">
        <v>294</v>
      </c>
      <c r="C143" s="25" t="s">
        <v>297</v>
      </c>
      <c r="D143" s="52" t="n">
        <v>1830</v>
      </c>
      <c r="E143" s="52" t="n">
        <v>1799</v>
      </c>
      <c r="F143" s="63" t="n">
        <f aca="false">IF(E143="","",D143-E143)</f>
        <v>31</v>
      </c>
      <c r="G143" s="52" t="n">
        <v>1885</v>
      </c>
      <c r="H143" s="52" t="n">
        <v>1810</v>
      </c>
      <c r="I143" s="63" t="n">
        <f aca="false">IF(H143="","",G143-H143)</f>
        <v>75</v>
      </c>
      <c r="J143" s="53" t="n">
        <f aca="false">IF(OR(D143="",D143+G143=0),"",D143/(D143+G143))</f>
        <v>0.492597577388964</v>
      </c>
      <c r="K143" s="53" t="n">
        <f aca="false">IF(E143="","",E143/(E143+H143))</f>
        <v>0.498476032141868</v>
      </c>
      <c r="L143" s="64" t="n">
        <f aca="false">IF(OR(K143="",J143=""),"",(J143-K143)*100)</f>
        <v>-0.587845475290388</v>
      </c>
      <c r="M143" s="28" t="n">
        <v>2.49017287917352</v>
      </c>
      <c r="N143" s="28" t="n">
        <v>0.397844942258686</v>
      </c>
      <c r="O143" s="28" t="n">
        <f aca="false">SQRT(M143^2+N143^2)</f>
        <v>2.52175366882892</v>
      </c>
      <c r="P143" s="53" t="n">
        <f aca="false">IF(J143="","",MAX(0,J143-1.96*O143/100))</f>
        <v>0.443171205479917</v>
      </c>
      <c r="Q143" s="53" t="n">
        <f aca="false">IF(J143="","",MIN(1,J143+1.96*O143/100))</f>
        <v>0.542023949298011</v>
      </c>
      <c r="R143" s="25" t="str">
        <f aca="false">IF(L143="","",IF(ABS(L143)&lt;=O143,"Yes","No"))</f>
        <v>Yes</v>
      </c>
      <c r="S143" s="25" t="str">
        <f aca="false">IF(L143="","",IF(ABS(L143)&lt;=1.96*O143,"Yes","No"))</f>
        <v>Yes</v>
      </c>
      <c r="T143" s="52" t="n">
        <f aca="false">IF(D143="","",ROUND(SQRT(((D143+G143)*O143/100)^2+(J143*(D143+G143)*0.08889)^2),0))</f>
        <v>188</v>
      </c>
      <c r="U143" s="25"/>
    </row>
    <row r="144" customFormat="false" ht="15" hidden="false" customHeight="false" outlineLevel="0" collapsed="false">
      <c r="A144" s="25" t="s">
        <v>197</v>
      </c>
      <c r="B144" s="25" t="s">
        <v>294</v>
      </c>
      <c r="C144" s="25" t="s">
        <v>298</v>
      </c>
      <c r="D144" s="52" t="n">
        <v>920</v>
      </c>
      <c r="E144" s="52" t="n">
        <v>906</v>
      </c>
      <c r="F144" s="63" t="n">
        <f aca="false">IF(E144="","",D144-E144)</f>
        <v>14</v>
      </c>
      <c r="G144" s="52" t="n">
        <v>970</v>
      </c>
      <c r="H144" s="52" t="n">
        <v>980</v>
      </c>
      <c r="I144" s="63" t="n">
        <f aca="false">IF(H144="","",G144-H144)</f>
        <v>-10</v>
      </c>
      <c r="J144" s="53" t="n">
        <f aca="false">IF(OR(D144="",D144+G144=0),"",D144/(D144+G144))</f>
        <v>0.486772486772487</v>
      </c>
      <c r="K144" s="53" t="n">
        <f aca="false">IF(E144="","",E144/(E144+H144))</f>
        <v>0.480381760339343</v>
      </c>
      <c r="L144" s="64" t="n">
        <f aca="false">IF(OR(K144="",J144=""),"",(J144-K144)*100)</f>
        <v>0.63907264331442</v>
      </c>
      <c r="M144" s="28" t="n">
        <v>2.49017287917352</v>
      </c>
      <c r="N144" s="28" t="n">
        <v>0.397844942258686</v>
      </c>
      <c r="O144" s="28" t="n">
        <f aca="false">SQRT(M144^2+N144^2)</f>
        <v>2.52175366882892</v>
      </c>
      <c r="P144" s="53" t="n">
        <f aca="false">IF(J144="","",MAX(0,J144-1.96*O144/100))</f>
        <v>0.43734611486344</v>
      </c>
      <c r="Q144" s="53" t="n">
        <f aca="false">IF(J144="","",MIN(1,J144+1.96*O144/100))</f>
        <v>0.536198858681534</v>
      </c>
      <c r="R144" s="25" t="str">
        <f aca="false">IF(L144="","",IF(ABS(L144)&lt;=O144,"Yes","No"))</f>
        <v>Yes</v>
      </c>
      <c r="S144" s="25" t="str">
        <f aca="false">IF(L144="","",IF(ABS(L144)&lt;=1.96*O144,"Yes","No"))</f>
        <v>Yes</v>
      </c>
      <c r="T144" s="52" t="n">
        <f aca="false">IF(D144="","",ROUND(SQRT(((D144+G144)*O144/100)^2+(J144*(D144+G144)*0.08889)^2),0))</f>
        <v>95</v>
      </c>
      <c r="U144" s="25"/>
    </row>
    <row r="145" customFormat="false" ht="15" hidden="false" customHeight="false" outlineLevel="0" collapsed="false">
      <c r="A145" s="25" t="s">
        <v>197</v>
      </c>
      <c r="B145" s="25" t="s">
        <v>294</v>
      </c>
      <c r="C145" s="25" t="s">
        <v>299</v>
      </c>
      <c r="D145" s="52" t="n">
        <v>858</v>
      </c>
      <c r="E145" s="52" t="n">
        <v>852</v>
      </c>
      <c r="F145" s="63" t="n">
        <f aca="false">IF(E145="","",D145-E145)</f>
        <v>6</v>
      </c>
      <c r="G145" s="52" t="n">
        <v>898</v>
      </c>
      <c r="H145" s="52" t="n">
        <v>912</v>
      </c>
      <c r="I145" s="63" t="n">
        <f aca="false">IF(H145="","",G145-H145)</f>
        <v>-14</v>
      </c>
      <c r="J145" s="53" t="n">
        <f aca="false">IF(OR(D145="",D145+G145=0),"",D145/(D145+G145))</f>
        <v>0.488610478359909</v>
      </c>
      <c r="K145" s="53" t="n">
        <f aca="false">IF(E145="","",E145/(E145+H145))</f>
        <v>0.482993197278912</v>
      </c>
      <c r="L145" s="64" t="n">
        <f aca="false">IF(OR(K145="",J145=""),"",(J145-K145)*100)</f>
        <v>0.561728108099735</v>
      </c>
      <c r="M145" s="28" t="n">
        <v>2.49017287917352</v>
      </c>
      <c r="N145" s="28" t="n">
        <v>0.397844942258686</v>
      </c>
      <c r="O145" s="28" t="n">
        <f aca="false">SQRT(M145^2+N145^2)</f>
        <v>2.52175366882892</v>
      </c>
      <c r="P145" s="53" t="n">
        <f aca="false">IF(J145="","",MAX(0,J145-1.96*O145/100))</f>
        <v>0.439184106450862</v>
      </c>
      <c r="Q145" s="53" t="n">
        <f aca="false">IF(J145="","",MIN(1,J145+1.96*O145/100))</f>
        <v>0.538036850268956</v>
      </c>
      <c r="R145" s="25" t="str">
        <f aca="false">IF(L145="","",IF(ABS(L145)&lt;=O145,"Yes","No"))</f>
        <v>Yes</v>
      </c>
      <c r="S145" s="25" t="str">
        <f aca="false">IF(L145="","",IF(ABS(L145)&lt;=1.96*O145,"Yes","No"))</f>
        <v>Yes</v>
      </c>
      <c r="T145" s="52" t="n">
        <f aca="false">IF(D145="","",ROUND(SQRT(((D145+G145)*O145/100)^2+(J145*(D145+G145)*0.08889)^2),0))</f>
        <v>88</v>
      </c>
      <c r="U145" s="25"/>
    </row>
    <row r="146" customFormat="false" ht="15" hidden="false" customHeight="false" outlineLevel="0" collapsed="false">
      <c r="A146" s="25" t="s">
        <v>197</v>
      </c>
      <c r="B146" s="25" t="s">
        <v>294</v>
      </c>
      <c r="C146" s="25" t="s">
        <v>300</v>
      </c>
      <c r="D146" s="52" t="n">
        <v>680</v>
      </c>
      <c r="E146" s="52" t="n">
        <v>715</v>
      </c>
      <c r="F146" s="63" t="n">
        <f aca="false">IF(E146="","",D146-E146)</f>
        <v>-35</v>
      </c>
      <c r="G146" s="52" t="n">
        <v>709</v>
      </c>
      <c r="H146" s="52" t="n">
        <v>677</v>
      </c>
      <c r="I146" s="63" t="n">
        <f aca="false">IF(H146="","",G146-H146)</f>
        <v>32</v>
      </c>
      <c r="J146" s="53" t="n">
        <f aca="false">IF(OR(D146="",D146+G146=0),"",D146/(D146+G146))</f>
        <v>0.489560835133189</v>
      </c>
      <c r="K146" s="53" t="n">
        <f aca="false">IF(E146="","",E146/(E146+H146))</f>
        <v>0.513649425287356</v>
      </c>
      <c r="L146" s="64" t="n">
        <f aca="false">IF(OR(K146="",J146=""),"",(J146-K146)*100)</f>
        <v>-2.4088590154167</v>
      </c>
      <c r="M146" s="28" t="n">
        <v>2.49017287917352</v>
      </c>
      <c r="N146" s="28" t="n">
        <v>0.397844942258686</v>
      </c>
      <c r="O146" s="28" t="n">
        <f aca="false">SQRT(M146^2+N146^2)</f>
        <v>2.52175366882892</v>
      </c>
      <c r="P146" s="53" t="n">
        <f aca="false">IF(J146="","",MAX(0,J146-1.96*O146/100))</f>
        <v>0.440134463224142</v>
      </c>
      <c r="Q146" s="53" t="n">
        <f aca="false">IF(J146="","",MIN(1,J146+1.96*O146/100))</f>
        <v>0.538987207042236</v>
      </c>
      <c r="R146" s="25" t="str">
        <f aca="false">IF(L146="","",IF(ABS(L146)&lt;=O146,"Yes","No"))</f>
        <v>Yes</v>
      </c>
      <c r="S146" s="25" t="str">
        <f aca="false">IF(L146="","",IF(ABS(L146)&lt;=1.96*O146,"Yes","No"))</f>
        <v>Yes</v>
      </c>
      <c r="T146" s="52" t="n">
        <f aca="false">IF(D146="","",ROUND(SQRT(((D146+G146)*O146/100)^2+(J146*(D146+G146)*0.08889)^2),0))</f>
        <v>70</v>
      </c>
      <c r="U146" s="25"/>
    </row>
    <row r="147" customFormat="false" ht="15" hidden="false" customHeight="false" outlineLevel="0" collapsed="false">
      <c r="A147" s="25" t="s">
        <v>197</v>
      </c>
      <c r="B147" s="25" t="s">
        <v>294</v>
      </c>
      <c r="C147" s="25" t="s">
        <v>301</v>
      </c>
      <c r="D147" s="52" t="n">
        <v>1610</v>
      </c>
      <c r="E147" s="52" t="n">
        <v>1480</v>
      </c>
      <c r="F147" s="63" t="n">
        <f aca="false">IF(E147="","",D147-E147)</f>
        <v>130</v>
      </c>
      <c r="G147" s="52" t="n">
        <v>1539</v>
      </c>
      <c r="H147" s="52" t="n">
        <v>1588</v>
      </c>
      <c r="I147" s="63" t="n">
        <f aca="false">IF(H147="","",G147-H147)</f>
        <v>-49</v>
      </c>
      <c r="J147" s="53" t="n">
        <f aca="false">IF(OR(D147="",D147+G147=0),"",D147/(D147+G147))</f>
        <v>0.511273420133376</v>
      </c>
      <c r="K147" s="53" t="n">
        <f aca="false">IF(E147="","",E147/(E147+H147))</f>
        <v>0.482398956975228</v>
      </c>
      <c r="L147" s="64" t="n">
        <f aca="false">IF(OR(K147="",J147=""),"",(J147-K147)*100)</f>
        <v>2.88744631581475</v>
      </c>
      <c r="M147" s="28" t="n">
        <v>2.49017287917352</v>
      </c>
      <c r="N147" s="28" t="n">
        <v>0.397844942258686</v>
      </c>
      <c r="O147" s="28" t="n">
        <f aca="false">SQRT(M147^2+N147^2)</f>
        <v>2.52175366882892</v>
      </c>
      <c r="P147" s="53" t="n">
        <f aca="false">IF(J147="","",MAX(0,J147-1.96*O147/100))</f>
        <v>0.461847048224329</v>
      </c>
      <c r="Q147" s="53" t="n">
        <f aca="false">IF(J147="","",MIN(1,J147+1.96*O147/100))</f>
        <v>0.560699792042423</v>
      </c>
      <c r="R147" s="25" t="str">
        <f aca="false">IF(L147="","",IF(ABS(L147)&lt;=O147,"Yes","No"))</f>
        <v>No</v>
      </c>
      <c r="S147" s="25" t="str">
        <f aca="false">IF(L147="","",IF(ABS(L147)&lt;=1.96*O147,"Yes","No"))</f>
        <v>Yes</v>
      </c>
      <c r="T147" s="52" t="n">
        <f aca="false">IF(D147="","",ROUND(SQRT(((D147+G147)*O147/100)^2+(J147*(D147+G147)*0.08889)^2),0))</f>
        <v>164</v>
      </c>
      <c r="U147" s="25"/>
    </row>
    <row r="148" customFormat="false" ht="15" hidden="false" customHeight="false" outlineLevel="0" collapsed="false">
      <c r="A148" s="25" t="s">
        <v>197</v>
      </c>
      <c r="B148" s="25" t="s">
        <v>294</v>
      </c>
      <c r="C148" s="25" t="s">
        <v>302</v>
      </c>
      <c r="D148" s="52" t="n">
        <v>874</v>
      </c>
      <c r="E148" s="52" t="n">
        <v>890</v>
      </c>
      <c r="F148" s="63" t="n">
        <f aca="false">IF(E148="","",D148-E148)</f>
        <v>-16</v>
      </c>
      <c r="G148" s="52" t="n">
        <v>815</v>
      </c>
      <c r="H148" s="52" t="n">
        <v>789</v>
      </c>
      <c r="I148" s="63" t="n">
        <f aca="false">IF(H148="","",G148-H148)</f>
        <v>26</v>
      </c>
      <c r="J148" s="53" t="n">
        <f aca="false">IF(OR(D148="",D148+G148=0),"",D148/(D148+G148))</f>
        <v>0.517465956187093</v>
      </c>
      <c r="K148" s="53" t="n">
        <f aca="false">IF(E148="","",E148/(E148+H148))</f>
        <v>0.530077427039905</v>
      </c>
      <c r="L148" s="64" t="n">
        <f aca="false">IF(OR(K148="",J148=""),"",(J148-K148)*100)</f>
        <v>-1.26114708528118</v>
      </c>
      <c r="M148" s="28" t="n">
        <v>2.49017287917352</v>
      </c>
      <c r="N148" s="28" t="n">
        <v>0.397844942258686</v>
      </c>
      <c r="O148" s="28" t="n">
        <f aca="false">SQRT(M148^2+N148^2)</f>
        <v>2.52175366882892</v>
      </c>
      <c r="P148" s="53" t="n">
        <f aca="false">IF(J148="","",MAX(0,J148-1.96*O148/100))</f>
        <v>0.468039584278046</v>
      </c>
      <c r="Q148" s="53" t="n">
        <f aca="false">IF(J148="","",MIN(1,J148+1.96*O148/100))</f>
        <v>0.56689232809614</v>
      </c>
      <c r="R148" s="25" t="str">
        <f aca="false">IF(L148="","",IF(ABS(L148)&lt;=O148,"Yes","No"))</f>
        <v>Yes</v>
      </c>
      <c r="S148" s="25" t="str">
        <f aca="false">IF(L148="","",IF(ABS(L148)&lt;=1.96*O148,"Yes","No"))</f>
        <v>Yes</v>
      </c>
      <c r="T148" s="52" t="n">
        <f aca="false">IF(D148="","",ROUND(SQRT(((D148+G148)*O148/100)^2+(J148*(D148+G148)*0.08889)^2),0))</f>
        <v>89</v>
      </c>
      <c r="U148" s="25"/>
    </row>
    <row r="149" customFormat="false" ht="15" hidden="false" customHeight="false" outlineLevel="0" collapsed="false">
      <c r="A149" s="25" t="s">
        <v>197</v>
      </c>
      <c r="B149" s="25" t="s">
        <v>294</v>
      </c>
      <c r="C149" s="25" t="s">
        <v>303</v>
      </c>
      <c r="D149" s="52" t="n">
        <v>793</v>
      </c>
      <c r="E149" s="52" t="n">
        <v>817</v>
      </c>
      <c r="F149" s="63" t="n">
        <f aca="false">IF(E149="","",D149-E149)</f>
        <v>-24</v>
      </c>
      <c r="G149" s="52" t="n">
        <v>790</v>
      </c>
      <c r="H149" s="52" t="n">
        <v>798</v>
      </c>
      <c r="I149" s="63" t="n">
        <f aca="false">IF(H149="","",G149-H149)</f>
        <v>-8</v>
      </c>
      <c r="J149" s="53" t="n">
        <f aca="false">IF(OR(D149="",D149+G149=0),"",D149/(D149+G149))</f>
        <v>0.500947567909034</v>
      </c>
      <c r="K149" s="53" t="n">
        <f aca="false">IF(E149="","",E149/(E149+H149))</f>
        <v>0.505882352941176</v>
      </c>
      <c r="L149" s="64" t="n">
        <f aca="false">IF(OR(K149="",J149=""),"",(J149-K149)*100)</f>
        <v>-0.493478503214295</v>
      </c>
      <c r="M149" s="28" t="n">
        <v>2.49017287917352</v>
      </c>
      <c r="N149" s="28" t="n">
        <v>0.397844942258686</v>
      </c>
      <c r="O149" s="28" t="n">
        <f aca="false">SQRT(M149^2+N149^2)</f>
        <v>2.52175366882892</v>
      </c>
      <c r="P149" s="53" t="n">
        <f aca="false">IF(J149="","",MAX(0,J149-1.96*O149/100))</f>
        <v>0.451521195999987</v>
      </c>
      <c r="Q149" s="53" t="n">
        <f aca="false">IF(J149="","",MIN(1,J149+1.96*O149/100))</f>
        <v>0.550373939818081</v>
      </c>
      <c r="R149" s="25" t="str">
        <f aca="false">IF(L149="","",IF(ABS(L149)&lt;=O149,"Yes","No"))</f>
        <v>Yes</v>
      </c>
      <c r="S149" s="25" t="str">
        <f aca="false">IF(L149="","",IF(ABS(L149)&lt;=1.96*O149,"Yes","No"))</f>
        <v>Yes</v>
      </c>
      <c r="T149" s="52" t="n">
        <f aca="false">IF(D149="","",ROUND(SQRT(((D149+G149)*O149/100)^2+(J149*(D149+G149)*0.08889)^2),0))</f>
        <v>81</v>
      </c>
      <c r="U149" s="25"/>
    </row>
    <row r="150" customFormat="false" ht="15" hidden="false" customHeight="false" outlineLevel="0" collapsed="false">
      <c r="A150" s="25" t="s">
        <v>197</v>
      </c>
      <c r="B150" s="25" t="s">
        <v>294</v>
      </c>
      <c r="C150" s="25" t="s">
        <v>304</v>
      </c>
      <c r="D150" s="52" t="n">
        <v>565</v>
      </c>
      <c r="E150" s="52" t="n">
        <v>552</v>
      </c>
      <c r="F150" s="63" t="n">
        <f aca="false">IF(E150="","",D150-E150)</f>
        <v>13</v>
      </c>
      <c r="G150" s="52" t="n">
        <v>547</v>
      </c>
      <c r="H150" s="52" t="n">
        <v>556</v>
      </c>
      <c r="I150" s="63" t="n">
        <f aca="false">IF(H150="","",G150-H150)</f>
        <v>-9</v>
      </c>
      <c r="J150" s="53" t="n">
        <f aca="false">IF(OR(D150="",D150+G150=0),"",D150/(D150+G150))</f>
        <v>0.508093525179856</v>
      </c>
      <c r="K150" s="53" t="n">
        <f aca="false">IF(E150="","",E150/(E150+H150))</f>
        <v>0.498194945848375</v>
      </c>
      <c r="L150" s="64" t="n">
        <f aca="false">IF(OR(K150="",J150=""),"",(J150-K150)*100)</f>
        <v>0.989857933148064</v>
      </c>
      <c r="M150" s="28" t="n">
        <v>2.42668038003648</v>
      </c>
      <c r="N150" s="28" t="n">
        <v>0.397844942258686</v>
      </c>
      <c r="O150" s="28" t="n">
        <f aca="false">SQRT(M150^2+N150^2)</f>
        <v>2.45907670985165</v>
      </c>
      <c r="P150" s="53" t="n">
        <f aca="false">IF(J150="","",MAX(0,J150-1.96*O150/100))</f>
        <v>0.459895621666764</v>
      </c>
      <c r="Q150" s="53" t="n">
        <f aca="false">IF(J150="","",MIN(1,J150+1.96*O150/100))</f>
        <v>0.556291428692949</v>
      </c>
      <c r="R150" s="25" t="str">
        <f aca="false">IF(L150="","",IF(ABS(L150)&lt;=O150,"Yes","No"))</f>
        <v>Yes</v>
      </c>
      <c r="S150" s="25" t="str">
        <f aca="false">IF(L150="","",IF(ABS(L150)&lt;=1.96*O150,"Yes","No"))</f>
        <v>Yes</v>
      </c>
      <c r="T150" s="52" t="n">
        <f aca="false">IF(D150="","",ROUND(SQRT(((D150+G150)*O150/100)^2+(J150*(D150+G150)*0.10931)^2),0))</f>
        <v>68</v>
      </c>
      <c r="U150" s="25"/>
    </row>
    <row r="151" customFormat="false" ht="15" hidden="false" customHeight="false" outlineLevel="0" collapsed="false">
      <c r="A151" s="25" t="s">
        <v>197</v>
      </c>
      <c r="B151" s="25" t="s">
        <v>305</v>
      </c>
      <c r="C151" s="25" t="s">
        <v>305</v>
      </c>
      <c r="D151" s="52" t="n">
        <v>919</v>
      </c>
      <c r="E151" s="52" t="n">
        <v>985</v>
      </c>
      <c r="F151" s="63" t="n">
        <f aca="false">IF(E151="","",D151-E151)</f>
        <v>-66</v>
      </c>
      <c r="G151" s="52" t="n">
        <v>1687</v>
      </c>
      <c r="H151" s="52" t="n">
        <v>1586</v>
      </c>
      <c r="I151" s="63" t="n">
        <f aca="false">IF(H151="","",G151-H151)</f>
        <v>101</v>
      </c>
      <c r="J151" s="53" t="n">
        <f aca="false">IF(OR(D151="",D151+G151=0),"",D151/(D151+G151))</f>
        <v>0.35264773599386</v>
      </c>
      <c r="K151" s="53" t="n">
        <f aca="false">IF(E151="","",E151/(E151+H151))</f>
        <v>0.383119408790354</v>
      </c>
      <c r="L151" s="64" t="n">
        <f aca="false">IF(OR(K151="",J151=""),"",(J151-K151)*100)</f>
        <v>-3.04716727964936</v>
      </c>
      <c r="M151" s="28" t="n">
        <v>2.49017287917352</v>
      </c>
      <c r="N151" s="28" t="n">
        <v>0.397844942258686</v>
      </c>
      <c r="O151" s="28" t="n">
        <f aca="false">SQRT(M151^2+N151^2)</f>
        <v>2.52175366882892</v>
      </c>
      <c r="P151" s="53" t="n">
        <f aca="false">IF(J151="","",MAX(0,J151-1.96*O151/100))</f>
        <v>0.303221364084813</v>
      </c>
      <c r="Q151" s="53" t="n">
        <f aca="false">IF(J151="","",MIN(1,J151+1.96*O151/100))</f>
        <v>0.402074107902907</v>
      </c>
      <c r="R151" s="25" t="str">
        <f aca="false">IF(L151="","",IF(ABS(L151)&lt;=O151,"Yes","No"))</f>
        <v>No</v>
      </c>
      <c r="S151" s="25" t="str">
        <f aca="false">IF(L151="","",IF(ABS(L151)&lt;=1.96*O151,"Yes","No"))</f>
        <v>Yes</v>
      </c>
      <c r="T151" s="52" t="n">
        <f aca="false">IF(D151="","",ROUND(SQRT(((D151+G151)*O151/100)^2+(J151*(D151+G151)*0.08889)^2),0))</f>
        <v>105</v>
      </c>
      <c r="U151" s="25"/>
    </row>
    <row r="152" customFormat="false" ht="15" hidden="false" customHeight="false" outlineLevel="0" collapsed="false">
      <c r="A152" s="25" t="s">
        <v>197</v>
      </c>
      <c r="B152" s="25" t="s">
        <v>306</v>
      </c>
      <c r="C152" s="25" t="s">
        <v>306</v>
      </c>
      <c r="D152" s="52" t="n">
        <v>530</v>
      </c>
      <c r="E152" s="52" t="n">
        <v>543</v>
      </c>
      <c r="F152" s="63" t="n">
        <f aca="false">IF(E152="","",D152-E152)</f>
        <v>-13</v>
      </c>
      <c r="G152" s="52" t="n">
        <v>1034</v>
      </c>
      <c r="H152" s="52" t="n">
        <v>990</v>
      </c>
      <c r="I152" s="63" t="n">
        <f aca="false">IF(H152="","",G152-H152)</f>
        <v>44</v>
      </c>
      <c r="J152" s="53" t="n">
        <f aca="false">IF(OR(D152="",D152+G152=0),"",D152/(D152+G152))</f>
        <v>0.338874680306905</v>
      </c>
      <c r="K152" s="53" t="n">
        <f aca="false">IF(E152="","",E152/(E152+H152))</f>
        <v>0.354207436399217</v>
      </c>
      <c r="L152" s="64" t="n">
        <f aca="false">IF(OR(K152="",J152=""),"",(J152-K152)*100)</f>
        <v>-1.53327560923118</v>
      </c>
      <c r="M152" s="28" t="n">
        <v>2.49017287917352</v>
      </c>
      <c r="N152" s="28" t="n">
        <v>0.397844942258686</v>
      </c>
      <c r="O152" s="28" t="n">
        <f aca="false">SQRT(M152^2+N152^2)</f>
        <v>2.52175366882892</v>
      </c>
      <c r="P152" s="53" t="n">
        <f aca="false">IF(J152="","",MAX(0,J152-1.96*O152/100))</f>
        <v>0.289448308397858</v>
      </c>
      <c r="Q152" s="53" t="n">
        <f aca="false">IF(J152="","",MIN(1,J152+1.96*O152/100))</f>
        <v>0.388301052215952</v>
      </c>
      <c r="R152" s="25" t="str">
        <f aca="false">IF(L152="","",IF(ABS(L152)&lt;=O152,"Yes","No"))</f>
        <v>Yes</v>
      </c>
      <c r="S152" s="25" t="str">
        <f aca="false">IF(L152="","",IF(ABS(L152)&lt;=1.96*O152,"Yes","No"))</f>
        <v>Yes</v>
      </c>
      <c r="T152" s="52" t="n">
        <f aca="false">IF(D152="","",ROUND(SQRT(((D152+G152)*O152/100)^2+(J152*(D152+G152)*0.08889)^2),0))</f>
        <v>61</v>
      </c>
      <c r="U152" s="25"/>
    </row>
    <row r="153" customFormat="false" ht="15" hidden="false" customHeight="false" outlineLevel="0" collapsed="false">
      <c r="A153" s="25" t="s">
        <v>197</v>
      </c>
      <c r="B153" s="25" t="s">
        <v>307</v>
      </c>
      <c r="C153" s="25" t="s">
        <v>308</v>
      </c>
      <c r="D153" s="52" t="n">
        <v>168</v>
      </c>
      <c r="E153" s="52" t="n">
        <v>181</v>
      </c>
      <c r="F153" s="63" t="n">
        <f aca="false">IF(E153="","",D153-E153)</f>
        <v>-13</v>
      </c>
      <c r="G153" s="52" t="n">
        <v>511</v>
      </c>
      <c r="H153" s="52" t="n">
        <v>482</v>
      </c>
      <c r="I153" s="63" t="n">
        <f aca="false">IF(H153="","",G153-H153)</f>
        <v>29</v>
      </c>
      <c r="J153" s="53" t="n">
        <f aca="false">IF(OR(D153="",D153+G153=0),"",D153/(D153+G153))</f>
        <v>0.247422680412371</v>
      </c>
      <c r="K153" s="53" t="n">
        <f aca="false">IF(E153="","",E153/(E153+H153))</f>
        <v>0.273001508295626</v>
      </c>
      <c r="L153" s="64" t="n">
        <f aca="false">IF(OR(K153="",J153=""),"",(J153-K153)*100)</f>
        <v>-2.55788278832548</v>
      </c>
      <c r="M153" s="28" t="n">
        <v>3.19821915242569</v>
      </c>
      <c r="N153" s="28" t="n">
        <v>0.397844942258686</v>
      </c>
      <c r="O153" s="28" t="n">
        <f aca="false">SQRT(M153^2+N153^2)</f>
        <v>3.22286927209642</v>
      </c>
      <c r="P153" s="53" t="n">
        <f aca="false">IF(J153="","",MAX(0,J153-1.96*O153/100))</f>
        <v>0.184254442679281</v>
      </c>
      <c r="Q153" s="53" t="n">
        <f aca="false">IF(J153="","",MIN(1,J153+1.96*O153/100))</f>
        <v>0.310590918145461</v>
      </c>
      <c r="R153" s="25" t="str">
        <f aca="false">IF(L153="","",IF(ABS(L153)&lt;=O153,"Yes","No"))</f>
        <v>Yes</v>
      </c>
      <c r="S153" s="25" t="str">
        <f aca="false">IF(L153="","",IF(ABS(L153)&lt;=1.96*O153,"Yes","No"))</f>
        <v>Yes</v>
      </c>
      <c r="T153" s="52" t="n">
        <f aca="false">IF(D153="","",ROUND(SQRT(((D153+G153)*O153/100)^2+(J153*(D153+G153)*0.1901)^2),0))</f>
        <v>39</v>
      </c>
      <c r="U153" s="25"/>
    </row>
    <row r="154" customFormat="false" ht="15" hidden="false" customHeight="false" outlineLevel="0" collapsed="false">
      <c r="A154" s="25" t="s">
        <v>197</v>
      </c>
      <c r="B154" s="25" t="s">
        <v>307</v>
      </c>
      <c r="C154" s="25" t="s">
        <v>309</v>
      </c>
      <c r="D154" s="52" t="n">
        <v>136</v>
      </c>
      <c r="E154" s="52" t="n">
        <v>147</v>
      </c>
      <c r="F154" s="63" t="n">
        <f aca="false">IF(E154="","",D154-E154)</f>
        <v>-11</v>
      </c>
      <c r="G154" s="52" t="n">
        <v>325</v>
      </c>
      <c r="H154" s="52" t="n">
        <v>314</v>
      </c>
      <c r="I154" s="63" t="n">
        <f aca="false">IF(H154="","",G154-H154)</f>
        <v>11</v>
      </c>
      <c r="J154" s="53" t="n">
        <f aca="false">IF(OR(D154="",D154+G154=0),"",D154/(D154+G154))</f>
        <v>0.295010845986985</v>
      </c>
      <c r="K154" s="53" t="n">
        <f aca="false">IF(E154="","",E154/(E154+H154))</f>
        <v>0.318872017353579</v>
      </c>
      <c r="L154" s="64" t="n">
        <f aca="false">IF(OR(K154="",J154=""),"",(J154-K154)*100)</f>
        <v>-2.38611713665944</v>
      </c>
      <c r="M154" s="28" t="n">
        <v>3.19821915242569</v>
      </c>
      <c r="N154" s="28" t="n">
        <v>0.397844942258686</v>
      </c>
      <c r="O154" s="28" t="n">
        <f aca="false">SQRT(M154^2+N154^2)</f>
        <v>3.22286927209642</v>
      </c>
      <c r="P154" s="53" t="n">
        <f aca="false">IF(J154="","",MAX(0,J154-1.96*O154/100))</f>
        <v>0.231842608253895</v>
      </c>
      <c r="Q154" s="53" t="n">
        <f aca="false">IF(J154="","",MIN(1,J154+1.96*O154/100))</f>
        <v>0.358179083720075</v>
      </c>
      <c r="R154" s="25" t="str">
        <f aca="false">IF(L154="","",IF(ABS(L154)&lt;=O154,"Yes","No"))</f>
        <v>Yes</v>
      </c>
      <c r="S154" s="25" t="str">
        <f aca="false">IF(L154="","",IF(ABS(L154)&lt;=1.96*O154,"Yes","No"))</f>
        <v>Yes</v>
      </c>
      <c r="T154" s="52" t="n">
        <f aca="false">IF(D154="","",ROUND(SQRT(((D154+G154)*O154/100)^2+(J154*(D154+G154)*0.1901)^2),0))</f>
        <v>30</v>
      </c>
      <c r="U154" s="25"/>
    </row>
    <row r="155" customFormat="false" ht="15" hidden="false" customHeight="false" outlineLevel="0" collapsed="false">
      <c r="A155" s="25" t="s">
        <v>197</v>
      </c>
      <c r="B155" s="25" t="s">
        <v>307</v>
      </c>
      <c r="C155" s="25" t="s">
        <v>310</v>
      </c>
      <c r="D155" s="52" t="n">
        <v>490</v>
      </c>
      <c r="E155" s="52" t="n">
        <v>522</v>
      </c>
      <c r="F155" s="63" t="n">
        <f aca="false">IF(E155="","",D155-E155)</f>
        <v>-32</v>
      </c>
      <c r="G155" s="52" t="n">
        <v>1075</v>
      </c>
      <c r="H155" s="52" t="n">
        <v>1060</v>
      </c>
      <c r="I155" s="63" t="n">
        <f aca="false">IF(H155="","",G155-H155)</f>
        <v>15</v>
      </c>
      <c r="J155" s="53" t="n">
        <f aca="false">IF(OR(D155="",D155+G155=0),"",D155/(D155+G155))</f>
        <v>0.313099041533546</v>
      </c>
      <c r="K155" s="53" t="n">
        <f aca="false">IF(E155="","",E155/(E155+H155))</f>
        <v>0.329962073324905</v>
      </c>
      <c r="L155" s="64" t="n">
        <f aca="false">IF(OR(K155="",J155=""),"",(J155-K155)*100)</f>
        <v>-1.68630317913588</v>
      </c>
      <c r="M155" s="28" t="n">
        <v>2.49017287917352</v>
      </c>
      <c r="N155" s="28" t="n">
        <v>0.397844942258686</v>
      </c>
      <c r="O155" s="28" t="n">
        <f aca="false">SQRT(M155^2+N155^2)</f>
        <v>2.52175366882892</v>
      </c>
      <c r="P155" s="53" t="n">
        <f aca="false">IF(J155="","",MAX(0,J155-1.96*O155/100))</f>
        <v>0.263672669624499</v>
      </c>
      <c r="Q155" s="53" t="n">
        <f aca="false">IF(J155="","",MIN(1,J155+1.96*O155/100))</f>
        <v>0.362525413442593</v>
      </c>
      <c r="R155" s="25" t="str">
        <f aca="false">IF(L155="","",IF(ABS(L155)&lt;=O155,"Yes","No"))</f>
        <v>Yes</v>
      </c>
      <c r="S155" s="25" t="str">
        <f aca="false">IF(L155="","",IF(ABS(L155)&lt;=1.96*O155,"Yes","No"))</f>
        <v>Yes</v>
      </c>
      <c r="T155" s="52" t="n">
        <f aca="false">IF(D155="","",ROUND(SQRT(((D155+G155)*O155/100)^2+(J155*(D155+G155)*0.08889)^2),0))</f>
        <v>59</v>
      </c>
      <c r="U155" s="25"/>
    </row>
    <row r="156" customFormat="false" ht="15" hidden="false" customHeight="false" outlineLevel="0" collapsed="false">
      <c r="A156" s="25" t="s">
        <v>197</v>
      </c>
      <c r="B156" s="25" t="s">
        <v>311</v>
      </c>
      <c r="C156" s="25" t="s">
        <v>311</v>
      </c>
      <c r="D156" s="52" t="n">
        <v>1000</v>
      </c>
      <c r="E156" s="52" t="n">
        <v>980</v>
      </c>
      <c r="F156" s="63" t="n">
        <f aca="false">IF(E156="","",D156-E156)</f>
        <v>20</v>
      </c>
      <c r="G156" s="52" t="n">
        <v>900</v>
      </c>
      <c r="H156" s="52" t="n">
        <v>872</v>
      </c>
      <c r="I156" s="63" t="n">
        <f aca="false">IF(H156="","",G156-H156)</f>
        <v>28</v>
      </c>
      <c r="J156" s="53" t="n">
        <f aca="false">IF(OR(D156="",D156+G156=0),"",D156/(D156+G156))</f>
        <v>0.526315789473684</v>
      </c>
      <c r="K156" s="53" t="n">
        <f aca="false">IF(E156="","",E156/(E156+H156))</f>
        <v>0.529157667386609</v>
      </c>
      <c r="L156" s="64" t="n">
        <f aca="false">IF(OR(K156="",J156=""),"",(J156-K156)*100)</f>
        <v>-0.28418779129249</v>
      </c>
      <c r="M156" s="28" t="n">
        <v>2.49017287917352</v>
      </c>
      <c r="N156" s="28" t="n">
        <v>0.397844942258686</v>
      </c>
      <c r="O156" s="28" t="n">
        <f aca="false">SQRT(M156^2+N156^2)</f>
        <v>2.52175366882892</v>
      </c>
      <c r="P156" s="53" t="n">
        <f aca="false">IF(J156="","",MAX(0,J156-1.96*O156/100))</f>
        <v>0.476889417564637</v>
      </c>
      <c r="Q156" s="53" t="n">
        <f aca="false">IF(J156="","",MIN(1,J156+1.96*O156/100))</f>
        <v>0.575742161382731</v>
      </c>
      <c r="R156" s="25" t="str">
        <f aca="false">IF(L156="","",IF(ABS(L156)&lt;=O156,"Yes","No"))</f>
        <v>Yes</v>
      </c>
      <c r="S156" s="25" t="str">
        <f aca="false">IF(L156="","",IF(ABS(L156)&lt;=1.96*O156,"Yes","No"))</f>
        <v>Yes</v>
      </c>
      <c r="T156" s="52" t="n">
        <f aca="false">IF(D156="","",ROUND(SQRT(((D156+G156)*O156/100)^2+(J156*(D156+G156)*0.08889)^2),0))</f>
        <v>101</v>
      </c>
      <c r="U156" s="25"/>
    </row>
    <row r="157" customFormat="false" ht="15" hidden="false" customHeight="false" outlineLevel="0" collapsed="false">
      <c r="A157" s="25" t="s">
        <v>197</v>
      </c>
      <c r="B157" s="25" t="s">
        <v>312</v>
      </c>
      <c r="C157" s="25" t="s">
        <v>313</v>
      </c>
      <c r="D157" s="52" t="n">
        <v>924</v>
      </c>
      <c r="E157" s="52" t="n">
        <v>1010</v>
      </c>
      <c r="F157" s="63" t="n">
        <f aca="false">IF(E157="","",D157-E157)</f>
        <v>-86</v>
      </c>
      <c r="G157" s="52" t="n">
        <v>1437</v>
      </c>
      <c r="H157" s="52" t="n">
        <v>1334</v>
      </c>
      <c r="I157" s="63" t="n">
        <f aca="false">IF(H157="","",G157-H157)</f>
        <v>103</v>
      </c>
      <c r="J157" s="53" t="n">
        <f aca="false">IF(OR(D157="",D157+G157=0),"",D157/(D157+G157))</f>
        <v>0.39135959339263</v>
      </c>
      <c r="K157" s="53" t="n">
        <f aca="false">IF(E157="","",E157/(E157+H157))</f>
        <v>0.430887372013652</v>
      </c>
      <c r="L157" s="64" t="n">
        <f aca="false">IF(OR(K157="",J157=""),"",(J157-K157)*100)</f>
        <v>-3.95277786210216</v>
      </c>
      <c r="M157" s="28" t="n">
        <v>2.49017287917352</v>
      </c>
      <c r="N157" s="28" t="n">
        <v>0.397844942258686</v>
      </c>
      <c r="O157" s="28" t="n">
        <f aca="false">SQRT(M157^2+N157^2)</f>
        <v>2.52175366882892</v>
      </c>
      <c r="P157" s="53" t="n">
        <f aca="false">IF(J157="","",MAX(0,J157-1.96*O157/100))</f>
        <v>0.341933221483583</v>
      </c>
      <c r="Q157" s="53" t="n">
        <f aca="false">IF(J157="","",MIN(1,J157+1.96*O157/100))</f>
        <v>0.440785965301677</v>
      </c>
      <c r="R157" s="25" t="str">
        <f aca="false">IF(L157="","",IF(ABS(L157)&lt;=O157,"Yes","No"))</f>
        <v>No</v>
      </c>
      <c r="S157" s="25" t="str">
        <f aca="false">IF(L157="","",IF(ABS(L157)&lt;=1.96*O157,"Yes","No"))</f>
        <v>Yes</v>
      </c>
      <c r="T157" s="52" t="n">
        <f aca="false">IF(D157="","",ROUND(SQRT(((D157+G157)*O157/100)^2+(J157*(D157+G157)*0.08889)^2),0))</f>
        <v>101</v>
      </c>
      <c r="U157" s="25"/>
    </row>
    <row r="158" customFormat="false" ht="15" hidden="false" customHeight="false" outlineLevel="0" collapsed="false">
      <c r="A158" s="25" t="s">
        <v>197</v>
      </c>
      <c r="B158" s="25" t="s">
        <v>312</v>
      </c>
      <c r="C158" s="25" t="s">
        <v>314</v>
      </c>
      <c r="D158" s="52" t="n">
        <v>857</v>
      </c>
      <c r="E158" s="52" t="n">
        <v>860</v>
      </c>
      <c r="F158" s="63" t="n">
        <f aca="false">IF(E158="","",D158-E158)</f>
        <v>-3</v>
      </c>
      <c r="G158" s="52" t="n">
        <v>1365</v>
      </c>
      <c r="H158" s="52" t="n">
        <v>1332</v>
      </c>
      <c r="I158" s="63" t="n">
        <f aca="false">IF(H158="","",G158-H158)</f>
        <v>33</v>
      </c>
      <c r="J158" s="53" t="n">
        <f aca="false">IF(OR(D158="",D158+G158=0),"",D158/(D158+G158))</f>
        <v>0.385688568856886</v>
      </c>
      <c r="K158" s="53" t="n">
        <f aca="false">IF(E158="","",E158/(E158+H158))</f>
        <v>0.392335766423358</v>
      </c>
      <c r="L158" s="64" t="n">
        <f aca="false">IF(OR(K158="",J158=""),"",(J158-K158)*100)</f>
        <v>-0.664719756647197</v>
      </c>
      <c r="M158" s="28" t="n">
        <v>2.49017287917352</v>
      </c>
      <c r="N158" s="28" t="n">
        <v>0.397844942258686</v>
      </c>
      <c r="O158" s="28" t="n">
        <f aca="false">SQRT(M158^2+N158^2)</f>
        <v>2.52175366882892</v>
      </c>
      <c r="P158" s="53" t="n">
        <f aca="false">IF(J158="","",MAX(0,J158-1.96*O158/100))</f>
        <v>0.336262196947839</v>
      </c>
      <c r="Q158" s="53" t="n">
        <f aca="false">IF(J158="","",MIN(1,J158+1.96*O158/100))</f>
        <v>0.435114940765933</v>
      </c>
      <c r="R158" s="25" t="str">
        <f aca="false">IF(L158="","",IF(ABS(L158)&lt;=O158,"Yes","No"))</f>
        <v>Yes</v>
      </c>
      <c r="S158" s="25" t="str">
        <f aca="false">IF(L158="","",IF(ABS(L158)&lt;=1.96*O158,"Yes","No"))</f>
        <v>Yes</v>
      </c>
      <c r="T158" s="52" t="n">
        <f aca="false">IF(D158="","",ROUND(SQRT(((D158+G158)*O158/100)^2+(J158*(D158+G158)*0.08889)^2),0))</f>
        <v>95</v>
      </c>
      <c r="U158" s="25"/>
    </row>
    <row r="159" customFormat="false" ht="15" hidden="false" customHeight="false" outlineLevel="0" collapsed="false">
      <c r="A159" s="25" t="s">
        <v>197</v>
      </c>
      <c r="B159" s="25" t="s">
        <v>312</v>
      </c>
      <c r="C159" s="25" t="s">
        <v>315</v>
      </c>
      <c r="D159" s="52" t="n">
        <v>444</v>
      </c>
      <c r="E159" s="52" t="n">
        <v>449</v>
      </c>
      <c r="F159" s="63" t="n">
        <f aca="false">IF(E159="","",D159-E159)</f>
        <v>-5</v>
      </c>
      <c r="G159" s="52" t="n">
        <v>699</v>
      </c>
      <c r="H159" s="52" t="n">
        <v>705</v>
      </c>
      <c r="I159" s="63" t="n">
        <f aca="false">IF(H159="","",G159-H159)</f>
        <v>-6</v>
      </c>
      <c r="J159" s="53" t="n">
        <f aca="false">IF(OR(D159="",D159+G159=0),"",D159/(D159+G159))</f>
        <v>0.388451443569554</v>
      </c>
      <c r="K159" s="53" t="n">
        <f aca="false">IF(E159="","",E159/(E159+H159))</f>
        <v>0.389081455805893</v>
      </c>
      <c r="L159" s="64" t="n">
        <f aca="false">IF(OR(K159="",J159=""),"",(J159-K159)*100)</f>
        <v>-0.063001223633874</v>
      </c>
      <c r="M159" s="28" t="n">
        <v>2.42668038003648</v>
      </c>
      <c r="N159" s="28" t="n">
        <v>0.397844942258686</v>
      </c>
      <c r="O159" s="28" t="n">
        <f aca="false">SQRT(M159^2+N159^2)</f>
        <v>2.45907670985165</v>
      </c>
      <c r="P159" s="53" t="n">
        <f aca="false">IF(J159="","",MAX(0,J159-1.96*O159/100))</f>
        <v>0.340253540056461</v>
      </c>
      <c r="Q159" s="53" t="n">
        <f aca="false">IF(J159="","",MIN(1,J159+1.96*O159/100))</f>
        <v>0.436649347082646</v>
      </c>
      <c r="R159" s="25" t="str">
        <f aca="false">IF(L159="","",IF(ABS(L159)&lt;=O159,"Yes","No"))</f>
        <v>Yes</v>
      </c>
      <c r="S159" s="25" t="str">
        <f aca="false">IF(L159="","",IF(ABS(L159)&lt;=1.96*O159,"Yes","No"))</f>
        <v>Yes</v>
      </c>
      <c r="T159" s="52" t="n">
        <f aca="false">IF(D159="","",ROUND(SQRT(((D159+G159)*O159/100)^2+(J159*(D159+G159)*0.10931)^2),0))</f>
        <v>56</v>
      </c>
      <c r="U159" s="25"/>
    </row>
    <row r="160" customFormat="false" ht="15" hidden="false" customHeight="false" outlineLevel="0" collapsed="false">
      <c r="A160" s="25" t="s">
        <v>197</v>
      </c>
      <c r="B160" s="25" t="s">
        <v>312</v>
      </c>
      <c r="C160" s="25" t="s">
        <v>316</v>
      </c>
      <c r="D160" s="52" t="n">
        <v>640</v>
      </c>
      <c r="E160" s="52" t="n">
        <v>654</v>
      </c>
      <c r="F160" s="63" t="n">
        <f aca="false">IF(E160="","",D160-E160)</f>
        <v>-14</v>
      </c>
      <c r="G160" s="52" t="n">
        <v>1009</v>
      </c>
      <c r="H160" s="52" t="n">
        <v>979</v>
      </c>
      <c r="I160" s="63" t="n">
        <f aca="false">IF(H160="","",G160-H160)</f>
        <v>30</v>
      </c>
      <c r="J160" s="53" t="n">
        <f aca="false">IF(OR(D160="",D160+G160=0),"",D160/(D160+G160))</f>
        <v>0.388114008489994</v>
      </c>
      <c r="K160" s="53" t="n">
        <f aca="false">IF(E160="","",E160/(E160+H160))</f>
        <v>0.400489895897122</v>
      </c>
      <c r="L160" s="64" t="n">
        <f aca="false">IF(OR(K160="",J160=""),"",(J160-K160)*100)</f>
        <v>-1.23758874071279</v>
      </c>
      <c r="M160" s="28" t="n">
        <v>2.49017287917352</v>
      </c>
      <c r="N160" s="28" t="n">
        <v>0.397844942258686</v>
      </c>
      <c r="O160" s="28" t="n">
        <f aca="false">SQRT(M160^2+N160^2)</f>
        <v>2.52175366882892</v>
      </c>
      <c r="P160" s="53" t="n">
        <f aca="false">IF(J160="","",MAX(0,J160-1.96*O160/100))</f>
        <v>0.338687636580947</v>
      </c>
      <c r="Q160" s="53" t="n">
        <f aca="false">IF(J160="","",MIN(1,J160+1.96*O160/100))</f>
        <v>0.437540380399041</v>
      </c>
      <c r="R160" s="25" t="str">
        <f aca="false">IF(L160="","",IF(ABS(L160)&lt;=O160,"Yes","No"))</f>
        <v>Yes</v>
      </c>
      <c r="S160" s="25" t="str">
        <f aca="false">IF(L160="","",IF(ABS(L160)&lt;=1.96*O160,"Yes","No"))</f>
        <v>Yes</v>
      </c>
      <c r="T160" s="52" t="n">
        <f aca="false">IF(D160="","",ROUND(SQRT(((D160+G160)*O160/100)^2+(J160*(D160+G160)*0.08889)^2),0))</f>
        <v>70</v>
      </c>
      <c r="U160" s="25"/>
    </row>
    <row r="161" customFormat="false" ht="15" hidden="false" customHeight="false" outlineLevel="0" collapsed="false">
      <c r="A161" s="25" t="s">
        <v>197</v>
      </c>
      <c r="B161" s="25" t="s">
        <v>312</v>
      </c>
      <c r="C161" s="25" t="s">
        <v>317</v>
      </c>
      <c r="D161" s="52" t="n">
        <v>542</v>
      </c>
      <c r="E161" s="52" t="n">
        <v>557</v>
      </c>
      <c r="F161" s="63" t="n">
        <f aca="false">IF(E161="","",D161-E161)</f>
        <v>-15</v>
      </c>
      <c r="G161" s="52" t="n">
        <v>931</v>
      </c>
      <c r="H161" s="52" t="n">
        <v>890</v>
      </c>
      <c r="I161" s="63" t="n">
        <f aca="false">IF(H161="","",G161-H161)</f>
        <v>41</v>
      </c>
      <c r="J161" s="53" t="n">
        <f aca="false">IF(OR(D161="",D161+G161=0),"",D161/(D161+G161))</f>
        <v>0.36795655125594</v>
      </c>
      <c r="K161" s="53" t="n">
        <f aca="false">IF(E161="","",E161/(E161+H161))</f>
        <v>0.384934346924672</v>
      </c>
      <c r="L161" s="64" t="n">
        <f aca="false">IF(OR(K161="",J161=""),"",(J161-K161)*100)</f>
        <v>-1.69777956687315</v>
      </c>
      <c r="M161" s="28" t="n">
        <v>2.49017287917352</v>
      </c>
      <c r="N161" s="28" t="n">
        <v>0.397844942258686</v>
      </c>
      <c r="O161" s="28" t="n">
        <f aca="false">SQRT(M161^2+N161^2)</f>
        <v>2.52175366882892</v>
      </c>
      <c r="P161" s="53" t="n">
        <f aca="false">IF(J161="","",MAX(0,J161-1.96*O161/100))</f>
        <v>0.318530179346893</v>
      </c>
      <c r="Q161" s="53" t="n">
        <f aca="false">IF(J161="","",MIN(1,J161+1.96*O161/100))</f>
        <v>0.417382923164987</v>
      </c>
      <c r="R161" s="25" t="str">
        <f aca="false">IF(L161="","",IF(ABS(L161)&lt;=O161,"Yes","No"))</f>
        <v>Yes</v>
      </c>
      <c r="S161" s="25" t="str">
        <f aca="false">IF(L161="","",IF(ABS(L161)&lt;=1.96*O161,"Yes","No"))</f>
        <v>Yes</v>
      </c>
      <c r="T161" s="52" t="n">
        <f aca="false">IF(D161="","",ROUND(SQRT(((D161+G161)*O161/100)^2+(J161*(D161+G161)*0.08889)^2),0))</f>
        <v>61</v>
      </c>
      <c r="U161" s="25"/>
    </row>
    <row r="162" customFormat="false" ht="15" hidden="false" customHeight="false" outlineLevel="0" collapsed="false">
      <c r="A162" s="25" t="s">
        <v>197</v>
      </c>
      <c r="B162" s="25" t="s">
        <v>312</v>
      </c>
      <c r="C162" s="25" t="s">
        <v>318</v>
      </c>
      <c r="D162" s="52" t="n">
        <v>500</v>
      </c>
      <c r="E162" s="52" t="n">
        <v>492</v>
      </c>
      <c r="F162" s="63" t="n">
        <f aca="false">IF(E162="","",D162-E162)</f>
        <v>8</v>
      </c>
      <c r="G162" s="52" t="n">
        <v>699</v>
      </c>
      <c r="H162" s="52" t="n">
        <v>675</v>
      </c>
      <c r="I162" s="63" t="n">
        <f aca="false">IF(H162="","",G162-H162)</f>
        <v>24</v>
      </c>
      <c r="J162" s="53" t="n">
        <f aca="false">IF(OR(D162="",D162+G162=0),"",D162/(D162+G162))</f>
        <v>0.417014178482068</v>
      </c>
      <c r="K162" s="53" t="n">
        <f aca="false">IF(E162="","",E162/(E162+H162))</f>
        <v>0.42159383033419</v>
      </c>
      <c r="L162" s="64" t="n">
        <f aca="false">IF(OR(K162="",J162=""),"",(J162-K162)*100)</f>
        <v>-0.457965185212184</v>
      </c>
      <c r="M162" s="28" t="n">
        <v>2.49017287917352</v>
      </c>
      <c r="N162" s="28" t="n">
        <v>0.397844942258686</v>
      </c>
      <c r="O162" s="28" t="n">
        <f aca="false">SQRT(M162^2+N162^2)</f>
        <v>2.52175366882892</v>
      </c>
      <c r="P162" s="53" t="n">
        <f aca="false">IF(J162="","",MAX(0,J162-1.96*O162/100))</f>
        <v>0.367587806573022</v>
      </c>
      <c r="Q162" s="53" t="n">
        <f aca="false">IF(J162="","",MIN(1,J162+1.96*O162/100))</f>
        <v>0.466440550391115</v>
      </c>
      <c r="R162" s="25" t="str">
        <f aca="false">IF(L162="","",IF(ABS(L162)&lt;=O162,"Yes","No"))</f>
        <v>Yes</v>
      </c>
      <c r="S162" s="25" t="str">
        <f aca="false">IF(L162="","",IF(ABS(L162)&lt;=1.96*O162,"Yes","No"))</f>
        <v>Yes</v>
      </c>
      <c r="T162" s="52" t="n">
        <f aca="false">IF(D162="","",ROUND(SQRT(((D162+G162)*O162/100)^2+(J162*(D162+G162)*0.08889)^2),0))</f>
        <v>54</v>
      </c>
      <c r="U162" s="25"/>
    </row>
    <row r="163" customFormat="false" ht="15" hidden="false" customHeight="false" outlineLevel="0" collapsed="false">
      <c r="A163" s="25" t="s">
        <v>197</v>
      </c>
      <c r="B163" s="25" t="s">
        <v>319</v>
      </c>
      <c r="C163" s="25" t="s">
        <v>320</v>
      </c>
      <c r="D163" s="52" t="n">
        <v>681</v>
      </c>
      <c r="E163" s="52" t="n">
        <v>668</v>
      </c>
      <c r="F163" s="63" t="n">
        <f aca="false">IF(E163="","",D163-E163)</f>
        <v>13</v>
      </c>
      <c r="G163" s="52" t="n">
        <v>708</v>
      </c>
      <c r="H163" s="52" t="n">
        <v>693</v>
      </c>
      <c r="I163" s="63" t="n">
        <f aca="false">IF(H163="","",G163-H163)</f>
        <v>15</v>
      </c>
      <c r="J163" s="53" t="n">
        <f aca="false">IF(OR(D163="",D163+G163=0),"",D163/(D163+G163))</f>
        <v>0.490280777537797</v>
      </c>
      <c r="K163" s="53" t="n">
        <f aca="false">IF(E163="","",E163/(E163+H163))</f>
        <v>0.490815576781778</v>
      </c>
      <c r="L163" s="64" t="n">
        <f aca="false">IF(OR(K163="",J163=""),"",(J163-K163)*100)</f>
        <v>-0.0534799243981143</v>
      </c>
      <c r="M163" s="28" t="n">
        <v>2.49017287917352</v>
      </c>
      <c r="N163" s="28" t="n">
        <v>0.397844942258686</v>
      </c>
      <c r="O163" s="28" t="n">
        <f aca="false">SQRT(M163^2+N163^2)</f>
        <v>2.52175366882892</v>
      </c>
      <c r="P163" s="53" t="n">
        <f aca="false">IF(J163="","",MAX(0,J163-1.96*O163/100))</f>
        <v>0.44085440562875</v>
      </c>
      <c r="Q163" s="53" t="n">
        <f aca="false">IF(J163="","",MIN(1,J163+1.96*O163/100))</f>
        <v>0.539707149446844</v>
      </c>
      <c r="R163" s="25" t="str">
        <f aca="false">IF(L163="","",IF(ABS(L163)&lt;=O163,"Yes","No"))</f>
        <v>Yes</v>
      </c>
      <c r="S163" s="25" t="str">
        <f aca="false">IF(L163="","",IF(ABS(L163)&lt;=1.96*O163,"Yes","No"))</f>
        <v>Yes</v>
      </c>
      <c r="T163" s="52" t="n">
        <f aca="false">IF(D163="","",ROUND(SQRT(((D163+G163)*O163/100)^2+(J163*(D163+G163)*0.08889)^2),0))</f>
        <v>70</v>
      </c>
      <c r="U163" s="25"/>
    </row>
    <row r="164" customFormat="false" ht="15" hidden="false" customHeight="false" outlineLevel="0" collapsed="false">
      <c r="A164" s="25" t="s">
        <v>197</v>
      </c>
      <c r="B164" s="25" t="s">
        <v>319</v>
      </c>
      <c r="C164" s="25" t="s">
        <v>321</v>
      </c>
      <c r="D164" s="52" t="n">
        <v>805</v>
      </c>
      <c r="E164" s="52" t="n">
        <v>803</v>
      </c>
      <c r="F164" s="63" t="n">
        <f aca="false">IF(E164="","",D164-E164)</f>
        <v>2</v>
      </c>
      <c r="G164" s="52" t="n">
        <v>817</v>
      </c>
      <c r="H164" s="52" t="n">
        <v>818</v>
      </c>
      <c r="I164" s="63" t="n">
        <f aca="false">IF(H164="","",G164-H164)</f>
        <v>-1</v>
      </c>
      <c r="J164" s="53" t="n">
        <f aca="false">IF(OR(D164="",D164+G164=0),"",D164/(D164+G164))</f>
        <v>0.496300863131936</v>
      </c>
      <c r="K164" s="53" t="n">
        <f aca="false">IF(E164="","",E164/(E164+H164))</f>
        <v>0.495373226403455</v>
      </c>
      <c r="L164" s="64" t="n">
        <f aca="false">IF(OR(K164="",J164=""),"",(J164-K164)*100)</f>
        <v>0.0927636728481229</v>
      </c>
      <c r="M164" s="28" t="n">
        <v>2.49017287917352</v>
      </c>
      <c r="N164" s="28" t="n">
        <v>0.397844942258686</v>
      </c>
      <c r="O164" s="28" t="n">
        <f aca="false">SQRT(M164^2+N164^2)</f>
        <v>2.52175366882892</v>
      </c>
      <c r="P164" s="53" t="n">
        <f aca="false">IF(J164="","",MAX(0,J164-1.96*O164/100))</f>
        <v>0.446874491222889</v>
      </c>
      <c r="Q164" s="53" t="n">
        <f aca="false">IF(J164="","",MIN(1,J164+1.96*O164/100))</f>
        <v>0.545727235040983</v>
      </c>
      <c r="R164" s="25" t="str">
        <f aca="false">IF(L164="","",IF(ABS(L164)&lt;=O164,"Yes","No"))</f>
        <v>Yes</v>
      </c>
      <c r="S164" s="25" t="str">
        <f aca="false">IF(L164="","",IF(ABS(L164)&lt;=1.96*O164,"Yes","No"))</f>
        <v>Yes</v>
      </c>
      <c r="T164" s="52" t="n">
        <f aca="false">IF(D164="","",ROUND(SQRT(((D164+G164)*O164/100)^2+(J164*(D164+G164)*0.08889)^2),0))</f>
        <v>82</v>
      </c>
      <c r="U164" s="25"/>
    </row>
    <row r="165" customFormat="false" ht="15" hidden="false" customHeight="false" outlineLevel="0" collapsed="false">
      <c r="A165" s="25" t="s">
        <v>197</v>
      </c>
      <c r="B165" s="25" t="s">
        <v>319</v>
      </c>
      <c r="C165" s="25" t="s">
        <v>322</v>
      </c>
      <c r="D165" s="52" t="n">
        <v>349</v>
      </c>
      <c r="E165" s="52" t="n">
        <v>342</v>
      </c>
      <c r="F165" s="63" t="n">
        <f aca="false">IF(E165="","",D165-E165)</f>
        <v>7</v>
      </c>
      <c r="G165" s="52" t="n">
        <v>345</v>
      </c>
      <c r="H165" s="52" t="n">
        <v>358</v>
      </c>
      <c r="I165" s="63" t="n">
        <f aca="false">IF(H165="","",G165-H165)</f>
        <v>-13</v>
      </c>
      <c r="J165" s="53" t="n">
        <f aca="false">IF(OR(D165="",D165+G165=0),"",D165/(D165+G165))</f>
        <v>0.502881844380404</v>
      </c>
      <c r="K165" s="53" t="n">
        <f aca="false">IF(E165="","",E165/(E165+H165))</f>
        <v>0.488571428571429</v>
      </c>
      <c r="L165" s="64" t="n">
        <f aca="false">IF(OR(K165="",J165=""),"",(J165-K165)*100)</f>
        <v>1.4310415808975</v>
      </c>
      <c r="M165" s="28" t="n">
        <v>3.19821915242569</v>
      </c>
      <c r="N165" s="28" t="n">
        <v>0.397844942258686</v>
      </c>
      <c r="O165" s="28" t="n">
        <f aca="false">SQRT(M165^2+N165^2)</f>
        <v>3.22286927209642</v>
      </c>
      <c r="P165" s="53" t="n">
        <f aca="false">IF(J165="","",MAX(0,J165-1.96*O165/100))</f>
        <v>0.439713606647314</v>
      </c>
      <c r="Q165" s="53" t="n">
        <f aca="false">IF(J165="","",MIN(1,J165+1.96*O165/100))</f>
        <v>0.566050082113493</v>
      </c>
      <c r="R165" s="25" t="str">
        <f aca="false">IF(L165="","",IF(ABS(L165)&lt;=O165,"Yes","No"))</f>
        <v>Yes</v>
      </c>
      <c r="S165" s="25" t="str">
        <f aca="false">IF(L165="","",IF(ABS(L165)&lt;=1.96*O165,"Yes","No"))</f>
        <v>Yes</v>
      </c>
      <c r="T165" s="52" t="n">
        <f aca="false">IF(D165="","",ROUND(SQRT(((D165+G165)*O165/100)^2+(J165*(D165+G165)*0.1901)^2),0))</f>
        <v>70</v>
      </c>
      <c r="U165" s="25"/>
    </row>
    <row r="166" customFormat="false" ht="15" hidden="false" customHeight="false" outlineLevel="0" collapsed="false">
      <c r="A166" s="25" t="s">
        <v>197</v>
      </c>
      <c r="B166" s="25" t="s">
        <v>319</v>
      </c>
      <c r="C166" s="25" t="s">
        <v>323</v>
      </c>
      <c r="D166" s="52" t="n">
        <v>418</v>
      </c>
      <c r="E166" s="52" t="n">
        <v>411</v>
      </c>
      <c r="F166" s="63" t="n">
        <f aca="false">IF(E166="","",D166-E166)</f>
        <v>7</v>
      </c>
      <c r="G166" s="52" t="n">
        <v>409</v>
      </c>
      <c r="H166" s="52" t="n">
        <v>417</v>
      </c>
      <c r="I166" s="63" t="n">
        <f aca="false">IF(H166="","",G166-H166)</f>
        <v>-8</v>
      </c>
      <c r="J166" s="53" t="n">
        <f aca="false">IF(OR(D166="",D166+G166=0),"",D166/(D166+G166))</f>
        <v>0.505441354292624</v>
      </c>
      <c r="K166" s="53" t="n">
        <f aca="false">IF(E166="","",E166/(E166+H166))</f>
        <v>0.496376811594203</v>
      </c>
      <c r="L166" s="64" t="n">
        <f aca="false">IF(OR(K166="",J166=""),"",(J166-K166)*100)</f>
        <v>0.906454269842105</v>
      </c>
      <c r="M166" s="28" t="n">
        <v>2.42668038003648</v>
      </c>
      <c r="N166" s="28" t="n">
        <v>0.397844942258686</v>
      </c>
      <c r="O166" s="28" t="n">
        <f aca="false">SQRT(M166^2+N166^2)</f>
        <v>2.45907670985165</v>
      </c>
      <c r="P166" s="53" t="n">
        <f aca="false">IF(J166="","",MAX(0,J166-1.96*O166/100))</f>
        <v>0.457243450779532</v>
      </c>
      <c r="Q166" s="53" t="n">
        <f aca="false">IF(J166="","",MIN(1,J166+1.96*O166/100))</f>
        <v>0.553639257805716</v>
      </c>
      <c r="R166" s="25" t="str">
        <f aca="false">IF(L166="","",IF(ABS(L166)&lt;=O166,"Yes","No"))</f>
        <v>Yes</v>
      </c>
      <c r="S166" s="25" t="str">
        <f aca="false">IF(L166="","",IF(ABS(L166)&lt;=1.96*O166,"Yes","No"))</f>
        <v>Yes</v>
      </c>
      <c r="T166" s="52" t="n">
        <f aca="false">IF(D166="","",ROUND(SQRT(((D166+G166)*O166/100)^2+(J166*(D166+G166)*0.10931)^2),0))</f>
        <v>50</v>
      </c>
      <c r="U166" s="25"/>
    </row>
    <row r="167" customFormat="false" ht="15" hidden="false" customHeight="false" outlineLevel="0" collapsed="false">
      <c r="A167" s="25" t="s">
        <v>197</v>
      </c>
      <c r="B167" s="25" t="s">
        <v>319</v>
      </c>
      <c r="C167" s="25" t="s">
        <v>324</v>
      </c>
      <c r="D167" s="52" t="n">
        <v>503</v>
      </c>
      <c r="E167" s="52" t="n">
        <v>525</v>
      </c>
      <c r="F167" s="63" t="n">
        <f aca="false">IF(E167="","",D167-E167)</f>
        <v>-22</v>
      </c>
      <c r="G167" s="52" t="n">
        <v>583</v>
      </c>
      <c r="H167" s="52" t="n">
        <v>552</v>
      </c>
      <c r="I167" s="63" t="n">
        <f aca="false">IF(H167="","",G167-H167)</f>
        <v>31</v>
      </c>
      <c r="J167" s="53" t="n">
        <f aca="false">IF(OR(D167="",D167+G167=0),"",D167/(D167+G167))</f>
        <v>0.46316758747698</v>
      </c>
      <c r="K167" s="53" t="n">
        <f aca="false">IF(E167="","",E167/(E167+H167))</f>
        <v>0.487465181058496</v>
      </c>
      <c r="L167" s="64" t="n">
        <f aca="false">IF(OR(K167="",J167=""),"",(J167-K167)*100)</f>
        <v>-2.42975935815161</v>
      </c>
      <c r="M167" s="28" t="n">
        <v>2.42668038003648</v>
      </c>
      <c r="N167" s="28" t="n">
        <v>0.397844942258686</v>
      </c>
      <c r="O167" s="28" t="n">
        <f aca="false">SQRT(M167^2+N167^2)</f>
        <v>2.45907670985165</v>
      </c>
      <c r="P167" s="53" t="n">
        <f aca="false">IF(J167="","",MAX(0,J167-1.96*O167/100))</f>
        <v>0.414969683963887</v>
      </c>
      <c r="Q167" s="53" t="n">
        <f aca="false">IF(J167="","",MIN(1,J167+1.96*O167/100))</f>
        <v>0.511365490990072</v>
      </c>
      <c r="R167" s="25" t="str">
        <f aca="false">IF(L167="","",IF(ABS(L167)&lt;=O167,"Yes","No"))</f>
        <v>Yes</v>
      </c>
      <c r="S167" s="25" t="str">
        <f aca="false">IF(L167="","",IF(ABS(L167)&lt;=1.96*O167,"Yes","No"))</f>
        <v>Yes</v>
      </c>
      <c r="T167" s="52" t="n">
        <f aca="false">IF(D167="","",ROUND(SQRT(((D167+G167)*O167/100)^2+(J167*(D167+G167)*0.10931)^2),0))</f>
        <v>61</v>
      </c>
      <c r="U167" s="25"/>
    </row>
    <row r="168" customFormat="false" ht="15" hidden="false" customHeight="false" outlineLevel="0" collapsed="false">
      <c r="A168" s="25" t="s">
        <v>197</v>
      </c>
      <c r="B168" s="25" t="s">
        <v>319</v>
      </c>
      <c r="C168" s="25" t="s">
        <v>325</v>
      </c>
      <c r="D168" s="52" t="n">
        <v>340</v>
      </c>
      <c r="E168" s="52" t="n">
        <v>313</v>
      </c>
      <c r="F168" s="63" t="n">
        <f aca="false">IF(E168="","",D168-E168)</f>
        <v>27</v>
      </c>
      <c r="G168" s="52" t="n">
        <v>371</v>
      </c>
      <c r="H168" s="52" t="n">
        <v>360</v>
      </c>
      <c r="I168" s="63" t="n">
        <f aca="false">IF(H168="","",G168-H168)</f>
        <v>11</v>
      </c>
      <c r="J168" s="53" t="n">
        <f aca="false">IF(OR(D168="",D168+G168=0),"",D168/(D168+G168))</f>
        <v>0.478199718706048</v>
      </c>
      <c r="K168" s="53" t="n">
        <f aca="false">IF(E168="","",E168/(E168+H168))</f>
        <v>0.465081723625557</v>
      </c>
      <c r="L168" s="64" t="n">
        <f aca="false">IF(OR(K168="",J168=""),"",(J168-K168)*100)</f>
        <v>1.31179950804906</v>
      </c>
      <c r="M168" s="28" t="n">
        <v>3.19821915242569</v>
      </c>
      <c r="N168" s="28" t="n">
        <v>0.397844942258686</v>
      </c>
      <c r="O168" s="28" t="n">
        <f aca="false">SQRT(M168^2+N168^2)</f>
        <v>3.22286927209642</v>
      </c>
      <c r="P168" s="53" t="n">
        <f aca="false">IF(J168="","",MAX(0,J168-1.96*O168/100))</f>
        <v>0.415031480972958</v>
      </c>
      <c r="Q168" s="53" t="n">
        <f aca="false">IF(J168="","",MIN(1,J168+1.96*O168/100))</f>
        <v>0.541367956439138</v>
      </c>
      <c r="R168" s="25" t="str">
        <f aca="false">IF(L168="","",IF(ABS(L168)&lt;=O168,"Yes","No"))</f>
        <v>Yes</v>
      </c>
      <c r="S168" s="25" t="str">
        <f aca="false">IF(L168="","",IF(ABS(L168)&lt;=1.96*O168,"Yes","No"))</f>
        <v>Yes</v>
      </c>
      <c r="T168" s="52" t="n">
        <f aca="false">IF(D168="","",ROUND(SQRT(((D168+G168)*O168/100)^2+(J168*(D168+G168)*0.1901)^2),0))</f>
        <v>69</v>
      </c>
      <c r="U168" s="25"/>
    </row>
    <row r="169" customFormat="false" ht="15" hidden="false" customHeight="false" outlineLevel="0" collapsed="false">
      <c r="A169" s="25" t="s">
        <v>197</v>
      </c>
      <c r="B169" s="25" t="s">
        <v>319</v>
      </c>
      <c r="C169" s="25" t="s">
        <v>326</v>
      </c>
      <c r="D169" s="52" t="n">
        <v>394</v>
      </c>
      <c r="E169" s="52" t="n">
        <v>415</v>
      </c>
      <c r="F169" s="63" t="n">
        <f aca="false">IF(E169="","",D169-E169)</f>
        <v>-21</v>
      </c>
      <c r="G169" s="52" t="n">
        <v>382</v>
      </c>
      <c r="H169" s="52" t="n">
        <v>371</v>
      </c>
      <c r="I169" s="63" t="n">
        <f aca="false">IF(H169="","",G169-H169)</f>
        <v>11</v>
      </c>
      <c r="J169" s="53" t="n">
        <f aca="false">IF(OR(D169="",D169+G169=0),"",D169/(D169+G169))</f>
        <v>0.507731958762887</v>
      </c>
      <c r="K169" s="53" t="n">
        <f aca="false">IF(E169="","",E169/(E169+H169))</f>
        <v>0.527989821882952</v>
      </c>
      <c r="L169" s="64" t="n">
        <f aca="false">IF(OR(K169="",J169=""),"",(J169-K169)*100)</f>
        <v>-2.02578631200651</v>
      </c>
      <c r="M169" s="28" t="n">
        <v>2.42668038003648</v>
      </c>
      <c r="N169" s="28" t="n">
        <v>0.397844942258686</v>
      </c>
      <c r="O169" s="28" t="n">
        <f aca="false">SQRT(M169^2+N169^2)</f>
        <v>2.45907670985165</v>
      </c>
      <c r="P169" s="53" t="n">
        <f aca="false">IF(J169="","",MAX(0,J169-1.96*O169/100))</f>
        <v>0.459534055249794</v>
      </c>
      <c r="Q169" s="53" t="n">
        <f aca="false">IF(J169="","",MIN(1,J169+1.96*O169/100))</f>
        <v>0.555929862275979</v>
      </c>
      <c r="R169" s="25" t="str">
        <f aca="false">IF(L169="","",IF(ABS(L169)&lt;=O169,"Yes","No"))</f>
        <v>Yes</v>
      </c>
      <c r="S169" s="25" t="str">
        <f aca="false">IF(L169="","",IF(ABS(L169)&lt;=1.96*O169,"Yes","No"))</f>
        <v>Yes</v>
      </c>
      <c r="T169" s="52" t="n">
        <f aca="false">IF(D169="","",ROUND(SQRT(((D169+G169)*O169/100)^2+(J169*(D169+G169)*0.10931)^2),0))</f>
        <v>47</v>
      </c>
      <c r="U169" s="25"/>
    </row>
    <row r="170" customFormat="false" ht="15" hidden="false" customHeight="false" outlineLevel="0" collapsed="false">
      <c r="A170" s="25" t="s">
        <v>197</v>
      </c>
      <c r="B170" s="25" t="s">
        <v>319</v>
      </c>
      <c r="C170" s="25" t="s">
        <v>327</v>
      </c>
      <c r="D170" s="52" t="n">
        <v>523</v>
      </c>
      <c r="E170" s="52" t="n">
        <v>533</v>
      </c>
      <c r="F170" s="63" t="n">
        <f aca="false">IF(E170="","",D170-E170)</f>
        <v>-10</v>
      </c>
      <c r="G170" s="52" t="n">
        <v>547</v>
      </c>
      <c r="H170" s="52" t="n">
        <v>535</v>
      </c>
      <c r="I170" s="63" t="n">
        <f aca="false">IF(H170="","",G170-H170)</f>
        <v>12</v>
      </c>
      <c r="J170" s="53" t="n">
        <f aca="false">IF(OR(D170="",D170+G170=0),"",D170/(D170+G170))</f>
        <v>0.488785046728972</v>
      </c>
      <c r="K170" s="53" t="n">
        <f aca="false">IF(E170="","",E170/(E170+H170))</f>
        <v>0.499063670411985</v>
      </c>
      <c r="L170" s="64" t="n">
        <f aca="false">IF(OR(K170="",J170=""),"",(J170-K170)*100)</f>
        <v>-1.02786236830131</v>
      </c>
      <c r="M170" s="28" t="n">
        <v>2.42668038003648</v>
      </c>
      <c r="N170" s="28" t="n">
        <v>0.397844942258686</v>
      </c>
      <c r="O170" s="28" t="n">
        <f aca="false">SQRT(M170^2+N170^2)</f>
        <v>2.45907670985165</v>
      </c>
      <c r="P170" s="53" t="n">
        <f aca="false">IF(J170="","",MAX(0,J170-1.96*O170/100))</f>
        <v>0.44058714321588</v>
      </c>
      <c r="Q170" s="53" t="n">
        <f aca="false">IF(J170="","",MIN(1,J170+1.96*O170/100))</f>
        <v>0.536982950242064</v>
      </c>
      <c r="R170" s="25" t="str">
        <f aca="false">IF(L170="","",IF(ABS(L170)&lt;=O170,"Yes","No"))</f>
        <v>Yes</v>
      </c>
      <c r="S170" s="25" t="str">
        <f aca="false">IF(L170="","",IF(ABS(L170)&lt;=1.96*O170,"Yes","No"))</f>
        <v>Yes</v>
      </c>
      <c r="T170" s="52" t="n">
        <f aca="false">IF(D170="","",ROUND(SQRT(((D170+G170)*O170/100)^2+(J170*(D170+G170)*0.10931)^2),0))</f>
        <v>63</v>
      </c>
      <c r="U170" s="25"/>
    </row>
    <row r="171" customFormat="false" ht="15" hidden="false" customHeight="false" outlineLevel="0" collapsed="false">
      <c r="A171" s="25" t="s">
        <v>197</v>
      </c>
      <c r="B171" s="25" t="s">
        <v>328</v>
      </c>
      <c r="C171" s="25" t="s">
        <v>329</v>
      </c>
      <c r="D171" s="52" t="n">
        <v>264</v>
      </c>
      <c r="E171" s="52" t="n">
        <v>242</v>
      </c>
      <c r="F171" s="63" t="n">
        <f aca="false">IF(E171="","",D171-E171)</f>
        <v>22</v>
      </c>
      <c r="G171" s="52" t="n">
        <v>321</v>
      </c>
      <c r="H171" s="52" t="n">
        <v>337</v>
      </c>
      <c r="I171" s="63" t="n">
        <f aca="false">IF(H171="","",G171-H171)</f>
        <v>-16</v>
      </c>
      <c r="J171" s="53" t="n">
        <f aca="false">IF(OR(D171="",D171+G171=0),"",D171/(D171+G171))</f>
        <v>0.451282051282051</v>
      </c>
      <c r="K171" s="53" t="n">
        <f aca="false">IF(E171="","",E171/(E171+H171))</f>
        <v>0.417962003454231</v>
      </c>
      <c r="L171" s="64" t="n">
        <f aca="false">IF(OR(K171="",J171=""),"",(J171-K171)*100)</f>
        <v>3.33200478278198</v>
      </c>
      <c r="M171" s="28" t="n">
        <v>3.19821915242569</v>
      </c>
      <c r="N171" s="28" t="n">
        <v>0.397844942258686</v>
      </c>
      <c r="O171" s="28" t="n">
        <f aca="false">SQRT(M171^2+N171^2)</f>
        <v>3.22286927209642</v>
      </c>
      <c r="P171" s="53" t="n">
        <f aca="false">IF(J171="","",MAX(0,J171-1.96*O171/100))</f>
        <v>0.388113813548961</v>
      </c>
      <c r="Q171" s="53" t="n">
        <f aca="false">IF(J171="","",MIN(1,J171+1.96*O171/100))</f>
        <v>0.514450289015141</v>
      </c>
      <c r="R171" s="25" t="str">
        <f aca="false">IF(L171="","",IF(ABS(L171)&lt;=O171,"Yes","No"))</f>
        <v>No</v>
      </c>
      <c r="S171" s="25" t="str">
        <f aca="false">IF(L171="","",IF(ABS(L171)&lt;=1.96*O171,"Yes","No"))</f>
        <v>Yes</v>
      </c>
      <c r="T171" s="52" t="n">
        <f aca="false">IF(D171="","",ROUND(SQRT(((D171+G171)*O171/100)^2+(J171*(D171+G171)*0.1901)^2),0))</f>
        <v>54</v>
      </c>
      <c r="U171" s="25"/>
    </row>
    <row r="172" customFormat="false" ht="15" hidden="false" customHeight="false" outlineLevel="0" collapsed="false">
      <c r="A172" s="25" t="s">
        <v>197</v>
      </c>
      <c r="B172" s="25" t="s">
        <v>328</v>
      </c>
      <c r="C172" s="25" t="s">
        <v>330</v>
      </c>
      <c r="D172" s="52" t="n">
        <v>202</v>
      </c>
      <c r="E172" s="52" t="n">
        <v>187</v>
      </c>
      <c r="F172" s="63" t="n">
        <f aca="false">IF(E172="","",D172-E172)</f>
        <v>15</v>
      </c>
      <c r="G172" s="52" t="n">
        <v>288</v>
      </c>
      <c r="H172" s="52" t="n">
        <v>292</v>
      </c>
      <c r="I172" s="63" t="n">
        <f aca="false">IF(H172="","",G172-H172)</f>
        <v>-4</v>
      </c>
      <c r="J172" s="53" t="n">
        <f aca="false">IF(OR(D172="",D172+G172=0),"",D172/(D172+G172))</f>
        <v>0.412244897959184</v>
      </c>
      <c r="K172" s="53" t="n">
        <f aca="false">IF(E172="","",E172/(E172+H172))</f>
        <v>0.390396659707724</v>
      </c>
      <c r="L172" s="64" t="n">
        <f aca="false">IF(OR(K172="",J172=""),"",(J172-K172)*100)</f>
        <v>2.18482382514593</v>
      </c>
      <c r="M172" s="28" t="n">
        <v>3.19821915242569</v>
      </c>
      <c r="N172" s="28" t="n">
        <v>0.397844942258686</v>
      </c>
      <c r="O172" s="28" t="n">
        <f aca="false">SQRT(M172^2+N172^2)</f>
        <v>3.22286927209642</v>
      </c>
      <c r="P172" s="53" t="n">
        <f aca="false">IF(J172="","",MAX(0,J172-1.96*O172/100))</f>
        <v>0.349076660226094</v>
      </c>
      <c r="Q172" s="53" t="n">
        <f aca="false">IF(J172="","",MIN(1,J172+1.96*O172/100))</f>
        <v>0.475413135692274</v>
      </c>
      <c r="R172" s="25" t="str">
        <f aca="false">IF(L172="","",IF(ABS(L172)&lt;=O172,"Yes","No"))</f>
        <v>Yes</v>
      </c>
      <c r="S172" s="25" t="str">
        <f aca="false">IF(L172="","",IF(ABS(L172)&lt;=1.96*O172,"Yes","No"))</f>
        <v>Yes</v>
      </c>
      <c r="T172" s="52" t="n">
        <f aca="false">IF(D172="","",ROUND(SQRT(((D172+G172)*O172/100)^2+(J172*(D172+G172)*0.1901)^2),0))</f>
        <v>42</v>
      </c>
      <c r="U172" s="25"/>
    </row>
    <row r="173" customFormat="false" ht="15" hidden="false" customHeight="false" outlineLevel="0" collapsed="false">
      <c r="A173" s="25" t="s">
        <v>197</v>
      </c>
      <c r="B173" s="25" t="s">
        <v>328</v>
      </c>
      <c r="C173" s="25" t="s">
        <v>331</v>
      </c>
      <c r="D173" s="52" t="n">
        <v>376</v>
      </c>
      <c r="E173" s="52" t="n">
        <v>371</v>
      </c>
      <c r="F173" s="63" t="n">
        <f aca="false">IF(E173="","",D173-E173)</f>
        <v>5</v>
      </c>
      <c r="G173" s="52" t="n">
        <v>548</v>
      </c>
      <c r="H173" s="52" t="n">
        <v>527</v>
      </c>
      <c r="I173" s="63" t="n">
        <f aca="false">IF(H173="","",G173-H173)</f>
        <v>21</v>
      </c>
      <c r="J173" s="53" t="n">
        <f aca="false">IF(OR(D173="",D173+G173=0),"",D173/(D173+G173))</f>
        <v>0.406926406926407</v>
      </c>
      <c r="K173" s="53" t="n">
        <f aca="false">IF(E173="","",E173/(E173+H173))</f>
        <v>0.413140311804009</v>
      </c>
      <c r="L173" s="64" t="n">
        <f aca="false">IF(OR(K173="",J173=""),"",(J173-K173)*100)</f>
        <v>-0.621390487760198</v>
      </c>
      <c r="M173" s="28" t="n">
        <v>2.42668038003648</v>
      </c>
      <c r="N173" s="28" t="n">
        <v>0.397844942258686</v>
      </c>
      <c r="O173" s="28" t="n">
        <f aca="false">SQRT(M173^2+N173^2)</f>
        <v>2.45907670985165</v>
      </c>
      <c r="P173" s="53" t="n">
        <f aca="false">IF(J173="","",MAX(0,J173-1.96*O173/100))</f>
        <v>0.358728503413315</v>
      </c>
      <c r="Q173" s="53" t="n">
        <f aca="false">IF(J173="","",MIN(1,J173+1.96*O173/100))</f>
        <v>0.455124310439499</v>
      </c>
      <c r="R173" s="25" t="str">
        <f aca="false">IF(L173="","",IF(ABS(L173)&lt;=O173,"Yes","No"))</f>
        <v>Yes</v>
      </c>
      <c r="S173" s="25" t="str">
        <f aca="false">IF(L173="","",IF(ABS(L173)&lt;=1.96*O173,"Yes","No"))</f>
        <v>Yes</v>
      </c>
      <c r="T173" s="52" t="n">
        <f aca="false">IF(D173="","",ROUND(SQRT(((D173+G173)*O173/100)^2+(J173*(D173+G173)*0.10931)^2),0))</f>
        <v>47</v>
      </c>
      <c r="U173" s="25"/>
    </row>
    <row r="174" customFormat="false" ht="15" hidden="false" customHeight="false" outlineLevel="0" collapsed="false">
      <c r="A174" s="25" t="s">
        <v>197</v>
      </c>
      <c r="B174" s="25" t="s">
        <v>332</v>
      </c>
      <c r="C174" s="25" t="s">
        <v>333</v>
      </c>
      <c r="D174" s="52" t="n">
        <v>950</v>
      </c>
      <c r="E174" s="52" t="n">
        <v>912</v>
      </c>
      <c r="F174" s="63" t="n">
        <f aca="false">IF(E174="","",D174-E174)</f>
        <v>38</v>
      </c>
      <c r="G174" s="52" t="n">
        <v>914</v>
      </c>
      <c r="H174" s="52" t="n">
        <v>964</v>
      </c>
      <c r="I174" s="63" t="n">
        <f aca="false">IF(H174="","",G174-H174)</f>
        <v>-50</v>
      </c>
      <c r="J174" s="53" t="n">
        <f aca="false">IF(OR(D174="",D174+G174=0),"",D174/(D174+G174))</f>
        <v>0.509656652360515</v>
      </c>
      <c r="K174" s="53" t="n">
        <f aca="false">IF(E174="","",E174/(E174+H174))</f>
        <v>0.486140724946695</v>
      </c>
      <c r="L174" s="64" t="n">
        <f aca="false">IF(OR(K174="",J174=""),"",(J174-K174)*100)</f>
        <v>2.351592741382</v>
      </c>
      <c r="M174" s="28" t="n">
        <v>2.49017287917352</v>
      </c>
      <c r="N174" s="28" t="n">
        <v>0.397844942258686</v>
      </c>
      <c r="O174" s="28" t="n">
        <f aca="false">SQRT(M174^2+N174^2)</f>
        <v>2.52175366882892</v>
      </c>
      <c r="P174" s="53" t="n">
        <f aca="false">IF(J174="","",MAX(0,J174-1.96*O174/100))</f>
        <v>0.460230280451468</v>
      </c>
      <c r="Q174" s="53" t="n">
        <f aca="false">IF(J174="","",MIN(1,J174+1.96*O174/100))</f>
        <v>0.559083024269562</v>
      </c>
      <c r="R174" s="25" t="str">
        <f aca="false">IF(L174="","",IF(ABS(L174)&lt;=O174,"Yes","No"))</f>
        <v>Yes</v>
      </c>
      <c r="S174" s="25" t="str">
        <f aca="false">IF(L174="","",IF(ABS(L174)&lt;=1.96*O174,"Yes","No"))</f>
        <v>Yes</v>
      </c>
      <c r="T174" s="52" t="n">
        <f aca="false">IF(D174="","",ROUND(SQRT(((D174+G174)*O174/100)^2+(J174*(D174+G174)*0.08889)^2),0))</f>
        <v>97</v>
      </c>
      <c r="U174" s="25"/>
    </row>
    <row r="175" customFormat="false" ht="15" hidden="false" customHeight="false" outlineLevel="0" collapsed="false">
      <c r="A175" s="25" t="s">
        <v>197</v>
      </c>
      <c r="B175" s="25" t="s">
        <v>332</v>
      </c>
      <c r="C175" s="25" t="s">
        <v>334</v>
      </c>
      <c r="D175" s="52" t="n">
        <v>477</v>
      </c>
      <c r="E175" s="52" t="n">
        <v>449</v>
      </c>
      <c r="F175" s="63" t="n">
        <f aca="false">IF(E175="","",D175-E175)</f>
        <v>28</v>
      </c>
      <c r="G175" s="52" t="n">
        <v>458</v>
      </c>
      <c r="H175" s="52" t="n">
        <v>448</v>
      </c>
      <c r="I175" s="63" t="n">
        <f aca="false">IF(H175="","",G175-H175)</f>
        <v>10</v>
      </c>
      <c r="J175" s="53" t="n">
        <f aca="false">IF(OR(D175="",D175+G175=0),"",D175/(D175+G175))</f>
        <v>0.510160427807487</v>
      </c>
      <c r="K175" s="53" t="n">
        <f aca="false">IF(E175="","",E175/(E175+H175))</f>
        <v>0.500557413600892</v>
      </c>
      <c r="L175" s="64" t="n">
        <f aca="false">IF(OR(K175="",J175=""),"",(J175-K175)*100)</f>
        <v>0.960301420659471</v>
      </c>
      <c r="M175" s="28" t="n">
        <v>2.42668038003648</v>
      </c>
      <c r="N175" s="28" t="n">
        <v>0.397844942258686</v>
      </c>
      <c r="O175" s="28" t="n">
        <f aca="false">SQRT(M175^2+N175^2)</f>
        <v>2.45907670985165</v>
      </c>
      <c r="P175" s="53" t="n">
        <f aca="false">IF(J175="","",MAX(0,J175-1.96*O175/100))</f>
        <v>0.461962524294394</v>
      </c>
      <c r="Q175" s="53" t="n">
        <f aca="false">IF(J175="","",MIN(1,J175+1.96*O175/100))</f>
        <v>0.558358331320579</v>
      </c>
      <c r="R175" s="25" t="str">
        <f aca="false">IF(L175="","",IF(ABS(L175)&lt;=O175,"Yes","No"))</f>
        <v>Yes</v>
      </c>
      <c r="S175" s="25" t="str">
        <f aca="false">IF(L175="","",IF(ABS(L175)&lt;=1.96*O175,"Yes","No"))</f>
        <v>Yes</v>
      </c>
      <c r="T175" s="52" t="n">
        <f aca="false">IF(D175="","",ROUND(SQRT(((D175+G175)*O175/100)^2+(J175*(D175+G175)*0.10931)^2),0))</f>
        <v>57</v>
      </c>
      <c r="U175" s="25"/>
    </row>
    <row r="176" customFormat="false" ht="15" hidden="false" customHeight="false" outlineLevel="0" collapsed="false">
      <c r="A176" s="25" t="s">
        <v>197</v>
      </c>
      <c r="B176" s="25" t="s">
        <v>332</v>
      </c>
      <c r="C176" s="25" t="s">
        <v>335</v>
      </c>
      <c r="D176" s="52" t="n">
        <v>1221</v>
      </c>
      <c r="E176" s="52" t="n">
        <v>1161</v>
      </c>
      <c r="F176" s="63" t="n">
        <f aca="false">IF(E176="","",D176-E176)</f>
        <v>60</v>
      </c>
      <c r="G176" s="52" t="n">
        <v>960</v>
      </c>
      <c r="H176" s="52" t="n">
        <v>915</v>
      </c>
      <c r="I176" s="63" t="n">
        <f aca="false">IF(H176="","",G176-H176)</f>
        <v>45</v>
      </c>
      <c r="J176" s="53" t="n">
        <f aca="false">IF(OR(D176="",D176+G176=0),"",D176/(D176+G176))</f>
        <v>0.559834938101788</v>
      </c>
      <c r="K176" s="53" t="n">
        <f aca="false">IF(E176="","",E176/(E176+H176))</f>
        <v>0.559248554913295</v>
      </c>
      <c r="L176" s="64" t="n">
        <f aca="false">IF(OR(K176="",J176=""),"",(J176-K176)*100)</f>
        <v>0.0586383188493356</v>
      </c>
      <c r="M176" s="28" t="n">
        <v>2.49017287917352</v>
      </c>
      <c r="N176" s="28" t="n">
        <v>0.397844942258686</v>
      </c>
      <c r="O176" s="28" t="n">
        <f aca="false">SQRT(M176^2+N176^2)</f>
        <v>2.52175366882892</v>
      </c>
      <c r="P176" s="53" t="n">
        <f aca="false">IF(J176="","",MAX(0,J176-1.96*O176/100))</f>
        <v>0.510408566192741</v>
      </c>
      <c r="Q176" s="53" t="n">
        <f aca="false">IF(J176="","",MIN(1,J176+1.96*O176/100))</f>
        <v>0.609261310010835</v>
      </c>
      <c r="R176" s="25" t="str">
        <f aca="false">IF(L176="","",IF(ABS(L176)&lt;=O176,"Yes","No"))</f>
        <v>Yes</v>
      </c>
      <c r="S176" s="25" t="str">
        <f aca="false">IF(L176="","",IF(ABS(L176)&lt;=1.96*O176,"Yes","No"))</f>
        <v>Yes</v>
      </c>
      <c r="T176" s="52" t="n">
        <f aca="false">IF(D176="","",ROUND(SQRT(((D176+G176)*O176/100)^2+(J176*(D176+G176)*0.08889)^2),0))</f>
        <v>122</v>
      </c>
      <c r="U176" s="25"/>
    </row>
    <row r="177" customFormat="false" ht="15" hidden="false" customHeight="false" outlineLevel="0" collapsed="false">
      <c r="A177" s="25" t="s">
        <v>197</v>
      </c>
      <c r="B177" s="25" t="s">
        <v>332</v>
      </c>
      <c r="C177" s="25" t="s">
        <v>336</v>
      </c>
      <c r="D177" s="52" t="n">
        <v>536</v>
      </c>
      <c r="E177" s="52" t="n">
        <v>534</v>
      </c>
      <c r="F177" s="63" t="n">
        <f aca="false">IF(E177="","",D177-E177)</f>
        <v>2</v>
      </c>
      <c r="G177" s="52" t="n">
        <v>567</v>
      </c>
      <c r="H177" s="52" t="n">
        <v>577</v>
      </c>
      <c r="I177" s="63" t="n">
        <f aca="false">IF(H177="","",G177-H177)</f>
        <v>-10</v>
      </c>
      <c r="J177" s="53" t="n">
        <f aca="false">IF(OR(D177="",D177+G177=0),"",D177/(D177+G177))</f>
        <v>0.485947416137806</v>
      </c>
      <c r="K177" s="53" t="n">
        <f aca="false">IF(E177="","",E177/(E177+H177))</f>
        <v>0.480648064806481</v>
      </c>
      <c r="L177" s="64" t="n">
        <f aca="false">IF(OR(K177="",J177=""),"",(J177-K177)*100)</f>
        <v>0.529935133132536</v>
      </c>
      <c r="M177" s="28" t="n">
        <v>2.42668038003648</v>
      </c>
      <c r="N177" s="28" t="n">
        <v>0.397844942258686</v>
      </c>
      <c r="O177" s="28" t="n">
        <f aca="false">SQRT(M177^2+N177^2)</f>
        <v>2.45907670985165</v>
      </c>
      <c r="P177" s="53" t="n">
        <f aca="false">IF(J177="","",MAX(0,J177-1.96*O177/100))</f>
        <v>0.437749512624714</v>
      </c>
      <c r="Q177" s="53" t="n">
        <f aca="false">IF(J177="","",MIN(1,J177+1.96*O177/100))</f>
        <v>0.534145319650898</v>
      </c>
      <c r="R177" s="25" t="str">
        <f aca="false">IF(L177="","",IF(ABS(L177)&lt;=O177,"Yes","No"))</f>
        <v>Yes</v>
      </c>
      <c r="S177" s="25" t="str">
        <f aca="false">IF(L177="","",IF(ABS(L177)&lt;=1.96*O177,"Yes","No"))</f>
        <v>Yes</v>
      </c>
      <c r="T177" s="52" t="n">
        <f aca="false">IF(D177="","",ROUND(SQRT(((D177+G177)*O177/100)^2+(J177*(D177+G177)*0.10931)^2),0))</f>
        <v>65</v>
      </c>
      <c r="U177" s="25"/>
    </row>
    <row r="178" customFormat="false" ht="15" hidden="false" customHeight="false" outlineLevel="0" collapsed="false">
      <c r="A178" s="25" t="s">
        <v>197</v>
      </c>
      <c r="B178" s="25" t="s">
        <v>332</v>
      </c>
      <c r="C178" s="25" t="s">
        <v>337</v>
      </c>
      <c r="D178" s="52" t="n">
        <v>1063</v>
      </c>
      <c r="E178" s="52" t="n">
        <v>1123</v>
      </c>
      <c r="F178" s="63" t="n">
        <f aca="false">IF(E178="","",D178-E178)</f>
        <v>-60</v>
      </c>
      <c r="G178" s="52" t="n">
        <v>781</v>
      </c>
      <c r="H178" s="52" t="n">
        <v>741</v>
      </c>
      <c r="I178" s="63" t="n">
        <f aca="false">IF(H178="","",G178-H178)</f>
        <v>40</v>
      </c>
      <c r="J178" s="53" t="n">
        <f aca="false">IF(OR(D178="",D178+G178=0),"",D178/(D178+G178))</f>
        <v>0.57646420824295</v>
      </c>
      <c r="K178" s="53" t="n">
        <f aca="false">IF(E178="","",E178/(E178+H178))</f>
        <v>0.602467811158798</v>
      </c>
      <c r="L178" s="64" t="n">
        <f aca="false">IF(OR(K178="",J178=""),"",(J178-K178)*100)</f>
        <v>-2.60036029158482</v>
      </c>
      <c r="M178" s="28" t="n">
        <v>2.49017287917352</v>
      </c>
      <c r="N178" s="28" t="n">
        <v>0.397844942258686</v>
      </c>
      <c r="O178" s="28" t="n">
        <f aca="false">SQRT(M178^2+N178^2)</f>
        <v>2.52175366882892</v>
      </c>
      <c r="P178" s="53" t="n">
        <f aca="false">IF(J178="","",MAX(0,J178-1.96*O178/100))</f>
        <v>0.527037836333903</v>
      </c>
      <c r="Q178" s="53" t="n">
        <f aca="false">IF(J178="","",MIN(1,J178+1.96*O178/100))</f>
        <v>0.625890580151997</v>
      </c>
      <c r="R178" s="25" t="str">
        <f aca="false">IF(L178="","",IF(ABS(L178)&lt;=O178,"Yes","No"))</f>
        <v>No</v>
      </c>
      <c r="S178" s="25" t="str">
        <f aca="false">IF(L178="","",IF(ABS(L178)&lt;=1.96*O178,"Yes","No"))</f>
        <v>Yes</v>
      </c>
      <c r="T178" s="52" t="n">
        <f aca="false">IF(D178="","",ROUND(SQRT(((D178+G178)*O178/100)^2+(J178*(D178+G178)*0.08889)^2),0))</f>
        <v>105</v>
      </c>
      <c r="U178" s="25"/>
    </row>
    <row r="179" customFormat="false" ht="15" hidden="false" customHeight="false" outlineLevel="0" collapsed="false">
      <c r="A179" s="25" t="s">
        <v>197</v>
      </c>
      <c r="B179" s="25" t="s">
        <v>332</v>
      </c>
      <c r="C179" s="25" t="s">
        <v>338</v>
      </c>
      <c r="D179" s="52" t="n">
        <v>1006</v>
      </c>
      <c r="E179" s="52" t="n">
        <v>1054</v>
      </c>
      <c r="F179" s="63" t="n">
        <f aca="false">IF(E179="","",D179-E179)</f>
        <v>-48</v>
      </c>
      <c r="G179" s="52" t="n">
        <v>737</v>
      </c>
      <c r="H179" s="52" t="n">
        <v>706</v>
      </c>
      <c r="I179" s="63" t="n">
        <f aca="false">IF(H179="","",G179-H179)</f>
        <v>31</v>
      </c>
      <c r="J179" s="53" t="n">
        <f aca="false">IF(OR(D179="",D179+G179=0),"",D179/(D179+G179))</f>
        <v>0.577165806081469</v>
      </c>
      <c r="K179" s="53" t="n">
        <f aca="false">IF(E179="","",E179/(E179+H179))</f>
        <v>0.598863636363636</v>
      </c>
      <c r="L179" s="64" t="n">
        <f aca="false">IF(OR(K179="",J179=""),"",(J179-K179)*100)</f>
        <v>-2.16978302821677</v>
      </c>
      <c r="M179" s="28" t="n">
        <v>2.49017287917352</v>
      </c>
      <c r="N179" s="28" t="n">
        <v>0.397844942258686</v>
      </c>
      <c r="O179" s="28" t="n">
        <f aca="false">SQRT(M179^2+N179^2)</f>
        <v>2.52175366882892</v>
      </c>
      <c r="P179" s="53" t="n">
        <f aca="false">IF(J179="","",MAX(0,J179-1.96*O179/100))</f>
        <v>0.527739434172422</v>
      </c>
      <c r="Q179" s="53" t="n">
        <f aca="false">IF(J179="","",MIN(1,J179+1.96*O179/100))</f>
        <v>0.626592177990516</v>
      </c>
      <c r="R179" s="25" t="str">
        <f aca="false">IF(L179="","",IF(ABS(L179)&lt;=O179,"Yes","No"))</f>
        <v>Yes</v>
      </c>
      <c r="S179" s="25" t="str">
        <f aca="false">IF(L179="","",IF(ABS(L179)&lt;=1.96*O179,"Yes","No"))</f>
        <v>Yes</v>
      </c>
      <c r="T179" s="52" t="n">
        <f aca="false">IF(D179="","",ROUND(SQRT(((D179+G179)*O179/100)^2+(J179*(D179+G179)*0.08889)^2),0))</f>
        <v>100</v>
      </c>
      <c r="U179" s="25"/>
    </row>
    <row r="180" customFormat="false" ht="15" hidden="false" customHeight="false" outlineLevel="0" collapsed="false">
      <c r="A180" s="25" t="s">
        <v>197</v>
      </c>
      <c r="B180" s="25" t="s">
        <v>332</v>
      </c>
      <c r="C180" s="25" t="s">
        <v>339</v>
      </c>
      <c r="D180" s="52" t="n">
        <v>494</v>
      </c>
      <c r="E180" s="52" t="n">
        <v>469</v>
      </c>
      <c r="F180" s="63" t="n">
        <f aca="false">IF(E180="","",D180-E180)</f>
        <v>25</v>
      </c>
      <c r="G180" s="52" t="n">
        <v>435</v>
      </c>
      <c r="H180" s="52" t="n">
        <v>468</v>
      </c>
      <c r="I180" s="63" t="n">
        <f aca="false">IF(H180="","",G180-H180)</f>
        <v>-33</v>
      </c>
      <c r="J180" s="53" t="n">
        <f aca="false">IF(OR(D180="",D180+G180=0),"",D180/(D180+G180))</f>
        <v>0.531754574811625</v>
      </c>
      <c r="K180" s="53" t="n">
        <f aca="false">IF(E180="","",E180/(E180+H180))</f>
        <v>0.500533617929562</v>
      </c>
      <c r="L180" s="64" t="n">
        <f aca="false">IF(OR(K180="",J180=""),"",(J180-K180)*100)</f>
        <v>3.12209568820629</v>
      </c>
      <c r="M180" s="28" t="n">
        <v>2.42668038003648</v>
      </c>
      <c r="N180" s="28" t="n">
        <v>0.397844942258686</v>
      </c>
      <c r="O180" s="28" t="n">
        <f aca="false">SQRT(M180^2+N180^2)</f>
        <v>2.45907670985165</v>
      </c>
      <c r="P180" s="53" t="n">
        <f aca="false">IF(J180="","",MAX(0,J180-1.96*O180/100))</f>
        <v>0.483556671298533</v>
      </c>
      <c r="Q180" s="53" t="n">
        <f aca="false">IF(J180="","",MIN(1,J180+1.96*O180/100))</f>
        <v>0.579952478324718</v>
      </c>
      <c r="R180" s="25" t="str">
        <f aca="false">IF(L180="","",IF(ABS(L180)&lt;=O180,"Yes","No"))</f>
        <v>No</v>
      </c>
      <c r="S180" s="25" t="str">
        <f aca="false">IF(L180="","",IF(ABS(L180)&lt;=1.96*O180,"Yes","No"))</f>
        <v>Yes</v>
      </c>
      <c r="T180" s="52" t="n">
        <f aca="false">IF(D180="","",ROUND(SQRT(((D180+G180)*O180/100)^2+(J180*(D180+G180)*0.10931)^2),0))</f>
        <v>59</v>
      </c>
      <c r="U180" s="25"/>
    </row>
    <row r="181" customFormat="false" ht="15" hidden="false" customHeight="false" outlineLevel="0" collapsed="false">
      <c r="A181" s="25" t="s">
        <v>197</v>
      </c>
      <c r="B181" s="25" t="s">
        <v>332</v>
      </c>
      <c r="C181" s="25" t="s">
        <v>340</v>
      </c>
      <c r="D181" s="52" t="n">
        <v>1320</v>
      </c>
      <c r="E181" s="52" t="n">
        <v>1317</v>
      </c>
      <c r="F181" s="63" t="n">
        <f aca="false">IF(E181="","",D181-E181)</f>
        <v>3</v>
      </c>
      <c r="G181" s="52" t="n">
        <v>1302</v>
      </c>
      <c r="H181" s="52" t="n">
        <v>1291</v>
      </c>
      <c r="I181" s="63" t="n">
        <f aca="false">IF(H181="","",G181-H181)</f>
        <v>11</v>
      </c>
      <c r="J181" s="53" t="n">
        <f aca="false">IF(OR(D181="",D181+G181=0),"",D181/(D181+G181))</f>
        <v>0.503432494279176</v>
      </c>
      <c r="K181" s="53" t="n">
        <f aca="false">IF(E181="","",E181/(E181+H181))</f>
        <v>0.504984662576687</v>
      </c>
      <c r="L181" s="64" t="n">
        <f aca="false">IF(OR(K181="",J181=""),"",(J181-K181)*100)</f>
        <v>-0.155216829751093</v>
      </c>
      <c r="M181" s="28" t="n">
        <v>2.49017287917352</v>
      </c>
      <c r="N181" s="28" t="n">
        <v>0.397844942258686</v>
      </c>
      <c r="O181" s="28" t="n">
        <f aca="false">SQRT(M181^2+N181^2)</f>
        <v>2.52175366882892</v>
      </c>
      <c r="P181" s="53" t="n">
        <f aca="false">IF(J181="","",MAX(0,J181-1.96*O181/100))</f>
        <v>0.454006122370129</v>
      </c>
      <c r="Q181" s="53" t="n">
        <f aca="false">IF(J181="","",MIN(1,J181+1.96*O181/100))</f>
        <v>0.552858866188223</v>
      </c>
      <c r="R181" s="25" t="str">
        <f aca="false">IF(L181="","",IF(ABS(L181)&lt;=O181,"Yes","No"))</f>
        <v>Yes</v>
      </c>
      <c r="S181" s="25" t="str">
        <f aca="false">IF(L181="","",IF(ABS(L181)&lt;=1.96*O181,"Yes","No"))</f>
        <v>Yes</v>
      </c>
      <c r="T181" s="52" t="n">
        <f aca="false">IF(D181="","",ROUND(SQRT(((D181+G181)*O181/100)^2+(J181*(D181+G181)*0.08889)^2),0))</f>
        <v>135</v>
      </c>
      <c r="U181" s="25"/>
    </row>
    <row r="182" customFormat="false" ht="15" hidden="false" customHeight="false" outlineLevel="0" collapsed="false">
      <c r="A182" s="25" t="s">
        <v>197</v>
      </c>
      <c r="B182" s="25" t="s">
        <v>341</v>
      </c>
      <c r="C182" s="25" t="s">
        <v>342</v>
      </c>
      <c r="D182" s="52" t="n">
        <v>1008</v>
      </c>
      <c r="E182" s="52" t="n">
        <v>992</v>
      </c>
      <c r="F182" s="63" t="n">
        <f aca="false">IF(E182="","",D182-E182)</f>
        <v>16</v>
      </c>
      <c r="G182" s="52" t="n">
        <v>983</v>
      </c>
      <c r="H182" s="52" t="n">
        <v>983</v>
      </c>
      <c r="I182" s="63" t="n">
        <f aca="false">IF(H182="","",G182-H182)</f>
        <v>0</v>
      </c>
      <c r="J182" s="53" t="n">
        <f aca="false">IF(OR(D182="",D182+G182=0),"",D182/(D182+G182))</f>
        <v>0.506278252134606</v>
      </c>
      <c r="K182" s="53" t="n">
        <f aca="false">IF(E182="","",E182/(E182+H182))</f>
        <v>0.502278481012658</v>
      </c>
      <c r="L182" s="64" t="n">
        <f aca="false">IF(OR(K182="",J182=""),"",(J182-K182)*100)</f>
        <v>0.399977112194749</v>
      </c>
      <c r="M182" s="28" t="n">
        <v>2.49017287917352</v>
      </c>
      <c r="N182" s="28" t="n">
        <v>0.397844942258686</v>
      </c>
      <c r="O182" s="28" t="n">
        <f aca="false">SQRT(M182^2+N182^2)</f>
        <v>2.52175366882892</v>
      </c>
      <c r="P182" s="53" t="n">
        <f aca="false">IF(J182="","",MAX(0,J182-1.96*O182/100))</f>
        <v>0.456851880225559</v>
      </c>
      <c r="Q182" s="53" t="n">
        <f aca="false">IF(J182="","",MIN(1,J182+1.96*O182/100))</f>
        <v>0.555704624043653</v>
      </c>
      <c r="R182" s="25" t="str">
        <f aca="false">IF(L182="","",IF(ABS(L182)&lt;=O182,"Yes","No"))</f>
        <v>Yes</v>
      </c>
      <c r="S182" s="25" t="str">
        <f aca="false">IF(L182="","",IF(ABS(L182)&lt;=1.96*O182,"Yes","No"))</f>
        <v>Yes</v>
      </c>
      <c r="T182" s="52" t="n">
        <f aca="false">IF(D182="","",ROUND(SQRT(((D182+G182)*O182/100)^2+(J182*(D182+G182)*0.08889)^2),0))</f>
        <v>103</v>
      </c>
      <c r="U182" s="25"/>
    </row>
    <row r="183" customFormat="false" ht="15" hidden="false" customHeight="false" outlineLevel="0" collapsed="false">
      <c r="A183" s="25" t="s">
        <v>197</v>
      </c>
      <c r="B183" s="25" t="s">
        <v>341</v>
      </c>
      <c r="C183" s="25" t="s">
        <v>343</v>
      </c>
      <c r="D183" s="52" t="n">
        <v>1276</v>
      </c>
      <c r="E183" s="52" t="n">
        <v>1311</v>
      </c>
      <c r="F183" s="63" t="n">
        <f aca="false">IF(E183="","",D183-E183)</f>
        <v>-35</v>
      </c>
      <c r="G183" s="52" t="n">
        <v>1287</v>
      </c>
      <c r="H183" s="52" t="n">
        <v>1258</v>
      </c>
      <c r="I183" s="63" t="n">
        <f aca="false">IF(H183="","",G183-H183)</f>
        <v>29</v>
      </c>
      <c r="J183" s="53" t="n">
        <f aca="false">IF(OR(D183="",D183+G183=0),"",D183/(D183+G183))</f>
        <v>0.497854077253219</v>
      </c>
      <c r="K183" s="53" t="n">
        <f aca="false">IF(E183="","",E183/(E183+H183))</f>
        <v>0.510315297781238</v>
      </c>
      <c r="L183" s="64" t="n">
        <f aca="false">IF(OR(K183="",J183=""),"",(J183-K183)*100)</f>
        <v>-1.2461220528019</v>
      </c>
      <c r="M183" s="28" t="n">
        <v>2.49017287917352</v>
      </c>
      <c r="N183" s="28" t="n">
        <v>0.397844942258686</v>
      </c>
      <c r="O183" s="28" t="n">
        <f aca="false">SQRT(M183^2+N183^2)</f>
        <v>2.52175366882892</v>
      </c>
      <c r="P183" s="53" t="n">
        <f aca="false">IF(J183="","",MAX(0,J183-1.96*O183/100))</f>
        <v>0.448427705344172</v>
      </c>
      <c r="Q183" s="53" t="n">
        <f aca="false">IF(J183="","",MIN(1,J183+1.96*O183/100))</f>
        <v>0.547280449162266</v>
      </c>
      <c r="R183" s="25" t="str">
        <f aca="false">IF(L183="","",IF(ABS(L183)&lt;=O183,"Yes","No"))</f>
        <v>Yes</v>
      </c>
      <c r="S183" s="25" t="str">
        <f aca="false">IF(L183="","",IF(ABS(L183)&lt;=1.96*O183,"Yes","No"))</f>
        <v>Yes</v>
      </c>
      <c r="T183" s="52" t="n">
        <f aca="false">IF(D183="","",ROUND(SQRT(((D183+G183)*O183/100)^2+(J183*(D183+G183)*0.08889)^2),0))</f>
        <v>131</v>
      </c>
      <c r="U183" s="25"/>
    </row>
    <row r="184" customFormat="false" ht="15" hidden="false" customHeight="false" outlineLevel="0" collapsed="false">
      <c r="A184" s="25" t="s">
        <v>197</v>
      </c>
      <c r="B184" s="25" t="s">
        <v>341</v>
      </c>
      <c r="C184" s="25" t="s">
        <v>344</v>
      </c>
      <c r="D184" s="52" t="n">
        <v>956</v>
      </c>
      <c r="E184" s="52" t="n">
        <v>914</v>
      </c>
      <c r="F184" s="63" t="n">
        <f aca="false">IF(E184="","",D184-E184)</f>
        <v>42</v>
      </c>
      <c r="G184" s="52" t="n">
        <v>1083</v>
      </c>
      <c r="H184" s="52" t="n">
        <v>1075</v>
      </c>
      <c r="I184" s="63" t="n">
        <f aca="false">IF(H184="","",G184-H184)</f>
        <v>8</v>
      </c>
      <c r="J184" s="53" t="n">
        <f aca="false">IF(OR(D184="",D184+G184=0),"",D184/(D184+G184))</f>
        <v>0.468857282981854</v>
      </c>
      <c r="K184" s="53" t="n">
        <f aca="false">IF(E184="","",E184/(E184+H184))</f>
        <v>0.459527400703871</v>
      </c>
      <c r="L184" s="64" t="n">
        <f aca="false">IF(OR(K184="",J184=""),"",(J184-K184)*100)</f>
        <v>0.932988227798259</v>
      </c>
      <c r="M184" s="28" t="n">
        <v>2.49017287917352</v>
      </c>
      <c r="N184" s="28" t="n">
        <v>0.397844942258686</v>
      </c>
      <c r="O184" s="28" t="n">
        <f aca="false">SQRT(M184^2+N184^2)</f>
        <v>2.52175366882892</v>
      </c>
      <c r="P184" s="53" t="n">
        <f aca="false">IF(J184="","",MAX(0,J184-1.96*O184/100))</f>
        <v>0.419430911072807</v>
      </c>
      <c r="Q184" s="53" t="n">
        <f aca="false">IF(J184="","",MIN(1,J184+1.96*O184/100))</f>
        <v>0.518283654890901</v>
      </c>
      <c r="R184" s="25" t="str">
        <f aca="false">IF(L184="","",IF(ABS(L184)&lt;=O184,"Yes","No"))</f>
        <v>Yes</v>
      </c>
      <c r="S184" s="25" t="str">
        <f aca="false">IF(L184="","",IF(ABS(L184)&lt;=1.96*O184,"Yes","No"))</f>
        <v>Yes</v>
      </c>
      <c r="T184" s="52" t="n">
        <f aca="false">IF(D184="","",ROUND(SQRT(((D184+G184)*O184/100)^2+(J184*(D184+G184)*0.08889)^2),0))</f>
        <v>99</v>
      </c>
      <c r="U184" s="25"/>
    </row>
    <row r="185" customFormat="false" ht="15" hidden="false" customHeight="false" outlineLevel="0" collapsed="false">
      <c r="A185" s="25" t="s">
        <v>197</v>
      </c>
      <c r="B185" s="25" t="s">
        <v>341</v>
      </c>
      <c r="C185" s="25" t="s">
        <v>345</v>
      </c>
      <c r="D185" s="52" t="n">
        <v>750</v>
      </c>
      <c r="E185" s="52" t="n">
        <v>735</v>
      </c>
      <c r="F185" s="63" t="n">
        <f aca="false">IF(E185="","",D185-E185)</f>
        <v>15</v>
      </c>
      <c r="G185" s="52" t="n">
        <v>652</v>
      </c>
      <c r="H185" s="52" t="n">
        <v>653</v>
      </c>
      <c r="I185" s="63" t="n">
        <f aca="false">IF(H185="","",G185-H185)</f>
        <v>-1</v>
      </c>
      <c r="J185" s="53" t="n">
        <f aca="false">IF(OR(D185="",D185+G185=0),"",D185/(D185+G185))</f>
        <v>0.534950071326676</v>
      </c>
      <c r="K185" s="53" t="n">
        <f aca="false">IF(E185="","",E185/(E185+H185))</f>
        <v>0.529538904899136</v>
      </c>
      <c r="L185" s="64" t="n">
        <f aca="false">IF(OR(K185="",J185=""),"",(J185-K185)*100)</f>
        <v>0.541116642754069</v>
      </c>
      <c r="M185" s="28" t="n">
        <v>2.49017287917352</v>
      </c>
      <c r="N185" s="28" t="n">
        <v>0.397844942258686</v>
      </c>
      <c r="O185" s="28" t="n">
        <f aca="false">SQRT(M185^2+N185^2)</f>
        <v>2.52175366882892</v>
      </c>
      <c r="P185" s="53" t="n">
        <f aca="false">IF(J185="","",MAX(0,J185-1.96*O185/100))</f>
        <v>0.485523699417629</v>
      </c>
      <c r="Q185" s="53" t="n">
        <f aca="false">IF(J185="","",MIN(1,J185+1.96*O185/100))</f>
        <v>0.584376443235723</v>
      </c>
      <c r="R185" s="25" t="str">
        <f aca="false">IF(L185="","",IF(ABS(L185)&lt;=O185,"Yes","No"))</f>
        <v>Yes</v>
      </c>
      <c r="S185" s="25" t="str">
        <f aca="false">IF(L185="","",IF(ABS(L185)&lt;=1.96*O185,"Yes","No"))</f>
        <v>Yes</v>
      </c>
      <c r="T185" s="52" t="n">
        <f aca="false">IF(D185="","",ROUND(SQRT(((D185+G185)*O185/100)^2+(J185*(D185+G185)*0.08889)^2),0))</f>
        <v>75</v>
      </c>
      <c r="U185" s="25"/>
    </row>
    <row r="186" customFormat="false" ht="15" hidden="false" customHeight="false" outlineLevel="0" collapsed="false">
      <c r="A186" s="25" t="s">
        <v>197</v>
      </c>
      <c r="B186" s="25" t="s">
        <v>341</v>
      </c>
      <c r="C186" s="25" t="s">
        <v>346</v>
      </c>
      <c r="D186" s="52" t="n">
        <v>1963</v>
      </c>
      <c r="E186" s="52" t="n">
        <v>1929</v>
      </c>
      <c r="F186" s="63" t="n">
        <f aca="false">IF(E186="","",D186-E186)</f>
        <v>34</v>
      </c>
      <c r="G186" s="52" t="n">
        <v>1793</v>
      </c>
      <c r="H186" s="52" t="n">
        <v>1679</v>
      </c>
      <c r="I186" s="63" t="n">
        <f aca="false">IF(H186="","",G186-H186)</f>
        <v>114</v>
      </c>
      <c r="J186" s="53" t="n">
        <f aca="false">IF(OR(D186="",D186+G186=0),"",D186/(D186+G186))</f>
        <v>0.522630457933972</v>
      </c>
      <c r="K186" s="53" t="n">
        <f aca="false">IF(E186="","",E186/(E186+H186))</f>
        <v>0.534645232815965</v>
      </c>
      <c r="L186" s="64" t="n">
        <f aca="false">IF(OR(K186="",J186=""),"",(J186-K186)*100)</f>
        <v>-1.20147748819922</v>
      </c>
      <c r="M186" s="28" t="n">
        <v>2.49017287917352</v>
      </c>
      <c r="N186" s="28" t="n">
        <v>0.397844942258686</v>
      </c>
      <c r="O186" s="28" t="n">
        <f aca="false">SQRT(M186^2+N186^2)</f>
        <v>2.52175366882892</v>
      </c>
      <c r="P186" s="53" t="n">
        <f aca="false">IF(J186="","",MAX(0,J186-1.96*O186/100))</f>
        <v>0.473204086024925</v>
      </c>
      <c r="Q186" s="53" t="n">
        <f aca="false">IF(J186="","",MIN(1,J186+1.96*O186/100))</f>
        <v>0.572056829843019</v>
      </c>
      <c r="R186" s="25" t="str">
        <f aca="false">IF(L186="","",IF(ABS(L186)&lt;=O186,"Yes","No"))</f>
        <v>Yes</v>
      </c>
      <c r="S186" s="25" t="str">
        <f aca="false">IF(L186="","",IF(ABS(L186)&lt;=1.96*O186,"Yes","No"))</f>
        <v>Yes</v>
      </c>
      <c r="T186" s="52" t="n">
        <f aca="false">IF(D186="","",ROUND(SQRT(((D186+G186)*O186/100)^2+(J186*(D186+G186)*0.08889)^2),0))</f>
        <v>199</v>
      </c>
      <c r="U186" s="25"/>
    </row>
    <row r="187" customFormat="false" ht="15" hidden="false" customHeight="false" outlineLevel="0" collapsed="false">
      <c r="A187" s="25" t="s">
        <v>197</v>
      </c>
      <c r="B187" s="25" t="s">
        <v>341</v>
      </c>
      <c r="C187" s="25" t="s">
        <v>347</v>
      </c>
      <c r="D187" s="52" t="n">
        <v>721</v>
      </c>
      <c r="E187" s="52" t="n">
        <v>696</v>
      </c>
      <c r="F187" s="63" t="n">
        <f aca="false">IF(E187="","",D187-E187)</f>
        <v>25</v>
      </c>
      <c r="G187" s="52" t="n">
        <v>680</v>
      </c>
      <c r="H187" s="52" t="n">
        <v>666</v>
      </c>
      <c r="I187" s="63" t="n">
        <f aca="false">IF(H187="","",G187-H187)</f>
        <v>14</v>
      </c>
      <c r="J187" s="53" t="n">
        <f aca="false">IF(OR(D187="",D187+G187=0),"",D187/(D187+G187))</f>
        <v>0.514632405424697</v>
      </c>
      <c r="K187" s="53" t="n">
        <f aca="false">IF(E187="","",E187/(E187+H187))</f>
        <v>0.511013215859031</v>
      </c>
      <c r="L187" s="64" t="n">
        <f aca="false">IF(OR(K187="",J187=""),"",(J187-K187)*100)</f>
        <v>0.361918956566587</v>
      </c>
      <c r="M187" s="28" t="n">
        <v>2.49017287917352</v>
      </c>
      <c r="N187" s="28" t="n">
        <v>0.397844942258686</v>
      </c>
      <c r="O187" s="28" t="n">
        <f aca="false">SQRT(M187^2+N187^2)</f>
        <v>2.52175366882892</v>
      </c>
      <c r="P187" s="53" t="n">
        <f aca="false">IF(J187="","",MAX(0,J187-1.96*O187/100))</f>
        <v>0.46520603351565</v>
      </c>
      <c r="Q187" s="53" t="n">
        <f aca="false">IF(J187="","",MIN(1,J187+1.96*O187/100))</f>
        <v>0.564058777333744</v>
      </c>
      <c r="R187" s="25" t="str">
        <f aca="false">IF(L187="","",IF(ABS(L187)&lt;=O187,"Yes","No"))</f>
        <v>Yes</v>
      </c>
      <c r="S187" s="25" t="str">
        <f aca="false">IF(L187="","",IF(ABS(L187)&lt;=1.96*O187,"Yes","No"))</f>
        <v>Yes</v>
      </c>
      <c r="T187" s="52" t="n">
        <f aca="false">IF(D187="","",ROUND(SQRT(((D187+G187)*O187/100)^2+(J187*(D187+G187)*0.08889)^2),0))</f>
        <v>73</v>
      </c>
      <c r="U187" s="25"/>
    </row>
    <row r="188" customFormat="false" ht="15" hidden="false" customHeight="false" outlineLevel="0" collapsed="false">
      <c r="A188" s="25" t="s">
        <v>197</v>
      </c>
      <c r="B188" s="25" t="s">
        <v>341</v>
      </c>
      <c r="C188" s="25" t="s">
        <v>348</v>
      </c>
      <c r="D188" s="52" t="n">
        <v>727</v>
      </c>
      <c r="E188" s="52" t="n">
        <v>715</v>
      </c>
      <c r="F188" s="63" t="n">
        <f aca="false">IF(E188="","",D188-E188)</f>
        <v>12</v>
      </c>
      <c r="G188" s="52" t="n">
        <v>645</v>
      </c>
      <c r="H188" s="52" t="n">
        <v>601</v>
      </c>
      <c r="I188" s="63" t="n">
        <f aca="false">IF(H188="","",G188-H188)</f>
        <v>44</v>
      </c>
      <c r="J188" s="53" t="n">
        <f aca="false">IF(OR(D188="",D188+G188=0),"",D188/(D188+G188))</f>
        <v>0.529883381924198</v>
      </c>
      <c r="K188" s="53" t="n">
        <f aca="false">IF(E188="","",E188/(E188+H188))</f>
        <v>0.543313069908815</v>
      </c>
      <c r="L188" s="64" t="n">
        <f aca="false">IF(OR(K188="",J188=""),"",(J188-K188)*100)</f>
        <v>-1.34296879846163</v>
      </c>
      <c r="M188" s="28" t="n">
        <v>2.49017287917352</v>
      </c>
      <c r="N188" s="28" t="n">
        <v>0.397844942258686</v>
      </c>
      <c r="O188" s="28" t="n">
        <f aca="false">SQRT(M188^2+N188^2)</f>
        <v>2.52175366882892</v>
      </c>
      <c r="P188" s="53" t="n">
        <f aca="false">IF(J188="","",MAX(0,J188-1.96*O188/100))</f>
        <v>0.480457010015151</v>
      </c>
      <c r="Q188" s="53" t="n">
        <f aca="false">IF(J188="","",MIN(1,J188+1.96*O188/100))</f>
        <v>0.579309753833245</v>
      </c>
      <c r="R188" s="25" t="str">
        <f aca="false">IF(L188="","",IF(ABS(L188)&lt;=O188,"Yes","No"))</f>
        <v>Yes</v>
      </c>
      <c r="S188" s="25" t="str">
        <f aca="false">IF(L188="","",IF(ABS(L188)&lt;=1.96*O188,"Yes","No"))</f>
        <v>Yes</v>
      </c>
      <c r="T188" s="52" t="n">
        <f aca="false">IF(D188="","",ROUND(SQRT(((D188+G188)*O188/100)^2+(J188*(D188+G188)*0.08889)^2),0))</f>
        <v>73</v>
      </c>
      <c r="U188" s="25"/>
    </row>
    <row r="189" customFormat="false" ht="15" hidden="false" customHeight="false" outlineLevel="0" collapsed="false">
      <c r="A189" s="25" t="s">
        <v>197</v>
      </c>
      <c r="B189" s="25" t="s">
        <v>341</v>
      </c>
      <c r="C189" s="25" t="s">
        <v>349</v>
      </c>
      <c r="D189" s="52" t="n">
        <v>746</v>
      </c>
      <c r="E189" s="52" t="n">
        <v>728</v>
      </c>
      <c r="F189" s="63" t="n">
        <f aca="false">IF(E189="","",D189-E189)</f>
        <v>18</v>
      </c>
      <c r="G189" s="52" t="n">
        <v>740</v>
      </c>
      <c r="H189" s="52" t="n">
        <v>692</v>
      </c>
      <c r="I189" s="63" t="n">
        <f aca="false">IF(H189="","",G189-H189)</f>
        <v>48</v>
      </c>
      <c r="J189" s="53" t="n">
        <f aca="false">IF(OR(D189="",D189+G189=0),"",D189/(D189+G189))</f>
        <v>0.502018842530283</v>
      </c>
      <c r="K189" s="53" t="n">
        <f aca="false">IF(E189="","",E189/(E189+H189))</f>
        <v>0.512676056338028</v>
      </c>
      <c r="L189" s="64" t="n">
        <f aca="false">IF(OR(K189="",J189=""),"",(J189-K189)*100)</f>
        <v>-1.06572138077455</v>
      </c>
      <c r="M189" s="28" t="n">
        <v>2.49017287917352</v>
      </c>
      <c r="N189" s="28" t="n">
        <v>0.397844942258686</v>
      </c>
      <c r="O189" s="28" t="n">
        <f aca="false">SQRT(M189^2+N189^2)</f>
        <v>2.52175366882892</v>
      </c>
      <c r="P189" s="53" t="n">
        <f aca="false">IF(J189="","",MAX(0,J189-1.96*O189/100))</f>
        <v>0.452592470621236</v>
      </c>
      <c r="Q189" s="53" t="n">
        <f aca="false">IF(J189="","",MIN(1,J189+1.96*O189/100))</f>
        <v>0.55144521443933</v>
      </c>
      <c r="R189" s="25" t="str">
        <f aca="false">IF(L189="","",IF(ABS(L189)&lt;=O189,"Yes","No"))</f>
        <v>Yes</v>
      </c>
      <c r="S189" s="25" t="str">
        <f aca="false">IF(L189="","",IF(ABS(L189)&lt;=1.96*O189,"Yes","No"))</f>
        <v>Yes</v>
      </c>
      <c r="T189" s="52" t="n">
        <f aca="false">IF(D189="","",ROUND(SQRT(((D189+G189)*O189/100)^2+(J189*(D189+G189)*0.08889)^2),0))</f>
        <v>76</v>
      </c>
      <c r="U189" s="25"/>
    </row>
    <row r="190" customFormat="false" ht="15" hidden="false" customHeight="false" outlineLevel="0" collapsed="false">
      <c r="A190" s="25" t="s">
        <v>197</v>
      </c>
      <c r="B190" s="25" t="s">
        <v>350</v>
      </c>
      <c r="C190" s="25" t="s">
        <v>351</v>
      </c>
      <c r="D190" s="52" t="n">
        <v>1424</v>
      </c>
      <c r="E190" s="52" t="n">
        <v>1473</v>
      </c>
      <c r="F190" s="63" t="n">
        <f aca="false">IF(E190="","",D190-E190)</f>
        <v>-49</v>
      </c>
      <c r="G190" s="52" t="n">
        <v>1735</v>
      </c>
      <c r="H190" s="52" t="n">
        <v>1690</v>
      </c>
      <c r="I190" s="63" t="n">
        <f aca="false">IF(H190="","",G190-H190)</f>
        <v>45</v>
      </c>
      <c r="J190" s="53" t="n">
        <f aca="false">IF(OR(D190="",D190+G190=0),"",D190/(D190+G190))</f>
        <v>0.450775561886673</v>
      </c>
      <c r="K190" s="53" t="n">
        <f aca="false">IF(E190="","",E190/(E190+H190))</f>
        <v>0.465697122984508</v>
      </c>
      <c r="L190" s="64" t="n">
        <f aca="false">IF(OR(K190="",J190=""),"",(J190-K190)*100)</f>
        <v>-1.49215610978354</v>
      </c>
      <c r="M190" s="28" t="n">
        <v>2.49017287917352</v>
      </c>
      <c r="N190" s="28" t="n">
        <v>0.397844942258686</v>
      </c>
      <c r="O190" s="28" t="n">
        <f aca="false">SQRT(M190^2+N190^2)</f>
        <v>2.52175366882892</v>
      </c>
      <c r="P190" s="53" t="n">
        <f aca="false">IF(J190="","",MAX(0,J190-1.96*O190/100))</f>
        <v>0.401349189977626</v>
      </c>
      <c r="Q190" s="53" t="n">
        <f aca="false">IF(J190="","",MIN(1,J190+1.96*O190/100))</f>
        <v>0.50020193379572</v>
      </c>
      <c r="R190" s="25" t="str">
        <f aca="false">IF(L190="","",IF(ABS(L190)&lt;=O190,"Yes","No"))</f>
        <v>Yes</v>
      </c>
      <c r="S190" s="25" t="str">
        <f aca="false">IF(L190="","",IF(ABS(L190)&lt;=1.96*O190,"Yes","No"))</f>
        <v>Yes</v>
      </c>
      <c r="T190" s="52" t="n">
        <f aca="false">IF(D190="","",ROUND(SQRT(((D190+G190)*O190/100)^2+(J190*(D190+G190)*0.08889)^2),0))</f>
        <v>150</v>
      </c>
      <c r="U190" s="25"/>
    </row>
    <row r="191" customFormat="false" ht="15" hidden="false" customHeight="false" outlineLevel="0" collapsed="false">
      <c r="A191" s="25" t="s">
        <v>197</v>
      </c>
      <c r="B191" s="25" t="s">
        <v>350</v>
      </c>
      <c r="C191" s="25" t="s">
        <v>352</v>
      </c>
      <c r="D191" s="52" t="n">
        <v>870</v>
      </c>
      <c r="E191" s="52" t="n">
        <v>907</v>
      </c>
      <c r="F191" s="63" t="n">
        <f aca="false">IF(E191="","",D191-E191)</f>
        <v>-37</v>
      </c>
      <c r="G191" s="52" t="n">
        <v>1438</v>
      </c>
      <c r="H191" s="52" t="n">
        <v>1445</v>
      </c>
      <c r="I191" s="63" t="n">
        <f aca="false">IF(H191="","",G191-H191)</f>
        <v>-7</v>
      </c>
      <c r="J191" s="53" t="n">
        <f aca="false">IF(OR(D191="",D191+G191=0),"",D191/(D191+G191))</f>
        <v>0.376949740034662</v>
      </c>
      <c r="K191" s="53" t="n">
        <f aca="false">IF(E191="","",E191/(E191+H191))</f>
        <v>0.38562925170068</v>
      </c>
      <c r="L191" s="64" t="n">
        <f aca="false">IF(OR(K191="",J191=""),"",(J191-K191)*100)</f>
        <v>-0.867951166601827</v>
      </c>
      <c r="M191" s="28" t="n">
        <v>2.49017287917352</v>
      </c>
      <c r="N191" s="28" t="n">
        <v>0.397844942258686</v>
      </c>
      <c r="O191" s="28" t="n">
        <f aca="false">SQRT(M191^2+N191^2)</f>
        <v>2.52175366882892</v>
      </c>
      <c r="P191" s="53" t="n">
        <f aca="false">IF(J191="","",MAX(0,J191-1.96*O191/100))</f>
        <v>0.327523368125615</v>
      </c>
      <c r="Q191" s="53" t="n">
        <f aca="false">IF(J191="","",MIN(1,J191+1.96*O191/100))</f>
        <v>0.426376111943709</v>
      </c>
      <c r="R191" s="25" t="str">
        <f aca="false">IF(L191="","",IF(ABS(L191)&lt;=O191,"Yes","No"))</f>
        <v>Yes</v>
      </c>
      <c r="S191" s="25" t="str">
        <f aca="false">IF(L191="","",IF(ABS(L191)&lt;=1.96*O191,"Yes","No"))</f>
        <v>Yes</v>
      </c>
      <c r="T191" s="52" t="n">
        <f aca="false">IF(D191="","",ROUND(SQRT(((D191+G191)*O191/100)^2+(J191*(D191+G191)*0.08889)^2),0))</f>
        <v>97</v>
      </c>
      <c r="U191" s="25"/>
    </row>
    <row r="192" customFormat="false" ht="15" hidden="false" customHeight="false" outlineLevel="0" collapsed="false">
      <c r="A192" s="25" t="s">
        <v>197</v>
      </c>
      <c r="B192" s="25" t="s">
        <v>353</v>
      </c>
      <c r="C192" s="25" t="s">
        <v>354</v>
      </c>
      <c r="D192" s="52" t="n">
        <v>1011</v>
      </c>
      <c r="E192" s="52" t="n">
        <v>1017</v>
      </c>
      <c r="F192" s="63" t="n">
        <f aca="false">IF(E192="","",D192-E192)</f>
        <v>-6</v>
      </c>
      <c r="G192" s="52" t="n">
        <v>1064</v>
      </c>
      <c r="H192" s="52" t="n">
        <v>1074</v>
      </c>
      <c r="I192" s="63" t="n">
        <f aca="false">IF(H192="","",G192-H192)</f>
        <v>-10</v>
      </c>
      <c r="J192" s="53" t="n">
        <f aca="false">IF(OR(D192="",D192+G192=0),"",D192/(D192+G192))</f>
        <v>0.487228915662651</v>
      </c>
      <c r="K192" s="53" t="n">
        <f aca="false">IF(E192="","",E192/(E192+H192))</f>
        <v>0.486370157819225</v>
      </c>
      <c r="L192" s="64" t="n">
        <f aca="false">IF(OR(K192="",J192=""),"",(J192-K192)*100)</f>
        <v>0.0858757843425317</v>
      </c>
      <c r="M192" s="28" t="n">
        <v>2.49017287917352</v>
      </c>
      <c r="N192" s="28" t="n">
        <v>0.397844942258686</v>
      </c>
      <c r="O192" s="28" t="n">
        <f aca="false">SQRT(M192^2+N192^2)</f>
        <v>2.52175366882892</v>
      </c>
      <c r="P192" s="53" t="n">
        <f aca="false">IF(J192="","",MAX(0,J192-1.96*O192/100))</f>
        <v>0.437802543753604</v>
      </c>
      <c r="Q192" s="53" t="n">
        <f aca="false">IF(J192="","",MIN(1,J192+1.96*O192/100))</f>
        <v>0.536655287571697</v>
      </c>
      <c r="R192" s="25" t="str">
        <f aca="false">IF(L192="","",IF(ABS(L192)&lt;=O192,"Yes","No"))</f>
        <v>Yes</v>
      </c>
      <c r="S192" s="25" t="str">
        <f aca="false">IF(L192="","",IF(ABS(L192)&lt;=1.96*O192,"Yes","No"))</f>
        <v>Yes</v>
      </c>
      <c r="T192" s="52" t="n">
        <f aca="false">IF(D192="","",ROUND(SQRT(((D192+G192)*O192/100)^2+(J192*(D192+G192)*0.08889)^2),0))</f>
        <v>104</v>
      </c>
      <c r="U192" s="25"/>
    </row>
    <row r="193" customFormat="false" ht="15" hidden="false" customHeight="false" outlineLevel="0" collapsed="false">
      <c r="A193" s="25" t="s">
        <v>197</v>
      </c>
      <c r="B193" s="25" t="s">
        <v>353</v>
      </c>
      <c r="C193" s="25" t="s">
        <v>355</v>
      </c>
      <c r="D193" s="52" t="n">
        <v>736</v>
      </c>
      <c r="E193" s="52" t="n">
        <v>753</v>
      </c>
      <c r="F193" s="63" t="n">
        <f aca="false">IF(E193="","",D193-E193)</f>
        <v>-17</v>
      </c>
      <c r="G193" s="52" t="n">
        <v>847</v>
      </c>
      <c r="H193" s="52" t="n">
        <v>851</v>
      </c>
      <c r="I193" s="63" t="n">
        <f aca="false">IF(H193="","",G193-H193)</f>
        <v>-4</v>
      </c>
      <c r="J193" s="53" t="n">
        <f aca="false">IF(OR(D193="",D193+G193=0),"",D193/(D193+G193))</f>
        <v>0.464939987365761</v>
      </c>
      <c r="K193" s="53" t="n">
        <f aca="false">IF(E193="","",E193/(E193+H193))</f>
        <v>0.469451371571072</v>
      </c>
      <c r="L193" s="64" t="n">
        <f aca="false">IF(OR(K193="",J193=""),"",(J193-K193)*100)</f>
        <v>-0.451138420531111</v>
      </c>
      <c r="M193" s="28" t="n">
        <v>2.49017287917352</v>
      </c>
      <c r="N193" s="28" t="n">
        <v>0.397844942258686</v>
      </c>
      <c r="O193" s="28" t="n">
        <f aca="false">SQRT(M193^2+N193^2)</f>
        <v>2.52175366882892</v>
      </c>
      <c r="P193" s="53" t="n">
        <f aca="false">IF(J193="","",MAX(0,J193-1.96*O193/100))</f>
        <v>0.415513615456714</v>
      </c>
      <c r="Q193" s="53" t="n">
        <f aca="false">IF(J193="","",MIN(1,J193+1.96*O193/100))</f>
        <v>0.514366359274808</v>
      </c>
      <c r="R193" s="25" t="str">
        <f aca="false">IF(L193="","",IF(ABS(L193)&lt;=O193,"Yes","No"))</f>
        <v>Yes</v>
      </c>
      <c r="S193" s="25" t="str">
        <f aca="false">IF(L193="","",IF(ABS(L193)&lt;=1.96*O193,"Yes","No"))</f>
        <v>Yes</v>
      </c>
      <c r="T193" s="52" t="n">
        <f aca="false">IF(D193="","",ROUND(SQRT(((D193+G193)*O193/100)^2+(J193*(D193+G193)*0.08889)^2),0))</f>
        <v>77</v>
      </c>
      <c r="U193" s="25"/>
    </row>
    <row r="194" customFormat="false" ht="15" hidden="false" customHeight="false" outlineLevel="0" collapsed="false">
      <c r="A194" s="25" t="s">
        <v>197</v>
      </c>
      <c r="B194" s="25" t="s">
        <v>353</v>
      </c>
      <c r="C194" s="25" t="s">
        <v>356</v>
      </c>
      <c r="D194" s="52" t="n">
        <v>681</v>
      </c>
      <c r="E194" s="52" t="n">
        <v>713</v>
      </c>
      <c r="F194" s="63" t="n">
        <f aca="false">IF(E194="","",D194-E194)</f>
        <v>-32</v>
      </c>
      <c r="G194" s="52" t="n">
        <v>772</v>
      </c>
      <c r="H194" s="52" t="n">
        <v>780</v>
      </c>
      <c r="I194" s="63" t="n">
        <f aca="false">IF(H194="","",G194-H194)</f>
        <v>-8</v>
      </c>
      <c r="J194" s="53" t="n">
        <f aca="false">IF(OR(D194="",D194+G194=0),"",D194/(D194+G194))</f>
        <v>0.468685478320716</v>
      </c>
      <c r="K194" s="53" t="n">
        <f aca="false">IF(E194="","",E194/(E194+H194))</f>
        <v>0.477561955793704</v>
      </c>
      <c r="L194" s="64" t="n">
        <f aca="false">IF(OR(K194="",J194=""),"",(J194-K194)*100)</f>
        <v>-0.88764774729882</v>
      </c>
      <c r="M194" s="28" t="n">
        <v>2.49017287917352</v>
      </c>
      <c r="N194" s="28" t="n">
        <v>0.397844942258686</v>
      </c>
      <c r="O194" s="28" t="n">
        <f aca="false">SQRT(M194^2+N194^2)</f>
        <v>2.52175366882892</v>
      </c>
      <c r="P194" s="53" t="n">
        <f aca="false">IF(J194="","",MAX(0,J194-1.96*O194/100))</f>
        <v>0.419259106411669</v>
      </c>
      <c r="Q194" s="53" t="n">
        <f aca="false">IF(J194="","",MIN(1,J194+1.96*O194/100))</f>
        <v>0.518111850229763</v>
      </c>
      <c r="R194" s="25" t="str">
        <f aca="false">IF(L194="","",IF(ABS(L194)&lt;=O194,"Yes","No"))</f>
        <v>Yes</v>
      </c>
      <c r="S194" s="25" t="str">
        <f aca="false">IF(L194="","",IF(ABS(L194)&lt;=1.96*O194,"Yes","No"))</f>
        <v>Yes</v>
      </c>
      <c r="T194" s="52" t="n">
        <f aca="false">IF(D194="","",ROUND(SQRT(((D194+G194)*O194/100)^2+(J194*(D194+G194)*0.08889)^2),0))</f>
        <v>71</v>
      </c>
      <c r="U194" s="25"/>
    </row>
    <row r="195" customFormat="false" ht="15" hidden="false" customHeight="false" outlineLevel="0" collapsed="false">
      <c r="A195" s="25" t="s">
        <v>197</v>
      </c>
      <c r="B195" s="25" t="s">
        <v>353</v>
      </c>
      <c r="C195" s="25" t="s">
        <v>357</v>
      </c>
      <c r="D195" s="52" t="n">
        <v>1654</v>
      </c>
      <c r="E195" s="52" t="n">
        <v>1648</v>
      </c>
      <c r="F195" s="63" t="n">
        <f aca="false">IF(E195="","",D195-E195)</f>
        <v>6</v>
      </c>
      <c r="G195" s="52" t="n">
        <v>1817</v>
      </c>
      <c r="H195" s="52" t="n">
        <v>1789</v>
      </c>
      <c r="I195" s="63" t="n">
        <f aca="false">IF(H195="","",G195-H195)</f>
        <v>28</v>
      </c>
      <c r="J195" s="53" t="n">
        <f aca="false">IF(OR(D195="",D195+G195=0),"",D195/(D195+G195))</f>
        <v>0.476519734946701</v>
      </c>
      <c r="K195" s="53" t="n">
        <f aca="false">IF(E195="","",E195/(E195+H195))</f>
        <v>0.479487925516439</v>
      </c>
      <c r="L195" s="64" t="n">
        <f aca="false">IF(OR(K195="",J195=""),"",(J195-K195)*100)</f>
        <v>-0.296819056973752</v>
      </c>
      <c r="M195" s="28" t="n">
        <v>2.49017287917352</v>
      </c>
      <c r="N195" s="28" t="n">
        <v>0.397844942258686</v>
      </c>
      <c r="O195" s="28" t="n">
        <f aca="false">SQRT(M195^2+N195^2)</f>
        <v>2.52175366882892</v>
      </c>
      <c r="P195" s="53" t="n">
        <f aca="false">IF(J195="","",MAX(0,J195-1.96*O195/100))</f>
        <v>0.427093363037654</v>
      </c>
      <c r="Q195" s="53" t="n">
        <f aca="false">IF(J195="","",MIN(1,J195+1.96*O195/100))</f>
        <v>0.525946106855748</v>
      </c>
      <c r="R195" s="25" t="str">
        <f aca="false">IF(L195="","",IF(ABS(L195)&lt;=O195,"Yes","No"))</f>
        <v>Yes</v>
      </c>
      <c r="S195" s="25" t="str">
        <f aca="false">IF(L195="","",IF(ABS(L195)&lt;=1.96*O195,"Yes","No"))</f>
        <v>Yes</v>
      </c>
      <c r="T195" s="52" t="n">
        <f aca="false">IF(D195="","",ROUND(SQRT(((D195+G195)*O195/100)^2+(J195*(D195+G195)*0.08889)^2),0))</f>
        <v>171</v>
      </c>
      <c r="U195" s="25"/>
    </row>
    <row r="196" customFormat="false" ht="15" hidden="false" customHeight="false" outlineLevel="0" collapsed="false">
      <c r="A196" s="25" t="s">
        <v>197</v>
      </c>
      <c r="B196" s="25" t="s">
        <v>353</v>
      </c>
      <c r="C196" s="25" t="s">
        <v>358</v>
      </c>
      <c r="D196" s="52" t="n">
        <v>676</v>
      </c>
      <c r="E196" s="52" t="n">
        <v>683</v>
      </c>
      <c r="F196" s="63" t="n">
        <f aca="false">IF(E196="","",D196-E196)</f>
        <v>-7</v>
      </c>
      <c r="G196" s="52" t="n">
        <v>717</v>
      </c>
      <c r="H196" s="52" t="n">
        <v>663</v>
      </c>
      <c r="I196" s="63" t="n">
        <f aca="false">IF(H196="","",G196-H196)</f>
        <v>54</v>
      </c>
      <c r="J196" s="53" t="n">
        <f aca="false">IF(OR(D196="",D196+G196=0),"",D196/(D196+G196))</f>
        <v>0.485283560660445</v>
      </c>
      <c r="K196" s="53" t="n">
        <f aca="false">IF(E196="","",E196/(E196+H196))</f>
        <v>0.507429420505201</v>
      </c>
      <c r="L196" s="64" t="n">
        <f aca="false">IF(OR(K196="",J196=""),"",(J196-K196)*100)</f>
        <v>-2.21458598447555</v>
      </c>
      <c r="M196" s="28" t="n">
        <v>2.49017287917352</v>
      </c>
      <c r="N196" s="28" t="n">
        <v>0.397844942258686</v>
      </c>
      <c r="O196" s="28" t="n">
        <f aca="false">SQRT(M196^2+N196^2)</f>
        <v>2.52175366882892</v>
      </c>
      <c r="P196" s="53" t="n">
        <f aca="false">IF(J196="","",MAX(0,J196-1.96*O196/100))</f>
        <v>0.435857188751398</v>
      </c>
      <c r="Q196" s="53" t="n">
        <f aca="false">IF(J196="","",MIN(1,J196+1.96*O196/100))</f>
        <v>0.534709932569492</v>
      </c>
      <c r="R196" s="25" t="str">
        <f aca="false">IF(L196="","",IF(ABS(L196)&lt;=O196,"Yes","No"))</f>
        <v>Yes</v>
      </c>
      <c r="S196" s="25" t="str">
        <f aca="false">IF(L196="","",IF(ABS(L196)&lt;=1.96*O196,"Yes","No"))</f>
        <v>Yes</v>
      </c>
      <c r="T196" s="52" t="n">
        <f aca="false">IF(D196="","",ROUND(SQRT(((D196+G196)*O196/100)^2+(J196*(D196+G196)*0.08889)^2),0))</f>
        <v>70</v>
      </c>
      <c r="U196" s="25"/>
    </row>
    <row r="197" customFormat="false" ht="15" hidden="false" customHeight="false" outlineLevel="0" collapsed="false">
      <c r="A197" s="25" t="s">
        <v>197</v>
      </c>
      <c r="B197" s="25" t="s">
        <v>353</v>
      </c>
      <c r="C197" s="25" t="s">
        <v>359</v>
      </c>
      <c r="D197" s="52" t="n">
        <v>637</v>
      </c>
      <c r="E197" s="52" t="n">
        <v>648</v>
      </c>
      <c r="F197" s="63" t="n">
        <f aca="false">IF(E197="","",D197-E197)</f>
        <v>-11</v>
      </c>
      <c r="G197" s="52" t="n">
        <v>618</v>
      </c>
      <c r="H197" s="52" t="n">
        <v>583</v>
      </c>
      <c r="I197" s="63" t="n">
        <f aca="false">IF(H197="","",G197-H197)</f>
        <v>35</v>
      </c>
      <c r="J197" s="53" t="n">
        <f aca="false">IF(OR(D197="",D197+G197=0),"",D197/(D197+G197))</f>
        <v>0.507569721115538</v>
      </c>
      <c r="K197" s="53" t="n">
        <f aca="false">IF(E197="","",E197/(E197+H197))</f>
        <v>0.526401299756296</v>
      </c>
      <c r="L197" s="64" t="n">
        <f aca="false">IF(OR(K197="",J197=""),"",(J197-K197)*100)</f>
        <v>-1.88315786407578</v>
      </c>
      <c r="M197" s="28" t="n">
        <v>2.49017287917352</v>
      </c>
      <c r="N197" s="28" t="n">
        <v>0.397844942258686</v>
      </c>
      <c r="O197" s="28" t="n">
        <f aca="false">SQRT(M197^2+N197^2)</f>
        <v>2.52175366882892</v>
      </c>
      <c r="P197" s="53" t="n">
        <f aca="false">IF(J197="","",MAX(0,J197-1.96*O197/100))</f>
        <v>0.458143349206491</v>
      </c>
      <c r="Q197" s="53" t="n">
        <f aca="false">IF(J197="","",MIN(1,J197+1.96*O197/100))</f>
        <v>0.556996093024585</v>
      </c>
      <c r="R197" s="25" t="str">
        <f aca="false">IF(L197="","",IF(ABS(L197)&lt;=O197,"Yes","No"))</f>
        <v>Yes</v>
      </c>
      <c r="S197" s="25" t="str">
        <f aca="false">IF(L197="","",IF(ABS(L197)&lt;=1.96*O197,"Yes","No"))</f>
        <v>Yes</v>
      </c>
      <c r="T197" s="52" t="n">
        <f aca="false">IF(D197="","",ROUND(SQRT(((D197+G197)*O197/100)^2+(J197*(D197+G197)*0.08889)^2),0))</f>
        <v>65</v>
      </c>
      <c r="U197" s="25"/>
    </row>
    <row r="198" customFormat="false" ht="15" hidden="false" customHeight="false" outlineLevel="0" collapsed="false">
      <c r="A198" s="25" t="s">
        <v>197</v>
      </c>
      <c r="B198" s="25" t="s">
        <v>360</v>
      </c>
      <c r="C198" s="25" t="s">
        <v>361</v>
      </c>
      <c r="D198" s="52" t="n">
        <v>238</v>
      </c>
      <c r="E198" s="52" t="n">
        <v>243</v>
      </c>
      <c r="F198" s="63" t="n">
        <f aca="false">IF(E198="","",D198-E198)</f>
        <v>-5</v>
      </c>
      <c r="G198" s="52" t="n">
        <v>545</v>
      </c>
      <c r="H198" s="52" t="n">
        <v>532</v>
      </c>
      <c r="I198" s="63" t="n">
        <f aca="false">IF(H198="","",G198-H198)</f>
        <v>13</v>
      </c>
      <c r="J198" s="53" t="n">
        <f aca="false">IF(OR(D198="",D198+G198=0),"",D198/(D198+G198))</f>
        <v>0.303959131545338</v>
      </c>
      <c r="K198" s="53" t="n">
        <f aca="false">IF(E198="","",E198/(E198+H198))</f>
        <v>0.313548387096774</v>
      </c>
      <c r="L198" s="64" t="n">
        <f aca="false">IF(OR(K198="",J198=""),"",(J198-K198)*100)</f>
        <v>-0.958925555143575</v>
      </c>
      <c r="M198" s="28" t="n">
        <v>2.42668038003648</v>
      </c>
      <c r="N198" s="28" t="n">
        <v>0.397844942258686</v>
      </c>
      <c r="O198" s="28" t="n">
        <f aca="false">SQRT(M198^2+N198^2)</f>
        <v>2.45907670985165</v>
      </c>
      <c r="P198" s="53" t="n">
        <f aca="false">IF(J198="","",MAX(0,J198-1.96*O198/100))</f>
        <v>0.255761228032246</v>
      </c>
      <c r="Q198" s="53" t="n">
        <f aca="false">IF(J198="","",MIN(1,J198+1.96*O198/100))</f>
        <v>0.352157035058431</v>
      </c>
      <c r="R198" s="25" t="str">
        <f aca="false">IF(L198="","",IF(ABS(L198)&lt;=O198,"Yes","No"))</f>
        <v>Yes</v>
      </c>
      <c r="S198" s="25" t="str">
        <f aca="false">IF(L198="","",IF(ABS(L198)&lt;=1.96*O198,"Yes","No"))</f>
        <v>Yes</v>
      </c>
      <c r="T198" s="52" t="n">
        <f aca="false">IF(D198="","",ROUND(SQRT(((D198+G198)*O198/100)^2+(J198*(D198+G198)*0.10931)^2),0))</f>
        <v>32</v>
      </c>
      <c r="U198" s="25"/>
    </row>
    <row r="199" customFormat="false" ht="15" hidden="false" customHeight="false" outlineLevel="0" collapsed="false">
      <c r="A199" s="25" t="s">
        <v>197</v>
      </c>
      <c r="B199" s="25" t="s">
        <v>360</v>
      </c>
      <c r="C199" s="25" t="s">
        <v>362</v>
      </c>
      <c r="D199" s="52" t="n">
        <v>820</v>
      </c>
      <c r="E199" s="52" t="n">
        <v>841</v>
      </c>
      <c r="F199" s="63" t="n">
        <f aca="false">IF(E199="","",D199-E199)</f>
        <v>-21</v>
      </c>
      <c r="G199" s="52" t="n">
        <v>1662</v>
      </c>
      <c r="H199" s="52" t="n">
        <v>1653</v>
      </c>
      <c r="I199" s="63" t="n">
        <f aca="false">IF(H199="","",G199-H199)</f>
        <v>9</v>
      </c>
      <c r="J199" s="53" t="n">
        <f aca="false">IF(OR(D199="",D199+G199=0),"",D199/(D199+G199))</f>
        <v>0.330378726833199</v>
      </c>
      <c r="K199" s="53" t="n">
        <f aca="false">IF(E199="","",E199/(E199+H199))</f>
        <v>0.337209302325581</v>
      </c>
      <c r="L199" s="64" t="n">
        <f aca="false">IF(OR(K199="",J199=""),"",(J199-K199)*100)</f>
        <v>-0.683057549238236</v>
      </c>
      <c r="M199" s="28" t="n">
        <v>2.49017287917352</v>
      </c>
      <c r="N199" s="28" t="n">
        <v>0.397844942258686</v>
      </c>
      <c r="O199" s="28" t="n">
        <f aca="false">SQRT(M199^2+N199^2)</f>
        <v>2.52175366882892</v>
      </c>
      <c r="P199" s="53" t="n">
        <f aca="false">IF(J199="","",MAX(0,J199-1.96*O199/100))</f>
        <v>0.280952354924152</v>
      </c>
      <c r="Q199" s="53" t="n">
        <f aca="false">IF(J199="","",MIN(1,J199+1.96*O199/100))</f>
        <v>0.379805098742246</v>
      </c>
      <c r="R199" s="25" t="str">
        <f aca="false">IF(L199="","",IF(ABS(L199)&lt;=O199,"Yes","No"))</f>
        <v>Yes</v>
      </c>
      <c r="S199" s="25" t="str">
        <f aca="false">IF(L199="","",IF(ABS(L199)&lt;=1.96*O199,"Yes","No"))</f>
        <v>Yes</v>
      </c>
      <c r="T199" s="52" t="n">
        <f aca="false">IF(D199="","",ROUND(SQRT(((D199+G199)*O199/100)^2+(J199*(D199+G199)*0.08889)^2),0))</f>
        <v>96</v>
      </c>
      <c r="U199" s="25"/>
    </row>
    <row r="200" customFormat="false" ht="15" hidden="false" customHeight="false" outlineLevel="0" collapsed="false">
      <c r="A200" s="25" t="s">
        <v>197</v>
      </c>
      <c r="B200" s="25" t="s">
        <v>360</v>
      </c>
      <c r="C200" s="25" t="s">
        <v>363</v>
      </c>
      <c r="D200" s="52" t="n">
        <v>204</v>
      </c>
      <c r="E200" s="52" t="n">
        <v>182</v>
      </c>
      <c r="F200" s="63" t="n">
        <f aca="false">IF(E200="","",D200-E200)</f>
        <v>22</v>
      </c>
      <c r="G200" s="52" t="n">
        <v>469</v>
      </c>
      <c r="H200" s="52" t="n">
        <v>484</v>
      </c>
      <c r="I200" s="63" t="n">
        <f aca="false">IF(H200="","",G200-H200)</f>
        <v>-15</v>
      </c>
      <c r="J200" s="53" t="n">
        <f aca="false">IF(OR(D200="",D200+G200=0),"",D200/(D200+G200))</f>
        <v>0.303120356612184</v>
      </c>
      <c r="K200" s="53" t="n">
        <f aca="false">IF(E200="","",E200/(E200+H200))</f>
        <v>0.273273273273273</v>
      </c>
      <c r="L200" s="64" t="n">
        <f aca="false">IF(OR(K200="",J200=""),"",(J200-K200)*100)</f>
        <v>2.9847083338911</v>
      </c>
      <c r="M200" s="28" t="n">
        <v>3.19821915242569</v>
      </c>
      <c r="N200" s="28" t="n">
        <v>0.397844942258686</v>
      </c>
      <c r="O200" s="28" t="n">
        <f aca="false">SQRT(M200^2+N200^2)</f>
        <v>3.22286927209642</v>
      </c>
      <c r="P200" s="53" t="n">
        <f aca="false">IF(J200="","",MAX(0,J200-1.96*O200/100))</f>
        <v>0.239952118879094</v>
      </c>
      <c r="Q200" s="53" t="n">
        <f aca="false">IF(J200="","",MIN(1,J200+1.96*O200/100))</f>
        <v>0.366288594345274</v>
      </c>
      <c r="R200" s="25" t="str">
        <f aca="false">IF(L200="","",IF(ABS(L200)&lt;=O200,"Yes","No"))</f>
        <v>Yes</v>
      </c>
      <c r="S200" s="25" t="str">
        <f aca="false">IF(L200="","",IF(ABS(L200)&lt;=1.96*O200,"Yes","No"))</f>
        <v>Yes</v>
      </c>
      <c r="T200" s="52" t="n">
        <f aca="false">IF(D200="","",ROUND(SQRT(((D200+G200)*O200/100)^2+(J200*(D200+G200)*0.1901)^2),0))</f>
        <v>44</v>
      </c>
      <c r="U200" s="25"/>
    </row>
    <row r="201" customFormat="false" ht="15" hidden="false" customHeight="false" outlineLevel="0" collapsed="false">
      <c r="A201" s="25" t="s">
        <v>197</v>
      </c>
      <c r="B201" s="25" t="s">
        <v>364</v>
      </c>
      <c r="C201" s="25" t="s">
        <v>364</v>
      </c>
      <c r="D201" s="52" t="n">
        <v>1088</v>
      </c>
      <c r="E201" s="52" t="n">
        <v>1172</v>
      </c>
      <c r="F201" s="63" t="n">
        <f aca="false">IF(E201="","",D201-E201)</f>
        <v>-84</v>
      </c>
      <c r="G201" s="52" t="n">
        <v>2297</v>
      </c>
      <c r="H201" s="52" t="n">
        <v>2201</v>
      </c>
      <c r="I201" s="63" t="n">
        <f aca="false">IF(H201="","",G201-H201)</f>
        <v>96</v>
      </c>
      <c r="J201" s="53" t="n">
        <f aca="false">IF(OR(D201="",D201+G201=0),"",D201/(D201+G201))</f>
        <v>0.321418020679468</v>
      </c>
      <c r="K201" s="53" t="n">
        <f aca="false">IF(E201="","",E201/(E201+H201))</f>
        <v>0.347465164541951</v>
      </c>
      <c r="L201" s="64" t="n">
        <f aca="false">IF(OR(K201="",J201=""),"",(J201-K201)*100)</f>
        <v>-2.60471438624826</v>
      </c>
      <c r="M201" s="28" t="n">
        <v>2.49017287917352</v>
      </c>
      <c r="N201" s="28" t="n">
        <v>0.397844942258686</v>
      </c>
      <c r="O201" s="28" t="n">
        <f aca="false">SQRT(M201^2+N201^2)</f>
        <v>2.52175366882892</v>
      </c>
      <c r="P201" s="53" t="n">
        <f aca="false">IF(J201="","",MAX(0,J201-1.96*O201/100))</f>
        <v>0.271991648770421</v>
      </c>
      <c r="Q201" s="53" t="n">
        <f aca="false">IF(J201="","",MIN(1,J201+1.96*O201/100))</f>
        <v>0.370844392588515</v>
      </c>
      <c r="R201" s="25" t="str">
        <f aca="false">IF(L201="","",IF(ABS(L201)&lt;=O201,"Yes","No"))</f>
        <v>No</v>
      </c>
      <c r="S201" s="25" t="str">
        <f aca="false">IF(L201="","",IF(ABS(L201)&lt;=1.96*O201,"Yes","No"))</f>
        <v>Yes</v>
      </c>
      <c r="T201" s="52" t="n">
        <f aca="false">IF(D201="","",ROUND(SQRT(((D201+G201)*O201/100)^2+(J201*(D201+G201)*0.08889)^2),0))</f>
        <v>129</v>
      </c>
      <c r="U201" s="25"/>
    </row>
    <row r="202" customFormat="false" ht="15" hidden="false" customHeight="false" outlineLevel="0" collapsed="false">
      <c r="A202" s="25" t="s">
        <v>197</v>
      </c>
      <c r="B202" s="25" t="s">
        <v>365</v>
      </c>
      <c r="C202" s="25" t="s">
        <v>366</v>
      </c>
      <c r="D202" s="52" t="n">
        <v>799</v>
      </c>
      <c r="E202" s="52" t="n">
        <v>811</v>
      </c>
      <c r="F202" s="63" t="n">
        <f aca="false">IF(E202="","",D202-E202)</f>
        <v>-12</v>
      </c>
      <c r="G202" s="52" t="n">
        <v>918</v>
      </c>
      <c r="H202" s="52" t="n">
        <v>918</v>
      </c>
      <c r="I202" s="63" t="n">
        <f aca="false">IF(H202="","",G202-H202)</f>
        <v>0</v>
      </c>
      <c r="J202" s="53" t="n">
        <f aca="false">IF(OR(D202="",D202+G202=0),"",D202/(D202+G202))</f>
        <v>0.465346534653465</v>
      </c>
      <c r="K202" s="53" t="n">
        <f aca="false">IF(E202="","",E202/(E202+H202))</f>
        <v>0.469057258530943</v>
      </c>
      <c r="L202" s="64" t="n">
        <f aca="false">IF(OR(K202="",J202=""),"",(J202-K202)*100)</f>
        <v>-0.37107238774774</v>
      </c>
      <c r="M202" s="28" t="n">
        <v>2.49017287917352</v>
      </c>
      <c r="N202" s="28" t="n">
        <v>0.397844942258686</v>
      </c>
      <c r="O202" s="28" t="n">
        <f aca="false">SQRT(M202^2+N202^2)</f>
        <v>2.52175366882892</v>
      </c>
      <c r="P202" s="53" t="n">
        <f aca="false">IF(J202="","",MAX(0,J202-1.96*O202/100))</f>
        <v>0.415920162744418</v>
      </c>
      <c r="Q202" s="53" t="n">
        <f aca="false">IF(J202="","",MIN(1,J202+1.96*O202/100))</f>
        <v>0.514772906562512</v>
      </c>
      <c r="R202" s="25" t="str">
        <f aca="false">IF(L202="","",IF(ABS(L202)&lt;=O202,"Yes","No"))</f>
        <v>Yes</v>
      </c>
      <c r="S202" s="25" t="str">
        <f aca="false">IF(L202="","",IF(ABS(L202)&lt;=1.96*O202,"Yes","No"))</f>
        <v>Yes</v>
      </c>
      <c r="T202" s="52" t="n">
        <f aca="false">IF(D202="","",ROUND(SQRT(((D202+G202)*O202/100)^2+(J202*(D202+G202)*0.08889)^2),0))</f>
        <v>83</v>
      </c>
      <c r="U202" s="25"/>
    </row>
    <row r="203" customFormat="false" ht="15" hidden="false" customHeight="false" outlineLevel="0" collapsed="false">
      <c r="A203" s="25" t="s">
        <v>197</v>
      </c>
      <c r="B203" s="25" t="s">
        <v>365</v>
      </c>
      <c r="C203" s="25" t="s">
        <v>367</v>
      </c>
      <c r="D203" s="52" t="n">
        <v>630</v>
      </c>
      <c r="E203" s="52" t="n">
        <v>606</v>
      </c>
      <c r="F203" s="63" t="n">
        <f aca="false">IF(E203="","",D203-E203)</f>
        <v>24</v>
      </c>
      <c r="G203" s="52" t="n">
        <v>674</v>
      </c>
      <c r="H203" s="52" t="n">
        <v>669</v>
      </c>
      <c r="I203" s="63" t="n">
        <f aca="false">IF(H203="","",G203-H203)</f>
        <v>5</v>
      </c>
      <c r="J203" s="53" t="n">
        <f aca="false">IF(OR(D203="",D203+G203=0),"",D203/(D203+G203))</f>
        <v>0.483128834355828</v>
      </c>
      <c r="K203" s="53" t="n">
        <f aca="false">IF(E203="","",E203/(E203+H203))</f>
        <v>0.475294117647059</v>
      </c>
      <c r="L203" s="64" t="n">
        <f aca="false">IF(OR(K203="",J203=""),"",(J203-K203)*100)</f>
        <v>0.78347167087694</v>
      </c>
      <c r="M203" s="28" t="n">
        <v>2.49017287917352</v>
      </c>
      <c r="N203" s="28" t="n">
        <v>0.397844942258686</v>
      </c>
      <c r="O203" s="28" t="n">
        <f aca="false">SQRT(M203^2+N203^2)</f>
        <v>2.52175366882892</v>
      </c>
      <c r="P203" s="53" t="n">
        <f aca="false">IF(J203="","",MAX(0,J203-1.96*O203/100))</f>
        <v>0.433702462446781</v>
      </c>
      <c r="Q203" s="53" t="n">
        <f aca="false">IF(J203="","",MIN(1,J203+1.96*O203/100))</f>
        <v>0.532555206264875</v>
      </c>
      <c r="R203" s="25" t="str">
        <f aca="false">IF(L203="","",IF(ABS(L203)&lt;=O203,"Yes","No"))</f>
        <v>Yes</v>
      </c>
      <c r="S203" s="25" t="str">
        <f aca="false">IF(L203="","",IF(ABS(L203)&lt;=1.96*O203,"Yes","No"))</f>
        <v>Yes</v>
      </c>
      <c r="T203" s="52" t="n">
        <f aca="false">IF(D203="","",ROUND(SQRT(((D203+G203)*O203/100)^2+(J203*(D203+G203)*0.08889)^2),0))</f>
        <v>65</v>
      </c>
      <c r="U203" s="25"/>
    </row>
    <row r="204" customFormat="false" ht="15" hidden="false" customHeight="false" outlineLevel="0" collapsed="false">
      <c r="A204" s="25" t="s">
        <v>197</v>
      </c>
      <c r="B204" s="25" t="s">
        <v>365</v>
      </c>
      <c r="C204" s="25" t="s">
        <v>368</v>
      </c>
      <c r="D204" s="52" t="n">
        <v>775</v>
      </c>
      <c r="E204" s="52" t="n">
        <v>732</v>
      </c>
      <c r="F204" s="63" t="n">
        <f aca="false">IF(E204="","",D204-E204)</f>
        <v>43</v>
      </c>
      <c r="G204" s="52" t="n">
        <v>587</v>
      </c>
      <c r="H204" s="52" t="n">
        <v>616</v>
      </c>
      <c r="I204" s="63" t="n">
        <f aca="false">IF(H204="","",G204-H204)</f>
        <v>-29</v>
      </c>
      <c r="J204" s="53" t="n">
        <f aca="false">IF(OR(D204="",D204+G204=0),"",D204/(D204+G204))</f>
        <v>0.569016152716593</v>
      </c>
      <c r="K204" s="53" t="n">
        <f aca="false">IF(E204="","",E204/(E204+H204))</f>
        <v>0.543026706231454</v>
      </c>
      <c r="L204" s="64" t="n">
        <f aca="false">IF(OR(K204="",J204=""),"",(J204-K204)*100)</f>
        <v>2.59894464851392</v>
      </c>
      <c r="M204" s="28" t="n">
        <v>2.49017287917352</v>
      </c>
      <c r="N204" s="28" t="n">
        <v>0.397844942258686</v>
      </c>
      <c r="O204" s="28" t="n">
        <f aca="false">SQRT(M204^2+N204^2)</f>
        <v>2.52175366882892</v>
      </c>
      <c r="P204" s="53" t="n">
        <f aca="false">IF(J204="","",MAX(0,J204-1.96*O204/100))</f>
        <v>0.519589780807546</v>
      </c>
      <c r="Q204" s="53" t="n">
        <f aca="false">IF(J204="","",MIN(1,J204+1.96*O204/100))</f>
        <v>0.61844252462564</v>
      </c>
      <c r="R204" s="25" t="str">
        <f aca="false">IF(L204="","",IF(ABS(L204)&lt;=O204,"Yes","No"))</f>
        <v>No</v>
      </c>
      <c r="S204" s="25" t="str">
        <f aca="false">IF(L204="","",IF(ABS(L204)&lt;=1.96*O204,"Yes","No"))</f>
        <v>Yes</v>
      </c>
      <c r="T204" s="52" t="n">
        <f aca="false">IF(D204="","",ROUND(SQRT(((D204+G204)*O204/100)^2+(J204*(D204+G204)*0.08889)^2),0))</f>
        <v>77</v>
      </c>
      <c r="U204" s="25"/>
    </row>
    <row r="205" customFormat="false" ht="15" hidden="false" customHeight="false" outlineLevel="0" collapsed="false">
      <c r="A205" s="25" t="s">
        <v>197</v>
      </c>
      <c r="B205" s="25" t="s">
        <v>365</v>
      </c>
      <c r="C205" s="25" t="s">
        <v>369</v>
      </c>
      <c r="D205" s="52" t="n">
        <v>902</v>
      </c>
      <c r="E205" s="52" t="n">
        <v>871</v>
      </c>
      <c r="F205" s="63" t="n">
        <f aca="false">IF(E205="","",D205-E205)</f>
        <v>31</v>
      </c>
      <c r="G205" s="52" t="n">
        <v>638</v>
      </c>
      <c r="H205" s="52" t="n">
        <v>616</v>
      </c>
      <c r="I205" s="63" t="n">
        <f aca="false">IF(H205="","",G205-H205)</f>
        <v>22</v>
      </c>
      <c r="J205" s="53" t="n">
        <f aca="false">IF(OR(D205="",D205+G205=0),"",D205/(D205+G205))</f>
        <v>0.585714285714286</v>
      </c>
      <c r="K205" s="53" t="n">
        <f aca="false">IF(E205="","",E205/(E205+H205))</f>
        <v>0.585743106926698</v>
      </c>
      <c r="L205" s="64" t="n">
        <f aca="false">IF(OR(K205="",J205=""),"",(J205-K205)*100)</f>
        <v>-0.00288212124123222</v>
      </c>
      <c r="M205" s="28" t="n">
        <v>2.49017287917352</v>
      </c>
      <c r="N205" s="28" t="n">
        <v>0.397844942258686</v>
      </c>
      <c r="O205" s="28" t="n">
        <f aca="false">SQRT(M205^2+N205^2)</f>
        <v>2.52175366882892</v>
      </c>
      <c r="P205" s="53" t="n">
        <f aca="false">IF(J205="","",MAX(0,J205-1.96*O205/100))</f>
        <v>0.536287913805239</v>
      </c>
      <c r="Q205" s="53" t="n">
        <f aca="false">IF(J205="","",MIN(1,J205+1.96*O205/100))</f>
        <v>0.635140657623333</v>
      </c>
      <c r="R205" s="25" t="str">
        <f aca="false">IF(L205="","",IF(ABS(L205)&lt;=O205,"Yes","No"))</f>
        <v>Yes</v>
      </c>
      <c r="S205" s="25" t="str">
        <f aca="false">IF(L205="","",IF(ABS(L205)&lt;=1.96*O205,"Yes","No"))</f>
        <v>Yes</v>
      </c>
      <c r="T205" s="52" t="n">
        <f aca="false">IF(D205="","",ROUND(SQRT(((D205+G205)*O205/100)^2+(J205*(D205+G205)*0.08889)^2),0))</f>
        <v>89</v>
      </c>
      <c r="U205" s="25"/>
    </row>
    <row r="206" customFormat="false" ht="15" hidden="false" customHeight="false" outlineLevel="0" collapsed="false">
      <c r="A206" s="25" t="s">
        <v>197</v>
      </c>
      <c r="B206" s="25" t="s">
        <v>365</v>
      </c>
      <c r="C206" s="25" t="s">
        <v>370</v>
      </c>
      <c r="D206" s="52" t="n">
        <v>310</v>
      </c>
      <c r="E206" s="52" t="n">
        <v>305</v>
      </c>
      <c r="F206" s="63" t="n">
        <f aca="false">IF(E206="","",D206-E206)</f>
        <v>5</v>
      </c>
      <c r="G206" s="52" t="n">
        <v>265</v>
      </c>
      <c r="H206" s="52" t="n">
        <v>262</v>
      </c>
      <c r="I206" s="63" t="n">
        <f aca="false">IF(H206="","",G206-H206)</f>
        <v>3</v>
      </c>
      <c r="J206" s="53" t="n">
        <f aca="false">IF(OR(D206="",D206+G206=0),"",D206/(D206+G206))</f>
        <v>0.539130434782609</v>
      </c>
      <c r="K206" s="53" t="n">
        <f aca="false">IF(E206="","",E206/(E206+H206))</f>
        <v>0.537918871252205</v>
      </c>
      <c r="L206" s="64" t="n">
        <f aca="false">IF(OR(K206="",J206=""),"",(J206-K206)*100)</f>
        <v>0.121156353040408</v>
      </c>
      <c r="M206" s="28" t="n">
        <v>3.19821915242569</v>
      </c>
      <c r="N206" s="28" t="n">
        <v>0.397844942258686</v>
      </c>
      <c r="O206" s="28" t="n">
        <f aca="false">SQRT(M206^2+N206^2)</f>
        <v>3.22286927209642</v>
      </c>
      <c r="P206" s="53" t="n">
        <f aca="false">IF(J206="","",MAX(0,J206-1.96*O206/100))</f>
        <v>0.475962197049519</v>
      </c>
      <c r="Q206" s="53" t="n">
        <f aca="false">IF(J206="","",MIN(1,J206+1.96*O206/100))</f>
        <v>0.602298672515699</v>
      </c>
      <c r="R206" s="25" t="str">
        <f aca="false">IF(L206="","",IF(ABS(L206)&lt;=O206,"Yes","No"))</f>
        <v>Yes</v>
      </c>
      <c r="S206" s="25" t="str">
        <f aca="false">IF(L206="","",IF(ABS(L206)&lt;=1.96*O206,"Yes","No"))</f>
        <v>Yes</v>
      </c>
      <c r="T206" s="52" t="n">
        <f aca="false">IF(D206="","",ROUND(SQRT(((D206+G206)*O206/100)^2+(J206*(D206+G206)*0.1901)^2),0))</f>
        <v>62</v>
      </c>
      <c r="U206" s="25"/>
    </row>
    <row r="207" customFormat="false" ht="15" hidden="false" customHeight="false" outlineLevel="0" collapsed="false">
      <c r="A207" s="25" t="s">
        <v>197</v>
      </c>
      <c r="B207" s="25" t="s">
        <v>365</v>
      </c>
      <c r="C207" s="25" t="s">
        <v>371</v>
      </c>
      <c r="D207" s="52" t="n">
        <v>558</v>
      </c>
      <c r="E207" s="52" t="n">
        <v>535</v>
      </c>
      <c r="F207" s="63" t="n">
        <f aca="false">IF(E207="","",D207-E207)</f>
        <v>23</v>
      </c>
      <c r="G207" s="52" t="n">
        <v>340</v>
      </c>
      <c r="H207" s="52" t="n">
        <v>364</v>
      </c>
      <c r="I207" s="63" t="n">
        <f aca="false">IF(H207="","",G207-H207)</f>
        <v>-24</v>
      </c>
      <c r="J207" s="53" t="n">
        <f aca="false">IF(OR(D207="",D207+G207=0),"",D207/(D207+G207))</f>
        <v>0.621380846325167</v>
      </c>
      <c r="K207" s="53" t="n">
        <f aca="false">IF(E207="","",E207/(E207+H207))</f>
        <v>0.595105672969967</v>
      </c>
      <c r="L207" s="64" t="n">
        <f aca="false">IF(OR(K207="",J207=""),"",(J207-K207)*100)</f>
        <v>2.62751733552004</v>
      </c>
      <c r="M207" s="28" t="n">
        <v>2.42668038003648</v>
      </c>
      <c r="N207" s="28" t="n">
        <v>0.397844942258686</v>
      </c>
      <c r="O207" s="28" t="n">
        <f aca="false">SQRT(M207^2+N207^2)</f>
        <v>2.45907670985165</v>
      </c>
      <c r="P207" s="53" t="n">
        <f aca="false">IF(J207="","",MAX(0,J207-1.96*O207/100))</f>
        <v>0.573182942812075</v>
      </c>
      <c r="Q207" s="53" t="n">
        <f aca="false">IF(J207="","",MIN(1,J207+1.96*O207/100))</f>
        <v>0.669578749838259</v>
      </c>
      <c r="R207" s="25" t="str">
        <f aca="false">IF(L207="","",IF(ABS(L207)&lt;=O207,"Yes","No"))</f>
        <v>No</v>
      </c>
      <c r="S207" s="25" t="str">
        <f aca="false">IF(L207="","",IF(ABS(L207)&lt;=1.96*O207,"Yes","No"))</f>
        <v>Yes</v>
      </c>
      <c r="T207" s="52" t="n">
        <f aca="false">IF(D207="","",ROUND(SQRT(((D207+G207)*O207/100)^2+(J207*(D207+G207)*0.10931)^2),0))</f>
        <v>65</v>
      </c>
      <c r="U207" s="25"/>
    </row>
    <row r="208" customFormat="false" ht="15" hidden="false" customHeight="false" outlineLevel="0" collapsed="false">
      <c r="A208" s="25" t="s">
        <v>197</v>
      </c>
      <c r="B208" s="25" t="s">
        <v>365</v>
      </c>
      <c r="C208" s="25" t="s">
        <v>372</v>
      </c>
      <c r="D208" s="52" t="n">
        <v>523</v>
      </c>
      <c r="E208" s="52" t="n">
        <v>564</v>
      </c>
      <c r="F208" s="63" t="n">
        <f aca="false">IF(E208="","",D208-E208)</f>
        <v>-41</v>
      </c>
      <c r="G208" s="52" t="n">
        <v>448</v>
      </c>
      <c r="H208" s="52" t="n">
        <v>451</v>
      </c>
      <c r="I208" s="63" t="n">
        <f aca="false">IF(H208="","",G208-H208)</f>
        <v>-3</v>
      </c>
      <c r="J208" s="53" t="n">
        <f aca="false">IF(OR(D208="",D208+G208=0),"",D208/(D208+G208))</f>
        <v>0.538619979402678</v>
      </c>
      <c r="K208" s="53" t="n">
        <f aca="false">IF(E208="","",E208/(E208+H208))</f>
        <v>0.555665024630542</v>
      </c>
      <c r="L208" s="64" t="n">
        <f aca="false">IF(OR(K208="",J208=""),"",(J208-K208)*100)</f>
        <v>-1.70450452278642</v>
      </c>
      <c r="M208" s="28" t="n">
        <v>2.42668038003648</v>
      </c>
      <c r="N208" s="28" t="n">
        <v>0.397844942258686</v>
      </c>
      <c r="O208" s="28" t="n">
        <f aca="false">SQRT(M208^2+N208^2)</f>
        <v>2.45907670985165</v>
      </c>
      <c r="P208" s="53" t="n">
        <f aca="false">IF(J208="","",MAX(0,J208-1.96*O208/100))</f>
        <v>0.490422075889585</v>
      </c>
      <c r="Q208" s="53" t="n">
        <f aca="false">IF(J208="","",MIN(1,J208+1.96*O208/100))</f>
        <v>0.58681788291577</v>
      </c>
      <c r="R208" s="25" t="str">
        <f aca="false">IF(L208="","",IF(ABS(L208)&lt;=O208,"Yes","No"))</f>
        <v>Yes</v>
      </c>
      <c r="S208" s="25" t="str">
        <f aca="false">IF(L208="","",IF(ABS(L208)&lt;=1.96*O208,"Yes","No"))</f>
        <v>Yes</v>
      </c>
      <c r="T208" s="52" t="n">
        <f aca="false">IF(D208="","",ROUND(SQRT(((D208+G208)*O208/100)^2+(J208*(D208+G208)*0.10931)^2),0))</f>
        <v>62</v>
      </c>
      <c r="U208" s="25"/>
    </row>
    <row r="209" customFormat="false" ht="15" hidden="false" customHeight="false" outlineLevel="0" collapsed="false">
      <c r="A209" s="25" t="s">
        <v>197</v>
      </c>
      <c r="B209" s="25" t="s">
        <v>365</v>
      </c>
      <c r="C209" s="25" t="s">
        <v>373</v>
      </c>
      <c r="D209" s="52" t="n">
        <v>283</v>
      </c>
      <c r="E209" s="52" t="n">
        <v>279</v>
      </c>
      <c r="F209" s="63" t="n">
        <f aca="false">IF(E209="","",D209-E209)</f>
        <v>4</v>
      </c>
      <c r="G209" s="52" t="n">
        <v>301</v>
      </c>
      <c r="H209" s="52" t="n">
        <v>318</v>
      </c>
      <c r="I209" s="63" t="n">
        <f aca="false">IF(H209="","",G209-H209)</f>
        <v>-17</v>
      </c>
      <c r="J209" s="53" t="n">
        <f aca="false">IF(OR(D209="",D209+G209=0),"",D209/(D209+G209))</f>
        <v>0.48458904109589</v>
      </c>
      <c r="K209" s="53" t="n">
        <f aca="false">IF(E209="","",E209/(E209+H209))</f>
        <v>0.467336683417085</v>
      </c>
      <c r="L209" s="64" t="n">
        <f aca="false">IF(OR(K209="",J209=""),"",(J209-K209)*100)</f>
        <v>1.7252357678805</v>
      </c>
      <c r="M209" s="28" t="n">
        <v>3.19821915242569</v>
      </c>
      <c r="N209" s="28" t="n">
        <v>0.397844942258686</v>
      </c>
      <c r="O209" s="28" t="n">
        <f aca="false">SQRT(M209^2+N209^2)</f>
        <v>3.22286927209642</v>
      </c>
      <c r="P209" s="53" t="n">
        <f aca="false">IF(J209="","",MAX(0,J209-1.96*O209/100))</f>
        <v>0.421420803362801</v>
      </c>
      <c r="Q209" s="53" t="n">
        <f aca="false">IF(J209="","",MIN(1,J209+1.96*O209/100))</f>
        <v>0.54775727882898</v>
      </c>
      <c r="R209" s="25" t="str">
        <f aca="false">IF(L209="","",IF(ABS(L209)&lt;=O209,"Yes","No"))</f>
        <v>Yes</v>
      </c>
      <c r="S209" s="25" t="str">
        <f aca="false">IF(L209="","",IF(ABS(L209)&lt;=1.96*O209,"Yes","No"))</f>
        <v>Yes</v>
      </c>
      <c r="T209" s="52" t="n">
        <f aca="false">IF(D209="","",ROUND(SQRT(((D209+G209)*O209/100)^2+(J209*(D209+G209)*0.1901)^2),0))</f>
        <v>57</v>
      </c>
      <c r="U209" s="25"/>
    </row>
    <row r="210" customFormat="false" ht="15" hidden="false" customHeight="false" outlineLevel="0" collapsed="false">
      <c r="A210" s="25" t="s">
        <v>197</v>
      </c>
      <c r="B210" s="25" t="s">
        <v>365</v>
      </c>
      <c r="C210" s="25" t="s">
        <v>374</v>
      </c>
      <c r="D210" s="52" t="n">
        <v>608</v>
      </c>
      <c r="E210" s="52" t="n">
        <v>571</v>
      </c>
      <c r="F210" s="63" t="n">
        <f aca="false">IF(E210="","",D210-E210)</f>
        <v>37</v>
      </c>
      <c r="G210" s="52" t="n">
        <v>526</v>
      </c>
      <c r="H210" s="52" t="n">
        <v>544</v>
      </c>
      <c r="I210" s="63" t="n">
        <f aca="false">IF(H210="","",G210-H210)</f>
        <v>-18</v>
      </c>
      <c r="J210" s="53" t="n">
        <f aca="false">IF(OR(D210="",D210+G210=0),"",D210/(D210+G210))</f>
        <v>0.53615520282187</v>
      </c>
      <c r="K210" s="53" t="n">
        <f aca="false">IF(E210="","",E210/(E210+H210))</f>
        <v>0.512107623318386</v>
      </c>
      <c r="L210" s="64" t="n">
        <f aca="false">IF(OR(K210="",J210=""),"",(J210-K210)*100)</f>
        <v>2.40475795034838</v>
      </c>
      <c r="M210" s="28" t="n">
        <v>2.42668038003648</v>
      </c>
      <c r="N210" s="28" t="n">
        <v>0.397844942258686</v>
      </c>
      <c r="O210" s="28" t="n">
        <f aca="false">SQRT(M210^2+N210^2)</f>
        <v>2.45907670985165</v>
      </c>
      <c r="P210" s="53" t="n">
        <f aca="false">IF(J210="","",MAX(0,J210-1.96*O210/100))</f>
        <v>0.487957299308777</v>
      </c>
      <c r="Q210" s="53" t="n">
        <f aca="false">IF(J210="","",MIN(1,J210+1.96*O210/100))</f>
        <v>0.584353106334962</v>
      </c>
      <c r="R210" s="25" t="str">
        <f aca="false">IF(L210="","",IF(ABS(L210)&lt;=O210,"Yes","No"))</f>
        <v>Yes</v>
      </c>
      <c r="S210" s="25" t="str">
        <f aca="false">IF(L210="","",IF(ABS(L210)&lt;=1.96*O210,"Yes","No"))</f>
        <v>Yes</v>
      </c>
      <c r="T210" s="52" t="n">
        <f aca="false">IF(D210="","",ROUND(SQRT(((D210+G210)*O210/100)^2+(J210*(D210+G210)*0.10931)^2),0))</f>
        <v>72</v>
      </c>
      <c r="U210" s="25"/>
    </row>
    <row r="211" customFormat="false" ht="15" hidden="false" customHeight="false" outlineLevel="0" collapsed="false">
      <c r="A211" s="25" t="s">
        <v>197</v>
      </c>
      <c r="B211" s="25" t="s">
        <v>365</v>
      </c>
      <c r="C211" s="25" t="s">
        <v>375</v>
      </c>
      <c r="D211" s="52" t="n">
        <v>847</v>
      </c>
      <c r="E211" s="52" t="n">
        <v>829</v>
      </c>
      <c r="F211" s="63" t="n">
        <f aca="false">IF(E211="","",D211-E211)</f>
        <v>18</v>
      </c>
      <c r="G211" s="52" t="n">
        <v>947</v>
      </c>
      <c r="H211" s="52" t="n">
        <v>968</v>
      </c>
      <c r="I211" s="63" t="n">
        <f aca="false">IF(H211="","",G211-H211)</f>
        <v>-21</v>
      </c>
      <c r="J211" s="53" t="n">
        <f aca="false">IF(OR(D211="",D211+G211=0),"",D211/(D211+G211))</f>
        <v>0.472129319955407</v>
      </c>
      <c r="K211" s="53" t="n">
        <f aca="false">IF(E211="","",E211/(E211+H211))</f>
        <v>0.461324429604897</v>
      </c>
      <c r="L211" s="64" t="n">
        <f aca="false">IF(OR(K211="",J211=""),"",(J211-K211)*100)</f>
        <v>1.08048903505099</v>
      </c>
      <c r="M211" s="28" t="n">
        <v>2.49017287917352</v>
      </c>
      <c r="N211" s="28" t="n">
        <v>0.397844942258686</v>
      </c>
      <c r="O211" s="28" t="n">
        <f aca="false">SQRT(M211^2+N211^2)</f>
        <v>2.52175366882892</v>
      </c>
      <c r="P211" s="53" t="n">
        <f aca="false">IF(J211="","",MAX(0,J211-1.96*O211/100))</f>
        <v>0.42270294804636</v>
      </c>
      <c r="Q211" s="53" t="n">
        <f aca="false">IF(J211="","",MIN(1,J211+1.96*O211/100))</f>
        <v>0.521555691864454</v>
      </c>
      <c r="R211" s="25" t="str">
        <f aca="false">IF(L211="","",IF(ABS(L211)&lt;=O211,"Yes","No"))</f>
        <v>Yes</v>
      </c>
      <c r="S211" s="25" t="str">
        <f aca="false">IF(L211="","",IF(ABS(L211)&lt;=1.96*O211,"Yes","No"))</f>
        <v>Yes</v>
      </c>
      <c r="T211" s="52" t="n">
        <f aca="false">IF(D211="","",ROUND(SQRT(((D211+G211)*O211/100)^2+(J211*(D211+G211)*0.08889)^2),0))</f>
        <v>88</v>
      </c>
      <c r="U211" s="25"/>
    </row>
    <row r="212" customFormat="false" ht="15" hidden="false" customHeight="false" outlineLevel="0" collapsed="false">
      <c r="A212" s="25" t="s">
        <v>197</v>
      </c>
      <c r="B212" s="25" t="s">
        <v>365</v>
      </c>
      <c r="C212" s="25" t="s">
        <v>376</v>
      </c>
      <c r="D212" s="52" t="n">
        <v>705</v>
      </c>
      <c r="E212" s="52" t="n">
        <v>698</v>
      </c>
      <c r="F212" s="63" t="n">
        <f aca="false">IF(E212="","",D212-E212)</f>
        <v>7</v>
      </c>
      <c r="G212" s="52" t="n">
        <v>737</v>
      </c>
      <c r="H212" s="52" t="n">
        <v>748</v>
      </c>
      <c r="I212" s="63" t="n">
        <f aca="false">IF(H212="","",G212-H212)</f>
        <v>-11</v>
      </c>
      <c r="J212" s="53" t="n">
        <f aca="false">IF(OR(D212="",D212+G212=0),"",D212/(D212+G212))</f>
        <v>0.488904299583911</v>
      </c>
      <c r="K212" s="53" t="n">
        <f aca="false">IF(E212="","",E212/(E212+H212))</f>
        <v>0.482710926694329</v>
      </c>
      <c r="L212" s="64" t="n">
        <f aca="false">IF(OR(K212="",J212=""),"",(J212-K212)*100)</f>
        <v>0.619337288958205</v>
      </c>
      <c r="M212" s="28" t="n">
        <v>2.49017287917352</v>
      </c>
      <c r="N212" s="28" t="n">
        <v>0.397844942258686</v>
      </c>
      <c r="O212" s="28" t="n">
        <f aca="false">SQRT(M212^2+N212^2)</f>
        <v>2.52175366882892</v>
      </c>
      <c r="P212" s="53" t="n">
        <f aca="false">IF(J212="","",MAX(0,J212-1.96*O212/100))</f>
        <v>0.439477927674864</v>
      </c>
      <c r="Q212" s="53" t="n">
        <f aca="false">IF(J212="","",MIN(1,J212+1.96*O212/100))</f>
        <v>0.538330671492958</v>
      </c>
      <c r="R212" s="25" t="str">
        <f aca="false">IF(L212="","",IF(ABS(L212)&lt;=O212,"Yes","No"))</f>
        <v>Yes</v>
      </c>
      <c r="S212" s="25" t="str">
        <f aca="false">IF(L212="","",IF(ABS(L212)&lt;=1.96*O212,"Yes","No"))</f>
        <v>Yes</v>
      </c>
      <c r="T212" s="52" t="n">
        <f aca="false">IF(D212="","",ROUND(SQRT(((D212+G212)*O212/100)^2+(J212*(D212+G212)*0.08889)^2),0))</f>
        <v>72</v>
      </c>
      <c r="U212" s="25"/>
    </row>
    <row r="213" customFormat="false" ht="15" hidden="false" customHeight="false" outlineLevel="0" collapsed="false">
      <c r="A213" s="25" t="s">
        <v>197</v>
      </c>
      <c r="B213" s="25" t="s">
        <v>365</v>
      </c>
      <c r="C213" s="25" t="s">
        <v>377</v>
      </c>
      <c r="D213" s="52" t="n">
        <v>621</v>
      </c>
      <c r="E213" s="52" t="n">
        <v>582</v>
      </c>
      <c r="F213" s="63" t="n">
        <f aca="false">IF(E213="","",D213-E213)</f>
        <v>39</v>
      </c>
      <c r="G213" s="52" t="n">
        <v>555</v>
      </c>
      <c r="H213" s="52" t="n">
        <v>562</v>
      </c>
      <c r="I213" s="63" t="n">
        <f aca="false">IF(H213="","",G213-H213)</f>
        <v>-7</v>
      </c>
      <c r="J213" s="53" t="n">
        <f aca="false">IF(OR(D213="",D213+G213=0),"",D213/(D213+G213))</f>
        <v>0.528061224489796</v>
      </c>
      <c r="K213" s="53" t="n">
        <f aca="false">IF(E213="","",E213/(E213+H213))</f>
        <v>0.508741258741259</v>
      </c>
      <c r="L213" s="64" t="n">
        <f aca="false">IF(OR(K213="",J213=""),"",(J213-K213)*100)</f>
        <v>1.93199657485371</v>
      </c>
      <c r="M213" s="28" t="n">
        <v>2.42668038003648</v>
      </c>
      <c r="N213" s="28" t="n">
        <v>0.397844942258686</v>
      </c>
      <c r="O213" s="28" t="n">
        <f aca="false">SQRT(M213^2+N213^2)</f>
        <v>2.45907670985165</v>
      </c>
      <c r="P213" s="53" t="n">
        <f aca="false">IF(J213="","",MAX(0,J213-1.96*O213/100))</f>
        <v>0.479863320976704</v>
      </c>
      <c r="Q213" s="53" t="n">
        <f aca="false">IF(J213="","",MIN(1,J213+1.96*O213/100))</f>
        <v>0.576259128002888</v>
      </c>
      <c r="R213" s="25" t="str">
        <f aca="false">IF(L213="","",IF(ABS(L213)&lt;=O213,"Yes","No"))</f>
        <v>Yes</v>
      </c>
      <c r="S213" s="25" t="str">
        <f aca="false">IF(L213="","",IF(ABS(L213)&lt;=1.96*O213,"Yes","No"))</f>
        <v>Yes</v>
      </c>
      <c r="T213" s="52" t="n">
        <f aca="false">IF(D213="","",ROUND(SQRT(((D213+G213)*O213/100)^2+(J213*(D213+G213)*0.10931)^2),0))</f>
        <v>74</v>
      </c>
      <c r="U213" s="25"/>
    </row>
    <row r="214" customFormat="false" ht="15" hidden="false" customHeight="false" outlineLevel="0" collapsed="false">
      <c r="A214" s="25" t="s">
        <v>378</v>
      </c>
      <c r="B214" s="25" t="s">
        <v>379</v>
      </c>
      <c r="C214" s="25" t="s">
        <v>380</v>
      </c>
      <c r="D214" s="52" t="n">
        <v>452</v>
      </c>
      <c r="E214" s="52" t="n">
        <v>471</v>
      </c>
      <c r="F214" s="63" t="n">
        <f aca="false">IF(E214="","",D214-E214)</f>
        <v>-19</v>
      </c>
      <c r="G214" s="52" t="n">
        <v>1092</v>
      </c>
      <c r="H214" s="52" t="n">
        <v>1124</v>
      </c>
      <c r="I214" s="63" t="n">
        <f aca="false">IF(H214="","",G214-H214)</f>
        <v>-32</v>
      </c>
      <c r="J214" s="53" t="n">
        <f aca="false">IF(OR(D214="",D214+G214=0),"",D214/(D214+G214))</f>
        <v>0.292746113989637</v>
      </c>
      <c r="K214" s="53" t="n">
        <f aca="false">IF(E214="","",E214/(E214+H214))</f>
        <v>0.295297805642633</v>
      </c>
      <c r="L214" s="64" t="n">
        <f aca="false">IF(OR(K214="",J214=""),"",(J214-K214)*100)</f>
        <v>-0.255169165299596</v>
      </c>
      <c r="M214" s="28" t="n">
        <v>2.49017287917352</v>
      </c>
      <c r="N214" s="28" t="n">
        <v>0.397844942258686</v>
      </c>
      <c r="O214" s="28" t="n">
        <f aca="false">SQRT(M214^2+N214^2)</f>
        <v>2.52175366882892</v>
      </c>
      <c r="P214" s="53" t="n">
        <f aca="false">IF(J214="","",MAX(0,J214-1.96*O214/100))</f>
        <v>0.24331974208059</v>
      </c>
      <c r="Q214" s="53" t="n">
        <f aca="false">IF(J214="","",MIN(1,J214+1.96*O214/100))</f>
        <v>0.342172485898684</v>
      </c>
      <c r="R214" s="25" t="str">
        <f aca="false">IF(L214="","",IF(ABS(L214)&lt;=O214,"Yes","No"))</f>
        <v>Yes</v>
      </c>
      <c r="S214" s="25" t="str">
        <f aca="false">IF(L214="","",IF(ABS(L214)&lt;=1.96*O214,"Yes","No"))</f>
        <v>Yes</v>
      </c>
      <c r="T214" s="52" t="n">
        <f aca="false">IF(D214="","",ROUND(SQRT(((D214+G214)*O214/100)^2+(J214*(D214+G214)*0.08889)^2),0))</f>
        <v>56</v>
      </c>
      <c r="U214" s="25"/>
    </row>
    <row r="215" customFormat="false" ht="15" hidden="false" customHeight="false" outlineLevel="0" collapsed="false">
      <c r="A215" s="25" t="s">
        <v>378</v>
      </c>
      <c r="B215" s="25" t="s">
        <v>381</v>
      </c>
      <c r="C215" s="25" t="s">
        <v>382</v>
      </c>
      <c r="D215" s="52" t="n">
        <v>1362</v>
      </c>
      <c r="E215" s="52" t="n">
        <v>1414</v>
      </c>
      <c r="F215" s="63" t="n">
        <f aca="false">IF(E215="","",D215-E215)</f>
        <v>-52</v>
      </c>
      <c r="G215" s="52" t="n">
        <v>2807</v>
      </c>
      <c r="H215" s="52" t="n">
        <v>2894</v>
      </c>
      <c r="I215" s="63" t="n">
        <f aca="false">IF(H215="","",G215-H215)</f>
        <v>-87</v>
      </c>
      <c r="J215" s="53" t="n">
        <f aca="false">IF(OR(D215="",D215+G215=0),"",D215/(D215+G215))</f>
        <v>0.326697049652195</v>
      </c>
      <c r="K215" s="53" t="n">
        <f aca="false">IF(E215="","",E215/(E215+H215))</f>
        <v>0.328226555246054</v>
      </c>
      <c r="L215" s="64" t="n">
        <f aca="false">IF(OR(K215="",J215=""),"",(J215-K215)*100)</f>
        <v>-0.152950559385912</v>
      </c>
      <c r="M215" s="28" t="n">
        <v>2.49017287917352</v>
      </c>
      <c r="N215" s="28" t="n">
        <v>0.397844942258686</v>
      </c>
      <c r="O215" s="28" t="n">
        <f aca="false">SQRT(M215^2+N215^2)</f>
        <v>2.52175366882892</v>
      </c>
      <c r="P215" s="53" t="n">
        <f aca="false">IF(J215="","",MAX(0,J215-1.96*O215/100))</f>
        <v>0.277270677743148</v>
      </c>
      <c r="Q215" s="53" t="n">
        <f aca="false">IF(J215="","",MIN(1,J215+1.96*O215/100))</f>
        <v>0.376123421561242</v>
      </c>
      <c r="R215" s="25" t="str">
        <f aca="false">IF(L215="","",IF(ABS(L215)&lt;=O215,"Yes","No"))</f>
        <v>Yes</v>
      </c>
      <c r="S215" s="25" t="str">
        <f aca="false">IF(L215="","",IF(ABS(L215)&lt;=1.96*O215,"Yes","No"))</f>
        <v>Yes</v>
      </c>
      <c r="T215" s="52" t="n">
        <f aca="false">IF(D215="","",ROUND(SQRT(((D215+G215)*O215/100)^2+(J215*(D215+G215)*0.08889)^2),0))</f>
        <v>160</v>
      </c>
      <c r="U215" s="25"/>
    </row>
    <row r="216" customFormat="false" ht="15" hidden="false" customHeight="false" outlineLevel="0" collapsed="false">
      <c r="A216" s="25" t="s">
        <v>378</v>
      </c>
      <c r="B216" s="25" t="s">
        <v>383</v>
      </c>
      <c r="C216" s="25" t="s">
        <v>384</v>
      </c>
      <c r="D216" s="52" t="n">
        <v>442</v>
      </c>
      <c r="E216" s="52" t="n">
        <v>521</v>
      </c>
      <c r="F216" s="63" t="n">
        <f aca="false">IF(E216="","",D216-E216)</f>
        <v>-79</v>
      </c>
      <c r="G216" s="52" t="n">
        <v>885</v>
      </c>
      <c r="H216" s="52" t="n">
        <v>997</v>
      </c>
      <c r="I216" s="63" t="n">
        <f aca="false">IF(H216="","",G216-H216)</f>
        <v>-112</v>
      </c>
      <c r="J216" s="53" t="n">
        <f aca="false">IF(OR(D216="",D216+G216=0),"",D216/(D216+G216))</f>
        <v>0.333082140165787</v>
      </c>
      <c r="K216" s="53" t="n">
        <f aca="false">IF(E216="","",E216/(E216+H216))</f>
        <v>0.343214756258235</v>
      </c>
      <c r="L216" s="64" t="n">
        <f aca="false">IF(OR(K216="",J216=""),"",(J216-K216)*100)</f>
        <v>-1.0132616092447</v>
      </c>
      <c r="M216" s="28" t="n">
        <v>2.49017287917352</v>
      </c>
      <c r="N216" s="28" t="n">
        <v>0.397844942258686</v>
      </c>
      <c r="O216" s="28" t="n">
        <f aca="false">SQRT(M216^2+N216^2)</f>
        <v>2.52175366882892</v>
      </c>
      <c r="P216" s="53" t="n">
        <f aca="false">IF(J216="","",MAX(0,J216-1.96*O216/100))</f>
        <v>0.283655768256741</v>
      </c>
      <c r="Q216" s="53" t="n">
        <f aca="false">IF(J216="","",MIN(1,J216+1.96*O216/100))</f>
        <v>0.382508512074834</v>
      </c>
      <c r="R216" s="25" t="str">
        <f aca="false">IF(L216="","",IF(ABS(L216)&lt;=O216,"Yes","No"))</f>
        <v>Yes</v>
      </c>
      <c r="S216" s="25" t="str">
        <f aca="false">IF(L216="","",IF(ABS(L216)&lt;=1.96*O216,"Yes","No"))</f>
        <v>Yes</v>
      </c>
      <c r="T216" s="52" t="n">
        <f aca="false">IF(D216="","",ROUND(SQRT(((D216+G216)*O216/100)^2+(J216*(D216+G216)*0.08889)^2),0))</f>
        <v>52</v>
      </c>
      <c r="U216" s="25"/>
    </row>
    <row r="217" customFormat="false" ht="15" hidden="false" customHeight="false" outlineLevel="0" collapsed="false">
      <c r="A217" s="25" t="s">
        <v>385</v>
      </c>
      <c r="B217" s="25" t="s">
        <v>386</v>
      </c>
      <c r="C217" s="25" t="s">
        <v>387</v>
      </c>
      <c r="D217" s="52" t="n">
        <v>669</v>
      </c>
      <c r="E217" s="52" t="n">
        <v>687</v>
      </c>
      <c r="F217" s="63" t="n">
        <f aca="false">IF(E217="","",D217-E217)</f>
        <v>-18</v>
      </c>
      <c r="G217" s="52" t="n">
        <v>1028</v>
      </c>
      <c r="H217" s="52" t="n">
        <v>1009</v>
      </c>
      <c r="I217" s="63" t="n">
        <f aca="false">IF(H217="","",G217-H217)</f>
        <v>19</v>
      </c>
      <c r="J217" s="53" t="n">
        <f aca="false">IF(OR(D217="",D217+G217=0),"",D217/(D217+G217))</f>
        <v>0.394225103123159</v>
      </c>
      <c r="K217" s="53" t="n">
        <f aca="false">IF(E217="","",E217/(E217+H217))</f>
        <v>0.405070754716981</v>
      </c>
      <c r="L217" s="64" t="n">
        <f aca="false">IF(OR(K217="",J217=""),"",(J217-K217)*100)</f>
        <v>-1.08456515938226</v>
      </c>
      <c r="M217" s="28" t="n">
        <v>2.49017287917352</v>
      </c>
      <c r="N217" s="28" t="n">
        <v>0.397844942258686</v>
      </c>
      <c r="O217" s="28" t="n">
        <f aca="false">SQRT(M217^2+N217^2)</f>
        <v>2.52175366882892</v>
      </c>
      <c r="P217" s="53" t="n">
        <f aca="false">IF(J217="","",MAX(0,J217-1.96*O217/100))</f>
        <v>0.344798731214112</v>
      </c>
      <c r="Q217" s="53" t="n">
        <f aca="false">IF(J217="","",MIN(1,J217+1.96*O217/100))</f>
        <v>0.443651475032205</v>
      </c>
      <c r="R217" s="25" t="str">
        <f aca="false">IF(L217="","",IF(ABS(L217)&lt;=O217,"Yes","No"))</f>
        <v>Yes</v>
      </c>
      <c r="S217" s="25" t="str">
        <f aca="false">IF(L217="","",IF(ABS(L217)&lt;=1.96*O217,"Yes","No"))</f>
        <v>Yes</v>
      </c>
      <c r="T217" s="52" t="n">
        <f aca="false">IF(D217="","",ROUND(SQRT(((D217+G217)*O217/100)^2+(J217*(D217+G217)*0.08889)^2),0))</f>
        <v>73</v>
      </c>
      <c r="U217" s="25"/>
    </row>
    <row r="218" customFormat="false" ht="15" hidden="false" customHeight="false" outlineLevel="0" collapsed="false">
      <c r="A218" s="25" t="s">
        <v>385</v>
      </c>
      <c r="B218" s="25" t="s">
        <v>386</v>
      </c>
      <c r="C218" s="25" t="s">
        <v>388</v>
      </c>
      <c r="D218" s="52" t="n">
        <v>823</v>
      </c>
      <c r="E218" s="52" t="n">
        <v>824</v>
      </c>
      <c r="F218" s="63" t="n">
        <f aca="false">IF(E218="","",D218-E218)</f>
        <v>-1</v>
      </c>
      <c r="G218" s="52" t="n">
        <v>943</v>
      </c>
      <c r="H218" s="52" t="n">
        <v>1009</v>
      </c>
      <c r="I218" s="63" t="n">
        <f aca="false">IF(H218="","",G218-H218)</f>
        <v>-66</v>
      </c>
      <c r="J218" s="53" t="n">
        <f aca="false">IF(OR(D218="",D218+G218=0),"",D218/(D218+G218))</f>
        <v>0.466024915062288</v>
      </c>
      <c r="K218" s="53" t="n">
        <f aca="false">IF(E218="","",E218/(E218+H218))</f>
        <v>0.449536279323513</v>
      </c>
      <c r="L218" s="64" t="n">
        <f aca="false">IF(OR(K218="",J218=""),"",(J218-K218)*100)</f>
        <v>1.64886357387743</v>
      </c>
      <c r="M218" s="28" t="n">
        <v>2.49017287917352</v>
      </c>
      <c r="N218" s="28" t="n">
        <v>0.397844942258686</v>
      </c>
      <c r="O218" s="28" t="n">
        <f aca="false">SQRT(M218^2+N218^2)</f>
        <v>2.52175366882892</v>
      </c>
      <c r="P218" s="53" t="n">
        <f aca="false">IF(J218="","",MAX(0,J218-1.96*O218/100))</f>
        <v>0.416598543153241</v>
      </c>
      <c r="Q218" s="53" t="n">
        <f aca="false">IF(J218="","",MIN(1,J218+1.96*O218/100))</f>
        <v>0.515451286971335</v>
      </c>
      <c r="R218" s="25" t="str">
        <f aca="false">IF(L218="","",IF(ABS(L218)&lt;=O218,"Yes","No"))</f>
        <v>Yes</v>
      </c>
      <c r="S218" s="25" t="str">
        <f aca="false">IF(L218="","",IF(ABS(L218)&lt;=1.96*O218,"Yes","No"))</f>
        <v>Yes</v>
      </c>
      <c r="T218" s="52" t="n">
        <f aca="false">IF(D218="","",ROUND(SQRT(((D218+G218)*O218/100)^2+(J218*(D218+G218)*0.08889)^2),0))</f>
        <v>86</v>
      </c>
      <c r="U218" s="25"/>
    </row>
    <row r="219" customFormat="false" ht="15" hidden="false" customHeight="false" outlineLevel="0" collapsed="false">
      <c r="A219" s="25" t="s">
        <v>385</v>
      </c>
      <c r="B219" s="25" t="s">
        <v>389</v>
      </c>
      <c r="C219" s="25" t="s">
        <v>390</v>
      </c>
      <c r="D219" s="52" t="n">
        <v>491</v>
      </c>
      <c r="E219" s="52"/>
      <c r="F219" s="63" t="str">
        <f aca="false">IF(E219="","",D219-E219)</f>
        <v/>
      </c>
      <c r="G219" s="52" t="n">
        <v>731</v>
      </c>
      <c r="H219" s="52"/>
      <c r="I219" s="63" t="str">
        <f aca="false">IF(H219="","",G219-H219)</f>
        <v/>
      </c>
      <c r="J219" s="53" t="n">
        <f aca="false">IF(OR(D219="",D219+G219=0),"",D219/(D219+G219))</f>
        <v>0.401800327332242</v>
      </c>
      <c r="K219" s="53" t="str">
        <f aca="false">IF(E219="","",E219/(E219+H219))</f>
        <v/>
      </c>
      <c r="L219" s="64" t="str">
        <f aca="false">IF(OR(K219="",J219=""),"",(J219-K219)*100)</f>
        <v/>
      </c>
      <c r="M219" s="28" t="n">
        <v>2.49017287917352</v>
      </c>
      <c r="N219" s="28" t="n">
        <v>0.397844942258686</v>
      </c>
      <c r="O219" s="28" t="n">
        <f aca="false">SQRT(M219^2+N219^2)</f>
        <v>2.52175366882892</v>
      </c>
      <c r="P219" s="53" t="n">
        <f aca="false">IF(J219="","",MAX(0,J219-1.96*O219/100))</f>
        <v>0.352373955423195</v>
      </c>
      <c r="Q219" s="53" t="n">
        <f aca="false">IF(J219="","",MIN(1,J219+1.96*O219/100))</f>
        <v>0.451226699241289</v>
      </c>
      <c r="R219" s="25" t="str">
        <f aca="false">IF(L219="","",IF(ABS(L219)&lt;=O219,"Yes","No"))</f>
        <v/>
      </c>
      <c r="S219" s="25" t="str">
        <f aca="false">IF(L219="","",IF(ABS(L219)&lt;=1.96*O219,"Yes","No"))</f>
        <v/>
      </c>
      <c r="T219" s="52" t="n">
        <f aca="false">IF(D219="","",ROUND(SQRT(((D219+G219)*O219/100)^2+(J219*(D219+G219)*0.08889)^2),0))</f>
        <v>53</v>
      </c>
      <c r="U219" s="25" t="s">
        <v>702</v>
      </c>
    </row>
    <row r="220" customFormat="false" ht="15" hidden="false" customHeight="false" outlineLevel="0" collapsed="false">
      <c r="A220" s="25" t="s">
        <v>385</v>
      </c>
      <c r="B220" s="25" t="s">
        <v>389</v>
      </c>
      <c r="C220" s="25" t="s">
        <v>391</v>
      </c>
      <c r="D220" s="52" t="n">
        <v>457</v>
      </c>
      <c r="E220" s="52"/>
      <c r="F220" s="63" t="str">
        <f aca="false">IF(E220="","",D220-E220)</f>
        <v/>
      </c>
      <c r="G220" s="52" t="n">
        <v>632</v>
      </c>
      <c r="H220" s="52"/>
      <c r="I220" s="63" t="str">
        <f aca="false">IF(H220="","",G220-H220)</f>
        <v/>
      </c>
      <c r="J220" s="53" t="n">
        <f aca="false">IF(OR(D220="",D220+G220=0),"",D220/(D220+G220))</f>
        <v>0.419651056014692</v>
      </c>
      <c r="K220" s="53" t="str">
        <f aca="false">IF(E220="","",E220/(E220+H220))</f>
        <v/>
      </c>
      <c r="L220" s="64" t="str">
        <f aca="false">IF(OR(K220="",J220=""),"",(J220-K220)*100)</f>
        <v/>
      </c>
      <c r="M220" s="28" t="n">
        <v>2.42668038003648</v>
      </c>
      <c r="N220" s="28" t="n">
        <v>0.397844942258686</v>
      </c>
      <c r="O220" s="28" t="n">
        <f aca="false">SQRT(M220^2+N220^2)</f>
        <v>2.45907670985165</v>
      </c>
      <c r="P220" s="53" t="n">
        <f aca="false">IF(J220="","",MAX(0,J220-1.96*O220/100))</f>
        <v>0.3714531525016</v>
      </c>
      <c r="Q220" s="53" t="n">
        <f aca="false">IF(J220="","",MIN(1,J220+1.96*O220/100))</f>
        <v>0.467848959527785</v>
      </c>
      <c r="R220" s="25" t="str">
        <f aca="false">IF(L220="","",IF(ABS(L220)&lt;=O220,"Yes","No"))</f>
        <v/>
      </c>
      <c r="S220" s="25" t="str">
        <f aca="false">IF(L220="","",IF(ABS(L220)&lt;=1.96*O220,"Yes","No"))</f>
        <v/>
      </c>
      <c r="T220" s="52" t="n">
        <f aca="false">IF(D220="","",ROUND(SQRT(((D220+G220)*O220/100)^2+(J220*(D220+G220)*0.10931)^2),0))</f>
        <v>57</v>
      </c>
      <c r="U220" s="25" t="s">
        <v>702</v>
      </c>
    </row>
    <row r="221" customFormat="false" ht="15" hidden="false" customHeight="false" outlineLevel="0" collapsed="false">
      <c r="A221" s="25" t="s">
        <v>385</v>
      </c>
      <c r="B221" s="25" t="s">
        <v>392</v>
      </c>
      <c r="C221" s="25" t="s">
        <v>393</v>
      </c>
      <c r="D221" s="52" t="n">
        <v>624</v>
      </c>
      <c r="E221" s="52" t="n">
        <v>623</v>
      </c>
      <c r="F221" s="63" t="n">
        <f aca="false">IF(E221="","",D221-E221)</f>
        <v>1</v>
      </c>
      <c r="G221" s="52" t="n">
        <v>746</v>
      </c>
      <c r="H221" s="52" t="n">
        <v>726</v>
      </c>
      <c r="I221" s="63" t="n">
        <f aca="false">IF(H221="","",G221-H221)</f>
        <v>20</v>
      </c>
      <c r="J221" s="53" t="n">
        <f aca="false">IF(OR(D221="",D221+G221=0),"",D221/(D221+G221))</f>
        <v>0.455474452554745</v>
      </c>
      <c r="K221" s="53" t="n">
        <f aca="false">IF(E221="","",E221/(E221+H221))</f>
        <v>0.46182357301705</v>
      </c>
      <c r="L221" s="64" t="n">
        <f aca="false">IF(OR(K221="",J221=""),"",(J221-K221)*100)</f>
        <v>-0.634912046230518</v>
      </c>
      <c r="M221" s="28" t="n">
        <v>2.49017287917352</v>
      </c>
      <c r="N221" s="28" t="n">
        <v>0.397844942258686</v>
      </c>
      <c r="O221" s="28" t="n">
        <f aca="false">SQRT(M221^2+N221^2)</f>
        <v>2.52175366882892</v>
      </c>
      <c r="P221" s="53" t="n">
        <f aca="false">IF(J221="","",MAX(0,J221-1.96*O221/100))</f>
        <v>0.406048080645698</v>
      </c>
      <c r="Q221" s="53" t="n">
        <f aca="false">IF(J221="","",MIN(1,J221+1.96*O221/100))</f>
        <v>0.504900824463791</v>
      </c>
      <c r="R221" s="25" t="str">
        <f aca="false">IF(L221="","",IF(ABS(L221)&lt;=O221,"Yes","No"))</f>
        <v>Yes</v>
      </c>
      <c r="S221" s="25" t="str">
        <f aca="false">IF(L221="","",IF(ABS(L221)&lt;=1.96*O221,"Yes","No"))</f>
        <v>Yes</v>
      </c>
      <c r="T221" s="52" t="n">
        <f aca="false">IF(D221="","",ROUND(SQRT(((D221+G221)*O221/100)^2+(J221*(D221+G221)*0.08889)^2),0))</f>
        <v>65</v>
      </c>
      <c r="U221" s="25"/>
    </row>
    <row r="222" customFormat="false" ht="15" hidden="false" customHeight="false" outlineLevel="0" collapsed="false">
      <c r="A222" s="25" t="s">
        <v>385</v>
      </c>
      <c r="B222" s="25" t="s">
        <v>260</v>
      </c>
      <c r="C222" s="25" t="s">
        <v>394</v>
      </c>
      <c r="D222" s="52" t="n">
        <v>715</v>
      </c>
      <c r="E222" s="52" t="n">
        <v>775</v>
      </c>
      <c r="F222" s="63" t="n">
        <f aca="false">IF(E222="","",D222-E222)</f>
        <v>-60</v>
      </c>
      <c r="G222" s="52" t="n">
        <v>462</v>
      </c>
      <c r="H222" s="52" t="n">
        <v>447</v>
      </c>
      <c r="I222" s="63" t="n">
        <f aca="false">IF(H222="","",G222-H222)</f>
        <v>15</v>
      </c>
      <c r="J222" s="53" t="n">
        <f aca="false">IF(OR(D222="",D222+G222=0),"",D222/(D222+G222))</f>
        <v>0.607476635514019</v>
      </c>
      <c r="K222" s="53" t="n">
        <f aca="false">IF(E222="","",E222/(E222+H222))</f>
        <v>0.634206219312602</v>
      </c>
      <c r="L222" s="64" t="n">
        <f aca="false">IF(OR(K222="",J222=""),"",(J222-K222)*100)</f>
        <v>-2.67295837985836</v>
      </c>
      <c r="M222" s="28" t="n">
        <v>2.42668038003648</v>
      </c>
      <c r="N222" s="28" t="n">
        <v>0.397844942258686</v>
      </c>
      <c r="O222" s="28" t="n">
        <f aca="false">SQRT(M222^2+N222^2)</f>
        <v>2.45907670985165</v>
      </c>
      <c r="P222" s="53" t="n">
        <f aca="false">IF(J222="","",MAX(0,J222-1.96*O222/100))</f>
        <v>0.559278732000926</v>
      </c>
      <c r="Q222" s="53" t="n">
        <f aca="false">IF(J222="","",MIN(1,J222+1.96*O222/100))</f>
        <v>0.655674539027111</v>
      </c>
      <c r="R222" s="25" t="str">
        <f aca="false">IF(L222="","",IF(ABS(L222)&lt;=O222,"Yes","No"))</f>
        <v>No</v>
      </c>
      <c r="S222" s="25" t="str">
        <f aca="false">IF(L222="","",IF(ABS(L222)&lt;=1.96*O222,"Yes","No"))</f>
        <v>Yes</v>
      </c>
      <c r="T222" s="52" t="n">
        <f aca="false">IF(D222="","",ROUND(SQRT(((D222+G222)*O222/100)^2+(J222*(D222+G222)*0.10931)^2),0))</f>
        <v>83</v>
      </c>
      <c r="U222" s="25"/>
    </row>
    <row r="223" customFormat="false" ht="15" hidden="false" customHeight="false" outlineLevel="0" collapsed="false">
      <c r="A223" s="25" t="s">
        <v>385</v>
      </c>
      <c r="B223" s="25" t="s">
        <v>260</v>
      </c>
      <c r="C223" s="25" t="s">
        <v>395</v>
      </c>
      <c r="D223" s="52" t="n">
        <v>960</v>
      </c>
      <c r="E223" s="52" t="n">
        <v>982</v>
      </c>
      <c r="F223" s="63" t="n">
        <f aca="false">IF(E223="","",D223-E223)</f>
        <v>-22</v>
      </c>
      <c r="G223" s="52" t="n">
        <v>679</v>
      </c>
      <c r="H223" s="52" t="n">
        <v>684</v>
      </c>
      <c r="I223" s="63" t="n">
        <f aca="false">IF(H223="","",G223-H223)</f>
        <v>-5</v>
      </c>
      <c r="J223" s="53" t="n">
        <f aca="false">IF(OR(D223="",D223+G223=0),"",D223/(D223+G223))</f>
        <v>0.585723001830384</v>
      </c>
      <c r="K223" s="53" t="n">
        <f aca="false">IF(E223="","",E223/(E223+H223))</f>
        <v>0.589435774309724</v>
      </c>
      <c r="L223" s="64" t="n">
        <f aca="false">IF(OR(K223="",J223=""),"",(J223-K223)*100)</f>
        <v>-0.371277247933954</v>
      </c>
      <c r="M223" s="28" t="n">
        <v>2.49017287917352</v>
      </c>
      <c r="N223" s="28" t="n">
        <v>0.397844942258686</v>
      </c>
      <c r="O223" s="28" t="n">
        <f aca="false">SQRT(M223^2+N223^2)</f>
        <v>2.52175366882892</v>
      </c>
      <c r="P223" s="53" t="n">
        <f aca="false">IF(J223="","",MAX(0,J223-1.96*O223/100))</f>
        <v>0.536296629921337</v>
      </c>
      <c r="Q223" s="53" t="n">
        <f aca="false">IF(J223="","",MIN(1,J223+1.96*O223/100))</f>
        <v>0.635149373739431</v>
      </c>
      <c r="R223" s="25" t="str">
        <f aca="false">IF(L223="","",IF(ABS(L223)&lt;=O223,"Yes","No"))</f>
        <v>Yes</v>
      </c>
      <c r="S223" s="25" t="str">
        <f aca="false">IF(L223="","",IF(ABS(L223)&lt;=1.96*O223,"Yes","No"))</f>
        <v>Yes</v>
      </c>
      <c r="T223" s="52" t="n">
        <f aca="false">IF(D223="","",ROUND(SQRT(((D223+G223)*O223/100)^2+(J223*(D223+G223)*0.08889)^2),0))</f>
        <v>95</v>
      </c>
      <c r="U223" s="25"/>
    </row>
    <row r="224" customFormat="false" ht="15" hidden="false" customHeight="false" outlineLevel="0" collapsed="false">
      <c r="A224" s="25" t="s">
        <v>385</v>
      </c>
      <c r="B224" s="25" t="s">
        <v>260</v>
      </c>
      <c r="C224" s="25" t="s">
        <v>396</v>
      </c>
      <c r="D224" s="52" t="n">
        <v>728</v>
      </c>
      <c r="E224" s="52" t="n">
        <v>750</v>
      </c>
      <c r="F224" s="63" t="n">
        <f aca="false">IF(E224="","",D224-E224)</f>
        <v>-22</v>
      </c>
      <c r="G224" s="52" t="n">
        <v>433</v>
      </c>
      <c r="H224" s="52" t="n">
        <v>421</v>
      </c>
      <c r="I224" s="63" t="n">
        <f aca="false">IF(H224="","",G224-H224)</f>
        <v>12</v>
      </c>
      <c r="J224" s="53" t="n">
        <f aca="false">IF(OR(D224="",D224+G224=0),"",D224/(D224+G224))</f>
        <v>0.627045650301464</v>
      </c>
      <c r="K224" s="53" t="n">
        <f aca="false">IF(E224="","",E224/(E224+H224))</f>
        <v>0.640478223740393</v>
      </c>
      <c r="L224" s="64" t="n">
        <f aca="false">IF(OR(K224="",J224=""),"",(J224-K224)*100)</f>
        <v>-1.34325734389286</v>
      </c>
      <c r="M224" s="28" t="n">
        <v>2.42668038003648</v>
      </c>
      <c r="N224" s="28" t="n">
        <v>0.397844942258686</v>
      </c>
      <c r="O224" s="28" t="n">
        <f aca="false">SQRT(M224^2+N224^2)</f>
        <v>2.45907670985165</v>
      </c>
      <c r="P224" s="53" t="n">
        <f aca="false">IF(J224="","",MAX(0,J224-1.96*O224/100))</f>
        <v>0.578847746788372</v>
      </c>
      <c r="Q224" s="53" t="n">
        <f aca="false">IF(J224="","",MIN(1,J224+1.96*O224/100))</f>
        <v>0.675243553814557</v>
      </c>
      <c r="R224" s="25" t="str">
        <f aca="false">IF(L224="","",IF(ABS(L224)&lt;=O224,"Yes","No"))</f>
        <v>Yes</v>
      </c>
      <c r="S224" s="25" t="str">
        <f aca="false">IF(L224="","",IF(ABS(L224)&lt;=1.96*O224,"Yes","No"))</f>
        <v>Yes</v>
      </c>
      <c r="T224" s="52" t="n">
        <f aca="false">IF(D224="","",ROUND(SQRT(((D224+G224)*O224/100)^2+(J224*(D224+G224)*0.10931)^2),0))</f>
        <v>85</v>
      </c>
      <c r="U224" s="25"/>
    </row>
    <row r="225" customFormat="false" ht="15" hidden="false" customHeight="false" outlineLevel="0" collapsed="false">
      <c r="A225" s="25" t="s">
        <v>385</v>
      </c>
      <c r="B225" s="25" t="s">
        <v>260</v>
      </c>
      <c r="C225" s="25" t="s">
        <v>397</v>
      </c>
      <c r="D225" s="52" t="n">
        <v>587</v>
      </c>
      <c r="E225" s="52" t="n">
        <v>592</v>
      </c>
      <c r="F225" s="63" t="n">
        <f aca="false">IF(E225="","",D225-E225)</f>
        <v>-5</v>
      </c>
      <c r="G225" s="52" t="n">
        <v>346</v>
      </c>
      <c r="H225" s="52" t="n">
        <v>337</v>
      </c>
      <c r="I225" s="63" t="n">
        <f aca="false">IF(H225="","",G225-H225)</f>
        <v>9</v>
      </c>
      <c r="J225" s="53" t="n">
        <f aca="false">IF(OR(D225="",D225+G225=0),"",D225/(D225+G225))</f>
        <v>0.629153269024652</v>
      </c>
      <c r="K225" s="53" t="n">
        <f aca="false">IF(E225="","",E225/(E225+H225))</f>
        <v>0.63724434876211</v>
      </c>
      <c r="L225" s="64" t="n">
        <f aca="false">IF(OR(K225="",J225=""),"",(J225-K225)*100)</f>
        <v>-0.809107973745815</v>
      </c>
      <c r="M225" s="28" t="n">
        <v>2.42668038003648</v>
      </c>
      <c r="N225" s="28" t="n">
        <v>0.397844942258686</v>
      </c>
      <c r="O225" s="28" t="n">
        <f aca="false">SQRT(M225^2+N225^2)</f>
        <v>2.45907670985165</v>
      </c>
      <c r="P225" s="53" t="n">
        <f aca="false">IF(J225="","",MAX(0,J225-1.96*O225/100))</f>
        <v>0.580955365511559</v>
      </c>
      <c r="Q225" s="53" t="n">
        <f aca="false">IF(J225="","",MIN(1,J225+1.96*O225/100))</f>
        <v>0.677351172537744</v>
      </c>
      <c r="R225" s="25" t="str">
        <f aca="false">IF(L225="","",IF(ABS(L225)&lt;=O225,"Yes","No"))</f>
        <v>Yes</v>
      </c>
      <c r="S225" s="25" t="str">
        <f aca="false">IF(L225="","",IF(ABS(L225)&lt;=1.96*O225,"Yes","No"))</f>
        <v>Yes</v>
      </c>
      <c r="T225" s="52" t="n">
        <f aca="false">IF(D225="","",ROUND(SQRT(((D225+G225)*O225/100)^2+(J225*(D225+G225)*0.10931)^2),0))</f>
        <v>68</v>
      </c>
      <c r="U225" s="25"/>
    </row>
    <row r="226" customFormat="false" ht="15" hidden="false" customHeight="false" outlineLevel="0" collapsed="false">
      <c r="A226" s="25" t="s">
        <v>385</v>
      </c>
      <c r="B226" s="25" t="s">
        <v>260</v>
      </c>
      <c r="C226" s="25" t="s">
        <v>398</v>
      </c>
      <c r="D226" s="52" t="n">
        <v>764</v>
      </c>
      <c r="E226" s="52" t="n">
        <v>740</v>
      </c>
      <c r="F226" s="63" t="n">
        <f aca="false">IF(E226="","",D226-E226)</f>
        <v>24</v>
      </c>
      <c r="G226" s="52" t="n">
        <v>518</v>
      </c>
      <c r="H226" s="52" t="n">
        <v>506</v>
      </c>
      <c r="I226" s="63" t="n">
        <f aca="false">IF(H226="","",G226-H226)</f>
        <v>12</v>
      </c>
      <c r="J226" s="53" t="n">
        <f aca="false">IF(OR(D226="",D226+G226=0),"",D226/(D226+G226))</f>
        <v>0.59594383775351</v>
      </c>
      <c r="K226" s="53" t="n">
        <f aca="false">IF(E226="","",E226/(E226+H226))</f>
        <v>0.593900481540931</v>
      </c>
      <c r="L226" s="64" t="n">
        <f aca="false">IF(OR(K226="",J226=""),"",(J226-K226)*100)</f>
        <v>0.204335621257912</v>
      </c>
      <c r="M226" s="28" t="n">
        <v>2.49017287917352</v>
      </c>
      <c r="N226" s="28" t="n">
        <v>0.397844942258686</v>
      </c>
      <c r="O226" s="28" t="n">
        <f aca="false">SQRT(M226^2+N226^2)</f>
        <v>2.52175366882892</v>
      </c>
      <c r="P226" s="53" t="n">
        <f aca="false">IF(J226="","",MAX(0,J226-1.96*O226/100))</f>
        <v>0.546517465844463</v>
      </c>
      <c r="Q226" s="53" t="n">
        <f aca="false">IF(J226="","",MIN(1,J226+1.96*O226/100))</f>
        <v>0.645370209662557</v>
      </c>
      <c r="R226" s="25" t="str">
        <f aca="false">IF(L226="","",IF(ABS(L226)&lt;=O226,"Yes","No"))</f>
        <v>Yes</v>
      </c>
      <c r="S226" s="25" t="str">
        <f aca="false">IF(L226="","",IF(ABS(L226)&lt;=1.96*O226,"Yes","No"))</f>
        <v>Yes</v>
      </c>
      <c r="T226" s="52" t="n">
        <f aca="false">IF(D226="","",ROUND(SQRT(((D226+G226)*O226/100)^2+(J226*(D226+G226)*0.08889)^2),0))</f>
        <v>75</v>
      </c>
      <c r="U226" s="25"/>
    </row>
    <row r="227" customFormat="false" ht="15" hidden="false" customHeight="false" outlineLevel="0" collapsed="false">
      <c r="A227" s="25" t="s">
        <v>385</v>
      </c>
      <c r="B227" s="25" t="s">
        <v>260</v>
      </c>
      <c r="C227" s="25" t="s">
        <v>399</v>
      </c>
      <c r="D227" s="52" t="n">
        <v>1035</v>
      </c>
      <c r="E227" s="52" t="n">
        <v>1037</v>
      </c>
      <c r="F227" s="63" t="n">
        <f aca="false">IF(E227="","",D227-E227)</f>
        <v>-2</v>
      </c>
      <c r="G227" s="52" t="n">
        <v>623</v>
      </c>
      <c r="H227" s="52" t="n">
        <v>623</v>
      </c>
      <c r="I227" s="63" t="n">
        <f aca="false">IF(H227="","",G227-H227)</f>
        <v>0</v>
      </c>
      <c r="J227" s="53" t="n">
        <f aca="false">IF(OR(D227="",D227+G227=0),"",D227/(D227+G227))</f>
        <v>0.624246079613993</v>
      </c>
      <c r="K227" s="53" t="n">
        <f aca="false">IF(E227="","",E227/(E227+H227))</f>
        <v>0.624698795180723</v>
      </c>
      <c r="L227" s="64" t="n">
        <f aca="false">IF(OR(K227="",J227=""),"",(J227-K227)*100)</f>
        <v>-0.04527155667301</v>
      </c>
      <c r="M227" s="28" t="n">
        <v>2.49017287917352</v>
      </c>
      <c r="N227" s="28" t="n">
        <v>0.397844942258686</v>
      </c>
      <c r="O227" s="28" t="n">
        <f aca="false">SQRT(M227^2+N227^2)</f>
        <v>2.52175366882892</v>
      </c>
      <c r="P227" s="53" t="n">
        <f aca="false">IF(J227="","",MAX(0,J227-1.96*O227/100))</f>
        <v>0.574819707704946</v>
      </c>
      <c r="Q227" s="53" t="n">
        <f aca="false">IF(J227="","",MIN(1,J227+1.96*O227/100))</f>
        <v>0.67367245152304</v>
      </c>
      <c r="R227" s="25" t="str">
        <f aca="false">IF(L227="","",IF(ABS(L227)&lt;=O227,"Yes","No"))</f>
        <v>Yes</v>
      </c>
      <c r="S227" s="25" t="str">
        <f aca="false">IF(L227="","",IF(ABS(L227)&lt;=1.96*O227,"Yes","No"))</f>
        <v>Yes</v>
      </c>
      <c r="T227" s="52" t="n">
        <f aca="false">IF(D227="","",ROUND(SQRT(((D227+G227)*O227/100)^2+(J227*(D227+G227)*0.08889)^2),0))</f>
        <v>101</v>
      </c>
      <c r="U227" s="25"/>
    </row>
    <row r="228" customFormat="false" ht="15" hidden="false" customHeight="false" outlineLevel="0" collapsed="false">
      <c r="A228" s="25" t="s">
        <v>385</v>
      </c>
      <c r="B228" s="25" t="s">
        <v>260</v>
      </c>
      <c r="C228" s="25" t="s">
        <v>400</v>
      </c>
      <c r="D228" s="52" t="n">
        <v>668</v>
      </c>
      <c r="E228" s="52" t="n">
        <v>681</v>
      </c>
      <c r="F228" s="63" t="n">
        <f aca="false">IF(E228="","",D228-E228)</f>
        <v>-13</v>
      </c>
      <c r="G228" s="52" t="n">
        <v>496</v>
      </c>
      <c r="H228" s="52" t="n">
        <v>513</v>
      </c>
      <c r="I228" s="63" t="n">
        <f aca="false">IF(H228="","",G228-H228)</f>
        <v>-17</v>
      </c>
      <c r="J228" s="53" t="n">
        <f aca="false">IF(OR(D228="",D228+G228=0),"",D228/(D228+G228))</f>
        <v>0.573883161512028</v>
      </c>
      <c r="K228" s="53" t="n">
        <f aca="false">IF(E228="","",E228/(E228+H228))</f>
        <v>0.57035175879397</v>
      </c>
      <c r="L228" s="64" t="n">
        <f aca="false">IF(OR(K228="",J228=""),"",(J228-K228)*100)</f>
        <v>0.353140271805763</v>
      </c>
      <c r="M228" s="28" t="n">
        <v>2.42668038003648</v>
      </c>
      <c r="N228" s="28" t="n">
        <v>0.397844942258686</v>
      </c>
      <c r="O228" s="28" t="n">
        <f aca="false">SQRT(M228^2+N228^2)</f>
        <v>2.45907670985165</v>
      </c>
      <c r="P228" s="53" t="n">
        <f aca="false">IF(J228="","",MAX(0,J228-1.96*O228/100))</f>
        <v>0.525685257998935</v>
      </c>
      <c r="Q228" s="53" t="n">
        <f aca="false">IF(J228="","",MIN(1,J228+1.96*O228/100))</f>
        <v>0.62208106502512</v>
      </c>
      <c r="R228" s="25" t="str">
        <f aca="false">IF(L228="","",IF(ABS(L228)&lt;=O228,"Yes","No"))</f>
        <v>Yes</v>
      </c>
      <c r="S228" s="25" t="str">
        <f aca="false">IF(L228="","",IF(ABS(L228)&lt;=1.96*O228,"Yes","No"))</f>
        <v>Yes</v>
      </c>
      <c r="T228" s="52" t="n">
        <f aca="false">IF(D228="","",ROUND(SQRT(((D228+G228)*O228/100)^2+(J228*(D228+G228)*0.10931)^2),0))</f>
        <v>78</v>
      </c>
      <c r="U228" s="25"/>
    </row>
    <row r="229" customFormat="false" ht="15" hidden="false" customHeight="false" outlineLevel="0" collapsed="false">
      <c r="A229" s="25" t="s">
        <v>385</v>
      </c>
      <c r="B229" s="25" t="s">
        <v>260</v>
      </c>
      <c r="C229" s="25" t="s">
        <v>401</v>
      </c>
      <c r="D229" s="52" t="n">
        <v>520</v>
      </c>
      <c r="E229" s="52" t="n">
        <v>529</v>
      </c>
      <c r="F229" s="63" t="n">
        <f aca="false">IF(E229="","",D229-E229)</f>
        <v>-9</v>
      </c>
      <c r="G229" s="52" t="n">
        <v>324</v>
      </c>
      <c r="H229" s="52" t="n">
        <v>293</v>
      </c>
      <c r="I229" s="63" t="n">
        <f aca="false">IF(H229="","",G229-H229)</f>
        <v>31</v>
      </c>
      <c r="J229" s="53" t="n">
        <f aca="false">IF(OR(D229="",D229+G229=0),"",D229/(D229+G229))</f>
        <v>0.616113744075829</v>
      </c>
      <c r="K229" s="53" t="n">
        <f aca="false">IF(E229="","",E229/(E229+H229))</f>
        <v>0.643552311435523</v>
      </c>
      <c r="L229" s="64" t="n">
        <f aca="false">IF(OR(K229="",J229=""),"",(J229-K229)*100)</f>
        <v>-2.74385673596937</v>
      </c>
      <c r="M229" s="28" t="n">
        <v>2.42668038003648</v>
      </c>
      <c r="N229" s="28" t="n">
        <v>0.397844942258686</v>
      </c>
      <c r="O229" s="28" t="n">
        <f aca="false">SQRT(M229^2+N229^2)</f>
        <v>2.45907670985165</v>
      </c>
      <c r="P229" s="53" t="n">
        <f aca="false">IF(J229="","",MAX(0,J229-1.96*O229/100))</f>
        <v>0.567915840562737</v>
      </c>
      <c r="Q229" s="53" t="n">
        <f aca="false">IF(J229="","",MIN(1,J229+1.96*O229/100))</f>
        <v>0.664311647588922</v>
      </c>
      <c r="R229" s="25" t="str">
        <f aca="false">IF(L229="","",IF(ABS(L229)&lt;=O229,"Yes","No"))</f>
        <v>No</v>
      </c>
      <c r="S229" s="25" t="str">
        <f aca="false">IF(L229="","",IF(ABS(L229)&lt;=1.96*O229,"Yes","No"))</f>
        <v>Yes</v>
      </c>
      <c r="T229" s="52" t="n">
        <f aca="false">IF(D229="","",ROUND(SQRT(((D229+G229)*O229/100)^2+(J229*(D229+G229)*0.10931)^2),0))</f>
        <v>61</v>
      </c>
      <c r="U229" s="25"/>
    </row>
    <row r="230" customFormat="false" ht="15" hidden="false" customHeight="false" outlineLevel="0" collapsed="false">
      <c r="A230" s="25" t="s">
        <v>385</v>
      </c>
      <c r="B230" s="25" t="s">
        <v>260</v>
      </c>
      <c r="C230" s="25" t="s">
        <v>402</v>
      </c>
      <c r="D230" s="52" t="n">
        <v>722</v>
      </c>
      <c r="E230" s="52" t="n">
        <v>767</v>
      </c>
      <c r="F230" s="63" t="n">
        <f aca="false">IF(E230="","",D230-E230)</f>
        <v>-45</v>
      </c>
      <c r="G230" s="52" t="n">
        <v>393</v>
      </c>
      <c r="H230" s="52" t="n">
        <v>384</v>
      </c>
      <c r="I230" s="63" t="n">
        <f aca="false">IF(H230="","",G230-H230)</f>
        <v>9</v>
      </c>
      <c r="J230" s="53" t="n">
        <f aca="false">IF(OR(D230="",D230+G230=0),"",D230/(D230+G230))</f>
        <v>0.647533632286996</v>
      </c>
      <c r="K230" s="53" t="n">
        <f aca="false">IF(E230="","",E230/(E230+H230))</f>
        <v>0.66637706342311</v>
      </c>
      <c r="L230" s="64" t="n">
        <f aca="false">IF(OR(K230="",J230=""),"",(J230-K230)*100)</f>
        <v>-1.88434311361148</v>
      </c>
      <c r="M230" s="28" t="n">
        <v>2.42668038003648</v>
      </c>
      <c r="N230" s="28" t="n">
        <v>0.397844942258686</v>
      </c>
      <c r="O230" s="28" t="n">
        <f aca="false">SQRT(M230^2+N230^2)</f>
        <v>2.45907670985165</v>
      </c>
      <c r="P230" s="53" t="n">
        <f aca="false">IF(J230="","",MAX(0,J230-1.96*O230/100))</f>
        <v>0.599335728773903</v>
      </c>
      <c r="Q230" s="53" t="n">
        <f aca="false">IF(J230="","",MIN(1,J230+1.96*O230/100))</f>
        <v>0.695731535800088</v>
      </c>
      <c r="R230" s="25" t="str">
        <f aca="false">IF(L230="","",IF(ABS(L230)&lt;=O230,"Yes","No"))</f>
        <v>Yes</v>
      </c>
      <c r="S230" s="25" t="str">
        <f aca="false">IF(L230="","",IF(ABS(L230)&lt;=1.96*O230,"Yes","No"))</f>
        <v>Yes</v>
      </c>
      <c r="T230" s="52" t="n">
        <f aca="false">IF(D230="","",ROUND(SQRT(((D230+G230)*O230/100)^2+(J230*(D230+G230)*0.10931)^2),0))</f>
        <v>84</v>
      </c>
      <c r="U230" s="25"/>
    </row>
    <row r="231" customFormat="false" ht="15" hidden="false" customHeight="false" outlineLevel="0" collapsed="false">
      <c r="A231" s="25" t="s">
        <v>385</v>
      </c>
      <c r="B231" s="25" t="s">
        <v>260</v>
      </c>
      <c r="C231" s="25" t="s">
        <v>403</v>
      </c>
      <c r="D231" s="52" t="n">
        <v>919</v>
      </c>
      <c r="E231" s="52" t="n">
        <v>906</v>
      </c>
      <c r="F231" s="63" t="n">
        <f aca="false">IF(E231="","",D231-E231)</f>
        <v>13</v>
      </c>
      <c r="G231" s="52" t="n">
        <v>566</v>
      </c>
      <c r="H231" s="52" t="n">
        <v>586</v>
      </c>
      <c r="I231" s="63" t="n">
        <f aca="false">IF(H231="","",G231-H231)</f>
        <v>-20</v>
      </c>
      <c r="J231" s="53" t="n">
        <f aca="false">IF(OR(D231="",D231+G231=0),"",D231/(D231+G231))</f>
        <v>0.618855218855219</v>
      </c>
      <c r="K231" s="53" t="n">
        <f aca="false">IF(E231="","",E231/(E231+H231))</f>
        <v>0.607238605898123</v>
      </c>
      <c r="L231" s="64" t="n">
        <f aca="false">IF(OR(K231="",J231=""),"",(J231-K231)*100)</f>
        <v>1.16166129570956</v>
      </c>
      <c r="M231" s="28" t="n">
        <v>2.49017287917352</v>
      </c>
      <c r="N231" s="28" t="n">
        <v>0.397844942258686</v>
      </c>
      <c r="O231" s="28" t="n">
        <f aca="false">SQRT(M231^2+N231^2)</f>
        <v>2.52175366882892</v>
      </c>
      <c r="P231" s="53" t="n">
        <f aca="false">IF(J231="","",MAX(0,J231-1.96*O231/100))</f>
        <v>0.569428846946172</v>
      </c>
      <c r="Q231" s="53" t="n">
        <f aca="false">IF(J231="","",MIN(1,J231+1.96*O231/100))</f>
        <v>0.668281590764266</v>
      </c>
      <c r="R231" s="25" t="str">
        <f aca="false">IF(L231="","",IF(ABS(L231)&lt;=O231,"Yes","No"))</f>
        <v>Yes</v>
      </c>
      <c r="S231" s="25" t="str">
        <f aca="false">IF(L231="","",IF(ABS(L231)&lt;=1.96*O231,"Yes","No"))</f>
        <v>Yes</v>
      </c>
      <c r="T231" s="52" t="n">
        <f aca="false">IF(D231="","",ROUND(SQRT(((D231+G231)*O231/100)^2+(J231*(D231+G231)*0.08889)^2),0))</f>
        <v>90</v>
      </c>
      <c r="U231" s="25"/>
    </row>
    <row r="232" customFormat="false" ht="15" hidden="false" customHeight="false" outlineLevel="0" collapsed="false">
      <c r="A232" s="25" t="s">
        <v>385</v>
      </c>
      <c r="B232" s="25" t="s">
        <v>260</v>
      </c>
      <c r="C232" s="25" t="s">
        <v>404</v>
      </c>
      <c r="D232" s="52" t="n">
        <v>856</v>
      </c>
      <c r="E232" s="52" t="n">
        <v>954</v>
      </c>
      <c r="F232" s="63" t="n">
        <f aca="false">IF(E232="","",D232-E232)</f>
        <v>-98</v>
      </c>
      <c r="G232" s="52" t="n">
        <v>407</v>
      </c>
      <c r="H232" s="52" t="n">
        <v>416</v>
      </c>
      <c r="I232" s="63" t="n">
        <f aca="false">IF(H232="","",G232-H232)</f>
        <v>-9</v>
      </c>
      <c r="J232" s="53" t="n">
        <f aca="false">IF(OR(D232="",D232+G232=0),"",D232/(D232+G232))</f>
        <v>0.677751385589865</v>
      </c>
      <c r="K232" s="53" t="n">
        <f aca="false">IF(E232="","",E232/(E232+H232))</f>
        <v>0.696350364963504</v>
      </c>
      <c r="L232" s="64" t="n">
        <f aca="false">IF(OR(K232="",J232=""),"",(J232-K232)*100)</f>
        <v>-1.85989793736383</v>
      </c>
      <c r="M232" s="28" t="n">
        <v>2.49017287917352</v>
      </c>
      <c r="N232" s="28" t="n">
        <v>0.397844942258686</v>
      </c>
      <c r="O232" s="28" t="n">
        <f aca="false">SQRT(M232^2+N232^2)</f>
        <v>2.52175366882892</v>
      </c>
      <c r="P232" s="53" t="n">
        <f aca="false">IF(J232="","",MAX(0,J232-1.96*O232/100))</f>
        <v>0.628325013680819</v>
      </c>
      <c r="Q232" s="53" t="n">
        <f aca="false">IF(J232="","",MIN(1,J232+1.96*O232/100))</f>
        <v>0.727177757498912</v>
      </c>
      <c r="R232" s="25" t="str">
        <f aca="false">IF(L232="","",IF(ABS(L232)&lt;=O232,"Yes","No"))</f>
        <v>Yes</v>
      </c>
      <c r="S232" s="25" t="str">
        <f aca="false">IF(L232="","",IF(ABS(L232)&lt;=1.96*O232,"Yes","No"))</f>
        <v>Yes</v>
      </c>
      <c r="T232" s="52" t="n">
        <f aca="false">IF(D232="","",ROUND(SQRT(((D232+G232)*O232/100)^2+(J232*(D232+G232)*0.08889)^2),0))</f>
        <v>82</v>
      </c>
      <c r="U232" s="25"/>
    </row>
    <row r="233" customFormat="false" ht="15" hidden="false" customHeight="false" outlineLevel="0" collapsed="false">
      <c r="A233" s="25" t="s">
        <v>385</v>
      </c>
      <c r="B233" s="25" t="s">
        <v>260</v>
      </c>
      <c r="C233" s="25" t="s">
        <v>405</v>
      </c>
      <c r="D233" s="52" t="n">
        <v>729</v>
      </c>
      <c r="E233" s="52" t="n">
        <v>821</v>
      </c>
      <c r="F233" s="63" t="n">
        <f aca="false">IF(E233="","",D233-E233)</f>
        <v>-92</v>
      </c>
      <c r="G233" s="52" t="n">
        <v>463</v>
      </c>
      <c r="H233" s="52" t="n">
        <v>474</v>
      </c>
      <c r="I233" s="63" t="n">
        <f aca="false">IF(H233="","",G233-H233)</f>
        <v>-11</v>
      </c>
      <c r="J233" s="53" t="n">
        <f aca="false">IF(OR(D233="",D233+G233=0),"",D233/(D233+G233))</f>
        <v>0.611577181208054</v>
      </c>
      <c r="K233" s="53" t="n">
        <f aca="false">IF(E233="","",E233/(E233+H233))</f>
        <v>0.633976833976834</v>
      </c>
      <c r="L233" s="64" t="n">
        <f aca="false">IF(OR(K233="",J233=""),"",(J233-K233)*100)</f>
        <v>-2.23996527687803</v>
      </c>
      <c r="M233" s="28" t="n">
        <v>2.42668038003648</v>
      </c>
      <c r="N233" s="28" t="n">
        <v>0.397844942258686</v>
      </c>
      <c r="O233" s="28" t="n">
        <f aca="false">SQRT(M233^2+N233^2)</f>
        <v>2.45907670985165</v>
      </c>
      <c r="P233" s="53" t="n">
        <f aca="false">IF(J233="","",MAX(0,J233-1.96*O233/100))</f>
        <v>0.563379277694961</v>
      </c>
      <c r="Q233" s="53" t="n">
        <f aca="false">IF(J233="","",MIN(1,J233+1.96*O233/100))</f>
        <v>0.659775084721146</v>
      </c>
      <c r="R233" s="25" t="str">
        <f aca="false">IF(L233="","",IF(ABS(L233)&lt;=O233,"Yes","No"))</f>
        <v>Yes</v>
      </c>
      <c r="S233" s="25" t="str">
        <f aca="false">IF(L233="","",IF(ABS(L233)&lt;=1.96*O233,"Yes","No"))</f>
        <v>Yes</v>
      </c>
      <c r="T233" s="52" t="n">
        <f aca="false">IF(D233="","",ROUND(SQRT(((D233+G233)*O233/100)^2+(J233*(D233+G233)*0.10931)^2),0))</f>
        <v>85</v>
      </c>
      <c r="U233" s="25"/>
    </row>
    <row r="234" customFormat="false" ht="15" hidden="false" customHeight="false" outlineLevel="0" collapsed="false">
      <c r="A234" s="25" t="s">
        <v>385</v>
      </c>
      <c r="B234" s="25" t="s">
        <v>260</v>
      </c>
      <c r="C234" s="25" t="s">
        <v>406</v>
      </c>
      <c r="D234" s="52" t="n">
        <v>285</v>
      </c>
      <c r="E234" s="52" t="n">
        <v>283</v>
      </c>
      <c r="F234" s="63" t="n">
        <f aca="false">IF(E234="","",D234-E234)</f>
        <v>2</v>
      </c>
      <c r="G234" s="52" t="n">
        <v>94</v>
      </c>
      <c r="H234" s="52" t="n">
        <v>110</v>
      </c>
      <c r="I234" s="63" t="n">
        <f aca="false">IF(H234="","",G234-H234)</f>
        <v>-16</v>
      </c>
      <c r="J234" s="53" t="n">
        <f aca="false">IF(OR(D234="",D234+G234=0),"",D234/(D234+G234))</f>
        <v>0.75197889182058</v>
      </c>
      <c r="K234" s="53" t="n">
        <f aca="false">IF(E234="","",E234/(E234+H234))</f>
        <v>0.720101781170484</v>
      </c>
      <c r="L234" s="64" t="n">
        <f aca="false">IF(OR(K234="",J234=""),"",(J234-K234)*100)</f>
        <v>3.18771106500969</v>
      </c>
      <c r="M234" s="28" t="n">
        <v>3.19821915242569</v>
      </c>
      <c r="N234" s="28" t="n">
        <v>0.397844942258686</v>
      </c>
      <c r="O234" s="28" t="n">
        <f aca="false">SQRT(M234^2+N234^2)</f>
        <v>3.22286927209642</v>
      </c>
      <c r="P234" s="53" t="n">
        <f aca="false">IF(J234="","",MAX(0,J234-1.96*O234/100))</f>
        <v>0.688810654087491</v>
      </c>
      <c r="Q234" s="53" t="n">
        <f aca="false">IF(J234="","",MIN(1,J234+1.96*O234/100))</f>
        <v>0.81514712955367</v>
      </c>
      <c r="R234" s="25" t="str">
        <f aca="false">IF(L234="","",IF(ABS(L234)&lt;=O234,"Yes","No"))</f>
        <v>Yes</v>
      </c>
      <c r="S234" s="25" t="str">
        <f aca="false">IF(L234="","",IF(ABS(L234)&lt;=1.96*O234,"Yes","No"))</f>
        <v>Yes</v>
      </c>
      <c r="T234" s="52" t="n">
        <f aca="false">IF(D234="","",ROUND(SQRT(((D234+G234)*O234/100)^2+(J234*(D234+G234)*0.1901)^2),0))</f>
        <v>56</v>
      </c>
      <c r="U234" s="25"/>
    </row>
    <row r="235" customFormat="false" ht="15" hidden="false" customHeight="false" outlineLevel="0" collapsed="false">
      <c r="A235" s="25" t="s">
        <v>385</v>
      </c>
      <c r="B235" s="25" t="s">
        <v>260</v>
      </c>
      <c r="C235" s="25" t="s">
        <v>407</v>
      </c>
      <c r="D235" s="52" t="n">
        <v>485</v>
      </c>
      <c r="E235" s="52" t="n">
        <v>450</v>
      </c>
      <c r="F235" s="63" t="n">
        <f aca="false">IF(E235="","",D235-E235)</f>
        <v>35</v>
      </c>
      <c r="G235" s="52" t="n">
        <v>170</v>
      </c>
      <c r="H235" s="52" t="n">
        <v>179</v>
      </c>
      <c r="I235" s="63" t="n">
        <f aca="false">IF(H235="","",G235-H235)</f>
        <v>-9</v>
      </c>
      <c r="J235" s="53" t="n">
        <f aca="false">IF(OR(D235="",D235+G235=0),"",D235/(D235+G235))</f>
        <v>0.740458015267176</v>
      </c>
      <c r="K235" s="53" t="n">
        <f aca="false">IF(E235="","",E235/(E235+H235))</f>
        <v>0.715421303656598</v>
      </c>
      <c r="L235" s="64" t="n">
        <f aca="false">IF(OR(K235="",J235=""),"",(J235-K235)*100)</f>
        <v>2.50367116105779</v>
      </c>
      <c r="M235" s="28" t="n">
        <v>3.19821915242569</v>
      </c>
      <c r="N235" s="28" t="n">
        <v>0.397844942258686</v>
      </c>
      <c r="O235" s="28" t="n">
        <f aca="false">SQRT(M235^2+N235^2)</f>
        <v>3.22286927209642</v>
      </c>
      <c r="P235" s="53" t="n">
        <f aca="false">IF(J235="","",MAX(0,J235-1.96*O235/100))</f>
        <v>0.677289777534086</v>
      </c>
      <c r="Q235" s="53" t="n">
        <f aca="false">IF(J235="","",MIN(1,J235+1.96*O235/100))</f>
        <v>0.803626253000266</v>
      </c>
      <c r="R235" s="25" t="str">
        <f aca="false">IF(L235="","",IF(ABS(L235)&lt;=O235,"Yes","No"))</f>
        <v>Yes</v>
      </c>
      <c r="S235" s="25" t="str">
        <f aca="false">IF(L235="","",IF(ABS(L235)&lt;=1.96*O235,"Yes","No"))</f>
        <v>Yes</v>
      </c>
      <c r="T235" s="52" t="n">
        <f aca="false">IF(D235="","",ROUND(SQRT(((D235+G235)*O235/100)^2+(J235*(D235+G235)*0.1901)^2),0))</f>
        <v>95</v>
      </c>
      <c r="U235" s="25"/>
    </row>
    <row r="236" customFormat="false" ht="15" hidden="false" customHeight="false" outlineLevel="0" collapsed="false">
      <c r="A236" s="25" t="s">
        <v>385</v>
      </c>
      <c r="B236" s="25" t="s">
        <v>260</v>
      </c>
      <c r="C236" s="25" t="s">
        <v>408</v>
      </c>
      <c r="D236" s="52" t="n">
        <v>479</v>
      </c>
      <c r="E236" s="52" t="n">
        <v>442</v>
      </c>
      <c r="F236" s="63" t="n">
        <f aca="false">IF(E236="","",D236-E236)</f>
        <v>37</v>
      </c>
      <c r="G236" s="52" t="n">
        <v>187</v>
      </c>
      <c r="H236" s="52" t="n">
        <v>161</v>
      </c>
      <c r="I236" s="63" t="n">
        <f aca="false">IF(H236="","",G236-H236)</f>
        <v>26</v>
      </c>
      <c r="J236" s="53" t="n">
        <f aca="false">IF(OR(D236="",D236+G236=0),"",D236/(D236+G236))</f>
        <v>0.719219219219219</v>
      </c>
      <c r="K236" s="53" t="n">
        <f aca="false">IF(E236="","",E236/(E236+H236))</f>
        <v>0.733001658374793</v>
      </c>
      <c r="L236" s="64" t="n">
        <f aca="false">IF(OR(K236="",J236=""),"",(J236-K236)*100)</f>
        <v>-1.37824391555734</v>
      </c>
      <c r="M236" s="28" t="n">
        <v>3.19821915242569</v>
      </c>
      <c r="N236" s="28" t="n">
        <v>0.397844942258686</v>
      </c>
      <c r="O236" s="28" t="n">
        <f aca="false">SQRT(M236^2+N236^2)</f>
        <v>3.22286927209642</v>
      </c>
      <c r="P236" s="53" t="n">
        <f aca="false">IF(J236="","",MAX(0,J236-1.96*O236/100))</f>
        <v>0.656050981486129</v>
      </c>
      <c r="Q236" s="53" t="n">
        <f aca="false">IF(J236="","",MIN(1,J236+1.96*O236/100))</f>
        <v>0.782387456952309</v>
      </c>
      <c r="R236" s="25" t="str">
        <f aca="false">IF(L236="","",IF(ABS(L236)&lt;=O236,"Yes","No"))</f>
        <v>Yes</v>
      </c>
      <c r="S236" s="25" t="str">
        <f aca="false">IF(L236="","",IF(ABS(L236)&lt;=1.96*O236,"Yes","No"))</f>
        <v>Yes</v>
      </c>
      <c r="T236" s="52" t="n">
        <f aca="false">IF(D236="","",ROUND(SQRT(((D236+G236)*O236/100)^2+(J236*(D236+G236)*0.1901)^2),0))</f>
        <v>94</v>
      </c>
      <c r="U236" s="25"/>
    </row>
    <row r="237" customFormat="false" ht="15" hidden="false" customHeight="false" outlineLevel="0" collapsed="false">
      <c r="A237" s="25" t="s">
        <v>385</v>
      </c>
      <c r="B237" s="25" t="s">
        <v>260</v>
      </c>
      <c r="C237" s="25" t="s">
        <v>409</v>
      </c>
      <c r="D237" s="52" t="n">
        <v>697</v>
      </c>
      <c r="E237" s="52" t="n">
        <v>599</v>
      </c>
      <c r="F237" s="63" t="n">
        <f aca="false">IF(E237="","",D237-E237)</f>
        <v>98</v>
      </c>
      <c r="G237" s="52" t="n">
        <v>210</v>
      </c>
      <c r="H237" s="52" t="n">
        <v>203</v>
      </c>
      <c r="I237" s="63" t="n">
        <f aca="false">IF(H237="","",G237-H237)</f>
        <v>7</v>
      </c>
      <c r="J237" s="53" t="n">
        <f aca="false">IF(OR(D237="",D237+G237=0),"",D237/(D237+G237))</f>
        <v>0.768467475192944</v>
      </c>
      <c r="K237" s="53" t="n">
        <f aca="false">IF(E237="","",E237/(E237+H237))</f>
        <v>0.746882793017456</v>
      </c>
      <c r="L237" s="64" t="n">
        <f aca="false">IF(OR(K237="",J237=""),"",(J237-K237)*100)</f>
        <v>2.15846821754874</v>
      </c>
      <c r="M237" s="28" t="n">
        <v>2.42668038003648</v>
      </c>
      <c r="N237" s="28" t="n">
        <v>0.397844942258686</v>
      </c>
      <c r="O237" s="28" t="n">
        <f aca="false">SQRT(M237^2+N237^2)</f>
        <v>2.45907670985165</v>
      </c>
      <c r="P237" s="53" t="n">
        <f aca="false">IF(J237="","",MAX(0,J237-1.96*O237/100))</f>
        <v>0.720269571679851</v>
      </c>
      <c r="Q237" s="53" t="n">
        <f aca="false">IF(J237="","",MIN(1,J237+1.96*O237/100))</f>
        <v>0.816665378706036</v>
      </c>
      <c r="R237" s="25" t="str">
        <f aca="false">IF(L237="","",IF(ABS(L237)&lt;=O237,"Yes","No"))</f>
        <v>Yes</v>
      </c>
      <c r="S237" s="25" t="str">
        <f aca="false">IF(L237="","",IF(ABS(L237)&lt;=1.96*O237,"Yes","No"))</f>
        <v>Yes</v>
      </c>
      <c r="T237" s="52" t="n">
        <f aca="false">IF(D237="","",ROUND(SQRT(((D237+G237)*O237/100)^2+(J237*(D237+G237)*0.10931)^2),0))</f>
        <v>79</v>
      </c>
      <c r="U237" s="25"/>
    </row>
    <row r="238" customFormat="false" ht="15" hidden="false" customHeight="false" outlineLevel="0" collapsed="false">
      <c r="A238" s="25" t="s">
        <v>385</v>
      </c>
      <c r="B238" s="25" t="s">
        <v>260</v>
      </c>
      <c r="C238" s="25" t="s">
        <v>410</v>
      </c>
      <c r="D238" s="52" t="n">
        <v>919</v>
      </c>
      <c r="E238" s="52" t="n">
        <v>1506</v>
      </c>
      <c r="F238" s="63" t="n">
        <f aca="false">IF(E238="","",D238-E238)</f>
        <v>-587</v>
      </c>
      <c r="G238" s="52" t="n">
        <v>228</v>
      </c>
      <c r="H238" s="52" t="n">
        <v>338</v>
      </c>
      <c r="I238" s="63" t="n">
        <f aca="false">IF(H238="","",G238-H238)</f>
        <v>-110</v>
      </c>
      <c r="J238" s="53" t="n">
        <f aca="false">IF(OR(D238="",D238+G238=0),"",D238/(D238+G238))</f>
        <v>0.801220575414124</v>
      </c>
      <c r="K238" s="53" t="n">
        <f aca="false">IF(E238="","",E238/(E238+H238))</f>
        <v>0.816702819956616</v>
      </c>
      <c r="L238" s="64" t="n">
        <f aca="false">IF(OR(K238="",J238=""),"",(J238-K238)*100)</f>
        <v>-1.54822445424923</v>
      </c>
      <c r="M238" s="28" t="n">
        <v>2.42668038003648</v>
      </c>
      <c r="N238" s="28" t="n">
        <v>0.397844942258686</v>
      </c>
      <c r="O238" s="28" t="n">
        <f aca="false">SQRT(M238^2+N238^2)</f>
        <v>2.45907670985165</v>
      </c>
      <c r="P238" s="53" t="n">
        <f aca="false">IF(J238="","",MAX(0,J238-1.96*O238/100))</f>
        <v>0.753022671901031</v>
      </c>
      <c r="Q238" s="53" t="n">
        <f aca="false">IF(J238="","",MIN(1,J238+1.96*O238/100))</f>
        <v>0.849418478927216</v>
      </c>
      <c r="R238" s="25" t="str">
        <f aca="false">IF(L238="","",IF(ABS(L238)&lt;=O238,"Yes","No"))</f>
        <v>Yes</v>
      </c>
      <c r="S238" s="25" t="str">
        <f aca="false">IF(L238="","",IF(ABS(L238)&lt;=1.96*O238,"Yes","No"))</f>
        <v>Yes</v>
      </c>
      <c r="T238" s="52" t="n">
        <f aca="false">IF(D238="","",ROUND(SQRT(((D238+G238)*O238/100)^2+(J238*(D238+G238)*0.10931)^2),0))</f>
        <v>104</v>
      </c>
      <c r="U238" s="25"/>
    </row>
    <row r="239" customFormat="false" ht="15" hidden="false" customHeight="false" outlineLevel="0" collapsed="false">
      <c r="A239" s="25" t="s">
        <v>385</v>
      </c>
      <c r="B239" s="25" t="s">
        <v>260</v>
      </c>
      <c r="C239" s="25" t="s">
        <v>411</v>
      </c>
      <c r="D239" s="52" t="n">
        <v>721</v>
      </c>
      <c r="E239" s="52" t="n">
        <v>645</v>
      </c>
      <c r="F239" s="63" t="n">
        <f aca="false">IF(E239="","",D239-E239)</f>
        <v>76</v>
      </c>
      <c r="G239" s="52" t="n">
        <v>229</v>
      </c>
      <c r="H239" s="52" t="n">
        <v>243</v>
      </c>
      <c r="I239" s="63" t="n">
        <f aca="false">IF(H239="","",G239-H239)</f>
        <v>-14</v>
      </c>
      <c r="J239" s="53" t="n">
        <f aca="false">IF(OR(D239="",D239+G239=0),"",D239/(D239+G239))</f>
        <v>0.758947368421053</v>
      </c>
      <c r="K239" s="53" t="n">
        <f aca="false">IF(E239="","",E239/(E239+H239))</f>
        <v>0.726351351351351</v>
      </c>
      <c r="L239" s="64" t="n">
        <f aca="false">IF(OR(K239="",J239=""),"",(J239-K239)*100)</f>
        <v>3.25960170697013</v>
      </c>
      <c r="M239" s="28" t="n">
        <v>2.42668038003648</v>
      </c>
      <c r="N239" s="28" t="n">
        <v>0.397844942258686</v>
      </c>
      <c r="O239" s="28" t="n">
        <f aca="false">SQRT(M239^2+N239^2)</f>
        <v>2.45907670985165</v>
      </c>
      <c r="P239" s="53" t="n">
        <f aca="false">IF(J239="","",MAX(0,J239-1.96*O239/100))</f>
        <v>0.71074946490796</v>
      </c>
      <c r="Q239" s="53" t="n">
        <f aca="false">IF(J239="","",MIN(1,J239+1.96*O239/100))</f>
        <v>0.807145271934145</v>
      </c>
      <c r="R239" s="25" t="str">
        <f aca="false">IF(L239="","",IF(ABS(L239)&lt;=O239,"Yes","No"))</f>
        <v>No</v>
      </c>
      <c r="S239" s="25" t="str">
        <f aca="false">IF(L239="","",IF(ABS(L239)&lt;=1.96*O239,"Yes","No"))</f>
        <v>Yes</v>
      </c>
      <c r="T239" s="52" t="n">
        <f aca="false">IF(D239="","",ROUND(SQRT(((D239+G239)*O239/100)^2+(J239*(D239+G239)*0.10931)^2),0))</f>
        <v>82</v>
      </c>
      <c r="U239" s="25"/>
    </row>
    <row r="240" customFormat="false" ht="15" hidden="false" customHeight="false" outlineLevel="0" collapsed="false">
      <c r="A240" s="25" t="s">
        <v>385</v>
      </c>
      <c r="B240" s="25" t="s">
        <v>260</v>
      </c>
      <c r="C240" s="25" t="s">
        <v>412</v>
      </c>
      <c r="D240" s="52" t="n">
        <v>669</v>
      </c>
      <c r="E240" s="52" t="n">
        <v>628</v>
      </c>
      <c r="F240" s="63" t="n">
        <f aca="false">IF(E240="","",D240-E240)</f>
        <v>41</v>
      </c>
      <c r="G240" s="52" t="n">
        <v>245</v>
      </c>
      <c r="H240" s="52" t="n">
        <v>267</v>
      </c>
      <c r="I240" s="63" t="n">
        <f aca="false">IF(H240="","",G240-H240)</f>
        <v>-22</v>
      </c>
      <c r="J240" s="53" t="n">
        <f aca="false">IF(OR(D240="",D240+G240=0),"",D240/(D240+G240))</f>
        <v>0.731947483588622</v>
      </c>
      <c r="K240" s="53" t="n">
        <f aca="false">IF(E240="","",E240/(E240+H240))</f>
        <v>0.701675977653631</v>
      </c>
      <c r="L240" s="64" t="n">
        <f aca="false">IF(OR(K240="",J240=""),"",(J240-K240)*100)</f>
        <v>3.02715059349902</v>
      </c>
      <c r="M240" s="28" t="n">
        <v>2.42668038003648</v>
      </c>
      <c r="N240" s="28" t="n">
        <v>0.397844942258686</v>
      </c>
      <c r="O240" s="28" t="n">
        <f aca="false">SQRT(M240^2+N240^2)</f>
        <v>2.45907670985165</v>
      </c>
      <c r="P240" s="53" t="n">
        <f aca="false">IF(J240="","",MAX(0,J240-1.96*O240/100))</f>
        <v>0.683749580075529</v>
      </c>
      <c r="Q240" s="53" t="n">
        <f aca="false">IF(J240="","",MIN(1,J240+1.96*O240/100))</f>
        <v>0.780145387101714</v>
      </c>
      <c r="R240" s="25" t="str">
        <f aca="false">IF(L240="","",IF(ABS(L240)&lt;=O240,"Yes","No"))</f>
        <v>No</v>
      </c>
      <c r="S240" s="25" t="str">
        <f aca="false">IF(L240="","",IF(ABS(L240)&lt;=1.96*O240,"Yes","No"))</f>
        <v>Yes</v>
      </c>
      <c r="T240" s="52" t="n">
        <f aca="false">IF(D240="","",ROUND(SQRT(((D240+G240)*O240/100)^2+(J240*(D240+G240)*0.10931)^2),0))</f>
        <v>77</v>
      </c>
      <c r="U240" s="25"/>
    </row>
    <row r="241" customFormat="false" ht="15" hidden="false" customHeight="false" outlineLevel="0" collapsed="false">
      <c r="A241" s="25" t="s">
        <v>385</v>
      </c>
      <c r="B241" s="25" t="s">
        <v>260</v>
      </c>
      <c r="C241" s="25" t="s">
        <v>413</v>
      </c>
      <c r="D241" s="52" t="n">
        <v>410</v>
      </c>
      <c r="E241" s="52" t="n">
        <v>473</v>
      </c>
      <c r="F241" s="63" t="n">
        <f aca="false">IF(E241="","",D241-E241)</f>
        <v>-63</v>
      </c>
      <c r="G241" s="52" t="n">
        <v>181</v>
      </c>
      <c r="H241" s="52" t="n">
        <v>153</v>
      </c>
      <c r="I241" s="63" t="n">
        <f aca="false">IF(H241="","",G241-H241)</f>
        <v>28</v>
      </c>
      <c r="J241" s="53" t="n">
        <f aca="false">IF(OR(D241="",D241+G241=0),"",D241/(D241+G241))</f>
        <v>0.693739424703892</v>
      </c>
      <c r="K241" s="53" t="n">
        <f aca="false">IF(E241="","",E241/(E241+H241))</f>
        <v>0.755591054313099</v>
      </c>
      <c r="L241" s="64" t="n">
        <f aca="false">IF(OR(K241="",J241=""),"",(J241-K241)*100)</f>
        <v>-6.18516296092073</v>
      </c>
      <c r="M241" s="28" t="n">
        <v>3.19821915242569</v>
      </c>
      <c r="N241" s="28" t="n">
        <v>0.397844942258686</v>
      </c>
      <c r="O241" s="28" t="n">
        <f aca="false">SQRT(M241^2+N241^2)</f>
        <v>3.22286927209642</v>
      </c>
      <c r="P241" s="53" t="n">
        <f aca="false">IF(J241="","",MAX(0,J241-1.96*O241/100))</f>
        <v>0.630571186970802</v>
      </c>
      <c r="Q241" s="53" t="n">
        <f aca="false">IF(J241="","",MIN(1,J241+1.96*O241/100))</f>
        <v>0.756907662436982</v>
      </c>
      <c r="R241" s="25" t="str">
        <f aca="false">IF(L241="","",IF(ABS(L241)&lt;=O241,"Yes","No"))</f>
        <v>No</v>
      </c>
      <c r="S241" s="25" t="str">
        <f aca="false">IF(L241="","",IF(ABS(L241)&lt;=1.96*O241,"Yes","No"))</f>
        <v>Yes</v>
      </c>
      <c r="T241" s="52" t="n">
        <f aca="false">IF(D241="","",ROUND(SQRT(((D241+G241)*O241/100)^2+(J241*(D241+G241)*0.1901)^2),0))</f>
        <v>80</v>
      </c>
      <c r="U241" s="25"/>
    </row>
    <row r="242" customFormat="false" ht="15" hidden="false" customHeight="false" outlineLevel="0" collapsed="false">
      <c r="A242" s="25" t="s">
        <v>385</v>
      </c>
      <c r="B242" s="25" t="s">
        <v>260</v>
      </c>
      <c r="C242" s="25" t="s">
        <v>414</v>
      </c>
      <c r="D242" s="52" t="n">
        <v>756</v>
      </c>
      <c r="E242" s="52" t="n">
        <v>745</v>
      </c>
      <c r="F242" s="63" t="n">
        <f aca="false">IF(E242="","",D242-E242)</f>
        <v>11</v>
      </c>
      <c r="G242" s="52" t="n">
        <v>301</v>
      </c>
      <c r="H242" s="52" t="n">
        <v>301</v>
      </c>
      <c r="I242" s="63" t="n">
        <f aca="false">IF(H242="","",G242-H242)</f>
        <v>0</v>
      </c>
      <c r="J242" s="53" t="n">
        <f aca="false">IF(OR(D242="",D242+G242=0),"",D242/(D242+G242))</f>
        <v>0.71523178807947</v>
      </c>
      <c r="K242" s="53" t="n">
        <f aca="false">IF(E242="","",E242/(E242+H242))</f>
        <v>0.712237093690249</v>
      </c>
      <c r="L242" s="64" t="n">
        <f aca="false">IF(OR(K242="",J242=""),"",(J242-K242)*100)</f>
        <v>0.299469438922162</v>
      </c>
      <c r="M242" s="28" t="n">
        <v>2.42668038003648</v>
      </c>
      <c r="N242" s="28" t="n">
        <v>0.397844942258686</v>
      </c>
      <c r="O242" s="28" t="n">
        <f aca="false">SQRT(M242^2+N242^2)</f>
        <v>2.45907670985165</v>
      </c>
      <c r="P242" s="53" t="n">
        <f aca="false">IF(J242="","",MAX(0,J242-1.96*O242/100))</f>
        <v>0.667033884566378</v>
      </c>
      <c r="Q242" s="53" t="n">
        <f aca="false">IF(J242="","",MIN(1,J242+1.96*O242/100))</f>
        <v>0.763429691592563</v>
      </c>
      <c r="R242" s="25" t="str">
        <f aca="false">IF(L242="","",IF(ABS(L242)&lt;=O242,"Yes","No"))</f>
        <v>Yes</v>
      </c>
      <c r="S242" s="25" t="str">
        <f aca="false">IF(L242="","",IF(ABS(L242)&lt;=1.96*O242,"Yes","No"))</f>
        <v>Yes</v>
      </c>
      <c r="T242" s="52" t="n">
        <f aca="false">IF(D242="","",ROUND(SQRT(((D242+G242)*O242/100)^2+(J242*(D242+G242)*0.10931)^2),0))</f>
        <v>87</v>
      </c>
      <c r="U242" s="25"/>
    </row>
    <row r="243" customFormat="false" ht="15" hidden="false" customHeight="false" outlineLevel="0" collapsed="false">
      <c r="A243" s="25" t="s">
        <v>385</v>
      </c>
      <c r="B243" s="25" t="s">
        <v>260</v>
      </c>
      <c r="C243" s="25" t="s">
        <v>415</v>
      </c>
      <c r="D243" s="52" t="n">
        <v>664</v>
      </c>
      <c r="E243" s="52" t="n">
        <v>682</v>
      </c>
      <c r="F243" s="63" t="n">
        <f aca="false">IF(E243="","",D243-E243)</f>
        <v>-18</v>
      </c>
      <c r="G243" s="52" t="n">
        <v>303</v>
      </c>
      <c r="H243" s="52" t="n">
        <v>313</v>
      </c>
      <c r="I243" s="63" t="n">
        <f aca="false">IF(H243="","",G243-H243)</f>
        <v>-10</v>
      </c>
      <c r="J243" s="53" t="n">
        <f aca="false">IF(OR(D243="",D243+G243=0),"",D243/(D243+G243))</f>
        <v>0.686659772492244</v>
      </c>
      <c r="K243" s="53" t="n">
        <f aca="false">IF(E243="","",E243/(E243+H243))</f>
        <v>0.685427135678392</v>
      </c>
      <c r="L243" s="64" t="n">
        <f aca="false">IF(OR(K243="",J243=""),"",(J243-K243)*100)</f>
        <v>0.123263681385211</v>
      </c>
      <c r="M243" s="28" t="n">
        <v>2.42668038003648</v>
      </c>
      <c r="N243" s="28" t="n">
        <v>0.397844942258686</v>
      </c>
      <c r="O243" s="28" t="n">
        <f aca="false">SQRT(M243^2+N243^2)</f>
        <v>2.45907670985165</v>
      </c>
      <c r="P243" s="53" t="n">
        <f aca="false">IF(J243="","",MAX(0,J243-1.96*O243/100))</f>
        <v>0.638461868979152</v>
      </c>
      <c r="Q243" s="53" t="n">
        <f aca="false">IF(J243="","",MIN(1,J243+1.96*O243/100))</f>
        <v>0.734857676005337</v>
      </c>
      <c r="R243" s="25" t="str">
        <f aca="false">IF(L243="","",IF(ABS(L243)&lt;=O243,"Yes","No"))</f>
        <v>Yes</v>
      </c>
      <c r="S243" s="25" t="str">
        <f aca="false">IF(L243="","",IF(ABS(L243)&lt;=1.96*O243,"Yes","No"))</f>
        <v>Yes</v>
      </c>
      <c r="T243" s="52" t="n">
        <f aca="false">IF(D243="","",ROUND(SQRT(((D243+G243)*O243/100)^2+(J243*(D243+G243)*0.10931)^2),0))</f>
        <v>76</v>
      </c>
      <c r="U243" s="25"/>
    </row>
    <row r="244" customFormat="false" ht="15" hidden="false" customHeight="false" outlineLevel="0" collapsed="false">
      <c r="A244" s="25" t="s">
        <v>385</v>
      </c>
      <c r="B244" s="25" t="s">
        <v>260</v>
      </c>
      <c r="C244" s="25" t="s">
        <v>416</v>
      </c>
      <c r="D244" s="52" t="n">
        <v>692</v>
      </c>
      <c r="E244" s="52" t="n">
        <v>711</v>
      </c>
      <c r="F244" s="63" t="n">
        <f aca="false">IF(E244="","",D244-E244)</f>
        <v>-19</v>
      </c>
      <c r="G244" s="52" t="n">
        <v>331</v>
      </c>
      <c r="H244" s="52" t="n">
        <v>341</v>
      </c>
      <c r="I244" s="63" t="n">
        <f aca="false">IF(H244="","",G244-H244)</f>
        <v>-10</v>
      </c>
      <c r="J244" s="53" t="n">
        <f aca="false">IF(OR(D244="",D244+G244=0),"",D244/(D244+G244))</f>
        <v>0.67644183773216</v>
      </c>
      <c r="K244" s="53" t="n">
        <f aca="false">IF(E244="","",E244/(E244+H244))</f>
        <v>0.675855513307985</v>
      </c>
      <c r="L244" s="64" t="n">
        <f aca="false">IF(OR(K244="",J244=""),"",(J244-K244)*100)</f>
        <v>0.0586324424175499</v>
      </c>
      <c r="M244" s="28" t="n">
        <v>2.42668038003648</v>
      </c>
      <c r="N244" s="28" t="n">
        <v>0.397844942258686</v>
      </c>
      <c r="O244" s="28" t="n">
        <f aca="false">SQRT(M244^2+N244^2)</f>
        <v>2.45907670985165</v>
      </c>
      <c r="P244" s="53" t="n">
        <f aca="false">IF(J244="","",MAX(0,J244-1.96*O244/100))</f>
        <v>0.628243934219068</v>
      </c>
      <c r="Q244" s="53" t="n">
        <f aca="false">IF(J244="","",MIN(1,J244+1.96*O244/100))</f>
        <v>0.724639741245253</v>
      </c>
      <c r="R244" s="25" t="str">
        <f aca="false">IF(L244="","",IF(ABS(L244)&lt;=O244,"Yes","No"))</f>
        <v>Yes</v>
      </c>
      <c r="S244" s="25" t="str">
        <f aca="false">IF(L244="","",IF(ABS(L244)&lt;=1.96*O244,"Yes","No"))</f>
        <v>Yes</v>
      </c>
      <c r="T244" s="52" t="n">
        <f aca="false">IF(D244="","",ROUND(SQRT(((D244+G244)*O244/100)^2+(J244*(D244+G244)*0.10931)^2),0))</f>
        <v>80</v>
      </c>
      <c r="U244" s="25"/>
    </row>
    <row r="245" customFormat="false" ht="15" hidden="false" customHeight="false" outlineLevel="0" collapsed="false">
      <c r="A245" s="25" t="s">
        <v>385</v>
      </c>
      <c r="B245" s="25" t="s">
        <v>260</v>
      </c>
      <c r="C245" s="25" t="s">
        <v>417</v>
      </c>
      <c r="D245" s="52" t="n">
        <v>305</v>
      </c>
      <c r="E245" s="52"/>
      <c r="F245" s="63" t="str">
        <f aca="false">IF(E245="","",D245-E245)</f>
        <v/>
      </c>
      <c r="G245" s="52" t="n">
        <v>162</v>
      </c>
      <c r="H245" s="52"/>
      <c r="I245" s="63" t="str">
        <f aca="false">IF(H245="","",G245-H245)</f>
        <v/>
      </c>
      <c r="J245" s="53" t="n">
        <f aca="false">IF(OR(D245="",D245+G245=0),"",D245/(D245+G245))</f>
        <v>0.653104925053533</v>
      </c>
      <c r="K245" s="53" t="str">
        <f aca="false">IF(E245="","",E245/(E245+H245))</f>
        <v/>
      </c>
      <c r="L245" s="64" t="str">
        <f aca="false">IF(OR(K245="",J245=""),"",(J245-K245)*100)</f>
        <v/>
      </c>
      <c r="M245" s="28" t="n">
        <v>3.19821915242569</v>
      </c>
      <c r="N245" s="28" t="n">
        <v>0.397844942258686</v>
      </c>
      <c r="O245" s="28" t="n">
        <f aca="false">SQRT(M245^2+N245^2)</f>
        <v>3.22286927209642</v>
      </c>
      <c r="P245" s="53" t="n">
        <f aca="false">IF(J245="","",MAX(0,J245-1.96*O245/100))</f>
        <v>0.589936687320443</v>
      </c>
      <c r="Q245" s="53" t="n">
        <f aca="false">IF(J245="","",MIN(1,J245+1.96*O245/100))</f>
        <v>0.716273162786623</v>
      </c>
      <c r="R245" s="25" t="str">
        <f aca="false">IF(L245="","",IF(ABS(L245)&lt;=O245,"Yes","No"))</f>
        <v/>
      </c>
      <c r="S245" s="25" t="str">
        <f aca="false">IF(L245="","",IF(ABS(L245)&lt;=1.96*O245,"Yes","No"))</f>
        <v/>
      </c>
      <c r="T245" s="52" t="n">
        <f aca="false">IF(D245="","",ROUND(SQRT(((D245+G245)*O245/100)^2+(J245*(D245+G245)*0.1901)^2),0))</f>
        <v>60</v>
      </c>
      <c r="U245" s="25" t="s">
        <v>702</v>
      </c>
    </row>
    <row r="246" customFormat="false" ht="15" hidden="false" customHeight="false" outlineLevel="0" collapsed="false">
      <c r="A246" s="25" t="s">
        <v>385</v>
      </c>
      <c r="B246" s="25" t="s">
        <v>418</v>
      </c>
      <c r="C246" s="25" t="s">
        <v>419</v>
      </c>
      <c r="D246" s="52" t="n">
        <v>433</v>
      </c>
      <c r="E246" s="52" t="n">
        <v>466</v>
      </c>
      <c r="F246" s="63" t="n">
        <f aca="false">IF(E246="","",D246-E246)</f>
        <v>-33</v>
      </c>
      <c r="G246" s="52" t="n">
        <v>417</v>
      </c>
      <c r="H246" s="52" t="n">
        <v>405</v>
      </c>
      <c r="I246" s="63" t="n">
        <f aca="false">IF(H246="","",G246-H246)</f>
        <v>12</v>
      </c>
      <c r="J246" s="53" t="n">
        <f aca="false">IF(OR(D246="",D246+G246=0),"",D246/(D246+G246))</f>
        <v>0.509411764705882</v>
      </c>
      <c r="K246" s="53" t="n">
        <f aca="false">IF(E246="","",E246/(E246+H246))</f>
        <v>0.535017221584386</v>
      </c>
      <c r="L246" s="64" t="n">
        <f aca="false">IF(OR(K246="",J246=""),"",(J246-K246)*100)</f>
        <v>-2.56054568785035</v>
      </c>
      <c r="M246" s="28" t="n">
        <v>2.42668038003648</v>
      </c>
      <c r="N246" s="28" t="n">
        <v>0.397844942258686</v>
      </c>
      <c r="O246" s="28" t="n">
        <f aca="false">SQRT(M246^2+N246^2)</f>
        <v>2.45907670985165</v>
      </c>
      <c r="P246" s="53" t="n">
        <f aca="false">IF(J246="","",MAX(0,J246-1.96*O246/100))</f>
        <v>0.46121386119279</v>
      </c>
      <c r="Q246" s="53" t="n">
        <f aca="false">IF(J246="","",MIN(1,J246+1.96*O246/100))</f>
        <v>0.557609668218975</v>
      </c>
      <c r="R246" s="25" t="str">
        <f aca="false">IF(L246="","",IF(ABS(L246)&lt;=O246,"Yes","No"))</f>
        <v>No</v>
      </c>
      <c r="S246" s="25" t="str">
        <f aca="false">IF(L246="","",IF(ABS(L246)&lt;=1.96*O246,"Yes","No"))</f>
        <v>Yes</v>
      </c>
      <c r="T246" s="52" t="n">
        <f aca="false">IF(D246="","",ROUND(SQRT(((D246+G246)*O246/100)^2+(J246*(D246+G246)*0.10931)^2),0))</f>
        <v>52</v>
      </c>
      <c r="U246" s="25"/>
    </row>
    <row r="247" customFormat="false" ht="15" hidden="false" customHeight="false" outlineLevel="0" collapsed="false">
      <c r="A247" s="25" t="s">
        <v>385</v>
      </c>
      <c r="B247" s="25" t="s">
        <v>418</v>
      </c>
      <c r="C247" s="25" t="s">
        <v>420</v>
      </c>
      <c r="D247" s="52" t="n">
        <v>563</v>
      </c>
      <c r="E247" s="52" t="n">
        <v>552</v>
      </c>
      <c r="F247" s="63" t="n">
        <f aca="false">IF(E247="","",D247-E247)</f>
        <v>11</v>
      </c>
      <c r="G247" s="52" t="n">
        <v>530</v>
      </c>
      <c r="H247" s="52" t="n">
        <v>506</v>
      </c>
      <c r="I247" s="63" t="n">
        <f aca="false">IF(H247="","",G247-H247)</f>
        <v>24</v>
      </c>
      <c r="J247" s="53" t="n">
        <f aca="false">IF(OR(D247="",D247+G247=0),"",D247/(D247+G247))</f>
        <v>0.515096065873742</v>
      </c>
      <c r="K247" s="53" t="n">
        <f aca="false">IF(E247="","",E247/(E247+H247))</f>
        <v>0.521739130434783</v>
      </c>
      <c r="L247" s="64" t="n">
        <f aca="false">IF(OR(K247="",J247=""),"",(J247-K247)*100)</f>
        <v>-0.664306456104058</v>
      </c>
      <c r="M247" s="28" t="n">
        <v>2.42668038003648</v>
      </c>
      <c r="N247" s="28" t="n">
        <v>0.397844942258686</v>
      </c>
      <c r="O247" s="28" t="n">
        <f aca="false">SQRT(M247^2+N247^2)</f>
        <v>2.45907670985165</v>
      </c>
      <c r="P247" s="53" t="n">
        <f aca="false">IF(J247="","",MAX(0,J247-1.96*O247/100))</f>
        <v>0.46689816236065</v>
      </c>
      <c r="Q247" s="53" t="n">
        <f aca="false">IF(J247="","",MIN(1,J247+1.96*O247/100))</f>
        <v>0.563293969386834</v>
      </c>
      <c r="R247" s="25" t="str">
        <f aca="false">IF(L247="","",IF(ABS(L247)&lt;=O247,"Yes","No"))</f>
        <v>Yes</v>
      </c>
      <c r="S247" s="25" t="str">
        <f aca="false">IF(L247="","",IF(ABS(L247)&lt;=1.96*O247,"Yes","No"))</f>
        <v>Yes</v>
      </c>
      <c r="T247" s="52" t="n">
        <f aca="false">IF(D247="","",ROUND(SQRT(((D247+G247)*O247/100)^2+(J247*(D247+G247)*0.10931)^2),0))</f>
        <v>67</v>
      </c>
      <c r="U247" s="25"/>
    </row>
    <row r="248" customFormat="false" ht="15" hidden="false" customHeight="false" outlineLevel="0" collapsed="false">
      <c r="A248" s="25" t="s">
        <v>385</v>
      </c>
      <c r="B248" s="25" t="s">
        <v>418</v>
      </c>
      <c r="C248" s="25" t="s">
        <v>421</v>
      </c>
      <c r="D248" s="52" t="n">
        <v>673</v>
      </c>
      <c r="E248" s="52" t="n">
        <v>722</v>
      </c>
      <c r="F248" s="63" t="n">
        <f aca="false">IF(E248="","",D248-E248)</f>
        <v>-49</v>
      </c>
      <c r="G248" s="52" t="n">
        <v>573</v>
      </c>
      <c r="H248" s="52" t="n">
        <v>596</v>
      </c>
      <c r="I248" s="63" t="n">
        <f aca="false">IF(H248="","",G248-H248)</f>
        <v>-23</v>
      </c>
      <c r="J248" s="53" t="n">
        <f aca="false">IF(OR(D248="",D248+G248=0),"",D248/(D248+G248))</f>
        <v>0.540128410914928</v>
      </c>
      <c r="K248" s="53" t="n">
        <f aca="false">IF(E248="","",E248/(E248+H248))</f>
        <v>0.547799696509863</v>
      </c>
      <c r="L248" s="64" t="n">
        <f aca="false">IF(OR(K248="",J248=""),"",(J248-K248)*100)</f>
        <v>-0.767128559493557</v>
      </c>
      <c r="M248" s="28" t="n">
        <v>2.49017287917352</v>
      </c>
      <c r="N248" s="28" t="n">
        <v>0.397844942258686</v>
      </c>
      <c r="O248" s="28" t="n">
        <f aca="false">SQRT(M248^2+N248^2)</f>
        <v>2.52175366882892</v>
      </c>
      <c r="P248" s="53" t="n">
        <f aca="false">IF(J248="","",MAX(0,J248-1.96*O248/100))</f>
        <v>0.490702039005881</v>
      </c>
      <c r="Q248" s="53" t="n">
        <f aca="false">IF(J248="","",MIN(1,J248+1.96*O248/100))</f>
        <v>0.589554782823975</v>
      </c>
      <c r="R248" s="25" t="str">
        <f aca="false">IF(L248="","",IF(ABS(L248)&lt;=O248,"Yes","No"))</f>
        <v>Yes</v>
      </c>
      <c r="S248" s="25" t="str">
        <f aca="false">IF(L248="","",IF(ABS(L248)&lt;=1.96*O248,"Yes","No"))</f>
        <v>Yes</v>
      </c>
      <c r="T248" s="52" t="n">
        <f aca="false">IF(D248="","",ROUND(SQRT(((D248+G248)*O248/100)^2+(J248*(D248+G248)*0.08889)^2),0))</f>
        <v>68</v>
      </c>
      <c r="U248" s="25"/>
    </row>
    <row r="249" customFormat="false" ht="15" hidden="false" customHeight="false" outlineLevel="0" collapsed="false">
      <c r="A249" s="25" t="s">
        <v>385</v>
      </c>
      <c r="B249" s="25" t="s">
        <v>418</v>
      </c>
      <c r="C249" s="25" t="s">
        <v>422</v>
      </c>
      <c r="D249" s="52" t="n">
        <v>294</v>
      </c>
      <c r="E249" s="52" t="n">
        <v>339</v>
      </c>
      <c r="F249" s="63" t="n">
        <f aca="false">IF(E249="","",D249-E249)</f>
        <v>-45</v>
      </c>
      <c r="G249" s="52" t="n">
        <v>328</v>
      </c>
      <c r="H249" s="52" t="n">
        <v>338</v>
      </c>
      <c r="I249" s="63" t="n">
        <f aca="false">IF(H249="","",G249-H249)</f>
        <v>-10</v>
      </c>
      <c r="J249" s="53" t="n">
        <f aca="false">IF(OR(D249="",D249+G249=0),"",D249/(D249+G249))</f>
        <v>0.472668810289389</v>
      </c>
      <c r="K249" s="53" t="n">
        <f aca="false">IF(E249="","",E249/(E249+H249))</f>
        <v>0.500738552437223</v>
      </c>
      <c r="L249" s="64" t="n">
        <f aca="false">IF(OR(K249="",J249=""),"",(J249-K249)*100)</f>
        <v>-2.8069742147834</v>
      </c>
      <c r="M249" s="28" t="n">
        <v>3.19821915242569</v>
      </c>
      <c r="N249" s="28" t="n">
        <v>0.397844942258686</v>
      </c>
      <c r="O249" s="28" t="n">
        <f aca="false">SQRT(M249^2+N249^2)</f>
        <v>3.22286927209642</v>
      </c>
      <c r="P249" s="53" t="n">
        <f aca="false">IF(J249="","",MAX(0,J249-1.96*O249/100))</f>
        <v>0.409500572556299</v>
      </c>
      <c r="Q249" s="53" t="n">
        <f aca="false">IF(J249="","",MIN(1,J249+1.96*O249/100))</f>
        <v>0.535837048022479</v>
      </c>
      <c r="R249" s="25" t="str">
        <f aca="false">IF(L249="","",IF(ABS(L249)&lt;=O249,"Yes","No"))</f>
        <v>Yes</v>
      </c>
      <c r="S249" s="25" t="str">
        <f aca="false">IF(L249="","",IF(ABS(L249)&lt;=1.96*O249,"Yes","No"))</f>
        <v>Yes</v>
      </c>
      <c r="T249" s="52" t="n">
        <f aca="false">IF(D249="","",ROUND(SQRT(((D249+G249)*O249/100)^2+(J249*(D249+G249)*0.1901)^2),0))</f>
        <v>59</v>
      </c>
      <c r="U249" s="25"/>
    </row>
    <row r="250" customFormat="false" ht="15" hidden="false" customHeight="false" outlineLevel="0" collapsed="false">
      <c r="A250" s="25" t="s">
        <v>385</v>
      </c>
      <c r="B250" s="25" t="s">
        <v>418</v>
      </c>
      <c r="C250" s="25" t="s">
        <v>423</v>
      </c>
      <c r="D250" s="52" t="n">
        <v>589</v>
      </c>
      <c r="E250" s="52" t="n">
        <v>579</v>
      </c>
      <c r="F250" s="63" t="n">
        <f aca="false">IF(E250="","",D250-E250)</f>
        <v>10</v>
      </c>
      <c r="G250" s="52" t="n">
        <v>485</v>
      </c>
      <c r="H250" s="52" t="n">
        <v>482</v>
      </c>
      <c r="I250" s="63" t="n">
        <f aca="false">IF(H250="","",G250-H250)</f>
        <v>3</v>
      </c>
      <c r="J250" s="53" t="n">
        <f aca="false">IF(OR(D250="",D250+G250=0),"",D250/(D250+G250))</f>
        <v>0.548417132216015</v>
      </c>
      <c r="K250" s="53" t="n">
        <f aca="false">IF(E250="","",E250/(E250+H250))</f>
        <v>0.545711592836946</v>
      </c>
      <c r="L250" s="64" t="n">
        <f aca="false">IF(OR(K250="",J250=""),"",(J250-K250)*100)</f>
        <v>0.270553937906859</v>
      </c>
      <c r="M250" s="28" t="n">
        <v>2.42668038003648</v>
      </c>
      <c r="N250" s="28" t="n">
        <v>0.397844942258686</v>
      </c>
      <c r="O250" s="28" t="n">
        <f aca="false">SQRT(M250^2+N250^2)</f>
        <v>2.45907670985165</v>
      </c>
      <c r="P250" s="53" t="n">
        <f aca="false">IF(J250="","",MAX(0,J250-1.96*O250/100))</f>
        <v>0.500219228702923</v>
      </c>
      <c r="Q250" s="53" t="n">
        <f aca="false">IF(J250="","",MIN(1,J250+1.96*O250/100))</f>
        <v>0.596615035729107</v>
      </c>
      <c r="R250" s="25" t="str">
        <f aca="false">IF(L250="","",IF(ABS(L250)&lt;=O250,"Yes","No"))</f>
        <v>Yes</v>
      </c>
      <c r="S250" s="25" t="str">
        <f aca="false">IF(L250="","",IF(ABS(L250)&lt;=1.96*O250,"Yes","No"))</f>
        <v>Yes</v>
      </c>
      <c r="T250" s="52" t="n">
        <f aca="false">IF(D250="","",ROUND(SQRT(((D250+G250)*O250/100)^2+(J250*(D250+G250)*0.10931)^2),0))</f>
        <v>70</v>
      </c>
      <c r="U250" s="25"/>
    </row>
    <row r="251" customFormat="false" ht="15" hidden="false" customHeight="false" outlineLevel="0" collapsed="false">
      <c r="A251" s="25" t="s">
        <v>385</v>
      </c>
      <c r="B251" s="25" t="s">
        <v>418</v>
      </c>
      <c r="C251" s="25" t="s">
        <v>424</v>
      </c>
      <c r="D251" s="52" t="n">
        <v>566</v>
      </c>
      <c r="E251" s="52" t="n">
        <v>562</v>
      </c>
      <c r="F251" s="63" t="n">
        <f aca="false">IF(E251="","",D251-E251)</f>
        <v>4</v>
      </c>
      <c r="G251" s="52" t="n">
        <v>493</v>
      </c>
      <c r="H251" s="52" t="n">
        <v>525</v>
      </c>
      <c r="I251" s="63" t="n">
        <f aca="false">IF(H251="","",G251-H251)</f>
        <v>-32</v>
      </c>
      <c r="J251" s="53" t="n">
        <f aca="false">IF(OR(D251="",D251+G251=0),"",D251/(D251+G251))</f>
        <v>0.534466477809254</v>
      </c>
      <c r="K251" s="53" t="n">
        <f aca="false">IF(E251="","",E251/(E251+H251))</f>
        <v>0.517019319227231</v>
      </c>
      <c r="L251" s="64" t="n">
        <f aca="false">IF(OR(K251="",J251=""),"",(J251-K251)*100)</f>
        <v>1.74471585820232</v>
      </c>
      <c r="M251" s="28" t="n">
        <v>2.42668038003648</v>
      </c>
      <c r="N251" s="28" t="n">
        <v>0.397844942258686</v>
      </c>
      <c r="O251" s="28" t="n">
        <f aca="false">SQRT(M251^2+N251^2)</f>
        <v>2.45907670985165</v>
      </c>
      <c r="P251" s="53" t="n">
        <f aca="false">IF(J251="","",MAX(0,J251-1.96*O251/100))</f>
        <v>0.486268574296162</v>
      </c>
      <c r="Q251" s="53" t="n">
        <f aca="false">IF(J251="","",MIN(1,J251+1.96*O251/100))</f>
        <v>0.582664381322346</v>
      </c>
      <c r="R251" s="25" t="str">
        <f aca="false">IF(L251="","",IF(ABS(L251)&lt;=O251,"Yes","No"))</f>
        <v>Yes</v>
      </c>
      <c r="S251" s="25" t="str">
        <f aca="false">IF(L251="","",IF(ABS(L251)&lt;=1.96*O251,"Yes","No"))</f>
        <v>Yes</v>
      </c>
      <c r="T251" s="52" t="n">
        <f aca="false">IF(D251="","",ROUND(SQRT(((D251+G251)*O251/100)^2+(J251*(D251+G251)*0.10931)^2),0))</f>
        <v>67</v>
      </c>
      <c r="U251" s="25"/>
    </row>
    <row r="252" customFormat="false" ht="15" hidden="false" customHeight="false" outlineLevel="0" collapsed="false">
      <c r="A252" s="25" t="s">
        <v>385</v>
      </c>
      <c r="B252" s="25" t="s">
        <v>418</v>
      </c>
      <c r="C252" s="25" t="s">
        <v>425</v>
      </c>
      <c r="D252" s="52" t="n">
        <v>341</v>
      </c>
      <c r="E252" s="52" t="n">
        <v>337</v>
      </c>
      <c r="F252" s="63" t="n">
        <f aca="false">IF(E252="","",D252-E252)</f>
        <v>4</v>
      </c>
      <c r="G252" s="52" t="n">
        <v>294</v>
      </c>
      <c r="H252" s="52" t="n">
        <v>296</v>
      </c>
      <c r="I252" s="63" t="n">
        <f aca="false">IF(H252="","",G252-H252)</f>
        <v>-2</v>
      </c>
      <c r="J252" s="53" t="n">
        <f aca="false">IF(OR(D252="",D252+G252=0),"",D252/(D252+G252))</f>
        <v>0.537007874015748</v>
      </c>
      <c r="K252" s="53" t="n">
        <f aca="false">IF(E252="","",E252/(E252+H252))</f>
        <v>0.532385466034755</v>
      </c>
      <c r="L252" s="64" t="n">
        <f aca="false">IF(OR(K252="",J252=""),"",(J252-K252)*100)</f>
        <v>0.462240798099289</v>
      </c>
      <c r="M252" s="28" t="n">
        <v>3.19821915242569</v>
      </c>
      <c r="N252" s="28" t="n">
        <v>0.397844942258686</v>
      </c>
      <c r="O252" s="28" t="n">
        <f aca="false">SQRT(M252^2+N252^2)</f>
        <v>3.22286927209642</v>
      </c>
      <c r="P252" s="53" t="n">
        <f aca="false">IF(J252="","",MAX(0,J252-1.96*O252/100))</f>
        <v>0.473839636282658</v>
      </c>
      <c r="Q252" s="53" t="n">
        <f aca="false">IF(J252="","",MIN(1,J252+1.96*O252/100))</f>
        <v>0.600176111748838</v>
      </c>
      <c r="R252" s="25" t="str">
        <f aca="false">IF(L252="","",IF(ABS(L252)&lt;=O252,"Yes","No"))</f>
        <v>Yes</v>
      </c>
      <c r="S252" s="25" t="str">
        <f aca="false">IF(L252="","",IF(ABS(L252)&lt;=1.96*O252,"Yes","No"))</f>
        <v>Yes</v>
      </c>
      <c r="T252" s="52" t="n">
        <f aca="false">IF(D252="","",ROUND(SQRT(((D252+G252)*O252/100)^2+(J252*(D252+G252)*0.1901)^2),0))</f>
        <v>68</v>
      </c>
      <c r="U252" s="25"/>
    </row>
    <row r="253" customFormat="false" ht="15" hidden="false" customHeight="false" outlineLevel="0" collapsed="false">
      <c r="A253" s="25" t="s">
        <v>385</v>
      </c>
      <c r="B253" s="25" t="s">
        <v>418</v>
      </c>
      <c r="C253" s="25" t="s">
        <v>426</v>
      </c>
      <c r="D253" s="52" t="n">
        <v>507</v>
      </c>
      <c r="E253" s="52" t="n">
        <v>517</v>
      </c>
      <c r="F253" s="63" t="n">
        <f aca="false">IF(E253="","",D253-E253)</f>
        <v>-10</v>
      </c>
      <c r="G253" s="52" t="n">
        <v>389</v>
      </c>
      <c r="H253" s="52" t="n">
        <v>388</v>
      </c>
      <c r="I253" s="63" t="n">
        <f aca="false">IF(H253="","",G253-H253)</f>
        <v>1</v>
      </c>
      <c r="J253" s="53" t="n">
        <f aca="false">IF(OR(D253="",D253+G253=0),"",D253/(D253+G253))</f>
        <v>0.565848214285714</v>
      </c>
      <c r="K253" s="53" t="n">
        <f aca="false">IF(E253="","",E253/(E253+H253))</f>
        <v>0.571270718232044</v>
      </c>
      <c r="L253" s="64" t="n">
        <f aca="false">IF(OR(K253="",J253=""),"",(J253-K253)*100)</f>
        <v>-0.542250394632993</v>
      </c>
      <c r="M253" s="28" t="n">
        <v>2.42668038003648</v>
      </c>
      <c r="N253" s="28" t="n">
        <v>0.397844942258686</v>
      </c>
      <c r="O253" s="28" t="n">
        <f aca="false">SQRT(M253^2+N253^2)</f>
        <v>2.45907670985165</v>
      </c>
      <c r="P253" s="53" t="n">
        <f aca="false">IF(J253="","",MAX(0,J253-1.96*O253/100))</f>
        <v>0.517650310772622</v>
      </c>
      <c r="Q253" s="53" t="n">
        <f aca="false">IF(J253="","",MIN(1,J253+1.96*O253/100))</f>
        <v>0.614046117798807</v>
      </c>
      <c r="R253" s="25" t="str">
        <f aca="false">IF(L253="","",IF(ABS(L253)&lt;=O253,"Yes","No"))</f>
        <v>Yes</v>
      </c>
      <c r="S253" s="25" t="str">
        <f aca="false">IF(L253="","",IF(ABS(L253)&lt;=1.96*O253,"Yes","No"))</f>
        <v>Yes</v>
      </c>
      <c r="T253" s="52" t="n">
        <f aca="false">IF(D253="","",ROUND(SQRT(((D253+G253)*O253/100)^2+(J253*(D253+G253)*0.10931)^2),0))</f>
        <v>60</v>
      </c>
      <c r="U253" s="25"/>
    </row>
    <row r="254" customFormat="false" ht="15" hidden="false" customHeight="false" outlineLevel="0" collapsed="false">
      <c r="A254" s="25" t="s">
        <v>385</v>
      </c>
      <c r="B254" s="25" t="s">
        <v>418</v>
      </c>
      <c r="C254" s="25" t="s">
        <v>427</v>
      </c>
      <c r="D254" s="52" t="n">
        <v>314</v>
      </c>
      <c r="E254" s="52" t="n">
        <v>329</v>
      </c>
      <c r="F254" s="63" t="n">
        <f aca="false">IF(E254="","",D254-E254)</f>
        <v>-15</v>
      </c>
      <c r="G254" s="52" t="n">
        <v>234</v>
      </c>
      <c r="H254" s="52" t="n">
        <v>217</v>
      </c>
      <c r="I254" s="63" t="n">
        <f aca="false">IF(H254="","",G254-H254)</f>
        <v>17</v>
      </c>
      <c r="J254" s="53" t="n">
        <f aca="false">IF(OR(D254="",D254+G254=0),"",D254/(D254+G254))</f>
        <v>0.572992700729927</v>
      </c>
      <c r="K254" s="53" t="n">
        <f aca="false">IF(E254="","",E254/(E254+H254))</f>
        <v>0.602564102564103</v>
      </c>
      <c r="L254" s="64" t="n">
        <f aca="false">IF(OR(K254="",J254=""),"",(J254-K254)*100)</f>
        <v>-2.95714018341755</v>
      </c>
      <c r="M254" s="28" t="n">
        <v>3.19821915242569</v>
      </c>
      <c r="N254" s="28" t="n">
        <v>0.397844942258686</v>
      </c>
      <c r="O254" s="28" t="n">
        <f aca="false">SQRT(M254^2+N254^2)</f>
        <v>3.22286927209642</v>
      </c>
      <c r="P254" s="53" t="n">
        <f aca="false">IF(J254="","",MAX(0,J254-1.96*O254/100))</f>
        <v>0.509824462996837</v>
      </c>
      <c r="Q254" s="53" t="n">
        <f aca="false">IF(J254="","",MIN(1,J254+1.96*O254/100))</f>
        <v>0.636160938463017</v>
      </c>
      <c r="R254" s="25" t="str">
        <f aca="false">IF(L254="","",IF(ABS(L254)&lt;=O254,"Yes","No"))</f>
        <v>Yes</v>
      </c>
      <c r="S254" s="25" t="str">
        <f aca="false">IF(L254="","",IF(ABS(L254)&lt;=1.96*O254,"Yes","No"))</f>
        <v>Yes</v>
      </c>
      <c r="T254" s="52" t="n">
        <f aca="false">IF(D254="","",ROUND(SQRT(((D254+G254)*O254/100)^2+(J254*(D254+G254)*0.1901)^2),0))</f>
        <v>62</v>
      </c>
      <c r="U254" s="25"/>
    </row>
    <row r="255" customFormat="false" ht="15" hidden="false" customHeight="false" outlineLevel="0" collapsed="false">
      <c r="A255" s="25" t="s">
        <v>385</v>
      </c>
      <c r="B255" s="25" t="s">
        <v>418</v>
      </c>
      <c r="C255" s="25" t="s">
        <v>428</v>
      </c>
      <c r="D255" s="52" t="n">
        <v>336</v>
      </c>
      <c r="E255" s="52" t="n">
        <v>352</v>
      </c>
      <c r="F255" s="63" t="n">
        <f aca="false">IF(E255="","",D255-E255)</f>
        <v>-16</v>
      </c>
      <c r="G255" s="52" t="n">
        <v>352</v>
      </c>
      <c r="H255" s="52" t="n">
        <v>326</v>
      </c>
      <c r="I255" s="63" t="n">
        <f aca="false">IF(H255="","",G255-H255)</f>
        <v>26</v>
      </c>
      <c r="J255" s="53" t="n">
        <f aca="false">IF(OR(D255="",D255+G255=0),"",D255/(D255+G255))</f>
        <v>0.488372093023256</v>
      </c>
      <c r="K255" s="53" t="n">
        <f aca="false">IF(E255="","",E255/(E255+H255))</f>
        <v>0.519174041297935</v>
      </c>
      <c r="L255" s="64" t="n">
        <f aca="false">IF(OR(K255="",J255=""),"",(J255-K255)*100)</f>
        <v>-3.08019482746793</v>
      </c>
      <c r="M255" s="28" t="n">
        <v>3.19821915242569</v>
      </c>
      <c r="N255" s="28" t="n">
        <v>0.397844942258686</v>
      </c>
      <c r="O255" s="28" t="n">
        <f aca="false">SQRT(M255^2+N255^2)</f>
        <v>3.22286927209642</v>
      </c>
      <c r="P255" s="53" t="n">
        <f aca="false">IF(J255="","",MAX(0,J255-1.96*O255/100))</f>
        <v>0.425203855290166</v>
      </c>
      <c r="Q255" s="53" t="n">
        <f aca="false">IF(J255="","",MIN(1,J255+1.96*O255/100))</f>
        <v>0.551540330756346</v>
      </c>
      <c r="R255" s="25" t="str">
        <f aca="false">IF(L255="","",IF(ABS(L255)&lt;=O255,"Yes","No"))</f>
        <v>Yes</v>
      </c>
      <c r="S255" s="25" t="str">
        <f aca="false">IF(L255="","",IF(ABS(L255)&lt;=1.96*O255,"Yes","No"))</f>
        <v>Yes</v>
      </c>
      <c r="T255" s="52" t="n">
        <f aca="false">IF(D255="","",ROUND(SQRT(((D255+G255)*O255/100)^2+(J255*(D255+G255)*0.1901)^2),0))</f>
        <v>68</v>
      </c>
      <c r="U255" s="25"/>
    </row>
    <row r="256" customFormat="false" ht="15" hidden="false" customHeight="false" outlineLevel="0" collapsed="false">
      <c r="A256" s="25" t="s">
        <v>385</v>
      </c>
      <c r="B256" s="25" t="s">
        <v>418</v>
      </c>
      <c r="C256" s="25" t="s">
        <v>429</v>
      </c>
      <c r="D256" s="52" t="n">
        <v>422</v>
      </c>
      <c r="E256" s="52" t="n">
        <v>420</v>
      </c>
      <c r="F256" s="63" t="n">
        <f aca="false">IF(E256="","",D256-E256)</f>
        <v>2</v>
      </c>
      <c r="G256" s="52" t="n">
        <v>374</v>
      </c>
      <c r="H256" s="52" t="n">
        <v>378</v>
      </c>
      <c r="I256" s="63" t="n">
        <f aca="false">IF(H256="","",G256-H256)</f>
        <v>-4</v>
      </c>
      <c r="J256" s="53" t="n">
        <f aca="false">IF(OR(D256="",D256+G256=0),"",D256/(D256+G256))</f>
        <v>0.530150753768844</v>
      </c>
      <c r="K256" s="53" t="n">
        <f aca="false">IF(E256="","",E256/(E256+H256))</f>
        <v>0.526315789473684</v>
      </c>
      <c r="L256" s="64" t="n">
        <f aca="false">IF(OR(K256="",J256=""),"",(J256-K256)*100)</f>
        <v>0.383496429516006</v>
      </c>
      <c r="M256" s="28" t="n">
        <v>2.42668038003648</v>
      </c>
      <c r="N256" s="28" t="n">
        <v>0.397844942258686</v>
      </c>
      <c r="O256" s="28" t="n">
        <f aca="false">SQRT(M256^2+N256^2)</f>
        <v>2.45907670985165</v>
      </c>
      <c r="P256" s="53" t="n">
        <f aca="false">IF(J256="","",MAX(0,J256-1.96*O256/100))</f>
        <v>0.481952850255752</v>
      </c>
      <c r="Q256" s="53" t="n">
        <f aca="false">IF(J256="","",MIN(1,J256+1.96*O256/100))</f>
        <v>0.578348657281937</v>
      </c>
      <c r="R256" s="25" t="str">
        <f aca="false">IF(L256="","",IF(ABS(L256)&lt;=O256,"Yes","No"))</f>
        <v>Yes</v>
      </c>
      <c r="S256" s="25" t="str">
        <f aca="false">IF(L256="","",IF(ABS(L256)&lt;=1.96*O256,"Yes","No"))</f>
        <v>Yes</v>
      </c>
      <c r="T256" s="52" t="n">
        <f aca="false">IF(D256="","",ROUND(SQRT(((D256+G256)*O256/100)^2+(J256*(D256+G256)*0.10931)^2),0))</f>
        <v>50</v>
      </c>
      <c r="U256" s="25"/>
    </row>
    <row r="257" customFormat="false" ht="15" hidden="false" customHeight="false" outlineLevel="0" collapsed="false">
      <c r="A257" s="25" t="s">
        <v>385</v>
      </c>
      <c r="B257" s="25" t="s">
        <v>418</v>
      </c>
      <c r="C257" s="25" t="s">
        <v>430</v>
      </c>
      <c r="D257" s="52" t="n">
        <v>489</v>
      </c>
      <c r="E257" s="52" t="n">
        <v>522</v>
      </c>
      <c r="F257" s="63" t="n">
        <f aca="false">IF(E257="","",D257-E257)</f>
        <v>-33</v>
      </c>
      <c r="G257" s="52" t="n">
        <v>403</v>
      </c>
      <c r="H257" s="52" t="n">
        <v>400</v>
      </c>
      <c r="I257" s="63" t="n">
        <f aca="false">IF(H257="","",G257-H257)</f>
        <v>3</v>
      </c>
      <c r="J257" s="53" t="n">
        <f aca="false">IF(OR(D257="",D257+G257=0),"",D257/(D257+G257))</f>
        <v>0.548206278026906</v>
      </c>
      <c r="K257" s="53" t="n">
        <f aca="false">IF(E257="","",E257/(E257+H257))</f>
        <v>0.566160520607375</v>
      </c>
      <c r="L257" s="64" t="n">
        <f aca="false">IF(OR(K257="",J257=""),"",(J257-K257)*100)</f>
        <v>-1.79542425804695</v>
      </c>
      <c r="M257" s="28" t="n">
        <v>2.42668038003648</v>
      </c>
      <c r="N257" s="28" t="n">
        <v>0.397844942258686</v>
      </c>
      <c r="O257" s="28" t="n">
        <f aca="false">SQRT(M257^2+N257^2)</f>
        <v>2.45907670985165</v>
      </c>
      <c r="P257" s="53" t="n">
        <f aca="false">IF(J257="","",MAX(0,J257-1.96*O257/100))</f>
        <v>0.500008374513813</v>
      </c>
      <c r="Q257" s="53" t="n">
        <f aca="false">IF(J257="","",MIN(1,J257+1.96*O257/100))</f>
        <v>0.596404181539998</v>
      </c>
      <c r="R257" s="25" t="str">
        <f aca="false">IF(L257="","",IF(ABS(L257)&lt;=O257,"Yes","No"))</f>
        <v>Yes</v>
      </c>
      <c r="S257" s="25" t="str">
        <f aca="false">IF(L257="","",IF(ABS(L257)&lt;=1.96*O257,"Yes","No"))</f>
        <v>Yes</v>
      </c>
      <c r="T257" s="52" t="n">
        <f aca="false">IF(D257="","",ROUND(SQRT(((D257+G257)*O257/100)^2+(J257*(D257+G257)*0.10931)^2),0))</f>
        <v>58</v>
      </c>
      <c r="U257" s="25"/>
    </row>
    <row r="258" customFormat="false" ht="15" hidden="false" customHeight="false" outlineLevel="0" collapsed="false">
      <c r="A258" s="25" t="s">
        <v>385</v>
      </c>
      <c r="B258" s="25" t="s">
        <v>418</v>
      </c>
      <c r="C258" s="25" t="s">
        <v>431</v>
      </c>
      <c r="D258" s="52" t="n">
        <v>432</v>
      </c>
      <c r="E258" s="52" t="n">
        <v>436</v>
      </c>
      <c r="F258" s="63" t="n">
        <f aca="false">IF(E258="","",D258-E258)</f>
        <v>-4</v>
      </c>
      <c r="G258" s="52" t="n">
        <v>435</v>
      </c>
      <c r="H258" s="52" t="n">
        <v>423</v>
      </c>
      <c r="I258" s="63" t="n">
        <f aca="false">IF(H258="","",G258-H258)</f>
        <v>12</v>
      </c>
      <c r="J258" s="53" t="n">
        <f aca="false">IF(OR(D258="",D258+G258=0),"",D258/(D258+G258))</f>
        <v>0.498269896193772</v>
      </c>
      <c r="K258" s="53" t="n">
        <f aca="false">IF(E258="","",E258/(E258+H258))</f>
        <v>0.507566938300349</v>
      </c>
      <c r="L258" s="64" t="n">
        <f aca="false">IF(OR(K258="",J258=""),"",(J258-K258)*100)</f>
        <v>-0.929704210657767</v>
      </c>
      <c r="M258" s="28" t="n">
        <v>2.42668038003648</v>
      </c>
      <c r="N258" s="28" t="n">
        <v>0.397844942258686</v>
      </c>
      <c r="O258" s="28" t="n">
        <f aca="false">SQRT(M258^2+N258^2)</f>
        <v>2.45907670985165</v>
      </c>
      <c r="P258" s="53" t="n">
        <f aca="false">IF(J258="","",MAX(0,J258-1.96*O258/100))</f>
        <v>0.450071992680679</v>
      </c>
      <c r="Q258" s="53" t="n">
        <f aca="false">IF(J258="","",MIN(1,J258+1.96*O258/100))</f>
        <v>0.546467799706864</v>
      </c>
      <c r="R258" s="25" t="str">
        <f aca="false">IF(L258="","",IF(ABS(L258)&lt;=O258,"Yes","No"))</f>
        <v>Yes</v>
      </c>
      <c r="S258" s="25" t="str">
        <f aca="false">IF(L258="","",IF(ABS(L258)&lt;=1.96*O258,"Yes","No"))</f>
        <v>Yes</v>
      </c>
      <c r="T258" s="52" t="n">
        <f aca="false">IF(D258="","",ROUND(SQRT(((D258+G258)*O258/100)^2+(J258*(D258+G258)*0.10931)^2),0))</f>
        <v>52</v>
      </c>
      <c r="U258" s="25"/>
    </row>
    <row r="259" customFormat="false" ht="15" hidden="false" customHeight="false" outlineLevel="0" collapsed="false">
      <c r="A259" s="25" t="s">
        <v>385</v>
      </c>
      <c r="B259" s="25" t="s">
        <v>418</v>
      </c>
      <c r="C259" s="25" t="s">
        <v>432</v>
      </c>
      <c r="D259" s="52" t="n">
        <v>946</v>
      </c>
      <c r="E259" s="52" t="n">
        <v>925</v>
      </c>
      <c r="F259" s="63" t="n">
        <f aca="false">IF(E259="","",D259-E259)</f>
        <v>21</v>
      </c>
      <c r="G259" s="52" t="n">
        <v>785</v>
      </c>
      <c r="H259" s="52" t="n">
        <v>710</v>
      </c>
      <c r="I259" s="63" t="n">
        <f aca="false">IF(H259="","",G259-H259)</f>
        <v>75</v>
      </c>
      <c r="J259" s="53" t="n">
        <f aca="false">IF(OR(D259="",D259+G259=0),"",D259/(D259+G259))</f>
        <v>0.546504910456384</v>
      </c>
      <c r="K259" s="53" t="n">
        <f aca="false">IF(E259="","",E259/(E259+H259))</f>
        <v>0.565749235474006</v>
      </c>
      <c r="L259" s="64" t="n">
        <f aca="false">IF(OR(K259="",J259=""),"",(J259-K259)*100)</f>
        <v>-1.92443250176225</v>
      </c>
      <c r="M259" s="28" t="n">
        <v>2.49017287917352</v>
      </c>
      <c r="N259" s="28" t="n">
        <v>0.397844942258686</v>
      </c>
      <c r="O259" s="28" t="n">
        <f aca="false">SQRT(M259^2+N259^2)</f>
        <v>2.52175366882892</v>
      </c>
      <c r="P259" s="53" t="n">
        <f aca="false">IF(J259="","",MAX(0,J259-1.96*O259/100))</f>
        <v>0.497078538547337</v>
      </c>
      <c r="Q259" s="53" t="n">
        <f aca="false">IF(J259="","",MIN(1,J259+1.96*O259/100))</f>
        <v>0.595931282365431</v>
      </c>
      <c r="R259" s="25" t="str">
        <f aca="false">IF(L259="","",IF(ABS(L259)&lt;=O259,"Yes","No"))</f>
        <v>Yes</v>
      </c>
      <c r="S259" s="25" t="str">
        <f aca="false">IF(L259="","",IF(ABS(L259)&lt;=1.96*O259,"Yes","No"))</f>
        <v>Yes</v>
      </c>
      <c r="T259" s="52" t="n">
        <f aca="false">IF(D259="","",ROUND(SQRT(((D259+G259)*O259/100)^2+(J259*(D259+G259)*0.08889)^2),0))</f>
        <v>95</v>
      </c>
      <c r="U259" s="25"/>
    </row>
    <row r="260" customFormat="false" ht="15" hidden="false" customHeight="false" outlineLevel="0" collapsed="false">
      <c r="A260" s="25" t="s">
        <v>385</v>
      </c>
      <c r="B260" s="25" t="s">
        <v>418</v>
      </c>
      <c r="C260" s="25" t="s">
        <v>433</v>
      </c>
      <c r="D260" s="52" t="n">
        <v>492</v>
      </c>
      <c r="E260" s="52" t="n">
        <v>535</v>
      </c>
      <c r="F260" s="63" t="n">
        <f aca="false">IF(E260="","",D260-E260)</f>
        <v>-43</v>
      </c>
      <c r="G260" s="52" t="n">
        <v>527</v>
      </c>
      <c r="H260" s="52" t="n">
        <v>514</v>
      </c>
      <c r="I260" s="63" t="n">
        <f aca="false">IF(H260="","",G260-H260)</f>
        <v>13</v>
      </c>
      <c r="J260" s="53" t="n">
        <f aca="false">IF(OR(D260="",D260+G260=0),"",D260/(D260+G260))</f>
        <v>0.482826300294406</v>
      </c>
      <c r="K260" s="53" t="n">
        <f aca="false">IF(E260="","",E260/(E260+H260))</f>
        <v>0.510009532888465</v>
      </c>
      <c r="L260" s="64" t="n">
        <f aca="false">IF(OR(K260="",J260=""),"",(J260-K260)*100)</f>
        <v>-2.71832325940589</v>
      </c>
      <c r="M260" s="28" t="n">
        <v>2.42668038003648</v>
      </c>
      <c r="N260" s="28" t="n">
        <v>0.397844942258686</v>
      </c>
      <c r="O260" s="28" t="n">
        <f aca="false">SQRT(M260^2+N260^2)</f>
        <v>2.45907670985165</v>
      </c>
      <c r="P260" s="53" t="n">
        <f aca="false">IF(J260="","",MAX(0,J260-1.96*O260/100))</f>
        <v>0.434628396781314</v>
      </c>
      <c r="Q260" s="53" t="n">
        <f aca="false">IF(J260="","",MIN(1,J260+1.96*O260/100))</f>
        <v>0.531024203807499</v>
      </c>
      <c r="R260" s="25" t="str">
        <f aca="false">IF(L260="","",IF(ABS(L260)&lt;=O260,"Yes","No"))</f>
        <v>No</v>
      </c>
      <c r="S260" s="25" t="str">
        <f aca="false">IF(L260="","",IF(ABS(L260)&lt;=1.96*O260,"Yes","No"))</f>
        <v>Yes</v>
      </c>
      <c r="T260" s="52" t="n">
        <f aca="false">IF(D260="","",ROUND(SQRT(((D260+G260)*O260/100)^2+(J260*(D260+G260)*0.10931)^2),0))</f>
        <v>59</v>
      </c>
      <c r="U260" s="25"/>
    </row>
    <row r="261" customFormat="false" ht="15" hidden="false" customHeight="false" outlineLevel="0" collapsed="false">
      <c r="A261" s="25" t="s">
        <v>385</v>
      </c>
      <c r="B261" s="25" t="s">
        <v>418</v>
      </c>
      <c r="C261" s="25" t="s">
        <v>434</v>
      </c>
      <c r="D261" s="52" t="n">
        <v>462</v>
      </c>
      <c r="E261" s="52" t="n">
        <v>499</v>
      </c>
      <c r="F261" s="63" t="n">
        <f aca="false">IF(E261="","",D261-E261)</f>
        <v>-37</v>
      </c>
      <c r="G261" s="52" t="n">
        <v>477</v>
      </c>
      <c r="H261" s="52" t="n">
        <v>468</v>
      </c>
      <c r="I261" s="63" t="n">
        <f aca="false">IF(H261="","",G261-H261)</f>
        <v>9</v>
      </c>
      <c r="J261" s="53" t="n">
        <f aca="false">IF(OR(D261="",D261+G261=0),"",D261/(D261+G261))</f>
        <v>0.492012779552716</v>
      </c>
      <c r="K261" s="53" t="n">
        <f aca="false">IF(E261="","",E261/(E261+H261))</f>
        <v>0.516028955532575</v>
      </c>
      <c r="L261" s="64" t="n">
        <f aca="false">IF(OR(K261="",J261=""),"",(J261-K261)*100)</f>
        <v>-2.40161759798593</v>
      </c>
      <c r="M261" s="28" t="n">
        <v>2.42668038003648</v>
      </c>
      <c r="N261" s="28" t="n">
        <v>0.397844942258686</v>
      </c>
      <c r="O261" s="28" t="n">
        <f aca="false">SQRT(M261^2+N261^2)</f>
        <v>2.45907670985165</v>
      </c>
      <c r="P261" s="53" t="n">
        <f aca="false">IF(J261="","",MAX(0,J261-1.96*O261/100))</f>
        <v>0.443814876039623</v>
      </c>
      <c r="Q261" s="53" t="n">
        <f aca="false">IF(J261="","",MIN(1,J261+1.96*O261/100))</f>
        <v>0.540210683065808</v>
      </c>
      <c r="R261" s="25" t="str">
        <f aca="false">IF(L261="","",IF(ABS(L261)&lt;=O261,"Yes","No"))</f>
        <v>Yes</v>
      </c>
      <c r="S261" s="25" t="str">
        <f aca="false">IF(L261="","",IF(ABS(L261)&lt;=1.96*O261,"Yes","No"))</f>
        <v>Yes</v>
      </c>
      <c r="T261" s="52" t="n">
        <f aca="false">IF(D261="","",ROUND(SQRT(((D261+G261)*O261/100)^2+(J261*(D261+G261)*0.10931)^2),0))</f>
        <v>56</v>
      </c>
      <c r="U261" s="25"/>
    </row>
    <row r="262" customFormat="false" ht="15" hidden="false" customHeight="false" outlineLevel="0" collapsed="false">
      <c r="A262" s="25" t="s">
        <v>385</v>
      </c>
      <c r="B262" s="25" t="s">
        <v>418</v>
      </c>
      <c r="C262" s="25" t="s">
        <v>435</v>
      </c>
      <c r="D262" s="52" t="n">
        <v>508</v>
      </c>
      <c r="E262" s="52" t="n">
        <v>503</v>
      </c>
      <c r="F262" s="63" t="n">
        <f aca="false">IF(E262="","",D262-E262)</f>
        <v>5</v>
      </c>
      <c r="G262" s="52" t="n">
        <v>457</v>
      </c>
      <c r="H262" s="52" t="n">
        <v>468</v>
      </c>
      <c r="I262" s="63" t="n">
        <f aca="false">IF(H262="","",G262-H262)</f>
        <v>-11</v>
      </c>
      <c r="J262" s="53" t="n">
        <f aca="false">IF(OR(D262="",D262+G262=0),"",D262/(D262+G262))</f>
        <v>0.526424870466321</v>
      </c>
      <c r="K262" s="53" t="n">
        <f aca="false">IF(E262="","",E262/(E262+H262))</f>
        <v>0.518022657054583</v>
      </c>
      <c r="L262" s="64" t="n">
        <f aca="false">IF(OR(K262="",J262=""),"",(J262-K262)*100)</f>
        <v>0.84022134117383</v>
      </c>
      <c r="M262" s="28" t="n">
        <v>2.42668038003648</v>
      </c>
      <c r="N262" s="28" t="n">
        <v>0.397844942258686</v>
      </c>
      <c r="O262" s="28" t="n">
        <f aca="false">SQRT(M262^2+N262^2)</f>
        <v>2.45907670985165</v>
      </c>
      <c r="P262" s="53" t="n">
        <f aca="false">IF(J262="","",MAX(0,J262-1.96*O262/100))</f>
        <v>0.478226966953229</v>
      </c>
      <c r="Q262" s="53" t="n">
        <f aca="false">IF(J262="","",MIN(1,J262+1.96*O262/100))</f>
        <v>0.574622773979414</v>
      </c>
      <c r="R262" s="25" t="str">
        <f aca="false">IF(L262="","",IF(ABS(L262)&lt;=O262,"Yes","No"))</f>
        <v>Yes</v>
      </c>
      <c r="S262" s="25" t="str">
        <f aca="false">IF(L262="","",IF(ABS(L262)&lt;=1.96*O262,"Yes","No"))</f>
        <v>Yes</v>
      </c>
      <c r="T262" s="52" t="n">
        <f aca="false">IF(D262="","",ROUND(SQRT(((D262+G262)*O262/100)^2+(J262*(D262+G262)*0.10931)^2),0))</f>
        <v>60</v>
      </c>
      <c r="U262" s="25"/>
    </row>
    <row r="263" customFormat="false" ht="15" hidden="false" customHeight="false" outlineLevel="0" collapsed="false">
      <c r="A263" s="25" t="s">
        <v>385</v>
      </c>
      <c r="B263" s="25" t="s">
        <v>436</v>
      </c>
      <c r="C263" s="25" t="s">
        <v>437</v>
      </c>
      <c r="D263" s="52" t="n">
        <v>855</v>
      </c>
      <c r="E263" s="52" t="n">
        <v>939</v>
      </c>
      <c r="F263" s="63" t="n">
        <f aca="false">IF(E263="","",D263-E263)</f>
        <v>-84</v>
      </c>
      <c r="G263" s="52" t="n">
        <v>1535</v>
      </c>
      <c r="H263" s="52" t="n">
        <v>1452</v>
      </c>
      <c r="I263" s="63" t="n">
        <f aca="false">IF(H263="","",G263-H263)</f>
        <v>83</v>
      </c>
      <c r="J263" s="53" t="n">
        <f aca="false">IF(OR(D263="",D263+G263=0),"",D263/(D263+G263))</f>
        <v>0.357740585774059</v>
      </c>
      <c r="K263" s="53" t="n">
        <f aca="false">IF(E263="","",E263/(E263+H263))</f>
        <v>0.392722710163112</v>
      </c>
      <c r="L263" s="64" t="n">
        <f aca="false">IF(OR(K263="",J263=""),"",(J263-K263)*100)</f>
        <v>-3.49821243890531</v>
      </c>
      <c r="M263" s="28" t="n">
        <v>2.49017287917352</v>
      </c>
      <c r="N263" s="28" t="n">
        <v>0.397844942258686</v>
      </c>
      <c r="O263" s="28" t="n">
        <f aca="false">SQRT(M263^2+N263^2)</f>
        <v>2.52175366882892</v>
      </c>
      <c r="P263" s="53" t="n">
        <f aca="false">IF(J263="","",MAX(0,J263-1.96*O263/100))</f>
        <v>0.308314213865012</v>
      </c>
      <c r="Q263" s="53" t="n">
        <f aca="false">IF(J263="","",MIN(1,J263+1.96*O263/100))</f>
        <v>0.407166957683106</v>
      </c>
      <c r="R263" s="25" t="str">
        <f aca="false">IF(L263="","",IF(ABS(L263)&lt;=O263,"Yes","No"))</f>
        <v>No</v>
      </c>
      <c r="S263" s="25" t="str">
        <f aca="false">IF(L263="","",IF(ABS(L263)&lt;=1.96*O263,"Yes","No"))</f>
        <v>Yes</v>
      </c>
      <c r="T263" s="52" t="n">
        <f aca="false">IF(D263="","",ROUND(SQRT(((D263+G263)*O263/100)^2+(J263*(D263+G263)*0.08889)^2),0))</f>
        <v>97</v>
      </c>
      <c r="U263" s="25"/>
    </row>
    <row r="264" customFormat="false" ht="15" hidden="false" customHeight="false" outlineLevel="0" collapsed="false">
      <c r="A264" s="25" t="s">
        <v>385</v>
      </c>
      <c r="B264" s="25" t="s">
        <v>436</v>
      </c>
      <c r="C264" s="25" t="s">
        <v>438</v>
      </c>
      <c r="D264" s="52" t="n">
        <v>773</v>
      </c>
      <c r="E264" s="52" t="n">
        <v>820</v>
      </c>
      <c r="F264" s="63" t="n">
        <f aca="false">IF(E264="","",D264-E264)</f>
        <v>-47</v>
      </c>
      <c r="G264" s="52" t="n">
        <v>1264</v>
      </c>
      <c r="H264" s="52" t="n">
        <v>1185</v>
      </c>
      <c r="I264" s="63" t="n">
        <f aca="false">IF(H264="","",G264-H264)</f>
        <v>79</v>
      </c>
      <c r="J264" s="53" t="n">
        <f aca="false">IF(OR(D264="",D264+G264=0),"",D264/(D264+G264))</f>
        <v>0.379479626902307</v>
      </c>
      <c r="K264" s="53" t="n">
        <f aca="false">IF(E264="","",E264/(E264+H264))</f>
        <v>0.408977556109726</v>
      </c>
      <c r="L264" s="64" t="n">
        <f aca="false">IF(OR(K264="",J264=""),"",(J264-K264)*100)</f>
        <v>-2.94979292074184</v>
      </c>
      <c r="M264" s="28" t="n">
        <v>2.49017287917352</v>
      </c>
      <c r="N264" s="28" t="n">
        <v>0.397844942258686</v>
      </c>
      <c r="O264" s="28" t="n">
        <f aca="false">SQRT(M264^2+N264^2)</f>
        <v>2.52175366882892</v>
      </c>
      <c r="P264" s="53" t="n">
        <f aca="false">IF(J264="","",MAX(0,J264-1.96*O264/100))</f>
        <v>0.33005325499326</v>
      </c>
      <c r="Q264" s="53" t="n">
        <f aca="false">IF(J264="","",MIN(1,J264+1.96*O264/100))</f>
        <v>0.428905998811354</v>
      </c>
      <c r="R264" s="25" t="str">
        <f aca="false">IF(L264="","",IF(ABS(L264)&lt;=O264,"Yes","No"))</f>
        <v>No</v>
      </c>
      <c r="S264" s="25" t="str">
        <f aca="false">IF(L264="","",IF(ABS(L264)&lt;=1.96*O264,"Yes","No"))</f>
        <v>Yes</v>
      </c>
      <c r="T264" s="52" t="n">
        <f aca="false">IF(D264="","",ROUND(SQRT(((D264+G264)*O264/100)^2+(J264*(D264+G264)*0.08889)^2),0))</f>
        <v>86</v>
      </c>
      <c r="U264" s="25"/>
    </row>
    <row r="265" customFormat="false" ht="15" hidden="false" customHeight="false" outlineLevel="0" collapsed="false">
      <c r="A265" s="25" t="s">
        <v>385</v>
      </c>
      <c r="B265" s="25" t="s">
        <v>436</v>
      </c>
      <c r="C265" s="25" t="s">
        <v>439</v>
      </c>
      <c r="D265" s="52" t="n">
        <v>399</v>
      </c>
      <c r="E265" s="52" t="n">
        <v>410</v>
      </c>
      <c r="F265" s="63" t="n">
        <f aca="false">IF(E265="","",D265-E265)</f>
        <v>-11</v>
      </c>
      <c r="G265" s="52" t="n">
        <v>788</v>
      </c>
      <c r="H265" s="52" t="n">
        <v>822</v>
      </c>
      <c r="I265" s="63" t="n">
        <f aca="false">IF(H265="","",G265-H265)</f>
        <v>-34</v>
      </c>
      <c r="J265" s="53" t="n">
        <f aca="false">IF(OR(D265="",D265+G265=0),"",D265/(D265+G265))</f>
        <v>0.336141533277169</v>
      </c>
      <c r="K265" s="53" t="n">
        <f aca="false">IF(E265="","",E265/(E265+H265))</f>
        <v>0.332792207792208</v>
      </c>
      <c r="L265" s="64" t="n">
        <f aca="false">IF(OR(K265="",J265=""),"",(J265-K265)*100)</f>
        <v>0.334932548496153</v>
      </c>
      <c r="M265" s="28" t="n">
        <v>2.42668038003648</v>
      </c>
      <c r="N265" s="28" t="n">
        <v>0.397844942258686</v>
      </c>
      <c r="O265" s="28" t="n">
        <f aca="false">SQRT(M265^2+N265^2)</f>
        <v>2.45907670985165</v>
      </c>
      <c r="P265" s="53" t="n">
        <f aca="false">IF(J265="","",MAX(0,J265-1.96*O265/100))</f>
        <v>0.287943629764077</v>
      </c>
      <c r="Q265" s="53" t="n">
        <f aca="false">IF(J265="","",MIN(1,J265+1.96*O265/100))</f>
        <v>0.384339436790262</v>
      </c>
      <c r="R265" s="25" t="str">
        <f aca="false">IF(L265="","",IF(ABS(L265)&lt;=O265,"Yes","No"))</f>
        <v>Yes</v>
      </c>
      <c r="S265" s="25" t="str">
        <f aca="false">IF(L265="","",IF(ABS(L265)&lt;=1.96*O265,"Yes","No"))</f>
        <v>Yes</v>
      </c>
      <c r="T265" s="52" t="n">
        <f aca="false">IF(D265="","",ROUND(SQRT(((D265+G265)*O265/100)^2+(J265*(D265+G265)*0.10931)^2),0))</f>
        <v>52</v>
      </c>
      <c r="U265" s="25"/>
    </row>
    <row r="266" customFormat="false" ht="15" hidden="false" customHeight="false" outlineLevel="0" collapsed="false">
      <c r="A266" s="25" t="s">
        <v>385</v>
      </c>
      <c r="B266" s="25" t="s">
        <v>440</v>
      </c>
      <c r="C266" s="25" t="s">
        <v>440</v>
      </c>
      <c r="D266" s="52" t="n">
        <v>40</v>
      </c>
      <c r="E266" s="52" t="n">
        <v>40</v>
      </c>
      <c r="F266" s="63" t="n">
        <f aca="false">IF(E266="","",D266-E266)</f>
        <v>0</v>
      </c>
      <c r="G266" s="52" t="n">
        <v>81</v>
      </c>
      <c r="H266" s="52" t="n">
        <v>83</v>
      </c>
      <c r="I266" s="63" t="n">
        <f aca="false">IF(H266="","",G266-H266)</f>
        <v>-2</v>
      </c>
      <c r="J266" s="53" t="n">
        <f aca="false">IF(OR(D266="",D266+G266=0),"",D266/(D266+G266))</f>
        <v>0.330578512396694</v>
      </c>
      <c r="K266" s="53" t="n">
        <f aca="false">IF(E266="","",E266/(E266+H266))</f>
        <v>0.32520325203252</v>
      </c>
      <c r="L266" s="64" t="n">
        <f aca="false">IF(OR(K266="",J266=""),"",(J266-K266)*100)</f>
        <v>0.537526036417391</v>
      </c>
      <c r="M266" s="28" t="n">
        <v>3.19821915242569</v>
      </c>
      <c r="N266" s="28" t="n">
        <v>0.397844942258686</v>
      </c>
      <c r="O266" s="28" t="n">
        <f aca="false">SQRT(M266^2+N266^2)</f>
        <v>3.22286927209642</v>
      </c>
      <c r="P266" s="53" t="n">
        <f aca="false">IF(J266="","",MAX(0,J266-1.96*O266/100))</f>
        <v>0.267410274663604</v>
      </c>
      <c r="Q266" s="53" t="n">
        <f aca="false">IF(J266="","",MIN(1,J266+1.96*O266/100))</f>
        <v>0.393746750129784</v>
      </c>
      <c r="R266" s="25" t="str">
        <f aca="false">IF(L266="","",IF(ABS(L266)&lt;=O266,"Yes","No"))</f>
        <v>Yes</v>
      </c>
      <c r="S266" s="25" t="str">
        <f aca="false">IF(L266="","",IF(ABS(L266)&lt;=1.96*O266,"Yes","No"))</f>
        <v>Yes</v>
      </c>
      <c r="T266" s="52" t="n">
        <f aca="false">IF(D266="","",ROUND(SQRT(((D266+G266)*O266/100)^2+(J266*(D266+G266)*0.1901)^2),0))</f>
        <v>9</v>
      </c>
      <c r="U266" s="25"/>
    </row>
    <row r="267" customFormat="false" ht="15" hidden="false" customHeight="false" outlineLevel="0" collapsed="false">
      <c r="A267" s="25" t="s">
        <v>385</v>
      </c>
      <c r="B267" s="25" t="s">
        <v>441</v>
      </c>
      <c r="C267" s="25" t="s">
        <v>442</v>
      </c>
      <c r="D267" s="52" t="n">
        <v>686</v>
      </c>
      <c r="E267" s="52" t="n">
        <v>774</v>
      </c>
      <c r="F267" s="63" t="n">
        <f aca="false">IF(E267="","",D267-E267)</f>
        <v>-88</v>
      </c>
      <c r="G267" s="52" t="n">
        <v>1049</v>
      </c>
      <c r="H267" s="52" t="n">
        <v>1032</v>
      </c>
      <c r="I267" s="63" t="n">
        <f aca="false">IF(H267="","",G267-H267)</f>
        <v>17</v>
      </c>
      <c r="J267" s="53" t="n">
        <f aca="false">IF(OR(D267="",D267+G267=0),"",D267/(D267+G267))</f>
        <v>0.395389048991354</v>
      </c>
      <c r="K267" s="53" t="n">
        <f aca="false">IF(E267="","",E267/(E267+H267))</f>
        <v>0.428571428571429</v>
      </c>
      <c r="L267" s="64" t="n">
        <f aca="false">IF(OR(K267="",J267=""),"",(J267-K267)*100)</f>
        <v>-3.31823795800741</v>
      </c>
      <c r="M267" s="28" t="n">
        <v>2.49017287917352</v>
      </c>
      <c r="N267" s="28" t="n">
        <v>0.397844942258686</v>
      </c>
      <c r="O267" s="28" t="n">
        <f aca="false">SQRT(M267^2+N267^2)</f>
        <v>2.52175366882892</v>
      </c>
      <c r="P267" s="53" t="n">
        <f aca="false">IF(J267="","",MAX(0,J267-1.96*O267/100))</f>
        <v>0.345962677082308</v>
      </c>
      <c r="Q267" s="53" t="n">
        <f aca="false">IF(J267="","",MIN(1,J267+1.96*O267/100))</f>
        <v>0.444815420900401</v>
      </c>
      <c r="R267" s="25" t="str">
        <f aca="false">IF(L267="","",IF(ABS(L267)&lt;=O267,"Yes","No"))</f>
        <v>No</v>
      </c>
      <c r="S267" s="25" t="str">
        <f aca="false">IF(L267="","",IF(ABS(L267)&lt;=1.96*O267,"Yes","No"))</f>
        <v>Yes</v>
      </c>
      <c r="T267" s="52" t="n">
        <f aca="false">IF(D267="","",ROUND(SQRT(((D267+G267)*O267/100)^2+(J267*(D267+G267)*0.08889)^2),0))</f>
        <v>75</v>
      </c>
      <c r="U267" s="25"/>
    </row>
    <row r="268" customFormat="false" ht="15" hidden="false" customHeight="false" outlineLevel="0" collapsed="false">
      <c r="A268" s="25" t="s">
        <v>385</v>
      </c>
      <c r="B268" s="25" t="s">
        <v>441</v>
      </c>
      <c r="C268" s="25" t="s">
        <v>443</v>
      </c>
      <c r="D268" s="52" t="n">
        <v>693</v>
      </c>
      <c r="E268" s="52" t="n">
        <v>710</v>
      </c>
      <c r="F268" s="63" t="n">
        <f aca="false">IF(E268="","",D268-E268)</f>
        <v>-17</v>
      </c>
      <c r="G268" s="52" t="n">
        <v>931</v>
      </c>
      <c r="H268" s="52" t="n">
        <v>927</v>
      </c>
      <c r="I268" s="63" t="n">
        <f aca="false">IF(H268="","",G268-H268)</f>
        <v>4</v>
      </c>
      <c r="J268" s="53" t="n">
        <f aca="false">IF(OR(D268="",D268+G268=0),"",D268/(D268+G268))</f>
        <v>0.426724137931035</v>
      </c>
      <c r="K268" s="53" t="n">
        <f aca="false">IF(E268="","",E268/(E268+H268))</f>
        <v>0.433720219914478</v>
      </c>
      <c r="L268" s="64" t="n">
        <f aca="false">IF(OR(K268="",J268=""),"",(J268-K268)*100)</f>
        <v>-0.69960819834432</v>
      </c>
      <c r="M268" s="28" t="n">
        <v>2.49017287917352</v>
      </c>
      <c r="N268" s="28" t="n">
        <v>0.397844942258686</v>
      </c>
      <c r="O268" s="28" t="n">
        <f aca="false">SQRT(M268^2+N268^2)</f>
        <v>2.52175366882892</v>
      </c>
      <c r="P268" s="53" t="n">
        <f aca="false">IF(J268="","",MAX(0,J268-1.96*O268/100))</f>
        <v>0.377297766021988</v>
      </c>
      <c r="Q268" s="53" t="n">
        <f aca="false">IF(J268="","",MIN(1,J268+1.96*O268/100))</f>
        <v>0.476150509840081</v>
      </c>
      <c r="R268" s="25" t="str">
        <f aca="false">IF(L268="","",IF(ABS(L268)&lt;=O268,"Yes","No"))</f>
        <v>Yes</v>
      </c>
      <c r="S268" s="25" t="str">
        <f aca="false">IF(L268="","",IF(ABS(L268)&lt;=1.96*O268,"Yes","No"))</f>
        <v>Yes</v>
      </c>
      <c r="T268" s="52" t="n">
        <f aca="false">IF(D268="","",ROUND(SQRT(((D268+G268)*O268/100)^2+(J268*(D268+G268)*0.08889)^2),0))</f>
        <v>74</v>
      </c>
      <c r="U268" s="25"/>
    </row>
    <row r="269" customFormat="false" ht="15" hidden="false" customHeight="false" outlineLevel="0" collapsed="false">
      <c r="A269" s="25" t="s">
        <v>385</v>
      </c>
      <c r="B269" s="25" t="s">
        <v>444</v>
      </c>
      <c r="C269" s="25" t="s">
        <v>444</v>
      </c>
      <c r="D269" s="52" t="n">
        <v>183</v>
      </c>
      <c r="E269" s="52" t="n">
        <v>217</v>
      </c>
      <c r="F269" s="63" t="n">
        <f aca="false">IF(E269="","",D269-E269)</f>
        <v>-34</v>
      </c>
      <c r="G269" s="52" t="n">
        <v>328</v>
      </c>
      <c r="H269" s="52" t="n">
        <v>309</v>
      </c>
      <c r="I269" s="63" t="n">
        <f aca="false">IF(H269="","",G269-H269)</f>
        <v>19</v>
      </c>
      <c r="J269" s="53" t="n">
        <f aca="false">IF(OR(D269="",D269+G269=0),"",D269/(D269+G269))</f>
        <v>0.35812133072407</v>
      </c>
      <c r="K269" s="53" t="n">
        <f aca="false">IF(E269="","",E269/(E269+H269))</f>
        <v>0.41254752851711</v>
      </c>
      <c r="L269" s="64" t="n">
        <f aca="false">IF(OR(K269="",J269=""),"",(J269-K269)*100)</f>
        <v>-5.44261977930398</v>
      </c>
      <c r="M269" s="28" t="n">
        <v>3.19821915242569</v>
      </c>
      <c r="N269" s="28" t="n">
        <v>0.397844942258686</v>
      </c>
      <c r="O269" s="28" t="n">
        <f aca="false">SQRT(M269^2+N269^2)</f>
        <v>3.22286927209642</v>
      </c>
      <c r="P269" s="53" t="n">
        <f aca="false">IF(J269="","",MAX(0,J269-1.96*O269/100))</f>
        <v>0.294953092990981</v>
      </c>
      <c r="Q269" s="53" t="n">
        <f aca="false">IF(J269="","",MIN(1,J269+1.96*O269/100))</f>
        <v>0.42128956845716</v>
      </c>
      <c r="R269" s="25" t="str">
        <f aca="false">IF(L269="","",IF(ABS(L269)&lt;=O269,"Yes","No"))</f>
        <v>No</v>
      </c>
      <c r="S269" s="25" t="str">
        <f aca="false">IF(L269="","",IF(ABS(L269)&lt;=1.96*O269,"Yes","No"))</f>
        <v>Yes</v>
      </c>
      <c r="T269" s="52" t="n">
        <f aca="false">IF(D269="","",ROUND(SQRT(((D269+G269)*O269/100)^2+(J269*(D269+G269)*0.1901)^2),0))</f>
        <v>38</v>
      </c>
      <c r="U269" s="25"/>
    </row>
    <row r="270" customFormat="false" ht="15" hidden="false" customHeight="false" outlineLevel="0" collapsed="false">
      <c r="A270" s="25" t="s">
        <v>385</v>
      </c>
      <c r="B270" s="25" t="s">
        <v>445</v>
      </c>
      <c r="C270" s="25" t="s">
        <v>446</v>
      </c>
      <c r="D270" s="52" t="n">
        <v>307</v>
      </c>
      <c r="E270" s="52"/>
      <c r="F270" s="63" t="str">
        <f aca="false">IF(E270="","",D270-E270)</f>
        <v/>
      </c>
      <c r="G270" s="52" t="n">
        <v>134</v>
      </c>
      <c r="H270" s="52"/>
      <c r="I270" s="63" t="str">
        <f aca="false">IF(H270="","",G270-H270)</f>
        <v/>
      </c>
      <c r="J270" s="53" t="n">
        <f aca="false">IF(OR(D270="",D270+G270=0),"",D270/(D270+G270))</f>
        <v>0.696145124716553</v>
      </c>
      <c r="K270" s="53" t="str">
        <f aca="false">IF(E270="","",E270/(E270+H270))</f>
        <v/>
      </c>
      <c r="L270" s="64" t="str">
        <f aca="false">IF(OR(K270="",J270=""),"",(J270-K270)*100)</f>
        <v/>
      </c>
      <c r="M270" s="28" t="n">
        <v>3.19821915242569</v>
      </c>
      <c r="N270" s="28" t="n">
        <v>0.397844942258686</v>
      </c>
      <c r="O270" s="28" t="n">
        <f aca="false">SQRT(M270^2+N270^2)</f>
        <v>3.22286927209642</v>
      </c>
      <c r="P270" s="53" t="n">
        <f aca="false">IF(J270="","",MAX(0,J270-1.96*O270/100))</f>
        <v>0.632976886983463</v>
      </c>
      <c r="Q270" s="53" t="n">
        <f aca="false">IF(J270="","",MIN(1,J270+1.96*O270/100))</f>
        <v>0.759313362449643</v>
      </c>
      <c r="R270" s="25" t="str">
        <f aca="false">IF(L270="","",IF(ABS(L270)&lt;=O270,"Yes","No"))</f>
        <v/>
      </c>
      <c r="S270" s="25" t="str">
        <f aca="false">IF(L270="","",IF(ABS(L270)&lt;=1.96*O270,"Yes","No"))</f>
        <v/>
      </c>
      <c r="T270" s="52" t="n">
        <f aca="false">IF(D270="","",ROUND(SQRT(((D270+G270)*O270/100)^2+(J270*(D270+G270)*0.1901)^2),0))</f>
        <v>60</v>
      </c>
      <c r="U270" s="25" t="s">
        <v>702</v>
      </c>
    </row>
    <row r="271" customFormat="false" ht="15" hidden="false" customHeight="false" outlineLevel="0" collapsed="false">
      <c r="A271" s="25" t="s">
        <v>385</v>
      </c>
      <c r="B271" s="25" t="s">
        <v>445</v>
      </c>
      <c r="C271" s="25" t="s">
        <v>447</v>
      </c>
      <c r="D271" s="52" t="n">
        <v>497</v>
      </c>
      <c r="E271" s="52"/>
      <c r="F271" s="63" t="str">
        <f aca="false">IF(E271="","",D271-E271)</f>
        <v/>
      </c>
      <c r="G271" s="52" t="n">
        <v>203</v>
      </c>
      <c r="H271" s="52"/>
      <c r="I271" s="63" t="str">
        <f aca="false">IF(H271="","",G271-H271)</f>
        <v/>
      </c>
      <c r="J271" s="53" t="n">
        <f aca="false">IF(OR(D271="",D271+G271=0),"",D271/(D271+G271))</f>
        <v>0.71</v>
      </c>
      <c r="K271" s="53" t="str">
        <f aca="false">IF(E271="","",E271/(E271+H271))</f>
        <v/>
      </c>
      <c r="L271" s="64" t="str">
        <f aca="false">IF(OR(K271="",J271=""),"",(J271-K271)*100)</f>
        <v/>
      </c>
      <c r="M271" s="28" t="n">
        <v>3.19821915242569</v>
      </c>
      <c r="N271" s="28" t="n">
        <v>0.397844942258686</v>
      </c>
      <c r="O271" s="28" t="n">
        <f aca="false">SQRT(M271^2+N271^2)</f>
        <v>3.22286927209642</v>
      </c>
      <c r="P271" s="53" t="n">
        <f aca="false">IF(J271="","",MAX(0,J271-1.96*O271/100))</f>
        <v>0.64683176226691</v>
      </c>
      <c r="Q271" s="53" t="n">
        <f aca="false">IF(J271="","",MIN(1,J271+1.96*O271/100))</f>
        <v>0.77316823773309</v>
      </c>
      <c r="R271" s="25" t="str">
        <f aca="false">IF(L271="","",IF(ABS(L271)&lt;=O271,"Yes","No"))</f>
        <v/>
      </c>
      <c r="S271" s="25" t="str">
        <f aca="false">IF(L271="","",IF(ABS(L271)&lt;=1.96*O271,"Yes","No"))</f>
        <v/>
      </c>
      <c r="T271" s="52" t="n">
        <f aca="false">IF(D271="","",ROUND(SQRT(((D271+G271)*O271/100)^2+(J271*(D271+G271)*0.1901)^2),0))</f>
        <v>97</v>
      </c>
      <c r="U271" s="25" t="s">
        <v>702</v>
      </c>
    </row>
    <row r="272" customFormat="false" ht="15" hidden="false" customHeight="false" outlineLevel="0" collapsed="false">
      <c r="A272" s="25" t="s">
        <v>385</v>
      </c>
      <c r="B272" s="25" t="s">
        <v>445</v>
      </c>
      <c r="C272" s="25" t="s">
        <v>448</v>
      </c>
      <c r="D272" s="52" t="n">
        <v>460</v>
      </c>
      <c r="E272" s="52" t="n">
        <v>492</v>
      </c>
      <c r="F272" s="63" t="n">
        <f aca="false">IF(E272="","",D272-E272)</f>
        <v>-32</v>
      </c>
      <c r="G272" s="52" t="n">
        <v>176</v>
      </c>
      <c r="H272" s="52" t="n">
        <v>197</v>
      </c>
      <c r="I272" s="63" t="n">
        <f aca="false">IF(H272="","",G272-H272)</f>
        <v>-21</v>
      </c>
      <c r="J272" s="53" t="n">
        <f aca="false">IF(OR(D272="",D272+G272=0),"",D272/(D272+G272))</f>
        <v>0.723270440251572</v>
      </c>
      <c r="K272" s="53" t="n">
        <f aca="false">IF(E272="","",E272/(E272+H272))</f>
        <v>0.714078374455733</v>
      </c>
      <c r="L272" s="64" t="n">
        <f aca="false">IF(OR(K272="",J272=""),"",(J272-K272)*100)</f>
        <v>0.919206579583931</v>
      </c>
      <c r="M272" s="28" t="n">
        <v>3.19821915242569</v>
      </c>
      <c r="N272" s="28" t="n">
        <v>0.397844942258686</v>
      </c>
      <c r="O272" s="28" t="n">
        <f aca="false">SQRT(M272^2+N272^2)</f>
        <v>3.22286927209642</v>
      </c>
      <c r="P272" s="53" t="n">
        <f aca="false">IF(J272="","",MAX(0,J272-1.96*O272/100))</f>
        <v>0.660102202518482</v>
      </c>
      <c r="Q272" s="53" t="n">
        <f aca="false">IF(J272="","",MIN(1,J272+1.96*O272/100))</f>
        <v>0.786438677984662</v>
      </c>
      <c r="R272" s="25" t="str">
        <f aca="false">IF(L272="","",IF(ABS(L272)&lt;=O272,"Yes","No"))</f>
        <v>Yes</v>
      </c>
      <c r="S272" s="25" t="str">
        <f aca="false">IF(L272="","",IF(ABS(L272)&lt;=1.96*O272,"Yes","No"))</f>
        <v>Yes</v>
      </c>
      <c r="T272" s="52" t="n">
        <f aca="false">IF(D272="","",ROUND(SQRT(((D272+G272)*O272/100)^2+(J272*(D272+G272)*0.1901)^2),0))</f>
        <v>90</v>
      </c>
      <c r="U272" s="25"/>
    </row>
    <row r="273" customFormat="false" ht="15" hidden="false" customHeight="false" outlineLevel="0" collapsed="false">
      <c r="A273" s="25" t="s">
        <v>385</v>
      </c>
      <c r="B273" s="25" t="s">
        <v>445</v>
      </c>
      <c r="C273" s="25" t="s">
        <v>449</v>
      </c>
      <c r="D273" s="52" t="n">
        <v>705</v>
      </c>
      <c r="E273" s="52" t="n">
        <v>743</v>
      </c>
      <c r="F273" s="63" t="n">
        <f aca="false">IF(E273="","",D273-E273)</f>
        <v>-38</v>
      </c>
      <c r="G273" s="52" t="n">
        <v>270</v>
      </c>
      <c r="H273" s="52" t="n">
        <v>265</v>
      </c>
      <c r="I273" s="63" t="n">
        <f aca="false">IF(H273="","",G273-H273)</f>
        <v>5</v>
      </c>
      <c r="J273" s="53" t="n">
        <f aca="false">IF(OR(D273="",D273+G273=0),"",D273/(D273+G273))</f>
        <v>0.723076923076923</v>
      </c>
      <c r="K273" s="53" t="n">
        <f aca="false">IF(E273="","",E273/(E273+H273))</f>
        <v>0.737103174603175</v>
      </c>
      <c r="L273" s="64" t="n">
        <f aca="false">IF(OR(K273="",J273=""),"",(J273-K273)*100)</f>
        <v>-1.40262515262516</v>
      </c>
      <c r="M273" s="28" t="n">
        <v>2.42668038003648</v>
      </c>
      <c r="N273" s="28" t="n">
        <v>0.397844942258686</v>
      </c>
      <c r="O273" s="28" t="n">
        <f aca="false">SQRT(M273^2+N273^2)</f>
        <v>2.45907670985165</v>
      </c>
      <c r="P273" s="53" t="n">
        <f aca="false">IF(J273="","",MAX(0,J273-1.96*O273/100))</f>
        <v>0.674879019563831</v>
      </c>
      <c r="Q273" s="53" t="n">
        <f aca="false">IF(J273="","",MIN(1,J273+1.96*O273/100))</f>
        <v>0.771274826590015</v>
      </c>
      <c r="R273" s="25" t="str">
        <f aca="false">IF(L273="","",IF(ABS(L273)&lt;=O273,"Yes","No"))</f>
        <v>Yes</v>
      </c>
      <c r="S273" s="25" t="str">
        <f aca="false">IF(L273="","",IF(ABS(L273)&lt;=1.96*O273,"Yes","No"))</f>
        <v>Yes</v>
      </c>
      <c r="T273" s="52" t="n">
        <f aca="false">IF(D273="","",ROUND(SQRT(((D273+G273)*O273/100)^2+(J273*(D273+G273)*0.10931)^2),0))</f>
        <v>81</v>
      </c>
      <c r="U273" s="25"/>
    </row>
    <row r="274" customFormat="false" ht="15" hidden="false" customHeight="false" outlineLevel="0" collapsed="false">
      <c r="A274" s="25" t="s">
        <v>385</v>
      </c>
      <c r="B274" s="25" t="s">
        <v>445</v>
      </c>
      <c r="C274" s="25" t="s">
        <v>450</v>
      </c>
      <c r="D274" s="52" t="n">
        <v>631</v>
      </c>
      <c r="E274" s="52" t="n">
        <v>1109</v>
      </c>
      <c r="F274" s="63" t="n">
        <f aca="false">IF(E274="","",D274-E274)</f>
        <v>-478</v>
      </c>
      <c r="G274" s="52" t="n">
        <v>192</v>
      </c>
      <c r="H274" s="52" t="n">
        <v>290</v>
      </c>
      <c r="I274" s="63" t="n">
        <f aca="false">IF(H274="","",G274-H274)</f>
        <v>-98</v>
      </c>
      <c r="J274" s="53" t="n">
        <f aca="false">IF(OR(D274="",D274+G274=0),"",D274/(D274+G274))</f>
        <v>0.766707168894289</v>
      </c>
      <c r="K274" s="53" t="n">
        <f aca="false">IF(E274="","",E274/(E274+H274))</f>
        <v>0.792709077912795</v>
      </c>
      <c r="L274" s="64" t="n">
        <f aca="false">IF(OR(K274="",J274=""),"",(J274-K274)*100)</f>
        <v>-2.60019090185057</v>
      </c>
      <c r="M274" s="28" t="n">
        <v>2.42668038003648</v>
      </c>
      <c r="N274" s="28" t="n">
        <v>0.397844942258686</v>
      </c>
      <c r="O274" s="28" t="n">
        <f aca="false">SQRT(M274^2+N274^2)</f>
        <v>2.45907670985165</v>
      </c>
      <c r="P274" s="53" t="n">
        <f aca="false">IF(J274="","",MAX(0,J274-1.96*O274/100))</f>
        <v>0.718509265381197</v>
      </c>
      <c r="Q274" s="53" t="n">
        <f aca="false">IF(J274="","",MIN(1,J274+1.96*O274/100))</f>
        <v>0.814905072407382</v>
      </c>
      <c r="R274" s="25" t="str">
        <f aca="false">IF(L274="","",IF(ABS(L274)&lt;=O274,"Yes","No"))</f>
        <v>No</v>
      </c>
      <c r="S274" s="25" t="str">
        <f aca="false">IF(L274="","",IF(ABS(L274)&lt;=1.96*O274,"Yes","No"))</f>
        <v>Yes</v>
      </c>
      <c r="T274" s="52" t="n">
        <f aca="false">IF(D274="","",ROUND(SQRT(((D274+G274)*O274/100)^2+(J274*(D274+G274)*0.10931)^2),0))</f>
        <v>72</v>
      </c>
      <c r="U274" s="25"/>
    </row>
    <row r="275" customFormat="false" ht="15" hidden="false" customHeight="false" outlineLevel="0" collapsed="false">
      <c r="A275" s="25" t="s">
        <v>385</v>
      </c>
      <c r="B275" s="25" t="s">
        <v>445</v>
      </c>
      <c r="C275" s="25" t="s">
        <v>451</v>
      </c>
      <c r="D275" s="52" t="n">
        <v>606</v>
      </c>
      <c r="E275" s="52" t="n">
        <v>566</v>
      </c>
      <c r="F275" s="63" t="n">
        <f aca="false">IF(E275="","",D275-E275)</f>
        <v>40</v>
      </c>
      <c r="G275" s="52" t="n">
        <v>241</v>
      </c>
      <c r="H275" s="52" t="n">
        <v>257</v>
      </c>
      <c r="I275" s="63" t="n">
        <f aca="false">IF(H275="","",G275-H275)</f>
        <v>-16</v>
      </c>
      <c r="J275" s="53" t="n">
        <f aca="false">IF(OR(D275="",D275+G275=0),"",D275/(D275+G275))</f>
        <v>0.715466351829988</v>
      </c>
      <c r="K275" s="53" t="n">
        <f aca="false">IF(E275="","",E275/(E275+H275))</f>
        <v>0.687727825030377</v>
      </c>
      <c r="L275" s="64" t="n">
        <f aca="false">IF(OR(K275="",J275=""),"",(J275-K275)*100)</f>
        <v>2.77385267996115</v>
      </c>
      <c r="M275" s="28" t="n">
        <v>2.42668038003648</v>
      </c>
      <c r="N275" s="28" t="n">
        <v>0.397844942258686</v>
      </c>
      <c r="O275" s="28" t="n">
        <f aca="false">SQRT(M275^2+N275^2)</f>
        <v>2.45907670985165</v>
      </c>
      <c r="P275" s="53" t="n">
        <f aca="false">IF(J275="","",MAX(0,J275-1.96*O275/100))</f>
        <v>0.667268448316896</v>
      </c>
      <c r="Q275" s="53" t="n">
        <f aca="false">IF(J275="","",MIN(1,J275+1.96*O275/100))</f>
        <v>0.763664255343081</v>
      </c>
      <c r="R275" s="25" t="str">
        <f aca="false">IF(L275="","",IF(ABS(L275)&lt;=O275,"Yes","No"))</f>
        <v>No</v>
      </c>
      <c r="S275" s="25" t="str">
        <f aca="false">IF(L275="","",IF(ABS(L275)&lt;=1.96*O275,"Yes","No"))</f>
        <v>Yes</v>
      </c>
      <c r="T275" s="52" t="n">
        <f aca="false">IF(D275="","",ROUND(SQRT(((D275+G275)*O275/100)^2+(J275*(D275+G275)*0.10931)^2),0))</f>
        <v>69</v>
      </c>
      <c r="U275" s="25"/>
    </row>
    <row r="276" customFormat="false" ht="15" hidden="false" customHeight="false" outlineLevel="0" collapsed="false">
      <c r="A276" s="25" t="s">
        <v>385</v>
      </c>
      <c r="B276" s="25" t="s">
        <v>445</v>
      </c>
      <c r="C276" s="25" t="s">
        <v>452</v>
      </c>
      <c r="D276" s="52" t="n">
        <v>513</v>
      </c>
      <c r="E276" s="52" t="n">
        <v>517</v>
      </c>
      <c r="F276" s="63" t="n">
        <f aca="false">IF(E276="","",D276-E276)</f>
        <v>-4</v>
      </c>
      <c r="G276" s="52" t="n">
        <v>265</v>
      </c>
      <c r="H276" s="52" t="n">
        <v>265</v>
      </c>
      <c r="I276" s="63" t="n">
        <f aca="false">IF(H276="","",G276-H276)</f>
        <v>0</v>
      </c>
      <c r="J276" s="53" t="n">
        <f aca="false">IF(OR(D276="",D276+G276=0),"",D276/(D276+G276))</f>
        <v>0.659383033419023</v>
      </c>
      <c r="K276" s="53" t="n">
        <f aca="false">IF(E276="","",E276/(E276+H276))</f>
        <v>0.661125319693095</v>
      </c>
      <c r="L276" s="64" t="n">
        <f aca="false">IF(OR(K276="",J276=""),"",(J276-K276)*100)</f>
        <v>-0.174228627407147</v>
      </c>
      <c r="M276" s="28" t="n">
        <v>2.42668038003648</v>
      </c>
      <c r="N276" s="28" t="n">
        <v>0.397844942258686</v>
      </c>
      <c r="O276" s="28" t="n">
        <f aca="false">SQRT(M276^2+N276^2)</f>
        <v>2.45907670985165</v>
      </c>
      <c r="P276" s="53" t="n">
        <f aca="false">IF(J276="","",MAX(0,J276-1.96*O276/100))</f>
        <v>0.611185129905931</v>
      </c>
      <c r="Q276" s="53" t="n">
        <f aca="false">IF(J276="","",MIN(1,J276+1.96*O276/100))</f>
        <v>0.707580936932116</v>
      </c>
      <c r="R276" s="25" t="str">
        <f aca="false">IF(L276="","",IF(ABS(L276)&lt;=O276,"Yes","No"))</f>
        <v>Yes</v>
      </c>
      <c r="S276" s="25" t="str">
        <f aca="false">IF(L276="","",IF(ABS(L276)&lt;=1.96*O276,"Yes","No"))</f>
        <v>Yes</v>
      </c>
      <c r="T276" s="52" t="n">
        <f aca="false">IF(D276="","",ROUND(SQRT(((D276+G276)*O276/100)^2+(J276*(D276+G276)*0.10931)^2),0))</f>
        <v>59</v>
      </c>
      <c r="U276" s="25"/>
    </row>
    <row r="277" customFormat="false" ht="15" hidden="false" customHeight="false" outlineLevel="0" collapsed="false">
      <c r="A277" s="25" t="s">
        <v>385</v>
      </c>
      <c r="B277" s="25" t="s">
        <v>445</v>
      </c>
      <c r="C277" s="25" t="s">
        <v>453</v>
      </c>
      <c r="D277" s="52" t="n">
        <v>214</v>
      </c>
      <c r="E277" s="52" t="n">
        <v>233</v>
      </c>
      <c r="F277" s="63" t="n">
        <f aca="false">IF(E277="","",D277-E277)</f>
        <v>-19</v>
      </c>
      <c r="G277" s="52" t="n">
        <v>88</v>
      </c>
      <c r="H277" s="52" t="n">
        <v>84</v>
      </c>
      <c r="I277" s="63" t="n">
        <f aca="false">IF(H277="","",G277-H277)</f>
        <v>4</v>
      </c>
      <c r="J277" s="53" t="n">
        <f aca="false">IF(OR(D277="",D277+G277=0),"",D277/(D277+G277))</f>
        <v>0.708609271523179</v>
      </c>
      <c r="K277" s="53" t="n">
        <f aca="false">IF(E277="","",E277/(E277+H277))</f>
        <v>0.735015772870662</v>
      </c>
      <c r="L277" s="64" t="n">
        <f aca="false">IF(OR(K277="",J277=""),"",(J277-K277)*100)</f>
        <v>-2.64065013474837</v>
      </c>
      <c r="M277" s="28" t="n">
        <v>3.19821915242569</v>
      </c>
      <c r="N277" s="28" t="n">
        <v>0.397844942258686</v>
      </c>
      <c r="O277" s="28" t="n">
        <f aca="false">SQRT(M277^2+N277^2)</f>
        <v>3.22286927209642</v>
      </c>
      <c r="P277" s="53" t="n">
        <f aca="false">IF(J277="","",MAX(0,J277-1.96*O277/100))</f>
        <v>0.645441033790089</v>
      </c>
      <c r="Q277" s="53" t="n">
        <f aca="false">IF(J277="","",MIN(1,J277+1.96*O277/100))</f>
        <v>0.771777509256269</v>
      </c>
      <c r="R277" s="25" t="str">
        <f aca="false">IF(L277="","",IF(ABS(L277)&lt;=O277,"Yes","No"))</f>
        <v>Yes</v>
      </c>
      <c r="S277" s="25" t="str">
        <f aca="false">IF(L277="","",IF(ABS(L277)&lt;=1.96*O277,"Yes","No"))</f>
        <v>Yes</v>
      </c>
      <c r="T277" s="52" t="n">
        <f aca="false">IF(D277="","",ROUND(SQRT(((D277+G277)*O277/100)^2+(J277*(D277+G277)*0.1901)^2),0))</f>
        <v>42</v>
      </c>
      <c r="U277" s="25"/>
    </row>
    <row r="278" customFormat="false" ht="15" hidden="false" customHeight="false" outlineLevel="0" collapsed="false">
      <c r="A278" s="25" t="s">
        <v>385</v>
      </c>
      <c r="B278" s="25" t="s">
        <v>445</v>
      </c>
      <c r="C278" s="25" t="s">
        <v>454</v>
      </c>
      <c r="D278" s="52" t="n">
        <v>363</v>
      </c>
      <c r="E278" s="52" t="n">
        <v>391</v>
      </c>
      <c r="F278" s="63" t="n">
        <f aca="false">IF(E278="","",D278-E278)</f>
        <v>-28</v>
      </c>
      <c r="G278" s="52" t="n">
        <v>133</v>
      </c>
      <c r="H278" s="52" t="n">
        <v>126</v>
      </c>
      <c r="I278" s="63" t="n">
        <f aca="false">IF(H278="","",G278-H278)</f>
        <v>7</v>
      </c>
      <c r="J278" s="53" t="n">
        <f aca="false">IF(OR(D278="",D278+G278=0),"",D278/(D278+G278))</f>
        <v>0.731854838709677</v>
      </c>
      <c r="K278" s="53" t="n">
        <f aca="false">IF(E278="","",E278/(E278+H278))</f>
        <v>0.756286266924565</v>
      </c>
      <c r="L278" s="64" t="n">
        <f aca="false">IF(OR(K278="",J278=""),"",(J278-K278)*100)</f>
        <v>-2.44314282148874</v>
      </c>
      <c r="M278" s="28" t="n">
        <v>3.19821915242569</v>
      </c>
      <c r="N278" s="28" t="n">
        <v>0.397844942258686</v>
      </c>
      <c r="O278" s="28" t="n">
        <f aca="false">SQRT(M278^2+N278^2)</f>
        <v>3.22286927209642</v>
      </c>
      <c r="P278" s="53" t="n">
        <f aca="false">IF(J278="","",MAX(0,J278-1.96*O278/100))</f>
        <v>0.668686600976588</v>
      </c>
      <c r="Q278" s="53" t="n">
        <f aca="false">IF(J278="","",MIN(1,J278+1.96*O278/100))</f>
        <v>0.795023076442767</v>
      </c>
      <c r="R278" s="25" t="str">
        <f aca="false">IF(L278="","",IF(ABS(L278)&lt;=O278,"Yes","No"))</f>
        <v>Yes</v>
      </c>
      <c r="S278" s="25" t="str">
        <f aca="false">IF(L278="","",IF(ABS(L278)&lt;=1.96*O278,"Yes","No"))</f>
        <v>Yes</v>
      </c>
      <c r="T278" s="52" t="n">
        <f aca="false">IF(D278="","",ROUND(SQRT(((D278+G278)*O278/100)^2+(J278*(D278+G278)*0.1901)^2),0))</f>
        <v>71</v>
      </c>
      <c r="U278" s="25"/>
    </row>
    <row r="279" customFormat="false" ht="15" hidden="false" customHeight="false" outlineLevel="0" collapsed="false">
      <c r="A279" s="25" t="s">
        <v>385</v>
      </c>
      <c r="B279" s="25" t="s">
        <v>445</v>
      </c>
      <c r="C279" s="25" t="s">
        <v>455</v>
      </c>
      <c r="D279" s="52" t="n">
        <v>418</v>
      </c>
      <c r="E279" s="52" t="n">
        <v>381</v>
      </c>
      <c r="F279" s="63" t="n">
        <f aca="false">IF(E279="","",D279-E279)</f>
        <v>37</v>
      </c>
      <c r="G279" s="52" t="n">
        <v>154</v>
      </c>
      <c r="H279" s="52" t="n">
        <v>184</v>
      </c>
      <c r="I279" s="63" t="n">
        <f aca="false">IF(H279="","",G279-H279)</f>
        <v>-30</v>
      </c>
      <c r="J279" s="53" t="n">
        <f aca="false">IF(OR(D279="",D279+G279=0),"",D279/(D279+G279))</f>
        <v>0.730769230769231</v>
      </c>
      <c r="K279" s="53" t="n">
        <f aca="false">IF(E279="","",E279/(E279+H279))</f>
        <v>0.674336283185841</v>
      </c>
      <c r="L279" s="64" t="n">
        <f aca="false">IF(OR(K279="",J279=""),"",(J279-K279)*100)</f>
        <v>5.643294758339</v>
      </c>
      <c r="M279" s="28" t="n">
        <v>3.19821915242569</v>
      </c>
      <c r="N279" s="28" t="n">
        <v>0.397844942258686</v>
      </c>
      <c r="O279" s="28" t="n">
        <f aca="false">SQRT(M279^2+N279^2)</f>
        <v>3.22286927209642</v>
      </c>
      <c r="P279" s="53" t="n">
        <f aca="false">IF(J279="","",MAX(0,J279-1.96*O279/100))</f>
        <v>0.667600993036141</v>
      </c>
      <c r="Q279" s="53" t="n">
        <f aca="false">IF(J279="","",MIN(1,J279+1.96*O279/100))</f>
        <v>0.793937468502321</v>
      </c>
      <c r="R279" s="25" t="str">
        <f aca="false">IF(L279="","",IF(ABS(L279)&lt;=O279,"Yes","No"))</f>
        <v>No</v>
      </c>
      <c r="S279" s="25" t="str">
        <f aca="false">IF(L279="","",IF(ABS(L279)&lt;=1.96*O279,"Yes","No"))</f>
        <v>Yes</v>
      </c>
      <c r="T279" s="52" t="n">
        <f aca="false">IF(D279="","",ROUND(SQRT(((D279+G279)*O279/100)^2+(J279*(D279+G279)*0.1901)^2),0))</f>
        <v>82</v>
      </c>
      <c r="U279" s="25"/>
    </row>
    <row r="280" customFormat="false" ht="15" hidden="false" customHeight="false" outlineLevel="0" collapsed="false">
      <c r="A280" s="25" t="s">
        <v>385</v>
      </c>
      <c r="B280" s="25" t="s">
        <v>445</v>
      </c>
      <c r="C280" s="25" t="s">
        <v>456</v>
      </c>
      <c r="D280" s="52" t="n">
        <v>436</v>
      </c>
      <c r="E280" s="52"/>
      <c r="F280" s="63" t="str">
        <f aca="false">IF(E280="","",D280-E280)</f>
        <v/>
      </c>
      <c r="G280" s="52" t="n">
        <v>187</v>
      </c>
      <c r="H280" s="52"/>
      <c r="I280" s="63" t="str">
        <f aca="false">IF(H280="","",G280-H280)</f>
        <v/>
      </c>
      <c r="J280" s="53" t="n">
        <f aca="false">IF(OR(D280="",D280+G280=0),"",D280/(D280+G280))</f>
        <v>0.69983948635634</v>
      </c>
      <c r="K280" s="53" t="str">
        <f aca="false">IF(E280="","",E280/(E280+H280))</f>
        <v/>
      </c>
      <c r="L280" s="64" t="str">
        <f aca="false">IF(OR(K280="",J280=""),"",(J280-K280)*100)</f>
        <v/>
      </c>
      <c r="M280" s="28" t="n">
        <v>3.19821915242569</v>
      </c>
      <c r="N280" s="28" t="n">
        <v>0.397844942258686</v>
      </c>
      <c r="O280" s="28" t="n">
        <f aca="false">SQRT(M280^2+N280^2)</f>
        <v>3.22286927209642</v>
      </c>
      <c r="P280" s="53" t="n">
        <f aca="false">IF(J280="","",MAX(0,J280-1.96*O280/100))</f>
        <v>0.63667124862325</v>
      </c>
      <c r="Q280" s="53" t="n">
        <f aca="false">IF(J280="","",MIN(1,J280+1.96*O280/100))</f>
        <v>0.76300772408943</v>
      </c>
      <c r="R280" s="25" t="str">
        <f aca="false">IF(L280="","",IF(ABS(L280)&lt;=O280,"Yes","No"))</f>
        <v/>
      </c>
      <c r="S280" s="25" t="str">
        <f aca="false">IF(L280="","",IF(ABS(L280)&lt;=1.96*O280,"Yes","No"))</f>
        <v/>
      </c>
      <c r="T280" s="52" t="n">
        <f aca="false">IF(D280="","",ROUND(SQRT(((D280+G280)*O280/100)^2+(J280*(D280+G280)*0.1901)^2),0))</f>
        <v>85</v>
      </c>
      <c r="U280" s="25" t="s">
        <v>702</v>
      </c>
    </row>
    <row r="281" customFormat="false" ht="15" hidden="false" customHeight="false" outlineLevel="0" collapsed="false">
      <c r="A281" s="25" t="s">
        <v>385</v>
      </c>
      <c r="B281" s="25" t="s">
        <v>445</v>
      </c>
      <c r="C281" s="25" t="s">
        <v>457</v>
      </c>
      <c r="D281" s="52" t="n">
        <v>966</v>
      </c>
      <c r="E281" s="52" t="n">
        <v>912</v>
      </c>
      <c r="F281" s="63" t="n">
        <f aca="false">IF(E281="","",D281-E281)</f>
        <v>54</v>
      </c>
      <c r="G281" s="52" t="n">
        <v>420</v>
      </c>
      <c r="H281" s="52" t="n">
        <v>445</v>
      </c>
      <c r="I281" s="63" t="n">
        <f aca="false">IF(H281="","",G281-H281)</f>
        <v>-25</v>
      </c>
      <c r="J281" s="53" t="n">
        <f aca="false">IF(OR(D281="",D281+G281=0),"",D281/(D281+G281))</f>
        <v>0.696969696969697</v>
      </c>
      <c r="K281" s="53" t="n">
        <f aca="false">IF(E281="","",E281/(E281+H281))</f>
        <v>0.672070744288873</v>
      </c>
      <c r="L281" s="64" t="n">
        <f aca="false">IF(OR(K281="",J281=""),"",(J281-K281)*100)</f>
        <v>2.48989526808245</v>
      </c>
      <c r="M281" s="28" t="n">
        <v>2.49017287917352</v>
      </c>
      <c r="N281" s="28" t="n">
        <v>0.397844942258686</v>
      </c>
      <c r="O281" s="28" t="n">
        <f aca="false">SQRT(M281^2+N281^2)</f>
        <v>2.52175366882892</v>
      </c>
      <c r="P281" s="53" t="n">
        <f aca="false">IF(J281="","",MAX(0,J281-1.96*O281/100))</f>
        <v>0.64754332506065</v>
      </c>
      <c r="Q281" s="53" t="n">
        <f aca="false">IF(J281="","",MIN(1,J281+1.96*O281/100))</f>
        <v>0.746396068878744</v>
      </c>
      <c r="R281" s="25" t="str">
        <f aca="false">IF(L281="","",IF(ABS(L281)&lt;=O281,"Yes","No"))</f>
        <v>Yes</v>
      </c>
      <c r="S281" s="25" t="str">
        <f aca="false">IF(L281="","",IF(ABS(L281)&lt;=1.96*O281,"Yes","No"))</f>
        <v>Yes</v>
      </c>
      <c r="T281" s="52" t="n">
        <f aca="false">IF(D281="","",ROUND(SQRT(((D281+G281)*O281/100)^2+(J281*(D281+G281)*0.08889)^2),0))</f>
        <v>93</v>
      </c>
      <c r="U281" s="25"/>
    </row>
    <row r="282" customFormat="false" ht="15" hidden="false" customHeight="false" outlineLevel="0" collapsed="false">
      <c r="A282" s="25" t="s">
        <v>385</v>
      </c>
      <c r="B282" s="25" t="s">
        <v>458</v>
      </c>
      <c r="C282" s="25" t="s">
        <v>459</v>
      </c>
      <c r="D282" s="52" t="n">
        <v>1356</v>
      </c>
      <c r="E282" s="52"/>
      <c r="F282" s="63" t="str">
        <f aca="false">IF(E282="","",D282-E282)</f>
        <v/>
      </c>
      <c r="G282" s="52" t="n">
        <v>1449</v>
      </c>
      <c r="H282" s="52"/>
      <c r="I282" s="63" t="str">
        <f aca="false">IF(H282="","",G282-H282)</f>
        <v/>
      </c>
      <c r="J282" s="53" t="n">
        <f aca="false">IF(OR(D282="",D282+G282=0),"",D282/(D282+G282))</f>
        <v>0.483422459893048</v>
      </c>
      <c r="K282" s="53" t="str">
        <f aca="false">IF(E282="","",E282/(E282+H282))</f>
        <v/>
      </c>
      <c r="L282" s="64" t="str">
        <f aca="false">IF(OR(K282="",J282=""),"",(J282-K282)*100)</f>
        <v/>
      </c>
      <c r="M282" s="28" t="n">
        <v>2.49017287917352</v>
      </c>
      <c r="N282" s="28" t="n">
        <v>0.397844942258686</v>
      </c>
      <c r="O282" s="28" t="n">
        <f aca="false">SQRT(M282^2+N282^2)</f>
        <v>2.52175366882892</v>
      </c>
      <c r="P282" s="53" t="n">
        <f aca="false">IF(J282="","",MAX(0,J282-1.96*O282/100))</f>
        <v>0.433996087984001</v>
      </c>
      <c r="Q282" s="53" t="n">
        <f aca="false">IF(J282="","",MIN(1,J282+1.96*O282/100))</f>
        <v>0.532848831802095</v>
      </c>
      <c r="R282" s="25" t="str">
        <f aca="false">IF(L282="","",IF(ABS(L282)&lt;=O282,"Yes","No"))</f>
        <v/>
      </c>
      <c r="S282" s="25" t="str">
        <f aca="false">IF(L282="","",IF(ABS(L282)&lt;=1.96*O282,"Yes","No"))</f>
        <v/>
      </c>
      <c r="T282" s="52" t="n">
        <f aca="false">IF(D282="","",ROUND(SQRT(((D282+G282)*O282/100)^2+(J282*(D282+G282)*0.08889)^2),0))</f>
        <v>140</v>
      </c>
      <c r="U282" s="25" t="s">
        <v>702</v>
      </c>
    </row>
    <row r="283" customFormat="false" ht="15" hidden="false" customHeight="false" outlineLevel="0" collapsed="false">
      <c r="A283" s="25" t="s">
        <v>385</v>
      </c>
      <c r="B283" s="25" t="s">
        <v>458</v>
      </c>
      <c r="C283" s="25" t="s">
        <v>460</v>
      </c>
      <c r="D283" s="52" t="n">
        <v>652</v>
      </c>
      <c r="E283" s="52"/>
      <c r="F283" s="63" t="str">
        <f aca="false">IF(E283="","",D283-E283)</f>
        <v/>
      </c>
      <c r="G283" s="52" t="n">
        <v>665</v>
      </c>
      <c r="H283" s="52"/>
      <c r="I283" s="63" t="str">
        <f aca="false">IF(H283="","",G283-H283)</f>
        <v/>
      </c>
      <c r="J283" s="53" t="n">
        <f aca="false">IF(OR(D283="",D283+G283=0),"",D283/(D283+G283))</f>
        <v>0.495064540622627</v>
      </c>
      <c r="K283" s="53" t="str">
        <f aca="false">IF(E283="","",E283/(E283+H283))</f>
        <v/>
      </c>
      <c r="L283" s="64" t="str">
        <f aca="false">IF(OR(K283="",J283=""),"",(J283-K283)*100)</f>
        <v/>
      </c>
      <c r="M283" s="28" t="n">
        <v>2.49017287917352</v>
      </c>
      <c r="N283" s="28" t="n">
        <v>0.397844942258686</v>
      </c>
      <c r="O283" s="28" t="n">
        <f aca="false">SQRT(M283^2+N283^2)</f>
        <v>2.52175366882892</v>
      </c>
      <c r="P283" s="53" t="n">
        <f aca="false">IF(J283="","",MAX(0,J283-1.96*O283/100))</f>
        <v>0.44563816871358</v>
      </c>
      <c r="Q283" s="53" t="n">
        <f aca="false">IF(J283="","",MIN(1,J283+1.96*O283/100))</f>
        <v>0.544490912531674</v>
      </c>
      <c r="R283" s="25" t="str">
        <f aca="false">IF(L283="","",IF(ABS(L283)&lt;=O283,"Yes","No"))</f>
        <v/>
      </c>
      <c r="S283" s="25" t="str">
        <f aca="false">IF(L283="","",IF(ABS(L283)&lt;=1.96*O283,"Yes","No"))</f>
        <v/>
      </c>
      <c r="T283" s="52" t="n">
        <f aca="false">IF(D283="","",ROUND(SQRT(((D283+G283)*O283/100)^2+(J283*(D283+G283)*0.08889)^2),0))</f>
        <v>67</v>
      </c>
      <c r="U283" s="25" t="s">
        <v>702</v>
      </c>
    </row>
    <row r="284" customFormat="false" ht="15" hidden="false" customHeight="false" outlineLevel="0" collapsed="false">
      <c r="A284" s="25" t="s">
        <v>385</v>
      </c>
      <c r="B284" s="25" t="s">
        <v>458</v>
      </c>
      <c r="C284" s="25" t="s">
        <v>461</v>
      </c>
      <c r="D284" s="52" t="n">
        <v>805</v>
      </c>
      <c r="E284" s="52"/>
      <c r="F284" s="63" t="str">
        <f aca="false">IF(E284="","",D284-E284)</f>
        <v/>
      </c>
      <c r="G284" s="52" t="n">
        <v>748</v>
      </c>
      <c r="H284" s="52"/>
      <c r="I284" s="63" t="str">
        <f aca="false">IF(H284="","",G284-H284)</f>
        <v/>
      </c>
      <c r="J284" s="53" t="n">
        <f aca="false">IF(OR(D284="",D284+G284=0),"",D284/(D284+G284))</f>
        <v>0.518351577591758</v>
      </c>
      <c r="K284" s="53" t="str">
        <f aca="false">IF(E284="","",E284/(E284+H284))</f>
        <v/>
      </c>
      <c r="L284" s="64" t="str">
        <f aca="false">IF(OR(K284="",J284=""),"",(J284-K284)*100)</f>
        <v/>
      </c>
      <c r="M284" s="28" t="n">
        <v>2.49017287917352</v>
      </c>
      <c r="N284" s="28" t="n">
        <v>0.397844942258686</v>
      </c>
      <c r="O284" s="28" t="n">
        <f aca="false">SQRT(M284^2+N284^2)</f>
        <v>2.52175366882892</v>
      </c>
      <c r="P284" s="53" t="n">
        <f aca="false">IF(J284="","",MAX(0,J284-1.96*O284/100))</f>
        <v>0.468925205682711</v>
      </c>
      <c r="Q284" s="53" t="n">
        <f aca="false">IF(J284="","",MIN(1,J284+1.96*O284/100))</f>
        <v>0.567777949500805</v>
      </c>
      <c r="R284" s="25" t="str">
        <f aca="false">IF(L284="","",IF(ABS(L284)&lt;=O284,"Yes","No"))</f>
        <v/>
      </c>
      <c r="S284" s="25" t="str">
        <f aca="false">IF(L284="","",IF(ABS(L284)&lt;=1.96*O284,"Yes","No"))</f>
        <v/>
      </c>
      <c r="T284" s="52" t="n">
        <f aca="false">IF(D284="","",ROUND(SQRT(((D284+G284)*O284/100)^2+(J284*(D284+G284)*0.08889)^2),0))</f>
        <v>82</v>
      </c>
      <c r="U284" s="25" t="s">
        <v>702</v>
      </c>
    </row>
    <row r="285" customFormat="false" ht="15" hidden="false" customHeight="false" outlineLevel="0" collapsed="false">
      <c r="A285" s="25" t="s">
        <v>385</v>
      </c>
      <c r="B285" s="25" t="s">
        <v>458</v>
      </c>
      <c r="C285" s="25" t="s">
        <v>462</v>
      </c>
      <c r="D285" s="52" t="n">
        <v>742</v>
      </c>
      <c r="E285" s="52"/>
      <c r="F285" s="63" t="str">
        <f aca="false">IF(E285="","",D285-E285)</f>
        <v/>
      </c>
      <c r="G285" s="52" t="n">
        <v>731</v>
      </c>
      <c r="H285" s="52"/>
      <c r="I285" s="63" t="str">
        <f aca="false">IF(H285="","",G285-H285)</f>
        <v/>
      </c>
      <c r="J285" s="53" t="n">
        <f aca="false">IF(OR(D285="",D285+G285=0),"",D285/(D285+G285))</f>
        <v>0.503733876442634</v>
      </c>
      <c r="K285" s="53" t="str">
        <f aca="false">IF(E285="","",E285/(E285+H285))</f>
        <v/>
      </c>
      <c r="L285" s="64" t="str">
        <f aca="false">IF(OR(K285="",J285=""),"",(J285-K285)*100)</f>
        <v/>
      </c>
      <c r="M285" s="28" t="n">
        <v>2.49017287917352</v>
      </c>
      <c r="N285" s="28" t="n">
        <v>0.397844942258686</v>
      </c>
      <c r="O285" s="28" t="n">
        <f aca="false">SQRT(M285^2+N285^2)</f>
        <v>2.52175366882892</v>
      </c>
      <c r="P285" s="53" t="n">
        <f aca="false">IF(J285="","",MAX(0,J285-1.96*O285/100))</f>
        <v>0.454307504533587</v>
      </c>
      <c r="Q285" s="53" t="n">
        <f aca="false">IF(J285="","",MIN(1,J285+1.96*O285/100))</f>
        <v>0.553160248351681</v>
      </c>
      <c r="R285" s="25" t="str">
        <f aca="false">IF(L285="","",IF(ABS(L285)&lt;=O285,"Yes","No"))</f>
        <v/>
      </c>
      <c r="S285" s="25" t="str">
        <f aca="false">IF(L285="","",IF(ABS(L285)&lt;=1.96*O285,"Yes","No"))</f>
        <v/>
      </c>
      <c r="T285" s="52" t="n">
        <f aca="false">IF(D285="","",ROUND(SQRT(((D285+G285)*O285/100)^2+(J285*(D285+G285)*0.08889)^2),0))</f>
        <v>76</v>
      </c>
      <c r="U285" s="25" t="s">
        <v>702</v>
      </c>
    </row>
    <row r="286" customFormat="false" ht="15" hidden="false" customHeight="false" outlineLevel="0" collapsed="false">
      <c r="A286" s="25" t="s">
        <v>385</v>
      </c>
      <c r="B286" s="25" t="s">
        <v>458</v>
      </c>
      <c r="C286" s="25" t="s">
        <v>463</v>
      </c>
      <c r="D286" s="52" t="n">
        <v>978</v>
      </c>
      <c r="E286" s="52" t="n">
        <v>975</v>
      </c>
      <c r="F286" s="63" t="n">
        <f aca="false">IF(E286="","",D286-E286)</f>
        <v>3</v>
      </c>
      <c r="G286" s="52" t="n">
        <v>879</v>
      </c>
      <c r="H286" s="52" t="n">
        <v>935</v>
      </c>
      <c r="I286" s="63" t="n">
        <f aca="false">IF(H286="","",G286-H286)</f>
        <v>-56</v>
      </c>
      <c r="J286" s="53" t="n">
        <f aca="false">IF(OR(D286="",D286+G286=0),"",D286/(D286+G286))</f>
        <v>0.526655896607431</v>
      </c>
      <c r="K286" s="53" t="n">
        <f aca="false">IF(E286="","",E286/(E286+H286))</f>
        <v>0.510471204188482</v>
      </c>
      <c r="L286" s="64" t="n">
        <f aca="false">IF(OR(K286="",J286=""),"",(J286-K286)*100)</f>
        <v>1.61846924189497</v>
      </c>
      <c r="M286" s="28" t="n">
        <v>2.49017287917352</v>
      </c>
      <c r="N286" s="28" t="n">
        <v>0.397844942258686</v>
      </c>
      <c r="O286" s="28" t="n">
        <f aca="false">SQRT(M286^2+N286^2)</f>
        <v>2.52175366882892</v>
      </c>
      <c r="P286" s="53" t="n">
        <f aca="false">IF(J286="","",MAX(0,J286-1.96*O286/100))</f>
        <v>0.477229524698385</v>
      </c>
      <c r="Q286" s="53" t="n">
        <f aca="false">IF(J286="","",MIN(1,J286+1.96*O286/100))</f>
        <v>0.576082268516478</v>
      </c>
      <c r="R286" s="25" t="str">
        <f aca="false">IF(L286="","",IF(ABS(L286)&lt;=O286,"Yes","No"))</f>
        <v>Yes</v>
      </c>
      <c r="S286" s="25" t="str">
        <f aca="false">IF(L286="","",IF(ABS(L286)&lt;=1.96*O286,"Yes","No"))</f>
        <v>Yes</v>
      </c>
      <c r="T286" s="52" t="n">
        <f aca="false">IF(D286="","",ROUND(SQRT(((D286+G286)*O286/100)^2+(J286*(D286+G286)*0.08889)^2),0))</f>
        <v>99</v>
      </c>
      <c r="U286" s="25"/>
    </row>
    <row r="287" customFormat="false" ht="15" hidden="false" customHeight="false" outlineLevel="0" collapsed="false">
      <c r="A287" s="25" t="s">
        <v>385</v>
      </c>
      <c r="B287" s="25" t="s">
        <v>458</v>
      </c>
      <c r="C287" s="25" t="s">
        <v>464</v>
      </c>
      <c r="D287" s="52" t="n">
        <v>765</v>
      </c>
      <c r="E287" s="52"/>
      <c r="F287" s="63" t="str">
        <f aca="false">IF(E287="","",D287-E287)</f>
        <v/>
      </c>
      <c r="G287" s="52" t="n">
        <v>767</v>
      </c>
      <c r="H287" s="52"/>
      <c r="I287" s="63" t="str">
        <f aca="false">IF(H287="","",G287-H287)</f>
        <v/>
      </c>
      <c r="J287" s="53" t="n">
        <f aca="false">IF(OR(D287="",D287+G287=0),"",D287/(D287+G287))</f>
        <v>0.49934725848564</v>
      </c>
      <c r="K287" s="53" t="str">
        <f aca="false">IF(E287="","",E287/(E287+H287))</f>
        <v/>
      </c>
      <c r="L287" s="64" t="str">
        <f aca="false">IF(OR(K287="",J287=""),"",(J287-K287)*100)</f>
        <v/>
      </c>
      <c r="M287" s="28" t="n">
        <v>2.49017287917352</v>
      </c>
      <c r="N287" s="28" t="n">
        <v>0.397844942258686</v>
      </c>
      <c r="O287" s="28" t="n">
        <f aca="false">SQRT(M287^2+N287^2)</f>
        <v>2.52175366882892</v>
      </c>
      <c r="P287" s="53" t="n">
        <f aca="false">IF(J287="","",MAX(0,J287-1.96*O287/100))</f>
        <v>0.449920886576593</v>
      </c>
      <c r="Q287" s="53" t="n">
        <f aca="false">IF(J287="","",MIN(1,J287+1.96*O287/100))</f>
        <v>0.548773630394687</v>
      </c>
      <c r="R287" s="25" t="str">
        <f aca="false">IF(L287="","",IF(ABS(L287)&lt;=O287,"Yes","No"))</f>
        <v/>
      </c>
      <c r="S287" s="25" t="str">
        <f aca="false">IF(L287="","",IF(ABS(L287)&lt;=1.96*O287,"Yes","No"))</f>
        <v/>
      </c>
      <c r="T287" s="52" t="n">
        <f aca="false">IF(D287="","",ROUND(SQRT(((D287+G287)*O287/100)^2+(J287*(D287+G287)*0.08889)^2),0))</f>
        <v>78</v>
      </c>
      <c r="U287" s="25" t="s">
        <v>702</v>
      </c>
    </row>
    <row r="288" customFormat="false" ht="15" hidden="false" customHeight="false" outlineLevel="0" collapsed="false">
      <c r="A288" s="25" t="s">
        <v>385</v>
      </c>
      <c r="B288" s="25" t="s">
        <v>458</v>
      </c>
      <c r="C288" s="25" t="s">
        <v>465</v>
      </c>
      <c r="D288" s="52" t="n">
        <v>704</v>
      </c>
      <c r="E288" s="52"/>
      <c r="F288" s="63" t="str">
        <f aca="false">IF(E288="","",D288-E288)</f>
        <v/>
      </c>
      <c r="G288" s="52" t="n">
        <v>705</v>
      </c>
      <c r="H288" s="52"/>
      <c r="I288" s="63" t="str">
        <f aca="false">IF(H288="","",G288-H288)</f>
        <v/>
      </c>
      <c r="J288" s="53" t="n">
        <f aca="false">IF(OR(D288="",D288+G288=0),"",D288/(D288+G288))</f>
        <v>0.499645138396026</v>
      </c>
      <c r="K288" s="53" t="str">
        <f aca="false">IF(E288="","",E288/(E288+H288))</f>
        <v/>
      </c>
      <c r="L288" s="64" t="str">
        <f aca="false">IF(OR(K288="",J288=""),"",(J288-K288)*100)</f>
        <v/>
      </c>
      <c r="M288" s="28" t="n">
        <v>2.49017287917352</v>
      </c>
      <c r="N288" s="28" t="n">
        <v>0.397844942258686</v>
      </c>
      <c r="O288" s="28" t="n">
        <f aca="false">SQRT(M288^2+N288^2)</f>
        <v>2.52175366882892</v>
      </c>
      <c r="P288" s="53" t="n">
        <f aca="false">IF(J288="","",MAX(0,J288-1.96*O288/100))</f>
        <v>0.450218766486979</v>
      </c>
      <c r="Q288" s="53" t="n">
        <f aca="false">IF(J288="","",MIN(1,J288+1.96*O288/100))</f>
        <v>0.549071510305073</v>
      </c>
      <c r="R288" s="25" t="str">
        <f aca="false">IF(L288="","",IF(ABS(L288)&lt;=O288,"Yes","No"))</f>
        <v/>
      </c>
      <c r="S288" s="25" t="str">
        <f aca="false">IF(L288="","",IF(ABS(L288)&lt;=1.96*O288,"Yes","No"))</f>
        <v/>
      </c>
      <c r="T288" s="52" t="n">
        <f aca="false">IF(D288="","",ROUND(SQRT(((D288+G288)*O288/100)^2+(J288*(D288+G288)*0.08889)^2),0))</f>
        <v>72</v>
      </c>
      <c r="U288" s="25" t="s">
        <v>702</v>
      </c>
    </row>
    <row r="289" customFormat="false" ht="15" hidden="false" customHeight="false" outlineLevel="0" collapsed="false">
      <c r="A289" s="25" t="s">
        <v>385</v>
      </c>
      <c r="B289" s="25" t="s">
        <v>466</v>
      </c>
      <c r="C289" s="25" t="s">
        <v>466</v>
      </c>
      <c r="D289" s="52" t="n">
        <v>743</v>
      </c>
      <c r="E289" s="52" t="n">
        <v>714</v>
      </c>
      <c r="F289" s="63" t="n">
        <f aca="false">IF(E289="","",D289-E289)</f>
        <v>29</v>
      </c>
      <c r="G289" s="52" t="n">
        <v>522</v>
      </c>
      <c r="H289" s="52" t="n">
        <v>484</v>
      </c>
      <c r="I289" s="63" t="n">
        <f aca="false">IF(H289="","",G289-H289)</f>
        <v>38</v>
      </c>
      <c r="J289" s="53" t="n">
        <f aca="false">IF(OR(D289="",D289+G289=0),"",D289/(D289+G289))</f>
        <v>0.587351778656127</v>
      </c>
      <c r="K289" s="53" t="n">
        <f aca="false">IF(E289="","",E289/(E289+H289))</f>
        <v>0.595993322203673</v>
      </c>
      <c r="L289" s="64" t="n">
        <f aca="false">IF(OR(K289="",J289=""),"",(J289-K289)*100)</f>
        <v>-0.86415435475462</v>
      </c>
      <c r="M289" s="28" t="n">
        <v>2.49017287917352</v>
      </c>
      <c r="N289" s="28" t="n">
        <v>0.397844942258686</v>
      </c>
      <c r="O289" s="28" t="n">
        <f aca="false">SQRT(M289^2+N289^2)</f>
        <v>2.52175366882892</v>
      </c>
      <c r="P289" s="53" t="n">
        <f aca="false">IF(J289="","",MAX(0,J289-1.96*O289/100))</f>
        <v>0.53792540674708</v>
      </c>
      <c r="Q289" s="53" t="n">
        <f aca="false">IF(J289="","",MIN(1,J289+1.96*O289/100))</f>
        <v>0.636778150565174</v>
      </c>
      <c r="R289" s="25" t="str">
        <f aca="false">IF(L289="","",IF(ABS(L289)&lt;=O289,"Yes","No"))</f>
        <v>Yes</v>
      </c>
      <c r="S289" s="25" t="str">
        <f aca="false">IF(L289="","",IF(ABS(L289)&lt;=1.96*O289,"Yes","No"))</f>
        <v>Yes</v>
      </c>
      <c r="T289" s="52" t="n">
        <f aca="false">IF(D289="","",ROUND(SQRT(((D289+G289)*O289/100)^2+(J289*(D289+G289)*0.08889)^2),0))</f>
        <v>73</v>
      </c>
      <c r="U289" s="25"/>
    </row>
    <row r="290" customFormat="false" ht="15" hidden="false" customHeight="false" outlineLevel="0" collapsed="false">
      <c r="A290" s="25" t="s">
        <v>385</v>
      </c>
      <c r="B290" s="25" t="s">
        <v>467</v>
      </c>
      <c r="C290" s="25" t="s">
        <v>467</v>
      </c>
      <c r="D290" s="52" t="n">
        <v>102</v>
      </c>
      <c r="E290" s="52" t="n">
        <v>109</v>
      </c>
      <c r="F290" s="63" t="n">
        <f aca="false">IF(E290="","",D290-E290)</f>
        <v>-7</v>
      </c>
      <c r="G290" s="52" t="n">
        <v>103</v>
      </c>
      <c r="H290" s="52" t="n">
        <v>97</v>
      </c>
      <c r="I290" s="63" t="n">
        <f aca="false">IF(H290="","",G290-H290)</f>
        <v>6</v>
      </c>
      <c r="J290" s="53" t="n">
        <f aca="false">IF(OR(D290="",D290+G290=0),"",D290/(D290+G290))</f>
        <v>0.497560975609756</v>
      </c>
      <c r="K290" s="53" t="n">
        <f aca="false">IF(E290="","",E290/(E290+H290))</f>
        <v>0.529126213592233</v>
      </c>
      <c r="L290" s="64" t="n">
        <f aca="false">IF(OR(K290="",J290=""),"",(J290-K290)*100)</f>
        <v>-3.15652379824769</v>
      </c>
      <c r="M290" s="28" t="n">
        <v>3.19821915242569</v>
      </c>
      <c r="N290" s="28" t="n">
        <v>0.397844942258686</v>
      </c>
      <c r="O290" s="28" t="n">
        <f aca="false">SQRT(M290^2+N290^2)</f>
        <v>3.22286927209642</v>
      </c>
      <c r="P290" s="53" t="n">
        <f aca="false">IF(J290="","",MAX(0,J290-1.96*O290/100))</f>
        <v>0.434392737876666</v>
      </c>
      <c r="Q290" s="53" t="n">
        <f aca="false">IF(J290="","",MIN(1,J290+1.96*O290/100))</f>
        <v>0.560729213342846</v>
      </c>
      <c r="R290" s="25" t="str">
        <f aca="false">IF(L290="","",IF(ABS(L290)&lt;=O290,"Yes","No"))</f>
        <v>Yes</v>
      </c>
      <c r="S290" s="25" t="str">
        <f aca="false">IF(L290="","",IF(ABS(L290)&lt;=1.96*O290,"Yes","No"))</f>
        <v>Yes</v>
      </c>
      <c r="T290" s="52" t="n">
        <f aca="false">IF(D290="","",ROUND(SQRT(((D290+G290)*O290/100)^2+(J290*(D290+G290)*0.1901)^2),0))</f>
        <v>20</v>
      </c>
      <c r="U290" s="25"/>
    </row>
    <row r="291" customFormat="false" ht="15" hidden="false" customHeight="false" outlineLevel="0" collapsed="false">
      <c r="A291" s="25" t="s">
        <v>385</v>
      </c>
      <c r="B291" s="25" t="s">
        <v>292</v>
      </c>
      <c r="C291" s="25" t="s">
        <v>468</v>
      </c>
      <c r="D291" s="52" t="n">
        <v>922</v>
      </c>
      <c r="E291" s="52" t="n">
        <v>955</v>
      </c>
      <c r="F291" s="63" t="n">
        <f aca="false">IF(E291="","",D291-E291)</f>
        <v>-33</v>
      </c>
      <c r="G291" s="52" t="n">
        <v>718</v>
      </c>
      <c r="H291" s="52" t="n">
        <v>692</v>
      </c>
      <c r="I291" s="63" t="n">
        <f aca="false">IF(H291="","",G291-H291)</f>
        <v>26</v>
      </c>
      <c r="J291" s="53" t="n">
        <f aca="false">IF(OR(D291="",D291+G291=0),"",D291/(D291+G291))</f>
        <v>0.56219512195122</v>
      </c>
      <c r="K291" s="53" t="n">
        <f aca="false">IF(E291="","",E291/(E291+H291))</f>
        <v>0.579842137219186</v>
      </c>
      <c r="L291" s="64" t="n">
        <f aca="false">IF(OR(K291="",J291=""),"",(J291-K291)*100)</f>
        <v>-1.76470152679669</v>
      </c>
      <c r="M291" s="28" t="n">
        <v>2.49017287917352</v>
      </c>
      <c r="N291" s="28" t="n">
        <v>0.397844942258686</v>
      </c>
      <c r="O291" s="28" t="n">
        <f aca="false">SQRT(M291^2+N291^2)</f>
        <v>2.52175366882892</v>
      </c>
      <c r="P291" s="53" t="n">
        <f aca="false">IF(J291="","",MAX(0,J291-1.96*O291/100))</f>
        <v>0.512768750042173</v>
      </c>
      <c r="Q291" s="53" t="n">
        <f aca="false">IF(J291="","",MIN(1,J291+1.96*O291/100))</f>
        <v>0.611621493860266</v>
      </c>
      <c r="R291" s="25" t="str">
        <f aca="false">IF(L291="","",IF(ABS(L291)&lt;=O291,"Yes","No"))</f>
        <v>Yes</v>
      </c>
      <c r="S291" s="25" t="str">
        <f aca="false">IF(L291="","",IF(ABS(L291)&lt;=1.96*O291,"Yes","No"))</f>
        <v>Yes</v>
      </c>
      <c r="T291" s="52" t="n">
        <f aca="false">IF(D291="","",ROUND(SQRT(((D291+G291)*O291/100)^2+(J291*(D291+G291)*0.08889)^2),0))</f>
        <v>92</v>
      </c>
      <c r="U291" s="25"/>
    </row>
    <row r="292" customFormat="false" ht="15" hidden="false" customHeight="false" outlineLevel="0" collapsed="false">
      <c r="A292" s="25" t="s">
        <v>385</v>
      </c>
      <c r="B292" s="25" t="s">
        <v>292</v>
      </c>
      <c r="C292" s="25" t="s">
        <v>469</v>
      </c>
      <c r="D292" s="52" t="n">
        <v>860</v>
      </c>
      <c r="E292" s="52" t="n">
        <v>910</v>
      </c>
      <c r="F292" s="63" t="n">
        <f aca="false">IF(E292="","",D292-E292)</f>
        <v>-50</v>
      </c>
      <c r="G292" s="52" t="n">
        <v>764</v>
      </c>
      <c r="H292" s="52" t="n">
        <v>742</v>
      </c>
      <c r="I292" s="63" t="n">
        <f aca="false">IF(H292="","",G292-H292)</f>
        <v>22</v>
      </c>
      <c r="J292" s="53" t="n">
        <f aca="false">IF(OR(D292="",D292+G292=0),"",D292/(D292+G292))</f>
        <v>0.529556650246305</v>
      </c>
      <c r="K292" s="53" t="n">
        <f aca="false">IF(E292="","",E292/(E292+H292))</f>
        <v>0.550847457627119</v>
      </c>
      <c r="L292" s="64" t="n">
        <f aca="false">IF(OR(K292="",J292=""),"",(J292-K292)*100)</f>
        <v>-2.12908073808132</v>
      </c>
      <c r="M292" s="28" t="n">
        <v>2.49017287917352</v>
      </c>
      <c r="N292" s="28" t="n">
        <v>0.397844942258686</v>
      </c>
      <c r="O292" s="28" t="n">
        <f aca="false">SQRT(M292^2+N292^2)</f>
        <v>2.52175366882892</v>
      </c>
      <c r="P292" s="53" t="n">
        <f aca="false">IF(J292="","",MAX(0,J292-1.96*O292/100))</f>
        <v>0.480130278337258</v>
      </c>
      <c r="Q292" s="53" t="n">
        <f aca="false">IF(J292="","",MIN(1,J292+1.96*O292/100))</f>
        <v>0.578983022155352</v>
      </c>
      <c r="R292" s="25" t="str">
        <f aca="false">IF(L292="","",IF(ABS(L292)&lt;=O292,"Yes","No"))</f>
        <v>Yes</v>
      </c>
      <c r="S292" s="25" t="str">
        <f aca="false">IF(L292="","",IF(ABS(L292)&lt;=1.96*O292,"Yes","No"))</f>
        <v>Yes</v>
      </c>
      <c r="T292" s="52" t="n">
        <f aca="false">IF(D292="","",ROUND(SQRT(((D292+G292)*O292/100)^2+(J292*(D292+G292)*0.08889)^2),0))</f>
        <v>87</v>
      </c>
      <c r="U292" s="25"/>
    </row>
    <row r="293" customFormat="false" ht="15" hidden="false" customHeight="false" outlineLevel="0" collapsed="false">
      <c r="A293" s="25" t="s">
        <v>385</v>
      </c>
      <c r="B293" s="25" t="s">
        <v>292</v>
      </c>
      <c r="C293" s="25" t="s">
        <v>470</v>
      </c>
      <c r="D293" s="52" t="n">
        <v>436</v>
      </c>
      <c r="E293" s="52" t="n">
        <v>446</v>
      </c>
      <c r="F293" s="63" t="n">
        <f aca="false">IF(E293="","",D293-E293)</f>
        <v>-10</v>
      </c>
      <c r="G293" s="52" t="n">
        <v>419</v>
      </c>
      <c r="H293" s="52" t="n">
        <v>410</v>
      </c>
      <c r="I293" s="63" t="n">
        <f aca="false">IF(H293="","",G293-H293)</f>
        <v>9</v>
      </c>
      <c r="J293" s="53" t="n">
        <f aca="false">IF(OR(D293="",D293+G293=0),"",D293/(D293+G293))</f>
        <v>0.509941520467836</v>
      </c>
      <c r="K293" s="53" t="n">
        <f aca="false">IF(E293="","",E293/(E293+H293))</f>
        <v>0.521028037383178</v>
      </c>
      <c r="L293" s="64" t="n">
        <f aca="false">IF(OR(K293="",J293=""),"",(J293-K293)*100)</f>
        <v>-1.10865169153414</v>
      </c>
      <c r="M293" s="28" t="n">
        <v>2.42668038003648</v>
      </c>
      <c r="N293" s="28" t="n">
        <v>0.397844942258686</v>
      </c>
      <c r="O293" s="28" t="n">
        <f aca="false">SQRT(M293^2+N293^2)</f>
        <v>2.45907670985165</v>
      </c>
      <c r="P293" s="53" t="n">
        <f aca="false">IF(J293="","",MAX(0,J293-1.96*O293/100))</f>
        <v>0.461743616954744</v>
      </c>
      <c r="Q293" s="53" t="n">
        <f aca="false">IF(J293="","",MIN(1,J293+1.96*O293/100))</f>
        <v>0.558139423980929</v>
      </c>
      <c r="R293" s="25" t="str">
        <f aca="false">IF(L293="","",IF(ABS(L293)&lt;=O293,"Yes","No"))</f>
        <v>Yes</v>
      </c>
      <c r="S293" s="25" t="str">
        <f aca="false">IF(L293="","",IF(ABS(L293)&lt;=1.96*O293,"Yes","No"))</f>
        <v>Yes</v>
      </c>
      <c r="T293" s="52" t="n">
        <f aca="false">IF(D293="","",ROUND(SQRT(((D293+G293)*O293/100)^2+(J293*(D293+G293)*0.10931)^2),0))</f>
        <v>52</v>
      </c>
      <c r="U293" s="25"/>
    </row>
    <row r="294" customFormat="false" ht="15" hidden="false" customHeight="false" outlineLevel="0" collapsed="false">
      <c r="A294" s="25" t="s">
        <v>385</v>
      </c>
      <c r="B294" s="25" t="s">
        <v>292</v>
      </c>
      <c r="C294" s="25" t="s">
        <v>471</v>
      </c>
      <c r="D294" s="52" t="n">
        <v>728</v>
      </c>
      <c r="E294" s="52" t="n">
        <v>744</v>
      </c>
      <c r="F294" s="63" t="n">
        <f aca="false">IF(E294="","",D294-E294)</f>
        <v>-16</v>
      </c>
      <c r="G294" s="52" t="n">
        <v>709</v>
      </c>
      <c r="H294" s="52" t="n">
        <v>678</v>
      </c>
      <c r="I294" s="63" t="n">
        <f aca="false">IF(H294="","",G294-H294)</f>
        <v>31</v>
      </c>
      <c r="J294" s="53" t="n">
        <f aca="false">IF(OR(D294="",D294+G294=0),"",D294/(D294+G294))</f>
        <v>0.50661099512874</v>
      </c>
      <c r="K294" s="53" t="n">
        <f aca="false">IF(E294="","",E294/(E294+H294))</f>
        <v>0.523206751054852</v>
      </c>
      <c r="L294" s="64" t="n">
        <f aca="false">IF(OR(K294="",J294=""),"",(J294-K294)*100)</f>
        <v>-1.6595755926112</v>
      </c>
      <c r="M294" s="28" t="n">
        <v>2.49017287917352</v>
      </c>
      <c r="N294" s="28" t="n">
        <v>0.397844942258686</v>
      </c>
      <c r="O294" s="28" t="n">
        <f aca="false">SQRT(M294^2+N294^2)</f>
        <v>2.52175366882892</v>
      </c>
      <c r="P294" s="53" t="n">
        <f aca="false">IF(J294="","",MAX(0,J294-1.96*O294/100))</f>
        <v>0.457184623219694</v>
      </c>
      <c r="Q294" s="53" t="n">
        <f aca="false">IF(J294="","",MIN(1,J294+1.96*O294/100))</f>
        <v>0.556037367037787</v>
      </c>
      <c r="R294" s="25" t="str">
        <f aca="false">IF(L294="","",IF(ABS(L294)&lt;=O294,"Yes","No"))</f>
        <v>Yes</v>
      </c>
      <c r="S294" s="25" t="str">
        <f aca="false">IF(L294="","",IF(ABS(L294)&lt;=1.96*O294,"Yes","No"))</f>
        <v>Yes</v>
      </c>
      <c r="T294" s="52" t="n">
        <f aca="false">IF(D294="","",ROUND(SQRT(((D294+G294)*O294/100)^2+(J294*(D294+G294)*0.08889)^2),0))</f>
        <v>74</v>
      </c>
      <c r="U294" s="25"/>
    </row>
    <row r="295" customFormat="false" ht="15" hidden="false" customHeight="false" outlineLevel="0" collapsed="false">
      <c r="A295" s="25" t="s">
        <v>385</v>
      </c>
      <c r="B295" s="25" t="s">
        <v>292</v>
      </c>
      <c r="C295" s="25" t="s">
        <v>472</v>
      </c>
      <c r="D295" s="52" t="n">
        <v>767</v>
      </c>
      <c r="E295" s="52" t="n">
        <v>775</v>
      </c>
      <c r="F295" s="63" t="n">
        <f aca="false">IF(E295="","",D295-E295)</f>
        <v>-8</v>
      </c>
      <c r="G295" s="52" t="n">
        <v>650</v>
      </c>
      <c r="H295" s="52" t="n">
        <v>645</v>
      </c>
      <c r="I295" s="63" t="n">
        <f aca="false">IF(H295="","",G295-H295)</f>
        <v>5</v>
      </c>
      <c r="J295" s="53" t="n">
        <f aca="false">IF(OR(D295="",D295+G295=0),"",D295/(D295+G295))</f>
        <v>0.541284403669725</v>
      </c>
      <c r="K295" s="53" t="n">
        <f aca="false">IF(E295="","",E295/(E295+H295))</f>
        <v>0.545774647887324</v>
      </c>
      <c r="L295" s="64" t="n">
        <f aca="false">IF(OR(K295="",J295=""),"",(J295-K295)*100)</f>
        <v>-0.449024421759925</v>
      </c>
      <c r="M295" s="28" t="n">
        <v>2.49017287917352</v>
      </c>
      <c r="N295" s="28" t="n">
        <v>0.397844942258686</v>
      </c>
      <c r="O295" s="28" t="n">
        <f aca="false">SQRT(M295^2+N295^2)</f>
        <v>2.52175366882892</v>
      </c>
      <c r="P295" s="53" t="n">
        <f aca="false">IF(J295="","",MAX(0,J295-1.96*O295/100))</f>
        <v>0.491858031760678</v>
      </c>
      <c r="Q295" s="53" t="n">
        <f aca="false">IF(J295="","",MIN(1,J295+1.96*O295/100))</f>
        <v>0.590710775578772</v>
      </c>
      <c r="R295" s="25" t="str">
        <f aca="false">IF(L295="","",IF(ABS(L295)&lt;=O295,"Yes","No"))</f>
        <v>Yes</v>
      </c>
      <c r="S295" s="25" t="str">
        <f aca="false">IF(L295="","",IF(ABS(L295)&lt;=1.96*O295,"Yes","No"))</f>
        <v>Yes</v>
      </c>
      <c r="T295" s="52" t="n">
        <f aca="false">IF(D295="","",ROUND(SQRT(((D295+G295)*O295/100)^2+(J295*(D295+G295)*0.08889)^2),0))</f>
        <v>77</v>
      </c>
      <c r="U295" s="25"/>
    </row>
    <row r="296" customFormat="false" ht="15" hidden="false" customHeight="false" outlineLevel="0" collapsed="false">
      <c r="A296" s="25" t="s">
        <v>385</v>
      </c>
      <c r="B296" s="25" t="s">
        <v>292</v>
      </c>
      <c r="C296" s="25" t="s">
        <v>473</v>
      </c>
      <c r="D296" s="52" t="n">
        <v>509</v>
      </c>
      <c r="E296" s="52" t="n">
        <v>511</v>
      </c>
      <c r="F296" s="63" t="n">
        <f aca="false">IF(E296="","",D296-E296)</f>
        <v>-2</v>
      </c>
      <c r="G296" s="52" t="n">
        <v>468</v>
      </c>
      <c r="H296" s="52" t="n">
        <v>453</v>
      </c>
      <c r="I296" s="63" t="n">
        <f aca="false">IF(H296="","",G296-H296)</f>
        <v>15</v>
      </c>
      <c r="J296" s="53" t="n">
        <f aca="false">IF(OR(D296="",D296+G296=0),"",D296/(D296+G296))</f>
        <v>0.520982599795292</v>
      </c>
      <c r="K296" s="53" t="n">
        <f aca="false">IF(E296="","",E296/(E296+H296))</f>
        <v>0.530082987551867</v>
      </c>
      <c r="L296" s="64" t="n">
        <f aca="false">IF(OR(K296="",J296=""),"",(J296-K296)*100)</f>
        <v>-0.910038775657551</v>
      </c>
      <c r="M296" s="28" t="n">
        <v>2.42668038003648</v>
      </c>
      <c r="N296" s="28" t="n">
        <v>0.397844942258686</v>
      </c>
      <c r="O296" s="28" t="n">
        <f aca="false">SQRT(M296^2+N296^2)</f>
        <v>2.45907670985165</v>
      </c>
      <c r="P296" s="53" t="n">
        <f aca="false">IF(J296="","",MAX(0,J296-1.96*O296/100))</f>
        <v>0.472784696282199</v>
      </c>
      <c r="Q296" s="53" t="n">
        <f aca="false">IF(J296="","",MIN(1,J296+1.96*O296/100))</f>
        <v>0.569180503308384</v>
      </c>
      <c r="R296" s="25" t="str">
        <f aca="false">IF(L296="","",IF(ABS(L296)&lt;=O296,"Yes","No"))</f>
        <v>Yes</v>
      </c>
      <c r="S296" s="25" t="str">
        <f aca="false">IF(L296="","",IF(ABS(L296)&lt;=1.96*O296,"Yes","No"))</f>
        <v>Yes</v>
      </c>
      <c r="T296" s="52" t="n">
        <f aca="false">IF(D296="","",ROUND(SQRT(((D296+G296)*O296/100)^2+(J296*(D296+G296)*0.10931)^2),0))</f>
        <v>61</v>
      </c>
      <c r="U296" s="25"/>
    </row>
    <row r="297" customFormat="false" ht="15" hidden="false" customHeight="false" outlineLevel="0" collapsed="false">
      <c r="A297" s="25" t="s">
        <v>385</v>
      </c>
      <c r="B297" s="25" t="s">
        <v>474</v>
      </c>
      <c r="C297" s="25" t="s">
        <v>475</v>
      </c>
      <c r="D297" s="52" t="n">
        <v>586</v>
      </c>
      <c r="E297" s="52" t="n">
        <v>553</v>
      </c>
      <c r="F297" s="63" t="n">
        <f aca="false">IF(E297="","",D297-E297)</f>
        <v>33</v>
      </c>
      <c r="G297" s="52" t="n">
        <v>606</v>
      </c>
      <c r="H297" s="52" t="n">
        <v>581</v>
      </c>
      <c r="I297" s="63" t="n">
        <f aca="false">IF(H297="","",G297-H297)</f>
        <v>25</v>
      </c>
      <c r="J297" s="53" t="n">
        <f aca="false">IF(OR(D297="",D297+G297=0),"",D297/(D297+G297))</f>
        <v>0.491610738255034</v>
      </c>
      <c r="K297" s="53" t="n">
        <f aca="false">IF(E297="","",E297/(E297+H297))</f>
        <v>0.487654320987654</v>
      </c>
      <c r="L297" s="64" t="n">
        <f aca="false">IF(OR(K297="",J297=""),"",(J297-K297)*100)</f>
        <v>0.395641726737922</v>
      </c>
      <c r="M297" s="28" t="n">
        <v>2.42668038003648</v>
      </c>
      <c r="N297" s="28" t="n">
        <v>0.397844942258686</v>
      </c>
      <c r="O297" s="28" t="n">
        <f aca="false">SQRT(M297^2+N297^2)</f>
        <v>2.45907670985165</v>
      </c>
      <c r="P297" s="53" t="n">
        <f aca="false">IF(J297="","",MAX(0,J297-1.96*O297/100))</f>
        <v>0.443412834741941</v>
      </c>
      <c r="Q297" s="53" t="n">
        <f aca="false">IF(J297="","",MIN(1,J297+1.96*O297/100))</f>
        <v>0.539808641768126</v>
      </c>
      <c r="R297" s="25" t="str">
        <f aca="false">IF(L297="","",IF(ABS(L297)&lt;=O297,"Yes","No"))</f>
        <v>Yes</v>
      </c>
      <c r="S297" s="25" t="str">
        <f aca="false">IF(L297="","",IF(ABS(L297)&lt;=1.96*O297,"Yes","No"))</f>
        <v>Yes</v>
      </c>
      <c r="T297" s="52" t="n">
        <f aca="false">IF(D297="","",ROUND(SQRT(((D297+G297)*O297/100)^2+(J297*(D297+G297)*0.10931)^2),0))</f>
        <v>70</v>
      </c>
      <c r="U297" s="25"/>
    </row>
    <row r="298" customFormat="false" ht="15" hidden="false" customHeight="false" outlineLevel="0" collapsed="false">
      <c r="A298" s="25" t="s">
        <v>385</v>
      </c>
      <c r="B298" s="25" t="s">
        <v>474</v>
      </c>
      <c r="C298" s="25" t="s">
        <v>476</v>
      </c>
      <c r="D298" s="52" t="n">
        <v>465</v>
      </c>
      <c r="E298" s="52" t="n">
        <v>473</v>
      </c>
      <c r="F298" s="63" t="n">
        <f aca="false">IF(E298="","",D298-E298)</f>
        <v>-8</v>
      </c>
      <c r="G298" s="52" t="n">
        <v>430</v>
      </c>
      <c r="H298" s="52" t="n">
        <v>465</v>
      </c>
      <c r="I298" s="63" t="n">
        <f aca="false">IF(H298="","",G298-H298)</f>
        <v>-35</v>
      </c>
      <c r="J298" s="53" t="n">
        <f aca="false">IF(OR(D298="",D298+G298=0),"",D298/(D298+G298))</f>
        <v>0.519553072625698</v>
      </c>
      <c r="K298" s="53" t="n">
        <f aca="false">IF(E298="","",E298/(E298+H298))</f>
        <v>0.504264392324094</v>
      </c>
      <c r="L298" s="64" t="n">
        <f aca="false">IF(OR(K298="",J298=""),"",(J298-K298)*100)</f>
        <v>1.52886803016045</v>
      </c>
      <c r="M298" s="28" t="n">
        <v>2.42668038003648</v>
      </c>
      <c r="N298" s="28" t="n">
        <v>0.397844942258686</v>
      </c>
      <c r="O298" s="28" t="n">
        <f aca="false">SQRT(M298^2+N298^2)</f>
        <v>2.45907670985165</v>
      </c>
      <c r="P298" s="53" t="n">
        <f aca="false">IF(J298="","",MAX(0,J298-1.96*O298/100))</f>
        <v>0.471355169112606</v>
      </c>
      <c r="Q298" s="53" t="n">
        <f aca="false">IF(J298="","",MIN(1,J298+1.96*O298/100))</f>
        <v>0.567750976138791</v>
      </c>
      <c r="R298" s="25" t="str">
        <f aca="false">IF(L298="","",IF(ABS(L298)&lt;=O298,"Yes","No"))</f>
        <v>Yes</v>
      </c>
      <c r="S298" s="25" t="str">
        <f aca="false">IF(L298="","",IF(ABS(L298)&lt;=1.96*O298,"Yes","No"))</f>
        <v>Yes</v>
      </c>
      <c r="T298" s="52" t="n">
        <f aca="false">IF(D298="","",ROUND(SQRT(((D298+G298)*O298/100)^2+(J298*(D298+G298)*0.10931)^2),0))</f>
        <v>55</v>
      </c>
      <c r="U298" s="25"/>
    </row>
    <row r="299" customFormat="false" ht="15" hidden="false" customHeight="false" outlineLevel="0" collapsed="false">
      <c r="A299" s="25" t="s">
        <v>385</v>
      </c>
      <c r="B299" s="25" t="s">
        <v>474</v>
      </c>
      <c r="C299" s="25" t="s">
        <v>477</v>
      </c>
      <c r="D299" s="52" t="n">
        <v>675</v>
      </c>
      <c r="E299" s="52" t="n">
        <v>700</v>
      </c>
      <c r="F299" s="63" t="n">
        <f aca="false">IF(E299="","",D299-E299)</f>
        <v>-25</v>
      </c>
      <c r="G299" s="52" t="n">
        <v>597</v>
      </c>
      <c r="H299" s="52" t="n">
        <v>639</v>
      </c>
      <c r="I299" s="63" t="n">
        <f aca="false">IF(H299="","",G299-H299)</f>
        <v>-42</v>
      </c>
      <c r="J299" s="53" t="n">
        <f aca="false">IF(OR(D299="",D299+G299=0),"",D299/(D299+G299))</f>
        <v>0.530660377358491</v>
      </c>
      <c r="K299" s="53" t="n">
        <f aca="false">IF(E299="","",E299/(E299+H299))</f>
        <v>0.522778192681105</v>
      </c>
      <c r="L299" s="64" t="n">
        <f aca="false">IF(OR(K299="",J299=""),"",(J299-K299)*100)</f>
        <v>0.788218467738533</v>
      </c>
      <c r="M299" s="28" t="n">
        <v>2.49017287917352</v>
      </c>
      <c r="N299" s="28" t="n">
        <v>0.397844942258686</v>
      </c>
      <c r="O299" s="28" t="n">
        <f aca="false">SQRT(M299^2+N299^2)</f>
        <v>2.52175366882892</v>
      </c>
      <c r="P299" s="53" t="n">
        <f aca="false">IF(J299="","",MAX(0,J299-1.96*O299/100))</f>
        <v>0.481234005449444</v>
      </c>
      <c r="Q299" s="53" t="n">
        <f aca="false">IF(J299="","",MIN(1,J299+1.96*O299/100))</f>
        <v>0.580086749267537</v>
      </c>
      <c r="R299" s="25" t="str">
        <f aca="false">IF(L299="","",IF(ABS(L299)&lt;=O299,"Yes","No"))</f>
        <v>Yes</v>
      </c>
      <c r="S299" s="25" t="str">
        <f aca="false">IF(L299="","",IF(ABS(L299)&lt;=1.96*O299,"Yes","No"))</f>
        <v>Yes</v>
      </c>
      <c r="T299" s="52" t="n">
        <f aca="false">IF(D299="","",ROUND(SQRT(((D299+G299)*O299/100)^2+(J299*(D299+G299)*0.08889)^2),0))</f>
        <v>68</v>
      </c>
      <c r="U299" s="25"/>
    </row>
    <row r="300" customFormat="false" ht="15" hidden="false" customHeight="false" outlineLevel="0" collapsed="false">
      <c r="A300" s="25" t="s">
        <v>385</v>
      </c>
      <c r="B300" s="25" t="s">
        <v>478</v>
      </c>
      <c r="C300" s="25" t="s">
        <v>479</v>
      </c>
      <c r="D300" s="52" t="n">
        <v>545</v>
      </c>
      <c r="E300" s="52" t="n">
        <v>546</v>
      </c>
      <c r="F300" s="63" t="n">
        <f aca="false">IF(E300="","",D300-E300)</f>
        <v>-1</v>
      </c>
      <c r="G300" s="52" t="n">
        <v>1113</v>
      </c>
      <c r="H300" s="52" t="n">
        <v>1089</v>
      </c>
      <c r="I300" s="63" t="n">
        <f aca="false">IF(H300="","",G300-H300)</f>
        <v>24</v>
      </c>
      <c r="J300" s="53" t="n">
        <f aca="false">IF(OR(D300="",D300+G300=0),"",D300/(D300+G300))</f>
        <v>0.328709288299156</v>
      </c>
      <c r="K300" s="53" t="n">
        <f aca="false">IF(E300="","",E300/(E300+H300))</f>
        <v>0.33394495412844</v>
      </c>
      <c r="L300" s="64" t="n">
        <f aca="false">IF(OR(K300="",J300=""),"",(J300-K300)*100)</f>
        <v>-0.523566582928475</v>
      </c>
      <c r="M300" s="28" t="n">
        <v>2.49017287917352</v>
      </c>
      <c r="N300" s="28" t="n">
        <v>0.397844942258686</v>
      </c>
      <c r="O300" s="28" t="n">
        <f aca="false">SQRT(M300^2+N300^2)</f>
        <v>2.52175366882892</v>
      </c>
      <c r="P300" s="53" t="n">
        <f aca="false">IF(J300="","",MAX(0,J300-1.96*O300/100))</f>
        <v>0.279282916390109</v>
      </c>
      <c r="Q300" s="53" t="n">
        <f aca="false">IF(J300="","",MIN(1,J300+1.96*O300/100))</f>
        <v>0.378135660208203</v>
      </c>
      <c r="R300" s="25" t="str">
        <f aca="false">IF(L300="","",IF(ABS(L300)&lt;=O300,"Yes","No"))</f>
        <v>Yes</v>
      </c>
      <c r="S300" s="25" t="str">
        <f aca="false">IF(L300="","",IF(ABS(L300)&lt;=1.96*O300,"Yes","No"))</f>
        <v>Yes</v>
      </c>
      <c r="T300" s="52" t="n">
        <f aca="false">IF(D300="","",ROUND(SQRT(((D300+G300)*O300/100)^2+(J300*(D300+G300)*0.08889)^2),0))</f>
        <v>64</v>
      </c>
      <c r="U300" s="25"/>
    </row>
    <row r="301" customFormat="false" ht="15" hidden="false" customHeight="false" outlineLevel="0" collapsed="false">
      <c r="A301" s="25" t="s">
        <v>385</v>
      </c>
      <c r="B301" s="25" t="s">
        <v>478</v>
      </c>
      <c r="C301" s="25" t="s">
        <v>480</v>
      </c>
      <c r="D301" s="52" t="n">
        <v>612</v>
      </c>
      <c r="E301" s="52" t="n">
        <v>636</v>
      </c>
      <c r="F301" s="63" t="n">
        <f aca="false">IF(E301="","",D301-E301)</f>
        <v>-24</v>
      </c>
      <c r="G301" s="52" t="n">
        <v>1238</v>
      </c>
      <c r="H301" s="52" t="n">
        <v>1262</v>
      </c>
      <c r="I301" s="63" t="n">
        <f aca="false">IF(H301="","",G301-H301)</f>
        <v>-24</v>
      </c>
      <c r="J301" s="53" t="n">
        <f aca="false">IF(OR(D301="",D301+G301=0),"",D301/(D301+G301))</f>
        <v>0.330810810810811</v>
      </c>
      <c r="K301" s="53" t="n">
        <f aca="false">IF(E301="","",E301/(E301+H301))</f>
        <v>0.33508956796628</v>
      </c>
      <c r="L301" s="64" t="n">
        <f aca="false">IF(OR(K301="",J301=""),"",(J301-K301)*100)</f>
        <v>-0.427875715546949</v>
      </c>
      <c r="M301" s="28" t="n">
        <v>2.49017287917352</v>
      </c>
      <c r="N301" s="28" t="n">
        <v>0.397844942258686</v>
      </c>
      <c r="O301" s="28" t="n">
        <f aca="false">SQRT(M301^2+N301^2)</f>
        <v>2.52175366882892</v>
      </c>
      <c r="P301" s="53" t="n">
        <f aca="false">IF(J301="","",MAX(0,J301-1.96*O301/100))</f>
        <v>0.281384438901764</v>
      </c>
      <c r="Q301" s="53" t="n">
        <f aca="false">IF(J301="","",MIN(1,J301+1.96*O301/100))</f>
        <v>0.380237182719858</v>
      </c>
      <c r="R301" s="25" t="str">
        <f aca="false">IF(L301="","",IF(ABS(L301)&lt;=O301,"Yes","No"))</f>
        <v>Yes</v>
      </c>
      <c r="S301" s="25" t="str">
        <f aca="false">IF(L301="","",IF(ABS(L301)&lt;=1.96*O301,"Yes","No"))</f>
        <v>Yes</v>
      </c>
      <c r="T301" s="52" t="n">
        <f aca="false">IF(D301="","",ROUND(SQRT(((D301+G301)*O301/100)^2+(J301*(D301+G301)*0.08889)^2),0))</f>
        <v>72</v>
      </c>
      <c r="U301" s="25"/>
    </row>
    <row r="302" customFormat="false" ht="15" hidden="false" customHeight="false" outlineLevel="0" collapsed="false">
      <c r="A302" s="25" t="s">
        <v>385</v>
      </c>
      <c r="B302" s="25" t="s">
        <v>478</v>
      </c>
      <c r="C302" s="25" t="s">
        <v>481</v>
      </c>
      <c r="D302" s="52" t="n">
        <v>215</v>
      </c>
      <c r="E302" s="52" t="n">
        <v>224</v>
      </c>
      <c r="F302" s="63" t="n">
        <f aca="false">IF(E302="","",D302-E302)</f>
        <v>-9</v>
      </c>
      <c r="G302" s="52" t="n">
        <v>502</v>
      </c>
      <c r="H302" s="52" t="n">
        <v>495</v>
      </c>
      <c r="I302" s="63" t="n">
        <f aca="false">IF(H302="","",G302-H302)</f>
        <v>7</v>
      </c>
      <c r="J302" s="53" t="n">
        <f aca="false">IF(OR(D302="",D302+G302=0),"",D302/(D302+G302))</f>
        <v>0.299860529986053</v>
      </c>
      <c r="K302" s="53" t="n">
        <f aca="false">IF(E302="","",E302/(E302+H302))</f>
        <v>0.311543810848401</v>
      </c>
      <c r="L302" s="64" t="n">
        <f aca="false">IF(OR(K302="",J302=""),"",(J302-K302)*100)</f>
        <v>-1.16832808623475</v>
      </c>
      <c r="M302" s="28" t="n">
        <v>3.19821915242569</v>
      </c>
      <c r="N302" s="28" t="n">
        <v>0.397844942258686</v>
      </c>
      <c r="O302" s="28" t="n">
        <f aca="false">SQRT(M302^2+N302^2)</f>
        <v>3.22286927209642</v>
      </c>
      <c r="P302" s="53" t="n">
        <f aca="false">IF(J302="","",MAX(0,J302-1.96*O302/100))</f>
        <v>0.236692292252963</v>
      </c>
      <c r="Q302" s="53" t="n">
        <f aca="false">IF(J302="","",MIN(1,J302+1.96*O302/100))</f>
        <v>0.363028767719143</v>
      </c>
      <c r="R302" s="25" t="str">
        <f aca="false">IF(L302="","",IF(ABS(L302)&lt;=O302,"Yes","No"))</f>
        <v>Yes</v>
      </c>
      <c r="S302" s="25" t="str">
        <f aca="false">IF(L302="","",IF(ABS(L302)&lt;=1.96*O302,"Yes","No"))</f>
        <v>Yes</v>
      </c>
      <c r="T302" s="52" t="n">
        <f aca="false">IF(D302="","",ROUND(SQRT(((D302+G302)*O302/100)^2+(J302*(D302+G302)*0.1901)^2),0))</f>
        <v>47</v>
      </c>
      <c r="U302" s="25"/>
    </row>
    <row r="303" customFormat="false" ht="15" hidden="false" customHeight="false" outlineLevel="0" collapsed="false">
      <c r="A303" s="25" t="s">
        <v>385</v>
      </c>
      <c r="B303" s="25" t="s">
        <v>478</v>
      </c>
      <c r="C303" s="25" t="s">
        <v>482</v>
      </c>
      <c r="D303" s="52" t="n">
        <v>470</v>
      </c>
      <c r="E303" s="52" t="n">
        <v>478</v>
      </c>
      <c r="F303" s="63" t="n">
        <f aca="false">IF(E303="","",D303-E303)</f>
        <v>-8</v>
      </c>
      <c r="G303" s="52" t="n">
        <v>956</v>
      </c>
      <c r="H303" s="52" t="n">
        <v>948</v>
      </c>
      <c r="I303" s="63" t="n">
        <f aca="false">IF(H303="","",G303-H303)</f>
        <v>8</v>
      </c>
      <c r="J303" s="53" t="n">
        <f aca="false">IF(OR(D303="",D303+G303=0),"",D303/(D303+G303))</f>
        <v>0.329593267882188</v>
      </c>
      <c r="K303" s="53" t="n">
        <f aca="false">IF(E303="","",E303/(E303+H303))</f>
        <v>0.335203366058906</v>
      </c>
      <c r="L303" s="64" t="n">
        <f aca="false">IF(OR(K303="",J303=""),"",(J303-K303)*100)</f>
        <v>-0.561009817671809</v>
      </c>
      <c r="M303" s="28" t="n">
        <v>2.49017287917352</v>
      </c>
      <c r="N303" s="28" t="n">
        <v>0.397844942258686</v>
      </c>
      <c r="O303" s="28" t="n">
        <f aca="false">SQRT(M303^2+N303^2)</f>
        <v>2.52175366882892</v>
      </c>
      <c r="P303" s="53" t="n">
        <f aca="false">IF(J303="","",MAX(0,J303-1.96*O303/100))</f>
        <v>0.280166895973141</v>
      </c>
      <c r="Q303" s="53" t="n">
        <f aca="false">IF(J303="","",MIN(1,J303+1.96*O303/100))</f>
        <v>0.379019639791235</v>
      </c>
      <c r="R303" s="25" t="str">
        <f aca="false">IF(L303="","",IF(ABS(L303)&lt;=O303,"Yes","No"))</f>
        <v>Yes</v>
      </c>
      <c r="S303" s="25" t="str">
        <f aca="false">IF(L303="","",IF(ABS(L303)&lt;=1.96*O303,"Yes","No"))</f>
        <v>Yes</v>
      </c>
      <c r="T303" s="52" t="n">
        <f aca="false">IF(D303="","",ROUND(SQRT(((D303+G303)*O303/100)^2+(J303*(D303+G303)*0.08889)^2),0))</f>
        <v>55</v>
      </c>
      <c r="U303" s="25"/>
    </row>
    <row r="304" customFormat="false" ht="15" hidden="false" customHeight="false" outlineLevel="0" collapsed="false">
      <c r="A304" s="25" t="s">
        <v>385</v>
      </c>
      <c r="B304" s="25" t="s">
        <v>478</v>
      </c>
      <c r="C304" s="25" t="s">
        <v>483</v>
      </c>
      <c r="D304" s="52" t="n">
        <v>327</v>
      </c>
      <c r="E304" s="52" t="n">
        <v>360</v>
      </c>
      <c r="F304" s="63" t="n">
        <f aca="false">IF(E304="","",D304-E304)</f>
        <v>-33</v>
      </c>
      <c r="G304" s="52" t="n">
        <v>671</v>
      </c>
      <c r="H304" s="52" t="n">
        <v>645</v>
      </c>
      <c r="I304" s="63" t="n">
        <f aca="false">IF(H304="","",G304-H304)</f>
        <v>26</v>
      </c>
      <c r="J304" s="53" t="n">
        <f aca="false">IF(OR(D304="",D304+G304=0),"",D304/(D304+G304))</f>
        <v>0.327655310621243</v>
      </c>
      <c r="K304" s="53" t="n">
        <f aca="false">IF(E304="","",E304/(E304+H304))</f>
        <v>0.358208955223881</v>
      </c>
      <c r="L304" s="64" t="n">
        <f aca="false">IF(OR(K304="",J304=""),"",(J304-K304)*100)</f>
        <v>-3.05536446026381</v>
      </c>
      <c r="M304" s="28" t="n">
        <v>2.42668038003648</v>
      </c>
      <c r="N304" s="28" t="n">
        <v>0.397844942258686</v>
      </c>
      <c r="O304" s="28" t="n">
        <f aca="false">SQRT(M304^2+N304^2)</f>
        <v>2.45907670985165</v>
      </c>
      <c r="P304" s="53" t="n">
        <f aca="false">IF(J304="","",MAX(0,J304-1.96*O304/100))</f>
        <v>0.27945740710815</v>
      </c>
      <c r="Q304" s="53" t="n">
        <f aca="false">IF(J304="","",MIN(1,J304+1.96*O304/100))</f>
        <v>0.375853214134335</v>
      </c>
      <c r="R304" s="25" t="str">
        <f aca="false">IF(L304="","",IF(ABS(L304)&lt;=O304,"Yes","No"))</f>
        <v>No</v>
      </c>
      <c r="S304" s="25" t="str">
        <f aca="false">IF(L304="","",IF(ABS(L304)&lt;=1.96*O304,"Yes","No"))</f>
        <v>Yes</v>
      </c>
      <c r="T304" s="52" t="n">
        <f aca="false">IF(D304="","",ROUND(SQRT(((D304+G304)*O304/100)^2+(J304*(D304+G304)*0.10931)^2),0))</f>
        <v>43</v>
      </c>
      <c r="U304" s="25"/>
    </row>
    <row r="305" customFormat="false" ht="15" hidden="false" customHeight="false" outlineLevel="0" collapsed="false">
      <c r="A305" s="25" t="s">
        <v>385</v>
      </c>
      <c r="B305" s="25" t="s">
        <v>484</v>
      </c>
      <c r="C305" s="25" t="s">
        <v>485</v>
      </c>
      <c r="D305" s="52" t="n">
        <v>62</v>
      </c>
      <c r="E305" s="52" t="n">
        <v>264</v>
      </c>
      <c r="F305" s="63" t="n">
        <f aca="false">IF(E305="","",D305-E305)</f>
        <v>-202</v>
      </c>
      <c r="G305" s="52" t="n">
        <v>118</v>
      </c>
      <c r="H305" s="52" t="n">
        <v>439</v>
      </c>
      <c r="I305" s="63" t="n">
        <f aca="false">IF(H305="","",G305-H305)</f>
        <v>-321</v>
      </c>
      <c r="J305" s="53" t="n">
        <f aca="false">IF(OR(D305="",D305+G305=0),"",D305/(D305+G305))</f>
        <v>0.344444444444444</v>
      </c>
      <c r="K305" s="53" t="n">
        <f aca="false">IF(E305="","",E305/(E305+H305))</f>
        <v>0.375533428165007</v>
      </c>
      <c r="L305" s="64" t="n">
        <f aca="false">IF(OR(K305="",J305=""),"",(J305-K305)*100)</f>
        <v>-3.10889837205627</v>
      </c>
      <c r="M305" s="28" t="n">
        <v>3.19821915242569</v>
      </c>
      <c r="N305" s="28" t="n">
        <v>0.397844942258686</v>
      </c>
      <c r="O305" s="28" t="n">
        <f aca="false">SQRT(M305^2+N305^2)</f>
        <v>3.22286927209642</v>
      </c>
      <c r="P305" s="53" t="n">
        <f aca="false">IF(J305="","",MAX(0,J305-1.96*O305/100))</f>
        <v>0.281276206711355</v>
      </c>
      <c r="Q305" s="53" t="n">
        <f aca="false">IF(J305="","",MIN(1,J305+1.96*O305/100))</f>
        <v>0.407612682177534</v>
      </c>
      <c r="R305" s="25" t="str">
        <f aca="false">IF(L305="","",IF(ABS(L305)&lt;=O305,"Yes","No"))</f>
        <v>Yes</v>
      </c>
      <c r="S305" s="25" t="str">
        <f aca="false">IF(L305="","",IF(ABS(L305)&lt;=1.96*O305,"Yes","No"))</f>
        <v>Yes</v>
      </c>
      <c r="T305" s="52" t="n">
        <f aca="false">IF(D305="","",ROUND(SQRT(((D305+G305)*O305/100)^2+(J305*(D305+G305)*0.1901)^2),0))</f>
        <v>13</v>
      </c>
      <c r="U305" s="25"/>
    </row>
    <row r="306" customFormat="false" ht="15" hidden="false" customHeight="false" outlineLevel="0" collapsed="false">
      <c r="A306" s="25" t="s">
        <v>385</v>
      </c>
      <c r="B306" s="25" t="s">
        <v>484</v>
      </c>
      <c r="C306" s="25" t="s">
        <v>486</v>
      </c>
      <c r="D306" s="52" t="n">
        <v>364</v>
      </c>
      <c r="E306" s="52" t="n">
        <v>361</v>
      </c>
      <c r="F306" s="63" t="n">
        <f aca="false">IF(E306="","",D306-E306)</f>
        <v>3</v>
      </c>
      <c r="G306" s="52" t="n">
        <v>742</v>
      </c>
      <c r="H306" s="52" t="n">
        <v>775</v>
      </c>
      <c r="I306" s="63" t="n">
        <f aca="false">IF(H306="","",G306-H306)</f>
        <v>-33</v>
      </c>
      <c r="J306" s="53" t="n">
        <f aca="false">IF(OR(D306="",D306+G306=0),"",D306/(D306+G306))</f>
        <v>0.329113924050633</v>
      </c>
      <c r="K306" s="53" t="n">
        <f aca="false">IF(E306="","",E306/(E306+H306))</f>
        <v>0.317781690140845</v>
      </c>
      <c r="L306" s="64" t="n">
        <f aca="false">IF(OR(K306="",J306=""),"",(J306-K306)*100)</f>
        <v>1.13322339097878</v>
      </c>
      <c r="M306" s="28" t="n">
        <v>2.42668038003648</v>
      </c>
      <c r="N306" s="28" t="n">
        <v>0.397844942258686</v>
      </c>
      <c r="O306" s="28" t="n">
        <f aca="false">SQRT(M306^2+N306^2)</f>
        <v>2.45907670985165</v>
      </c>
      <c r="P306" s="53" t="n">
        <f aca="false">IF(J306="","",MAX(0,J306-1.96*O306/100))</f>
        <v>0.280916020537541</v>
      </c>
      <c r="Q306" s="53" t="n">
        <f aca="false">IF(J306="","",MIN(1,J306+1.96*O306/100))</f>
        <v>0.377311827563725</v>
      </c>
      <c r="R306" s="25" t="str">
        <f aca="false">IF(L306="","",IF(ABS(L306)&lt;=O306,"Yes","No"))</f>
        <v>Yes</v>
      </c>
      <c r="S306" s="25" t="str">
        <f aca="false">IF(L306="","",IF(ABS(L306)&lt;=1.96*O306,"Yes","No"))</f>
        <v>Yes</v>
      </c>
      <c r="T306" s="52" t="n">
        <f aca="false">IF(D306="","",ROUND(SQRT(((D306+G306)*O306/100)^2+(J306*(D306+G306)*0.10931)^2),0))</f>
        <v>48</v>
      </c>
      <c r="U306" s="25"/>
    </row>
    <row r="307" customFormat="false" ht="15" hidden="false" customHeight="false" outlineLevel="0" collapsed="false">
      <c r="A307" s="25" t="s">
        <v>385</v>
      </c>
      <c r="B307" s="25" t="s">
        <v>487</v>
      </c>
      <c r="C307" s="25" t="s">
        <v>488</v>
      </c>
      <c r="D307" s="52" t="n">
        <v>254</v>
      </c>
      <c r="E307" s="52"/>
      <c r="F307" s="63" t="str">
        <f aca="false">IF(E307="","",D307-E307)</f>
        <v/>
      </c>
      <c r="G307" s="52" t="n">
        <v>360</v>
      </c>
      <c r="H307" s="52"/>
      <c r="I307" s="63" t="str">
        <f aca="false">IF(H307="","",G307-H307)</f>
        <v/>
      </c>
      <c r="J307" s="53" t="n">
        <f aca="false">IF(OR(D307="",D307+G307=0),"",D307/(D307+G307))</f>
        <v>0.413680781758958</v>
      </c>
      <c r="K307" s="53" t="str">
        <f aca="false">IF(E307="","",E307/(E307+H307))</f>
        <v/>
      </c>
      <c r="L307" s="64" t="str">
        <f aca="false">IF(OR(K307="",J307=""),"",(J307-K307)*100)</f>
        <v/>
      </c>
      <c r="M307" s="28" t="n">
        <v>3.19821915242569</v>
      </c>
      <c r="N307" s="28" t="n">
        <v>0.397844942258686</v>
      </c>
      <c r="O307" s="28" t="n">
        <f aca="false">SQRT(M307^2+N307^2)</f>
        <v>3.22286927209642</v>
      </c>
      <c r="P307" s="53" t="n">
        <f aca="false">IF(J307="","",MAX(0,J307-1.96*O307/100))</f>
        <v>0.350512544025868</v>
      </c>
      <c r="Q307" s="53" t="n">
        <f aca="false">IF(J307="","",MIN(1,J307+1.96*O307/100))</f>
        <v>0.476849019492048</v>
      </c>
      <c r="R307" s="25" t="str">
        <f aca="false">IF(L307="","",IF(ABS(L307)&lt;=O307,"Yes","No"))</f>
        <v/>
      </c>
      <c r="S307" s="25" t="str">
        <f aca="false">IF(L307="","",IF(ABS(L307)&lt;=1.96*O307,"Yes","No"))</f>
        <v/>
      </c>
      <c r="T307" s="52" t="n">
        <f aca="false">IF(D307="","",ROUND(SQRT(((D307+G307)*O307/100)^2+(J307*(D307+G307)*0.1901)^2),0))</f>
        <v>52</v>
      </c>
      <c r="U307" s="25" t="s">
        <v>702</v>
      </c>
    </row>
    <row r="308" customFormat="false" ht="15" hidden="false" customHeight="false" outlineLevel="0" collapsed="false">
      <c r="A308" s="25" t="s">
        <v>385</v>
      </c>
      <c r="B308" s="25" t="s">
        <v>487</v>
      </c>
      <c r="C308" s="25" t="s">
        <v>489</v>
      </c>
      <c r="D308" s="52" t="n">
        <v>607</v>
      </c>
      <c r="E308" s="52"/>
      <c r="F308" s="63" t="str">
        <f aca="false">IF(E308="","",D308-E308)</f>
        <v/>
      </c>
      <c r="G308" s="52" t="n">
        <v>793</v>
      </c>
      <c r="H308" s="52"/>
      <c r="I308" s="63" t="str">
        <f aca="false">IF(H308="","",G308-H308)</f>
        <v/>
      </c>
      <c r="J308" s="53" t="n">
        <f aca="false">IF(OR(D308="",D308+G308=0),"",D308/(D308+G308))</f>
        <v>0.433571428571429</v>
      </c>
      <c r="K308" s="53" t="str">
        <f aca="false">IF(E308="","",E308/(E308+H308))</f>
        <v/>
      </c>
      <c r="L308" s="64" t="str">
        <f aca="false">IF(OR(K308="",J308=""),"",(J308-K308)*100)</f>
        <v/>
      </c>
      <c r="M308" s="28" t="n">
        <v>2.49017287917352</v>
      </c>
      <c r="N308" s="28" t="n">
        <v>0.397844942258686</v>
      </c>
      <c r="O308" s="28" t="n">
        <f aca="false">SQRT(M308^2+N308^2)</f>
        <v>2.52175366882892</v>
      </c>
      <c r="P308" s="53" t="n">
        <f aca="false">IF(J308="","",MAX(0,J308-1.96*O308/100))</f>
        <v>0.384145056662382</v>
      </c>
      <c r="Q308" s="53" t="n">
        <f aca="false">IF(J308="","",MIN(1,J308+1.96*O308/100))</f>
        <v>0.482997800480475</v>
      </c>
      <c r="R308" s="25" t="str">
        <f aca="false">IF(L308="","",IF(ABS(L308)&lt;=O308,"Yes","No"))</f>
        <v/>
      </c>
      <c r="S308" s="25" t="str">
        <f aca="false">IF(L308="","",IF(ABS(L308)&lt;=1.96*O308,"Yes","No"))</f>
        <v/>
      </c>
      <c r="T308" s="52" t="n">
        <f aca="false">IF(D308="","",ROUND(SQRT(((D308+G308)*O308/100)^2+(J308*(D308+G308)*0.08889)^2),0))</f>
        <v>64</v>
      </c>
      <c r="U308" s="25" t="s">
        <v>702</v>
      </c>
    </row>
    <row r="309" customFormat="false" ht="15" hidden="false" customHeight="false" outlineLevel="0" collapsed="false">
      <c r="A309" s="25" t="s">
        <v>385</v>
      </c>
      <c r="B309" s="25" t="s">
        <v>487</v>
      </c>
      <c r="C309" s="25" t="s">
        <v>490</v>
      </c>
      <c r="D309" s="52" t="n">
        <v>571</v>
      </c>
      <c r="E309" s="52" t="n">
        <v>606</v>
      </c>
      <c r="F309" s="63" t="n">
        <f aca="false">IF(E309="","",D309-E309)</f>
        <v>-35</v>
      </c>
      <c r="G309" s="52" t="n">
        <v>843</v>
      </c>
      <c r="H309" s="52" t="n">
        <v>825</v>
      </c>
      <c r="I309" s="63" t="n">
        <f aca="false">IF(H309="","",G309-H309)</f>
        <v>18</v>
      </c>
      <c r="J309" s="53" t="n">
        <f aca="false">IF(OR(D309="",D309+G309=0),"",D309/(D309+G309))</f>
        <v>0.403818953323904</v>
      </c>
      <c r="K309" s="53" t="n">
        <f aca="false">IF(E309="","",E309/(E309+H309))</f>
        <v>0.423480083857442</v>
      </c>
      <c r="L309" s="64" t="n">
        <f aca="false">IF(OR(K309="",J309=""),"",(J309-K309)*100)</f>
        <v>-1.96611305335385</v>
      </c>
      <c r="M309" s="28" t="n">
        <v>2.49017287917352</v>
      </c>
      <c r="N309" s="28" t="n">
        <v>0.397844942258686</v>
      </c>
      <c r="O309" s="28" t="n">
        <f aca="false">SQRT(M309^2+N309^2)</f>
        <v>2.52175366882892</v>
      </c>
      <c r="P309" s="53" t="n">
        <f aca="false">IF(J309="","",MAX(0,J309-1.96*O309/100))</f>
        <v>0.354392581414857</v>
      </c>
      <c r="Q309" s="53" t="n">
        <f aca="false">IF(J309="","",MIN(1,J309+1.96*O309/100))</f>
        <v>0.453245325232951</v>
      </c>
      <c r="R309" s="25" t="str">
        <f aca="false">IF(L309="","",IF(ABS(L309)&lt;=O309,"Yes","No"))</f>
        <v>Yes</v>
      </c>
      <c r="S309" s="25" t="str">
        <f aca="false">IF(L309="","",IF(ABS(L309)&lt;=1.96*O309,"Yes","No"))</f>
        <v>Yes</v>
      </c>
      <c r="T309" s="52" t="n">
        <f aca="false">IF(D309="","",ROUND(SQRT(((D309+G309)*O309/100)^2+(J309*(D309+G309)*0.08889)^2),0))</f>
        <v>62</v>
      </c>
      <c r="U309" s="25"/>
    </row>
    <row r="310" customFormat="false" ht="15" hidden="false" customHeight="false" outlineLevel="0" collapsed="false">
      <c r="A310" s="25" t="s">
        <v>385</v>
      </c>
      <c r="B310" s="25" t="s">
        <v>487</v>
      </c>
      <c r="C310" s="25" t="s">
        <v>491</v>
      </c>
      <c r="D310" s="52" t="n">
        <v>559</v>
      </c>
      <c r="E310" s="52"/>
      <c r="F310" s="63" t="str">
        <f aca="false">IF(E310="","",D310-E310)</f>
        <v/>
      </c>
      <c r="G310" s="52" t="n">
        <v>785</v>
      </c>
      <c r="H310" s="52"/>
      <c r="I310" s="63" t="str">
        <f aca="false">IF(H310="","",G310-H310)</f>
        <v/>
      </c>
      <c r="J310" s="53" t="n">
        <f aca="false">IF(OR(D310="",D310+G310=0),"",D310/(D310+G310))</f>
        <v>0.415922619047619</v>
      </c>
      <c r="K310" s="53" t="str">
        <f aca="false">IF(E310="","",E310/(E310+H310))</f>
        <v/>
      </c>
      <c r="L310" s="64" t="str">
        <f aca="false">IF(OR(K310="",J310=""),"",(J310-K310)*100)</f>
        <v/>
      </c>
      <c r="M310" s="28" t="n">
        <v>2.49017287917352</v>
      </c>
      <c r="N310" s="28" t="n">
        <v>0.397844942258686</v>
      </c>
      <c r="O310" s="28" t="n">
        <f aca="false">SQRT(M310^2+N310^2)</f>
        <v>2.52175366882892</v>
      </c>
      <c r="P310" s="53" t="n">
        <f aca="false">IF(J310="","",MAX(0,J310-1.96*O310/100))</f>
        <v>0.366496247138572</v>
      </c>
      <c r="Q310" s="53" t="n">
        <f aca="false">IF(J310="","",MIN(1,J310+1.96*O310/100))</f>
        <v>0.465348990956666</v>
      </c>
      <c r="R310" s="25" t="str">
        <f aca="false">IF(L310="","",IF(ABS(L310)&lt;=O310,"Yes","No"))</f>
        <v/>
      </c>
      <c r="S310" s="25" t="str">
        <f aca="false">IF(L310="","",IF(ABS(L310)&lt;=1.96*O310,"Yes","No"))</f>
        <v/>
      </c>
      <c r="T310" s="52" t="n">
        <f aca="false">IF(D310="","",ROUND(SQRT(((D310+G310)*O310/100)^2+(J310*(D310+G310)*0.08889)^2),0))</f>
        <v>60</v>
      </c>
      <c r="U310" s="25" t="s">
        <v>702</v>
      </c>
    </row>
    <row r="311" customFormat="false" ht="15" hidden="false" customHeight="false" outlineLevel="0" collapsed="false">
      <c r="A311" s="25" t="s">
        <v>385</v>
      </c>
      <c r="B311" s="25" t="s">
        <v>492</v>
      </c>
      <c r="C311" s="25" t="s">
        <v>493</v>
      </c>
      <c r="D311" s="52" t="n">
        <v>567</v>
      </c>
      <c r="E311" s="52" t="n">
        <v>585</v>
      </c>
      <c r="F311" s="63" t="n">
        <f aca="false">IF(E311="","",D311-E311)</f>
        <v>-18</v>
      </c>
      <c r="G311" s="52" t="n">
        <v>539</v>
      </c>
      <c r="H311" s="52" t="n">
        <v>527</v>
      </c>
      <c r="I311" s="63" t="n">
        <f aca="false">IF(H311="","",G311-H311)</f>
        <v>12</v>
      </c>
      <c r="J311" s="53" t="n">
        <f aca="false">IF(OR(D311="",D311+G311=0),"",D311/(D311+G311))</f>
        <v>0.512658227848101</v>
      </c>
      <c r="K311" s="53" t="n">
        <f aca="false">IF(E311="","",E311/(E311+H311))</f>
        <v>0.526079136690647</v>
      </c>
      <c r="L311" s="64" t="n">
        <f aca="false">IF(OR(K311="",J311=""),"",(J311-K311)*100)</f>
        <v>-1.34209088425462</v>
      </c>
      <c r="M311" s="28" t="n">
        <v>2.42668038003648</v>
      </c>
      <c r="N311" s="28" t="n">
        <v>0.397844942258686</v>
      </c>
      <c r="O311" s="28" t="n">
        <f aca="false">SQRT(M311^2+N311^2)</f>
        <v>2.45907670985165</v>
      </c>
      <c r="P311" s="53" t="n">
        <f aca="false">IF(J311="","",MAX(0,J311-1.96*O311/100))</f>
        <v>0.464460324335009</v>
      </c>
      <c r="Q311" s="53" t="n">
        <f aca="false">IF(J311="","",MIN(1,J311+1.96*O311/100))</f>
        <v>0.560856131361194</v>
      </c>
      <c r="R311" s="25" t="str">
        <f aca="false">IF(L311="","",IF(ABS(L311)&lt;=O311,"Yes","No"))</f>
        <v>Yes</v>
      </c>
      <c r="S311" s="25" t="str">
        <f aca="false">IF(L311="","",IF(ABS(L311)&lt;=1.96*O311,"Yes","No"))</f>
        <v>Yes</v>
      </c>
      <c r="T311" s="52" t="n">
        <f aca="false">IF(D311="","",ROUND(SQRT(((D311+G311)*O311/100)^2+(J311*(D311+G311)*0.10931)^2),0))</f>
        <v>68</v>
      </c>
      <c r="U311" s="25"/>
    </row>
    <row r="312" customFormat="false" ht="15" hidden="false" customHeight="false" outlineLevel="0" collapsed="false">
      <c r="A312" s="25" t="s">
        <v>385</v>
      </c>
      <c r="B312" s="25" t="s">
        <v>492</v>
      </c>
      <c r="C312" s="25" t="s">
        <v>494</v>
      </c>
      <c r="D312" s="52" t="n">
        <v>675</v>
      </c>
      <c r="E312" s="52" t="n">
        <v>639</v>
      </c>
      <c r="F312" s="63" t="n">
        <f aca="false">IF(E312="","",D312-E312)</f>
        <v>36</v>
      </c>
      <c r="G312" s="52" t="n">
        <v>889</v>
      </c>
      <c r="H312" s="52" t="n">
        <v>886</v>
      </c>
      <c r="I312" s="63" t="n">
        <f aca="false">IF(H312="","",G312-H312)</f>
        <v>3</v>
      </c>
      <c r="J312" s="53" t="n">
        <f aca="false">IF(OR(D312="",D312+G312=0),"",D312/(D312+G312))</f>
        <v>0.431585677749361</v>
      </c>
      <c r="K312" s="53" t="n">
        <f aca="false">IF(E312="","",E312/(E312+H312))</f>
        <v>0.419016393442623</v>
      </c>
      <c r="L312" s="64" t="n">
        <f aca="false">IF(OR(K312="",J312=""),"",(J312-K312)*100)</f>
        <v>1.25692843067377</v>
      </c>
      <c r="M312" s="28" t="n">
        <v>2.49017287917352</v>
      </c>
      <c r="N312" s="28" t="n">
        <v>0.397844942258686</v>
      </c>
      <c r="O312" s="28" t="n">
        <f aca="false">SQRT(M312^2+N312^2)</f>
        <v>2.52175366882892</v>
      </c>
      <c r="P312" s="53" t="n">
        <f aca="false">IF(J312="","",MAX(0,J312-1.96*O312/100))</f>
        <v>0.382159305840314</v>
      </c>
      <c r="Q312" s="53" t="n">
        <f aca="false">IF(J312="","",MIN(1,J312+1.96*O312/100))</f>
        <v>0.481012049658408</v>
      </c>
      <c r="R312" s="25" t="str">
        <f aca="false">IF(L312="","",IF(ABS(L312)&lt;=O312,"Yes","No"))</f>
        <v>Yes</v>
      </c>
      <c r="S312" s="25" t="str">
        <f aca="false">IF(L312="","",IF(ABS(L312)&lt;=1.96*O312,"Yes","No"))</f>
        <v>Yes</v>
      </c>
      <c r="T312" s="52" t="n">
        <f aca="false">IF(D312="","",ROUND(SQRT(((D312+G312)*O312/100)^2+(J312*(D312+G312)*0.08889)^2),0))</f>
        <v>72</v>
      </c>
      <c r="U312" s="25"/>
    </row>
    <row r="313" customFormat="false" ht="15" hidden="false" customHeight="false" outlineLevel="0" collapsed="false">
      <c r="A313" s="25" t="s">
        <v>385</v>
      </c>
      <c r="B313" s="25" t="s">
        <v>492</v>
      </c>
      <c r="C313" s="25" t="s">
        <v>495</v>
      </c>
      <c r="D313" s="52" t="n">
        <v>302</v>
      </c>
      <c r="E313" s="52"/>
      <c r="F313" s="63" t="str">
        <f aca="false">IF(E313="","",D313-E313)</f>
        <v/>
      </c>
      <c r="G313" s="52" t="n">
        <v>368</v>
      </c>
      <c r="H313" s="52"/>
      <c r="I313" s="63" t="str">
        <f aca="false">IF(H313="","",G313-H313)</f>
        <v/>
      </c>
      <c r="J313" s="53" t="n">
        <f aca="false">IF(OR(D313="",D313+G313=0),"",D313/(D313+G313))</f>
        <v>0.450746268656716</v>
      </c>
      <c r="K313" s="53" t="str">
        <f aca="false">IF(E313="","",E313/(E313+H313))</f>
        <v/>
      </c>
      <c r="L313" s="64" t="str">
        <f aca="false">IF(OR(K313="",J313=""),"",(J313-K313)*100)</f>
        <v/>
      </c>
      <c r="M313" s="28" t="n">
        <v>3.19821915242569</v>
      </c>
      <c r="N313" s="28" t="n">
        <v>0.397844942258686</v>
      </c>
      <c r="O313" s="28" t="n">
        <f aca="false">SQRT(M313^2+N313^2)</f>
        <v>3.22286927209642</v>
      </c>
      <c r="P313" s="53" t="n">
        <f aca="false">IF(J313="","",MAX(0,J313-1.96*O313/100))</f>
        <v>0.387578030923627</v>
      </c>
      <c r="Q313" s="53" t="n">
        <f aca="false">IF(J313="","",MIN(1,J313+1.96*O313/100))</f>
        <v>0.513914506389806</v>
      </c>
      <c r="R313" s="25" t="str">
        <f aca="false">IF(L313="","",IF(ABS(L313)&lt;=O313,"Yes","No"))</f>
        <v/>
      </c>
      <c r="S313" s="25" t="str">
        <f aca="false">IF(L313="","",IF(ABS(L313)&lt;=1.96*O313,"Yes","No"))</f>
        <v/>
      </c>
      <c r="T313" s="52" t="n">
        <f aca="false">IF(D313="","",ROUND(SQRT(((D313+G313)*O313/100)^2+(J313*(D313+G313)*0.1901)^2),0))</f>
        <v>61</v>
      </c>
      <c r="U313" s="25" t="s">
        <v>702</v>
      </c>
    </row>
    <row r="314" customFormat="false" ht="15" hidden="false" customHeight="false" outlineLevel="0" collapsed="false">
      <c r="A314" s="25" t="s">
        <v>385</v>
      </c>
      <c r="B314" s="25" t="s">
        <v>492</v>
      </c>
      <c r="C314" s="25" t="s">
        <v>496</v>
      </c>
      <c r="D314" s="52" t="n">
        <v>469</v>
      </c>
      <c r="E314" s="52" t="n">
        <v>496</v>
      </c>
      <c r="F314" s="63" t="n">
        <f aca="false">IF(E314="","",D314-E314)</f>
        <v>-27</v>
      </c>
      <c r="G314" s="52" t="n">
        <v>462</v>
      </c>
      <c r="H314" s="52" t="n">
        <v>458</v>
      </c>
      <c r="I314" s="63" t="n">
        <f aca="false">IF(H314="","",G314-H314)</f>
        <v>4</v>
      </c>
      <c r="J314" s="53" t="n">
        <f aca="false">IF(OR(D314="",D314+G314=0),"",D314/(D314+G314))</f>
        <v>0.503759398496241</v>
      </c>
      <c r="K314" s="53" t="n">
        <f aca="false">IF(E314="","",E314/(E314+H314))</f>
        <v>0.519916142557652</v>
      </c>
      <c r="L314" s="64" t="n">
        <f aca="false">IF(OR(K314="",J314=""),"",(J314-K314)*100)</f>
        <v>-1.61567440614113</v>
      </c>
      <c r="M314" s="28" t="n">
        <v>2.42668038003648</v>
      </c>
      <c r="N314" s="28" t="n">
        <v>0.397844942258686</v>
      </c>
      <c r="O314" s="28" t="n">
        <f aca="false">SQRT(M314^2+N314^2)</f>
        <v>2.45907670985165</v>
      </c>
      <c r="P314" s="53" t="n">
        <f aca="false">IF(J314="","",MAX(0,J314-1.96*O314/100))</f>
        <v>0.455561494983148</v>
      </c>
      <c r="Q314" s="53" t="n">
        <f aca="false">IF(J314="","",MIN(1,J314+1.96*O314/100))</f>
        <v>0.551957302009333</v>
      </c>
      <c r="R314" s="25" t="str">
        <f aca="false">IF(L314="","",IF(ABS(L314)&lt;=O314,"Yes","No"))</f>
        <v>Yes</v>
      </c>
      <c r="S314" s="25" t="str">
        <f aca="false">IF(L314="","",IF(ABS(L314)&lt;=1.96*O314,"Yes","No"))</f>
        <v>Yes</v>
      </c>
      <c r="T314" s="52" t="n">
        <f aca="false">IF(D314="","",ROUND(SQRT(((D314+G314)*O314/100)^2+(J314*(D314+G314)*0.10931)^2),0))</f>
        <v>56</v>
      </c>
      <c r="U314" s="25"/>
    </row>
    <row r="315" customFormat="false" ht="15" hidden="false" customHeight="false" outlineLevel="0" collapsed="false">
      <c r="A315" s="25" t="s">
        <v>385</v>
      </c>
      <c r="B315" s="25" t="s">
        <v>492</v>
      </c>
      <c r="C315" s="25" t="s">
        <v>497</v>
      </c>
      <c r="D315" s="52" t="n">
        <v>397</v>
      </c>
      <c r="E315" s="52" t="n">
        <v>423</v>
      </c>
      <c r="F315" s="63" t="n">
        <f aca="false">IF(E315="","",D315-E315)</f>
        <v>-26</v>
      </c>
      <c r="G315" s="52" t="n">
        <v>579</v>
      </c>
      <c r="H315" s="52" t="n">
        <v>592</v>
      </c>
      <c r="I315" s="63" t="n">
        <f aca="false">IF(H315="","",G315-H315)</f>
        <v>-13</v>
      </c>
      <c r="J315" s="53" t="n">
        <f aca="false">IF(OR(D315="",D315+G315=0),"",D315/(D315+G315))</f>
        <v>0.406762295081967</v>
      </c>
      <c r="K315" s="53" t="n">
        <f aca="false">IF(E315="","",E315/(E315+H315))</f>
        <v>0.416748768472906</v>
      </c>
      <c r="L315" s="64" t="n">
        <f aca="false">IF(OR(K315="",J315=""),"",(J315-K315)*100)</f>
        <v>-0.998647339093922</v>
      </c>
      <c r="M315" s="28" t="n">
        <v>2.42668038003648</v>
      </c>
      <c r="N315" s="28" t="n">
        <v>0.397844942258686</v>
      </c>
      <c r="O315" s="28" t="n">
        <f aca="false">SQRT(M315^2+N315^2)</f>
        <v>2.45907670985165</v>
      </c>
      <c r="P315" s="53" t="n">
        <f aca="false">IF(J315="","",MAX(0,J315-1.96*O315/100))</f>
        <v>0.358564391568875</v>
      </c>
      <c r="Q315" s="53" t="n">
        <f aca="false">IF(J315="","",MIN(1,J315+1.96*O315/100))</f>
        <v>0.45496019859506</v>
      </c>
      <c r="R315" s="25" t="str">
        <f aca="false">IF(L315="","",IF(ABS(L315)&lt;=O315,"Yes","No"))</f>
        <v>Yes</v>
      </c>
      <c r="S315" s="25" t="str">
        <f aca="false">IF(L315="","",IF(ABS(L315)&lt;=1.96*O315,"Yes","No"))</f>
        <v>Yes</v>
      </c>
      <c r="T315" s="52" t="n">
        <f aca="false">IF(D315="","",ROUND(SQRT(((D315+G315)*O315/100)^2+(J315*(D315+G315)*0.10931)^2),0))</f>
        <v>50</v>
      </c>
      <c r="U315" s="25"/>
    </row>
    <row r="316" customFormat="false" ht="15" hidden="false" customHeight="false" outlineLevel="0" collapsed="false">
      <c r="A316" s="25" t="s">
        <v>385</v>
      </c>
      <c r="B316" s="25" t="s">
        <v>492</v>
      </c>
      <c r="C316" s="25" t="s">
        <v>498</v>
      </c>
      <c r="D316" s="52" t="n">
        <v>401</v>
      </c>
      <c r="E316" s="52"/>
      <c r="F316" s="63" t="str">
        <f aca="false">IF(E316="","",D316-E316)</f>
        <v/>
      </c>
      <c r="G316" s="52" t="n">
        <v>427</v>
      </c>
      <c r="H316" s="52"/>
      <c r="I316" s="63" t="str">
        <f aca="false">IF(H316="","",G316-H316)</f>
        <v/>
      </c>
      <c r="J316" s="53" t="n">
        <f aca="false">IF(OR(D316="",D316+G316=0),"",D316/(D316+G316))</f>
        <v>0.484299516908213</v>
      </c>
      <c r="K316" s="53" t="str">
        <f aca="false">IF(E316="","",E316/(E316+H316))</f>
        <v/>
      </c>
      <c r="L316" s="64" t="str">
        <f aca="false">IF(OR(K316="",J316=""),"",(J316-K316)*100)</f>
        <v/>
      </c>
      <c r="M316" s="28" t="n">
        <v>2.42668038003648</v>
      </c>
      <c r="N316" s="28" t="n">
        <v>0.397844942258686</v>
      </c>
      <c r="O316" s="28" t="n">
        <f aca="false">SQRT(M316^2+N316^2)</f>
        <v>2.45907670985165</v>
      </c>
      <c r="P316" s="53" t="n">
        <f aca="false">IF(J316="","",MAX(0,J316-1.96*O316/100))</f>
        <v>0.43610161339512</v>
      </c>
      <c r="Q316" s="53" t="n">
        <f aca="false">IF(J316="","",MIN(1,J316+1.96*O316/100))</f>
        <v>0.532497420421305</v>
      </c>
      <c r="R316" s="25" t="str">
        <f aca="false">IF(L316="","",IF(ABS(L316)&lt;=O316,"Yes","No"))</f>
        <v/>
      </c>
      <c r="S316" s="25" t="str">
        <f aca="false">IF(L316="","",IF(ABS(L316)&lt;=1.96*O316,"Yes","No"))</f>
        <v/>
      </c>
      <c r="T316" s="52" t="n">
        <f aca="false">IF(D316="","",ROUND(SQRT(((D316+G316)*O316/100)^2+(J316*(D316+G316)*0.10931)^2),0))</f>
        <v>48</v>
      </c>
      <c r="U316" s="25" t="s">
        <v>702</v>
      </c>
    </row>
    <row r="317" customFormat="false" ht="15" hidden="false" customHeight="false" outlineLevel="0" collapsed="false">
      <c r="A317" s="25" t="s">
        <v>385</v>
      </c>
      <c r="B317" s="25" t="s">
        <v>499</v>
      </c>
      <c r="C317" s="25" t="s">
        <v>500</v>
      </c>
      <c r="D317" s="52" t="n">
        <v>380</v>
      </c>
      <c r="E317" s="52" t="n">
        <v>409</v>
      </c>
      <c r="F317" s="63" t="n">
        <f aca="false">IF(E317="","",D317-E317)</f>
        <v>-29</v>
      </c>
      <c r="G317" s="52" t="n">
        <v>781</v>
      </c>
      <c r="H317" s="52" t="n">
        <v>764</v>
      </c>
      <c r="I317" s="63" t="n">
        <f aca="false">IF(H317="","",G317-H317)</f>
        <v>17</v>
      </c>
      <c r="J317" s="53" t="n">
        <f aca="false">IF(OR(D317="",D317+G317=0),"",D317/(D317+G317))</f>
        <v>0.327304048234281</v>
      </c>
      <c r="K317" s="53" t="n">
        <f aca="false">IF(E317="","",E317/(E317+H317))</f>
        <v>0.348678601875533</v>
      </c>
      <c r="L317" s="64" t="n">
        <f aca="false">IF(OR(K317="",J317=""),"",(J317-K317)*100)</f>
        <v>-2.13745536412521</v>
      </c>
      <c r="M317" s="28" t="n">
        <v>2.42668038003648</v>
      </c>
      <c r="N317" s="28" t="n">
        <v>0.397844942258686</v>
      </c>
      <c r="O317" s="28" t="n">
        <f aca="false">SQRT(M317^2+N317^2)</f>
        <v>2.45907670985165</v>
      </c>
      <c r="P317" s="53" t="n">
        <f aca="false">IF(J317="","",MAX(0,J317-1.96*O317/100))</f>
        <v>0.279106144721188</v>
      </c>
      <c r="Q317" s="53" t="n">
        <f aca="false">IF(J317="","",MIN(1,J317+1.96*O317/100))</f>
        <v>0.375501951747373</v>
      </c>
      <c r="R317" s="25" t="str">
        <f aca="false">IF(L317="","",IF(ABS(L317)&lt;=O317,"Yes","No"))</f>
        <v>Yes</v>
      </c>
      <c r="S317" s="25" t="str">
        <f aca="false">IF(L317="","",IF(ABS(L317)&lt;=1.96*O317,"Yes","No"))</f>
        <v>Yes</v>
      </c>
      <c r="T317" s="52" t="n">
        <f aca="false">IF(D317="","",ROUND(SQRT(((D317+G317)*O317/100)^2+(J317*(D317+G317)*0.10931)^2),0))</f>
        <v>50</v>
      </c>
      <c r="U317" s="25"/>
    </row>
    <row r="318" customFormat="false" ht="15" hidden="false" customHeight="false" outlineLevel="0" collapsed="false">
      <c r="A318" s="25" t="s">
        <v>385</v>
      </c>
      <c r="B318" s="25" t="s">
        <v>499</v>
      </c>
      <c r="C318" s="25" t="s">
        <v>501</v>
      </c>
      <c r="D318" s="52" t="n">
        <v>762</v>
      </c>
      <c r="E318" s="52" t="n">
        <v>805</v>
      </c>
      <c r="F318" s="63" t="n">
        <f aca="false">IF(E318="","",D318-E318)</f>
        <v>-43</v>
      </c>
      <c r="G318" s="52" t="n">
        <v>1580</v>
      </c>
      <c r="H318" s="52" t="n">
        <v>1577</v>
      </c>
      <c r="I318" s="63" t="n">
        <f aca="false">IF(H318="","",G318-H318)</f>
        <v>3</v>
      </c>
      <c r="J318" s="53" t="n">
        <f aca="false">IF(OR(D318="",D318+G318=0),"",D318/(D318+G318))</f>
        <v>0.32536293766012</v>
      </c>
      <c r="K318" s="53" t="n">
        <f aca="false">IF(E318="","",E318/(E318+H318))</f>
        <v>0.337951301427372</v>
      </c>
      <c r="L318" s="64" t="n">
        <f aca="false">IF(OR(K318="",J318=""),"",(J318-K318)*100)</f>
        <v>-1.25883637672524</v>
      </c>
      <c r="M318" s="28" t="n">
        <v>2.49017287917352</v>
      </c>
      <c r="N318" s="28" t="n">
        <v>0.397844942258686</v>
      </c>
      <c r="O318" s="28" t="n">
        <f aca="false">SQRT(M318^2+N318^2)</f>
        <v>2.52175366882892</v>
      </c>
      <c r="P318" s="53" t="n">
        <f aca="false">IF(J318="","",MAX(0,J318-1.96*O318/100))</f>
        <v>0.275936565751073</v>
      </c>
      <c r="Q318" s="53" t="n">
        <f aca="false">IF(J318="","",MIN(1,J318+1.96*O318/100))</f>
        <v>0.374789309569166</v>
      </c>
      <c r="R318" s="25" t="str">
        <f aca="false">IF(L318="","",IF(ABS(L318)&lt;=O318,"Yes","No"))</f>
        <v>Yes</v>
      </c>
      <c r="S318" s="25" t="str">
        <f aca="false">IF(L318="","",IF(ABS(L318)&lt;=1.96*O318,"Yes","No"))</f>
        <v>Yes</v>
      </c>
      <c r="T318" s="52" t="n">
        <f aca="false">IF(D318="","",ROUND(SQRT(((D318+G318)*O318/100)^2+(J318*(D318+G318)*0.08889)^2),0))</f>
        <v>90</v>
      </c>
      <c r="U318" s="25"/>
    </row>
    <row r="319" customFormat="false" ht="15" hidden="false" customHeight="false" outlineLevel="0" collapsed="false">
      <c r="A319" s="25" t="s">
        <v>385</v>
      </c>
      <c r="B319" s="25" t="s">
        <v>499</v>
      </c>
      <c r="C319" s="25" t="s">
        <v>502</v>
      </c>
      <c r="D319" s="52" t="n">
        <v>534</v>
      </c>
      <c r="E319" s="52" t="n">
        <v>547</v>
      </c>
      <c r="F319" s="63" t="n">
        <f aca="false">IF(E319="","",D319-E319)</f>
        <v>-13</v>
      </c>
      <c r="G319" s="52" t="n">
        <v>1147</v>
      </c>
      <c r="H319" s="52" t="n">
        <v>1179</v>
      </c>
      <c r="I319" s="63" t="n">
        <f aca="false">IF(H319="","",G319-H319)</f>
        <v>-32</v>
      </c>
      <c r="J319" s="53" t="n">
        <f aca="false">IF(OR(D319="",D319+G319=0),"",D319/(D319+G319))</f>
        <v>0.317668054729328</v>
      </c>
      <c r="K319" s="53" t="n">
        <f aca="false">IF(E319="","",E319/(E319+H319))</f>
        <v>0.316917728852839</v>
      </c>
      <c r="L319" s="64" t="n">
        <f aca="false">IF(OR(K319="",J319=""),"",(J319-K319)*100)</f>
        <v>0.0750325876488878</v>
      </c>
      <c r="M319" s="28" t="n">
        <v>2.49017287917352</v>
      </c>
      <c r="N319" s="28" t="n">
        <v>0.397844942258686</v>
      </c>
      <c r="O319" s="28" t="n">
        <f aca="false">SQRT(M319^2+N319^2)</f>
        <v>2.52175366882892</v>
      </c>
      <c r="P319" s="53" t="n">
        <f aca="false">IF(J319="","",MAX(0,J319-1.96*O319/100))</f>
        <v>0.268241682820281</v>
      </c>
      <c r="Q319" s="53" t="n">
        <f aca="false">IF(J319="","",MIN(1,J319+1.96*O319/100))</f>
        <v>0.367094426638375</v>
      </c>
      <c r="R319" s="25" t="str">
        <f aca="false">IF(L319="","",IF(ABS(L319)&lt;=O319,"Yes","No"))</f>
        <v>Yes</v>
      </c>
      <c r="S319" s="25" t="str">
        <f aca="false">IF(L319="","",IF(ABS(L319)&lt;=1.96*O319,"Yes","No"))</f>
        <v>Yes</v>
      </c>
      <c r="T319" s="52" t="n">
        <f aca="false">IF(D319="","",ROUND(SQRT(((D319+G319)*O319/100)^2+(J319*(D319+G319)*0.08889)^2),0))</f>
        <v>64</v>
      </c>
      <c r="U319" s="25"/>
    </row>
    <row r="320" customFormat="false" ht="15" hidden="false" customHeight="false" outlineLevel="0" collapsed="false">
      <c r="A320" s="25" t="s">
        <v>385</v>
      </c>
      <c r="B320" s="25" t="s">
        <v>499</v>
      </c>
      <c r="C320" s="25" t="s">
        <v>503</v>
      </c>
      <c r="D320" s="52" t="n">
        <v>252</v>
      </c>
      <c r="E320" s="52" t="n">
        <v>245</v>
      </c>
      <c r="F320" s="63" t="n">
        <f aca="false">IF(E320="","",D320-E320)</f>
        <v>7</v>
      </c>
      <c r="G320" s="52" t="n">
        <v>510</v>
      </c>
      <c r="H320" s="52" t="n">
        <v>537</v>
      </c>
      <c r="I320" s="63" t="n">
        <f aca="false">IF(H320="","",G320-H320)</f>
        <v>-27</v>
      </c>
      <c r="J320" s="53" t="n">
        <f aca="false">IF(OR(D320="",D320+G320=0),"",D320/(D320+G320))</f>
        <v>0.330708661417323</v>
      </c>
      <c r="K320" s="53" t="n">
        <f aca="false">IF(E320="","",E320/(E320+H320))</f>
        <v>0.313299232736573</v>
      </c>
      <c r="L320" s="64" t="n">
        <f aca="false">IF(OR(K320="",J320=""),"",(J320-K320)*100)</f>
        <v>1.740942868075</v>
      </c>
      <c r="M320" s="28" t="n">
        <v>2.42668038003648</v>
      </c>
      <c r="N320" s="28" t="n">
        <v>0.397844942258686</v>
      </c>
      <c r="O320" s="28" t="n">
        <f aca="false">SQRT(M320^2+N320^2)</f>
        <v>2.45907670985165</v>
      </c>
      <c r="P320" s="53" t="n">
        <f aca="false">IF(J320="","",MAX(0,J320-1.96*O320/100))</f>
        <v>0.28251075790423</v>
      </c>
      <c r="Q320" s="53" t="n">
        <f aca="false">IF(J320="","",MIN(1,J320+1.96*O320/100))</f>
        <v>0.378906564930415</v>
      </c>
      <c r="R320" s="25" t="str">
        <f aca="false">IF(L320="","",IF(ABS(L320)&lt;=O320,"Yes","No"))</f>
        <v>Yes</v>
      </c>
      <c r="S320" s="25" t="str">
        <f aca="false">IF(L320="","",IF(ABS(L320)&lt;=1.96*O320,"Yes","No"))</f>
        <v>Yes</v>
      </c>
      <c r="T320" s="52" t="n">
        <f aca="false">IF(D320="","",ROUND(SQRT(((D320+G320)*O320/100)^2+(J320*(D320+G320)*0.10931)^2),0))</f>
        <v>33</v>
      </c>
      <c r="U320" s="25"/>
    </row>
    <row r="321" customFormat="false" ht="15" hidden="false" customHeight="false" outlineLevel="0" collapsed="false">
      <c r="A321" s="25" t="s">
        <v>385</v>
      </c>
      <c r="B321" s="25" t="s">
        <v>504</v>
      </c>
      <c r="C321" s="25" t="s">
        <v>505</v>
      </c>
      <c r="D321" s="52" t="n">
        <v>575</v>
      </c>
      <c r="E321" s="52" t="n">
        <v>601</v>
      </c>
      <c r="F321" s="63" t="n">
        <f aca="false">IF(E321="","",D321-E321)</f>
        <v>-26</v>
      </c>
      <c r="G321" s="52" t="n">
        <v>604</v>
      </c>
      <c r="H321" s="52" t="n">
        <v>605</v>
      </c>
      <c r="I321" s="63" t="n">
        <f aca="false">IF(H321="","",G321-H321)</f>
        <v>-1</v>
      </c>
      <c r="J321" s="53" t="n">
        <f aca="false">IF(OR(D321="",D321+G321=0),"",D321/(D321+G321))</f>
        <v>0.487701441899915</v>
      </c>
      <c r="K321" s="53" t="n">
        <f aca="false">IF(E321="","",E321/(E321+H321))</f>
        <v>0.498341625207297</v>
      </c>
      <c r="L321" s="64" t="n">
        <f aca="false">IF(OR(K321="",J321=""),"",(J321-K321)*100)</f>
        <v>-1.06401833073817</v>
      </c>
      <c r="M321" s="28" t="n">
        <v>2.42668038003648</v>
      </c>
      <c r="N321" s="28" t="n">
        <v>0.397844942258686</v>
      </c>
      <c r="O321" s="28" t="n">
        <f aca="false">SQRT(M321^2+N321^2)</f>
        <v>2.45907670985165</v>
      </c>
      <c r="P321" s="53" t="n">
        <f aca="false">IF(J321="","",MAX(0,J321-1.96*O321/100))</f>
        <v>0.439503538386823</v>
      </c>
      <c r="Q321" s="53" t="n">
        <f aca="false">IF(J321="","",MIN(1,J321+1.96*O321/100))</f>
        <v>0.535899345413008</v>
      </c>
      <c r="R321" s="25" t="str">
        <f aca="false">IF(L321="","",IF(ABS(L321)&lt;=O321,"Yes","No"))</f>
        <v>Yes</v>
      </c>
      <c r="S321" s="25" t="str">
        <f aca="false">IF(L321="","",IF(ABS(L321)&lt;=1.96*O321,"Yes","No"))</f>
        <v>Yes</v>
      </c>
      <c r="T321" s="52" t="n">
        <f aca="false">IF(D321="","",ROUND(SQRT(((D321+G321)*O321/100)^2+(J321*(D321+G321)*0.10931)^2),0))</f>
        <v>69</v>
      </c>
      <c r="U321" s="25"/>
    </row>
    <row r="322" customFormat="false" ht="15" hidden="false" customHeight="false" outlineLevel="0" collapsed="false">
      <c r="A322" s="25" t="s">
        <v>385</v>
      </c>
      <c r="B322" s="25" t="s">
        <v>504</v>
      </c>
      <c r="C322" s="25" t="s">
        <v>506</v>
      </c>
      <c r="D322" s="52" t="n">
        <v>521</v>
      </c>
      <c r="E322" s="52" t="n">
        <v>523</v>
      </c>
      <c r="F322" s="63" t="n">
        <f aca="false">IF(E322="","",D322-E322)</f>
        <v>-2</v>
      </c>
      <c r="G322" s="52" t="n">
        <v>484</v>
      </c>
      <c r="H322" s="52" t="n">
        <v>542</v>
      </c>
      <c r="I322" s="63" t="n">
        <f aca="false">IF(H322="","",G322-H322)</f>
        <v>-58</v>
      </c>
      <c r="J322" s="53" t="n">
        <f aca="false">IF(OR(D322="",D322+G322=0),"",D322/(D322+G322))</f>
        <v>0.518407960199005</v>
      </c>
      <c r="K322" s="53" t="n">
        <f aca="false">IF(E322="","",E322/(E322+H322))</f>
        <v>0.491079812206573</v>
      </c>
      <c r="L322" s="64" t="n">
        <f aca="false">IF(OR(K322="",J322=""),"",(J322-K322)*100)</f>
        <v>2.73281479924322</v>
      </c>
      <c r="M322" s="28" t="n">
        <v>2.42668038003648</v>
      </c>
      <c r="N322" s="28" t="n">
        <v>0.397844942258686</v>
      </c>
      <c r="O322" s="28" t="n">
        <f aca="false">SQRT(M322^2+N322^2)</f>
        <v>2.45907670985165</v>
      </c>
      <c r="P322" s="53" t="n">
        <f aca="false">IF(J322="","",MAX(0,J322-1.96*O322/100))</f>
        <v>0.470210056685913</v>
      </c>
      <c r="Q322" s="53" t="n">
        <f aca="false">IF(J322="","",MIN(1,J322+1.96*O322/100))</f>
        <v>0.566605863712097</v>
      </c>
      <c r="R322" s="25" t="str">
        <f aca="false">IF(L322="","",IF(ABS(L322)&lt;=O322,"Yes","No"))</f>
        <v>No</v>
      </c>
      <c r="S322" s="25" t="str">
        <f aca="false">IF(L322="","",IF(ABS(L322)&lt;=1.96*O322,"Yes","No"))</f>
        <v>Yes</v>
      </c>
      <c r="T322" s="52" t="n">
        <f aca="false">IF(D322="","",ROUND(SQRT(((D322+G322)*O322/100)^2+(J322*(D322+G322)*0.10931)^2),0))</f>
        <v>62</v>
      </c>
      <c r="U322" s="25"/>
    </row>
    <row r="323" customFormat="false" ht="15" hidden="false" customHeight="false" outlineLevel="0" collapsed="false">
      <c r="A323" s="25" t="s">
        <v>385</v>
      </c>
      <c r="B323" s="25" t="s">
        <v>504</v>
      </c>
      <c r="C323" s="25" t="s">
        <v>507</v>
      </c>
      <c r="D323" s="52" t="n">
        <v>478</v>
      </c>
      <c r="E323" s="52" t="n">
        <v>472</v>
      </c>
      <c r="F323" s="63" t="n">
        <f aca="false">IF(E323="","",D323-E323)</f>
        <v>6</v>
      </c>
      <c r="G323" s="52" t="n">
        <v>504</v>
      </c>
      <c r="H323" s="52" t="n">
        <v>517</v>
      </c>
      <c r="I323" s="63" t="n">
        <f aca="false">IF(H323="","",G323-H323)</f>
        <v>-13</v>
      </c>
      <c r="J323" s="53" t="n">
        <f aca="false">IF(OR(D323="",D323+G323=0),"",D323/(D323+G323))</f>
        <v>0.486761710794297</v>
      </c>
      <c r="K323" s="53" t="n">
        <f aca="false">IF(E323="","",E323/(E323+H323))</f>
        <v>0.477249747219414</v>
      </c>
      <c r="L323" s="64" t="n">
        <f aca="false">IF(OR(K323="",J323=""),"",(J323-K323)*100)</f>
        <v>0.951196357488382</v>
      </c>
      <c r="M323" s="28" t="n">
        <v>2.42668038003648</v>
      </c>
      <c r="N323" s="28" t="n">
        <v>0.397844942258686</v>
      </c>
      <c r="O323" s="28" t="n">
        <f aca="false">SQRT(M323^2+N323^2)</f>
        <v>2.45907670985165</v>
      </c>
      <c r="P323" s="53" t="n">
        <f aca="false">IF(J323="","",MAX(0,J323-1.96*O323/100))</f>
        <v>0.438563807281205</v>
      </c>
      <c r="Q323" s="53" t="n">
        <f aca="false">IF(J323="","",MIN(1,J323+1.96*O323/100))</f>
        <v>0.53495961430739</v>
      </c>
      <c r="R323" s="25" t="str">
        <f aca="false">IF(L323="","",IF(ABS(L323)&lt;=O323,"Yes","No"))</f>
        <v>Yes</v>
      </c>
      <c r="S323" s="25" t="str">
        <f aca="false">IF(L323="","",IF(ABS(L323)&lt;=1.96*O323,"Yes","No"))</f>
        <v>Yes</v>
      </c>
      <c r="T323" s="52" t="n">
        <f aca="false">IF(D323="","",ROUND(SQRT(((D323+G323)*O323/100)^2+(J323*(D323+G323)*0.10931)^2),0))</f>
        <v>58</v>
      </c>
      <c r="U323" s="25"/>
    </row>
    <row r="324" customFormat="false" ht="15" hidden="false" customHeight="false" outlineLevel="0" collapsed="false">
      <c r="A324" s="25" t="s">
        <v>385</v>
      </c>
      <c r="B324" s="25" t="s">
        <v>508</v>
      </c>
      <c r="C324" s="25" t="s">
        <v>509</v>
      </c>
      <c r="D324" s="52" t="n">
        <v>246</v>
      </c>
      <c r="E324" s="52" t="n">
        <v>222</v>
      </c>
      <c r="F324" s="63" t="n">
        <f aca="false">IF(E324="","",D324-E324)</f>
        <v>24</v>
      </c>
      <c r="G324" s="52" t="n">
        <v>283</v>
      </c>
      <c r="H324" s="52" t="n">
        <v>276</v>
      </c>
      <c r="I324" s="63" t="n">
        <f aca="false">IF(H324="","",G324-H324)</f>
        <v>7</v>
      </c>
      <c r="J324" s="53" t="n">
        <f aca="false">IF(OR(D324="",D324+G324=0),"",D324/(D324+G324))</f>
        <v>0.465028355387524</v>
      </c>
      <c r="K324" s="53" t="n">
        <f aca="false">IF(E324="","",E324/(E324+H324))</f>
        <v>0.445783132530121</v>
      </c>
      <c r="L324" s="64" t="n">
        <f aca="false">IF(OR(K324="",J324=""),"",(J324-K324)*100)</f>
        <v>1.92452228574032</v>
      </c>
      <c r="M324" s="28" t="n">
        <v>3.19821915242569</v>
      </c>
      <c r="N324" s="28" t="n">
        <v>0.397844942258686</v>
      </c>
      <c r="O324" s="28" t="n">
        <f aca="false">SQRT(M324^2+N324^2)</f>
        <v>3.22286927209642</v>
      </c>
      <c r="P324" s="53" t="n">
        <f aca="false">IF(J324="","",MAX(0,J324-1.96*O324/100))</f>
        <v>0.401860117654434</v>
      </c>
      <c r="Q324" s="53" t="n">
        <f aca="false">IF(J324="","",MIN(1,J324+1.96*O324/100))</f>
        <v>0.528196593120614</v>
      </c>
      <c r="R324" s="25" t="str">
        <f aca="false">IF(L324="","",IF(ABS(L324)&lt;=O324,"Yes","No"))</f>
        <v>Yes</v>
      </c>
      <c r="S324" s="25" t="str">
        <f aca="false">IF(L324="","",IF(ABS(L324)&lt;=1.96*O324,"Yes","No"))</f>
        <v>Yes</v>
      </c>
      <c r="T324" s="52" t="n">
        <f aca="false">IF(D324="","",ROUND(SQRT(((D324+G324)*O324/100)^2+(J324*(D324+G324)*0.1901)^2),0))</f>
        <v>50</v>
      </c>
      <c r="U324" s="25"/>
    </row>
    <row r="325" customFormat="false" ht="15" hidden="false" customHeight="false" outlineLevel="0" collapsed="false">
      <c r="A325" s="25" t="s">
        <v>385</v>
      </c>
      <c r="B325" s="25" t="s">
        <v>508</v>
      </c>
      <c r="C325" s="25" t="s">
        <v>510</v>
      </c>
      <c r="D325" s="52" t="n">
        <v>629</v>
      </c>
      <c r="E325" s="52" t="n">
        <v>625</v>
      </c>
      <c r="F325" s="63" t="n">
        <f aca="false">IF(E325="","",D325-E325)</f>
        <v>4</v>
      </c>
      <c r="G325" s="52" t="n">
        <v>620</v>
      </c>
      <c r="H325" s="52" t="n">
        <v>613</v>
      </c>
      <c r="I325" s="63" t="n">
        <f aca="false">IF(H325="","",G325-H325)</f>
        <v>7</v>
      </c>
      <c r="J325" s="53" t="n">
        <f aca="false">IF(OR(D325="",D325+G325=0),"",D325/(D325+G325))</f>
        <v>0.503602882305845</v>
      </c>
      <c r="K325" s="53" t="n">
        <f aca="false">IF(E325="","",E325/(E325+H325))</f>
        <v>0.504846526655897</v>
      </c>
      <c r="L325" s="64" t="n">
        <f aca="false">IF(OR(K325="",J325=""),"",(J325-K325)*100)</f>
        <v>-0.124364435005186</v>
      </c>
      <c r="M325" s="28" t="n">
        <v>2.49017287917352</v>
      </c>
      <c r="N325" s="28" t="n">
        <v>0.397844942258686</v>
      </c>
      <c r="O325" s="28" t="n">
        <f aca="false">SQRT(M325^2+N325^2)</f>
        <v>2.52175366882892</v>
      </c>
      <c r="P325" s="53" t="n">
        <f aca="false">IF(J325="","",MAX(0,J325-1.96*O325/100))</f>
        <v>0.454176510396798</v>
      </c>
      <c r="Q325" s="53" t="n">
        <f aca="false">IF(J325="","",MIN(1,J325+1.96*O325/100))</f>
        <v>0.553029254214892</v>
      </c>
      <c r="R325" s="25" t="str">
        <f aca="false">IF(L325="","",IF(ABS(L325)&lt;=O325,"Yes","No"))</f>
        <v>Yes</v>
      </c>
      <c r="S325" s="25" t="str">
        <f aca="false">IF(L325="","",IF(ABS(L325)&lt;=1.96*O325,"Yes","No"))</f>
        <v>Yes</v>
      </c>
      <c r="T325" s="52" t="n">
        <f aca="false">IF(D325="","",ROUND(SQRT(((D325+G325)*O325/100)^2+(J325*(D325+G325)*0.08889)^2),0))</f>
        <v>64</v>
      </c>
      <c r="U325" s="25"/>
    </row>
    <row r="326" customFormat="false" ht="15" hidden="false" customHeight="false" outlineLevel="0" collapsed="false">
      <c r="A326" s="25" t="s">
        <v>385</v>
      </c>
      <c r="B326" s="25" t="s">
        <v>511</v>
      </c>
      <c r="C326" s="25" t="s">
        <v>512</v>
      </c>
      <c r="D326" s="52" t="n">
        <v>672</v>
      </c>
      <c r="E326" s="52" t="n">
        <v>628</v>
      </c>
      <c r="F326" s="63" t="n">
        <f aca="false">IF(E326="","",D326-E326)</f>
        <v>44</v>
      </c>
      <c r="G326" s="52" t="n">
        <v>726</v>
      </c>
      <c r="H326" s="52" t="n">
        <v>719</v>
      </c>
      <c r="I326" s="63" t="n">
        <f aca="false">IF(H326="","",G326-H326)</f>
        <v>7</v>
      </c>
      <c r="J326" s="53" t="n">
        <f aca="false">IF(OR(D326="",D326+G326=0),"",D326/(D326+G326))</f>
        <v>0.48068669527897</v>
      </c>
      <c r="K326" s="53" t="n">
        <f aca="false">IF(E326="","",E326/(E326+H326))</f>
        <v>0.466221232368226</v>
      </c>
      <c r="L326" s="64" t="n">
        <f aca="false">IF(OR(K326="",J326=""),"",(J326-K326)*100)</f>
        <v>1.44654629107442</v>
      </c>
      <c r="M326" s="28" t="n">
        <v>2.49017287917352</v>
      </c>
      <c r="N326" s="28" t="n">
        <v>0.397844942258686</v>
      </c>
      <c r="O326" s="28" t="n">
        <f aca="false">SQRT(M326^2+N326^2)</f>
        <v>2.52175366882892</v>
      </c>
      <c r="P326" s="53" t="n">
        <f aca="false">IF(J326="","",MAX(0,J326-1.96*O326/100))</f>
        <v>0.431260323369923</v>
      </c>
      <c r="Q326" s="53" t="n">
        <f aca="false">IF(J326="","",MIN(1,J326+1.96*O326/100))</f>
        <v>0.530113067188017</v>
      </c>
      <c r="R326" s="25" t="str">
        <f aca="false">IF(L326="","",IF(ABS(L326)&lt;=O326,"Yes","No"))</f>
        <v>Yes</v>
      </c>
      <c r="S326" s="25" t="str">
        <f aca="false">IF(L326="","",IF(ABS(L326)&lt;=1.96*O326,"Yes","No"))</f>
        <v>Yes</v>
      </c>
      <c r="T326" s="52" t="n">
        <f aca="false">IF(D326="","",ROUND(SQRT(((D326+G326)*O326/100)^2+(J326*(D326+G326)*0.08889)^2),0))</f>
        <v>69</v>
      </c>
      <c r="U326" s="25"/>
    </row>
    <row r="327" customFormat="false" ht="15" hidden="false" customHeight="false" outlineLevel="0" collapsed="false">
      <c r="A327" s="25" t="s">
        <v>385</v>
      </c>
      <c r="B327" s="25" t="s">
        <v>511</v>
      </c>
      <c r="C327" s="25" t="s">
        <v>513</v>
      </c>
      <c r="D327" s="52" t="n">
        <v>585</v>
      </c>
      <c r="E327" s="52" t="n">
        <v>588</v>
      </c>
      <c r="F327" s="63" t="n">
        <f aca="false">IF(E327="","",D327-E327)</f>
        <v>-3</v>
      </c>
      <c r="G327" s="52" t="n">
        <v>626</v>
      </c>
      <c r="H327" s="52" t="n">
        <v>628</v>
      </c>
      <c r="I327" s="63" t="n">
        <f aca="false">IF(H327="","",G327-H327)</f>
        <v>-2</v>
      </c>
      <c r="J327" s="53" t="n">
        <f aca="false">IF(OR(D327="",D327+G327=0),"",D327/(D327+G327))</f>
        <v>0.483071841453344</v>
      </c>
      <c r="K327" s="53" t="n">
        <f aca="false">IF(E327="","",E327/(E327+H327))</f>
        <v>0.483552631578947</v>
      </c>
      <c r="L327" s="64" t="n">
        <f aca="false">IF(OR(K327="",J327=""),"",(J327-K327)*100)</f>
        <v>-0.0480790125602981</v>
      </c>
      <c r="M327" s="28" t="n">
        <v>2.49017287917352</v>
      </c>
      <c r="N327" s="28" t="n">
        <v>0.397844942258686</v>
      </c>
      <c r="O327" s="28" t="n">
        <f aca="false">SQRT(M327^2+N327^2)</f>
        <v>2.52175366882892</v>
      </c>
      <c r="P327" s="53" t="n">
        <f aca="false">IF(J327="","",MAX(0,J327-1.96*O327/100))</f>
        <v>0.433645469544297</v>
      </c>
      <c r="Q327" s="53" t="n">
        <f aca="false">IF(J327="","",MIN(1,J327+1.96*O327/100))</f>
        <v>0.532498213362391</v>
      </c>
      <c r="R327" s="25" t="str">
        <f aca="false">IF(L327="","",IF(ABS(L327)&lt;=O327,"Yes","No"))</f>
        <v>Yes</v>
      </c>
      <c r="S327" s="25" t="str">
        <f aca="false">IF(L327="","",IF(ABS(L327)&lt;=1.96*O327,"Yes","No"))</f>
        <v>Yes</v>
      </c>
      <c r="T327" s="52" t="n">
        <f aca="false">IF(D327="","",ROUND(SQRT(((D327+G327)*O327/100)^2+(J327*(D327+G327)*0.08889)^2),0))</f>
        <v>60</v>
      </c>
      <c r="U327" s="25"/>
    </row>
    <row r="328" customFormat="false" ht="15" hidden="false" customHeight="false" outlineLevel="0" collapsed="false">
      <c r="A328" s="25" t="s">
        <v>385</v>
      </c>
      <c r="B328" s="25" t="s">
        <v>511</v>
      </c>
      <c r="C328" s="25" t="s">
        <v>514</v>
      </c>
      <c r="D328" s="52" t="n">
        <v>1213</v>
      </c>
      <c r="E328" s="52" t="n">
        <v>1120</v>
      </c>
      <c r="F328" s="63" t="n">
        <f aca="false">IF(E328="","",D328-E328)</f>
        <v>93</v>
      </c>
      <c r="G328" s="52" t="n">
        <v>1324</v>
      </c>
      <c r="H328" s="52" t="n">
        <v>1352</v>
      </c>
      <c r="I328" s="63" t="n">
        <f aca="false">IF(H328="","",G328-H328)</f>
        <v>-28</v>
      </c>
      <c r="J328" s="53" t="n">
        <f aca="false">IF(OR(D328="",D328+G328=0),"",D328/(D328+G328))</f>
        <v>0.478123768230193</v>
      </c>
      <c r="K328" s="53" t="n">
        <f aca="false">IF(E328="","",E328/(E328+H328))</f>
        <v>0.453074433656958</v>
      </c>
      <c r="L328" s="64" t="n">
        <f aca="false">IF(OR(K328="",J328=""),"",(J328-K328)*100)</f>
        <v>2.50493345732352</v>
      </c>
      <c r="M328" s="28" t="n">
        <v>2.49017287917352</v>
      </c>
      <c r="N328" s="28" t="n">
        <v>0.397844942258686</v>
      </c>
      <c r="O328" s="28" t="n">
        <f aca="false">SQRT(M328^2+N328^2)</f>
        <v>2.52175366882892</v>
      </c>
      <c r="P328" s="53" t="n">
        <f aca="false">IF(J328="","",MAX(0,J328-1.96*O328/100))</f>
        <v>0.428697396321146</v>
      </c>
      <c r="Q328" s="53" t="n">
        <f aca="false">IF(J328="","",MIN(1,J328+1.96*O328/100))</f>
        <v>0.52755014013924</v>
      </c>
      <c r="R328" s="25" t="str">
        <f aca="false">IF(L328="","",IF(ABS(L328)&lt;=O328,"Yes","No"))</f>
        <v>Yes</v>
      </c>
      <c r="S328" s="25" t="str">
        <f aca="false">IF(L328="","",IF(ABS(L328)&lt;=1.96*O328,"Yes","No"))</f>
        <v>Yes</v>
      </c>
      <c r="T328" s="52" t="n">
        <f aca="false">IF(D328="","",ROUND(SQRT(((D328+G328)*O328/100)^2+(J328*(D328+G328)*0.08889)^2),0))</f>
        <v>125</v>
      </c>
      <c r="U328" s="25"/>
    </row>
    <row r="329" customFormat="false" ht="15" hidden="false" customHeight="false" outlineLevel="0" collapsed="false">
      <c r="A329" s="25" t="s">
        <v>385</v>
      </c>
      <c r="B329" s="25" t="s">
        <v>511</v>
      </c>
      <c r="C329" s="25" t="s">
        <v>515</v>
      </c>
      <c r="D329" s="52" t="n">
        <v>267</v>
      </c>
      <c r="E329" s="52" t="n">
        <v>237</v>
      </c>
      <c r="F329" s="63" t="n">
        <f aca="false">IF(E329="","",D329-E329)</f>
        <v>30</v>
      </c>
      <c r="G329" s="52" t="n">
        <v>300</v>
      </c>
      <c r="H329" s="52" t="n">
        <v>324</v>
      </c>
      <c r="I329" s="63" t="n">
        <f aca="false">IF(H329="","",G329-H329)</f>
        <v>-24</v>
      </c>
      <c r="J329" s="53" t="n">
        <f aca="false">IF(OR(D329="",D329+G329=0),"",D329/(D329+G329))</f>
        <v>0.470899470899471</v>
      </c>
      <c r="K329" s="53" t="n">
        <f aca="false">IF(E329="","",E329/(E329+H329))</f>
        <v>0.422459893048128</v>
      </c>
      <c r="L329" s="64" t="n">
        <f aca="false">IF(OR(K329="",J329=""),"",(J329-K329)*100)</f>
        <v>4.84395778513425</v>
      </c>
      <c r="M329" s="28" t="n">
        <v>3.19821915242569</v>
      </c>
      <c r="N329" s="28" t="n">
        <v>0.397844942258686</v>
      </c>
      <c r="O329" s="28" t="n">
        <f aca="false">SQRT(M329^2+N329^2)</f>
        <v>3.22286927209642</v>
      </c>
      <c r="P329" s="53" t="n">
        <f aca="false">IF(J329="","",MAX(0,J329-1.96*O329/100))</f>
        <v>0.407731233166381</v>
      </c>
      <c r="Q329" s="53" t="n">
        <f aca="false">IF(J329="","",MIN(1,J329+1.96*O329/100))</f>
        <v>0.534067708632561</v>
      </c>
      <c r="R329" s="25" t="str">
        <f aca="false">IF(L329="","",IF(ABS(L329)&lt;=O329,"Yes","No"))</f>
        <v>No</v>
      </c>
      <c r="S329" s="25" t="str">
        <f aca="false">IF(L329="","",IF(ABS(L329)&lt;=1.96*O329,"Yes","No"))</f>
        <v>Yes</v>
      </c>
      <c r="T329" s="52" t="n">
        <f aca="false">IF(D329="","",ROUND(SQRT(((D329+G329)*O329/100)^2+(J329*(D329+G329)*0.1901)^2),0))</f>
        <v>54</v>
      </c>
      <c r="U329" s="25"/>
    </row>
    <row r="330" customFormat="false" ht="15" hidden="false" customHeight="false" outlineLevel="0" collapsed="false">
      <c r="A330" s="25" t="s">
        <v>385</v>
      </c>
      <c r="B330" s="25" t="s">
        <v>516</v>
      </c>
      <c r="C330" s="25" t="s">
        <v>517</v>
      </c>
      <c r="D330" s="52" t="n">
        <v>642</v>
      </c>
      <c r="E330" s="52" t="n">
        <v>600</v>
      </c>
      <c r="F330" s="63" t="n">
        <f aca="false">IF(E330="","",D330-E330)</f>
        <v>42</v>
      </c>
      <c r="G330" s="52" t="n">
        <v>683</v>
      </c>
      <c r="H330" s="52" t="n">
        <v>681</v>
      </c>
      <c r="I330" s="63" t="n">
        <f aca="false">IF(H330="","",G330-H330)</f>
        <v>2</v>
      </c>
      <c r="J330" s="53" t="n">
        <f aca="false">IF(OR(D330="",D330+G330=0),"",D330/(D330+G330))</f>
        <v>0.484528301886792</v>
      </c>
      <c r="K330" s="53" t="n">
        <f aca="false">IF(E330="","",E330/(E330+H330))</f>
        <v>0.468384074941452</v>
      </c>
      <c r="L330" s="64" t="n">
        <f aca="false">IF(OR(K330="",J330=""),"",(J330-K330)*100)</f>
        <v>1.61442269453405</v>
      </c>
      <c r="M330" s="28" t="n">
        <v>2.49017287917352</v>
      </c>
      <c r="N330" s="28" t="n">
        <v>0.397844942258686</v>
      </c>
      <c r="O330" s="28" t="n">
        <f aca="false">SQRT(M330^2+N330^2)</f>
        <v>2.52175366882892</v>
      </c>
      <c r="P330" s="53" t="n">
        <f aca="false">IF(J330="","",MAX(0,J330-1.96*O330/100))</f>
        <v>0.435101929977746</v>
      </c>
      <c r="Q330" s="53" t="n">
        <f aca="false">IF(J330="","",MIN(1,J330+1.96*O330/100))</f>
        <v>0.533954673795839</v>
      </c>
      <c r="R330" s="25" t="str">
        <f aca="false">IF(L330="","",IF(ABS(L330)&lt;=O330,"Yes","No"))</f>
        <v>Yes</v>
      </c>
      <c r="S330" s="25" t="str">
        <f aca="false">IF(L330="","",IF(ABS(L330)&lt;=1.96*O330,"Yes","No"))</f>
        <v>Yes</v>
      </c>
      <c r="T330" s="52" t="n">
        <f aca="false">IF(D330="","",ROUND(SQRT(((D330+G330)*O330/100)^2+(J330*(D330+G330)*0.08889)^2),0))</f>
        <v>66</v>
      </c>
      <c r="U330" s="25"/>
    </row>
    <row r="331" customFormat="false" ht="15" hidden="false" customHeight="false" outlineLevel="0" collapsed="false">
      <c r="A331" s="25" t="s">
        <v>385</v>
      </c>
      <c r="B331" s="25" t="s">
        <v>516</v>
      </c>
      <c r="C331" s="25" t="s">
        <v>518</v>
      </c>
      <c r="D331" s="52" t="n">
        <v>518</v>
      </c>
      <c r="E331" s="52"/>
      <c r="F331" s="63" t="str">
        <f aca="false">IF(E331="","",D331-E331)</f>
        <v/>
      </c>
      <c r="G331" s="52" t="n">
        <v>487</v>
      </c>
      <c r="H331" s="52"/>
      <c r="I331" s="63" t="str">
        <f aca="false">IF(H331="","",G331-H331)</f>
        <v/>
      </c>
      <c r="J331" s="53" t="n">
        <f aca="false">IF(OR(D331="",D331+G331=0),"",D331/(D331+G331))</f>
        <v>0.515422885572139</v>
      </c>
      <c r="K331" s="53" t="str">
        <f aca="false">IF(E331="","",E331/(E331+H331))</f>
        <v/>
      </c>
      <c r="L331" s="64" t="str">
        <f aca="false">IF(OR(K331="",J331=""),"",(J331-K331)*100)</f>
        <v/>
      </c>
      <c r="M331" s="28" t="n">
        <v>2.42668038003648</v>
      </c>
      <c r="N331" s="28" t="n">
        <v>0.397844942258686</v>
      </c>
      <c r="O331" s="28" t="n">
        <f aca="false">SQRT(M331^2+N331^2)</f>
        <v>2.45907670985165</v>
      </c>
      <c r="P331" s="53" t="n">
        <f aca="false">IF(J331="","",MAX(0,J331-1.96*O331/100))</f>
        <v>0.467224982059047</v>
      </c>
      <c r="Q331" s="53" t="n">
        <f aca="false">IF(J331="","",MIN(1,J331+1.96*O331/100))</f>
        <v>0.563620789085232</v>
      </c>
      <c r="R331" s="25" t="str">
        <f aca="false">IF(L331="","",IF(ABS(L331)&lt;=O331,"Yes","No"))</f>
        <v/>
      </c>
      <c r="S331" s="25" t="str">
        <f aca="false">IF(L331="","",IF(ABS(L331)&lt;=1.96*O331,"Yes","No"))</f>
        <v/>
      </c>
      <c r="T331" s="52" t="n">
        <f aca="false">IF(D331="","",ROUND(SQRT(((D331+G331)*O331/100)^2+(J331*(D331+G331)*0.10931)^2),0))</f>
        <v>62</v>
      </c>
      <c r="U331" s="25" t="s">
        <v>702</v>
      </c>
    </row>
    <row r="332" customFormat="false" ht="15" hidden="false" customHeight="false" outlineLevel="0" collapsed="false">
      <c r="A332" s="25" t="s">
        <v>385</v>
      </c>
      <c r="B332" s="25" t="s">
        <v>516</v>
      </c>
      <c r="C332" s="25" t="s">
        <v>519</v>
      </c>
      <c r="D332" s="52" t="n">
        <v>778</v>
      </c>
      <c r="E332" s="52"/>
      <c r="F332" s="63" t="str">
        <f aca="false">IF(E332="","",D332-E332)</f>
        <v/>
      </c>
      <c r="G332" s="52" t="n">
        <v>792</v>
      </c>
      <c r="H332" s="52"/>
      <c r="I332" s="63" t="str">
        <f aca="false">IF(H332="","",G332-H332)</f>
        <v/>
      </c>
      <c r="J332" s="53" t="n">
        <f aca="false">IF(OR(D332="",D332+G332=0),"",D332/(D332+G332))</f>
        <v>0.495541401273885</v>
      </c>
      <c r="K332" s="53" t="str">
        <f aca="false">IF(E332="","",E332/(E332+H332))</f>
        <v/>
      </c>
      <c r="L332" s="64" t="str">
        <f aca="false">IF(OR(K332="",J332=""),"",(J332-K332)*100)</f>
        <v/>
      </c>
      <c r="M332" s="28" t="n">
        <v>2.49017287917352</v>
      </c>
      <c r="N332" s="28" t="n">
        <v>0.397844942258686</v>
      </c>
      <c r="O332" s="28" t="n">
        <f aca="false">SQRT(M332^2+N332^2)</f>
        <v>2.52175366882892</v>
      </c>
      <c r="P332" s="53" t="n">
        <f aca="false">IF(J332="","",MAX(0,J332-1.96*O332/100))</f>
        <v>0.446115029364838</v>
      </c>
      <c r="Q332" s="53" t="n">
        <f aca="false">IF(J332="","",MIN(1,J332+1.96*O332/100))</f>
        <v>0.544967773182932</v>
      </c>
      <c r="R332" s="25" t="str">
        <f aca="false">IF(L332="","",IF(ABS(L332)&lt;=O332,"Yes","No"))</f>
        <v/>
      </c>
      <c r="S332" s="25" t="str">
        <f aca="false">IF(L332="","",IF(ABS(L332)&lt;=1.96*O332,"Yes","No"))</f>
        <v/>
      </c>
      <c r="T332" s="52" t="n">
        <f aca="false">IF(D332="","",ROUND(SQRT(((D332+G332)*O332/100)^2+(J332*(D332+G332)*0.08889)^2),0))</f>
        <v>80</v>
      </c>
      <c r="U332" s="25" t="s">
        <v>702</v>
      </c>
    </row>
    <row r="333" customFormat="false" ht="15" hidden="false" customHeight="false" outlineLevel="0" collapsed="false">
      <c r="A333" s="25" t="s">
        <v>385</v>
      </c>
      <c r="B333" s="25" t="s">
        <v>516</v>
      </c>
      <c r="C333" s="25" t="s">
        <v>520</v>
      </c>
      <c r="D333" s="52" t="n">
        <v>850</v>
      </c>
      <c r="E333" s="52" t="n">
        <v>824</v>
      </c>
      <c r="F333" s="63" t="n">
        <f aca="false">IF(E333="","",D333-E333)</f>
        <v>26</v>
      </c>
      <c r="G333" s="52" t="n">
        <v>797</v>
      </c>
      <c r="H333" s="52" t="n">
        <v>795</v>
      </c>
      <c r="I333" s="63" t="n">
        <f aca="false">IF(H333="","",G333-H333)</f>
        <v>2</v>
      </c>
      <c r="J333" s="53" t="n">
        <f aca="false">IF(OR(D333="",D333+G333=0),"",D333/(D333+G333))</f>
        <v>0.516089860352155</v>
      </c>
      <c r="K333" s="53" t="n">
        <f aca="false">IF(E333="","",E333/(E333+H333))</f>
        <v>0.508956145768993</v>
      </c>
      <c r="L333" s="64" t="n">
        <f aca="false">IF(OR(K333="",J333=""),"",(J333-K333)*100)</f>
        <v>0.713371458316225</v>
      </c>
      <c r="M333" s="28" t="n">
        <v>2.49017287917352</v>
      </c>
      <c r="N333" s="28" t="n">
        <v>0.397844942258686</v>
      </c>
      <c r="O333" s="28" t="n">
        <f aca="false">SQRT(M333^2+N333^2)</f>
        <v>2.52175366882892</v>
      </c>
      <c r="P333" s="53" t="n">
        <f aca="false">IF(J333="","",MAX(0,J333-1.96*O333/100))</f>
        <v>0.466663488443109</v>
      </c>
      <c r="Q333" s="53" t="n">
        <f aca="false">IF(J333="","",MIN(1,J333+1.96*O333/100))</f>
        <v>0.565516232261202</v>
      </c>
      <c r="R333" s="25" t="str">
        <f aca="false">IF(L333="","",IF(ABS(L333)&lt;=O333,"Yes","No"))</f>
        <v>Yes</v>
      </c>
      <c r="S333" s="25" t="str">
        <f aca="false">IF(L333="","",IF(ABS(L333)&lt;=1.96*O333,"Yes","No"))</f>
        <v>Yes</v>
      </c>
      <c r="T333" s="52" t="n">
        <f aca="false">IF(D333="","",ROUND(SQRT(((D333+G333)*O333/100)^2+(J333*(D333+G333)*0.08889)^2),0))</f>
        <v>86</v>
      </c>
      <c r="U333" s="25"/>
    </row>
    <row r="334" customFormat="false" ht="15" hidden="false" customHeight="false" outlineLevel="0" collapsed="false">
      <c r="A334" s="25" t="s">
        <v>385</v>
      </c>
      <c r="B334" s="25" t="s">
        <v>516</v>
      </c>
      <c r="C334" s="25" t="s">
        <v>521</v>
      </c>
      <c r="D334" s="52" t="n">
        <v>1182</v>
      </c>
      <c r="E334" s="52" t="n">
        <v>1193</v>
      </c>
      <c r="F334" s="63" t="n">
        <f aca="false">IF(E334="","",D334-E334)</f>
        <v>-11</v>
      </c>
      <c r="G334" s="52" t="n">
        <v>1303</v>
      </c>
      <c r="H334" s="52" t="n">
        <v>1334</v>
      </c>
      <c r="I334" s="63" t="n">
        <f aca="false">IF(H334="","",G334-H334)</f>
        <v>-31</v>
      </c>
      <c r="J334" s="53" t="n">
        <f aca="false">IF(OR(D334="",D334+G334=0),"",D334/(D334+G334))</f>
        <v>0.475653923541247</v>
      </c>
      <c r="K334" s="53" t="n">
        <f aca="false">IF(E334="","",E334/(E334+H334))</f>
        <v>0.47210130589632</v>
      </c>
      <c r="L334" s="64" t="n">
        <f aca="false">IF(OR(K334="",J334=""),"",(J334-K334)*100)</f>
        <v>0.35526176449277</v>
      </c>
      <c r="M334" s="28" t="n">
        <v>2.49017287917352</v>
      </c>
      <c r="N334" s="28" t="n">
        <v>0.397844942258686</v>
      </c>
      <c r="O334" s="28" t="n">
        <f aca="false">SQRT(M334^2+N334^2)</f>
        <v>2.52175366882892</v>
      </c>
      <c r="P334" s="53" t="n">
        <f aca="false">IF(J334="","",MAX(0,J334-1.96*O334/100))</f>
        <v>0.426227551632201</v>
      </c>
      <c r="Q334" s="53" t="n">
        <f aca="false">IF(J334="","",MIN(1,J334+1.96*O334/100))</f>
        <v>0.525080295450294</v>
      </c>
      <c r="R334" s="25" t="str">
        <f aca="false">IF(L334="","",IF(ABS(L334)&lt;=O334,"Yes","No"))</f>
        <v>Yes</v>
      </c>
      <c r="S334" s="25" t="str">
        <f aca="false">IF(L334="","",IF(ABS(L334)&lt;=1.96*O334,"Yes","No"))</f>
        <v>Yes</v>
      </c>
      <c r="T334" s="52" t="n">
        <f aca="false">IF(D334="","",ROUND(SQRT(((D334+G334)*O334/100)^2+(J334*(D334+G334)*0.08889)^2),0))</f>
        <v>122</v>
      </c>
      <c r="U334" s="25"/>
    </row>
    <row r="335" customFormat="false" ht="15" hidden="false" customHeight="false" outlineLevel="0" collapsed="false">
      <c r="A335" s="25" t="s">
        <v>385</v>
      </c>
      <c r="B335" s="25" t="s">
        <v>516</v>
      </c>
      <c r="C335" s="25" t="s">
        <v>522</v>
      </c>
      <c r="D335" s="52" t="n">
        <v>757</v>
      </c>
      <c r="E335" s="52" t="n">
        <v>755</v>
      </c>
      <c r="F335" s="63" t="n">
        <f aca="false">IF(E335="","",D335-E335)</f>
        <v>2</v>
      </c>
      <c r="G335" s="52" t="n">
        <v>798</v>
      </c>
      <c r="H335" s="52" t="n">
        <v>789</v>
      </c>
      <c r="I335" s="63" t="n">
        <f aca="false">IF(H335="","",G335-H335)</f>
        <v>9</v>
      </c>
      <c r="J335" s="53" t="n">
        <f aca="false">IF(OR(D335="",D335+G335=0),"",D335/(D335+G335))</f>
        <v>0.486816720257235</v>
      </c>
      <c r="K335" s="53" t="n">
        <f aca="false">IF(E335="","",E335/(E335+H335))</f>
        <v>0.4889896373057</v>
      </c>
      <c r="L335" s="64" t="n">
        <f aca="false">IF(OR(K335="",J335=""),"",(J335-K335)*100)</f>
        <v>-0.217291704846478</v>
      </c>
      <c r="M335" s="28" t="n">
        <v>2.49017287917352</v>
      </c>
      <c r="N335" s="28" t="n">
        <v>0.397844942258686</v>
      </c>
      <c r="O335" s="28" t="n">
        <f aca="false">SQRT(M335^2+N335^2)</f>
        <v>2.52175366882892</v>
      </c>
      <c r="P335" s="53" t="n">
        <f aca="false">IF(J335="","",MAX(0,J335-1.96*O335/100))</f>
        <v>0.437390348348188</v>
      </c>
      <c r="Q335" s="53" t="n">
        <f aca="false">IF(J335="","",MIN(1,J335+1.96*O335/100))</f>
        <v>0.536243092166282</v>
      </c>
      <c r="R335" s="25" t="str">
        <f aca="false">IF(L335="","",IF(ABS(L335)&lt;=O335,"Yes","No"))</f>
        <v>Yes</v>
      </c>
      <c r="S335" s="25" t="str">
        <f aca="false">IF(L335="","",IF(ABS(L335)&lt;=1.96*O335,"Yes","No"))</f>
        <v>Yes</v>
      </c>
      <c r="T335" s="52" t="n">
        <f aca="false">IF(D335="","",ROUND(SQRT(((D335+G335)*O335/100)^2+(J335*(D335+G335)*0.08889)^2),0))</f>
        <v>78</v>
      </c>
      <c r="U335" s="25"/>
    </row>
    <row r="336" customFormat="false" ht="15" hidden="false" customHeight="false" outlineLevel="0" collapsed="false">
      <c r="A336" s="25" t="s">
        <v>385</v>
      </c>
      <c r="B336" s="25" t="s">
        <v>516</v>
      </c>
      <c r="C336" s="25" t="s">
        <v>523</v>
      </c>
      <c r="D336" s="52" t="n">
        <v>758</v>
      </c>
      <c r="E336" s="52"/>
      <c r="F336" s="63" t="str">
        <f aca="false">IF(E336="","",D336-E336)</f>
        <v/>
      </c>
      <c r="G336" s="52" t="n">
        <v>713</v>
      </c>
      <c r="H336" s="52"/>
      <c r="I336" s="63" t="str">
        <f aca="false">IF(H336="","",G336-H336)</f>
        <v/>
      </c>
      <c r="J336" s="53" t="n">
        <f aca="false">IF(OR(D336="",D336+G336=0),"",D336/(D336+G336))</f>
        <v>0.515295717199184</v>
      </c>
      <c r="K336" s="53" t="str">
        <f aca="false">IF(E336="","",E336/(E336+H336))</f>
        <v/>
      </c>
      <c r="L336" s="64" t="str">
        <f aca="false">IF(OR(K336="",J336=""),"",(J336-K336)*100)</f>
        <v/>
      </c>
      <c r="M336" s="28" t="n">
        <v>2.49017287917352</v>
      </c>
      <c r="N336" s="28" t="n">
        <v>0.397844942258686</v>
      </c>
      <c r="O336" s="28" t="n">
        <f aca="false">SQRT(M336^2+N336^2)</f>
        <v>2.52175366882892</v>
      </c>
      <c r="P336" s="53" t="n">
        <f aca="false">IF(J336="","",MAX(0,J336-1.96*O336/100))</f>
        <v>0.465869345290137</v>
      </c>
      <c r="Q336" s="53" t="n">
        <f aca="false">IF(J336="","",MIN(1,J336+1.96*O336/100))</f>
        <v>0.564722089108231</v>
      </c>
      <c r="R336" s="25" t="str">
        <f aca="false">IF(L336="","",IF(ABS(L336)&lt;=O336,"Yes","No"))</f>
        <v/>
      </c>
      <c r="S336" s="25" t="str">
        <f aca="false">IF(L336="","",IF(ABS(L336)&lt;=1.96*O336,"Yes","No"))</f>
        <v/>
      </c>
      <c r="T336" s="52" t="n">
        <f aca="false">IF(D336="","",ROUND(SQRT(((D336+G336)*O336/100)^2+(J336*(D336+G336)*0.08889)^2),0))</f>
        <v>77</v>
      </c>
      <c r="U336" s="25" t="s">
        <v>702</v>
      </c>
    </row>
    <row r="337" customFormat="false" ht="15" hidden="false" customHeight="false" outlineLevel="0" collapsed="false">
      <c r="A337" s="25" t="s">
        <v>385</v>
      </c>
      <c r="B337" s="25" t="s">
        <v>516</v>
      </c>
      <c r="C337" s="25" t="s">
        <v>524</v>
      </c>
      <c r="D337" s="52" t="n">
        <v>741</v>
      </c>
      <c r="E337" s="52"/>
      <c r="F337" s="63" t="str">
        <f aca="false">IF(E337="","",D337-E337)</f>
        <v/>
      </c>
      <c r="G337" s="52" t="n">
        <v>736</v>
      </c>
      <c r="H337" s="52"/>
      <c r="I337" s="63" t="str">
        <f aca="false">IF(H337="","",G337-H337)</f>
        <v/>
      </c>
      <c r="J337" s="53" t="n">
        <f aca="false">IF(OR(D337="",D337+G337=0),"",D337/(D337+G337))</f>
        <v>0.501692620176032</v>
      </c>
      <c r="K337" s="53" t="str">
        <f aca="false">IF(E337="","",E337/(E337+H337))</f>
        <v/>
      </c>
      <c r="L337" s="64" t="str">
        <f aca="false">IF(OR(K337="",J337=""),"",(J337-K337)*100)</f>
        <v/>
      </c>
      <c r="M337" s="28" t="n">
        <v>2.49017287917352</v>
      </c>
      <c r="N337" s="28" t="n">
        <v>0.397844942258686</v>
      </c>
      <c r="O337" s="28" t="n">
        <f aca="false">SQRT(M337^2+N337^2)</f>
        <v>2.52175366882892</v>
      </c>
      <c r="P337" s="53" t="n">
        <f aca="false">IF(J337="","",MAX(0,J337-1.96*O337/100))</f>
        <v>0.452266248266986</v>
      </c>
      <c r="Q337" s="53" t="n">
        <f aca="false">IF(J337="","",MIN(1,J337+1.96*O337/100))</f>
        <v>0.551118992085079</v>
      </c>
      <c r="R337" s="25" t="str">
        <f aca="false">IF(L337="","",IF(ABS(L337)&lt;=O337,"Yes","No"))</f>
        <v/>
      </c>
      <c r="S337" s="25" t="str">
        <f aca="false">IF(L337="","",IF(ABS(L337)&lt;=1.96*O337,"Yes","No"))</f>
        <v/>
      </c>
      <c r="T337" s="52" t="n">
        <f aca="false">IF(D337="","",ROUND(SQRT(((D337+G337)*O337/100)^2+(J337*(D337+G337)*0.08889)^2),0))</f>
        <v>76</v>
      </c>
      <c r="U337" s="25" t="s">
        <v>702</v>
      </c>
    </row>
    <row r="338" customFormat="false" ht="15" hidden="false" customHeight="false" outlineLevel="0" collapsed="false">
      <c r="A338" s="25" t="s">
        <v>385</v>
      </c>
      <c r="B338" s="25" t="s">
        <v>516</v>
      </c>
      <c r="C338" s="25" t="s">
        <v>525</v>
      </c>
      <c r="D338" s="52" t="n">
        <v>338</v>
      </c>
      <c r="E338" s="52"/>
      <c r="F338" s="63" t="str">
        <f aca="false">IF(E338="","",D338-E338)</f>
        <v/>
      </c>
      <c r="G338" s="52" t="n">
        <v>338</v>
      </c>
      <c r="H338" s="52"/>
      <c r="I338" s="63" t="str">
        <f aca="false">IF(H338="","",G338-H338)</f>
        <v/>
      </c>
      <c r="J338" s="53" t="n">
        <f aca="false">IF(OR(D338="",D338+G338=0),"",D338/(D338+G338))</f>
        <v>0.5</v>
      </c>
      <c r="K338" s="53" t="str">
        <f aca="false">IF(E338="","",E338/(E338+H338))</f>
        <v/>
      </c>
      <c r="L338" s="64" t="str">
        <f aca="false">IF(OR(K338="",J338=""),"",(J338-K338)*100)</f>
        <v/>
      </c>
      <c r="M338" s="28" t="n">
        <v>3.19821915242569</v>
      </c>
      <c r="N338" s="28" t="n">
        <v>0.397844942258686</v>
      </c>
      <c r="O338" s="28" t="n">
        <f aca="false">SQRT(M338^2+N338^2)</f>
        <v>3.22286927209642</v>
      </c>
      <c r="P338" s="53" t="n">
        <f aca="false">IF(J338="","",MAX(0,J338-1.96*O338/100))</f>
        <v>0.43683176226691</v>
      </c>
      <c r="Q338" s="53" t="n">
        <f aca="false">IF(J338="","",MIN(1,J338+1.96*O338/100))</f>
        <v>0.56316823773309</v>
      </c>
      <c r="R338" s="25" t="str">
        <f aca="false">IF(L338="","",IF(ABS(L338)&lt;=O338,"Yes","No"))</f>
        <v/>
      </c>
      <c r="S338" s="25" t="str">
        <f aca="false">IF(L338="","",IF(ABS(L338)&lt;=1.96*O338,"Yes","No"))</f>
        <v/>
      </c>
      <c r="T338" s="52" t="n">
        <f aca="false">IF(D338="","",ROUND(SQRT(((D338+G338)*O338/100)^2+(J338*(D338+G338)*0.1901)^2),0))</f>
        <v>68</v>
      </c>
      <c r="U338" s="25" t="s">
        <v>702</v>
      </c>
    </row>
    <row r="339" customFormat="false" ht="15" hidden="false" customHeight="false" outlineLevel="0" collapsed="false">
      <c r="A339" s="25" t="s">
        <v>385</v>
      </c>
      <c r="B339" s="25" t="s">
        <v>526</v>
      </c>
      <c r="C339" s="25" t="s">
        <v>527</v>
      </c>
      <c r="D339" s="52" t="n">
        <v>106</v>
      </c>
      <c r="E339" s="52" t="n">
        <v>112</v>
      </c>
      <c r="F339" s="63" t="n">
        <f aca="false">IF(E339="","",D339-E339)</f>
        <v>-6</v>
      </c>
      <c r="G339" s="52" t="n">
        <v>190</v>
      </c>
      <c r="H339" s="52" t="n">
        <v>199</v>
      </c>
      <c r="I339" s="63" t="n">
        <f aca="false">IF(H339="","",G339-H339)</f>
        <v>-9</v>
      </c>
      <c r="J339" s="53" t="n">
        <f aca="false">IF(OR(D339="",D339+G339=0),"",D339/(D339+G339))</f>
        <v>0.358108108108108</v>
      </c>
      <c r="K339" s="53" t="n">
        <f aca="false">IF(E339="","",E339/(E339+H339))</f>
        <v>0.360128617363344</v>
      </c>
      <c r="L339" s="64" t="n">
        <f aca="false">IF(OR(K339="",J339=""),"",(J339-K339)*100)</f>
        <v>-0.202050925523595</v>
      </c>
      <c r="M339" s="28" t="n">
        <v>3.19821915242569</v>
      </c>
      <c r="N339" s="28" t="n">
        <v>0.397844942258686</v>
      </c>
      <c r="O339" s="28" t="n">
        <f aca="false">SQRT(M339^2+N339^2)</f>
        <v>3.22286927209642</v>
      </c>
      <c r="P339" s="53" t="n">
        <f aca="false">IF(J339="","",MAX(0,J339-1.96*O339/100))</f>
        <v>0.294939870375018</v>
      </c>
      <c r="Q339" s="53" t="n">
        <f aca="false">IF(J339="","",MIN(1,J339+1.96*O339/100))</f>
        <v>0.421276345841198</v>
      </c>
      <c r="R339" s="25" t="str">
        <f aca="false">IF(L339="","",IF(ABS(L339)&lt;=O339,"Yes","No"))</f>
        <v>Yes</v>
      </c>
      <c r="S339" s="25" t="str">
        <f aca="false">IF(L339="","",IF(ABS(L339)&lt;=1.96*O339,"Yes","No"))</f>
        <v>Yes</v>
      </c>
      <c r="T339" s="52" t="n">
        <f aca="false">IF(D339="","",ROUND(SQRT(((D339+G339)*O339/100)^2+(J339*(D339+G339)*0.1901)^2),0))</f>
        <v>22</v>
      </c>
      <c r="U339" s="25"/>
    </row>
    <row r="340" customFormat="false" ht="15" hidden="false" customHeight="false" outlineLevel="0" collapsed="false">
      <c r="A340" s="25" t="s">
        <v>385</v>
      </c>
      <c r="B340" s="25" t="s">
        <v>526</v>
      </c>
      <c r="C340" s="25" t="s">
        <v>528</v>
      </c>
      <c r="D340" s="52" t="n">
        <v>236</v>
      </c>
      <c r="E340" s="52" t="n">
        <v>259</v>
      </c>
      <c r="F340" s="63" t="n">
        <f aca="false">IF(E340="","",D340-E340)</f>
        <v>-23</v>
      </c>
      <c r="G340" s="52" t="n">
        <v>477</v>
      </c>
      <c r="H340" s="52" t="n">
        <v>480</v>
      </c>
      <c r="I340" s="63" t="n">
        <f aca="false">IF(H340="","",G340-H340)</f>
        <v>-3</v>
      </c>
      <c r="J340" s="53" t="n">
        <f aca="false">IF(OR(D340="",D340+G340=0),"",D340/(D340+G340))</f>
        <v>0.330995792426367</v>
      </c>
      <c r="K340" s="53" t="n">
        <f aca="false">IF(E340="","",E340/(E340+H340))</f>
        <v>0.350473612990528</v>
      </c>
      <c r="L340" s="64" t="n">
        <f aca="false">IF(OR(K340="",J340=""),"",(J340-K340)*100)</f>
        <v>-1.94778205641603</v>
      </c>
      <c r="M340" s="28" t="n">
        <v>3.19821915242569</v>
      </c>
      <c r="N340" s="28" t="n">
        <v>0.397844942258686</v>
      </c>
      <c r="O340" s="28" t="n">
        <f aca="false">SQRT(M340^2+N340^2)</f>
        <v>3.22286927209642</v>
      </c>
      <c r="P340" s="53" t="n">
        <f aca="false">IF(J340="","",MAX(0,J340-1.96*O340/100))</f>
        <v>0.267827554693278</v>
      </c>
      <c r="Q340" s="53" t="n">
        <f aca="false">IF(J340="","",MIN(1,J340+1.96*O340/100))</f>
        <v>0.394164030159457</v>
      </c>
      <c r="R340" s="25" t="str">
        <f aca="false">IF(L340="","",IF(ABS(L340)&lt;=O340,"Yes","No"))</f>
        <v>Yes</v>
      </c>
      <c r="S340" s="25" t="str">
        <f aca="false">IF(L340="","",IF(ABS(L340)&lt;=1.96*O340,"Yes","No"))</f>
        <v>Yes</v>
      </c>
      <c r="T340" s="52" t="n">
        <f aca="false">IF(D340="","",ROUND(SQRT(((D340+G340)*O340/100)^2+(J340*(D340+G340)*0.1901)^2),0))</f>
        <v>50</v>
      </c>
      <c r="U340" s="25"/>
    </row>
    <row r="341" customFormat="false" ht="15" hidden="false" customHeight="false" outlineLevel="0" collapsed="false">
      <c r="A341" s="25" t="s">
        <v>385</v>
      </c>
      <c r="B341" s="25" t="s">
        <v>526</v>
      </c>
      <c r="C341" s="25" t="s">
        <v>529</v>
      </c>
      <c r="D341" s="52" t="n">
        <v>200</v>
      </c>
      <c r="E341" s="52" t="n">
        <v>204</v>
      </c>
      <c r="F341" s="63" t="n">
        <f aca="false">IF(E341="","",D341-E341)</f>
        <v>-4</v>
      </c>
      <c r="G341" s="52" t="n">
        <v>296</v>
      </c>
      <c r="H341" s="52" t="n">
        <v>301</v>
      </c>
      <c r="I341" s="63" t="n">
        <f aca="false">IF(H341="","",G341-H341)</f>
        <v>-5</v>
      </c>
      <c r="J341" s="53" t="n">
        <f aca="false">IF(OR(D341="",D341+G341=0),"",D341/(D341+G341))</f>
        <v>0.403225806451613</v>
      </c>
      <c r="K341" s="53" t="n">
        <f aca="false">IF(E341="","",E341/(E341+H341))</f>
        <v>0.403960396039604</v>
      </c>
      <c r="L341" s="64" t="n">
        <f aca="false">IF(OR(K341="",J341=""),"",(J341-K341)*100)</f>
        <v>-0.0734589587991108</v>
      </c>
      <c r="M341" s="28" t="n">
        <v>3.19821915242569</v>
      </c>
      <c r="N341" s="28" t="n">
        <v>0.397844942258686</v>
      </c>
      <c r="O341" s="28" t="n">
        <f aca="false">SQRT(M341^2+N341^2)</f>
        <v>3.22286927209642</v>
      </c>
      <c r="P341" s="53" t="n">
        <f aca="false">IF(J341="","",MAX(0,J341-1.96*O341/100))</f>
        <v>0.340057568718523</v>
      </c>
      <c r="Q341" s="53" t="n">
        <f aca="false">IF(J341="","",MIN(1,J341+1.96*O341/100))</f>
        <v>0.466394044184703</v>
      </c>
      <c r="R341" s="25" t="str">
        <f aca="false">IF(L341="","",IF(ABS(L341)&lt;=O341,"Yes","No"))</f>
        <v>Yes</v>
      </c>
      <c r="S341" s="25" t="str">
        <f aca="false">IF(L341="","",IF(ABS(L341)&lt;=1.96*O341,"Yes","No"))</f>
        <v>Yes</v>
      </c>
      <c r="T341" s="52" t="n">
        <f aca="false">IF(D341="","",ROUND(SQRT(((D341+G341)*O341/100)^2+(J341*(D341+G341)*0.1901)^2),0))</f>
        <v>41</v>
      </c>
      <c r="U341" s="25"/>
    </row>
    <row r="342" customFormat="false" ht="15" hidden="false" customHeight="false" outlineLevel="0" collapsed="false">
      <c r="A342" s="25" t="s">
        <v>385</v>
      </c>
      <c r="B342" s="25" t="s">
        <v>526</v>
      </c>
      <c r="C342" s="25" t="s">
        <v>530</v>
      </c>
      <c r="D342" s="52" t="n">
        <v>142</v>
      </c>
      <c r="E342" s="52" t="n">
        <v>128</v>
      </c>
      <c r="F342" s="63" t="n">
        <f aca="false">IF(E342="","",D342-E342)</f>
        <v>14</v>
      </c>
      <c r="G342" s="52" t="n">
        <v>194</v>
      </c>
      <c r="H342" s="52" t="n">
        <v>200</v>
      </c>
      <c r="I342" s="63" t="n">
        <f aca="false">IF(H342="","",G342-H342)</f>
        <v>-6</v>
      </c>
      <c r="J342" s="53" t="n">
        <f aca="false">IF(OR(D342="",D342+G342=0),"",D342/(D342+G342))</f>
        <v>0.422619047619048</v>
      </c>
      <c r="K342" s="53" t="n">
        <f aca="false">IF(E342="","",E342/(E342+H342))</f>
        <v>0.390243902439024</v>
      </c>
      <c r="L342" s="64" t="n">
        <f aca="false">IF(OR(K342="",J342=""),"",(J342-K342)*100)</f>
        <v>3.23751451800232</v>
      </c>
      <c r="M342" s="28" t="n">
        <v>3.19821915242569</v>
      </c>
      <c r="N342" s="28" t="n">
        <v>0.397844942258686</v>
      </c>
      <c r="O342" s="28" t="n">
        <f aca="false">SQRT(M342^2+N342^2)</f>
        <v>3.22286927209642</v>
      </c>
      <c r="P342" s="53" t="n">
        <f aca="false">IF(J342="","",MAX(0,J342-1.96*O342/100))</f>
        <v>0.359450809885958</v>
      </c>
      <c r="Q342" s="53" t="n">
        <f aca="false">IF(J342="","",MIN(1,J342+1.96*O342/100))</f>
        <v>0.485787285352138</v>
      </c>
      <c r="R342" s="25" t="str">
        <f aca="false">IF(L342="","",IF(ABS(L342)&lt;=O342,"Yes","No"))</f>
        <v>No</v>
      </c>
      <c r="S342" s="25" t="str">
        <f aca="false">IF(L342="","",IF(ABS(L342)&lt;=1.96*O342,"Yes","No"))</f>
        <v>Yes</v>
      </c>
      <c r="T342" s="52" t="n">
        <f aca="false">IF(D342="","",ROUND(SQRT(((D342+G342)*O342/100)^2+(J342*(D342+G342)*0.1901)^2),0))</f>
        <v>29</v>
      </c>
      <c r="U342" s="25"/>
    </row>
    <row r="343" customFormat="false" ht="15" hidden="false" customHeight="false" outlineLevel="0" collapsed="false">
      <c r="A343" s="25" t="s">
        <v>385</v>
      </c>
      <c r="B343" s="25" t="s">
        <v>531</v>
      </c>
      <c r="C343" s="25" t="s">
        <v>532</v>
      </c>
      <c r="D343" s="52" t="n">
        <v>389</v>
      </c>
      <c r="E343" s="52" t="n">
        <v>412</v>
      </c>
      <c r="F343" s="63" t="n">
        <f aca="false">IF(E343="","",D343-E343)</f>
        <v>-23</v>
      </c>
      <c r="G343" s="52" t="n">
        <v>803</v>
      </c>
      <c r="H343" s="52" t="n">
        <v>767</v>
      </c>
      <c r="I343" s="63" t="n">
        <f aca="false">IF(H343="","",G343-H343)</f>
        <v>36</v>
      </c>
      <c r="J343" s="53" t="n">
        <f aca="false">IF(OR(D343="",D343+G343=0),"",D343/(D343+G343))</f>
        <v>0.326342281879195</v>
      </c>
      <c r="K343" s="53" t="n">
        <f aca="false">IF(E343="","",E343/(E343+H343))</f>
        <v>0.349448685326548</v>
      </c>
      <c r="L343" s="64" t="n">
        <f aca="false">IF(OR(K343="",J343=""),"",(J343-K343)*100)</f>
        <v>-2.31064034473533</v>
      </c>
      <c r="M343" s="28" t="n">
        <v>2.42668038003648</v>
      </c>
      <c r="N343" s="28" t="n">
        <v>0.397844942258686</v>
      </c>
      <c r="O343" s="28" t="n">
        <f aca="false">SQRT(M343^2+N343^2)</f>
        <v>2.45907670985165</v>
      </c>
      <c r="P343" s="53" t="n">
        <f aca="false">IF(J343="","",MAX(0,J343-1.96*O343/100))</f>
        <v>0.278144378366102</v>
      </c>
      <c r="Q343" s="53" t="n">
        <f aca="false">IF(J343="","",MIN(1,J343+1.96*O343/100))</f>
        <v>0.374540185392287</v>
      </c>
      <c r="R343" s="25" t="str">
        <f aca="false">IF(L343="","",IF(ABS(L343)&lt;=O343,"Yes","No"))</f>
        <v>Yes</v>
      </c>
      <c r="S343" s="25" t="str">
        <f aca="false">IF(L343="","",IF(ABS(L343)&lt;=1.96*O343,"Yes","No"))</f>
        <v>Yes</v>
      </c>
      <c r="T343" s="52" t="n">
        <f aca="false">IF(D343="","",ROUND(SQRT(((D343+G343)*O343/100)^2+(J343*(D343+G343)*0.10931)^2),0))</f>
        <v>52</v>
      </c>
      <c r="U343" s="25"/>
    </row>
    <row r="344" customFormat="false" ht="15" hidden="false" customHeight="false" outlineLevel="0" collapsed="false">
      <c r="A344" s="25" t="s">
        <v>385</v>
      </c>
      <c r="B344" s="25" t="s">
        <v>531</v>
      </c>
      <c r="C344" s="25" t="s">
        <v>533</v>
      </c>
      <c r="D344" s="52" t="n">
        <v>327</v>
      </c>
      <c r="E344" s="52" t="n">
        <v>361</v>
      </c>
      <c r="F344" s="63" t="n">
        <f aca="false">IF(E344="","",D344-E344)</f>
        <v>-34</v>
      </c>
      <c r="G344" s="52" t="n">
        <v>659</v>
      </c>
      <c r="H344" s="52" t="n">
        <v>633</v>
      </c>
      <c r="I344" s="63" t="n">
        <f aca="false">IF(H344="","",G344-H344)</f>
        <v>26</v>
      </c>
      <c r="J344" s="53" t="n">
        <f aca="false">IF(OR(D344="",D344+G344=0),"",D344/(D344+G344))</f>
        <v>0.331643002028398</v>
      </c>
      <c r="K344" s="53" t="n">
        <f aca="false">IF(E344="","",E344/(E344+H344))</f>
        <v>0.36317907444668</v>
      </c>
      <c r="L344" s="64" t="n">
        <f aca="false">IF(OR(K344="",J344=""),"",(J344-K344)*100)</f>
        <v>-3.15360724182825</v>
      </c>
      <c r="M344" s="28" t="n">
        <v>2.42668038003648</v>
      </c>
      <c r="N344" s="28" t="n">
        <v>0.397844942258686</v>
      </c>
      <c r="O344" s="28" t="n">
        <f aca="false">SQRT(M344^2+N344^2)</f>
        <v>2.45907670985165</v>
      </c>
      <c r="P344" s="53" t="n">
        <f aca="false">IF(J344="","",MAX(0,J344-1.96*O344/100))</f>
        <v>0.283445098515305</v>
      </c>
      <c r="Q344" s="53" t="n">
        <f aca="false">IF(J344="","",MIN(1,J344+1.96*O344/100))</f>
        <v>0.37984090554149</v>
      </c>
      <c r="R344" s="25" t="str">
        <f aca="false">IF(L344="","",IF(ABS(L344)&lt;=O344,"Yes","No"))</f>
        <v>No</v>
      </c>
      <c r="S344" s="25" t="str">
        <f aca="false">IF(L344="","",IF(ABS(L344)&lt;=1.96*O344,"Yes","No"))</f>
        <v>Yes</v>
      </c>
      <c r="T344" s="52" t="n">
        <f aca="false">IF(D344="","",ROUND(SQRT(((D344+G344)*O344/100)^2+(J344*(D344+G344)*0.10931)^2),0))</f>
        <v>43</v>
      </c>
      <c r="U344" s="25"/>
    </row>
    <row r="345" customFormat="false" ht="15" hidden="false" customHeight="false" outlineLevel="0" collapsed="false">
      <c r="A345" s="25" t="s">
        <v>385</v>
      </c>
      <c r="B345" s="25" t="s">
        <v>531</v>
      </c>
      <c r="C345" s="25" t="s">
        <v>534</v>
      </c>
      <c r="D345" s="52" t="n">
        <v>283</v>
      </c>
      <c r="E345" s="52" t="n">
        <v>286</v>
      </c>
      <c r="F345" s="63" t="n">
        <f aca="false">IF(E345="","",D345-E345)</f>
        <v>-3</v>
      </c>
      <c r="G345" s="52" t="n">
        <v>593</v>
      </c>
      <c r="H345" s="52" t="n">
        <v>553</v>
      </c>
      <c r="I345" s="63" t="n">
        <f aca="false">IF(H345="","",G345-H345)</f>
        <v>40</v>
      </c>
      <c r="J345" s="53" t="n">
        <f aca="false">IF(OR(D345="",D345+G345=0),"",D345/(D345+G345))</f>
        <v>0.323059360730594</v>
      </c>
      <c r="K345" s="53" t="n">
        <f aca="false">IF(E345="","",E345/(E345+H345))</f>
        <v>0.34088200238379</v>
      </c>
      <c r="L345" s="64" t="n">
        <f aca="false">IF(OR(K345="",J345=""),"",(J345-K345)*100)</f>
        <v>-1.78226416531966</v>
      </c>
      <c r="M345" s="28" t="n">
        <v>2.42668038003648</v>
      </c>
      <c r="N345" s="28" t="n">
        <v>0.397844942258686</v>
      </c>
      <c r="O345" s="28" t="n">
        <f aca="false">SQRT(M345^2+N345^2)</f>
        <v>2.45907670985165</v>
      </c>
      <c r="P345" s="53" t="n">
        <f aca="false">IF(J345="","",MAX(0,J345-1.96*O345/100))</f>
        <v>0.274861457217501</v>
      </c>
      <c r="Q345" s="53" t="n">
        <f aca="false">IF(J345="","",MIN(1,J345+1.96*O345/100))</f>
        <v>0.371257264243686</v>
      </c>
      <c r="R345" s="25" t="str">
        <f aca="false">IF(L345="","",IF(ABS(L345)&lt;=O345,"Yes","No"))</f>
        <v>Yes</v>
      </c>
      <c r="S345" s="25" t="str">
        <f aca="false">IF(L345="","",IF(ABS(L345)&lt;=1.96*O345,"Yes","No"))</f>
        <v>Yes</v>
      </c>
      <c r="T345" s="52" t="n">
        <f aca="false">IF(D345="","",ROUND(SQRT(((D345+G345)*O345/100)^2+(J345*(D345+G345)*0.10931)^2),0))</f>
        <v>38</v>
      </c>
      <c r="U345" s="25"/>
    </row>
    <row r="346" customFormat="false" ht="15" hidden="false" customHeight="false" outlineLevel="0" collapsed="false">
      <c r="A346" s="25" t="s">
        <v>385</v>
      </c>
      <c r="B346" s="25" t="s">
        <v>531</v>
      </c>
      <c r="C346" s="25" t="s">
        <v>535</v>
      </c>
      <c r="D346" s="52" t="n">
        <v>293</v>
      </c>
      <c r="E346" s="52" t="n">
        <v>302</v>
      </c>
      <c r="F346" s="63" t="n">
        <f aca="false">IF(E346="","",D346-E346)</f>
        <v>-9</v>
      </c>
      <c r="G346" s="52" t="n">
        <v>603</v>
      </c>
      <c r="H346" s="52" t="n">
        <v>608</v>
      </c>
      <c r="I346" s="63" t="n">
        <f aca="false">IF(H346="","",G346-H346)</f>
        <v>-5</v>
      </c>
      <c r="J346" s="53" t="n">
        <f aca="false">IF(OR(D346="",D346+G346=0),"",D346/(D346+G346))</f>
        <v>0.327008928571429</v>
      </c>
      <c r="K346" s="53" t="n">
        <f aca="false">IF(E346="","",E346/(E346+H346))</f>
        <v>0.331868131868132</v>
      </c>
      <c r="L346" s="64" t="n">
        <f aca="false">IF(OR(K346="",J346=""),"",(J346-K346)*100)</f>
        <v>-0.485920329670331</v>
      </c>
      <c r="M346" s="28" t="n">
        <v>2.42668038003648</v>
      </c>
      <c r="N346" s="28" t="n">
        <v>0.397844942258686</v>
      </c>
      <c r="O346" s="28" t="n">
        <f aca="false">SQRT(M346^2+N346^2)</f>
        <v>2.45907670985165</v>
      </c>
      <c r="P346" s="53" t="n">
        <f aca="false">IF(J346="","",MAX(0,J346-1.96*O346/100))</f>
        <v>0.278811025058336</v>
      </c>
      <c r="Q346" s="53" t="n">
        <f aca="false">IF(J346="","",MIN(1,J346+1.96*O346/100))</f>
        <v>0.375206832084521</v>
      </c>
      <c r="R346" s="25" t="str">
        <f aca="false">IF(L346="","",IF(ABS(L346)&lt;=O346,"Yes","No"))</f>
        <v>Yes</v>
      </c>
      <c r="S346" s="25" t="str">
        <f aca="false">IF(L346="","",IF(ABS(L346)&lt;=1.96*O346,"Yes","No"))</f>
        <v>Yes</v>
      </c>
      <c r="T346" s="52" t="n">
        <f aca="false">IF(D346="","",ROUND(SQRT(((D346+G346)*O346/100)^2+(J346*(D346+G346)*0.10931)^2),0))</f>
        <v>39</v>
      </c>
      <c r="U346" s="25"/>
    </row>
    <row r="347" customFormat="false" ht="15" hidden="false" customHeight="false" outlineLevel="0" collapsed="false">
      <c r="A347" s="25" t="s">
        <v>385</v>
      </c>
      <c r="B347" s="25" t="s">
        <v>536</v>
      </c>
      <c r="C347" s="25" t="s">
        <v>537</v>
      </c>
      <c r="D347" s="52" t="n">
        <v>78</v>
      </c>
      <c r="E347" s="52" t="n">
        <v>92</v>
      </c>
      <c r="F347" s="63" t="n">
        <f aca="false">IF(E347="","",D347-E347)</f>
        <v>-14</v>
      </c>
      <c r="G347" s="52" t="n">
        <v>171</v>
      </c>
      <c r="H347" s="52" t="n">
        <v>167</v>
      </c>
      <c r="I347" s="63" t="n">
        <f aca="false">IF(H347="","",G347-H347)</f>
        <v>4</v>
      </c>
      <c r="J347" s="53" t="n">
        <f aca="false">IF(OR(D347="",D347+G347=0),"",D347/(D347+G347))</f>
        <v>0.313253012048193</v>
      </c>
      <c r="K347" s="53" t="n">
        <f aca="false">IF(E347="","",E347/(E347+H347))</f>
        <v>0.355212355212355</v>
      </c>
      <c r="L347" s="64" t="n">
        <f aca="false">IF(OR(K347="",J347=""),"",(J347-K347)*100)</f>
        <v>-4.19593431641625</v>
      </c>
      <c r="M347" s="28" t="n">
        <v>3.19821915242569</v>
      </c>
      <c r="N347" s="28" t="n">
        <v>0.397844942258686</v>
      </c>
      <c r="O347" s="28" t="n">
        <f aca="false">SQRT(M347^2+N347^2)</f>
        <v>3.22286927209642</v>
      </c>
      <c r="P347" s="53" t="n">
        <f aca="false">IF(J347="","",MAX(0,J347-1.96*O347/100))</f>
        <v>0.250084774315103</v>
      </c>
      <c r="Q347" s="53" t="n">
        <f aca="false">IF(J347="","",MIN(1,J347+1.96*O347/100))</f>
        <v>0.376421249781283</v>
      </c>
      <c r="R347" s="25" t="str">
        <f aca="false">IF(L347="","",IF(ABS(L347)&lt;=O347,"Yes","No"))</f>
        <v>No</v>
      </c>
      <c r="S347" s="25" t="str">
        <f aca="false">IF(L347="","",IF(ABS(L347)&lt;=1.96*O347,"Yes","No"))</f>
        <v>Yes</v>
      </c>
      <c r="T347" s="52" t="n">
        <f aca="false">IF(D347="","",ROUND(SQRT(((D347+G347)*O347/100)^2+(J347*(D347+G347)*0.1901)^2),0))</f>
        <v>17</v>
      </c>
      <c r="U347" s="25"/>
    </row>
    <row r="348" customFormat="false" ht="15" hidden="false" customHeight="false" outlineLevel="0" collapsed="false">
      <c r="A348" s="25" t="s">
        <v>385</v>
      </c>
      <c r="B348" s="25" t="s">
        <v>538</v>
      </c>
      <c r="C348" s="25" t="s">
        <v>539</v>
      </c>
      <c r="D348" s="52" t="n">
        <v>337</v>
      </c>
      <c r="E348" s="52" t="n">
        <v>335</v>
      </c>
      <c r="F348" s="63" t="n">
        <f aca="false">IF(E348="","",D348-E348)</f>
        <v>2</v>
      </c>
      <c r="G348" s="52" t="n">
        <v>595</v>
      </c>
      <c r="H348" s="52" t="n">
        <v>581</v>
      </c>
      <c r="I348" s="63" t="n">
        <f aca="false">IF(H348="","",G348-H348)</f>
        <v>14</v>
      </c>
      <c r="J348" s="53" t="n">
        <f aca="false">IF(OR(D348="",D348+G348=0),"",D348/(D348+G348))</f>
        <v>0.361587982832618</v>
      </c>
      <c r="K348" s="53" t="n">
        <f aca="false">IF(E348="","",E348/(E348+H348))</f>
        <v>0.365720524017467</v>
      </c>
      <c r="L348" s="64" t="n">
        <f aca="false">IF(OR(K348="",J348=""),"",(J348-K348)*100)</f>
        <v>-0.413254118484924</v>
      </c>
      <c r="M348" s="28" t="n">
        <v>2.42668038003648</v>
      </c>
      <c r="N348" s="28" t="n">
        <v>0.397844942258686</v>
      </c>
      <c r="O348" s="28" t="n">
        <f aca="false">SQRT(M348^2+N348^2)</f>
        <v>2.45907670985165</v>
      </c>
      <c r="P348" s="53" t="n">
        <f aca="false">IF(J348="","",MAX(0,J348-1.96*O348/100))</f>
        <v>0.313390079319526</v>
      </c>
      <c r="Q348" s="53" t="n">
        <f aca="false">IF(J348="","",MIN(1,J348+1.96*O348/100))</f>
        <v>0.40978588634571</v>
      </c>
      <c r="R348" s="25" t="str">
        <f aca="false">IF(L348="","",IF(ABS(L348)&lt;=O348,"Yes","No"))</f>
        <v>Yes</v>
      </c>
      <c r="S348" s="25" t="str">
        <f aca="false">IF(L348="","",IF(ABS(L348)&lt;=1.96*O348,"Yes","No"))</f>
        <v>Yes</v>
      </c>
      <c r="T348" s="52" t="n">
        <f aca="false">IF(D348="","",ROUND(SQRT(((D348+G348)*O348/100)^2+(J348*(D348+G348)*0.10931)^2),0))</f>
        <v>43</v>
      </c>
      <c r="U348" s="25"/>
    </row>
    <row r="349" customFormat="false" ht="15" hidden="false" customHeight="false" outlineLevel="0" collapsed="false">
      <c r="A349" s="25" t="s">
        <v>385</v>
      </c>
      <c r="B349" s="25" t="s">
        <v>540</v>
      </c>
      <c r="C349" s="25" t="s">
        <v>541</v>
      </c>
      <c r="D349" s="52" t="n">
        <v>209</v>
      </c>
      <c r="E349" s="52" t="n">
        <v>210</v>
      </c>
      <c r="F349" s="63" t="n">
        <f aca="false">IF(E349="","",D349-E349)</f>
        <v>-1</v>
      </c>
      <c r="G349" s="52" t="n">
        <v>305</v>
      </c>
      <c r="H349" s="52" t="n">
        <v>309</v>
      </c>
      <c r="I349" s="63" t="n">
        <f aca="false">IF(H349="","",G349-H349)</f>
        <v>-4</v>
      </c>
      <c r="J349" s="53" t="n">
        <f aca="false">IF(OR(D349="",D349+G349=0),"",D349/(D349+G349))</f>
        <v>0.406614785992218</v>
      </c>
      <c r="K349" s="53" t="n">
        <f aca="false">IF(E349="","",E349/(E349+H349))</f>
        <v>0.404624277456647</v>
      </c>
      <c r="L349" s="64" t="n">
        <f aca="false">IF(OR(K349="",J349=""),"",(J349-K349)*100)</f>
        <v>0.199050853557048</v>
      </c>
      <c r="M349" s="28" t="n">
        <v>3.19821915242569</v>
      </c>
      <c r="N349" s="28" t="n">
        <v>0.397844942258686</v>
      </c>
      <c r="O349" s="28" t="n">
        <f aca="false">SQRT(M349^2+N349^2)</f>
        <v>3.22286927209642</v>
      </c>
      <c r="P349" s="53" t="n">
        <f aca="false">IF(J349="","",MAX(0,J349-1.96*O349/100))</f>
        <v>0.343446548259128</v>
      </c>
      <c r="Q349" s="53" t="n">
        <f aca="false">IF(J349="","",MIN(1,J349+1.96*O349/100))</f>
        <v>0.469783023725308</v>
      </c>
      <c r="R349" s="25" t="str">
        <f aca="false">IF(L349="","",IF(ABS(L349)&lt;=O349,"Yes","No"))</f>
        <v>Yes</v>
      </c>
      <c r="S349" s="25" t="str">
        <f aca="false">IF(L349="","",IF(ABS(L349)&lt;=1.96*O349,"Yes","No"))</f>
        <v>Yes</v>
      </c>
      <c r="T349" s="52" t="n">
        <f aca="false">IF(D349="","",ROUND(SQRT(((D349+G349)*O349/100)^2+(J349*(D349+G349)*0.1901)^2),0))</f>
        <v>43</v>
      </c>
      <c r="U349" s="25"/>
    </row>
    <row r="350" customFormat="false" ht="15" hidden="false" customHeight="false" outlineLevel="0" collapsed="false">
      <c r="A350" s="25" t="s">
        <v>385</v>
      </c>
      <c r="B350" s="25" t="s">
        <v>542</v>
      </c>
      <c r="C350" s="25" t="s">
        <v>543</v>
      </c>
      <c r="D350" s="52" t="n">
        <v>312</v>
      </c>
      <c r="E350" s="52" t="n">
        <v>331</v>
      </c>
      <c r="F350" s="63" t="n">
        <f aca="false">IF(E350="","",D350-E350)</f>
        <v>-19</v>
      </c>
      <c r="G350" s="52" t="n">
        <v>460</v>
      </c>
      <c r="H350" s="52" t="n">
        <v>458</v>
      </c>
      <c r="I350" s="63" t="n">
        <f aca="false">IF(H350="","",G350-H350)</f>
        <v>2</v>
      </c>
      <c r="J350" s="53" t="n">
        <f aca="false">IF(OR(D350="",D350+G350=0),"",D350/(D350+G350))</f>
        <v>0.404145077720207</v>
      </c>
      <c r="K350" s="53" t="n">
        <f aca="false">IF(E350="","",E350/(E350+H350))</f>
        <v>0.419518377693283</v>
      </c>
      <c r="L350" s="64" t="n">
        <f aca="false">IF(OR(K350="",J350=""),"",(J350-K350)*100)</f>
        <v>-1.53732999730754</v>
      </c>
      <c r="M350" s="28" t="n">
        <v>2.42668038003648</v>
      </c>
      <c r="N350" s="28" t="n">
        <v>0.397844942258686</v>
      </c>
      <c r="O350" s="28" t="n">
        <f aca="false">SQRT(M350^2+N350^2)</f>
        <v>2.45907670985165</v>
      </c>
      <c r="P350" s="53" t="n">
        <f aca="false">IF(J350="","",MAX(0,J350-1.96*O350/100))</f>
        <v>0.355947174207115</v>
      </c>
      <c r="Q350" s="53" t="n">
        <f aca="false">IF(J350="","",MIN(1,J350+1.96*O350/100))</f>
        <v>0.4523429812333</v>
      </c>
      <c r="R350" s="25" t="str">
        <f aca="false">IF(L350="","",IF(ABS(L350)&lt;=O350,"Yes","No"))</f>
        <v>Yes</v>
      </c>
      <c r="S350" s="25" t="str">
        <f aca="false">IF(L350="","",IF(ABS(L350)&lt;=1.96*O350,"Yes","No"))</f>
        <v>Yes</v>
      </c>
      <c r="T350" s="52" t="n">
        <f aca="false">IF(D350="","",ROUND(SQRT(((D350+G350)*O350/100)^2+(J350*(D350+G350)*0.10931)^2),0))</f>
        <v>39</v>
      </c>
      <c r="U350" s="25"/>
    </row>
    <row r="351" customFormat="false" ht="15" hidden="false" customHeight="false" outlineLevel="0" collapsed="false">
      <c r="A351" s="25" t="s">
        <v>385</v>
      </c>
      <c r="B351" s="25" t="s">
        <v>544</v>
      </c>
      <c r="C351" s="25" t="s">
        <v>545</v>
      </c>
      <c r="D351" s="52" t="n">
        <v>277</v>
      </c>
      <c r="E351" s="52" t="n">
        <v>307</v>
      </c>
      <c r="F351" s="63" t="n">
        <f aca="false">IF(E351="","",D351-E351)</f>
        <v>-30</v>
      </c>
      <c r="G351" s="52" t="n">
        <v>762</v>
      </c>
      <c r="H351" s="52" t="n">
        <v>746</v>
      </c>
      <c r="I351" s="63" t="n">
        <f aca="false">IF(H351="","",G351-H351)</f>
        <v>16</v>
      </c>
      <c r="J351" s="53" t="n">
        <f aca="false">IF(OR(D351="",D351+G351=0),"",D351/(D351+G351))</f>
        <v>0.26660250240616</v>
      </c>
      <c r="K351" s="53" t="n">
        <f aca="false">IF(E351="","",E351/(E351+H351))</f>
        <v>0.291547958214625</v>
      </c>
      <c r="L351" s="64" t="n">
        <f aca="false">IF(OR(K351="",J351=""),"",(J351-K351)*100)</f>
        <v>-2.49454558084651</v>
      </c>
      <c r="M351" s="28" t="n">
        <v>2.42668038003648</v>
      </c>
      <c r="N351" s="28" t="n">
        <v>0.397844942258686</v>
      </c>
      <c r="O351" s="28" t="n">
        <f aca="false">SQRT(M351^2+N351^2)</f>
        <v>2.45907670985165</v>
      </c>
      <c r="P351" s="53" t="n">
        <f aca="false">IF(J351="","",MAX(0,J351-1.96*O351/100))</f>
        <v>0.218404598893067</v>
      </c>
      <c r="Q351" s="53" t="n">
        <f aca="false">IF(J351="","",MIN(1,J351+1.96*O351/100))</f>
        <v>0.314800405919252</v>
      </c>
      <c r="R351" s="25" t="str">
        <f aca="false">IF(L351="","",IF(ABS(L351)&lt;=O351,"Yes","No"))</f>
        <v>No</v>
      </c>
      <c r="S351" s="25" t="str">
        <f aca="false">IF(L351="","",IF(ABS(L351)&lt;=1.96*O351,"Yes","No"))</f>
        <v>Yes</v>
      </c>
      <c r="T351" s="52" t="n">
        <f aca="false">IF(D351="","",ROUND(SQRT(((D351+G351)*O351/100)^2+(J351*(D351+G351)*0.10931)^2),0))</f>
        <v>40</v>
      </c>
      <c r="U351" s="25"/>
    </row>
    <row r="352" customFormat="false" ht="15" hidden="false" customHeight="false" outlineLevel="0" collapsed="false">
      <c r="A352" s="25" t="s">
        <v>385</v>
      </c>
      <c r="B352" s="25" t="s">
        <v>544</v>
      </c>
      <c r="C352" s="25" t="s">
        <v>546</v>
      </c>
      <c r="D352" s="52" t="n">
        <v>226</v>
      </c>
      <c r="E352" s="52" t="n">
        <v>232</v>
      </c>
      <c r="F352" s="63" t="n">
        <f aca="false">IF(E352="","",D352-E352)</f>
        <v>-6</v>
      </c>
      <c r="G352" s="52" t="n">
        <v>491</v>
      </c>
      <c r="H352" s="52" t="n">
        <v>487</v>
      </c>
      <c r="I352" s="63" t="n">
        <f aca="false">IF(H352="","",G352-H352)</f>
        <v>4</v>
      </c>
      <c r="J352" s="53" t="n">
        <f aca="false">IF(OR(D352="",D352+G352=0),"",D352/(D352+G352))</f>
        <v>0.315202231520223</v>
      </c>
      <c r="K352" s="53" t="n">
        <f aca="false">IF(E352="","",E352/(E352+H352))</f>
        <v>0.322670375521558</v>
      </c>
      <c r="L352" s="64" t="n">
        <f aca="false">IF(OR(K352="",J352=""),"",(J352-K352)*100)</f>
        <v>-0.746814400133455</v>
      </c>
      <c r="M352" s="28" t="n">
        <v>3.19821915242569</v>
      </c>
      <c r="N352" s="28" t="n">
        <v>0.397844942258686</v>
      </c>
      <c r="O352" s="28" t="n">
        <f aca="false">SQRT(M352^2+N352^2)</f>
        <v>3.22286927209642</v>
      </c>
      <c r="P352" s="53" t="n">
        <f aca="false">IF(J352="","",MAX(0,J352-1.96*O352/100))</f>
        <v>0.252033993787133</v>
      </c>
      <c r="Q352" s="53" t="n">
        <f aca="false">IF(J352="","",MIN(1,J352+1.96*O352/100))</f>
        <v>0.378370469253313</v>
      </c>
      <c r="R352" s="25" t="str">
        <f aca="false">IF(L352="","",IF(ABS(L352)&lt;=O352,"Yes","No"))</f>
        <v>Yes</v>
      </c>
      <c r="S352" s="25" t="str">
        <f aca="false">IF(L352="","",IF(ABS(L352)&lt;=1.96*O352,"Yes","No"))</f>
        <v>Yes</v>
      </c>
      <c r="T352" s="52" t="n">
        <f aca="false">IF(D352="","",ROUND(SQRT(((D352+G352)*O352/100)^2+(J352*(D352+G352)*0.1901)^2),0))</f>
        <v>49</v>
      </c>
      <c r="U352" s="25"/>
    </row>
    <row r="353" customFormat="false" ht="15" hidden="false" customHeight="false" outlineLevel="0" collapsed="false">
      <c r="A353" s="25" t="s">
        <v>385</v>
      </c>
      <c r="B353" s="25" t="s">
        <v>544</v>
      </c>
      <c r="C353" s="25" t="s">
        <v>547</v>
      </c>
      <c r="D353" s="52" t="n">
        <v>174</v>
      </c>
      <c r="E353" s="52" t="n">
        <v>178</v>
      </c>
      <c r="F353" s="63" t="n">
        <f aca="false">IF(E353="","",D353-E353)</f>
        <v>-4</v>
      </c>
      <c r="G353" s="52" t="n">
        <v>444</v>
      </c>
      <c r="H353" s="52" t="n">
        <v>480</v>
      </c>
      <c r="I353" s="63" t="n">
        <f aca="false">IF(H353="","",G353-H353)</f>
        <v>-36</v>
      </c>
      <c r="J353" s="53" t="n">
        <f aca="false">IF(OR(D353="",D353+G353=0),"",D353/(D353+G353))</f>
        <v>0.281553398058252</v>
      </c>
      <c r="K353" s="53" t="n">
        <f aca="false">IF(E353="","",E353/(E353+H353))</f>
        <v>0.270516717325228</v>
      </c>
      <c r="L353" s="64" t="n">
        <f aca="false">IF(OR(K353="",J353=""),"",(J353-K353)*100)</f>
        <v>1.10366807330244</v>
      </c>
      <c r="M353" s="28" t="n">
        <v>3.19821915242569</v>
      </c>
      <c r="N353" s="28" t="n">
        <v>0.397844942258686</v>
      </c>
      <c r="O353" s="28" t="n">
        <f aca="false">SQRT(M353^2+N353^2)</f>
        <v>3.22286927209642</v>
      </c>
      <c r="P353" s="53" t="n">
        <f aca="false">IF(J353="","",MAX(0,J353-1.96*O353/100))</f>
        <v>0.218385160325163</v>
      </c>
      <c r="Q353" s="53" t="n">
        <f aca="false">IF(J353="","",MIN(1,J353+1.96*O353/100))</f>
        <v>0.344721635791342</v>
      </c>
      <c r="R353" s="25" t="str">
        <f aca="false">IF(L353="","",IF(ABS(L353)&lt;=O353,"Yes","No"))</f>
        <v>Yes</v>
      </c>
      <c r="S353" s="25" t="str">
        <f aca="false">IF(L353="","",IF(ABS(L353)&lt;=1.96*O353,"Yes","No"))</f>
        <v>Yes</v>
      </c>
      <c r="T353" s="52" t="n">
        <f aca="false">IF(D353="","",ROUND(SQRT(((D353+G353)*O353/100)^2+(J353*(D353+G353)*0.1901)^2),0))</f>
        <v>39</v>
      </c>
      <c r="U353" s="25"/>
    </row>
    <row r="354" customFormat="false" ht="15" hidden="false" customHeight="false" outlineLevel="0" collapsed="false">
      <c r="A354" s="25" t="s">
        <v>385</v>
      </c>
      <c r="B354" s="25" t="s">
        <v>544</v>
      </c>
      <c r="C354" s="25" t="s">
        <v>548</v>
      </c>
      <c r="D354" s="52" t="n">
        <v>175</v>
      </c>
      <c r="E354" s="52" t="n">
        <v>180</v>
      </c>
      <c r="F354" s="63" t="n">
        <f aca="false">IF(E354="","",D354-E354)</f>
        <v>-5</v>
      </c>
      <c r="G354" s="52" t="n">
        <v>425</v>
      </c>
      <c r="H354" s="52" t="n">
        <v>430</v>
      </c>
      <c r="I354" s="63" t="n">
        <f aca="false">IF(H354="","",G354-H354)</f>
        <v>-5</v>
      </c>
      <c r="J354" s="53" t="n">
        <f aca="false">IF(OR(D354="",D354+G354=0),"",D354/(D354+G354))</f>
        <v>0.291666666666667</v>
      </c>
      <c r="K354" s="53" t="n">
        <f aca="false">IF(E354="","",E354/(E354+H354))</f>
        <v>0.295081967213115</v>
      </c>
      <c r="L354" s="64" t="n">
        <f aca="false">IF(OR(K354="",J354=""),"",(J354-K354)*100)</f>
        <v>-0.341530054644806</v>
      </c>
      <c r="M354" s="28" t="n">
        <v>3.19821915242569</v>
      </c>
      <c r="N354" s="28" t="n">
        <v>0.397844942258686</v>
      </c>
      <c r="O354" s="28" t="n">
        <f aca="false">SQRT(M354^2+N354^2)</f>
        <v>3.22286927209642</v>
      </c>
      <c r="P354" s="53" t="n">
        <f aca="false">IF(J354="","",MAX(0,J354-1.96*O354/100))</f>
        <v>0.228498428933577</v>
      </c>
      <c r="Q354" s="53" t="n">
        <f aca="false">IF(J354="","",MIN(1,J354+1.96*O354/100))</f>
        <v>0.354834904399757</v>
      </c>
      <c r="R354" s="25" t="str">
        <f aca="false">IF(L354="","",IF(ABS(L354)&lt;=O354,"Yes","No"))</f>
        <v>Yes</v>
      </c>
      <c r="S354" s="25" t="str">
        <f aca="false">IF(L354="","",IF(ABS(L354)&lt;=1.96*O354,"Yes","No"))</f>
        <v>Yes</v>
      </c>
      <c r="T354" s="52" t="n">
        <f aca="false">IF(D354="","",ROUND(SQRT(((D354+G354)*O354/100)^2+(J354*(D354+G354)*0.1901)^2),0))</f>
        <v>38</v>
      </c>
      <c r="U354" s="25"/>
    </row>
    <row r="355" customFormat="false" ht="15" hidden="false" customHeight="false" outlineLevel="0" collapsed="false">
      <c r="A355" s="25" t="s">
        <v>385</v>
      </c>
      <c r="B355" s="25" t="s">
        <v>544</v>
      </c>
      <c r="C355" s="25" t="s">
        <v>549</v>
      </c>
      <c r="D355" s="52" t="n">
        <v>302</v>
      </c>
      <c r="E355" s="52" t="n">
        <v>345</v>
      </c>
      <c r="F355" s="63" t="n">
        <f aca="false">IF(E355="","",D355-E355)</f>
        <v>-43</v>
      </c>
      <c r="G355" s="52" t="n">
        <v>586</v>
      </c>
      <c r="H355" s="52" t="n">
        <v>573</v>
      </c>
      <c r="I355" s="63" t="n">
        <f aca="false">IF(H355="","",G355-H355)</f>
        <v>13</v>
      </c>
      <c r="J355" s="53" t="n">
        <f aca="false">IF(OR(D355="",D355+G355=0),"",D355/(D355+G355))</f>
        <v>0.34009009009009</v>
      </c>
      <c r="K355" s="53" t="n">
        <f aca="false">IF(E355="","",E355/(E355+H355))</f>
        <v>0.375816993464052</v>
      </c>
      <c r="L355" s="64" t="n">
        <f aca="false">IF(OR(K355="",J355=""),"",(J355-K355)*100)</f>
        <v>-3.57269033739622</v>
      </c>
      <c r="M355" s="28" t="n">
        <v>2.42668038003648</v>
      </c>
      <c r="N355" s="28" t="n">
        <v>0.397844942258686</v>
      </c>
      <c r="O355" s="28" t="n">
        <f aca="false">SQRT(M355^2+N355^2)</f>
        <v>2.45907670985165</v>
      </c>
      <c r="P355" s="53" t="n">
        <f aca="false">IF(J355="","",MAX(0,J355-1.96*O355/100))</f>
        <v>0.291892186576998</v>
      </c>
      <c r="Q355" s="53" t="n">
        <f aca="false">IF(J355="","",MIN(1,J355+1.96*O355/100))</f>
        <v>0.388287993603183</v>
      </c>
      <c r="R355" s="25" t="str">
        <f aca="false">IF(L355="","",IF(ABS(L355)&lt;=O355,"Yes","No"))</f>
        <v>No</v>
      </c>
      <c r="S355" s="25" t="str">
        <f aca="false">IF(L355="","",IF(ABS(L355)&lt;=1.96*O355,"Yes","No"))</f>
        <v>Yes</v>
      </c>
      <c r="T355" s="52" t="n">
        <f aca="false">IF(D355="","",ROUND(SQRT(((D355+G355)*O355/100)^2+(J355*(D355+G355)*0.10931)^2),0))</f>
        <v>40</v>
      </c>
      <c r="U355" s="25"/>
    </row>
    <row r="356" customFormat="false" ht="15" hidden="false" customHeight="false" outlineLevel="0" collapsed="false">
      <c r="A356" s="25" t="s">
        <v>385</v>
      </c>
      <c r="B356" s="25" t="s">
        <v>550</v>
      </c>
      <c r="C356" s="25" t="s">
        <v>551</v>
      </c>
      <c r="D356" s="52" t="n">
        <v>1084</v>
      </c>
      <c r="E356" s="52" t="n">
        <v>1084</v>
      </c>
      <c r="F356" s="63" t="n">
        <f aca="false">IF(E356="","",D356-E356)</f>
        <v>0</v>
      </c>
      <c r="G356" s="52" t="n">
        <v>1151</v>
      </c>
      <c r="H356" s="52" t="n">
        <v>1187</v>
      </c>
      <c r="I356" s="63" t="n">
        <f aca="false">IF(H356="","",G356-H356)</f>
        <v>-36</v>
      </c>
      <c r="J356" s="53" t="n">
        <f aca="false">IF(OR(D356="",D356+G356=0),"",D356/(D356+G356))</f>
        <v>0.485011185682327</v>
      </c>
      <c r="K356" s="53" t="n">
        <f aca="false">IF(E356="","",E356/(E356+H356))</f>
        <v>0.477322765301629</v>
      </c>
      <c r="L356" s="64" t="n">
        <f aca="false">IF(OR(K356="",J356=""),"",(J356-K356)*100)</f>
        <v>0.768842038069734</v>
      </c>
      <c r="M356" s="28" t="n">
        <v>2.49017287917352</v>
      </c>
      <c r="N356" s="28" t="n">
        <v>0.397844942258686</v>
      </c>
      <c r="O356" s="28" t="n">
        <f aca="false">SQRT(M356^2+N356^2)</f>
        <v>2.52175366882892</v>
      </c>
      <c r="P356" s="53" t="n">
        <f aca="false">IF(J356="","",MAX(0,J356-1.96*O356/100))</f>
        <v>0.43558481377328</v>
      </c>
      <c r="Q356" s="53" t="n">
        <f aca="false">IF(J356="","",MIN(1,J356+1.96*O356/100))</f>
        <v>0.534437557591374</v>
      </c>
      <c r="R356" s="25" t="str">
        <f aca="false">IF(L356="","",IF(ABS(L356)&lt;=O356,"Yes","No"))</f>
        <v>Yes</v>
      </c>
      <c r="S356" s="25" t="str">
        <f aca="false">IF(L356="","",IF(ABS(L356)&lt;=1.96*O356,"Yes","No"))</f>
        <v>Yes</v>
      </c>
      <c r="T356" s="52" t="n">
        <f aca="false">IF(D356="","",ROUND(SQRT(((D356+G356)*O356/100)^2+(J356*(D356+G356)*0.08889)^2),0))</f>
        <v>112</v>
      </c>
      <c r="U356" s="25"/>
    </row>
    <row r="357" customFormat="false" ht="15" hidden="false" customHeight="false" outlineLevel="0" collapsed="false">
      <c r="A357" s="25" t="s">
        <v>385</v>
      </c>
      <c r="B357" s="25" t="s">
        <v>550</v>
      </c>
      <c r="C357" s="25" t="s">
        <v>552</v>
      </c>
      <c r="D357" s="52" t="n">
        <v>356</v>
      </c>
      <c r="E357" s="52"/>
      <c r="F357" s="63" t="str">
        <f aca="false">IF(E357="","",D357-E357)</f>
        <v/>
      </c>
      <c r="G357" s="52" t="n">
        <v>377</v>
      </c>
      <c r="H357" s="52"/>
      <c r="I357" s="63" t="str">
        <f aca="false">IF(H357="","",G357-H357)</f>
        <v/>
      </c>
      <c r="J357" s="53" t="n">
        <f aca="false">IF(OR(D357="",D357+G357=0),"",D357/(D357+G357))</f>
        <v>0.485675306957708</v>
      </c>
      <c r="K357" s="53" t="str">
        <f aca="false">IF(E357="","",E357/(E357+H357))</f>
        <v/>
      </c>
      <c r="L357" s="64" t="str">
        <f aca="false">IF(OR(K357="",J357=""),"",(J357-K357)*100)</f>
        <v/>
      </c>
      <c r="M357" s="28" t="n">
        <v>3.19821915242569</v>
      </c>
      <c r="N357" s="28" t="n">
        <v>0.397844942258686</v>
      </c>
      <c r="O357" s="28" t="n">
        <f aca="false">SQRT(M357^2+N357^2)</f>
        <v>3.22286927209642</v>
      </c>
      <c r="P357" s="53" t="n">
        <f aca="false">IF(J357="","",MAX(0,J357-1.96*O357/100))</f>
        <v>0.422507069224618</v>
      </c>
      <c r="Q357" s="53" t="n">
        <f aca="false">IF(J357="","",MIN(1,J357+1.96*O357/100))</f>
        <v>0.548843544690798</v>
      </c>
      <c r="R357" s="25" t="str">
        <f aca="false">IF(L357="","",IF(ABS(L357)&lt;=O357,"Yes","No"))</f>
        <v/>
      </c>
      <c r="S357" s="25" t="str">
        <f aca="false">IF(L357="","",IF(ABS(L357)&lt;=1.96*O357,"Yes","No"))</f>
        <v/>
      </c>
      <c r="T357" s="52" t="n">
        <f aca="false">IF(D357="","",ROUND(SQRT(((D357+G357)*O357/100)^2+(J357*(D357+G357)*0.1901)^2),0))</f>
        <v>72</v>
      </c>
      <c r="U357" s="25" t="s">
        <v>702</v>
      </c>
    </row>
    <row r="358" customFormat="false" ht="15" hidden="false" customHeight="false" outlineLevel="0" collapsed="false">
      <c r="A358" s="25" t="s">
        <v>385</v>
      </c>
      <c r="B358" s="25" t="s">
        <v>550</v>
      </c>
      <c r="C358" s="25" t="s">
        <v>553</v>
      </c>
      <c r="D358" s="52" t="n">
        <v>865</v>
      </c>
      <c r="E358" s="52" t="n">
        <v>880</v>
      </c>
      <c r="F358" s="63" t="n">
        <f aca="false">IF(E358="","",D358-E358)</f>
        <v>-15</v>
      </c>
      <c r="G358" s="52" t="n">
        <v>969</v>
      </c>
      <c r="H358" s="52" t="n">
        <v>960</v>
      </c>
      <c r="I358" s="63" t="n">
        <f aca="false">IF(H358="","",G358-H358)</f>
        <v>9</v>
      </c>
      <c r="J358" s="53" t="n">
        <f aca="false">IF(OR(D358="",D358+G358=0),"",D358/(D358+G358))</f>
        <v>0.47164667393675</v>
      </c>
      <c r="K358" s="53" t="n">
        <f aca="false">IF(E358="","",E358/(E358+H358))</f>
        <v>0.478260869565217</v>
      </c>
      <c r="L358" s="64" t="n">
        <f aca="false">IF(OR(K358="",J358=""),"",(J358-K358)*100)</f>
        <v>-0.661419562846716</v>
      </c>
      <c r="M358" s="28" t="n">
        <v>2.49017287917352</v>
      </c>
      <c r="N358" s="28" t="n">
        <v>0.397844942258686</v>
      </c>
      <c r="O358" s="28" t="n">
        <f aca="false">SQRT(M358^2+N358^2)</f>
        <v>2.52175366882892</v>
      </c>
      <c r="P358" s="53" t="n">
        <f aca="false">IF(J358="","",MAX(0,J358-1.96*O358/100))</f>
        <v>0.422220302027703</v>
      </c>
      <c r="Q358" s="53" t="n">
        <f aca="false">IF(J358="","",MIN(1,J358+1.96*O358/100))</f>
        <v>0.521073045845797</v>
      </c>
      <c r="R358" s="25" t="str">
        <f aca="false">IF(L358="","",IF(ABS(L358)&lt;=O358,"Yes","No"))</f>
        <v>Yes</v>
      </c>
      <c r="S358" s="25" t="str">
        <f aca="false">IF(L358="","",IF(ABS(L358)&lt;=1.96*O358,"Yes","No"))</f>
        <v>Yes</v>
      </c>
      <c r="T358" s="52" t="n">
        <f aca="false">IF(D358="","",ROUND(SQRT(((D358+G358)*O358/100)^2+(J358*(D358+G358)*0.08889)^2),0))</f>
        <v>90</v>
      </c>
      <c r="U358" s="25"/>
    </row>
    <row r="359" customFormat="false" ht="15" hidden="false" customHeight="false" outlineLevel="0" collapsed="false">
      <c r="A359" s="25" t="s">
        <v>385</v>
      </c>
      <c r="B359" s="25" t="s">
        <v>550</v>
      </c>
      <c r="C359" s="25" t="s">
        <v>554</v>
      </c>
      <c r="D359" s="52" t="n">
        <v>267</v>
      </c>
      <c r="E359" s="52"/>
      <c r="F359" s="63" t="str">
        <f aca="false">IF(E359="","",D359-E359)</f>
        <v/>
      </c>
      <c r="G359" s="52" t="n">
        <v>286</v>
      </c>
      <c r="H359" s="52"/>
      <c r="I359" s="63" t="str">
        <f aca="false">IF(H359="","",G359-H359)</f>
        <v/>
      </c>
      <c r="J359" s="53" t="n">
        <f aca="false">IF(OR(D359="",D359+G359=0),"",D359/(D359+G359))</f>
        <v>0.482820976491863</v>
      </c>
      <c r="K359" s="53" t="str">
        <f aca="false">IF(E359="","",E359/(E359+H359))</f>
        <v/>
      </c>
      <c r="L359" s="64" t="str">
        <f aca="false">IF(OR(K359="",J359=""),"",(J359-K359)*100)</f>
        <v/>
      </c>
      <c r="M359" s="28" t="n">
        <v>3.19821915242569</v>
      </c>
      <c r="N359" s="28" t="n">
        <v>0.397844942258686</v>
      </c>
      <c r="O359" s="28" t="n">
        <f aca="false">SQRT(M359^2+N359^2)</f>
        <v>3.22286927209642</v>
      </c>
      <c r="P359" s="53" t="n">
        <f aca="false">IF(J359="","",MAX(0,J359-1.96*O359/100))</f>
        <v>0.419652738758773</v>
      </c>
      <c r="Q359" s="53" t="n">
        <f aca="false">IF(J359="","",MIN(1,J359+1.96*O359/100))</f>
        <v>0.545989214224953</v>
      </c>
      <c r="R359" s="25" t="str">
        <f aca="false">IF(L359="","",IF(ABS(L359)&lt;=O359,"Yes","No"))</f>
        <v/>
      </c>
      <c r="S359" s="25" t="str">
        <f aca="false">IF(L359="","",IF(ABS(L359)&lt;=1.96*O359,"Yes","No"))</f>
        <v/>
      </c>
      <c r="T359" s="52" t="n">
        <f aca="false">IF(D359="","",ROUND(SQRT(((D359+G359)*O359/100)^2+(J359*(D359+G359)*0.1901)^2),0))</f>
        <v>54</v>
      </c>
      <c r="U359" s="25" t="s">
        <v>702</v>
      </c>
    </row>
    <row r="360" customFormat="false" ht="15" hidden="false" customHeight="false" outlineLevel="0" collapsed="false">
      <c r="A360" s="25" t="s">
        <v>385</v>
      </c>
      <c r="B360" s="25" t="s">
        <v>555</v>
      </c>
      <c r="C360" s="25" t="s">
        <v>556</v>
      </c>
      <c r="D360" s="52" t="n">
        <v>422</v>
      </c>
      <c r="E360" s="52" t="n">
        <v>416</v>
      </c>
      <c r="F360" s="63" t="n">
        <f aca="false">IF(E360="","",D360-E360)</f>
        <v>6</v>
      </c>
      <c r="G360" s="52" t="n">
        <v>639</v>
      </c>
      <c r="H360" s="52" t="n">
        <v>658</v>
      </c>
      <c r="I360" s="63" t="n">
        <f aca="false">IF(H360="","",G360-H360)</f>
        <v>-19</v>
      </c>
      <c r="J360" s="53" t="n">
        <f aca="false">IF(OR(D360="",D360+G360=0),"",D360/(D360+G360))</f>
        <v>0.397737983034873</v>
      </c>
      <c r="K360" s="53" t="n">
        <f aca="false">IF(E360="","",E360/(E360+H360))</f>
        <v>0.387337057728119</v>
      </c>
      <c r="L360" s="64" t="n">
        <f aca="false">IF(OR(K360="",J360=""),"",(J360-K360)*100)</f>
        <v>1.04009253067536</v>
      </c>
      <c r="M360" s="28" t="n">
        <v>2.42668038003648</v>
      </c>
      <c r="N360" s="28" t="n">
        <v>0.397844942258686</v>
      </c>
      <c r="O360" s="28" t="n">
        <f aca="false">SQRT(M360^2+N360^2)</f>
        <v>2.45907670985165</v>
      </c>
      <c r="P360" s="53" t="n">
        <f aca="false">IF(J360="","",MAX(0,J360-1.96*O360/100))</f>
        <v>0.34954007952178</v>
      </c>
      <c r="Q360" s="53" t="n">
        <f aca="false">IF(J360="","",MIN(1,J360+1.96*O360/100))</f>
        <v>0.445935886547965</v>
      </c>
      <c r="R360" s="25" t="str">
        <f aca="false">IF(L360="","",IF(ABS(L360)&lt;=O360,"Yes","No"))</f>
        <v>Yes</v>
      </c>
      <c r="S360" s="25" t="str">
        <f aca="false">IF(L360="","",IF(ABS(L360)&lt;=1.96*O360,"Yes","No"))</f>
        <v>Yes</v>
      </c>
      <c r="T360" s="52" t="n">
        <f aca="false">IF(D360="","",ROUND(SQRT(((D360+G360)*O360/100)^2+(J360*(D360+G360)*0.10931)^2),0))</f>
        <v>53</v>
      </c>
      <c r="U360" s="25"/>
    </row>
    <row r="361" customFormat="false" ht="15" hidden="false" customHeight="false" outlineLevel="0" collapsed="false">
      <c r="A361" s="25" t="s">
        <v>385</v>
      </c>
      <c r="B361" s="25" t="s">
        <v>360</v>
      </c>
      <c r="C361" s="25" t="s">
        <v>557</v>
      </c>
      <c r="D361" s="52" t="n">
        <v>531</v>
      </c>
      <c r="E361" s="52" t="n">
        <v>541</v>
      </c>
      <c r="F361" s="63" t="n">
        <f aca="false">IF(E361="","",D361-E361)</f>
        <v>-10</v>
      </c>
      <c r="G361" s="52" t="n">
        <v>1095</v>
      </c>
      <c r="H361" s="52" t="n">
        <v>1106</v>
      </c>
      <c r="I361" s="63" t="n">
        <f aca="false">IF(H361="","",G361-H361)</f>
        <v>-11</v>
      </c>
      <c r="J361" s="53" t="n">
        <f aca="false">IF(OR(D361="",D361+G361=0),"",D361/(D361+G361))</f>
        <v>0.326568265682657</v>
      </c>
      <c r="K361" s="53" t="n">
        <f aca="false">IF(E361="","",E361/(E361+H361))</f>
        <v>0.328476017000607</v>
      </c>
      <c r="L361" s="64" t="n">
        <f aca="false">IF(OR(K361="",J361=""),"",(J361-K361)*100)</f>
        <v>-0.190775131795035</v>
      </c>
      <c r="M361" s="28" t="n">
        <v>2.49017287917352</v>
      </c>
      <c r="N361" s="28" t="n">
        <v>0.397844942258686</v>
      </c>
      <c r="O361" s="28" t="n">
        <f aca="false">SQRT(M361^2+N361^2)</f>
        <v>2.52175366882892</v>
      </c>
      <c r="P361" s="53" t="n">
        <f aca="false">IF(J361="","",MAX(0,J361-1.96*O361/100))</f>
        <v>0.27714189377361</v>
      </c>
      <c r="Q361" s="53" t="n">
        <f aca="false">IF(J361="","",MIN(1,J361+1.96*O361/100))</f>
        <v>0.375994637591704</v>
      </c>
      <c r="R361" s="25" t="str">
        <f aca="false">IF(L361="","",IF(ABS(L361)&lt;=O361,"Yes","No"))</f>
        <v>Yes</v>
      </c>
      <c r="S361" s="25" t="str">
        <f aca="false">IF(L361="","",IF(ABS(L361)&lt;=1.96*O361,"Yes","No"))</f>
        <v>Yes</v>
      </c>
      <c r="T361" s="52" t="n">
        <f aca="false">IF(D361="","",ROUND(SQRT(((D361+G361)*O361/100)^2+(J361*(D361+G361)*0.08889)^2),0))</f>
        <v>63</v>
      </c>
      <c r="U361" s="25"/>
    </row>
    <row r="362" customFormat="false" ht="15" hidden="false" customHeight="false" outlineLevel="0" collapsed="false">
      <c r="A362" s="25" t="s">
        <v>385</v>
      </c>
      <c r="B362" s="25" t="s">
        <v>360</v>
      </c>
      <c r="C362" s="25" t="s">
        <v>558</v>
      </c>
      <c r="D362" s="52" t="n">
        <v>592</v>
      </c>
      <c r="E362" s="52" t="n">
        <v>500</v>
      </c>
      <c r="F362" s="63" t="n">
        <f aca="false">IF(E362="","",D362-E362)</f>
        <v>92</v>
      </c>
      <c r="G362" s="52" t="n">
        <v>1205</v>
      </c>
      <c r="H362" s="52" t="n">
        <v>982</v>
      </c>
      <c r="I362" s="63" t="n">
        <f aca="false">IF(H362="","",G362-H362)</f>
        <v>223</v>
      </c>
      <c r="J362" s="53" t="n">
        <f aca="false">IF(OR(D362="",D362+G362=0),"",D362/(D362+G362))</f>
        <v>0.32943795214246</v>
      </c>
      <c r="K362" s="53" t="n">
        <f aca="false">IF(E362="","",E362/(E362+H362))</f>
        <v>0.337381916329285</v>
      </c>
      <c r="L362" s="64" t="n">
        <f aca="false">IF(OR(K362="",J362=""),"",(J362-K362)*100)</f>
        <v>-0.794396418682514</v>
      </c>
      <c r="M362" s="28" t="n">
        <v>2.49017287917352</v>
      </c>
      <c r="N362" s="28" t="n">
        <v>0.397844942258686</v>
      </c>
      <c r="O362" s="28" t="n">
        <f aca="false">SQRT(M362^2+N362^2)</f>
        <v>2.52175366882892</v>
      </c>
      <c r="P362" s="53" t="n">
        <f aca="false">IF(J362="","",MAX(0,J362-1.96*O362/100))</f>
        <v>0.280011580233413</v>
      </c>
      <c r="Q362" s="53" t="n">
        <f aca="false">IF(J362="","",MIN(1,J362+1.96*O362/100))</f>
        <v>0.378864324051507</v>
      </c>
      <c r="R362" s="25" t="str">
        <f aca="false">IF(L362="","",IF(ABS(L362)&lt;=O362,"Yes","No"))</f>
        <v>Yes</v>
      </c>
      <c r="S362" s="25" t="str">
        <f aca="false">IF(L362="","",IF(ABS(L362)&lt;=1.96*O362,"Yes","No"))</f>
        <v>Yes</v>
      </c>
      <c r="T362" s="52" t="n">
        <f aca="false">IF(D362="","",ROUND(SQRT(((D362+G362)*O362/100)^2+(J362*(D362+G362)*0.08889)^2),0))</f>
        <v>69</v>
      </c>
      <c r="U362" s="25"/>
    </row>
    <row r="363" customFormat="false" ht="15" hidden="false" customHeight="false" outlineLevel="0" collapsed="false">
      <c r="A363" s="25" t="s">
        <v>385</v>
      </c>
      <c r="B363" s="25" t="s">
        <v>560</v>
      </c>
      <c r="C363" s="25" t="s">
        <v>560</v>
      </c>
      <c r="D363" s="52" t="n">
        <v>275</v>
      </c>
      <c r="E363" s="52" t="n">
        <v>281</v>
      </c>
      <c r="F363" s="63" t="n">
        <f aca="false">IF(E363="","",D363-E363)</f>
        <v>-6</v>
      </c>
      <c r="G363" s="52" t="n">
        <v>332</v>
      </c>
      <c r="H363" s="52" t="n">
        <v>310</v>
      </c>
      <c r="I363" s="63" t="n">
        <f aca="false">IF(H363="","",G363-H363)</f>
        <v>22</v>
      </c>
      <c r="J363" s="53" t="n">
        <f aca="false">IF(OR(D363="",D363+G363=0),"",D363/(D363+G363))</f>
        <v>0.453047775947282</v>
      </c>
      <c r="K363" s="53" t="n">
        <f aca="false">IF(E363="","",E363/(E363+H363))</f>
        <v>0.475465313028765</v>
      </c>
      <c r="L363" s="64" t="n">
        <f aca="false">IF(OR(K363="",J363=""),"",(J363-K363)*100)</f>
        <v>-2.24175370814831</v>
      </c>
      <c r="M363" s="28" t="n">
        <v>3.19821915242569</v>
      </c>
      <c r="N363" s="28" t="n">
        <v>0.397844942258686</v>
      </c>
      <c r="O363" s="28" t="n">
        <f aca="false">SQRT(M363^2+N363^2)</f>
        <v>3.22286927209642</v>
      </c>
      <c r="P363" s="53" t="n">
        <f aca="false">IF(J363="","",MAX(0,J363-1.96*O363/100))</f>
        <v>0.389879538214192</v>
      </c>
      <c r="Q363" s="53" t="n">
        <f aca="false">IF(J363="","",MIN(1,J363+1.96*O363/100))</f>
        <v>0.516216013680372</v>
      </c>
      <c r="R363" s="25" t="str">
        <f aca="false">IF(L363="","",IF(ABS(L363)&lt;=O363,"Yes","No"))</f>
        <v>Yes</v>
      </c>
      <c r="S363" s="25" t="str">
        <f aca="false">IF(L363="","",IF(ABS(L363)&lt;=1.96*O363,"Yes","No"))</f>
        <v>Yes</v>
      </c>
      <c r="T363" s="52" t="n">
        <f aca="false">IF(D363="","",ROUND(SQRT(((D363+G363)*O363/100)^2+(J363*(D363+G363)*0.1901)^2),0))</f>
        <v>56</v>
      </c>
      <c r="U363" s="25"/>
    </row>
    <row r="364" customFormat="false" ht="15" hidden="false" customHeight="false" outlineLevel="0" collapsed="false">
      <c r="A364" s="25" t="s">
        <v>385</v>
      </c>
      <c r="B364" s="25" t="s">
        <v>561</v>
      </c>
      <c r="C364" s="25" t="s">
        <v>562</v>
      </c>
      <c r="D364" s="52" t="n">
        <v>474</v>
      </c>
      <c r="E364" s="52" t="n">
        <v>514</v>
      </c>
      <c r="F364" s="63" t="n">
        <f aca="false">IF(E364="","",D364-E364)</f>
        <v>-40</v>
      </c>
      <c r="G364" s="52" t="n">
        <v>724</v>
      </c>
      <c r="H364" s="52" t="n">
        <v>713</v>
      </c>
      <c r="I364" s="63" t="n">
        <f aca="false">IF(H364="","",G364-H364)</f>
        <v>11</v>
      </c>
      <c r="J364" s="53" t="n">
        <f aca="false">IF(OR(D364="",D364+G364=0),"",D364/(D364+G364))</f>
        <v>0.395659432387312</v>
      </c>
      <c r="K364" s="53" t="n">
        <f aca="false">IF(E364="","",E364/(E364+H364))</f>
        <v>0.418907905460473</v>
      </c>
      <c r="L364" s="64" t="n">
        <f aca="false">IF(OR(K364="",J364=""),"",(J364-K364)*100)</f>
        <v>-2.32484730731605</v>
      </c>
      <c r="M364" s="28" t="n">
        <v>2.49017287917352</v>
      </c>
      <c r="N364" s="28" t="n">
        <v>0.397844942258686</v>
      </c>
      <c r="O364" s="28" t="n">
        <f aca="false">SQRT(M364^2+N364^2)</f>
        <v>2.52175366882892</v>
      </c>
      <c r="P364" s="53" t="n">
        <f aca="false">IF(J364="","",MAX(0,J364-1.96*O364/100))</f>
        <v>0.346233060478265</v>
      </c>
      <c r="Q364" s="53" t="n">
        <f aca="false">IF(J364="","",MIN(1,J364+1.96*O364/100))</f>
        <v>0.445085804296359</v>
      </c>
      <c r="R364" s="25" t="str">
        <f aca="false">IF(L364="","",IF(ABS(L364)&lt;=O364,"Yes","No"))</f>
        <v>Yes</v>
      </c>
      <c r="S364" s="25" t="str">
        <f aca="false">IF(L364="","",IF(ABS(L364)&lt;=1.96*O364,"Yes","No"))</f>
        <v>Yes</v>
      </c>
      <c r="T364" s="52" t="n">
        <f aca="false">IF(D364="","",ROUND(SQRT(((D364+G364)*O364/100)^2+(J364*(D364+G364)*0.08889)^2),0))</f>
        <v>52</v>
      </c>
      <c r="U364" s="25"/>
    </row>
    <row r="365" customFormat="false" ht="15" hidden="false" customHeight="false" outlineLevel="0" collapsed="false">
      <c r="A365" s="25" t="s">
        <v>385</v>
      </c>
      <c r="B365" s="25" t="s">
        <v>561</v>
      </c>
      <c r="C365" s="25" t="s">
        <v>563</v>
      </c>
      <c r="D365" s="52" t="n">
        <v>387</v>
      </c>
      <c r="E365" s="52" t="n">
        <v>425</v>
      </c>
      <c r="F365" s="63" t="n">
        <f aca="false">IF(E365="","",D365-E365)</f>
        <v>-38</v>
      </c>
      <c r="G365" s="52" t="n">
        <v>698</v>
      </c>
      <c r="H365" s="52" t="n">
        <v>656</v>
      </c>
      <c r="I365" s="63" t="n">
        <f aca="false">IF(H365="","",G365-H365)</f>
        <v>42</v>
      </c>
      <c r="J365" s="53" t="n">
        <f aca="false">IF(OR(D365="",D365+G365=0),"",D365/(D365+G365))</f>
        <v>0.35668202764977</v>
      </c>
      <c r="K365" s="53" t="n">
        <f aca="false">IF(E365="","",E365/(E365+H365))</f>
        <v>0.393154486586494</v>
      </c>
      <c r="L365" s="64" t="n">
        <f aca="false">IF(OR(K365="",J365=""),"",(J365-K365)*100)</f>
        <v>-3.64724589367244</v>
      </c>
      <c r="M365" s="28" t="n">
        <v>2.42668038003648</v>
      </c>
      <c r="N365" s="28" t="n">
        <v>0.397844942258686</v>
      </c>
      <c r="O365" s="28" t="n">
        <f aca="false">SQRT(M365^2+N365^2)</f>
        <v>2.45907670985165</v>
      </c>
      <c r="P365" s="53" t="n">
        <f aca="false">IF(J365="","",MAX(0,J365-1.96*O365/100))</f>
        <v>0.308484124136677</v>
      </c>
      <c r="Q365" s="53" t="n">
        <f aca="false">IF(J365="","",MIN(1,J365+1.96*O365/100))</f>
        <v>0.404879931162862</v>
      </c>
      <c r="R365" s="25" t="str">
        <f aca="false">IF(L365="","",IF(ABS(L365)&lt;=O365,"Yes","No"))</f>
        <v>No</v>
      </c>
      <c r="S365" s="25" t="str">
        <f aca="false">IF(L365="","",IF(ABS(L365)&lt;=1.96*O365,"Yes","No"))</f>
        <v>Yes</v>
      </c>
      <c r="T365" s="52" t="n">
        <f aca="false">IF(D365="","",ROUND(SQRT(((D365+G365)*O365/100)^2+(J365*(D365+G365)*0.10931)^2),0))</f>
        <v>50</v>
      </c>
      <c r="U365" s="25"/>
    </row>
    <row r="366" customFormat="false" ht="15" hidden="false" customHeight="false" outlineLevel="0" collapsed="false">
      <c r="A366" s="25" t="s">
        <v>385</v>
      </c>
      <c r="B366" s="25" t="s">
        <v>561</v>
      </c>
      <c r="C366" s="25" t="s">
        <v>564</v>
      </c>
      <c r="D366" s="52" t="n">
        <v>568</v>
      </c>
      <c r="E366" s="52" t="n">
        <v>624</v>
      </c>
      <c r="F366" s="63" t="n">
        <f aca="false">IF(E366="","",D366-E366)</f>
        <v>-56</v>
      </c>
      <c r="G366" s="52" t="n">
        <v>652</v>
      </c>
      <c r="H366" s="52" t="n">
        <v>618</v>
      </c>
      <c r="I366" s="63" t="n">
        <f aca="false">IF(H366="","",G366-H366)</f>
        <v>34</v>
      </c>
      <c r="J366" s="53" t="n">
        <f aca="false">IF(OR(D366="",D366+G366=0),"",D366/(D366+G366))</f>
        <v>0.465573770491803</v>
      </c>
      <c r="K366" s="53" t="n">
        <f aca="false">IF(E366="","",E366/(E366+H366))</f>
        <v>0.502415458937198</v>
      </c>
      <c r="L366" s="64" t="n">
        <f aca="false">IF(OR(K366="",J366=""),"",(J366-K366)*100)</f>
        <v>-3.68416884453948</v>
      </c>
      <c r="M366" s="28" t="n">
        <v>2.49017287917352</v>
      </c>
      <c r="N366" s="28" t="n">
        <v>0.397844942258686</v>
      </c>
      <c r="O366" s="28" t="n">
        <f aca="false">SQRT(M366^2+N366^2)</f>
        <v>2.52175366882892</v>
      </c>
      <c r="P366" s="53" t="n">
        <f aca="false">IF(J366="","",MAX(0,J366-1.96*O366/100))</f>
        <v>0.416147398582756</v>
      </c>
      <c r="Q366" s="53" t="n">
        <f aca="false">IF(J366="","",MIN(1,J366+1.96*O366/100))</f>
        <v>0.51500014240085</v>
      </c>
      <c r="R366" s="25" t="str">
        <f aca="false">IF(L366="","",IF(ABS(L366)&lt;=O366,"Yes","No"))</f>
        <v>No</v>
      </c>
      <c r="S366" s="25" t="str">
        <f aca="false">IF(L366="","",IF(ABS(L366)&lt;=1.96*O366,"Yes","No"))</f>
        <v>Yes</v>
      </c>
      <c r="T366" s="52" t="n">
        <f aca="false">IF(D366="","",ROUND(SQRT(((D366+G366)*O366/100)^2+(J366*(D366+G366)*0.08889)^2),0))</f>
        <v>59</v>
      </c>
      <c r="U366" s="25"/>
    </row>
    <row r="367" customFormat="false" ht="15" hidden="false" customHeight="false" outlineLevel="0" collapsed="false">
      <c r="A367" s="25" t="s">
        <v>385</v>
      </c>
      <c r="B367" s="25" t="s">
        <v>561</v>
      </c>
      <c r="C367" s="25" t="s">
        <v>565</v>
      </c>
      <c r="D367" s="52" t="n">
        <v>284</v>
      </c>
      <c r="E367" s="52" t="n">
        <v>284</v>
      </c>
      <c r="F367" s="63" t="n">
        <f aca="false">IF(E367="","",D367-E367)</f>
        <v>0</v>
      </c>
      <c r="G367" s="52" t="n">
        <v>411</v>
      </c>
      <c r="H367" s="52" t="n">
        <v>414</v>
      </c>
      <c r="I367" s="63" t="n">
        <f aca="false">IF(H367="","",G367-H367)</f>
        <v>-3</v>
      </c>
      <c r="J367" s="53" t="n">
        <f aca="false">IF(OR(D367="",D367+G367=0),"",D367/(D367+G367))</f>
        <v>0.40863309352518</v>
      </c>
      <c r="K367" s="53" t="n">
        <f aca="false">IF(E367="","",E367/(E367+H367))</f>
        <v>0.406876790830946</v>
      </c>
      <c r="L367" s="64" t="n">
        <f aca="false">IF(OR(K367="",J367=""),"",(J367-K367)*100)</f>
        <v>0.175630269423427</v>
      </c>
      <c r="M367" s="28" t="n">
        <v>3.19821915242569</v>
      </c>
      <c r="N367" s="28" t="n">
        <v>0.397844942258686</v>
      </c>
      <c r="O367" s="28" t="n">
        <f aca="false">SQRT(M367^2+N367^2)</f>
        <v>3.22286927209642</v>
      </c>
      <c r="P367" s="53" t="n">
        <f aca="false">IF(J367="","",MAX(0,J367-1.96*O367/100))</f>
        <v>0.34546485579209</v>
      </c>
      <c r="Q367" s="53" t="n">
        <f aca="false">IF(J367="","",MIN(1,J367+1.96*O367/100))</f>
        <v>0.47180133125827</v>
      </c>
      <c r="R367" s="25" t="str">
        <f aca="false">IF(L367="","",IF(ABS(L367)&lt;=O367,"Yes","No"))</f>
        <v>Yes</v>
      </c>
      <c r="S367" s="25" t="str">
        <f aca="false">IF(L367="","",IF(ABS(L367)&lt;=1.96*O367,"Yes","No"))</f>
        <v>Yes</v>
      </c>
      <c r="T367" s="52" t="n">
        <f aca="false">IF(D367="","",ROUND(SQRT(((D367+G367)*O367/100)^2+(J367*(D367+G367)*0.1901)^2),0))</f>
        <v>58</v>
      </c>
      <c r="U367" s="25"/>
    </row>
    <row r="368" customFormat="false" ht="15" hidden="false" customHeight="false" outlineLevel="0" collapsed="false">
      <c r="A368" s="25" t="s">
        <v>385</v>
      </c>
      <c r="B368" s="25" t="s">
        <v>566</v>
      </c>
      <c r="C368" s="25" t="s">
        <v>567</v>
      </c>
      <c r="D368" s="52" t="n">
        <v>634</v>
      </c>
      <c r="E368" s="52" t="n">
        <v>648</v>
      </c>
      <c r="F368" s="63" t="n">
        <f aca="false">IF(E368="","",D368-E368)</f>
        <v>-14</v>
      </c>
      <c r="G368" s="52" t="n">
        <v>448</v>
      </c>
      <c r="H368" s="52" t="n">
        <v>462</v>
      </c>
      <c r="I368" s="63" t="n">
        <f aca="false">IF(H368="","",G368-H368)</f>
        <v>-14</v>
      </c>
      <c r="J368" s="53" t="n">
        <f aca="false">IF(OR(D368="",D368+G368=0),"",D368/(D368+G368))</f>
        <v>0.585951940850277</v>
      </c>
      <c r="K368" s="53" t="n">
        <f aca="false">IF(E368="","",E368/(E368+H368))</f>
        <v>0.583783783783784</v>
      </c>
      <c r="L368" s="64" t="n">
        <f aca="false">IF(OR(K368="",J368=""),"",(J368-K368)*100)</f>
        <v>0.216815706649343</v>
      </c>
      <c r="M368" s="28" t="n">
        <v>2.42668038003648</v>
      </c>
      <c r="N368" s="28" t="n">
        <v>0.397844942258686</v>
      </c>
      <c r="O368" s="28" t="n">
        <f aca="false">SQRT(M368^2+N368^2)</f>
        <v>2.45907670985165</v>
      </c>
      <c r="P368" s="53" t="n">
        <f aca="false">IF(J368="","",MAX(0,J368-1.96*O368/100))</f>
        <v>0.537754037337185</v>
      </c>
      <c r="Q368" s="53" t="n">
        <f aca="false">IF(J368="","",MIN(1,J368+1.96*O368/100))</f>
        <v>0.63414984436337</v>
      </c>
      <c r="R368" s="25" t="str">
        <f aca="false">IF(L368="","",IF(ABS(L368)&lt;=O368,"Yes","No"))</f>
        <v>Yes</v>
      </c>
      <c r="S368" s="25" t="str">
        <f aca="false">IF(L368="","",IF(ABS(L368)&lt;=1.96*O368,"Yes","No"))</f>
        <v>Yes</v>
      </c>
      <c r="T368" s="52" t="n">
        <f aca="false">IF(D368="","",ROUND(SQRT(((D368+G368)*O368/100)^2+(J368*(D368+G368)*0.10931)^2),0))</f>
        <v>74</v>
      </c>
      <c r="U368" s="25"/>
    </row>
    <row r="369" customFormat="false" ht="15" hidden="false" customHeight="false" outlineLevel="0" collapsed="false">
      <c r="A369" s="25" t="s">
        <v>385</v>
      </c>
      <c r="B369" s="25" t="s">
        <v>566</v>
      </c>
      <c r="C369" s="25" t="s">
        <v>568</v>
      </c>
      <c r="D369" s="52" t="n">
        <v>498</v>
      </c>
      <c r="E369" s="52" t="n">
        <v>491</v>
      </c>
      <c r="F369" s="63" t="n">
        <f aca="false">IF(E369="","",D369-E369)</f>
        <v>7</v>
      </c>
      <c r="G369" s="52" t="n">
        <v>385</v>
      </c>
      <c r="H369" s="52" t="n">
        <v>402</v>
      </c>
      <c r="I369" s="63" t="n">
        <f aca="false">IF(H369="","",G369-H369)</f>
        <v>-17</v>
      </c>
      <c r="J369" s="53" t="n">
        <f aca="false">IF(OR(D369="",D369+G369=0),"",D369/(D369+G369))</f>
        <v>0.563986409966025</v>
      </c>
      <c r="K369" s="53" t="n">
        <f aca="false">IF(E369="","",E369/(E369+H369))</f>
        <v>0.5498320268757</v>
      </c>
      <c r="L369" s="64" t="n">
        <f aca="false">IF(OR(K369="",J369=""),"",(J369-K369)*100)</f>
        <v>1.4154383090325</v>
      </c>
      <c r="M369" s="28" t="n">
        <v>2.42668038003648</v>
      </c>
      <c r="N369" s="28" t="n">
        <v>0.397844942258686</v>
      </c>
      <c r="O369" s="28" t="n">
        <f aca="false">SQRT(M369^2+N369^2)</f>
        <v>2.45907670985165</v>
      </c>
      <c r="P369" s="53" t="n">
        <f aca="false">IF(J369="","",MAX(0,J369-1.96*O369/100))</f>
        <v>0.515788506452933</v>
      </c>
      <c r="Q369" s="53" t="n">
        <f aca="false">IF(J369="","",MIN(1,J369+1.96*O369/100))</f>
        <v>0.612184313479117</v>
      </c>
      <c r="R369" s="25" t="str">
        <f aca="false">IF(L369="","",IF(ABS(L369)&lt;=O369,"Yes","No"))</f>
        <v>Yes</v>
      </c>
      <c r="S369" s="25" t="str">
        <f aca="false">IF(L369="","",IF(ABS(L369)&lt;=1.96*O369,"Yes","No"))</f>
        <v>Yes</v>
      </c>
      <c r="T369" s="52" t="n">
        <f aca="false">IF(D369="","",ROUND(SQRT(((D369+G369)*O369/100)^2+(J369*(D369+G369)*0.10931)^2),0))</f>
        <v>59</v>
      </c>
      <c r="U369" s="25"/>
    </row>
    <row r="370" customFormat="false" ht="15" hidden="false" customHeight="false" outlineLevel="0" collapsed="false">
      <c r="A370" s="25" t="s">
        <v>385</v>
      </c>
      <c r="B370" s="25" t="s">
        <v>566</v>
      </c>
      <c r="C370" s="25" t="s">
        <v>569</v>
      </c>
      <c r="D370" s="52" t="n">
        <v>781</v>
      </c>
      <c r="E370" s="52" t="n">
        <v>758</v>
      </c>
      <c r="F370" s="63" t="n">
        <f aca="false">IF(E370="","",D370-E370)</f>
        <v>23</v>
      </c>
      <c r="G370" s="52" t="n">
        <v>659</v>
      </c>
      <c r="H370" s="52" t="n">
        <v>674</v>
      </c>
      <c r="I370" s="63" t="n">
        <f aca="false">IF(H370="","",G370-H370)</f>
        <v>-15</v>
      </c>
      <c r="J370" s="53" t="n">
        <f aca="false">IF(OR(D370="",D370+G370=0),"",D370/(D370+G370))</f>
        <v>0.542361111111111</v>
      </c>
      <c r="K370" s="53" t="n">
        <f aca="false">IF(E370="","",E370/(E370+H370))</f>
        <v>0.529329608938548</v>
      </c>
      <c r="L370" s="64" t="n">
        <f aca="false">IF(OR(K370="",J370=""),"",(J370-K370)*100)</f>
        <v>1.30315021725635</v>
      </c>
      <c r="M370" s="28" t="n">
        <v>2.49017287917352</v>
      </c>
      <c r="N370" s="28" t="n">
        <v>0.397844942258686</v>
      </c>
      <c r="O370" s="28" t="n">
        <f aca="false">SQRT(M370^2+N370^2)</f>
        <v>2.52175366882892</v>
      </c>
      <c r="P370" s="53" t="n">
        <f aca="false">IF(J370="","",MAX(0,J370-1.96*O370/100))</f>
        <v>0.492934739202064</v>
      </c>
      <c r="Q370" s="53" t="n">
        <f aca="false">IF(J370="","",MIN(1,J370+1.96*O370/100))</f>
        <v>0.591787483020158</v>
      </c>
      <c r="R370" s="25" t="str">
        <f aca="false">IF(L370="","",IF(ABS(L370)&lt;=O370,"Yes","No"))</f>
        <v>Yes</v>
      </c>
      <c r="S370" s="25" t="str">
        <f aca="false">IF(L370="","",IF(ABS(L370)&lt;=1.96*O370,"Yes","No"))</f>
        <v>Yes</v>
      </c>
      <c r="T370" s="52" t="n">
        <f aca="false">IF(D370="","",ROUND(SQRT(((D370+G370)*O370/100)^2+(J370*(D370+G370)*0.08889)^2),0))</f>
        <v>78</v>
      </c>
      <c r="U370" s="25"/>
    </row>
    <row r="371" customFormat="false" ht="15" hidden="false" customHeight="false" outlineLevel="0" collapsed="false">
      <c r="A371" s="25" t="s">
        <v>385</v>
      </c>
      <c r="B371" s="25" t="s">
        <v>570</v>
      </c>
      <c r="C371" s="25" t="s">
        <v>570</v>
      </c>
      <c r="D371" s="52" t="n">
        <v>639</v>
      </c>
      <c r="E371" s="52" t="n">
        <v>634</v>
      </c>
      <c r="F371" s="63" t="n">
        <f aca="false">IF(E371="","",D371-E371)</f>
        <v>5</v>
      </c>
      <c r="G371" s="52" t="n">
        <v>887</v>
      </c>
      <c r="H371" s="52" t="n">
        <v>856</v>
      </c>
      <c r="I371" s="63" t="n">
        <f aca="false">IF(H371="","",G371-H371)</f>
        <v>31</v>
      </c>
      <c r="J371" s="53" t="n">
        <f aca="false">IF(OR(D371="",D371+G371=0),"",D371/(D371+G371))</f>
        <v>0.418741808650066</v>
      </c>
      <c r="K371" s="53" t="n">
        <f aca="false">IF(E371="","",E371/(E371+H371))</f>
        <v>0.425503355704698</v>
      </c>
      <c r="L371" s="64" t="n">
        <f aca="false">IF(OR(K371="",J371=""),"",(J371-K371)*100)</f>
        <v>-0.676154705463244</v>
      </c>
      <c r="M371" s="28" t="n">
        <v>2.49017287917352</v>
      </c>
      <c r="N371" s="28" t="n">
        <v>0.397844942258686</v>
      </c>
      <c r="O371" s="28" t="n">
        <f aca="false">SQRT(M371^2+N371^2)</f>
        <v>2.52175366882892</v>
      </c>
      <c r="P371" s="53" t="n">
        <f aca="false">IF(J371="","",MAX(0,J371-1.96*O371/100))</f>
        <v>0.369315436741019</v>
      </c>
      <c r="Q371" s="53" t="n">
        <f aca="false">IF(J371="","",MIN(1,J371+1.96*O371/100))</f>
        <v>0.468168180559112</v>
      </c>
      <c r="R371" s="25" t="str">
        <f aca="false">IF(L371="","",IF(ABS(L371)&lt;=O371,"Yes","No"))</f>
        <v>Yes</v>
      </c>
      <c r="S371" s="25" t="str">
        <f aca="false">IF(L371="","",IF(ABS(L371)&lt;=1.96*O371,"Yes","No"))</f>
        <v>Yes</v>
      </c>
      <c r="T371" s="52" t="n">
        <f aca="false">IF(D371="","",ROUND(SQRT(((D371+G371)*O371/100)^2+(J371*(D371+G371)*0.08889)^2),0))</f>
        <v>69</v>
      </c>
      <c r="U371" s="25"/>
    </row>
    <row r="373" customFormat="false" ht="15" hidden="false" customHeight="false" outlineLevel="0" collapsed="false">
      <c r="A373" s="20" t="s">
        <v>703</v>
      </c>
      <c r="B373" s="65"/>
      <c r="C373" s="65"/>
      <c r="D373" s="66" t="n">
        <f aca="false">SUMIF(E2:E371,"&lt;&gt;",D2:D371)</f>
        <v>181830</v>
      </c>
      <c r="E373" s="66" t="n">
        <f aca="false">SUM(E2:E371)</f>
        <v>183378</v>
      </c>
      <c r="F373" s="67" t="n">
        <f aca="false">D373-E373</f>
        <v>-1548</v>
      </c>
      <c r="G373" s="66" t="n">
        <f aca="false">SUMIF(H2:H371,"&lt;&gt;",G2:G371)</f>
        <v>188756</v>
      </c>
      <c r="H373" s="66" t="n">
        <f aca="false">SUM(H2:H371)</f>
        <v>189309</v>
      </c>
      <c r="I373" s="67" t="n">
        <f aca="false">G373-H373</f>
        <v>-553</v>
      </c>
      <c r="J373" s="68" t="n">
        <f aca="false">D373/(D373+G373)</f>
        <v>0.490655340460784</v>
      </c>
      <c r="K373" s="68" t="n">
        <f aca="false">E373/(E373+H373)</f>
        <v>0.492042920735094</v>
      </c>
      <c r="L373" s="69" t="n">
        <f aca="false">(J373-K373)*100</f>
        <v>-0.13875802743103</v>
      </c>
      <c r="M373" s="70" t="n">
        <v>0</v>
      </c>
      <c r="N373" s="70" t="n">
        <v>0.397844942258686</v>
      </c>
      <c r="O373" s="70" t="n">
        <f aca="false">SQRT(M373^2+N373^2)</f>
        <v>0.397844942258686</v>
      </c>
      <c r="P373" s="68" t="n">
        <f aca="false">J373-1.96*O373/100</f>
        <v>0.482857579592513</v>
      </c>
      <c r="Q373" s="68" t="n">
        <f aca="false">J373+1.96*O373/100</f>
        <v>0.498453101329054</v>
      </c>
      <c r="R373" s="65" t="str">
        <f aca="false">IF(ABS(L373)&lt;=O373,"Yes","No")</f>
        <v>Yes</v>
      </c>
      <c r="S373" s="65" t="str">
        <f aca="false">IF(ABS(L373)&lt;=1.96*O373,"Yes","No")</f>
        <v>Yes</v>
      </c>
      <c r="T373" s="66" t="n">
        <f aca="false">ROUND(SQRT(((D373+G373)*O373/100)^2+(J373*(D373+G373)*0.06248)^2),0)</f>
        <v>11456</v>
      </c>
    </row>
    <row r="374" customFormat="false" ht="15" hidden="false" customHeight="false" outlineLevel="0" collapsed="false">
      <c r="A374" s="20" t="s">
        <v>704</v>
      </c>
      <c r="B374" s="65"/>
      <c r="C374" s="65"/>
      <c r="D374" s="66" t="n">
        <f aca="false">SUM(D2:D371)</f>
        <v>196528</v>
      </c>
      <c r="E374" s="66"/>
      <c r="F374" s="67"/>
      <c r="G374" s="66" t="n">
        <f aca="false">SUM(G2:G371)</f>
        <v>203201</v>
      </c>
      <c r="H374" s="66"/>
      <c r="I374" s="67"/>
      <c r="J374" s="68" t="n">
        <f aca="false">D374/(D374+G374)</f>
        <v>0.491653094971843</v>
      </c>
      <c r="K374" s="68"/>
      <c r="L374" s="69"/>
      <c r="M374" s="70"/>
      <c r="N374" s="70"/>
      <c r="O374" s="70"/>
      <c r="P374" s="68"/>
      <c r="Q374" s="68"/>
      <c r="R374" s="65"/>
      <c r="S374" s="65"/>
      <c r="T374" s="66"/>
    </row>
    <row r="376" customFormat="false" ht="15" hidden="false" customHeight="false" outlineLevel="0" collapsed="false">
      <c r="A376" s="2" t="s">
        <v>705</v>
      </c>
      <c r="F376" s="71" t="n">
        <f aca="false">(SUMIF(F2:F371,"&gt;0")-SUMIF(F2:F371,"&lt;0"))/COUNT(F2:F371)</f>
        <v>27.3859649122807</v>
      </c>
    </row>
    <row r="377" customFormat="false" ht="15" hidden="false" customHeight="false" outlineLevel="0" collapsed="false">
      <c r="A377" s="2" t="s">
        <v>706</v>
      </c>
      <c r="F377" s="71" t="n">
        <f aca="false">(SUMIF(I2:I371,"&gt;0")-SUMIF(I2:I371,"&lt;0"))/COUNT(I2:I371)</f>
        <v>22.7631578947368</v>
      </c>
    </row>
    <row r="378" customFormat="false" ht="15" hidden="false" customHeight="false" outlineLevel="0" collapsed="false">
      <c r="A378" s="2" t="s">
        <v>707</v>
      </c>
      <c r="F378" s="72" t="n">
        <f aca="false">(SUMIF(L2:L371,"&gt;0")-SUMIF(L2:L371,"&lt;0"))/COUNT(L2:L371)</f>
        <v>1.76805302067314</v>
      </c>
    </row>
    <row r="379" customFormat="false" ht="15" hidden="false" customHeight="false" outlineLevel="0" collapsed="false">
      <c r="A379" s="5" t="s">
        <v>708</v>
      </c>
      <c r="F379" s="73" t="n">
        <f aca="false">SQRT(SUMSQ(L2:L371)/COUNT(L2:L371))</f>
        <v>2.34616017882553</v>
      </c>
    </row>
    <row r="380" customFormat="false" ht="15" hidden="false" customHeight="false" outlineLevel="0" collapsed="false">
      <c r="A380" s="5" t="s">
        <v>709</v>
      </c>
      <c r="F380" s="74" t="n">
        <f aca="false">L373</f>
        <v>-0.13875802743103</v>
      </c>
    </row>
    <row r="381" customFormat="false" ht="15" hidden="false" customHeight="false" outlineLevel="0" collapsed="false">
      <c r="A381" s="5" t="s">
        <v>710</v>
      </c>
      <c r="F381" s="73" t="n">
        <f aca="false">SQRT((SUMSQ(L2:L371)-2*L373*SUM(L2:L371)+COUNT(L2:L371)*L373^2)/COUNT(L2:L371))</f>
        <v>2.35644491593681</v>
      </c>
    </row>
    <row r="382" customFormat="false" ht="15" hidden="false" customHeight="false" outlineLevel="0" collapsed="false">
      <c r="A382" s="2" t="s">
        <v>711</v>
      </c>
      <c r="F382" s="75" t="n">
        <f aca="false">D373/E373-1</f>
        <v>-0.00844157968785786</v>
      </c>
    </row>
    <row r="383" customFormat="false" ht="15" hidden="false" customHeight="false" outlineLevel="0" collapsed="false">
      <c r="A383" s="5" t="s">
        <v>712</v>
      </c>
      <c r="F383" s="76" t="n">
        <f aca="false">G373/H373-1</f>
        <v>-0.00292115007738669</v>
      </c>
    </row>
    <row r="384" customFormat="false" ht="15" hidden="false" customHeight="false" outlineLevel="0" collapsed="false">
      <c r="A384" s="2" t="s">
        <v>713</v>
      </c>
      <c r="F384" s="75" t="n">
        <f aca="false">(D373+G373)/(E373+H373)-1</f>
        <v>-0.00563743838663544</v>
      </c>
    </row>
    <row r="385" customFormat="false" ht="15" hidden="false" customHeight="false" outlineLevel="0" collapsed="false">
      <c r="A385" s="2" t="s">
        <v>714</v>
      </c>
      <c r="F385" s="72" t="n">
        <f aca="false">AVERAGE(O2:O371)</f>
        <v>2.73382198312276</v>
      </c>
    </row>
    <row r="386" customFormat="false" ht="15" hidden="false" customHeight="false" outlineLevel="0" collapsed="false">
      <c r="A386" s="5" t="s">
        <v>715</v>
      </c>
      <c r="F386" s="77" t="n">
        <f aca="false">COUNTIF(R2:R371,"Yes")/(COUNTIF(R2:R371,"Yes")+COUNTIF(R2:R371,"No"))</f>
        <v>0.801169590643275</v>
      </c>
    </row>
    <row r="387" customFormat="false" ht="15" hidden="false" customHeight="false" outlineLevel="0" collapsed="false">
      <c r="A387" s="5" t="s">
        <v>716</v>
      </c>
      <c r="F387" s="77" t="n">
        <f aca="false">COUNTIF(S2:S371,"Yes")/(COUNTIF(S2:S371,"Yes")+COUNTIF(S2:S371,"No"))</f>
        <v>0.973684210526316</v>
      </c>
    </row>
    <row r="388" customFormat="false" ht="15" hidden="false" customHeight="false" outlineLevel="0" collapsed="false">
      <c r="A388" s="2" t="s">
        <v>717</v>
      </c>
      <c r="F388" s="78" t="n">
        <f aca="false">COUNTIFS(L2:L371,"&gt;=-3",L2:L371,"&lt;=3")/COUNT(L2:L371)</f>
        <v>0.839181286549708</v>
      </c>
    </row>
    <row r="389" customFormat="false" ht="15" hidden="false" customHeight="false" outlineLevel="0" collapsed="false">
      <c r="A389" s="2" t="s">
        <v>718</v>
      </c>
      <c r="F389" s="79" t="n">
        <f aca="false">COUNT(E2:E371)</f>
        <v>342</v>
      </c>
    </row>
    <row r="390" customFormat="false" ht="15" hidden="false" customHeight="false" outlineLevel="0" collapsed="false">
      <c r="A390" s="2" t="s">
        <v>719</v>
      </c>
      <c r="F390" s="79" t="n">
        <f aca="false">COUNTA(A2:A371)</f>
        <v>370</v>
      </c>
    </row>
    <row r="392" customFormat="false" ht="15" hidden="false" customHeight="false" outlineLevel="0" collapsed="false">
      <c r="U392" s="5" t="s">
        <v>103</v>
      </c>
    </row>
    <row r="393" customFormat="false" ht="28.35" hidden="false" customHeight="false" outlineLevel="0" collapsed="false">
      <c r="U393" s="62" t="s">
        <v>720</v>
      </c>
    </row>
    <row r="394" customFormat="false" ht="28.35" hidden="false" customHeight="false" outlineLevel="0" collapsed="false">
      <c r="U394" s="62" t="s">
        <v>721</v>
      </c>
    </row>
    <row r="395" customFormat="false" ht="15" hidden="false" customHeight="false" outlineLevel="0" collapsed="false">
      <c r="U395" s="62" t="s">
        <v>729</v>
      </c>
    </row>
    <row r="396" customFormat="false" ht="28.35" hidden="false" customHeight="false" outlineLevel="0" collapsed="false">
      <c r="U396" s="62" t="s">
        <v>723</v>
      </c>
    </row>
    <row r="397" customFormat="false" ht="41.75" hidden="false" customHeight="false" outlineLevel="0" collapsed="false">
      <c r="U397" s="62" t="s">
        <v>724</v>
      </c>
    </row>
    <row r="398" customFormat="false" ht="41.75" hidden="false" customHeight="false" outlineLevel="0" collapsed="false">
      <c r="U398" s="62" t="s">
        <v>725</v>
      </c>
    </row>
    <row r="399" customFormat="false" ht="28.35" hidden="false" customHeight="false" outlineLevel="0" collapsed="false">
      <c r="U399" s="62" t="s">
        <v>726</v>
      </c>
    </row>
    <row r="400" customFormat="false" ht="28.35" hidden="false" customHeight="false" outlineLevel="0" collapsed="false">
      <c r="U400" s="62" t="s">
        <v>727</v>
      </c>
    </row>
    <row r="401" customFormat="false" ht="28.35" hidden="false" customHeight="false" outlineLevel="0" collapsed="false">
      <c r="U401" s="62" t="s">
        <v>728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685</v>
      </c>
      <c r="E1" s="8" t="s">
        <v>686</v>
      </c>
      <c r="F1" s="8" t="s">
        <v>687</v>
      </c>
      <c r="G1" s="8" t="s">
        <v>688</v>
      </c>
      <c r="H1" s="8" t="s">
        <v>689</v>
      </c>
      <c r="I1" s="8" t="s">
        <v>690</v>
      </c>
      <c r="J1" s="8" t="s">
        <v>691</v>
      </c>
      <c r="K1" s="8" t="s">
        <v>692</v>
      </c>
      <c r="L1" s="8" t="s">
        <v>693</v>
      </c>
      <c r="M1" s="8" t="s">
        <v>694</v>
      </c>
      <c r="N1" s="8" t="s">
        <v>695</v>
      </c>
      <c r="O1" s="8" t="s">
        <v>106</v>
      </c>
      <c r="P1" s="8" t="s">
        <v>696</v>
      </c>
      <c r="Q1" s="8" t="s">
        <v>697</v>
      </c>
      <c r="R1" s="8" t="s">
        <v>698</v>
      </c>
      <c r="S1" s="8" t="s">
        <v>699</v>
      </c>
      <c r="T1" s="8" t="s">
        <v>700</v>
      </c>
      <c r="U1" s="8" t="s">
        <v>701</v>
      </c>
    </row>
    <row r="2" customFormat="false" ht="15" hidden="false" customHeight="false" outlineLevel="0" collapsed="false">
      <c r="A2" s="25" t="s">
        <v>126</v>
      </c>
      <c r="B2" s="25" t="s">
        <v>127</v>
      </c>
      <c r="C2" s="25" t="s">
        <v>127</v>
      </c>
      <c r="D2" s="52" t="n">
        <v>147</v>
      </c>
      <c r="E2" s="52" t="n">
        <v>181</v>
      </c>
      <c r="F2" s="63" t="n">
        <f aca="false">IF(E2="","",D2-E2)</f>
        <v>-34</v>
      </c>
      <c r="G2" s="52" t="n">
        <v>291</v>
      </c>
      <c r="H2" s="52" t="n">
        <v>284</v>
      </c>
      <c r="I2" s="63" t="n">
        <f aca="false">IF(H2="","",G2-H2)</f>
        <v>7</v>
      </c>
      <c r="J2" s="53" t="n">
        <f aca="false">IF(OR(D2="",D2+G2=0),"",D2/(D2+G2))</f>
        <v>0.335616438356164</v>
      </c>
      <c r="K2" s="53" t="n">
        <f aca="false">IF(E2="","",E2/(E2+H2))</f>
        <v>0.389247311827957</v>
      </c>
      <c r="L2" s="64" t="n">
        <f aca="false">IF(OR(K2="",J2=""),"",(J2-K2)*100)</f>
        <v>-5.36308734717926</v>
      </c>
      <c r="M2" s="28" t="n">
        <v>3.59869162464536</v>
      </c>
      <c r="N2" s="28" t="n">
        <v>0.395142145636406</v>
      </c>
      <c r="O2" s="28" t="n">
        <f aca="false">SQRT(M2^2+N2^2)</f>
        <v>3.62032025165603</v>
      </c>
      <c r="P2" s="53" t="n">
        <f aca="false">IF(J2="","",MAX(0,J2-1.96*O2/100))</f>
        <v>0.264658161423706</v>
      </c>
      <c r="Q2" s="53" t="n">
        <f aca="false">IF(J2="","",MIN(1,J2+1.96*O2/100))</f>
        <v>0.406574715288623</v>
      </c>
      <c r="R2" s="25" t="str">
        <f aca="false">IF(L2="","",IF(ABS(L2)&lt;=O2,"Yes","No"))</f>
        <v>No</v>
      </c>
      <c r="S2" s="25" t="str">
        <f aca="false">IF(L2="","",IF(ABS(L2)&lt;=1.96*O2,"Yes","No"))</f>
        <v>Yes</v>
      </c>
      <c r="T2" s="52" t="n">
        <f aca="false">IF(D2="","",ROUND(SQRT(((D2+G2)*O2/100)^2+(J2*(D2+G2)*0.1901)^2),0))</f>
        <v>32</v>
      </c>
      <c r="U2" s="25"/>
    </row>
    <row r="3" customFormat="false" ht="15" hidden="false" customHeight="false" outlineLevel="0" collapsed="false">
      <c r="A3" s="25" t="s">
        <v>126</v>
      </c>
      <c r="B3" s="25" t="s">
        <v>131</v>
      </c>
      <c r="C3" s="25" t="s">
        <v>131</v>
      </c>
      <c r="D3" s="52" t="n">
        <v>98</v>
      </c>
      <c r="E3" s="52" t="n">
        <v>118</v>
      </c>
      <c r="F3" s="63" t="n">
        <f aca="false">IF(E3="","",D3-E3)</f>
        <v>-20</v>
      </c>
      <c r="G3" s="52" t="n">
        <v>306</v>
      </c>
      <c r="H3" s="52" t="n">
        <v>298</v>
      </c>
      <c r="I3" s="63" t="n">
        <f aca="false">IF(H3="","",G3-H3)</f>
        <v>8</v>
      </c>
      <c r="J3" s="53" t="n">
        <f aca="false">IF(OR(D3="",D3+G3=0),"",D3/(D3+G3))</f>
        <v>0.242574257425743</v>
      </c>
      <c r="K3" s="53" t="n">
        <f aca="false">IF(E3="","",E3/(E3+H3))</f>
        <v>0.283653846153846</v>
      </c>
      <c r="L3" s="64" t="n">
        <f aca="false">IF(OR(K3="",J3=""),"",(J3-K3)*100)</f>
        <v>-4.10795887281036</v>
      </c>
      <c r="M3" s="28" t="n">
        <v>3.59869162464536</v>
      </c>
      <c r="N3" s="28" t="n">
        <v>0.395142145636406</v>
      </c>
      <c r="O3" s="28" t="n">
        <f aca="false">SQRT(M3^2+N3^2)</f>
        <v>3.62032025165603</v>
      </c>
      <c r="P3" s="53" t="n">
        <f aca="false">IF(J3="","",MAX(0,J3-1.96*O3/100))</f>
        <v>0.171615980493284</v>
      </c>
      <c r="Q3" s="53" t="n">
        <f aca="false">IF(J3="","",MIN(1,J3+1.96*O3/100))</f>
        <v>0.313532534358201</v>
      </c>
      <c r="R3" s="25" t="str">
        <f aca="false">IF(L3="","",IF(ABS(L3)&lt;=O3,"Yes","No"))</f>
        <v>No</v>
      </c>
      <c r="S3" s="25" t="str">
        <f aca="false">IF(L3="","",IF(ABS(L3)&lt;=1.96*O3,"Yes","No"))</f>
        <v>Yes</v>
      </c>
      <c r="T3" s="52" t="n">
        <f aca="false">IF(D3="","",ROUND(SQRT(((D3+G3)*O3/100)^2+(J3*(D3+G3)*0.1901)^2),0))</f>
        <v>24</v>
      </c>
      <c r="U3" s="25"/>
    </row>
    <row r="4" customFormat="false" ht="15" hidden="false" customHeight="false" outlineLevel="0" collapsed="false">
      <c r="A4" s="25" t="s">
        <v>126</v>
      </c>
      <c r="B4" s="25" t="s">
        <v>132</v>
      </c>
      <c r="C4" s="25" t="s">
        <v>132</v>
      </c>
      <c r="D4" s="52" t="n">
        <v>123</v>
      </c>
      <c r="E4" s="52" t="n">
        <v>143</v>
      </c>
      <c r="F4" s="63" t="n">
        <f aca="false">IF(E4="","",D4-E4)</f>
        <v>-20</v>
      </c>
      <c r="G4" s="52" t="n">
        <v>280</v>
      </c>
      <c r="H4" s="52" t="n">
        <v>309</v>
      </c>
      <c r="I4" s="63" t="n">
        <f aca="false">IF(H4="","",G4-H4)</f>
        <v>-29</v>
      </c>
      <c r="J4" s="53" t="n">
        <f aca="false">IF(OR(D4="",D4+G4=0),"",D4/(D4+G4))</f>
        <v>0.305210918114144</v>
      </c>
      <c r="K4" s="53" t="n">
        <f aca="false">IF(E4="","",E4/(E4+H4))</f>
        <v>0.316371681415929</v>
      </c>
      <c r="L4" s="64" t="n">
        <f aca="false">IF(OR(K4="",J4=""),"",(J4-K4)*100)</f>
        <v>-1.11607633017853</v>
      </c>
      <c r="M4" s="28" t="n">
        <v>3.59869162464536</v>
      </c>
      <c r="N4" s="28" t="n">
        <v>0.395142145636406</v>
      </c>
      <c r="O4" s="28" t="n">
        <f aca="false">SQRT(M4^2+N4^2)</f>
        <v>3.62032025165603</v>
      </c>
      <c r="P4" s="53" t="n">
        <f aca="false">IF(J4="","",MAX(0,J4-1.96*O4/100))</f>
        <v>0.234252641181686</v>
      </c>
      <c r="Q4" s="53" t="n">
        <f aca="false">IF(J4="","",MIN(1,J4+1.96*O4/100))</f>
        <v>0.376169195046602</v>
      </c>
      <c r="R4" s="25" t="str">
        <f aca="false">IF(L4="","",IF(ABS(L4)&lt;=O4,"Yes","No"))</f>
        <v>Yes</v>
      </c>
      <c r="S4" s="25" t="str">
        <f aca="false">IF(L4="","",IF(ABS(L4)&lt;=1.96*O4,"Yes","No"))</f>
        <v>Yes</v>
      </c>
      <c r="T4" s="52" t="n">
        <f aca="false">IF(D4="","",ROUND(SQRT(((D4+G4)*O4/100)^2+(J4*(D4+G4)*0.1901)^2),0))</f>
        <v>28</v>
      </c>
      <c r="U4" s="25"/>
    </row>
    <row r="5" customFormat="false" ht="15" hidden="false" customHeight="false" outlineLevel="0" collapsed="false">
      <c r="A5" s="25" t="s">
        <v>126</v>
      </c>
      <c r="B5" s="25" t="s">
        <v>133</v>
      </c>
      <c r="C5" s="25" t="s">
        <v>134</v>
      </c>
      <c r="D5" s="52" t="n">
        <v>191</v>
      </c>
      <c r="E5" s="52" t="n">
        <v>202</v>
      </c>
      <c r="F5" s="63" t="n">
        <f aca="false">IF(E5="","",D5-E5)</f>
        <v>-11</v>
      </c>
      <c r="G5" s="52" t="n">
        <v>601</v>
      </c>
      <c r="H5" s="52" t="n">
        <v>640</v>
      </c>
      <c r="I5" s="63" t="n">
        <f aca="false">IF(H5="","",G5-H5)</f>
        <v>-39</v>
      </c>
      <c r="J5" s="53" t="n">
        <f aca="false">IF(OR(D5="",D5+G5=0),"",D5/(D5+G5))</f>
        <v>0.241161616161616</v>
      </c>
      <c r="K5" s="53" t="n">
        <f aca="false">IF(E5="","",E5/(E5+H5))</f>
        <v>0.239904988123515</v>
      </c>
      <c r="L5" s="64" t="n">
        <f aca="false">IF(OR(K5="",J5=""),"",(J5-K5)*100)</f>
        <v>0.125662803810073</v>
      </c>
      <c r="M5" s="28" t="n">
        <v>2.40127504711013</v>
      </c>
      <c r="N5" s="28" t="n">
        <v>0.395142145636406</v>
      </c>
      <c r="O5" s="28" t="n">
        <f aca="false">SQRT(M5^2+N5^2)</f>
        <v>2.43356922382165</v>
      </c>
      <c r="P5" s="53" t="n">
        <f aca="false">IF(J5="","",MAX(0,J5-1.96*O5/100))</f>
        <v>0.193463659374712</v>
      </c>
      <c r="Q5" s="53" t="n">
        <f aca="false">IF(J5="","",MIN(1,J5+1.96*O5/100))</f>
        <v>0.28885957294852</v>
      </c>
      <c r="R5" s="25" t="str">
        <f aca="false">IF(L5="","",IF(ABS(L5)&lt;=O5,"Yes","No"))</f>
        <v>Yes</v>
      </c>
      <c r="S5" s="25" t="str">
        <f aca="false">IF(L5="","",IF(ABS(L5)&lt;=1.96*O5,"Yes","No"))</f>
        <v>Yes</v>
      </c>
      <c r="T5" s="52" t="n">
        <f aca="false">IF(D5="","",ROUND(SQRT(((D5+G5)*O5/100)^2+(J5*(D5+G5)*0.10931)^2),0))</f>
        <v>28</v>
      </c>
      <c r="U5" s="25"/>
    </row>
    <row r="6" customFormat="false" ht="15" hidden="false" customHeight="false" outlineLevel="0" collapsed="false">
      <c r="A6" s="25" t="s">
        <v>126</v>
      </c>
      <c r="B6" s="25" t="s">
        <v>133</v>
      </c>
      <c r="C6" s="25" t="s">
        <v>136</v>
      </c>
      <c r="D6" s="52" t="n">
        <v>194</v>
      </c>
      <c r="E6" s="52" t="n">
        <v>232</v>
      </c>
      <c r="F6" s="63" t="n">
        <f aca="false">IF(E6="","",D6-E6)</f>
        <v>-38</v>
      </c>
      <c r="G6" s="52" t="n">
        <v>589</v>
      </c>
      <c r="H6" s="52" t="n">
        <v>603</v>
      </c>
      <c r="I6" s="63" t="n">
        <f aca="false">IF(H6="","",G6-H6)</f>
        <v>-14</v>
      </c>
      <c r="J6" s="53" t="n">
        <f aca="false">IF(OR(D6="",D6+G6=0),"",D6/(D6+G6))</f>
        <v>0.247765006385696</v>
      </c>
      <c r="K6" s="53" t="n">
        <f aca="false">IF(E6="","",E6/(E6+H6))</f>
        <v>0.277844311377246</v>
      </c>
      <c r="L6" s="64" t="n">
        <f aca="false">IF(OR(K6="",J6=""),"",(J6-K6)*100)</f>
        <v>-3.00793049915495</v>
      </c>
      <c r="M6" s="28" t="n">
        <v>2.40127504711013</v>
      </c>
      <c r="N6" s="28" t="n">
        <v>0.395142145636406</v>
      </c>
      <c r="O6" s="28" t="n">
        <f aca="false">SQRT(M6^2+N6^2)</f>
        <v>2.43356922382165</v>
      </c>
      <c r="P6" s="53" t="n">
        <f aca="false">IF(J6="","",MAX(0,J6-1.96*O6/100))</f>
        <v>0.200067049598792</v>
      </c>
      <c r="Q6" s="53" t="n">
        <f aca="false">IF(J6="","",MIN(1,J6+1.96*O6/100))</f>
        <v>0.2954629631726</v>
      </c>
      <c r="R6" s="25" t="str">
        <f aca="false">IF(L6="","",IF(ABS(L6)&lt;=O6,"Yes","No"))</f>
        <v>No</v>
      </c>
      <c r="S6" s="25" t="str">
        <f aca="false">IF(L6="","",IF(ABS(L6)&lt;=1.96*O6,"Yes","No"))</f>
        <v>Yes</v>
      </c>
      <c r="T6" s="52" t="n">
        <f aca="false">IF(D6="","",ROUND(SQRT(((D6+G6)*O6/100)^2+(J6*(D6+G6)*0.10931)^2),0))</f>
        <v>29</v>
      </c>
      <c r="U6" s="25"/>
    </row>
    <row r="7" customFormat="false" ht="15" hidden="false" customHeight="false" outlineLevel="0" collapsed="false">
      <c r="A7" s="25" t="s">
        <v>126</v>
      </c>
      <c r="B7" s="25" t="s">
        <v>137</v>
      </c>
      <c r="C7" s="25" t="s">
        <v>137</v>
      </c>
      <c r="D7" s="52" t="n">
        <v>36</v>
      </c>
      <c r="E7" s="52" t="n">
        <v>38</v>
      </c>
      <c r="F7" s="63" t="n">
        <f aca="false">IF(E7="","",D7-E7)</f>
        <v>-2</v>
      </c>
      <c r="G7" s="52" t="n">
        <v>76</v>
      </c>
      <c r="H7" s="52" t="n">
        <v>78</v>
      </c>
      <c r="I7" s="63" t="n">
        <f aca="false">IF(H7="","",G7-H7)</f>
        <v>-2</v>
      </c>
      <c r="J7" s="53" t="n">
        <f aca="false">IF(OR(D7="",D7+G7=0),"",D7/(D7+G7))</f>
        <v>0.321428571428571</v>
      </c>
      <c r="K7" s="53" t="n">
        <f aca="false">IF(E7="","",E7/(E7+H7))</f>
        <v>0.327586206896552</v>
      </c>
      <c r="L7" s="64" t="n">
        <f aca="false">IF(OR(K7="",J7=""),"",(J7-K7)*100)</f>
        <v>-0.615763546798026</v>
      </c>
      <c r="M7" s="28" t="n">
        <v>3.59869162464536</v>
      </c>
      <c r="N7" s="28" t="n">
        <v>0.395142145636406</v>
      </c>
      <c r="O7" s="28" t="n">
        <f aca="false">SQRT(M7^2+N7^2)</f>
        <v>3.62032025165603</v>
      </c>
      <c r="P7" s="53" t="n">
        <f aca="false">IF(J7="","",MAX(0,J7-1.96*O7/100))</f>
        <v>0.250470294496113</v>
      </c>
      <c r="Q7" s="53" t="n">
        <f aca="false">IF(J7="","",MIN(1,J7+1.96*O7/100))</f>
        <v>0.39238684836103</v>
      </c>
      <c r="R7" s="25" t="str">
        <f aca="false">IF(L7="","",IF(ABS(L7)&lt;=O7,"Yes","No"))</f>
        <v>Yes</v>
      </c>
      <c r="S7" s="25" t="str">
        <f aca="false">IF(L7="","",IF(ABS(L7)&lt;=1.96*O7,"Yes","No"))</f>
        <v>Yes</v>
      </c>
      <c r="T7" s="52" t="n">
        <f aca="false">IF(D7="","",ROUND(SQRT(((D7+G7)*O7/100)^2+(J7*(D7+G7)*0.1901)^2),0))</f>
        <v>8</v>
      </c>
      <c r="U7" s="25"/>
    </row>
    <row r="8" customFormat="false" ht="15" hidden="false" customHeight="false" outlineLevel="0" collapsed="false">
      <c r="A8" s="25" t="s">
        <v>126</v>
      </c>
      <c r="B8" s="25" t="s">
        <v>138</v>
      </c>
      <c r="C8" s="25" t="s">
        <v>139</v>
      </c>
      <c r="D8" s="52" t="n">
        <v>255</v>
      </c>
      <c r="E8" s="52" t="n">
        <v>301</v>
      </c>
      <c r="F8" s="63" t="n">
        <f aca="false">IF(E8="","",D8-E8)</f>
        <v>-46</v>
      </c>
      <c r="G8" s="52" t="n">
        <v>754</v>
      </c>
      <c r="H8" s="52" t="n">
        <v>760</v>
      </c>
      <c r="I8" s="63" t="n">
        <f aca="false">IF(H8="","",G8-H8)</f>
        <v>-6</v>
      </c>
      <c r="J8" s="53" t="n">
        <f aca="false">IF(OR(D8="",D8+G8=0),"",D8/(D8+G8))</f>
        <v>0.252725470763132</v>
      </c>
      <c r="K8" s="53" t="n">
        <f aca="false">IF(E8="","",E8/(E8+H8))</f>
        <v>0.283694627709708</v>
      </c>
      <c r="L8" s="64" t="n">
        <f aca="false">IF(OR(K8="",J8=""),"",(J8-K8)*100)</f>
        <v>-3.0969156946576</v>
      </c>
      <c r="M8" s="28" t="n">
        <v>2.40127504711013</v>
      </c>
      <c r="N8" s="28" t="n">
        <v>0.395142145636406</v>
      </c>
      <c r="O8" s="28" t="n">
        <f aca="false">SQRT(M8^2+N8^2)</f>
        <v>2.43356922382165</v>
      </c>
      <c r="P8" s="53" t="n">
        <f aca="false">IF(J8="","",MAX(0,J8-1.96*O8/100))</f>
        <v>0.205027513976228</v>
      </c>
      <c r="Q8" s="53" t="n">
        <f aca="false">IF(J8="","",MIN(1,J8+1.96*O8/100))</f>
        <v>0.300423427550036</v>
      </c>
      <c r="R8" s="25" t="str">
        <f aca="false">IF(L8="","",IF(ABS(L8)&lt;=O8,"Yes","No"))</f>
        <v>No</v>
      </c>
      <c r="S8" s="25" t="str">
        <f aca="false">IF(L8="","",IF(ABS(L8)&lt;=1.96*O8,"Yes","No"))</f>
        <v>Yes</v>
      </c>
      <c r="T8" s="52" t="n">
        <f aca="false">IF(D8="","",ROUND(SQRT(((D8+G8)*O8/100)^2+(J8*(D8+G8)*0.10931)^2),0))</f>
        <v>37</v>
      </c>
      <c r="U8" s="25"/>
    </row>
    <row r="9" customFormat="false" ht="15" hidden="false" customHeight="false" outlineLevel="0" collapsed="false">
      <c r="A9" s="25" t="s">
        <v>126</v>
      </c>
      <c r="B9" s="25" t="s">
        <v>138</v>
      </c>
      <c r="C9" s="25" t="s">
        <v>140</v>
      </c>
      <c r="D9" s="52" t="n">
        <v>146</v>
      </c>
      <c r="E9" s="52" t="n">
        <v>164</v>
      </c>
      <c r="F9" s="63" t="n">
        <f aca="false">IF(E9="","",D9-E9)</f>
        <v>-18</v>
      </c>
      <c r="G9" s="52" t="n">
        <v>442</v>
      </c>
      <c r="H9" s="52" t="n">
        <v>450</v>
      </c>
      <c r="I9" s="63" t="n">
        <f aca="false">IF(H9="","",G9-H9)</f>
        <v>-8</v>
      </c>
      <c r="J9" s="53" t="n">
        <f aca="false">IF(OR(D9="",D9+G9=0),"",D9/(D9+G9))</f>
        <v>0.248299319727891</v>
      </c>
      <c r="K9" s="53" t="n">
        <f aca="false">IF(E9="","",E9/(E9+H9))</f>
        <v>0.267100977198697</v>
      </c>
      <c r="L9" s="64" t="n">
        <f aca="false">IF(OR(K9="",J9=""),"",(J9-K9)*100)</f>
        <v>-1.88016574708059</v>
      </c>
      <c r="M9" s="28" t="n">
        <v>3.59869162464536</v>
      </c>
      <c r="N9" s="28" t="n">
        <v>0.395142145636406</v>
      </c>
      <c r="O9" s="28" t="n">
        <f aca="false">SQRT(M9^2+N9^2)</f>
        <v>3.62032025165603</v>
      </c>
      <c r="P9" s="53" t="n">
        <f aca="false">IF(J9="","",MAX(0,J9-1.96*O9/100))</f>
        <v>0.177341042795433</v>
      </c>
      <c r="Q9" s="53" t="n">
        <f aca="false">IF(J9="","",MIN(1,J9+1.96*O9/100))</f>
        <v>0.319257596660349</v>
      </c>
      <c r="R9" s="25" t="str">
        <f aca="false">IF(L9="","",IF(ABS(L9)&lt;=O9,"Yes","No"))</f>
        <v>Yes</v>
      </c>
      <c r="S9" s="25" t="str">
        <f aca="false">IF(L9="","",IF(ABS(L9)&lt;=1.96*O9,"Yes","No"))</f>
        <v>Yes</v>
      </c>
      <c r="T9" s="52" t="n">
        <f aca="false">IF(D9="","",ROUND(SQRT(((D9+G9)*O9/100)^2+(J9*(D9+G9)*0.1901)^2),0))</f>
        <v>35</v>
      </c>
      <c r="U9" s="25"/>
    </row>
    <row r="10" customFormat="false" ht="15" hidden="false" customHeight="false" outlineLevel="0" collapsed="false">
      <c r="A10" s="25" t="s">
        <v>126</v>
      </c>
      <c r="B10" s="25" t="s">
        <v>138</v>
      </c>
      <c r="C10" s="25" t="s">
        <v>141</v>
      </c>
      <c r="D10" s="52" t="n">
        <v>200</v>
      </c>
      <c r="E10" s="52" t="n">
        <v>235</v>
      </c>
      <c r="F10" s="63" t="n">
        <f aca="false">IF(E10="","",D10-E10)</f>
        <v>-35</v>
      </c>
      <c r="G10" s="52" t="n">
        <v>638</v>
      </c>
      <c r="H10" s="52" t="n">
        <v>626</v>
      </c>
      <c r="I10" s="63" t="n">
        <f aca="false">IF(H10="","",G10-H10)</f>
        <v>12</v>
      </c>
      <c r="J10" s="53" t="n">
        <f aca="false">IF(OR(D10="",D10+G10=0),"",D10/(D10+G10))</f>
        <v>0.238663484486874</v>
      </c>
      <c r="K10" s="53" t="n">
        <f aca="false">IF(E10="","",E10/(E10+H10))</f>
        <v>0.272938443670151</v>
      </c>
      <c r="L10" s="64" t="n">
        <f aca="false">IF(OR(K10="",J10=""),"",(J10-K10)*100)</f>
        <v>-3.42749591832775</v>
      </c>
      <c r="M10" s="28" t="n">
        <v>2.40127504711013</v>
      </c>
      <c r="N10" s="28" t="n">
        <v>0.395142145636406</v>
      </c>
      <c r="O10" s="28" t="n">
        <f aca="false">SQRT(M10^2+N10^2)</f>
        <v>2.43356922382165</v>
      </c>
      <c r="P10" s="53" t="n">
        <f aca="false">IF(J10="","",MAX(0,J10-1.96*O10/100))</f>
        <v>0.190965527699969</v>
      </c>
      <c r="Q10" s="53" t="n">
        <f aca="false">IF(J10="","",MIN(1,J10+1.96*O10/100))</f>
        <v>0.286361441273778</v>
      </c>
      <c r="R10" s="25" t="str">
        <f aca="false">IF(L10="","",IF(ABS(L10)&lt;=O10,"Yes","No"))</f>
        <v>No</v>
      </c>
      <c r="S10" s="25" t="str">
        <f aca="false">IF(L10="","",IF(ABS(L10)&lt;=1.96*O10,"Yes","No"))</f>
        <v>Yes</v>
      </c>
      <c r="T10" s="52" t="n">
        <f aca="false">IF(D10="","",ROUND(SQRT(((D10+G10)*O10/100)^2+(J10*(D10+G10)*0.10931)^2),0))</f>
        <v>30</v>
      </c>
      <c r="U10" s="25"/>
    </row>
    <row r="11" customFormat="false" ht="15" hidden="false" customHeight="false" outlineLevel="0" collapsed="false">
      <c r="A11" s="25" t="s">
        <v>126</v>
      </c>
      <c r="B11" s="25" t="s">
        <v>142</v>
      </c>
      <c r="C11" s="25" t="s">
        <v>143</v>
      </c>
      <c r="D11" s="52" t="n">
        <v>216</v>
      </c>
      <c r="E11" s="52" t="n">
        <v>229</v>
      </c>
      <c r="F11" s="63" t="n">
        <f aca="false">IF(E11="","",D11-E11)</f>
        <v>-13</v>
      </c>
      <c r="G11" s="52" t="n">
        <v>279</v>
      </c>
      <c r="H11" s="52" t="n">
        <v>297</v>
      </c>
      <c r="I11" s="63" t="n">
        <f aca="false">IF(H11="","",G11-H11)</f>
        <v>-18</v>
      </c>
      <c r="J11" s="53" t="n">
        <f aca="false">IF(OR(D11="",D11+G11=0),"",D11/(D11+G11))</f>
        <v>0.436363636363636</v>
      </c>
      <c r="K11" s="53" t="n">
        <f aca="false">IF(E11="","",E11/(E11+H11))</f>
        <v>0.435361216730038</v>
      </c>
      <c r="L11" s="64" t="n">
        <f aca="false">IF(OR(K11="",J11=""),"",(J11-K11)*100)</f>
        <v>0.100241963359832</v>
      </c>
      <c r="M11" s="28" t="n">
        <v>3.59869162464536</v>
      </c>
      <c r="N11" s="28" t="n">
        <v>0.395142145636406</v>
      </c>
      <c r="O11" s="28" t="n">
        <f aca="false">SQRT(M11^2+N11^2)</f>
        <v>3.62032025165603</v>
      </c>
      <c r="P11" s="53" t="n">
        <f aca="false">IF(J11="","",MAX(0,J11-1.96*O11/100))</f>
        <v>0.365405359431178</v>
      </c>
      <c r="Q11" s="53" t="n">
        <f aca="false">IF(J11="","",MIN(1,J11+1.96*O11/100))</f>
        <v>0.507321913296094</v>
      </c>
      <c r="R11" s="25" t="str">
        <f aca="false">IF(L11="","",IF(ABS(L11)&lt;=O11,"Yes","No"))</f>
        <v>Yes</v>
      </c>
      <c r="S11" s="25" t="str">
        <f aca="false">IF(L11="","",IF(ABS(L11)&lt;=1.96*O11,"Yes","No"))</f>
        <v>Yes</v>
      </c>
      <c r="T11" s="52" t="n">
        <f aca="false">IF(D11="","",ROUND(SQRT(((D11+G11)*O11/100)^2+(J11*(D11+G11)*0.1901)^2),0))</f>
        <v>45</v>
      </c>
      <c r="U11" s="25"/>
    </row>
    <row r="12" customFormat="false" ht="15" hidden="false" customHeight="false" outlineLevel="0" collapsed="false">
      <c r="A12" s="25" t="s">
        <v>126</v>
      </c>
      <c r="B12" s="25" t="s">
        <v>142</v>
      </c>
      <c r="C12" s="25" t="s">
        <v>144</v>
      </c>
      <c r="D12" s="52" t="n">
        <v>158</v>
      </c>
      <c r="E12" s="52" t="n">
        <v>163</v>
      </c>
      <c r="F12" s="63" t="n">
        <f aca="false">IF(E12="","",D12-E12)</f>
        <v>-5</v>
      </c>
      <c r="G12" s="52" t="n">
        <v>212</v>
      </c>
      <c r="H12" s="52" t="n">
        <v>226</v>
      </c>
      <c r="I12" s="63" t="n">
        <f aca="false">IF(H12="","",G12-H12)</f>
        <v>-14</v>
      </c>
      <c r="J12" s="53" t="n">
        <f aca="false">IF(OR(D12="",D12+G12=0),"",D12/(D12+G12))</f>
        <v>0.427027027027027</v>
      </c>
      <c r="K12" s="53" t="n">
        <f aca="false">IF(E12="","",E12/(E12+H12))</f>
        <v>0.419023136246787</v>
      </c>
      <c r="L12" s="64" t="n">
        <f aca="false">IF(OR(K12="",J12=""),"",(J12-K12)*100)</f>
        <v>0.800389078024044</v>
      </c>
      <c r="M12" s="28" t="n">
        <v>3.59869162464536</v>
      </c>
      <c r="N12" s="28" t="n">
        <v>0.395142145636406</v>
      </c>
      <c r="O12" s="28" t="n">
        <f aca="false">SQRT(M12^2+N12^2)</f>
        <v>3.62032025165603</v>
      </c>
      <c r="P12" s="53" t="n">
        <f aca="false">IF(J12="","",MAX(0,J12-1.96*O12/100))</f>
        <v>0.356068750094569</v>
      </c>
      <c r="Q12" s="53" t="n">
        <f aca="false">IF(J12="","",MIN(1,J12+1.96*O12/100))</f>
        <v>0.497985303959485</v>
      </c>
      <c r="R12" s="25" t="str">
        <f aca="false">IF(L12="","",IF(ABS(L12)&lt;=O12,"Yes","No"))</f>
        <v>Yes</v>
      </c>
      <c r="S12" s="25" t="str">
        <f aca="false">IF(L12="","",IF(ABS(L12)&lt;=1.96*O12,"Yes","No"))</f>
        <v>Yes</v>
      </c>
      <c r="T12" s="52" t="n">
        <f aca="false">IF(D12="","",ROUND(SQRT(((D12+G12)*O12/100)^2+(J12*(D12+G12)*0.1901)^2),0))</f>
        <v>33</v>
      </c>
      <c r="U12" s="25"/>
    </row>
    <row r="13" customFormat="false" ht="15" hidden="false" customHeight="false" outlineLevel="0" collapsed="false">
      <c r="A13" s="25" t="s">
        <v>126</v>
      </c>
      <c r="B13" s="25" t="s">
        <v>142</v>
      </c>
      <c r="C13" s="25" t="s">
        <v>145</v>
      </c>
      <c r="D13" s="52" t="n">
        <v>271</v>
      </c>
      <c r="E13" s="52" t="n">
        <v>286</v>
      </c>
      <c r="F13" s="63" t="n">
        <f aca="false">IF(E13="","",D13-E13)</f>
        <v>-15</v>
      </c>
      <c r="G13" s="52" t="n">
        <v>454</v>
      </c>
      <c r="H13" s="52" t="n">
        <v>464</v>
      </c>
      <c r="I13" s="63" t="n">
        <f aca="false">IF(H13="","",G13-H13)</f>
        <v>-10</v>
      </c>
      <c r="J13" s="53" t="n">
        <f aca="false">IF(OR(D13="",D13+G13=0),"",D13/(D13+G13))</f>
        <v>0.373793103448276</v>
      </c>
      <c r="K13" s="53" t="n">
        <f aca="false">IF(E13="","",E13/(E13+H13))</f>
        <v>0.381333333333333</v>
      </c>
      <c r="L13" s="64" t="n">
        <f aca="false">IF(OR(K13="",J13=""),"",(J13-K13)*100)</f>
        <v>-0.754022988505748</v>
      </c>
      <c r="M13" s="28" t="n">
        <v>3.59869162464536</v>
      </c>
      <c r="N13" s="28" t="n">
        <v>0.395142145636406</v>
      </c>
      <c r="O13" s="28" t="n">
        <f aca="false">SQRT(M13^2+N13^2)</f>
        <v>3.62032025165603</v>
      </c>
      <c r="P13" s="53" t="n">
        <f aca="false">IF(J13="","",MAX(0,J13-1.96*O13/100))</f>
        <v>0.302834826515818</v>
      </c>
      <c r="Q13" s="53" t="n">
        <f aca="false">IF(J13="","",MIN(1,J13+1.96*O13/100))</f>
        <v>0.444751380380734</v>
      </c>
      <c r="R13" s="25" t="str">
        <f aca="false">IF(L13="","",IF(ABS(L13)&lt;=O13,"Yes","No"))</f>
        <v>Yes</v>
      </c>
      <c r="S13" s="25" t="str">
        <f aca="false">IF(L13="","",IF(ABS(L13)&lt;=1.96*O13,"Yes","No"))</f>
        <v>Yes</v>
      </c>
      <c r="T13" s="52" t="n">
        <f aca="false">IF(D13="","",ROUND(SQRT(((D13+G13)*O13/100)^2+(J13*(D13+G13)*0.1901)^2),0))</f>
        <v>58</v>
      </c>
      <c r="U13" s="25"/>
    </row>
    <row r="14" customFormat="false" ht="15" hidden="false" customHeight="false" outlineLevel="0" collapsed="false">
      <c r="A14" s="25" t="s">
        <v>126</v>
      </c>
      <c r="B14" s="25" t="s">
        <v>142</v>
      </c>
      <c r="C14" s="25" t="s">
        <v>146</v>
      </c>
      <c r="D14" s="52" t="n">
        <v>132</v>
      </c>
      <c r="E14" s="52" t="n">
        <v>138</v>
      </c>
      <c r="F14" s="63" t="n">
        <f aca="false">IF(E14="","",D14-E14)</f>
        <v>-6</v>
      </c>
      <c r="G14" s="52" t="n">
        <v>117</v>
      </c>
      <c r="H14" s="52" t="n">
        <v>134</v>
      </c>
      <c r="I14" s="63" t="n">
        <f aca="false">IF(H14="","",G14-H14)</f>
        <v>-17</v>
      </c>
      <c r="J14" s="53" t="n">
        <f aca="false">IF(OR(D14="",D14+G14=0),"",D14/(D14+G14))</f>
        <v>0.530120481927711</v>
      </c>
      <c r="K14" s="53" t="n">
        <f aca="false">IF(E14="","",E14/(E14+H14))</f>
        <v>0.507352941176471</v>
      </c>
      <c r="L14" s="64" t="n">
        <f aca="false">IF(OR(K14="",J14=""),"",(J14-K14)*100)</f>
        <v>2.27675407512403</v>
      </c>
      <c r="M14" s="28" t="n">
        <v>3.59869162464536</v>
      </c>
      <c r="N14" s="28" t="n">
        <v>0.395142145636406</v>
      </c>
      <c r="O14" s="28" t="n">
        <f aca="false">SQRT(M14^2+N14^2)</f>
        <v>3.62032025165603</v>
      </c>
      <c r="P14" s="53" t="n">
        <f aca="false">IF(J14="","",MAX(0,J14-1.96*O14/100))</f>
        <v>0.459162204995253</v>
      </c>
      <c r="Q14" s="53" t="n">
        <f aca="false">IF(J14="","",MIN(1,J14+1.96*O14/100))</f>
        <v>0.601078758860169</v>
      </c>
      <c r="R14" s="25" t="str">
        <f aca="false">IF(L14="","",IF(ABS(L14)&lt;=O14,"Yes","No"))</f>
        <v>Yes</v>
      </c>
      <c r="S14" s="25" t="str">
        <f aca="false">IF(L14="","",IF(ABS(L14)&lt;=1.96*O14,"Yes","No"))</f>
        <v>Yes</v>
      </c>
      <c r="T14" s="52" t="n">
        <f aca="false">IF(D14="","",ROUND(SQRT(((D14+G14)*O14/100)^2+(J14*(D14+G14)*0.1901)^2),0))</f>
        <v>27</v>
      </c>
      <c r="U14" s="25"/>
    </row>
    <row r="15" customFormat="false" ht="15" hidden="false" customHeight="false" outlineLevel="0" collapsed="false">
      <c r="A15" s="25" t="s">
        <v>126</v>
      </c>
      <c r="B15" s="25" t="s">
        <v>142</v>
      </c>
      <c r="C15" s="25" t="s">
        <v>147</v>
      </c>
      <c r="D15" s="52" t="n">
        <v>266</v>
      </c>
      <c r="E15" s="52" t="n">
        <v>275</v>
      </c>
      <c r="F15" s="63" t="n">
        <f aca="false">IF(E15="","",D15-E15)</f>
        <v>-9</v>
      </c>
      <c r="G15" s="52" t="n">
        <v>326</v>
      </c>
      <c r="H15" s="52" t="n">
        <v>352</v>
      </c>
      <c r="I15" s="63" t="n">
        <f aca="false">IF(H15="","",G15-H15)</f>
        <v>-26</v>
      </c>
      <c r="J15" s="53" t="n">
        <f aca="false">IF(OR(D15="",D15+G15=0),"",D15/(D15+G15))</f>
        <v>0.449324324324324</v>
      </c>
      <c r="K15" s="53" t="n">
        <f aca="false">IF(E15="","",E15/(E15+H15))</f>
        <v>0.43859649122807</v>
      </c>
      <c r="L15" s="64" t="n">
        <f aca="false">IF(OR(K15="",J15=""),"",(J15-K15)*100)</f>
        <v>1.07278330962542</v>
      </c>
      <c r="M15" s="28" t="n">
        <v>3.59869162464536</v>
      </c>
      <c r="N15" s="28" t="n">
        <v>0.395142145636406</v>
      </c>
      <c r="O15" s="28" t="n">
        <f aca="false">SQRT(M15^2+N15^2)</f>
        <v>3.62032025165603</v>
      </c>
      <c r="P15" s="53" t="n">
        <f aca="false">IF(J15="","",MAX(0,J15-1.96*O15/100))</f>
        <v>0.378366047391866</v>
      </c>
      <c r="Q15" s="53" t="n">
        <f aca="false">IF(J15="","",MIN(1,J15+1.96*O15/100))</f>
        <v>0.520282601256783</v>
      </c>
      <c r="R15" s="25" t="str">
        <f aca="false">IF(L15="","",IF(ABS(L15)&lt;=O15,"Yes","No"))</f>
        <v>Yes</v>
      </c>
      <c r="S15" s="25" t="str">
        <f aca="false">IF(L15="","",IF(ABS(L15)&lt;=1.96*O15,"Yes","No"))</f>
        <v>Yes</v>
      </c>
      <c r="T15" s="52" t="n">
        <f aca="false">IF(D15="","",ROUND(SQRT(((D15+G15)*O15/100)^2+(J15*(D15+G15)*0.1901)^2),0))</f>
        <v>55</v>
      </c>
      <c r="U15" s="25"/>
    </row>
    <row r="16" customFormat="false" ht="15" hidden="false" customHeight="false" outlineLevel="0" collapsed="false">
      <c r="A16" s="25" t="s">
        <v>126</v>
      </c>
      <c r="B16" s="25" t="s">
        <v>148</v>
      </c>
      <c r="C16" s="25" t="s">
        <v>149</v>
      </c>
      <c r="D16" s="52" t="n">
        <v>104</v>
      </c>
      <c r="E16" s="52" t="n">
        <v>120</v>
      </c>
      <c r="F16" s="63" t="n">
        <f aca="false">IF(E16="","",D16-E16)</f>
        <v>-16</v>
      </c>
      <c r="G16" s="52" t="n">
        <v>222</v>
      </c>
      <c r="H16" s="52" t="n">
        <v>202</v>
      </c>
      <c r="I16" s="63" t="n">
        <f aca="false">IF(H16="","",G16-H16)</f>
        <v>20</v>
      </c>
      <c r="J16" s="53" t="n">
        <f aca="false">IF(OR(D16="",D16+G16=0),"",D16/(D16+G16))</f>
        <v>0.319018404907975</v>
      </c>
      <c r="K16" s="53" t="n">
        <f aca="false">IF(E16="","",E16/(E16+H16))</f>
        <v>0.372670807453416</v>
      </c>
      <c r="L16" s="64" t="n">
        <f aca="false">IF(OR(K16="",J16=""),"",(J16-K16)*100)</f>
        <v>-5.36524025454407</v>
      </c>
      <c r="M16" s="28" t="n">
        <v>3.59869162464536</v>
      </c>
      <c r="N16" s="28" t="n">
        <v>0.395142145636406</v>
      </c>
      <c r="O16" s="28" t="n">
        <f aca="false">SQRT(M16^2+N16^2)</f>
        <v>3.62032025165603</v>
      </c>
      <c r="P16" s="53" t="n">
        <f aca="false">IF(J16="","",MAX(0,J16-1.96*O16/100))</f>
        <v>0.248060127975517</v>
      </c>
      <c r="Q16" s="53" t="n">
        <f aca="false">IF(J16="","",MIN(1,J16+1.96*O16/100))</f>
        <v>0.389976681840434</v>
      </c>
      <c r="R16" s="25" t="str">
        <f aca="false">IF(L16="","",IF(ABS(L16)&lt;=O16,"Yes","No"))</f>
        <v>No</v>
      </c>
      <c r="S16" s="25" t="str">
        <f aca="false">IF(L16="","",IF(ABS(L16)&lt;=1.96*O16,"Yes","No"))</f>
        <v>Yes</v>
      </c>
      <c r="T16" s="52" t="n">
        <f aca="false">IF(D16="","",ROUND(SQRT(((D16+G16)*O16/100)^2+(J16*(D16+G16)*0.1901)^2),0))</f>
        <v>23</v>
      </c>
      <c r="U16" s="25"/>
    </row>
    <row r="17" customFormat="false" ht="15" hidden="false" customHeight="false" outlineLevel="0" collapsed="false">
      <c r="A17" s="25" t="s">
        <v>126</v>
      </c>
      <c r="B17" s="25" t="s">
        <v>148</v>
      </c>
      <c r="C17" s="25" t="s">
        <v>150</v>
      </c>
      <c r="D17" s="52" t="n">
        <v>203</v>
      </c>
      <c r="E17" s="52" t="n">
        <v>227</v>
      </c>
      <c r="F17" s="63" t="n">
        <f aca="false">IF(E17="","",D17-E17)</f>
        <v>-24</v>
      </c>
      <c r="G17" s="52" t="n">
        <v>513</v>
      </c>
      <c r="H17" s="52" t="n">
        <v>484</v>
      </c>
      <c r="I17" s="63" t="n">
        <f aca="false">IF(H17="","",G17-H17)</f>
        <v>29</v>
      </c>
      <c r="J17" s="53" t="n">
        <f aca="false">IF(OR(D17="",D17+G17=0),"",D17/(D17+G17))</f>
        <v>0.283519553072626</v>
      </c>
      <c r="K17" s="53" t="n">
        <f aca="false">IF(E17="","",E17/(E17+H17))</f>
        <v>0.319268635724332</v>
      </c>
      <c r="L17" s="64" t="n">
        <f aca="false">IF(OR(K17="",J17=""),"",(J17-K17)*100)</f>
        <v>-3.57490826517062</v>
      </c>
      <c r="M17" s="28" t="n">
        <v>3.59869162464536</v>
      </c>
      <c r="N17" s="28" t="n">
        <v>0.395142145636406</v>
      </c>
      <c r="O17" s="28" t="n">
        <f aca="false">SQRT(M17^2+N17^2)</f>
        <v>3.62032025165603</v>
      </c>
      <c r="P17" s="53" t="n">
        <f aca="false">IF(J17="","",MAX(0,J17-1.96*O17/100))</f>
        <v>0.212561276140168</v>
      </c>
      <c r="Q17" s="53" t="n">
        <f aca="false">IF(J17="","",MIN(1,J17+1.96*O17/100))</f>
        <v>0.354477830005084</v>
      </c>
      <c r="R17" s="25" t="str">
        <f aca="false">IF(L17="","",IF(ABS(L17)&lt;=O17,"Yes","No"))</f>
        <v>Yes</v>
      </c>
      <c r="S17" s="25" t="str">
        <f aca="false">IF(L17="","",IF(ABS(L17)&lt;=1.96*O17,"Yes","No"))</f>
        <v>Yes</v>
      </c>
      <c r="T17" s="52" t="n">
        <f aca="false">IF(D17="","",ROUND(SQRT(((D17+G17)*O17/100)^2+(J17*(D17+G17)*0.1901)^2),0))</f>
        <v>46</v>
      </c>
      <c r="U17" s="25"/>
    </row>
    <row r="18" customFormat="false" ht="15" hidden="false" customHeight="false" outlineLevel="0" collapsed="false">
      <c r="A18" s="25" t="s">
        <v>126</v>
      </c>
      <c r="B18" s="25" t="s">
        <v>151</v>
      </c>
      <c r="C18" s="25" t="s">
        <v>152</v>
      </c>
      <c r="D18" s="52" t="n">
        <v>254</v>
      </c>
      <c r="E18" s="52" t="n">
        <v>249</v>
      </c>
      <c r="F18" s="63" t="n">
        <f aca="false">IF(E18="","",D18-E18)</f>
        <v>5</v>
      </c>
      <c r="G18" s="52" t="n">
        <v>399</v>
      </c>
      <c r="H18" s="52" t="n">
        <v>392</v>
      </c>
      <c r="I18" s="63" t="n">
        <f aca="false">IF(H18="","",G18-H18)</f>
        <v>7</v>
      </c>
      <c r="J18" s="53" t="n">
        <f aca="false">IF(OR(D18="",D18+G18=0),"",D18/(D18+G18))</f>
        <v>0.388973966309342</v>
      </c>
      <c r="K18" s="53" t="n">
        <f aca="false">IF(E18="","",E18/(E18+H18))</f>
        <v>0.388455538221529</v>
      </c>
      <c r="L18" s="64" t="n">
        <f aca="false">IF(OR(K18="",J18=""),"",(J18-K18)*100)</f>
        <v>0.0518428087812661</v>
      </c>
      <c r="M18" s="28" t="n">
        <v>3.59869162464536</v>
      </c>
      <c r="N18" s="28" t="n">
        <v>0.395142145636406</v>
      </c>
      <c r="O18" s="28" t="n">
        <f aca="false">SQRT(M18^2+N18^2)</f>
        <v>3.62032025165603</v>
      </c>
      <c r="P18" s="53" t="n">
        <f aca="false">IF(J18="","",MAX(0,J18-1.96*O18/100))</f>
        <v>0.318015689376883</v>
      </c>
      <c r="Q18" s="53" t="n">
        <f aca="false">IF(J18="","",MIN(1,J18+1.96*O18/100))</f>
        <v>0.4599322432418</v>
      </c>
      <c r="R18" s="25" t="str">
        <f aca="false">IF(L18="","",IF(ABS(L18)&lt;=O18,"Yes","No"))</f>
        <v>Yes</v>
      </c>
      <c r="S18" s="25" t="str">
        <f aca="false">IF(L18="","",IF(ABS(L18)&lt;=1.96*O18,"Yes","No"))</f>
        <v>Yes</v>
      </c>
      <c r="T18" s="52" t="n">
        <f aca="false">IF(D18="","",ROUND(SQRT(((D18+G18)*O18/100)^2+(J18*(D18+G18)*0.1901)^2),0))</f>
        <v>54</v>
      </c>
      <c r="U18" s="25"/>
    </row>
    <row r="19" customFormat="false" ht="15" hidden="false" customHeight="false" outlineLevel="0" collapsed="false">
      <c r="A19" s="25" t="s">
        <v>126</v>
      </c>
      <c r="B19" s="25" t="s">
        <v>151</v>
      </c>
      <c r="C19" s="25" t="s">
        <v>153</v>
      </c>
      <c r="D19" s="52" t="n">
        <v>163</v>
      </c>
      <c r="E19" s="52" t="n">
        <v>152</v>
      </c>
      <c r="F19" s="63" t="n">
        <f aca="false">IF(E19="","",D19-E19)</f>
        <v>11</v>
      </c>
      <c r="G19" s="52" t="n">
        <v>246</v>
      </c>
      <c r="H19" s="52" t="n">
        <v>246</v>
      </c>
      <c r="I19" s="63" t="n">
        <f aca="false">IF(H19="","",G19-H19)</f>
        <v>0</v>
      </c>
      <c r="J19" s="53" t="n">
        <f aca="false">IF(OR(D19="",D19+G19=0),"",D19/(D19+G19))</f>
        <v>0.398533007334963</v>
      </c>
      <c r="K19" s="53" t="n">
        <f aca="false">IF(E19="","",E19/(E19+H19))</f>
        <v>0.381909547738693</v>
      </c>
      <c r="L19" s="64" t="n">
        <f aca="false">IF(OR(K19="",J19=""),"",(J19-K19)*100)</f>
        <v>1.66234595962699</v>
      </c>
      <c r="M19" s="28" t="n">
        <v>3.59869162464536</v>
      </c>
      <c r="N19" s="28" t="n">
        <v>0.395142145636406</v>
      </c>
      <c r="O19" s="28" t="n">
        <f aca="false">SQRT(M19^2+N19^2)</f>
        <v>3.62032025165603</v>
      </c>
      <c r="P19" s="53" t="n">
        <f aca="false">IF(J19="","",MAX(0,J19-1.96*O19/100))</f>
        <v>0.327574730402505</v>
      </c>
      <c r="Q19" s="53" t="n">
        <f aca="false">IF(J19="","",MIN(1,J19+1.96*O19/100))</f>
        <v>0.469491284267422</v>
      </c>
      <c r="R19" s="25" t="str">
        <f aca="false">IF(L19="","",IF(ABS(L19)&lt;=O19,"Yes","No"))</f>
        <v>Yes</v>
      </c>
      <c r="S19" s="25" t="str">
        <f aca="false">IF(L19="","",IF(ABS(L19)&lt;=1.96*O19,"Yes","No"))</f>
        <v>Yes</v>
      </c>
      <c r="T19" s="52" t="n">
        <f aca="false">IF(D19="","",ROUND(SQRT(((D19+G19)*O19/100)^2+(J19*(D19+G19)*0.1901)^2),0))</f>
        <v>34</v>
      </c>
      <c r="U19" s="25"/>
    </row>
    <row r="20" customFormat="false" ht="15" hidden="false" customHeight="false" outlineLevel="0" collapsed="false">
      <c r="A20" s="25" t="s">
        <v>126</v>
      </c>
      <c r="B20" s="25" t="s">
        <v>151</v>
      </c>
      <c r="C20" s="25" t="s">
        <v>154</v>
      </c>
      <c r="D20" s="52" t="n">
        <v>145</v>
      </c>
      <c r="E20" s="52" t="n">
        <v>165</v>
      </c>
      <c r="F20" s="63" t="n">
        <f aca="false">IF(E20="","",D20-E20)</f>
        <v>-20</v>
      </c>
      <c r="G20" s="52" t="n">
        <v>202</v>
      </c>
      <c r="H20" s="52" t="n">
        <v>237</v>
      </c>
      <c r="I20" s="63" t="n">
        <f aca="false">IF(H20="","",G20-H20)</f>
        <v>-35</v>
      </c>
      <c r="J20" s="53" t="n">
        <f aca="false">IF(OR(D20="",D20+G20=0),"",D20/(D20+G20))</f>
        <v>0.417867435158501</v>
      </c>
      <c r="K20" s="53" t="n">
        <f aca="false">IF(E20="","",E20/(E20+H20))</f>
        <v>0.41044776119403</v>
      </c>
      <c r="L20" s="64" t="n">
        <f aca="false">IF(OR(K20="",J20=""),"",(J20-K20)*100)</f>
        <v>0.741967396447157</v>
      </c>
      <c r="M20" s="28" t="n">
        <v>3.59869162464536</v>
      </c>
      <c r="N20" s="28" t="n">
        <v>0.395142145636406</v>
      </c>
      <c r="O20" s="28" t="n">
        <f aca="false">SQRT(M20^2+N20^2)</f>
        <v>3.62032025165603</v>
      </c>
      <c r="P20" s="53" t="n">
        <f aca="false">IF(J20="","",MAX(0,J20-1.96*O20/100))</f>
        <v>0.346909158226043</v>
      </c>
      <c r="Q20" s="53" t="n">
        <f aca="false">IF(J20="","",MIN(1,J20+1.96*O20/100))</f>
        <v>0.48882571209096</v>
      </c>
      <c r="R20" s="25" t="str">
        <f aca="false">IF(L20="","",IF(ABS(L20)&lt;=O20,"Yes","No"))</f>
        <v>Yes</v>
      </c>
      <c r="S20" s="25" t="str">
        <f aca="false">IF(L20="","",IF(ABS(L20)&lt;=1.96*O20,"Yes","No"))</f>
        <v>Yes</v>
      </c>
      <c r="T20" s="52" t="n">
        <f aca="false">IF(D20="","",ROUND(SQRT(((D20+G20)*O20/100)^2+(J20*(D20+G20)*0.1901)^2),0))</f>
        <v>30</v>
      </c>
      <c r="U20" s="25"/>
    </row>
    <row r="21" customFormat="false" ht="15" hidden="false" customHeight="false" outlineLevel="0" collapsed="false">
      <c r="A21" s="25" t="s">
        <v>126</v>
      </c>
      <c r="B21" s="25" t="s">
        <v>155</v>
      </c>
      <c r="C21" s="25" t="s">
        <v>155</v>
      </c>
      <c r="D21" s="52" t="n">
        <v>38</v>
      </c>
      <c r="E21" s="52" t="n">
        <v>38</v>
      </c>
      <c r="F21" s="63" t="n">
        <f aca="false">IF(E21="","",D21-E21)</f>
        <v>0</v>
      </c>
      <c r="G21" s="52" t="n">
        <v>101</v>
      </c>
      <c r="H21" s="52" t="n">
        <v>106</v>
      </c>
      <c r="I21" s="63" t="n">
        <f aca="false">IF(H21="","",G21-H21)</f>
        <v>-5</v>
      </c>
      <c r="J21" s="53" t="n">
        <f aca="false">IF(OR(D21="",D21+G21=0),"",D21/(D21+G21))</f>
        <v>0.273381294964029</v>
      </c>
      <c r="K21" s="53" t="n">
        <f aca="false">IF(E21="","",E21/(E21+H21))</f>
        <v>0.263888888888889</v>
      </c>
      <c r="L21" s="64" t="n">
        <f aca="false">IF(OR(K21="",J21=""),"",(J21-K21)*100)</f>
        <v>0.94924060751399</v>
      </c>
      <c r="M21" s="28" t="n">
        <v>3.59869162464536</v>
      </c>
      <c r="N21" s="28" t="n">
        <v>0.395142145636406</v>
      </c>
      <c r="O21" s="28" t="n">
        <f aca="false">SQRT(M21^2+N21^2)</f>
        <v>3.62032025165603</v>
      </c>
      <c r="P21" s="53" t="n">
        <f aca="false">IF(J21="","",MAX(0,J21-1.96*O21/100))</f>
        <v>0.202423018031571</v>
      </c>
      <c r="Q21" s="53" t="n">
        <f aca="false">IF(J21="","",MIN(1,J21+1.96*O21/100))</f>
        <v>0.344339571896487</v>
      </c>
      <c r="R21" s="25" t="str">
        <f aca="false">IF(L21="","",IF(ABS(L21)&lt;=O21,"Yes","No"))</f>
        <v>Yes</v>
      </c>
      <c r="S21" s="25" t="str">
        <f aca="false">IF(L21="","",IF(ABS(L21)&lt;=1.96*O21,"Yes","No"))</f>
        <v>Yes</v>
      </c>
      <c r="T21" s="52" t="n">
        <f aca="false">IF(D21="","",ROUND(SQRT(((D21+G21)*O21/100)^2+(J21*(D21+G21)*0.1901)^2),0))</f>
        <v>9</v>
      </c>
      <c r="U21" s="25"/>
    </row>
    <row r="22" customFormat="false" ht="15" hidden="false" customHeight="false" outlineLevel="0" collapsed="false">
      <c r="A22" s="25" t="s">
        <v>126</v>
      </c>
      <c r="B22" s="25" t="s">
        <v>156</v>
      </c>
      <c r="C22" s="25" t="s">
        <v>156</v>
      </c>
      <c r="D22" s="52" t="n">
        <v>45</v>
      </c>
      <c r="E22" s="52" t="n">
        <v>58</v>
      </c>
      <c r="F22" s="63" t="n">
        <f aca="false">IF(E22="","",D22-E22)</f>
        <v>-13</v>
      </c>
      <c r="G22" s="52" t="n">
        <v>219</v>
      </c>
      <c r="H22" s="52" t="n">
        <v>214</v>
      </c>
      <c r="I22" s="63" t="n">
        <f aca="false">IF(H22="","",G22-H22)</f>
        <v>5</v>
      </c>
      <c r="J22" s="53" t="n">
        <f aca="false">IF(OR(D22="",D22+G22=0),"",D22/(D22+G22))</f>
        <v>0.170454545454545</v>
      </c>
      <c r="K22" s="53" t="n">
        <f aca="false">IF(E22="","",E22/(E22+H22))</f>
        <v>0.213235294117647</v>
      </c>
      <c r="L22" s="64" t="n">
        <f aca="false">IF(OR(K22="",J22=""),"",(J22-K22)*100)</f>
        <v>-4.27807486631016</v>
      </c>
      <c r="M22" s="28" t="n">
        <v>3.59869162464536</v>
      </c>
      <c r="N22" s="28" t="n">
        <v>0.395142145636406</v>
      </c>
      <c r="O22" s="28" t="n">
        <f aca="false">SQRT(M22^2+N22^2)</f>
        <v>3.62032025165603</v>
      </c>
      <c r="P22" s="53" t="n">
        <f aca="false">IF(J22="","",MAX(0,J22-1.96*O22/100))</f>
        <v>0.0994962685220873</v>
      </c>
      <c r="Q22" s="53" t="n">
        <f aca="false">IF(J22="","",MIN(1,J22+1.96*O22/100))</f>
        <v>0.241412822387004</v>
      </c>
      <c r="R22" s="25" t="str">
        <f aca="false">IF(L22="","",IF(ABS(L22)&lt;=O22,"Yes","No"))</f>
        <v>No</v>
      </c>
      <c r="S22" s="25" t="str">
        <f aca="false">IF(L22="","",IF(ABS(L22)&lt;=1.96*O22,"Yes","No"))</f>
        <v>Yes</v>
      </c>
      <c r="T22" s="52" t="n">
        <f aca="false">IF(D22="","",ROUND(SQRT(((D22+G22)*O22/100)^2+(J22*(D22+G22)*0.1901)^2),0))</f>
        <v>13</v>
      </c>
      <c r="U22" s="25"/>
    </row>
    <row r="23" customFormat="false" ht="15" hidden="false" customHeight="false" outlineLevel="0" collapsed="false">
      <c r="A23" s="25" t="s">
        <v>126</v>
      </c>
      <c r="B23" s="25" t="s">
        <v>157</v>
      </c>
      <c r="C23" s="25" t="s">
        <v>158</v>
      </c>
      <c r="D23" s="52" t="n">
        <v>298</v>
      </c>
      <c r="E23" s="52" t="n">
        <v>321</v>
      </c>
      <c r="F23" s="63" t="n">
        <f aca="false">IF(E23="","",D23-E23)</f>
        <v>-23</v>
      </c>
      <c r="G23" s="52" t="n">
        <v>487</v>
      </c>
      <c r="H23" s="52" t="n">
        <v>498</v>
      </c>
      <c r="I23" s="63" t="n">
        <f aca="false">IF(H23="","",G23-H23)</f>
        <v>-11</v>
      </c>
      <c r="J23" s="53" t="n">
        <f aca="false">IF(OR(D23="",D23+G23=0),"",D23/(D23+G23))</f>
        <v>0.379617834394905</v>
      </c>
      <c r="K23" s="53" t="n">
        <f aca="false">IF(E23="","",E23/(E23+H23))</f>
        <v>0.391941391941392</v>
      </c>
      <c r="L23" s="64" t="n">
        <f aca="false">IF(OR(K23="",J23=""),"",(J23-K23)*100)</f>
        <v>-1.23235575464875</v>
      </c>
      <c r="M23" s="28" t="n">
        <v>2.40127504711013</v>
      </c>
      <c r="N23" s="28" t="n">
        <v>0.395142145636406</v>
      </c>
      <c r="O23" s="28" t="n">
        <f aca="false">SQRT(M23^2+N23^2)</f>
        <v>2.43356922382165</v>
      </c>
      <c r="P23" s="53" t="n">
        <f aca="false">IF(J23="","",MAX(0,J23-1.96*O23/100))</f>
        <v>0.331919877608</v>
      </c>
      <c r="Q23" s="53" t="n">
        <f aca="false">IF(J23="","",MIN(1,J23+1.96*O23/100))</f>
        <v>0.427315791181809</v>
      </c>
      <c r="R23" s="25" t="str">
        <f aca="false">IF(L23="","",IF(ABS(L23)&lt;=O23,"Yes","No"))</f>
        <v>Yes</v>
      </c>
      <c r="S23" s="25" t="str">
        <f aca="false">IF(L23="","",IF(ABS(L23)&lt;=1.96*O23,"Yes","No"))</f>
        <v>Yes</v>
      </c>
      <c r="T23" s="52" t="n">
        <f aca="false">IF(D23="","",ROUND(SQRT(((D23+G23)*O23/100)^2+(J23*(D23+G23)*0.10931)^2),0))</f>
        <v>38</v>
      </c>
      <c r="U23" s="25"/>
    </row>
    <row r="24" customFormat="false" ht="15" hidden="false" customHeight="false" outlineLevel="0" collapsed="false">
      <c r="A24" s="25" t="s">
        <v>126</v>
      </c>
      <c r="B24" s="25" t="s">
        <v>157</v>
      </c>
      <c r="C24" s="25" t="s">
        <v>159</v>
      </c>
      <c r="D24" s="52" t="n">
        <v>285</v>
      </c>
      <c r="E24" s="52" t="n">
        <v>288</v>
      </c>
      <c r="F24" s="63" t="n">
        <f aca="false">IF(E24="","",D24-E24)</f>
        <v>-3</v>
      </c>
      <c r="G24" s="52" t="n">
        <v>419</v>
      </c>
      <c r="H24" s="52" t="n">
        <v>448</v>
      </c>
      <c r="I24" s="63" t="n">
        <f aca="false">IF(H24="","",G24-H24)</f>
        <v>-29</v>
      </c>
      <c r="J24" s="53" t="n">
        <f aca="false">IF(OR(D24="",D24+G24=0),"",D24/(D24+G24))</f>
        <v>0.404829545454545</v>
      </c>
      <c r="K24" s="53" t="n">
        <f aca="false">IF(E24="","",E24/(E24+H24))</f>
        <v>0.391304347826087</v>
      </c>
      <c r="L24" s="64" t="n">
        <f aca="false">IF(OR(K24="",J24=""),"",(J24-K24)*100)</f>
        <v>1.35251976284585</v>
      </c>
      <c r="M24" s="28" t="n">
        <v>3.59869162464536</v>
      </c>
      <c r="N24" s="28" t="n">
        <v>0.395142145636406</v>
      </c>
      <c r="O24" s="28" t="n">
        <f aca="false">SQRT(M24^2+N24^2)</f>
        <v>3.62032025165603</v>
      </c>
      <c r="P24" s="53" t="n">
        <f aca="false">IF(J24="","",MAX(0,J24-1.96*O24/100))</f>
        <v>0.333871268522087</v>
      </c>
      <c r="Q24" s="53" t="n">
        <f aca="false">IF(J24="","",MIN(1,J24+1.96*O24/100))</f>
        <v>0.475787822387004</v>
      </c>
      <c r="R24" s="25" t="str">
        <f aca="false">IF(L24="","",IF(ABS(L24)&lt;=O24,"Yes","No"))</f>
        <v>Yes</v>
      </c>
      <c r="S24" s="25" t="str">
        <f aca="false">IF(L24="","",IF(ABS(L24)&lt;=1.96*O24,"Yes","No"))</f>
        <v>Yes</v>
      </c>
      <c r="T24" s="52" t="n">
        <f aca="false">IF(D24="","",ROUND(SQRT(((D24+G24)*O24/100)^2+(J24*(D24+G24)*0.1901)^2),0))</f>
        <v>60</v>
      </c>
      <c r="U24" s="25"/>
    </row>
    <row r="25" customFormat="false" ht="15" hidden="false" customHeight="false" outlineLevel="0" collapsed="false">
      <c r="A25" s="25" t="s">
        <v>126</v>
      </c>
      <c r="B25" s="25" t="s">
        <v>157</v>
      </c>
      <c r="C25" s="25" t="s">
        <v>160</v>
      </c>
      <c r="D25" s="52" t="n">
        <v>296</v>
      </c>
      <c r="E25" s="52" t="n">
        <v>317</v>
      </c>
      <c r="F25" s="63" t="n">
        <f aca="false">IF(E25="","",D25-E25)</f>
        <v>-21</v>
      </c>
      <c r="G25" s="52" t="n">
        <v>479</v>
      </c>
      <c r="H25" s="52" t="n">
        <v>527</v>
      </c>
      <c r="I25" s="63" t="n">
        <f aca="false">IF(H25="","",G25-H25)</f>
        <v>-48</v>
      </c>
      <c r="J25" s="53" t="n">
        <f aca="false">IF(OR(D25="",D25+G25=0),"",D25/(D25+G25))</f>
        <v>0.381935483870968</v>
      </c>
      <c r="K25" s="53" t="n">
        <f aca="false">IF(E25="","",E25/(E25+H25))</f>
        <v>0.375592417061611</v>
      </c>
      <c r="L25" s="64" t="n">
        <f aca="false">IF(OR(K25="",J25=""),"",(J25-K25)*100)</f>
        <v>0.634306680935637</v>
      </c>
      <c r="M25" s="28" t="n">
        <v>2.40127504711013</v>
      </c>
      <c r="N25" s="28" t="n">
        <v>0.395142145636406</v>
      </c>
      <c r="O25" s="28" t="n">
        <f aca="false">SQRT(M25^2+N25^2)</f>
        <v>2.43356922382165</v>
      </c>
      <c r="P25" s="53" t="n">
        <f aca="false">IF(J25="","",MAX(0,J25-1.96*O25/100))</f>
        <v>0.334237527084064</v>
      </c>
      <c r="Q25" s="53" t="n">
        <f aca="false">IF(J25="","",MIN(1,J25+1.96*O25/100))</f>
        <v>0.429633440657872</v>
      </c>
      <c r="R25" s="25" t="str">
        <f aca="false">IF(L25="","",IF(ABS(L25)&lt;=O25,"Yes","No"))</f>
        <v>Yes</v>
      </c>
      <c r="S25" s="25" t="str">
        <f aca="false">IF(L25="","",IF(ABS(L25)&lt;=1.96*O25,"Yes","No"))</f>
        <v>Yes</v>
      </c>
      <c r="T25" s="52" t="n">
        <f aca="false">IF(D25="","",ROUND(SQRT(((D25+G25)*O25/100)^2+(J25*(D25+G25)*0.10931)^2),0))</f>
        <v>37</v>
      </c>
      <c r="U25" s="25"/>
    </row>
    <row r="26" customFormat="false" ht="15" hidden="false" customHeight="false" outlineLevel="0" collapsed="false">
      <c r="A26" s="25" t="s">
        <v>126</v>
      </c>
      <c r="B26" s="25" t="s">
        <v>161</v>
      </c>
      <c r="C26" s="25" t="s">
        <v>162</v>
      </c>
      <c r="D26" s="52" t="n">
        <v>274</v>
      </c>
      <c r="E26" s="52" t="n">
        <v>285</v>
      </c>
      <c r="F26" s="63" t="n">
        <f aca="false">IF(E26="","",D26-E26)</f>
        <v>-11</v>
      </c>
      <c r="G26" s="52" t="n">
        <v>731</v>
      </c>
      <c r="H26" s="52" t="n">
        <v>760</v>
      </c>
      <c r="I26" s="63" t="n">
        <f aca="false">IF(H26="","",G26-H26)</f>
        <v>-29</v>
      </c>
      <c r="J26" s="53" t="n">
        <f aca="false">IF(OR(D26="",D26+G26=0),"",D26/(D26+G26))</f>
        <v>0.272636815920398</v>
      </c>
      <c r="K26" s="53" t="n">
        <f aca="false">IF(E26="","",E26/(E26+H26))</f>
        <v>0.272727272727273</v>
      </c>
      <c r="L26" s="64" t="n">
        <f aca="false">IF(OR(K26="",J26=""),"",(J26-K26)*100)</f>
        <v>-0.00904568068746947</v>
      </c>
      <c r="M26" s="28" t="n">
        <v>2.40127504711013</v>
      </c>
      <c r="N26" s="28" t="n">
        <v>0.395142145636406</v>
      </c>
      <c r="O26" s="28" t="n">
        <f aca="false">SQRT(M26^2+N26^2)</f>
        <v>2.43356922382165</v>
      </c>
      <c r="P26" s="53" t="n">
        <f aca="false">IF(J26="","",MAX(0,J26-1.96*O26/100))</f>
        <v>0.224938859133494</v>
      </c>
      <c r="Q26" s="53" t="n">
        <f aca="false">IF(J26="","",MIN(1,J26+1.96*O26/100))</f>
        <v>0.320334772707302</v>
      </c>
      <c r="R26" s="25" t="str">
        <f aca="false">IF(L26="","",IF(ABS(L26)&lt;=O26,"Yes","No"))</f>
        <v>Yes</v>
      </c>
      <c r="S26" s="25" t="str">
        <f aca="false">IF(L26="","",IF(ABS(L26)&lt;=1.96*O26,"Yes","No"))</f>
        <v>Yes</v>
      </c>
      <c r="T26" s="52" t="n">
        <f aca="false">IF(D26="","",ROUND(SQRT(((D26+G26)*O26/100)^2+(J26*(D26+G26)*0.10931)^2),0))</f>
        <v>39</v>
      </c>
      <c r="U26" s="25"/>
    </row>
    <row r="27" customFormat="false" ht="15" hidden="false" customHeight="false" outlineLevel="0" collapsed="false">
      <c r="A27" s="25" t="s">
        <v>126</v>
      </c>
      <c r="B27" s="25" t="s">
        <v>161</v>
      </c>
      <c r="C27" s="25" t="s">
        <v>163</v>
      </c>
      <c r="D27" s="52" t="n">
        <v>195</v>
      </c>
      <c r="E27" s="52" t="n">
        <v>228</v>
      </c>
      <c r="F27" s="63" t="n">
        <f aca="false">IF(E27="","",D27-E27)</f>
        <v>-33</v>
      </c>
      <c r="G27" s="52" t="n">
        <v>480</v>
      </c>
      <c r="H27" s="52" t="n">
        <v>522</v>
      </c>
      <c r="I27" s="63" t="n">
        <f aca="false">IF(H27="","",G27-H27)</f>
        <v>-42</v>
      </c>
      <c r="J27" s="53" t="n">
        <f aca="false">IF(OR(D27="",D27+G27=0),"",D27/(D27+G27))</f>
        <v>0.288888888888889</v>
      </c>
      <c r="K27" s="53" t="n">
        <f aca="false">IF(E27="","",E27/(E27+H27))</f>
        <v>0.304</v>
      </c>
      <c r="L27" s="64" t="n">
        <f aca="false">IF(OR(K27="",J27=""),"",(J27-K27)*100)</f>
        <v>-1.51111111111111</v>
      </c>
      <c r="M27" s="28" t="n">
        <v>3.59869162464536</v>
      </c>
      <c r="N27" s="28" t="n">
        <v>0.395142145636406</v>
      </c>
      <c r="O27" s="28" t="n">
        <f aca="false">SQRT(M27^2+N27^2)</f>
        <v>3.62032025165603</v>
      </c>
      <c r="P27" s="53" t="n">
        <f aca="false">IF(J27="","",MAX(0,J27-1.96*O27/100))</f>
        <v>0.217930611956431</v>
      </c>
      <c r="Q27" s="53" t="n">
        <f aca="false">IF(J27="","",MIN(1,J27+1.96*O27/100))</f>
        <v>0.359847165821347</v>
      </c>
      <c r="R27" s="25" t="str">
        <f aca="false">IF(L27="","",IF(ABS(L27)&lt;=O27,"Yes","No"))</f>
        <v>Yes</v>
      </c>
      <c r="S27" s="25" t="str">
        <f aca="false">IF(L27="","",IF(ABS(L27)&lt;=1.96*O27,"Yes","No"))</f>
        <v>Yes</v>
      </c>
      <c r="T27" s="52" t="n">
        <f aca="false">IF(D27="","",ROUND(SQRT(((D27+G27)*O27/100)^2+(J27*(D27+G27)*0.1901)^2),0))</f>
        <v>44</v>
      </c>
      <c r="U27" s="25"/>
    </row>
    <row r="28" customFormat="false" ht="15" hidden="false" customHeight="false" outlineLevel="0" collapsed="false">
      <c r="A28" s="25" t="s">
        <v>126</v>
      </c>
      <c r="B28" s="25" t="s">
        <v>164</v>
      </c>
      <c r="C28" s="25" t="s">
        <v>165</v>
      </c>
      <c r="D28" s="52" t="n">
        <v>122</v>
      </c>
      <c r="E28" s="52" t="n">
        <v>135</v>
      </c>
      <c r="F28" s="63" t="n">
        <f aca="false">IF(E28="","",D28-E28)</f>
        <v>-13</v>
      </c>
      <c r="G28" s="52" t="n">
        <v>395</v>
      </c>
      <c r="H28" s="52" t="n">
        <v>395</v>
      </c>
      <c r="I28" s="63" t="n">
        <f aca="false">IF(H28="","",G28-H28)</f>
        <v>0</v>
      </c>
      <c r="J28" s="53" t="n">
        <f aca="false">IF(OR(D28="",D28+G28=0),"",D28/(D28+G28))</f>
        <v>0.235976789168279</v>
      </c>
      <c r="K28" s="53" t="n">
        <f aca="false">IF(E28="","",E28/(E28+H28))</f>
        <v>0.254716981132075</v>
      </c>
      <c r="L28" s="64" t="n">
        <f aca="false">IF(OR(K28="",J28=""),"",(J28-K28)*100)</f>
        <v>-1.87401919637969</v>
      </c>
      <c r="M28" s="28" t="n">
        <v>3.59869162464536</v>
      </c>
      <c r="N28" s="28" t="n">
        <v>0.395142145636406</v>
      </c>
      <c r="O28" s="28" t="n">
        <f aca="false">SQRT(M28^2+N28^2)</f>
        <v>3.62032025165603</v>
      </c>
      <c r="P28" s="53" t="n">
        <f aca="false">IF(J28="","",MAX(0,J28-1.96*O28/100))</f>
        <v>0.16501851223582</v>
      </c>
      <c r="Q28" s="53" t="n">
        <f aca="false">IF(J28="","",MIN(1,J28+1.96*O28/100))</f>
        <v>0.306935066100737</v>
      </c>
      <c r="R28" s="25" t="str">
        <f aca="false">IF(L28="","",IF(ABS(L28)&lt;=O28,"Yes","No"))</f>
        <v>Yes</v>
      </c>
      <c r="S28" s="25" t="str">
        <f aca="false">IF(L28="","",IF(ABS(L28)&lt;=1.96*O28,"Yes","No"))</f>
        <v>Yes</v>
      </c>
      <c r="T28" s="52" t="n">
        <f aca="false">IF(D28="","",ROUND(SQRT(((D28+G28)*O28/100)^2+(J28*(D28+G28)*0.1901)^2),0))</f>
        <v>30</v>
      </c>
      <c r="U28" s="25"/>
    </row>
    <row r="29" customFormat="false" ht="15" hidden="false" customHeight="false" outlineLevel="0" collapsed="false">
      <c r="A29" s="25" t="s">
        <v>126</v>
      </c>
      <c r="B29" s="25" t="s">
        <v>164</v>
      </c>
      <c r="C29" s="25" t="s">
        <v>166</v>
      </c>
      <c r="D29" s="52" t="n">
        <v>105</v>
      </c>
      <c r="E29" s="52" t="n">
        <v>124</v>
      </c>
      <c r="F29" s="63" t="n">
        <f aca="false">IF(E29="","",D29-E29)</f>
        <v>-19</v>
      </c>
      <c r="G29" s="52" t="n">
        <v>290</v>
      </c>
      <c r="H29" s="52" t="n">
        <v>298</v>
      </c>
      <c r="I29" s="63" t="n">
        <f aca="false">IF(H29="","",G29-H29)</f>
        <v>-8</v>
      </c>
      <c r="J29" s="53" t="n">
        <f aca="false">IF(OR(D29="",D29+G29=0),"",D29/(D29+G29))</f>
        <v>0.265822784810127</v>
      </c>
      <c r="K29" s="53" t="n">
        <f aca="false">IF(E29="","",E29/(E29+H29))</f>
        <v>0.293838862559242</v>
      </c>
      <c r="L29" s="64" t="n">
        <f aca="false">IF(OR(K29="",J29=""),"",(J29-K29)*100)</f>
        <v>-2.80160777491151</v>
      </c>
      <c r="M29" s="28" t="n">
        <v>3.59869162464536</v>
      </c>
      <c r="N29" s="28" t="n">
        <v>0.395142145636406</v>
      </c>
      <c r="O29" s="28" t="n">
        <f aca="false">SQRT(M29^2+N29^2)</f>
        <v>3.62032025165603</v>
      </c>
      <c r="P29" s="53" t="n">
        <f aca="false">IF(J29="","",MAX(0,J29-1.96*O29/100))</f>
        <v>0.194864507877668</v>
      </c>
      <c r="Q29" s="53" t="n">
        <f aca="false">IF(J29="","",MIN(1,J29+1.96*O29/100))</f>
        <v>0.336781061742585</v>
      </c>
      <c r="R29" s="25" t="str">
        <f aca="false">IF(L29="","",IF(ABS(L29)&lt;=O29,"Yes","No"))</f>
        <v>Yes</v>
      </c>
      <c r="S29" s="25" t="str">
        <f aca="false">IF(L29="","",IF(ABS(L29)&lt;=1.96*O29,"Yes","No"))</f>
        <v>Yes</v>
      </c>
      <c r="T29" s="52" t="n">
        <f aca="false">IF(D29="","",ROUND(SQRT(((D29+G29)*O29/100)^2+(J29*(D29+G29)*0.1901)^2),0))</f>
        <v>25</v>
      </c>
      <c r="U29" s="25"/>
    </row>
    <row r="30" customFormat="false" ht="15" hidden="false" customHeight="false" outlineLevel="0" collapsed="false">
      <c r="A30" s="25" t="s">
        <v>126</v>
      </c>
      <c r="B30" s="25" t="s">
        <v>164</v>
      </c>
      <c r="C30" s="25" t="s">
        <v>167</v>
      </c>
      <c r="D30" s="52" t="n">
        <v>335</v>
      </c>
      <c r="E30" s="52" t="n">
        <v>424</v>
      </c>
      <c r="F30" s="63" t="n">
        <f aca="false">IF(E30="","",D30-E30)</f>
        <v>-89</v>
      </c>
      <c r="G30" s="52" t="n">
        <v>942</v>
      </c>
      <c r="H30" s="52" t="n">
        <v>988</v>
      </c>
      <c r="I30" s="63" t="n">
        <f aca="false">IF(H30="","",G30-H30)</f>
        <v>-46</v>
      </c>
      <c r="J30" s="53" t="n">
        <f aca="false">IF(OR(D30="",D30+G30=0),"",D30/(D30+G30))</f>
        <v>0.262333594361785</v>
      </c>
      <c r="K30" s="53" t="n">
        <f aca="false">IF(E30="","",E30/(E30+H30))</f>
        <v>0.30028328611898</v>
      </c>
      <c r="L30" s="64" t="n">
        <f aca="false">IF(OR(K30="",J30=""),"",(J30-K30)*100)</f>
        <v>-3.79496917571948</v>
      </c>
      <c r="M30" s="28" t="n">
        <v>2.1665403898083</v>
      </c>
      <c r="N30" s="28" t="n">
        <v>0.395142145636406</v>
      </c>
      <c r="O30" s="28" t="n">
        <f aca="false">SQRT(M30^2+N30^2)</f>
        <v>2.2022794046008</v>
      </c>
      <c r="P30" s="53" t="n">
        <f aca="false">IF(J30="","",MAX(0,J30-1.96*O30/100))</f>
        <v>0.21916891803161</v>
      </c>
      <c r="Q30" s="53" t="n">
        <f aca="false">IF(J30="","",MIN(1,J30+1.96*O30/100))</f>
        <v>0.305498270691961</v>
      </c>
      <c r="R30" s="25" t="str">
        <f aca="false">IF(L30="","",IF(ABS(L30)&lt;=O30,"Yes","No"))</f>
        <v>No</v>
      </c>
      <c r="S30" s="25" t="str">
        <f aca="false">IF(L30="","",IF(ABS(L30)&lt;=1.96*O30,"Yes","No"))</f>
        <v>Yes</v>
      </c>
      <c r="T30" s="52" t="n">
        <f aca="false">IF(D30="","",ROUND(SQRT(((D30+G30)*O30/100)^2+(J30*(D30+G30)*0.08889)^2),0))</f>
        <v>41</v>
      </c>
      <c r="U30" s="25"/>
    </row>
    <row r="31" customFormat="false" ht="15" hidden="false" customHeight="false" outlineLevel="0" collapsed="false">
      <c r="A31" s="25" t="s">
        <v>126</v>
      </c>
      <c r="B31" s="25" t="s">
        <v>169</v>
      </c>
      <c r="C31" s="25" t="s">
        <v>170</v>
      </c>
      <c r="D31" s="52" t="n">
        <v>282</v>
      </c>
      <c r="E31" s="52" t="n">
        <v>279</v>
      </c>
      <c r="F31" s="63" t="n">
        <f aca="false">IF(E31="","",D31-E31)</f>
        <v>3</v>
      </c>
      <c r="G31" s="52" t="n">
        <v>422</v>
      </c>
      <c r="H31" s="52" t="n">
        <v>445</v>
      </c>
      <c r="I31" s="63" t="n">
        <f aca="false">IF(H31="","",G31-H31)</f>
        <v>-23</v>
      </c>
      <c r="J31" s="53" t="n">
        <f aca="false">IF(OR(D31="",D31+G31=0),"",D31/(D31+G31))</f>
        <v>0.400568181818182</v>
      </c>
      <c r="K31" s="53" t="n">
        <f aca="false">IF(E31="","",E31/(E31+H31))</f>
        <v>0.385359116022099</v>
      </c>
      <c r="L31" s="64" t="n">
        <f aca="false">IF(OR(K31="",J31=""),"",(J31-K31)*100)</f>
        <v>1.52090657960824</v>
      </c>
      <c r="M31" s="28" t="n">
        <v>3.59869162464536</v>
      </c>
      <c r="N31" s="28" t="n">
        <v>0.395142145636406</v>
      </c>
      <c r="O31" s="28" t="n">
        <f aca="false">SQRT(M31^2+N31^2)</f>
        <v>3.62032025165603</v>
      </c>
      <c r="P31" s="53" t="n">
        <f aca="false">IF(J31="","",MAX(0,J31-1.96*O31/100))</f>
        <v>0.329609904885724</v>
      </c>
      <c r="Q31" s="53" t="n">
        <f aca="false">IF(J31="","",MIN(1,J31+1.96*O31/100))</f>
        <v>0.47152645875064</v>
      </c>
      <c r="R31" s="25" t="str">
        <f aca="false">IF(L31="","",IF(ABS(L31)&lt;=O31,"Yes","No"))</f>
        <v>Yes</v>
      </c>
      <c r="S31" s="25" t="str">
        <f aca="false">IF(L31="","",IF(ABS(L31)&lt;=1.96*O31,"Yes","No"))</f>
        <v>Yes</v>
      </c>
      <c r="T31" s="52" t="n">
        <f aca="false">IF(D31="","",ROUND(SQRT(((D31+G31)*O31/100)^2+(J31*(D31+G31)*0.1901)^2),0))</f>
        <v>59</v>
      </c>
      <c r="U31" s="25"/>
    </row>
    <row r="32" customFormat="false" ht="15" hidden="false" customHeight="false" outlineLevel="0" collapsed="false">
      <c r="A32" s="25" t="s">
        <v>126</v>
      </c>
      <c r="B32" s="25" t="s">
        <v>169</v>
      </c>
      <c r="C32" s="25" t="s">
        <v>171</v>
      </c>
      <c r="D32" s="52" t="n">
        <v>281</v>
      </c>
      <c r="E32" s="52" t="n">
        <v>309</v>
      </c>
      <c r="F32" s="63" t="n">
        <f aca="false">IF(E32="","",D32-E32)</f>
        <v>-28</v>
      </c>
      <c r="G32" s="52" t="n">
        <v>472</v>
      </c>
      <c r="H32" s="52" t="n">
        <v>488</v>
      </c>
      <c r="I32" s="63" t="n">
        <f aca="false">IF(H32="","",G32-H32)</f>
        <v>-16</v>
      </c>
      <c r="J32" s="53" t="n">
        <f aca="false">IF(OR(D32="",D32+G32=0),"",D32/(D32+G32))</f>
        <v>0.373173970783533</v>
      </c>
      <c r="K32" s="53" t="n">
        <f aca="false">IF(E32="","",E32/(E32+H32))</f>
        <v>0.387703889585947</v>
      </c>
      <c r="L32" s="64" t="n">
        <f aca="false">IF(OR(K32="",J32=""),"",(J32-K32)*100)</f>
        <v>-1.45299188024148</v>
      </c>
      <c r="M32" s="28" t="n">
        <v>3.59869162464536</v>
      </c>
      <c r="N32" s="28" t="n">
        <v>0.395142145636406</v>
      </c>
      <c r="O32" s="28" t="n">
        <f aca="false">SQRT(M32^2+N32^2)</f>
        <v>3.62032025165603</v>
      </c>
      <c r="P32" s="53" t="n">
        <f aca="false">IF(J32="","",MAX(0,J32-1.96*O32/100))</f>
        <v>0.302215693851074</v>
      </c>
      <c r="Q32" s="53" t="n">
        <f aca="false">IF(J32="","",MIN(1,J32+1.96*O32/100))</f>
        <v>0.444132247715991</v>
      </c>
      <c r="R32" s="25" t="str">
        <f aca="false">IF(L32="","",IF(ABS(L32)&lt;=O32,"Yes","No"))</f>
        <v>Yes</v>
      </c>
      <c r="S32" s="25" t="str">
        <f aca="false">IF(L32="","",IF(ABS(L32)&lt;=1.96*O32,"Yes","No"))</f>
        <v>Yes</v>
      </c>
      <c r="T32" s="52" t="n">
        <f aca="false">IF(D32="","",ROUND(SQRT(((D32+G32)*O32/100)^2+(J32*(D32+G32)*0.1901)^2),0))</f>
        <v>60</v>
      </c>
      <c r="U32" s="25"/>
    </row>
    <row r="33" customFormat="false" ht="15" hidden="false" customHeight="false" outlineLevel="0" collapsed="false">
      <c r="A33" s="25" t="s">
        <v>126</v>
      </c>
      <c r="B33" s="25" t="s">
        <v>172</v>
      </c>
      <c r="C33" s="25" t="s">
        <v>172</v>
      </c>
      <c r="D33" s="52" t="n">
        <v>102</v>
      </c>
      <c r="E33" s="52" t="n">
        <v>134</v>
      </c>
      <c r="F33" s="63" t="n">
        <f aca="false">IF(E33="","",D33-E33)</f>
        <v>-32</v>
      </c>
      <c r="G33" s="52" t="n">
        <v>493</v>
      </c>
      <c r="H33" s="52" t="n">
        <v>503</v>
      </c>
      <c r="I33" s="63" t="n">
        <f aca="false">IF(H33="","",G33-H33)</f>
        <v>-10</v>
      </c>
      <c r="J33" s="53" t="n">
        <f aca="false">IF(OR(D33="",D33+G33=0),"",D33/(D33+G33))</f>
        <v>0.171428571428571</v>
      </c>
      <c r="K33" s="53" t="n">
        <f aca="false">IF(E33="","",E33/(E33+H33))</f>
        <v>0.210361067503925</v>
      </c>
      <c r="L33" s="64" t="n">
        <f aca="false">IF(OR(K33="",J33=""),"",(J33-K33)*100)</f>
        <v>-3.89324960753532</v>
      </c>
      <c r="M33" s="28" t="n">
        <v>3.59869162464536</v>
      </c>
      <c r="N33" s="28" t="n">
        <v>0.395142145636406</v>
      </c>
      <c r="O33" s="28" t="n">
        <f aca="false">SQRT(M33^2+N33^2)</f>
        <v>3.62032025165603</v>
      </c>
      <c r="P33" s="53" t="n">
        <f aca="false">IF(J33="","",MAX(0,J33-1.96*O33/100))</f>
        <v>0.100470294496113</v>
      </c>
      <c r="Q33" s="53" t="n">
        <f aca="false">IF(J33="","",MIN(1,J33+1.96*O33/100))</f>
        <v>0.24238684836103</v>
      </c>
      <c r="R33" s="25" t="str">
        <f aca="false">IF(L33="","",IF(ABS(L33)&lt;=O33,"Yes","No"))</f>
        <v>No</v>
      </c>
      <c r="S33" s="25" t="str">
        <f aca="false">IF(L33="","",IF(ABS(L33)&lt;=1.96*O33,"Yes","No"))</f>
        <v>Yes</v>
      </c>
      <c r="T33" s="52" t="n">
        <f aca="false">IF(D33="","",ROUND(SQRT(((D33+G33)*O33/100)^2+(J33*(D33+G33)*0.1901)^2),0))</f>
        <v>29</v>
      </c>
      <c r="U33" s="25"/>
    </row>
    <row r="34" customFormat="false" ht="15" hidden="false" customHeight="false" outlineLevel="0" collapsed="false">
      <c r="A34" s="25" t="s">
        <v>126</v>
      </c>
      <c r="B34" s="25" t="s">
        <v>173</v>
      </c>
      <c r="C34" s="25" t="s">
        <v>174</v>
      </c>
      <c r="D34" s="52" t="n">
        <v>275</v>
      </c>
      <c r="E34" s="52" t="n">
        <v>281</v>
      </c>
      <c r="F34" s="63" t="n">
        <f aca="false">IF(E34="","",D34-E34)</f>
        <v>-6</v>
      </c>
      <c r="G34" s="52" t="n">
        <v>594</v>
      </c>
      <c r="H34" s="52" t="n">
        <v>592</v>
      </c>
      <c r="I34" s="63" t="n">
        <f aca="false">IF(H34="","",G34-H34)</f>
        <v>2</v>
      </c>
      <c r="J34" s="53" t="n">
        <f aca="false">IF(OR(D34="",D34+G34=0),"",D34/(D34+G34))</f>
        <v>0.316455696202532</v>
      </c>
      <c r="K34" s="53" t="n">
        <f aca="false">IF(E34="","",E34/(E34+H34))</f>
        <v>0.321878579610538</v>
      </c>
      <c r="L34" s="64" t="n">
        <f aca="false">IF(OR(K34="",J34=""),"",(J34-K34)*100)</f>
        <v>-0.542288340800673</v>
      </c>
      <c r="M34" s="28" t="n">
        <v>2.40127504711013</v>
      </c>
      <c r="N34" s="28" t="n">
        <v>0.395142145636406</v>
      </c>
      <c r="O34" s="28" t="n">
        <f aca="false">SQRT(M34^2+N34^2)</f>
        <v>2.43356922382165</v>
      </c>
      <c r="P34" s="53" t="n">
        <f aca="false">IF(J34="","",MAX(0,J34-1.96*O34/100))</f>
        <v>0.268757739415627</v>
      </c>
      <c r="Q34" s="53" t="n">
        <f aca="false">IF(J34="","",MIN(1,J34+1.96*O34/100))</f>
        <v>0.364153652989436</v>
      </c>
      <c r="R34" s="25" t="str">
        <f aca="false">IF(L34="","",IF(ABS(L34)&lt;=O34,"Yes","No"))</f>
        <v>Yes</v>
      </c>
      <c r="S34" s="25" t="str">
        <f aca="false">IF(L34="","",IF(ABS(L34)&lt;=1.96*O34,"Yes","No"))</f>
        <v>Yes</v>
      </c>
      <c r="T34" s="52" t="n">
        <f aca="false">IF(D34="","",ROUND(SQRT(((D34+G34)*O34/100)^2+(J34*(D34+G34)*0.10931)^2),0))</f>
        <v>37</v>
      </c>
      <c r="U34" s="25"/>
    </row>
    <row r="35" customFormat="false" ht="15" hidden="false" customHeight="false" outlineLevel="0" collapsed="false">
      <c r="A35" s="25" t="s">
        <v>126</v>
      </c>
      <c r="B35" s="25" t="s">
        <v>173</v>
      </c>
      <c r="C35" s="25" t="s">
        <v>175</v>
      </c>
      <c r="D35" s="52" t="n">
        <v>477</v>
      </c>
      <c r="E35" s="52" t="n">
        <v>467</v>
      </c>
      <c r="F35" s="63" t="n">
        <f aca="false">IF(E35="","",D35-E35)</f>
        <v>10</v>
      </c>
      <c r="G35" s="52" t="n">
        <v>799</v>
      </c>
      <c r="H35" s="52" t="n">
        <v>782</v>
      </c>
      <c r="I35" s="63" t="n">
        <f aca="false">IF(H35="","",G35-H35)</f>
        <v>17</v>
      </c>
      <c r="J35" s="53" t="n">
        <f aca="false">IF(OR(D35="",D35+G35=0),"",D35/(D35+G35))</f>
        <v>0.373824451410658</v>
      </c>
      <c r="K35" s="53" t="n">
        <f aca="false">IF(E35="","",E35/(E35+H35))</f>
        <v>0.373899119295436</v>
      </c>
      <c r="L35" s="64" t="n">
        <f aca="false">IF(OR(K35="",J35=""),"",(J35-K35)*100)</f>
        <v>-0.00746678847780569</v>
      </c>
      <c r="M35" s="28" t="n">
        <v>2.1665403898083</v>
      </c>
      <c r="N35" s="28" t="n">
        <v>0.395142145636406</v>
      </c>
      <c r="O35" s="28" t="n">
        <f aca="false">SQRT(M35^2+N35^2)</f>
        <v>2.2022794046008</v>
      </c>
      <c r="P35" s="53" t="n">
        <f aca="false">IF(J35="","",MAX(0,J35-1.96*O35/100))</f>
        <v>0.330659775080483</v>
      </c>
      <c r="Q35" s="53" t="n">
        <f aca="false">IF(J35="","",MIN(1,J35+1.96*O35/100))</f>
        <v>0.416989127740834</v>
      </c>
      <c r="R35" s="25" t="str">
        <f aca="false">IF(L35="","",IF(ABS(L35)&lt;=O35,"Yes","No"))</f>
        <v>Yes</v>
      </c>
      <c r="S35" s="25" t="str">
        <f aca="false">IF(L35="","",IF(ABS(L35)&lt;=1.96*O35,"Yes","No"))</f>
        <v>Yes</v>
      </c>
      <c r="T35" s="52" t="n">
        <f aca="false">IF(D35="","",ROUND(SQRT(((D35+G35)*O35/100)^2+(J35*(D35+G35)*0.08889)^2),0))</f>
        <v>51</v>
      </c>
      <c r="U35" s="25"/>
    </row>
    <row r="36" customFormat="false" ht="15" hidden="false" customHeight="false" outlineLevel="0" collapsed="false">
      <c r="A36" s="25" t="s">
        <v>126</v>
      </c>
      <c r="B36" s="25" t="s">
        <v>173</v>
      </c>
      <c r="C36" s="25" t="s">
        <v>176</v>
      </c>
      <c r="D36" s="52" t="n">
        <v>139</v>
      </c>
      <c r="E36" s="52" t="n">
        <v>136</v>
      </c>
      <c r="F36" s="63" t="n">
        <f aca="false">IF(E36="","",D36-E36)</f>
        <v>3</v>
      </c>
      <c r="G36" s="52" t="n">
        <v>276</v>
      </c>
      <c r="H36" s="52" t="n">
        <v>278</v>
      </c>
      <c r="I36" s="63" t="n">
        <f aca="false">IF(H36="","",G36-H36)</f>
        <v>-2</v>
      </c>
      <c r="J36" s="53" t="n">
        <f aca="false">IF(OR(D36="",D36+G36=0),"",D36/(D36+G36))</f>
        <v>0.334939759036145</v>
      </c>
      <c r="K36" s="53" t="n">
        <f aca="false">IF(E36="","",E36/(E36+H36))</f>
        <v>0.328502415458937</v>
      </c>
      <c r="L36" s="64" t="n">
        <f aca="false">IF(OR(K36="",J36=""),"",(J36-K36)*100)</f>
        <v>0.643734357720738</v>
      </c>
      <c r="M36" s="28" t="n">
        <v>3.59869162464536</v>
      </c>
      <c r="N36" s="28" t="n">
        <v>0.395142145636406</v>
      </c>
      <c r="O36" s="28" t="n">
        <f aca="false">SQRT(M36^2+N36^2)</f>
        <v>3.62032025165603</v>
      </c>
      <c r="P36" s="53" t="n">
        <f aca="false">IF(J36="","",MAX(0,J36-1.96*O36/100))</f>
        <v>0.263981482103686</v>
      </c>
      <c r="Q36" s="53" t="n">
        <f aca="false">IF(J36="","",MIN(1,J36+1.96*O36/100))</f>
        <v>0.405898035968603</v>
      </c>
      <c r="R36" s="25" t="str">
        <f aca="false">IF(L36="","",IF(ABS(L36)&lt;=O36,"Yes","No"))</f>
        <v>Yes</v>
      </c>
      <c r="S36" s="25" t="str">
        <f aca="false">IF(L36="","",IF(ABS(L36)&lt;=1.96*O36,"Yes","No"))</f>
        <v>Yes</v>
      </c>
      <c r="T36" s="52" t="n">
        <f aca="false">IF(D36="","",ROUND(SQRT(((D36+G36)*O36/100)^2+(J36*(D36+G36)*0.1901)^2),0))</f>
        <v>30</v>
      </c>
      <c r="U36" s="25"/>
    </row>
    <row r="37" customFormat="false" ht="15" hidden="false" customHeight="false" outlineLevel="0" collapsed="false">
      <c r="A37" s="25" t="s">
        <v>126</v>
      </c>
      <c r="B37" s="25" t="s">
        <v>177</v>
      </c>
      <c r="C37" s="25" t="s">
        <v>177</v>
      </c>
      <c r="D37" s="52" t="n">
        <v>54</v>
      </c>
      <c r="E37" s="52" t="n">
        <v>68</v>
      </c>
      <c r="F37" s="63" t="n">
        <f aca="false">IF(E37="","",D37-E37)</f>
        <v>-14</v>
      </c>
      <c r="G37" s="52" t="n">
        <v>161</v>
      </c>
      <c r="H37" s="52" t="n">
        <v>153</v>
      </c>
      <c r="I37" s="63" t="n">
        <f aca="false">IF(H37="","",G37-H37)</f>
        <v>8</v>
      </c>
      <c r="J37" s="53" t="n">
        <f aca="false">IF(OR(D37="",D37+G37=0),"",D37/(D37+G37))</f>
        <v>0.251162790697674</v>
      </c>
      <c r="K37" s="53" t="n">
        <f aca="false">IF(E37="","",E37/(E37+H37))</f>
        <v>0.307692307692308</v>
      </c>
      <c r="L37" s="64" t="n">
        <f aca="false">IF(OR(K37="",J37=""),"",(J37-K37)*100)</f>
        <v>-5.65295169946333</v>
      </c>
      <c r="M37" s="28" t="n">
        <v>3.59869162464536</v>
      </c>
      <c r="N37" s="28" t="n">
        <v>0.395142145636406</v>
      </c>
      <c r="O37" s="28" t="n">
        <f aca="false">SQRT(M37^2+N37^2)</f>
        <v>3.62032025165603</v>
      </c>
      <c r="P37" s="53" t="n">
        <f aca="false">IF(J37="","",MAX(0,J37-1.96*O37/100))</f>
        <v>0.180204513765216</v>
      </c>
      <c r="Q37" s="53" t="n">
        <f aca="false">IF(J37="","",MIN(1,J37+1.96*O37/100))</f>
        <v>0.322121067630133</v>
      </c>
      <c r="R37" s="25" t="str">
        <f aca="false">IF(L37="","",IF(ABS(L37)&lt;=O37,"Yes","No"))</f>
        <v>No</v>
      </c>
      <c r="S37" s="25" t="str">
        <f aca="false">IF(L37="","",IF(ABS(L37)&lt;=1.96*O37,"Yes","No"))</f>
        <v>Yes</v>
      </c>
      <c r="T37" s="52" t="n">
        <f aca="false">IF(D37="","",ROUND(SQRT(((D37+G37)*O37/100)^2+(J37*(D37+G37)*0.1901)^2),0))</f>
        <v>13</v>
      </c>
      <c r="U37" s="25"/>
    </row>
    <row r="38" customFormat="false" ht="15" hidden="false" customHeight="false" outlineLevel="0" collapsed="false">
      <c r="A38" s="25" t="s">
        <v>126</v>
      </c>
      <c r="B38" s="25" t="s">
        <v>178</v>
      </c>
      <c r="C38" s="25" t="s">
        <v>179</v>
      </c>
      <c r="D38" s="52" t="n">
        <v>372</v>
      </c>
      <c r="E38" s="52" t="n">
        <v>432</v>
      </c>
      <c r="F38" s="63" t="n">
        <f aca="false">IF(E38="","",D38-E38)</f>
        <v>-60</v>
      </c>
      <c r="G38" s="52" t="n">
        <v>664</v>
      </c>
      <c r="H38" s="52" t="n">
        <v>705</v>
      </c>
      <c r="I38" s="63" t="n">
        <f aca="false">IF(H38="","",G38-H38)</f>
        <v>-41</v>
      </c>
      <c r="J38" s="53" t="n">
        <f aca="false">IF(OR(D38="",D38+G38=0),"",D38/(D38+G38))</f>
        <v>0.359073359073359</v>
      </c>
      <c r="K38" s="53" t="n">
        <f aca="false">IF(E38="","",E38/(E38+H38))</f>
        <v>0.379947229551451</v>
      </c>
      <c r="L38" s="64" t="n">
        <f aca="false">IF(OR(K38="",J38=""),"",(J38-K38)*100)</f>
        <v>-2.08738704780921</v>
      </c>
      <c r="M38" s="28" t="n">
        <v>2.40127504711013</v>
      </c>
      <c r="N38" s="28" t="n">
        <v>0.395142145636406</v>
      </c>
      <c r="O38" s="28" t="n">
        <f aca="false">SQRT(M38^2+N38^2)</f>
        <v>2.43356922382165</v>
      </c>
      <c r="P38" s="53" t="n">
        <f aca="false">IF(J38="","",MAX(0,J38-1.96*O38/100))</f>
        <v>0.311375402286455</v>
      </c>
      <c r="Q38" s="53" t="n">
        <f aca="false">IF(J38="","",MIN(1,J38+1.96*O38/100))</f>
        <v>0.406771315860263</v>
      </c>
      <c r="R38" s="25" t="str">
        <f aca="false">IF(L38="","",IF(ABS(L38)&lt;=O38,"Yes","No"))</f>
        <v>Yes</v>
      </c>
      <c r="S38" s="25" t="str">
        <f aca="false">IF(L38="","",IF(ABS(L38)&lt;=1.96*O38,"Yes","No"))</f>
        <v>Yes</v>
      </c>
      <c r="T38" s="52" t="n">
        <f aca="false">IF(D38="","",ROUND(SQRT(((D38+G38)*O38/100)^2+(J38*(D38+G38)*0.10931)^2),0))</f>
        <v>48</v>
      </c>
      <c r="U38" s="25"/>
    </row>
    <row r="39" customFormat="false" ht="15" hidden="false" customHeight="false" outlineLevel="0" collapsed="false">
      <c r="A39" s="25" t="s">
        <v>126</v>
      </c>
      <c r="B39" s="25" t="s">
        <v>178</v>
      </c>
      <c r="C39" s="25" t="s">
        <v>180</v>
      </c>
      <c r="D39" s="52" t="n">
        <v>280</v>
      </c>
      <c r="E39" s="52" t="n">
        <v>296</v>
      </c>
      <c r="F39" s="63" t="n">
        <f aca="false">IF(E39="","",D39-E39)</f>
        <v>-16</v>
      </c>
      <c r="G39" s="52" t="n">
        <v>525</v>
      </c>
      <c r="H39" s="52" t="n">
        <v>529</v>
      </c>
      <c r="I39" s="63" t="n">
        <f aca="false">IF(H39="","",G39-H39)</f>
        <v>-4</v>
      </c>
      <c r="J39" s="53" t="n">
        <f aca="false">IF(OR(D39="",D39+G39=0),"",D39/(D39+G39))</f>
        <v>0.347826086956522</v>
      </c>
      <c r="K39" s="53" t="n">
        <f aca="false">IF(E39="","",E39/(E39+H39))</f>
        <v>0.358787878787879</v>
      </c>
      <c r="L39" s="64" t="n">
        <f aca="false">IF(OR(K39="",J39=""),"",(J39-K39)*100)</f>
        <v>-1.0961791831357</v>
      </c>
      <c r="M39" s="28" t="n">
        <v>2.40127504711013</v>
      </c>
      <c r="N39" s="28" t="n">
        <v>0.395142145636406</v>
      </c>
      <c r="O39" s="28" t="n">
        <f aca="false">SQRT(M39^2+N39^2)</f>
        <v>2.43356922382165</v>
      </c>
      <c r="P39" s="53" t="n">
        <f aca="false">IF(J39="","",MAX(0,J39-1.96*O39/100))</f>
        <v>0.300128130169618</v>
      </c>
      <c r="Q39" s="53" t="n">
        <f aca="false">IF(J39="","",MIN(1,J39+1.96*O39/100))</f>
        <v>0.395524043743426</v>
      </c>
      <c r="R39" s="25" t="str">
        <f aca="false">IF(L39="","",IF(ABS(L39)&lt;=O39,"Yes","No"))</f>
        <v>Yes</v>
      </c>
      <c r="S39" s="25" t="str">
        <f aca="false">IF(L39="","",IF(ABS(L39)&lt;=1.96*O39,"Yes","No"))</f>
        <v>Yes</v>
      </c>
      <c r="T39" s="52" t="n">
        <f aca="false">IF(D39="","",ROUND(SQRT(((D39+G39)*O39/100)^2+(J39*(D39+G39)*0.10931)^2),0))</f>
        <v>36</v>
      </c>
      <c r="U39" s="25"/>
    </row>
    <row r="40" customFormat="false" ht="15" hidden="false" customHeight="false" outlineLevel="0" collapsed="false">
      <c r="A40" s="25" t="s">
        <v>126</v>
      </c>
      <c r="B40" s="25" t="s">
        <v>178</v>
      </c>
      <c r="C40" s="25" t="s">
        <v>181</v>
      </c>
      <c r="D40" s="52" t="n">
        <v>412</v>
      </c>
      <c r="E40" s="52" t="n">
        <v>460</v>
      </c>
      <c r="F40" s="63" t="n">
        <f aca="false">IF(E40="","",D40-E40)</f>
        <v>-48</v>
      </c>
      <c r="G40" s="52" t="n">
        <v>748</v>
      </c>
      <c r="H40" s="52" t="n">
        <v>791</v>
      </c>
      <c r="I40" s="63" t="n">
        <f aca="false">IF(H40="","",G40-H40)</f>
        <v>-43</v>
      </c>
      <c r="J40" s="53" t="n">
        <f aca="false">IF(OR(D40="",D40+G40=0),"",D40/(D40+G40))</f>
        <v>0.355172413793103</v>
      </c>
      <c r="K40" s="53" t="n">
        <f aca="false">IF(E40="","",E40/(E40+H40))</f>
        <v>0.367705835331735</v>
      </c>
      <c r="L40" s="64" t="n">
        <f aca="false">IF(OR(K40="",J40=""),"",(J40-K40)*100)</f>
        <v>-1.25334215386312</v>
      </c>
      <c r="M40" s="28" t="n">
        <v>2.40127504711013</v>
      </c>
      <c r="N40" s="28" t="n">
        <v>0.395142145636406</v>
      </c>
      <c r="O40" s="28" t="n">
        <f aca="false">SQRT(M40^2+N40^2)</f>
        <v>2.43356922382165</v>
      </c>
      <c r="P40" s="53" t="n">
        <f aca="false">IF(J40="","",MAX(0,J40-1.96*O40/100))</f>
        <v>0.307474457006199</v>
      </c>
      <c r="Q40" s="53" t="n">
        <f aca="false">IF(J40="","",MIN(1,J40+1.96*O40/100))</f>
        <v>0.402870370580008</v>
      </c>
      <c r="R40" s="25" t="str">
        <f aca="false">IF(L40="","",IF(ABS(L40)&lt;=O40,"Yes","No"))</f>
        <v>Yes</v>
      </c>
      <c r="S40" s="25" t="str">
        <f aca="false">IF(L40="","",IF(ABS(L40)&lt;=1.96*O40,"Yes","No"))</f>
        <v>Yes</v>
      </c>
      <c r="T40" s="52" t="n">
        <f aca="false">IF(D40="","",ROUND(SQRT(((D40+G40)*O40/100)^2+(J40*(D40+G40)*0.10931)^2),0))</f>
        <v>53</v>
      </c>
      <c r="U40" s="25"/>
    </row>
    <row r="41" customFormat="false" ht="15" hidden="false" customHeight="false" outlineLevel="0" collapsed="false">
      <c r="A41" s="25" t="s">
        <v>126</v>
      </c>
      <c r="B41" s="25" t="s">
        <v>178</v>
      </c>
      <c r="C41" s="25" t="s">
        <v>182</v>
      </c>
      <c r="D41" s="52" t="n">
        <v>346</v>
      </c>
      <c r="E41" s="52" t="n">
        <v>425</v>
      </c>
      <c r="F41" s="63" t="n">
        <f aca="false">IF(E41="","",D41-E41)</f>
        <v>-79</v>
      </c>
      <c r="G41" s="52" t="n">
        <v>849</v>
      </c>
      <c r="H41" s="52" t="n">
        <v>920</v>
      </c>
      <c r="I41" s="63" t="n">
        <f aca="false">IF(H41="","",G41-H41)</f>
        <v>-71</v>
      </c>
      <c r="J41" s="53" t="n">
        <f aca="false">IF(OR(D41="",D41+G41=0),"",D41/(D41+G41))</f>
        <v>0.289539748953975</v>
      </c>
      <c r="K41" s="53" t="n">
        <f aca="false">IF(E41="","",E41/(E41+H41))</f>
        <v>0.315985130111524</v>
      </c>
      <c r="L41" s="64" t="n">
        <f aca="false">IF(OR(K41="",J41=""),"",(J41-K41)*100)</f>
        <v>-2.64453811575493</v>
      </c>
      <c r="M41" s="28" t="n">
        <v>2.1665403898083</v>
      </c>
      <c r="N41" s="28" t="n">
        <v>0.395142145636406</v>
      </c>
      <c r="O41" s="28" t="n">
        <f aca="false">SQRT(M41^2+N41^2)</f>
        <v>2.2022794046008</v>
      </c>
      <c r="P41" s="53" t="n">
        <f aca="false">IF(J41="","",MAX(0,J41-1.96*O41/100))</f>
        <v>0.246375072623799</v>
      </c>
      <c r="Q41" s="53" t="n">
        <f aca="false">IF(J41="","",MIN(1,J41+1.96*O41/100))</f>
        <v>0.332704425284151</v>
      </c>
      <c r="R41" s="25" t="str">
        <f aca="false">IF(L41="","",IF(ABS(L41)&lt;=O41,"Yes","No"))</f>
        <v>No</v>
      </c>
      <c r="S41" s="25" t="str">
        <f aca="false">IF(L41="","",IF(ABS(L41)&lt;=1.96*O41,"Yes","No"))</f>
        <v>Yes</v>
      </c>
      <c r="T41" s="52" t="n">
        <f aca="false">IF(D41="","",ROUND(SQRT(((D41+G41)*O41/100)^2+(J41*(D41+G41)*0.08889)^2),0))</f>
        <v>40</v>
      </c>
      <c r="U41" s="25"/>
    </row>
    <row r="42" customFormat="false" ht="15" hidden="false" customHeight="false" outlineLevel="0" collapsed="false">
      <c r="A42" s="25" t="s">
        <v>126</v>
      </c>
      <c r="B42" s="25" t="s">
        <v>178</v>
      </c>
      <c r="C42" s="25" t="s">
        <v>183</v>
      </c>
      <c r="D42" s="52" t="n">
        <v>334</v>
      </c>
      <c r="E42" s="52" t="n">
        <v>397</v>
      </c>
      <c r="F42" s="63" t="n">
        <f aca="false">IF(E42="","",D42-E42)</f>
        <v>-63</v>
      </c>
      <c r="G42" s="52" t="n">
        <v>715</v>
      </c>
      <c r="H42" s="52" t="n">
        <v>692</v>
      </c>
      <c r="I42" s="63" t="n">
        <f aca="false">IF(H42="","",G42-H42)</f>
        <v>23</v>
      </c>
      <c r="J42" s="53" t="n">
        <f aca="false">IF(OR(D42="",D42+G42=0),"",D42/(D42+G42))</f>
        <v>0.318398474737846</v>
      </c>
      <c r="K42" s="53" t="n">
        <f aca="false">IF(E42="","",E42/(E42+H42))</f>
        <v>0.36455463728191</v>
      </c>
      <c r="L42" s="64" t="n">
        <f aca="false">IF(OR(K42="",J42=""),"",(J42-K42)*100)</f>
        <v>-4.61561625440645</v>
      </c>
      <c r="M42" s="28" t="n">
        <v>2.40127504711013</v>
      </c>
      <c r="N42" s="28" t="n">
        <v>0.395142145636406</v>
      </c>
      <c r="O42" s="28" t="n">
        <f aca="false">SQRT(M42^2+N42^2)</f>
        <v>2.43356922382165</v>
      </c>
      <c r="P42" s="53" t="n">
        <f aca="false">IF(J42="","",MAX(0,J42-1.96*O42/100))</f>
        <v>0.270700517950941</v>
      </c>
      <c r="Q42" s="53" t="n">
        <f aca="false">IF(J42="","",MIN(1,J42+1.96*O42/100))</f>
        <v>0.36609643152475</v>
      </c>
      <c r="R42" s="25" t="str">
        <f aca="false">IF(L42="","",IF(ABS(L42)&lt;=O42,"Yes","No"))</f>
        <v>No</v>
      </c>
      <c r="S42" s="25" t="str">
        <f aca="false">IF(L42="","",IF(ABS(L42)&lt;=1.96*O42,"Yes","No"))</f>
        <v>Yes</v>
      </c>
      <c r="T42" s="52" t="n">
        <f aca="false">IF(D42="","",ROUND(SQRT(((D42+G42)*O42/100)^2+(J42*(D42+G42)*0.10931)^2),0))</f>
        <v>45</v>
      </c>
      <c r="U42" s="25"/>
    </row>
    <row r="43" customFormat="false" ht="15" hidden="false" customHeight="false" outlineLevel="0" collapsed="false">
      <c r="A43" s="25" t="s">
        <v>126</v>
      </c>
      <c r="B43" s="25" t="s">
        <v>184</v>
      </c>
      <c r="C43" s="25" t="s">
        <v>185</v>
      </c>
      <c r="D43" s="52" t="n">
        <v>179</v>
      </c>
      <c r="E43" s="52" t="n">
        <v>175</v>
      </c>
      <c r="F43" s="63" t="n">
        <f aca="false">IF(E43="","",D43-E43)</f>
        <v>4</v>
      </c>
      <c r="G43" s="52" t="n">
        <v>201</v>
      </c>
      <c r="H43" s="52" t="n">
        <v>212</v>
      </c>
      <c r="I43" s="63" t="n">
        <f aca="false">IF(H43="","",G43-H43)</f>
        <v>-11</v>
      </c>
      <c r="J43" s="53" t="n">
        <f aca="false">IF(OR(D43="",D43+G43=0),"",D43/(D43+G43))</f>
        <v>0.471052631578947</v>
      </c>
      <c r="K43" s="53" t="n">
        <f aca="false">IF(E43="","",E43/(E43+H43))</f>
        <v>0.452196382428941</v>
      </c>
      <c r="L43" s="64" t="n">
        <f aca="false">IF(OR(K43="",J43=""),"",(J43-K43)*100)</f>
        <v>1.88562491500068</v>
      </c>
      <c r="M43" s="28" t="n">
        <v>3.59869162464536</v>
      </c>
      <c r="N43" s="28" t="n">
        <v>0.395142145636406</v>
      </c>
      <c r="O43" s="28" t="n">
        <f aca="false">SQRT(M43^2+N43^2)</f>
        <v>3.62032025165603</v>
      </c>
      <c r="P43" s="53" t="n">
        <f aca="false">IF(J43="","",MAX(0,J43-1.96*O43/100))</f>
        <v>0.400094354646489</v>
      </c>
      <c r="Q43" s="53" t="n">
        <f aca="false">IF(J43="","",MIN(1,J43+1.96*O43/100))</f>
        <v>0.542010908511406</v>
      </c>
      <c r="R43" s="25" t="str">
        <f aca="false">IF(L43="","",IF(ABS(L43)&lt;=O43,"Yes","No"))</f>
        <v>Yes</v>
      </c>
      <c r="S43" s="25" t="str">
        <f aca="false">IF(L43="","",IF(ABS(L43)&lt;=1.96*O43,"Yes","No"))</f>
        <v>Yes</v>
      </c>
      <c r="T43" s="52" t="n">
        <f aca="false">IF(D43="","",ROUND(SQRT(((D43+G43)*O43/100)^2+(J43*(D43+G43)*0.1901)^2),0))</f>
        <v>37</v>
      </c>
      <c r="U43" s="25"/>
    </row>
    <row r="44" customFormat="false" ht="15" hidden="false" customHeight="false" outlineLevel="0" collapsed="false">
      <c r="A44" s="25" t="s">
        <v>126</v>
      </c>
      <c r="B44" s="25" t="s">
        <v>184</v>
      </c>
      <c r="C44" s="25" t="s">
        <v>186</v>
      </c>
      <c r="D44" s="52" t="n">
        <v>182</v>
      </c>
      <c r="E44" s="52" t="n">
        <v>184</v>
      </c>
      <c r="F44" s="63" t="n">
        <f aca="false">IF(E44="","",D44-E44)</f>
        <v>-2</v>
      </c>
      <c r="G44" s="52" t="n">
        <v>209</v>
      </c>
      <c r="H44" s="52" t="n">
        <v>208</v>
      </c>
      <c r="I44" s="63" t="n">
        <f aca="false">IF(H44="","",G44-H44)</f>
        <v>1</v>
      </c>
      <c r="J44" s="53" t="n">
        <f aca="false">IF(OR(D44="",D44+G44=0),"",D44/(D44+G44))</f>
        <v>0.465473145780051</v>
      </c>
      <c r="K44" s="53" t="n">
        <f aca="false">IF(E44="","",E44/(E44+H44))</f>
        <v>0.469387755102041</v>
      </c>
      <c r="L44" s="64" t="n">
        <f aca="false">IF(OR(K44="",J44=""),"",(J44-K44)*100)</f>
        <v>-0.391460932198967</v>
      </c>
      <c r="M44" s="28" t="n">
        <v>3.59869162464536</v>
      </c>
      <c r="N44" s="28" t="n">
        <v>0.395142145636406</v>
      </c>
      <c r="O44" s="28" t="n">
        <f aca="false">SQRT(M44^2+N44^2)</f>
        <v>3.62032025165603</v>
      </c>
      <c r="P44" s="53" t="n">
        <f aca="false">IF(J44="","",MAX(0,J44-1.96*O44/100))</f>
        <v>0.394514868847593</v>
      </c>
      <c r="Q44" s="53" t="n">
        <f aca="false">IF(J44="","",MIN(1,J44+1.96*O44/100))</f>
        <v>0.536431422712509</v>
      </c>
      <c r="R44" s="25" t="str">
        <f aca="false">IF(L44="","",IF(ABS(L44)&lt;=O44,"Yes","No"))</f>
        <v>Yes</v>
      </c>
      <c r="S44" s="25" t="str">
        <f aca="false">IF(L44="","",IF(ABS(L44)&lt;=1.96*O44,"Yes","No"))</f>
        <v>Yes</v>
      </c>
      <c r="T44" s="52" t="n">
        <f aca="false">IF(D44="","",ROUND(SQRT(((D44+G44)*O44/100)^2+(J44*(D44+G44)*0.1901)^2),0))</f>
        <v>37</v>
      </c>
      <c r="U44" s="25"/>
    </row>
    <row r="45" customFormat="false" ht="15" hidden="false" customHeight="false" outlineLevel="0" collapsed="false">
      <c r="A45" s="25" t="s">
        <v>126</v>
      </c>
      <c r="B45" s="25" t="s">
        <v>184</v>
      </c>
      <c r="C45" s="25" t="s">
        <v>187</v>
      </c>
      <c r="D45" s="52" t="n">
        <v>117</v>
      </c>
      <c r="E45" s="52" t="n">
        <v>102</v>
      </c>
      <c r="F45" s="63" t="n">
        <f aca="false">IF(E45="","",D45-E45)</f>
        <v>15</v>
      </c>
      <c r="G45" s="52" t="n">
        <v>188</v>
      </c>
      <c r="H45" s="52" t="n">
        <v>192</v>
      </c>
      <c r="I45" s="63" t="n">
        <f aca="false">IF(H45="","",G45-H45)</f>
        <v>-4</v>
      </c>
      <c r="J45" s="53" t="n">
        <f aca="false">IF(OR(D45="",D45+G45=0),"",D45/(D45+G45))</f>
        <v>0.383606557377049</v>
      </c>
      <c r="K45" s="53" t="n">
        <f aca="false">IF(E45="","",E45/(E45+H45))</f>
        <v>0.346938775510204</v>
      </c>
      <c r="L45" s="64" t="n">
        <f aca="false">IF(OR(K45="",J45=""),"",(J45-K45)*100)</f>
        <v>3.66677818668451</v>
      </c>
      <c r="M45" s="28" t="n">
        <v>3.59869162464536</v>
      </c>
      <c r="N45" s="28" t="n">
        <v>0.395142145636406</v>
      </c>
      <c r="O45" s="28" t="n">
        <f aca="false">SQRT(M45^2+N45^2)</f>
        <v>3.62032025165603</v>
      </c>
      <c r="P45" s="53" t="n">
        <f aca="false">IF(J45="","",MAX(0,J45-1.96*O45/100))</f>
        <v>0.312648280444591</v>
      </c>
      <c r="Q45" s="53" t="n">
        <f aca="false">IF(J45="","",MIN(1,J45+1.96*O45/100))</f>
        <v>0.454564834309507</v>
      </c>
      <c r="R45" s="25" t="str">
        <f aca="false">IF(L45="","",IF(ABS(L45)&lt;=O45,"Yes","No"))</f>
        <v>No</v>
      </c>
      <c r="S45" s="25" t="str">
        <f aca="false">IF(L45="","",IF(ABS(L45)&lt;=1.96*O45,"Yes","No"))</f>
        <v>Yes</v>
      </c>
      <c r="T45" s="52" t="n">
        <f aca="false">IF(D45="","",ROUND(SQRT(((D45+G45)*O45/100)^2+(J45*(D45+G45)*0.1901)^2),0))</f>
        <v>25</v>
      </c>
      <c r="U45" s="25"/>
    </row>
    <row r="46" customFormat="false" ht="15" hidden="false" customHeight="false" outlineLevel="0" collapsed="false">
      <c r="A46" s="25" t="s">
        <v>126</v>
      </c>
      <c r="B46" s="25" t="s">
        <v>184</v>
      </c>
      <c r="C46" s="25" t="s">
        <v>188</v>
      </c>
      <c r="D46" s="52" t="n">
        <v>184</v>
      </c>
      <c r="E46" s="52" t="n">
        <v>194</v>
      </c>
      <c r="F46" s="63" t="n">
        <f aca="false">IF(E46="","",D46-E46)</f>
        <v>-10</v>
      </c>
      <c r="G46" s="52" t="n">
        <v>279</v>
      </c>
      <c r="H46" s="52" t="n">
        <v>296</v>
      </c>
      <c r="I46" s="63" t="n">
        <f aca="false">IF(H46="","",G46-H46)</f>
        <v>-17</v>
      </c>
      <c r="J46" s="53" t="n">
        <f aca="false">IF(OR(D46="",D46+G46=0),"",D46/(D46+G46))</f>
        <v>0.397408207343413</v>
      </c>
      <c r="K46" s="53" t="n">
        <f aca="false">IF(E46="","",E46/(E46+H46))</f>
        <v>0.395918367346939</v>
      </c>
      <c r="L46" s="64" t="n">
        <f aca="false">IF(OR(K46="",J46=""),"",(J46-K46)*100)</f>
        <v>0.148983999647379</v>
      </c>
      <c r="M46" s="28" t="n">
        <v>3.59869162464536</v>
      </c>
      <c r="N46" s="28" t="n">
        <v>0.395142145636406</v>
      </c>
      <c r="O46" s="28" t="n">
        <f aca="false">SQRT(M46^2+N46^2)</f>
        <v>3.62032025165603</v>
      </c>
      <c r="P46" s="53" t="n">
        <f aca="false">IF(J46="","",MAX(0,J46-1.96*O46/100))</f>
        <v>0.326449930410954</v>
      </c>
      <c r="Q46" s="53" t="n">
        <f aca="false">IF(J46="","",MIN(1,J46+1.96*O46/100))</f>
        <v>0.468366484275871</v>
      </c>
      <c r="R46" s="25" t="str">
        <f aca="false">IF(L46="","",IF(ABS(L46)&lt;=O46,"Yes","No"))</f>
        <v>Yes</v>
      </c>
      <c r="S46" s="25" t="str">
        <f aca="false">IF(L46="","",IF(ABS(L46)&lt;=1.96*O46,"Yes","No"))</f>
        <v>Yes</v>
      </c>
      <c r="T46" s="52" t="n">
        <f aca="false">IF(D46="","",ROUND(SQRT(((D46+G46)*O46/100)^2+(J46*(D46+G46)*0.1901)^2),0))</f>
        <v>39</v>
      </c>
      <c r="U46" s="25"/>
    </row>
    <row r="47" customFormat="false" ht="15" hidden="false" customHeight="false" outlineLevel="0" collapsed="false">
      <c r="A47" s="25" t="s">
        <v>126</v>
      </c>
      <c r="B47" s="25" t="s">
        <v>189</v>
      </c>
      <c r="C47" s="25" t="s">
        <v>190</v>
      </c>
      <c r="D47" s="52" t="n">
        <v>239</v>
      </c>
      <c r="E47" s="52" t="n">
        <v>298</v>
      </c>
      <c r="F47" s="63" t="n">
        <f aca="false">IF(E47="","",D47-E47)</f>
        <v>-59</v>
      </c>
      <c r="G47" s="52" t="n">
        <v>685</v>
      </c>
      <c r="H47" s="52" t="n">
        <v>649</v>
      </c>
      <c r="I47" s="63" t="n">
        <f aca="false">IF(H47="","",G47-H47)</f>
        <v>36</v>
      </c>
      <c r="J47" s="53" t="n">
        <f aca="false">IF(OR(D47="",D47+G47=0),"",D47/(D47+G47))</f>
        <v>0.258658008658009</v>
      </c>
      <c r="K47" s="53" t="n">
        <f aca="false">IF(E47="","",E47/(E47+H47))</f>
        <v>0.31467793030623</v>
      </c>
      <c r="L47" s="64" t="n">
        <f aca="false">IF(OR(K47="",J47=""),"",(J47-K47)*100)</f>
        <v>-5.60199216482216</v>
      </c>
      <c r="M47" s="28" t="n">
        <v>2.40127504711013</v>
      </c>
      <c r="N47" s="28" t="n">
        <v>0.395142145636406</v>
      </c>
      <c r="O47" s="28" t="n">
        <f aca="false">SQRT(M47^2+N47^2)</f>
        <v>2.43356922382165</v>
      </c>
      <c r="P47" s="53" t="n">
        <f aca="false">IF(J47="","",MAX(0,J47-1.96*O47/100))</f>
        <v>0.210960051871104</v>
      </c>
      <c r="Q47" s="53" t="n">
        <f aca="false">IF(J47="","",MIN(1,J47+1.96*O47/100))</f>
        <v>0.306355965444913</v>
      </c>
      <c r="R47" s="25" t="str">
        <f aca="false">IF(L47="","",IF(ABS(L47)&lt;=O47,"Yes","No"))</f>
        <v>No</v>
      </c>
      <c r="S47" s="25" t="str">
        <f aca="false">IF(L47="","",IF(ABS(L47)&lt;=1.96*O47,"Yes","No"))</f>
        <v>No</v>
      </c>
      <c r="T47" s="52" t="n">
        <f aca="false">IF(D47="","",ROUND(SQRT(((D47+G47)*O47/100)^2+(J47*(D47+G47)*0.10931)^2),0))</f>
        <v>34</v>
      </c>
      <c r="U47" s="25"/>
    </row>
    <row r="48" customFormat="false" ht="15" hidden="false" customHeight="false" outlineLevel="0" collapsed="false">
      <c r="A48" s="25" t="s">
        <v>126</v>
      </c>
      <c r="B48" s="25" t="s">
        <v>189</v>
      </c>
      <c r="C48" s="25" t="s">
        <v>191</v>
      </c>
      <c r="D48" s="52" t="n">
        <v>224</v>
      </c>
      <c r="E48" s="52" t="n">
        <v>253</v>
      </c>
      <c r="F48" s="63" t="n">
        <f aca="false">IF(E48="","",D48-E48)</f>
        <v>-29</v>
      </c>
      <c r="G48" s="52" t="n">
        <v>677</v>
      </c>
      <c r="H48" s="52" t="n">
        <v>710</v>
      </c>
      <c r="I48" s="63" t="n">
        <f aca="false">IF(H48="","",G48-H48)</f>
        <v>-33</v>
      </c>
      <c r="J48" s="53" t="n">
        <f aca="false">IF(OR(D48="",D48+G48=0),"",D48/(D48+G48))</f>
        <v>0.248612652608213</v>
      </c>
      <c r="K48" s="53" t="n">
        <f aca="false">IF(E48="","",E48/(E48+H48))</f>
        <v>0.262720664589823</v>
      </c>
      <c r="L48" s="64" t="n">
        <f aca="false">IF(OR(K48="",J48=""),"",(J48-K48)*100)</f>
        <v>-1.41080119816104</v>
      </c>
      <c r="M48" s="28" t="n">
        <v>2.40127504711013</v>
      </c>
      <c r="N48" s="28" t="n">
        <v>0.395142145636406</v>
      </c>
      <c r="O48" s="28" t="n">
        <f aca="false">SQRT(M48^2+N48^2)</f>
        <v>2.43356922382165</v>
      </c>
      <c r="P48" s="53" t="n">
        <f aca="false">IF(J48="","",MAX(0,J48-1.96*O48/100))</f>
        <v>0.200914695821309</v>
      </c>
      <c r="Q48" s="53" t="n">
        <f aca="false">IF(J48="","",MIN(1,J48+1.96*O48/100))</f>
        <v>0.296310609395117</v>
      </c>
      <c r="R48" s="25" t="str">
        <f aca="false">IF(L48="","",IF(ABS(L48)&lt;=O48,"Yes","No"))</f>
        <v>Yes</v>
      </c>
      <c r="S48" s="25" t="str">
        <f aca="false">IF(L48="","",IF(ABS(L48)&lt;=1.96*O48,"Yes","No"))</f>
        <v>Yes</v>
      </c>
      <c r="T48" s="52" t="n">
        <f aca="false">IF(D48="","",ROUND(SQRT(((D48+G48)*O48/100)^2+(J48*(D48+G48)*0.10931)^2),0))</f>
        <v>33</v>
      </c>
      <c r="U48" s="25"/>
    </row>
    <row r="49" customFormat="false" ht="15" hidden="false" customHeight="false" outlineLevel="0" collapsed="false">
      <c r="A49" s="25" t="s">
        <v>126</v>
      </c>
      <c r="B49" s="25" t="s">
        <v>189</v>
      </c>
      <c r="C49" s="25" t="s">
        <v>192</v>
      </c>
      <c r="D49" s="52" t="n">
        <v>208</v>
      </c>
      <c r="E49" s="52" t="n">
        <v>238</v>
      </c>
      <c r="F49" s="63" t="n">
        <f aca="false">IF(E49="","",D49-E49)</f>
        <v>-30</v>
      </c>
      <c r="G49" s="52" t="n">
        <v>610</v>
      </c>
      <c r="H49" s="52" t="n">
        <v>586</v>
      </c>
      <c r="I49" s="63" t="n">
        <f aca="false">IF(H49="","",G49-H49)</f>
        <v>24</v>
      </c>
      <c r="J49" s="53" t="n">
        <f aca="false">IF(OR(D49="",D49+G49=0),"",D49/(D49+G49))</f>
        <v>0.254278728606357</v>
      </c>
      <c r="K49" s="53" t="n">
        <f aca="false">IF(E49="","",E49/(E49+H49))</f>
        <v>0.288834951456311</v>
      </c>
      <c r="L49" s="64" t="n">
        <f aca="false">IF(OR(K49="",J49=""),"",(J49-K49)*100)</f>
        <v>-3.45562228499537</v>
      </c>
      <c r="M49" s="28" t="n">
        <v>2.40127504711013</v>
      </c>
      <c r="N49" s="28" t="n">
        <v>0.395142145636406</v>
      </c>
      <c r="O49" s="28" t="n">
        <f aca="false">SQRT(M49^2+N49^2)</f>
        <v>2.43356922382165</v>
      </c>
      <c r="P49" s="53" t="n">
        <f aca="false">IF(J49="","",MAX(0,J49-1.96*O49/100))</f>
        <v>0.206580771819453</v>
      </c>
      <c r="Q49" s="53" t="n">
        <f aca="false">IF(J49="","",MIN(1,J49+1.96*O49/100))</f>
        <v>0.301976685393261</v>
      </c>
      <c r="R49" s="25" t="str">
        <f aca="false">IF(L49="","",IF(ABS(L49)&lt;=O49,"Yes","No"))</f>
        <v>No</v>
      </c>
      <c r="S49" s="25" t="str">
        <f aca="false">IF(L49="","",IF(ABS(L49)&lt;=1.96*O49,"Yes","No"))</f>
        <v>Yes</v>
      </c>
      <c r="T49" s="52" t="n">
        <f aca="false">IF(D49="","",ROUND(SQRT(((D49+G49)*O49/100)^2+(J49*(D49+G49)*0.10931)^2),0))</f>
        <v>30</v>
      </c>
      <c r="U49" s="25"/>
    </row>
    <row r="50" customFormat="false" ht="15" hidden="false" customHeight="false" outlineLevel="0" collapsed="false">
      <c r="A50" s="25" t="s">
        <v>126</v>
      </c>
      <c r="B50" s="25" t="s">
        <v>193</v>
      </c>
      <c r="C50" s="25" t="s">
        <v>194</v>
      </c>
      <c r="D50" s="52" t="n">
        <v>193</v>
      </c>
      <c r="E50" s="52" t="n">
        <v>238</v>
      </c>
      <c r="F50" s="63" t="n">
        <f aca="false">IF(E50="","",D50-E50)</f>
        <v>-45</v>
      </c>
      <c r="G50" s="52" t="n">
        <v>600</v>
      </c>
      <c r="H50" s="52" t="n">
        <v>541</v>
      </c>
      <c r="I50" s="63" t="n">
        <f aca="false">IF(H50="","",G50-H50)</f>
        <v>59</v>
      </c>
      <c r="J50" s="53" t="n">
        <f aca="false">IF(OR(D50="",D50+G50=0),"",D50/(D50+G50))</f>
        <v>0.243379571248424</v>
      </c>
      <c r="K50" s="53" t="n">
        <f aca="false">IF(E50="","",E50/(E50+H50))</f>
        <v>0.305519897304236</v>
      </c>
      <c r="L50" s="64" t="n">
        <f aca="false">IF(OR(K50="",J50=""),"",(J50-K50)*100)</f>
        <v>-6.21403260558125</v>
      </c>
      <c r="M50" s="28" t="n">
        <v>2.40127504711013</v>
      </c>
      <c r="N50" s="28" t="n">
        <v>0.395142145636406</v>
      </c>
      <c r="O50" s="28" t="n">
        <f aca="false">SQRT(M50^2+N50^2)</f>
        <v>2.43356922382165</v>
      </c>
      <c r="P50" s="53" t="n">
        <f aca="false">IF(J50="","",MAX(0,J50-1.96*O50/100))</f>
        <v>0.195681614461519</v>
      </c>
      <c r="Q50" s="53" t="n">
        <f aca="false">IF(J50="","",MIN(1,J50+1.96*O50/100))</f>
        <v>0.291077528035328</v>
      </c>
      <c r="R50" s="25" t="str">
        <f aca="false">IF(L50="","",IF(ABS(L50)&lt;=O50,"Yes","No"))</f>
        <v>No</v>
      </c>
      <c r="S50" s="25" t="str">
        <f aca="false">IF(L50="","",IF(ABS(L50)&lt;=1.96*O50,"Yes","No"))</f>
        <v>No</v>
      </c>
      <c r="T50" s="52" t="n">
        <f aca="false">IF(D50="","",ROUND(SQRT(((D50+G50)*O50/100)^2+(J50*(D50+G50)*0.10931)^2),0))</f>
        <v>29</v>
      </c>
      <c r="U50" s="25"/>
    </row>
    <row r="51" customFormat="false" ht="15" hidden="false" customHeight="false" outlineLevel="0" collapsed="false">
      <c r="A51" s="25" t="s">
        <v>126</v>
      </c>
      <c r="B51" s="25" t="s">
        <v>193</v>
      </c>
      <c r="C51" s="25" t="s">
        <v>195</v>
      </c>
      <c r="D51" s="52" t="n">
        <v>97</v>
      </c>
      <c r="E51" s="52" t="n">
        <v>103</v>
      </c>
      <c r="F51" s="63" t="n">
        <f aca="false">IF(E51="","",D51-E51)</f>
        <v>-6</v>
      </c>
      <c r="G51" s="52" t="n">
        <v>299</v>
      </c>
      <c r="H51" s="52" t="n">
        <v>292</v>
      </c>
      <c r="I51" s="63" t="n">
        <f aca="false">IF(H51="","",G51-H51)</f>
        <v>7</v>
      </c>
      <c r="J51" s="53" t="n">
        <f aca="false">IF(OR(D51="",D51+G51=0),"",D51/(D51+G51))</f>
        <v>0.244949494949495</v>
      </c>
      <c r="K51" s="53" t="n">
        <f aca="false">IF(E51="","",E51/(E51+H51))</f>
        <v>0.260759493670886</v>
      </c>
      <c r="L51" s="64" t="n">
        <f aca="false">IF(OR(K51="",J51=""),"",(J51-K51)*100)</f>
        <v>-1.58099987213911</v>
      </c>
      <c r="M51" s="28" t="n">
        <v>3.59869162464536</v>
      </c>
      <c r="N51" s="28" t="n">
        <v>0.395142145636406</v>
      </c>
      <c r="O51" s="28" t="n">
        <f aca="false">SQRT(M51^2+N51^2)</f>
        <v>3.62032025165603</v>
      </c>
      <c r="P51" s="53" t="n">
        <f aca="false">IF(J51="","",MAX(0,J51-1.96*O51/100))</f>
        <v>0.173991218017037</v>
      </c>
      <c r="Q51" s="53" t="n">
        <f aca="false">IF(J51="","",MIN(1,J51+1.96*O51/100))</f>
        <v>0.315907771881953</v>
      </c>
      <c r="R51" s="25" t="str">
        <f aca="false">IF(L51="","",IF(ABS(L51)&lt;=O51,"Yes","No"))</f>
        <v>Yes</v>
      </c>
      <c r="S51" s="25" t="str">
        <f aca="false">IF(L51="","",IF(ABS(L51)&lt;=1.96*O51,"Yes","No"))</f>
        <v>Yes</v>
      </c>
      <c r="T51" s="52" t="n">
        <f aca="false">IF(D51="","",ROUND(SQRT(((D51+G51)*O51/100)^2+(J51*(D51+G51)*0.1901)^2),0))</f>
        <v>23</v>
      </c>
      <c r="U51" s="25"/>
    </row>
    <row r="52" customFormat="false" ht="15" hidden="false" customHeight="false" outlineLevel="0" collapsed="false">
      <c r="A52" s="25" t="s">
        <v>126</v>
      </c>
      <c r="B52" s="25" t="s">
        <v>196</v>
      </c>
      <c r="C52" s="25" t="s">
        <v>196</v>
      </c>
      <c r="D52" s="52" t="n">
        <v>56</v>
      </c>
      <c r="E52" s="52" t="n">
        <v>53</v>
      </c>
      <c r="F52" s="63" t="n">
        <f aca="false">IF(E52="","",D52-E52)</f>
        <v>3</v>
      </c>
      <c r="G52" s="52" t="n">
        <v>87</v>
      </c>
      <c r="H52" s="52" t="n">
        <v>99</v>
      </c>
      <c r="I52" s="63" t="n">
        <f aca="false">IF(H52="","",G52-H52)</f>
        <v>-12</v>
      </c>
      <c r="J52" s="53" t="n">
        <f aca="false">IF(OR(D52="",D52+G52=0),"",D52/(D52+G52))</f>
        <v>0.391608391608392</v>
      </c>
      <c r="K52" s="53" t="n">
        <f aca="false">IF(E52="","",E52/(E52+H52))</f>
        <v>0.348684210526316</v>
      </c>
      <c r="L52" s="64" t="n">
        <f aca="false">IF(OR(K52="",J52=""),"",(J52-K52)*100)</f>
        <v>4.29241810820759</v>
      </c>
      <c r="M52" s="28" t="n">
        <v>3.59869162464536</v>
      </c>
      <c r="N52" s="28" t="n">
        <v>0.395142145636406</v>
      </c>
      <c r="O52" s="28" t="n">
        <f aca="false">SQRT(M52^2+N52^2)</f>
        <v>3.62032025165603</v>
      </c>
      <c r="P52" s="53" t="n">
        <f aca="false">IF(J52="","",MAX(0,J52-1.96*O52/100))</f>
        <v>0.320650114675933</v>
      </c>
      <c r="Q52" s="53" t="n">
        <f aca="false">IF(J52="","",MIN(1,J52+1.96*O52/100))</f>
        <v>0.46256666854085</v>
      </c>
      <c r="R52" s="25" t="str">
        <f aca="false">IF(L52="","",IF(ABS(L52)&lt;=O52,"Yes","No"))</f>
        <v>No</v>
      </c>
      <c r="S52" s="25" t="str">
        <f aca="false">IF(L52="","",IF(ABS(L52)&lt;=1.96*O52,"Yes","No"))</f>
        <v>Yes</v>
      </c>
      <c r="T52" s="52" t="n">
        <f aca="false">IF(D52="","",ROUND(SQRT(((D52+G52)*O52/100)^2+(J52*(D52+G52)*0.1901)^2),0))</f>
        <v>12</v>
      </c>
      <c r="U52" s="25"/>
    </row>
    <row r="53" customFormat="false" ht="15" hidden="false" customHeight="false" outlineLevel="0" collapsed="false">
      <c r="A53" s="25" t="s">
        <v>197</v>
      </c>
      <c r="B53" s="25" t="s">
        <v>198</v>
      </c>
      <c r="C53" s="25" t="s">
        <v>198</v>
      </c>
      <c r="D53" s="52" t="n">
        <v>665</v>
      </c>
      <c r="E53" s="52" t="n">
        <v>601</v>
      </c>
      <c r="F53" s="63" t="n">
        <f aca="false">IF(E53="","",D53-E53)</f>
        <v>64</v>
      </c>
      <c r="G53" s="52" t="n">
        <v>754</v>
      </c>
      <c r="H53" s="52" t="n">
        <v>766</v>
      </c>
      <c r="I53" s="63" t="n">
        <f aca="false">IF(H53="","",G53-H53)</f>
        <v>-12</v>
      </c>
      <c r="J53" s="53" t="n">
        <f aca="false">IF(OR(D53="",D53+G53=0),"",D53/(D53+G53))</f>
        <v>0.468639887244538</v>
      </c>
      <c r="K53" s="53" t="n">
        <f aca="false">IF(E53="","",E53/(E53+H53))</f>
        <v>0.439648866130212</v>
      </c>
      <c r="L53" s="64" t="n">
        <f aca="false">IF(OR(K53="",J53=""),"",(J53-K53)*100)</f>
        <v>2.89910211143263</v>
      </c>
      <c r="M53" s="28" t="n">
        <v>2.1665403898083</v>
      </c>
      <c r="N53" s="28" t="n">
        <v>0.395142145636406</v>
      </c>
      <c r="O53" s="28" t="n">
        <f aca="false">SQRT(M53^2+N53^2)</f>
        <v>2.2022794046008</v>
      </c>
      <c r="P53" s="53" t="n">
        <f aca="false">IF(J53="","",MAX(0,J53-1.96*O53/100))</f>
        <v>0.425475210914363</v>
      </c>
      <c r="Q53" s="53" t="n">
        <f aca="false">IF(J53="","",MIN(1,J53+1.96*O53/100))</f>
        <v>0.511804563574714</v>
      </c>
      <c r="R53" s="25" t="str">
        <f aca="false">IF(L53="","",IF(ABS(L53)&lt;=O53,"Yes","No"))</f>
        <v>No</v>
      </c>
      <c r="S53" s="25" t="str">
        <f aca="false">IF(L53="","",IF(ABS(L53)&lt;=1.96*O53,"Yes","No"))</f>
        <v>Yes</v>
      </c>
      <c r="T53" s="52" t="n">
        <f aca="false">IF(D53="","",ROUND(SQRT(((D53+G53)*O53/100)^2+(J53*(D53+G53)*0.08889)^2),0))</f>
        <v>67</v>
      </c>
      <c r="U53" s="25"/>
    </row>
    <row r="54" customFormat="false" ht="15" hidden="false" customHeight="false" outlineLevel="0" collapsed="false">
      <c r="A54" s="25" t="s">
        <v>197</v>
      </c>
      <c r="B54" s="25" t="s">
        <v>199</v>
      </c>
      <c r="C54" s="25" t="s">
        <v>200</v>
      </c>
      <c r="D54" s="52" t="n">
        <v>552</v>
      </c>
      <c r="E54" s="52" t="n">
        <v>437</v>
      </c>
      <c r="F54" s="63" t="n">
        <f aca="false">IF(E54="","",D54-E54)</f>
        <v>115</v>
      </c>
      <c r="G54" s="52" t="n">
        <v>162</v>
      </c>
      <c r="H54" s="52" t="n">
        <v>173</v>
      </c>
      <c r="I54" s="63" t="n">
        <f aca="false">IF(H54="","",G54-H54)</f>
        <v>-11</v>
      </c>
      <c r="J54" s="53" t="n">
        <f aca="false">IF(OR(D54="",D54+G54=0),"",D54/(D54+G54))</f>
        <v>0.773109243697479</v>
      </c>
      <c r="K54" s="53" t="n">
        <f aca="false">IF(E54="","",E54/(E54+H54))</f>
        <v>0.716393442622951</v>
      </c>
      <c r="L54" s="64" t="n">
        <f aca="false">IF(OR(K54="",J54=""),"",(J54-K54)*100)</f>
        <v>5.67158010745282</v>
      </c>
      <c r="M54" s="28" t="n">
        <v>3.59869162464536</v>
      </c>
      <c r="N54" s="28" t="n">
        <v>0.395142145636406</v>
      </c>
      <c r="O54" s="28" t="n">
        <f aca="false">SQRT(M54^2+N54^2)</f>
        <v>3.62032025165603</v>
      </c>
      <c r="P54" s="53" t="n">
        <f aca="false">IF(J54="","",MAX(0,J54-1.96*O54/100))</f>
        <v>0.702150966765021</v>
      </c>
      <c r="Q54" s="53" t="n">
        <f aca="false">IF(J54="","",MIN(1,J54+1.96*O54/100))</f>
        <v>0.844067520629937</v>
      </c>
      <c r="R54" s="25" t="str">
        <f aca="false">IF(L54="","",IF(ABS(L54)&lt;=O54,"Yes","No"))</f>
        <v>No</v>
      </c>
      <c r="S54" s="25" t="str">
        <f aca="false">IF(L54="","",IF(ABS(L54)&lt;=1.96*O54,"Yes","No"))</f>
        <v>Yes</v>
      </c>
      <c r="T54" s="52" t="n">
        <f aca="false">IF(D54="","",ROUND(SQRT(((D54+G54)*O54/100)^2+(J54*(D54+G54)*0.1901)^2),0))</f>
        <v>108</v>
      </c>
      <c r="U54" s="25"/>
    </row>
    <row r="55" customFormat="false" ht="15" hidden="false" customHeight="false" outlineLevel="0" collapsed="false">
      <c r="A55" s="25" t="s">
        <v>197</v>
      </c>
      <c r="B55" s="25" t="s">
        <v>199</v>
      </c>
      <c r="C55" s="25" t="s">
        <v>201</v>
      </c>
      <c r="D55" s="52" t="n">
        <v>353</v>
      </c>
      <c r="E55" s="52" t="n">
        <v>328</v>
      </c>
      <c r="F55" s="63" t="n">
        <f aca="false">IF(E55="","",D55-E55)</f>
        <v>25</v>
      </c>
      <c r="G55" s="52" t="n">
        <v>123</v>
      </c>
      <c r="H55" s="52" t="n">
        <v>173</v>
      </c>
      <c r="I55" s="63" t="n">
        <f aca="false">IF(H55="","",G55-H55)</f>
        <v>-50</v>
      </c>
      <c r="J55" s="53" t="n">
        <f aca="false">IF(OR(D55="",D55+G55=0),"",D55/(D55+G55))</f>
        <v>0.741596638655462</v>
      </c>
      <c r="K55" s="53" t="n">
        <f aca="false">IF(E55="","",E55/(E55+H55))</f>
        <v>0.654690618762475</v>
      </c>
      <c r="L55" s="64" t="n">
        <f aca="false">IF(OR(K55="",J55=""),"",(J55-K55)*100)</f>
        <v>8.69060198929872</v>
      </c>
      <c r="M55" s="28" t="n">
        <v>3.59869162464536</v>
      </c>
      <c r="N55" s="28" t="n">
        <v>0.395142145636406</v>
      </c>
      <c r="O55" s="28" t="n">
        <f aca="false">SQRT(M55^2+N55^2)</f>
        <v>3.62032025165603</v>
      </c>
      <c r="P55" s="53" t="n">
        <f aca="false">IF(J55="","",MAX(0,J55-1.96*O55/100))</f>
        <v>0.670638361723004</v>
      </c>
      <c r="Q55" s="53" t="n">
        <f aca="false">IF(J55="","",MIN(1,J55+1.96*O55/100))</f>
        <v>0.81255491558792</v>
      </c>
      <c r="R55" s="25" t="str">
        <f aca="false">IF(L55="","",IF(ABS(L55)&lt;=O55,"Yes","No"))</f>
        <v>No</v>
      </c>
      <c r="S55" s="25" t="str">
        <f aca="false">IF(L55="","",IF(ABS(L55)&lt;=1.96*O55,"Yes","No"))</f>
        <v>No</v>
      </c>
      <c r="T55" s="52" t="n">
        <f aca="false">IF(D55="","",ROUND(SQRT(((D55+G55)*O55/100)^2+(J55*(D55+G55)*0.1901)^2),0))</f>
        <v>69</v>
      </c>
      <c r="U55" s="25"/>
    </row>
    <row r="56" customFormat="false" ht="15" hidden="false" customHeight="false" outlineLevel="0" collapsed="false">
      <c r="A56" s="25" t="s">
        <v>197</v>
      </c>
      <c r="B56" s="25" t="s">
        <v>199</v>
      </c>
      <c r="C56" s="25" t="s">
        <v>202</v>
      </c>
      <c r="D56" s="52" t="n">
        <v>397</v>
      </c>
      <c r="E56" s="52" t="n">
        <v>347</v>
      </c>
      <c r="F56" s="63" t="n">
        <f aca="false">IF(E56="","",D56-E56)</f>
        <v>50</v>
      </c>
      <c r="G56" s="52" t="n">
        <v>116</v>
      </c>
      <c r="H56" s="52" t="n">
        <v>147</v>
      </c>
      <c r="I56" s="63" t="n">
        <f aca="false">IF(H56="","",G56-H56)</f>
        <v>-31</v>
      </c>
      <c r="J56" s="53" t="n">
        <f aca="false">IF(OR(D56="",D56+G56=0),"",D56/(D56+G56))</f>
        <v>0.773879142300195</v>
      </c>
      <c r="K56" s="53" t="n">
        <f aca="false">IF(E56="","",E56/(E56+H56))</f>
        <v>0.702429149797571</v>
      </c>
      <c r="L56" s="64" t="n">
        <f aca="false">IF(OR(K56="",J56=""),"",(J56-K56)*100)</f>
        <v>7.14499925026241</v>
      </c>
      <c r="M56" s="28" t="n">
        <v>3.59869162464536</v>
      </c>
      <c r="N56" s="28" t="n">
        <v>0.395142145636406</v>
      </c>
      <c r="O56" s="28" t="n">
        <f aca="false">SQRT(M56^2+N56^2)</f>
        <v>3.62032025165603</v>
      </c>
      <c r="P56" s="53" t="n">
        <f aca="false">IF(J56="","",MAX(0,J56-1.96*O56/100))</f>
        <v>0.702920865367737</v>
      </c>
      <c r="Q56" s="53" t="n">
        <f aca="false">IF(J56="","",MIN(1,J56+1.96*O56/100))</f>
        <v>0.844837419232653</v>
      </c>
      <c r="R56" s="25" t="str">
        <f aca="false">IF(L56="","",IF(ABS(L56)&lt;=O56,"Yes","No"))</f>
        <v>No</v>
      </c>
      <c r="S56" s="25" t="str">
        <f aca="false">IF(L56="","",IF(ABS(L56)&lt;=1.96*O56,"Yes","No"))</f>
        <v>No</v>
      </c>
      <c r="T56" s="52" t="n">
        <f aca="false">IF(D56="","",ROUND(SQRT(((D56+G56)*O56/100)^2+(J56*(D56+G56)*0.1901)^2),0))</f>
        <v>78</v>
      </c>
      <c r="U56" s="25"/>
    </row>
    <row r="57" customFormat="false" ht="15" hidden="false" customHeight="false" outlineLevel="0" collapsed="false">
      <c r="A57" s="25" t="s">
        <v>197</v>
      </c>
      <c r="B57" s="25" t="s">
        <v>199</v>
      </c>
      <c r="C57" s="25" t="s">
        <v>203</v>
      </c>
      <c r="D57" s="52" t="n">
        <v>352</v>
      </c>
      <c r="E57" s="52" t="n">
        <v>314</v>
      </c>
      <c r="F57" s="63" t="n">
        <f aca="false">IF(E57="","",D57-E57)</f>
        <v>38</v>
      </c>
      <c r="G57" s="52" t="n">
        <v>122</v>
      </c>
      <c r="H57" s="52" t="n">
        <v>149</v>
      </c>
      <c r="I57" s="63" t="n">
        <f aca="false">IF(H57="","",G57-H57)</f>
        <v>-27</v>
      </c>
      <c r="J57" s="53" t="n">
        <f aca="false">IF(OR(D57="",D57+G57=0),"",D57/(D57+G57))</f>
        <v>0.742616033755274</v>
      </c>
      <c r="K57" s="53" t="n">
        <f aca="false">IF(E57="","",E57/(E57+H57))</f>
        <v>0.678185745140389</v>
      </c>
      <c r="L57" s="64" t="n">
        <f aca="false">IF(OR(K57="",J57=""),"",(J57-K57)*100)</f>
        <v>6.44302886148855</v>
      </c>
      <c r="M57" s="28" t="n">
        <v>3.59869162464536</v>
      </c>
      <c r="N57" s="28" t="n">
        <v>0.395142145636406</v>
      </c>
      <c r="O57" s="28" t="n">
        <f aca="false">SQRT(M57^2+N57^2)</f>
        <v>3.62032025165603</v>
      </c>
      <c r="P57" s="53" t="n">
        <f aca="false">IF(J57="","",MAX(0,J57-1.96*O57/100))</f>
        <v>0.671657756822816</v>
      </c>
      <c r="Q57" s="53" t="n">
        <f aca="false">IF(J57="","",MIN(1,J57+1.96*O57/100))</f>
        <v>0.813574310687732</v>
      </c>
      <c r="R57" s="25" t="str">
        <f aca="false">IF(L57="","",IF(ABS(L57)&lt;=O57,"Yes","No"))</f>
        <v>No</v>
      </c>
      <c r="S57" s="25" t="str">
        <f aca="false">IF(L57="","",IF(ABS(L57)&lt;=1.96*O57,"Yes","No"))</f>
        <v>Yes</v>
      </c>
      <c r="T57" s="52" t="n">
        <f aca="false">IF(D57="","",ROUND(SQRT(((D57+G57)*O57/100)^2+(J57*(D57+G57)*0.1901)^2),0))</f>
        <v>69</v>
      </c>
      <c r="U57" s="25"/>
    </row>
    <row r="58" customFormat="false" ht="15" hidden="false" customHeight="false" outlineLevel="0" collapsed="false">
      <c r="A58" s="25" t="s">
        <v>197</v>
      </c>
      <c r="B58" s="25" t="s">
        <v>199</v>
      </c>
      <c r="C58" s="25" t="s">
        <v>204</v>
      </c>
      <c r="D58" s="52" t="n">
        <v>400</v>
      </c>
      <c r="E58" s="52" t="n">
        <v>364</v>
      </c>
      <c r="F58" s="63" t="n">
        <f aca="false">IF(E58="","",D58-E58)</f>
        <v>36</v>
      </c>
      <c r="G58" s="52" t="n">
        <v>120</v>
      </c>
      <c r="H58" s="52" t="n">
        <v>137</v>
      </c>
      <c r="I58" s="63" t="n">
        <f aca="false">IF(H58="","",G58-H58)</f>
        <v>-17</v>
      </c>
      <c r="J58" s="53" t="n">
        <f aca="false">IF(OR(D58="",D58+G58=0),"",D58/(D58+G58))</f>
        <v>0.769230769230769</v>
      </c>
      <c r="K58" s="53" t="n">
        <f aca="false">IF(E58="","",E58/(E58+H58))</f>
        <v>0.726546906187625</v>
      </c>
      <c r="L58" s="64" t="n">
        <f aca="false">IF(OR(K58="",J58=""),"",(J58-K58)*100)</f>
        <v>4.26838630431445</v>
      </c>
      <c r="M58" s="28" t="n">
        <v>3.59869162464536</v>
      </c>
      <c r="N58" s="28" t="n">
        <v>0.395142145636406</v>
      </c>
      <c r="O58" s="28" t="n">
        <f aca="false">SQRT(M58^2+N58^2)</f>
        <v>3.62032025165603</v>
      </c>
      <c r="P58" s="53" t="n">
        <f aca="false">IF(J58="","",MAX(0,J58-1.96*O58/100))</f>
        <v>0.698272492298311</v>
      </c>
      <c r="Q58" s="53" t="n">
        <f aca="false">IF(J58="","",MIN(1,J58+1.96*O58/100))</f>
        <v>0.840189046163227</v>
      </c>
      <c r="R58" s="25" t="str">
        <f aca="false">IF(L58="","",IF(ABS(L58)&lt;=O58,"Yes","No"))</f>
        <v>No</v>
      </c>
      <c r="S58" s="25" t="str">
        <f aca="false">IF(L58="","",IF(ABS(L58)&lt;=1.96*O58,"Yes","No"))</f>
        <v>Yes</v>
      </c>
      <c r="T58" s="52" t="n">
        <f aca="false">IF(D58="","",ROUND(SQRT(((D58+G58)*O58/100)^2+(J58*(D58+G58)*0.1901)^2),0))</f>
        <v>78</v>
      </c>
      <c r="U58" s="25"/>
    </row>
    <row r="59" customFormat="false" ht="15" hidden="false" customHeight="false" outlineLevel="0" collapsed="false">
      <c r="A59" s="25" t="s">
        <v>197</v>
      </c>
      <c r="B59" s="25" t="s">
        <v>199</v>
      </c>
      <c r="C59" s="25" t="s">
        <v>205</v>
      </c>
      <c r="D59" s="52" t="n">
        <v>460</v>
      </c>
      <c r="E59" s="52" t="n">
        <v>399</v>
      </c>
      <c r="F59" s="63" t="n">
        <f aca="false">IF(E59="","",D59-E59)</f>
        <v>61</v>
      </c>
      <c r="G59" s="52" t="n">
        <v>177</v>
      </c>
      <c r="H59" s="52" t="n">
        <v>171</v>
      </c>
      <c r="I59" s="63" t="n">
        <f aca="false">IF(H59="","",G59-H59)</f>
        <v>6</v>
      </c>
      <c r="J59" s="53" t="n">
        <f aca="false">IF(OR(D59="",D59+G59=0),"",D59/(D59+G59))</f>
        <v>0.722135007849294</v>
      </c>
      <c r="K59" s="53" t="n">
        <f aca="false">IF(E59="","",E59/(E59+H59))</f>
        <v>0.7</v>
      </c>
      <c r="L59" s="64" t="n">
        <f aca="false">IF(OR(K59="",J59=""),"",(J59-K59)*100)</f>
        <v>2.21350078492936</v>
      </c>
      <c r="M59" s="28" t="n">
        <v>3.59869162464536</v>
      </c>
      <c r="N59" s="28" t="n">
        <v>0.395142145636406</v>
      </c>
      <c r="O59" s="28" t="n">
        <f aca="false">SQRT(M59^2+N59^2)</f>
        <v>3.62032025165603</v>
      </c>
      <c r="P59" s="53" t="n">
        <f aca="false">IF(J59="","",MAX(0,J59-1.96*O59/100))</f>
        <v>0.651176730916835</v>
      </c>
      <c r="Q59" s="53" t="n">
        <f aca="false">IF(J59="","",MIN(1,J59+1.96*O59/100))</f>
        <v>0.793093284781752</v>
      </c>
      <c r="R59" s="25" t="str">
        <f aca="false">IF(L59="","",IF(ABS(L59)&lt;=O59,"Yes","No"))</f>
        <v>Yes</v>
      </c>
      <c r="S59" s="25" t="str">
        <f aca="false">IF(L59="","",IF(ABS(L59)&lt;=1.96*O59,"Yes","No"))</f>
        <v>Yes</v>
      </c>
      <c r="T59" s="52" t="n">
        <f aca="false">IF(D59="","",ROUND(SQRT(((D59+G59)*O59/100)^2+(J59*(D59+G59)*0.1901)^2),0))</f>
        <v>90</v>
      </c>
      <c r="U59" s="25"/>
    </row>
    <row r="60" customFormat="false" ht="15" hidden="false" customHeight="false" outlineLevel="0" collapsed="false">
      <c r="A60" s="25" t="s">
        <v>197</v>
      </c>
      <c r="B60" s="25" t="s">
        <v>199</v>
      </c>
      <c r="C60" s="25" t="s">
        <v>206</v>
      </c>
      <c r="D60" s="52" t="n">
        <v>995</v>
      </c>
      <c r="E60" s="52" t="n">
        <v>1034</v>
      </c>
      <c r="F60" s="63" t="n">
        <f aca="false">IF(E60="","",D60-E60)</f>
        <v>-39</v>
      </c>
      <c r="G60" s="52" t="n">
        <v>278</v>
      </c>
      <c r="H60" s="52" t="n">
        <v>285</v>
      </c>
      <c r="I60" s="63" t="n">
        <f aca="false">IF(H60="","",G60-H60)</f>
        <v>-7</v>
      </c>
      <c r="J60" s="53" t="n">
        <f aca="false">IF(OR(D60="",D60+G60=0),"",D60/(D60+G60))</f>
        <v>0.781618224666143</v>
      </c>
      <c r="K60" s="53" t="n">
        <f aca="false">IF(E60="","",E60/(E60+H60))</f>
        <v>0.783927217589083</v>
      </c>
      <c r="L60" s="64" t="n">
        <f aca="false">IF(OR(K60="",J60=""),"",(J60-K60)*100)</f>
        <v>-0.230899292293973</v>
      </c>
      <c r="M60" s="28" t="n">
        <v>2.1665403898083</v>
      </c>
      <c r="N60" s="28" t="n">
        <v>0.395142145636406</v>
      </c>
      <c r="O60" s="28" t="n">
        <f aca="false">SQRT(M60^2+N60^2)</f>
        <v>2.2022794046008</v>
      </c>
      <c r="P60" s="53" t="n">
        <f aca="false">IF(J60="","",MAX(0,J60-1.96*O60/100))</f>
        <v>0.738453548335967</v>
      </c>
      <c r="Q60" s="53" t="n">
        <f aca="false">IF(J60="","",MIN(1,J60+1.96*O60/100))</f>
        <v>0.824782900996319</v>
      </c>
      <c r="R60" s="25" t="str">
        <f aca="false">IF(L60="","",IF(ABS(L60)&lt;=O60,"Yes","No"))</f>
        <v>Yes</v>
      </c>
      <c r="S60" s="25" t="str">
        <f aca="false">IF(L60="","",IF(ABS(L60)&lt;=1.96*O60,"Yes","No"))</f>
        <v>Yes</v>
      </c>
      <c r="T60" s="52" t="n">
        <f aca="false">IF(D60="","",ROUND(SQRT(((D60+G60)*O60/100)^2+(J60*(D60+G60)*0.08889)^2),0))</f>
        <v>93</v>
      </c>
      <c r="U60" s="25"/>
    </row>
    <row r="61" customFormat="false" ht="15" hidden="false" customHeight="false" outlineLevel="0" collapsed="false">
      <c r="A61" s="25" t="s">
        <v>197</v>
      </c>
      <c r="B61" s="25" t="s">
        <v>199</v>
      </c>
      <c r="C61" s="25" t="s">
        <v>207</v>
      </c>
      <c r="D61" s="52" t="n">
        <v>396</v>
      </c>
      <c r="E61" s="52" t="n">
        <v>377</v>
      </c>
      <c r="F61" s="63" t="n">
        <f aca="false">IF(E61="","",D61-E61)</f>
        <v>19</v>
      </c>
      <c r="G61" s="52" t="n">
        <v>209</v>
      </c>
      <c r="H61" s="52" t="n">
        <v>190</v>
      </c>
      <c r="I61" s="63" t="n">
        <f aca="false">IF(H61="","",G61-H61)</f>
        <v>19</v>
      </c>
      <c r="J61" s="53" t="n">
        <f aca="false">IF(OR(D61="",D61+G61=0),"",D61/(D61+G61))</f>
        <v>0.654545454545455</v>
      </c>
      <c r="K61" s="53" t="n">
        <f aca="false">IF(E61="","",E61/(E61+H61))</f>
        <v>0.664902998236332</v>
      </c>
      <c r="L61" s="64" t="n">
        <f aca="false">IF(OR(K61="",J61=""),"",(J61-K61)*100)</f>
        <v>-1.0357543690877</v>
      </c>
      <c r="M61" s="28" t="n">
        <v>3.59869162464536</v>
      </c>
      <c r="N61" s="28" t="n">
        <v>0.395142145636406</v>
      </c>
      <c r="O61" s="28" t="n">
        <f aca="false">SQRT(M61^2+N61^2)</f>
        <v>3.62032025165603</v>
      </c>
      <c r="P61" s="53" t="n">
        <f aca="false">IF(J61="","",MAX(0,J61-1.96*O61/100))</f>
        <v>0.583587177612996</v>
      </c>
      <c r="Q61" s="53" t="n">
        <f aca="false">IF(J61="","",MIN(1,J61+1.96*O61/100))</f>
        <v>0.725503731477913</v>
      </c>
      <c r="R61" s="25" t="str">
        <f aca="false">IF(L61="","",IF(ABS(L61)&lt;=O61,"Yes","No"))</f>
        <v>Yes</v>
      </c>
      <c r="S61" s="25" t="str">
        <f aca="false">IF(L61="","",IF(ABS(L61)&lt;=1.96*O61,"Yes","No"))</f>
        <v>Yes</v>
      </c>
      <c r="T61" s="52" t="n">
        <f aca="false">IF(D61="","",ROUND(SQRT(((D61+G61)*O61/100)^2+(J61*(D61+G61)*0.1901)^2),0))</f>
        <v>78</v>
      </c>
      <c r="U61" s="25"/>
    </row>
    <row r="62" customFormat="false" ht="15" hidden="false" customHeight="false" outlineLevel="0" collapsed="false">
      <c r="A62" s="25" t="s">
        <v>197</v>
      </c>
      <c r="B62" s="25" t="s">
        <v>199</v>
      </c>
      <c r="C62" s="25" t="s">
        <v>208</v>
      </c>
      <c r="D62" s="52" t="n">
        <v>601</v>
      </c>
      <c r="E62" s="52" t="n">
        <v>619</v>
      </c>
      <c r="F62" s="63" t="n">
        <f aca="false">IF(E62="","",D62-E62)</f>
        <v>-18</v>
      </c>
      <c r="G62" s="52" t="n">
        <v>397</v>
      </c>
      <c r="H62" s="52" t="n">
        <v>400</v>
      </c>
      <c r="I62" s="63" t="n">
        <f aca="false">IF(H62="","",G62-H62)</f>
        <v>-3</v>
      </c>
      <c r="J62" s="53" t="n">
        <f aca="false">IF(OR(D62="",D62+G62=0),"",D62/(D62+G62))</f>
        <v>0.602204408817635</v>
      </c>
      <c r="K62" s="53" t="n">
        <f aca="false">IF(E62="","",E62/(E62+H62))</f>
        <v>0.607458292443572</v>
      </c>
      <c r="L62" s="64" t="n">
        <f aca="false">IF(OR(K62="",J62=""),"",(J62-K62)*100)</f>
        <v>-0.525388362593682</v>
      </c>
      <c r="M62" s="28" t="n">
        <v>2.40127504711013</v>
      </c>
      <c r="N62" s="28" t="n">
        <v>0.395142145636406</v>
      </c>
      <c r="O62" s="28" t="n">
        <f aca="false">SQRT(M62^2+N62^2)</f>
        <v>2.43356922382165</v>
      </c>
      <c r="P62" s="53" t="n">
        <f aca="false">IF(J62="","",MAX(0,J62-1.96*O62/100))</f>
        <v>0.554506452030731</v>
      </c>
      <c r="Q62" s="53" t="n">
        <f aca="false">IF(J62="","",MIN(1,J62+1.96*O62/100))</f>
        <v>0.64990236560454</v>
      </c>
      <c r="R62" s="25" t="str">
        <f aca="false">IF(L62="","",IF(ABS(L62)&lt;=O62,"Yes","No"))</f>
        <v>Yes</v>
      </c>
      <c r="S62" s="25" t="str">
        <f aca="false">IF(L62="","",IF(ABS(L62)&lt;=1.96*O62,"Yes","No"))</f>
        <v>Yes</v>
      </c>
      <c r="T62" s="52" t="n">
        <f aca="false">IF(D62="","",ROUND(SQRT(((D62+G62)*O62/100)^2+(J62*(D62+G62)*0.10931)^2),0))</f>
        <v>70</v>
      </c>
      <c r="U62" s="25"/>
    </row>
    <row r="63" customFormat="false" ht="15" hidden="false" customHeight="false" outlineLevel="0" collapsed="false">
      <c r="A63" s="25" t="s">
        <v>197</v>
      </c>
      <c r="B63" s="25" t="s">
        <v>199</v>
      </c>
      <c r="C63" s="25" t="s">
        <v>209</v>
      </c>
      <c r="D63" s="52" t="n">
        <v>433</v>
      </c>
      <c r="E63" s="52" t="n">
        <v>438</v>
      </c>
      <c r="F63" s="63" t="n">
        <f aca="false">IF(E63="","",D63-E63)</f>
        <v>-5</v>
      </c>
      <c r="G63" s="52" t="n">
        <v>283</v>
      </c>
      <c r="H63" s="52" t="n">
        <v>259</v>
      </c>
      <c r="I63" s="63" t="n">
        <f aca="false">IF(H63="","",G63-H63)</f>
        <v>24</v>
      </c>
      <c r="J63" s="53" t="n">
        <f aca="false">IF(OR(D63="",D63+G63=0),"",D63/(D63+G63))</f>
        <v>0.604748603351955</v>
      </c>
      <c r="K63" s="53" t="n">
        <f aca="false">IF(E63="","",E63/(E63+H63))</f>
        <v>0.628407460545194</v>
      </c>
      <c r="L63" s="64" t="n">
        <f aca="false">IF(OR(K63="",J63=""),"",(J63-K63)*100)</f>
        <v>-2.36588571932383</v>
      </c>
      <c r="M63" s="28" t="n">
        <v>3.59869162464536</v>
      </c>
      <c r="N63" s="28" t="n">
        <v>0.395142145636406</v>
      </c>
      <c r="O63" s="28" t="n">
        <f aca="false">SQRT(M63^2+N63^2)</f>
        <v>3.62032025165603</v>
      </c>
      <c r="P63" s="53" t="n">
        <f aca="false">IF(J63="","",MAX(0,J63-1.96*O63/100))</f>
        <v>0.533790326419497</v>
      </c>
      <c r="Q63" s="53" t="n">
        <f aca="false">IF(J63="","",MIN(1,J63+1.96*O63/100))</f>
        <v>0.675706880284414</v>
      </c>
      <c r="R63" s="25" t="str">
        <f aca="false">IF(L63="","",IF(ABS(L63)&lt;=O63,"Yes","No"))</f>
        <v>Yes</v>
      </c>
      <c r="S63" s="25" t="str">
        <f aca="false">IF(L63="","",IF(ABS(L63)&lt;=1.96*O63,"Yes","No"))</f>
        <v>Yes</v>
      </c>
      <c r="T63" s="52" t="n">
        <f aca="false">IF(D63="","",ROUND(SQRT(((D63+G63)*O63/100)^2+(J63*(D63+G63)*0.1901)^2),0))</f>
        <v>86</v>
      </c>
      <c r="U63" s="25"/>
    </row>
    <row r="64" customFormat="false" ht="15" hidden="false" customHeight="false" outlineLevel="0" collapsed="false">
      <c r="A64" s="25" t="s">
        <v>197</v>
      </c>
      <c r="B64" s="25" t="s">
        <v>199</v>
      </c>
      <c r="C64" s="25" t="s">
        <v>210</v>
      </c>
      <c r="D64" s="52" t="n">
        <v>478</v>
      </c>
      <c r="E64" s="52" t="n">
        <v>428</v>
      </c>
      <c r="F64" s="63" t="n">
        <f aca="false">IF(E64="","",D64-E64)</f>
        <v>50</v>
      </c>
      <c r="G64" s="52" t="n">
        <v>182</v>
      </c>
      <c r="H64" s="52" t="n">
        <v>195</v>
      </c>
      <c r="I64" s="63" t="n">
        <f aca="false">IF(H64="","",G64-H64)</f>
        <v>-13</v>
      </c>
      <c r="J64" s="53" t="n">
        <f aca="false">IF(OR(D64="",D64+G64=0),"",D64/(D64+G64))</f>
        <v>0.724242424242424</v>
      </c>
      <c r="K64" s="53" t="n">
        <f aca="false">IF(E64="","",E64/(E64+H64))</f>
        <v>0.686998394863563</v>
      </c>
      <c r="L64" s="64" t="n">
        <f aca="false">IF(OR(K64="",J64=""),"",(J64-K64)*100)</f>
        <v>3.72440293788608</v>
      </c>
      <c r="M64" s="28" t="n">
        <v>3.59869162464536</v>
      </c>
      <c r="N64" s="28" t="n">
        <v>0.395142145636406</v>
      </c>
      <c r="O64" s="28" t="n">
        <f aca="false">SQRT(M64^2+N64^2)</f>
        <v>3.62032025165603</v>
      </c>
      <c r="P64" s="53" t="n">
        <f aca="false">IF(J64="","",MAX(0,J64-1.96*O64/100))</f>
        <v>0.653284147309966</v>
      </c>
      <c r="Q64" s="53" t="n">
        <f aca="false">IF(J64="","",MIN(1,J64+1.96*O64/100))</f>
        <v>0.795200701174882</v>
      </c>
      <c r="R64" s="25" t="str">
        <f aca="false">IF(L64="","",IF(ABS(L64)&lt;=O64,"Yes","No"))</f>
        <v>No</v>
      </c>
      <c r="S64" s="25" t="str">
        <f aca="false">IF(L64="","",IF(ABS(L64)&lt;=1.96*O64,"Yes","No"))</f>
        <v>Yes</v>
      </c>
      <c r="T64" s="52" t="n">
        <f aca="false">IF(D64="","",ROUND(SQRT(((D64+G64)*O64/100)^2+(J64*(D64+G64)*0.1901)^2),0))</f>
        <v>94</v>
      </c>
      <c r="U64" s="25"/>
    </row>
    <row r="65" customFormat="false" ht="15" hidden="false" customHeight="false" outlineLevel="0" collapsed="false">
      <c r="A65" s="25" t="s">
        <v>197</v>
      </c>
      <c r="B65" s="25" t="s">
        <v>199</v>
      </c>
      <c r="C65" s="25" t="s">
        <v>211</v>
      </c>
      <c r="D65" s="52" t="n">
        <v>544</v>
      </c>
      <c r="E65" s="52" t="n">
        <v>563</v>
      </c>
      <c r="F65" s="63" t="n">
        <f aca="false">IF(E65="","",D65-E65)</f>
        <v>-19</v>
      </c>
      <c r="G65" s="52" t="n">
        <v>303</v>
      </c>
      <c r="H65" s="52" t="n">
        <v>322</v>
      </c>
      <c r="I65" s="63" t="n">
        <f aca="false">IF(H65="","",G65-H65)</f>
        <v>-19</v>
      </c>
      <c r="J65" s="53" t="n">
        <f aca="false">IF(OR(D65="",D65+G65=0),"",D65/(D65+G65))</f>
        <v>0.642266824085006</v>
      </c>
      <c r="K65" s="53" t="n">
        <f aca="false">IF(E65="","",E65/(E65+H65))</f>
        <v>0.636158192090396</v>
      </c>
      <c r="L65" s="64" t="n">
        <f aca="false">IF(OR(K65="",J65=""),"",(J65-K65)*100)</f>
        <v>0.610863199461043</v>
      </c>
      <c r="M65" s="28" t="n">
        <v>2.40127504711013</v>
      </c>
      <c r="N65" s="28" t="n">
        <v>0.395142145636406</v>
      </c>
      <c r="O65" s="28" t="n">
        <f aca="false">SQRT(M65^2+N65^2)</f>
        <v>2.43356922382165</v>
      </c>
      <c r="P65" s="53" t="n">
        <f aca="false">IF(J65="","",MAX(0,J65-1.96*O65/100))</f>
        <v>0.594568867298102</v>
      </c>
      <c r="Q65" s="53" t="n">
        <f aca="false">IF(J65="","",MIN(1,J65+1.96*O65/100))</f>
        <v>0.68996478087191</v>
      </c>
      <c r="R65" s="25" t="str">
        <f aca="false">IF(L65="","",IF(ABS(L65)&lt;=O65,"Yes","No"))</f>
        <v>Yes</v>
      </c>
      <c r="S65" s="25" t="str">
        <f aca="false">IF(L65="","",IF(ABS(L65)&lt;=1.96*O65,"Yes","No"))</f>
        <v>Yes</v>
      </c>
      <c r="T65" s="52" t="n">
        <f aca="false">IF(D65="","",ROUND(SQRT(((D65+G65)*O65/100)^2+(J65*(D65+G65)*0.10931)^2),0))</f>
        <v>63</v>
      </c>
      <c r="U65" s="25"/>
    </row>
    <row r="66" customFormat="false" ht="15" hidden="false" customHeight="false" outlineLevel="0" collapsed="false">
      <c r="A66" s="25" t="s">
        <v>197</v>
      </c>
      <c r="B66" s="25" t="s">
        <v>199</v>
      </c>
      <c r="C66" s="25" t="s">
        <v>212</v>
      </c>
      <c r="D66" s="52" t="n">
        <v>466</v>
      </c>
      <c r="E66" s="52" t="n">
        <v>472</v>
      </c>
      <c r="F66" s="63" t="n">
        <f aca="false">IF(E66="","",D66-E66)</f>
        <v>-6</v>
      </c>
      <c r="G66" s="52" t="n">
        <v>302</v>
      </c>
      <c r="H66" s="52" t="n">
        <v>273</v>
      </c>
      <c r="I66" s="63" t="n">
        <f aca="false">IF(H66="","",G66-H66)</f>
        <v>29</v>
      </c>
      <c r="J66" s="53" t="n">
        <f aca="false">IF(OR(D66="",D66+G66=0),"",D66/(D66+G66))</f>
        <v>0.606770833333333</v>
      </c>
      <c r="K66" s="53" t="n">
        <f aca="false">IF(E66="","",E66/(E66+H66))</f>
        <v>0.633557046979866</v>
      </c>
      <c r="L66" s="64" t="n">
        <f aca="false">IF(OR(K66="",J66=""),"",(J66-K66)*100)</f>
        <v>-2.67862136465324</v>
      </c>
      <c r="M66" s="28" t="n">
        <v>2.40127504711013</v>
      </c>
      <c r="N66" s="28" t="n">
        <v>0.395142145636406</v>
      </c>
      <c r="O66" s="28" t="n">
        <f aca="false">SQRT(M66^2+N66^2)</f>
        <v>2.43356922382165</v>
      </c>
      <c r="P66" s="53" t="n">
        <f aca="false">IF(J66="","",MAX(0,J66-1.96*O66/100))</f>
        <v>0.559072876546429</v>
      </c>
      <c r="Q66" s="53" t="n">
        <f aca="false">IF(J66="","",MIN(1,J66+1.96*O66/100))</f>
        <v>0.654468790120238</v>
      </c>
      <c r="R66" s="25" t="str">
        <f aca="false">IF(L66="","",IF(ABS(L66)&lt;=O66,"Yes","No"))</f>
        <v>No</v>
      </c>
      <c r="S66" s="25" t="str">
        <f aca="false">IF(L66="","",IF(ABS(L66)&lt;=1.96*O66,"Yes","No"))</f>
        <v>Yes</v>
      </c>
      <c r="T66" s="52" t="n">
        <f aca="false">IF(D66="","",ROUND(SQRT(((D66+G66)*O66/100)^2+(J66*(D66+G66)*0.10931)^2),0))</f>
        <v>54</v>
      </c>
      <c r="U66" s="25"/>
    </row>
    <row r="67" customFormat="false" ht="15" hidden="false" customHeight="false" outlineLevel="0" collapsed="false">
      <c r="A67" s="25" t="s">
        <v>197</v>
      </c>
      <c r="B67" s="25" t="s">
        <v>199</v>
      </c>
      <c r="C67" s="25" t="s">
        <v>213</v>
      </c>
      <c r="D67" s="52" t="n">
        <v>438</v>
      </c>
      <c r="E67" s="52" t="n">
        <v>426</v>
      </c>
      <c r="F67" s="63" t="n">
        <f aca="false">IF(E67="","",D67-E67)</f>
        <v>12</v>
      </c>
      <c r="G67" s="52" t="n">
        <v>320</v>
      </c>
      <c r="H67" s="52" t="n">
        <v>331</v>
      </c>
      <c r="I67" s="63" t="n">
        <f aca="false">IF(H67="","",G67-H67)</f>
        <v>-11</v>
      </c>
      <c r="J67" s="53" t="n">
        <f aca="false">IF(OR(D67="",D67+G67=0),"",D67/(D67+G67))</f>
        <v>0.577836411609499</v>
      </c>
      <c r="K67" s="53" t="n">
        <f aca="false">IF(E67="","",E67/(E67+H67))</f>
        <v>0.562747688243065</v>
      </c>
      <c r="L67" s="64" t="n">
        <f aca="false">IF(OR(K67="",J67=""),"",(J67-K67)*100)</f>
        <v>1.5088723366434</v>
      </c>
      <c r="M67" s="28" t="n">
        <v>2.40127504711013</v>
      </c>
      <c r="N67" s="28" t="n">
        <v>0.395142145636406</v>
      </c>
      <c r="O67" s="28" t="n">
        <f aca="false">SQRT(M67^2+N67^2)</f>
        <v>2.43356922382165</v>
      </c>
      <c r="P67" s="53" t="n">
        <f aca="false">IF(J67="","",MAX(0,J67-1.96*O67/100))</f>
        <v>0.530138454822595</v>
      </c>
      <c r="Q67" s="53" t="n">
        <f aca="false">IF(J67="","",MIN(1,J67+1.96*O67/100))</f>
        <v>0.625534368396403</v>
      </c>
      <c r="R67" s="25" t="str">
        <f aca="false">IF(L67="","",IF(ABS(L67)&lt;=O67,"Yes","No"))</f>
        <v>Yes</v>
      </c>
      <c r="S67" s="25" t="str">
        <f aca="false">IF(L67="","",IF(ABS(L67)&lt;=1.96*O67,"Yes","No"))</f>
        <v>Yes</v>
      </c>
      <c r="T67" s="52" t="n">
        <f aca="false">IF(D67="","",ROUND(SQRT(((D67+G67)*O67/100)^2+(J67*(D67+G67)*0.10931)^2),0))</f>
        <v>51</v>
      </c>
      <c r="U67" s="25"/>
    </row>
    <row r="68" customFormat="false" ht="15" hidden="false" customHeight="false" outlineLevel="0" collapsed="false">
      <c r="A68" s="25" t="s">
        <v>197</v>
      </c>
      <c r="B68" s="25" t="s">
        <v>199</v>
      </c>
      <c r="C68" s="25" t="s">
        <v>214</v>
      </c>
      <c r="D68" s="52" t="n">
        <v>445</v>
      </c>
      <c r="E68" s="52" t="n">
        <v>418</v>
      </c>
      <c r="F68" s="63" t="n">
        <f aca="false">IF(E68="","",D68-E68)</f>
        <v>27</v>
      </c>
      <c r="G68" s="52" t="n">
        <v>272</v>
      </c>
      <c r="H68" s="52" t="n">
        <v>278</v>
      </c>
      <c r="I68" s="63" t="n">
        <f aca="false">IF(H68="","",G68-H68)</f>
        <v>-6</v>
      </c>
      <c r="J68" s="53" t="n">
        <f aca="false">IF(OR(D68="",D68+G68=0),"",D68/(D68+G68))</f>
        <v>0.620641562064156</v>
      </c>
      <c r="K68" s="53" t="n">
        <f aca="false">IF(E68="","",E68/(E68+H68))</f>
        <v>0.600574712643678</v>
      </c>
      <c r="L68" s="64" t="n">
        <f aca="false">IF(OR(K68="",J68=""),"",(J68-K68)*100)</f>
        <v>2.00668494204781</v>
      </c>
      <c r="M68" s="28" t="n">
        <v>3.59869162464536</v>
      </c>
      <c r="N68" s="28" t="n">
        <v>0.395142145636406</v>
      </c>
      <c r="O68" s="28" t="n">
        <f aca="false">SQRT(M68^2+N68^2)</f>
        <v>3.62032025165603</v>
      </c>
      <c r="P68" s="53" t="n">
        <f aca="false">IF(J68="","",MAX(0,J68-1.96*O68/100))</f>
        <v>0.549683285131698</v>
      </c>
      <c r="Q68" s="53" t="n">
        <f aca="false">IF(J68="","",MIN(1,J68+1.96*O68/100))</f>
        <v>0.691599838996614</v>
      </c>
      <c r="R68" s="25" t="str">
        <f aca="false">IF(L68="","",IF(ABS(L68)&lt;=O68,"Yes","No"))</f>
        <v>Yes</v>
      </c>
      <c r="S68" s="25" t="str">
        <f aca="false">IF(L68="","",IF(ABS(L68)&lt;=1.96*O68,"Yes","No"))</f>
        <v>Yes</v>
      </c>
      <c r="T68" s="52" t="n">
        <f aca="false">IF(D68="","",ROUND(SQRT(((D68+G68)*O68/100)^2+(J68*(D68+G68)*0.1901)^2),0))</f>
        <v>88</v>
      </c>
      <c r="U68" s="25"/>
    </row>
    <row r="69" customFormat="false" ht="15" hidden="false" customHeight="false" outlineLevel="0" collapsed="false">
      <c r="A69" s="25" t="s">
        <v>197</v>
      </c>
      <c r="B69" s="25" t="s">
        <v>199</v>
      </c>
      <c r="C69" s="25" t="s">
        <v>215</v>
      </c>
      <c r="D69" s="52" t="n">
        <v>477</v>
      </c>
      <c r="E69" s="52" t="n">
        <v>424</v>
      </c>
      <c r="F69" s="63" t="n">
        <f aca="false">IF(E69="","",D69-E69)</f>
        <v>53</v>
      </c>
      <c r="G69" s="52" t="n">
        <v>151</v>
      </c>
      <c r="H69" s="52" t="n">
        <v>188</v>
      </c>
      <c r="I69" s="63" t="n">
        <f aca="false">IF(H69="","",G69-H69)</f>
        <v>-37</v>
      </c>
      <c r="J69" s="53" t="n">
        <f aca="false">IF(OR(D69="",D69+G69=0),"",D69/(D69+G69))</f>
        <v>0.759554140127389</v>
      </c>
      <c r="K69" s="53" t="n">
        <f aca="false">IF(E69="","",E69/(E69+H69))</f>
        <v>0.69281045751634</v>
      </c>
      <c r="L69" s="64" t="n">
        <f aca="false">IF(OR(K69="",J69=""),"",(J69-K69)*100)</f>
        <v>6.67436826110487</v>
      </c>
      <c r="M69" s="28" t="n">
        <v>3.59869162464536</v>
      </c>
      <c r="N69" s="28" t="n">
        <v>0.395142145636406</v>
      </c>
      <c r="O69" s="28" t="n">
        <f aca="false">SQRT(M69^2+N69^2)</f>
        <v>3.62032025165603</v>
      </c>
      <c r="P69" s="53" t="n">
        <f aca="false">IF(J69="","",MAX(0,J69-1.96*O69/100))</f>
        <v>0.68859586319493</v>
      </c>
      <c r="Q69" s="53" t="n">
        <f aca="false">IF(J69="","",MIN(1,J69+1.96*O69/100))</f>
        <v>0.830512417059847</v>
      </c>
      <c r="R69" s="25" t="str">
        <f aca="false">IF(L69="","",IF(ABS(L69)&lt;=O69,"Yes","No"))</f>
        <v>No</v>
      </c>
      <c r="S69" s="25" t="str">
        <f aca="false">IF(L69="","",IF(ABS(L69)&lt;=1.96*O69,"Yes","No"))</f>
        <v>Yes</v>
      </c>
      <c r="T69" s="52" t="n">
        <f aca="false">IF(D69="","",ROUND(SQRT(((D69+G69)*O69/100)^2+(J69*(D69+G69)*0.1901)^2),0))</f>
        <v>93</v>
      </c>
      <c r="U69" s="25"/>
    </row>
    <row r="70" customFormat="false" ht="15" hidden="false" customHeight="false" outlineLevel="0" collapsed="false">
      <c r="A70" s="25" t="s">
        <v>197</v>
      </c>
      <c r="B70" s="25" t="s">
        <v>199</v>
      </c>
      <c r="C70" s="25" t="s">
        <v>216</v>
      </c>
      <c r="D70" s="52" t="n">
        <v>387</v>
      </c>
      <c r="E70" s="52" t="n">
        <v>330</v>
      </c>
      <c r="F70" s="63" t="n">
        <f aca="false">IF(E70="","",D70-E70)</f>
        <v>57</v>
      </c>
      <c r="G70" s="52" t="n">
        <v>156</v>
      </c>
      <c r="H70" s="52" t="n">
        <v>195</v>
      </c>
      <c r="I70" s="63" t="n">
        <f aca="false">IF(H70="","",G70-H70)</f>
        <v>-39</v>
      </c>
      <c r="J70" s="53" t="n">
        <f aca="false">IF(OR(D70="",D70+G70=0),"",D70/(D70+G70))</f>
        <v>0.712707182320442</v>
      </c>
      <c r="K70" s="53" t="n">
        <f aca="false">IF(E70="","",E70/(E70+H70))</f>
        <v>0.628571428571429</v>
      </c>
      <c r="L70" s="64" t="n">
        <f aca="false">IF(OR(K70="",J70=""),"",(J70-K70)*100)</f>
        <v>8.41357537490134</v>
      </c>
      <c r="M70" s="28" t="n">
        <v>3.59869162464536</v>
      </c>
      <c r="N70" s="28" t="n">
        <v>0.395142145636406</v>
      </c>
      <c r="O70" s="28" t="n">
        <f aca="false">SQRT(M70^2+N70^2)</f>
        <v>3.62032025165603</v>
      </c>
      <c r="P70" s="53" t="n">
        <f aca="false">IF(J70="","",MAX(0,J70-1.96*O70/100))</f>
        <v>0.641748905387984</v>
      </c>
      <c r="Q70" s="53" t="n">
        <f aca="false">IF(J70="","",MIN(1,J70+1.96*O70/100))</f>
        <v>0.7836654592529</v>
      </c>
      <c r="R70" s="25" t="str">
        <f aca="false">IF(L70="","",IF(ABS(L70)&lt;=O70,"Yes","No"))</f>
        <v>No</v>
      </c>
      <c r="S70" s="25" t="str">
        <f aca="false">IF(L70="","",IF(ABS(L70)&lt;=1.96*O70,"Yes","No"))</f>
        <v>No</v>
      </c>
      <c r="T70" s="52" t="n">
        <f aca="false">IF(D70="","",ROUND(SQRT(((D70+G70)*O70/100)^2+(J70*(D70+G70)*0.1901)^2),0))</f>
        <v>76</v>
      </c>
      <c r="U70" s="25"/>
    </row>
    <row r="71" customFormat="false" ht="15" hidden="false" customHeight="false" outlineLevel="0" collapsed="false">
      <c r="A71" s="25" t="s">
        <v>197</v>
      </c>
      <c r="B71" s="25" t="s">
        <v>199</v>
      </c>
      <c r="C71" s="25" t="s">
        <v>217</v>
      </c>
      <c r="D71" s="52" t="n">
        <v>448</v>
      </c>
      <c r="E71" s="52" t="n">
        <v>441</v>
      </c>
      <c r="F71" s="63" t="n">
        <f aca="false">IF(E71="","",D71-E71)</f>
        <v>7</v>
      </c>
      <c r="G71" s="52" t="n">
        <v>242</v>
      </c>
      <c r="H71" s="52" t="n">
        <v>232</v>
      </c>
      <c r="I71" s="63" t="n">
        <f aca="false">IF(H71="","",G71-H71)</f>
        <v>10</v>
      </c>
      <c r="J71" s="53" t="n">
        <f aca="false">IF(OR(D71="",D71+G71=0),"",D71/(D71+G71))</f>
        <v>0.649275362318841</v>
      </c>
      <c r="K71" s="53" t="n">
        <f aca="false">IF(E71="","",E71/(E71+H71))</f>
        <v>0.655274888558692</v>
      </c>
      <c r="L71" s="64" t="n">
        <f aca="false">IF(OR(K71="",J71=""),"",(J71-K71)*100)</f>
        <v>-0.599952623985189</v>
      </c>
      <c r="M71" s="28" t="n">
        <v>3.59869162464536</v>
      </c>
      <c r="N71" s="28" t="n">
        <v>0.395142145636406</v>
      </c>
      <c r="O71" s="28" t="n">
        <f aca="false">SQRT(M71^2+N71^2)</f>
        <v>3.62032025165603</v>
      </c>
      <c r="P71" s="53" t="n">
        <f aca="false">IF(J71="","",MAX(0,J71-1.96*O71/100))</f>
        <v>0.578317085386382</v>
      </c>
      <c r="Q71" s="53" t="n">
        <f aca="false">IF(J71="","",MIN(1,J71+1.96*O71/100))</f>
        <v>0.720233639251299</v>
      </c>
      <c r="R71" s="25" t="str">
        <f aca="false">IF(L71="","",IF(ABS(L71)&lt;=O71,"Yes","No"))</f>
        <v>Yes</v>
      </c>
      <c r="S71" s="25" t="str">
        <f aca="false">IF(L71="","",IF(ABS(L71)&lt;=1.96*O71,"Yes","No"))</f>
        <v>Yes</v>
      </c>
      <c r="T71" s="52" t="n">
        <f aca="false">IF(D71="","",ROUND(SQRT(((D71+G71)*O71/100)^2+(J71*(D71+G71)*0.1901)^2),0))</f>
        <v>89</v>
      </c>
      <c r="U71" s="25"/>
    </row>
    <row r="72" customFormat="false" ht="15" hidden="false" customHeight="false" outlineLevel="0" collapsed="false">
      <c r="A72" s="25" t="s">
        <v>197</v>
      </c>
      <c r="B72" s="25" t="s">
        <v>199</v>
      </c>
      <c r="C72" s="25" t="s">
        <v>218</v>
      </c>
      <c r="D72" s="52" t="n">
        <v>324</v>
      </c>
      <c r="E72" s="52" t="n">
        <v>313</v>
      </c>
      <c r="F72" s="63" t="n">
        <f aca="false">IF(E72="","",D72-E72)</f>
        <v>11</v>
      </c>
      <c r="G72" s="52" t="n">
        <v>134</v>
      </c>
      <c r="H72" s="52" t="n">
        <v>155</v>
      </c>
      <c r="I72" s="63" t="n">
        <f aca="false">IF(H72="","",G72-H72)</f>
        <v>-21</v>
      </c>
      <c r="J72" s="53" t="n">
        <f aca="false">IF(OR(D72="",D72+G72=0),"",D72/(D72+G72))</f>
        <v>0.707423580786026</v>
      </c>
      <c r="K72" s="53" t="n">
        <f aca="false">IF(E72="","",E72/(E72+H72))</f>
        <v>0.668803418803419</v>
      </c>
      <c r="L72" s="64" t="n">
        <f aca="false">IF(OR(K72="",J72=""),"",(J72-K72)*100)</f>
        <v>3.86201619826074</v>
      </c>
      <c r="M72" s="28" t="n">
        <v>3.59869162464536</v>
      </c>
      <c r="N72" s="28" t="n">
        <v>0.395142145636406</v>
      </c>
      <c r="O72" s="28" t="n">
        <f aca="false">SQRT(M72^2+N72^2)</f>
        <v>3.62032025165603</v>
      </c>
      <c r="P72" s="53" t="n">
        <f aca="false">IF(J72="","",MAX(0,J72-1.96*O72/100))</f>
        <v>0.636465303853568</v>
      </c>
      <c r="Q72" s="53" t="n">
        <f aca="false">IF(J72="","",MIN(1,J72+1.96*O72/100))</f>
        <v>0.778381857718484</v>
      </c>
      <c r="R72" s="25" t="str">
        <f aca="false">IF(L72="","",IF(ABS(L72)&lt;=O72,"Yes","No"))</f>
        <v>No</v>
      </c>
      <c r="S72" s="25" t="str">
        <f aca="false">IF(L72="","",IF(ABS(L72)&lt;=1.96*O72,"Yes","No"))</f>
        <v>Yes</v>
      </c>
      <c r="T72" s="52" t="n">
        <f aca="false">IF(D72="","",ROUND(SQRT(((D72+G72)*O72/100)^2+(J72*(D72+G72)*0.1901)^2),0))</f>
        <v>64</v>
      </c>
      <c r="U72" s="25"/>
    </row>
    <row r="73" customFormat="false" ht="15" hidden="false" customHeight="false" outlineLevel="0" collapsed="false">
      <c r="A73" s="25" t="s">
        <v>197</v>
      </c>
      <c r="B73" s="25" t="s">
        <v>199</v>
      </c>
      <c r="C73" s="25" t="s">
        <v>219</v>
      </c>
      <c r="D73" s="52" t="n">
        <v>685</v>
      </c>
      <c r="E73" s="52" t="n">
        <v>658</v>
      </c>
      <c r="F73" s="63" t="n">
        <f aca="false">IF(E73="","",D73-E73)</f>
        <v>27</v>
      </c>
      <c r="G73" s="52" t="n">
        <v>385</v>
      </c>
      <c r="H73" s="52" t="n">
        <v>375</v>
      </c>
      <c r="I73" s="63" t="n">
        <f aca="false">IF(H73="","",G73-H73)</f>
        <v>10</v>
      </c>
      <c r="J73" s="53" t="n">
        <f aca="false">IF(OR(D73="",D73+G73=0),"",D73/(D73+G73))</f>
        <v>0.640186915887851</v>
      </c>
      <c r="K73" s="53" t="n">
        <f aca="false">IF(E73="","",E73/(E73+H73))</f>
        <v>0.636979670861568</v>
      </c>
      <c r="L73" s="64" t="n">
        <f aca="false">IF(OR(K73="",J73=""),"",(J73-K73)*100)</f>
        <v>0.320724502628222</v>
      </c>
      <c r="M73" s="28" t="n">
        <v>2.40127504711013</v>
      </c>
      <c r="N73" s="28" t="n">
        <v>0.395142145636406</v>
      </c>
      <c r="O73" s="28" t="n">
        <f aca="false">SQRT(M73^2+N73^2)</f>
        <v>2.43356922382165</v>
      </c>
      <c r="P73" s="53" t="n">
        <f aca="false">IF(J73="","",MAX(0,J73-1.96*O73/100))</f>
        <v>0.592488959100946</v>
      </c>
      <c r="Q73" s="53" t="n">
        <f aca="false">IF(J73="","",MIN(1,J73+1.96*O73/100))</f>
        <v>0.687884872674755</v>
      </c>
      <c r="R73" s="25" t="str">
        <f aca="false">IF(L73="","",IF(ABS(L73)&lt;=O73,"Yes","No"))</f>
        <v>Yes</v>
      </c>
      <c r="S73" s="25" t="str">
        <f aca="false">IF(L73="","",IF(ABS(L73)&lt;=1.96*O73,"Yes","No"))</f>
        <v>Yes</v>
      </c>
      <c r="T73" s="52" t="n">
        <f aca="false">IF(D73="","",ROUND(SQRT(((D73+G73)*O73/100)^2+(J73*(D73+G73)*0.10931)^2),0))</f>
        <v>79</v>
      </c>
      <c r="U73" s="25"/>
    </row>
    <row r="74" customFormat="false" ht="15" hidden="false" customHeight="false" outlineLevel="0" collapsed="false">
      <c r="A74" s="25" t="s">
        <v>197</v>
      </c>
      <c r="B74" s="25" t="s">
        <v>199</v>
      </c>
      <c r="C74" s="25" t="s">
        <v>220</v>
      </c>
      <c r="D74" s="52" t="n">
        <v>774</v>
      </c>
      <c r="E74" s="52" t="n">
        <v>693</v>
      </c>
      <c r="F74" s="63" t="n">
        <f aca="false">IF(E74="","",D74-E74)</f>
        <v>81</v>
      </c>
      <c r="G74" s="52" t="n">
        <v>376</v>
      </c>
      <c r="H74" s="52" t="n">
        <v>389</v>
      </c>
      <c r="I74" s="63" t="n">
        <f aca="false">IF(H74="","",G74-H74)</f>
        <v>-13</v>
      </c>
      <c r="J74" s="53" t="n">
        <f aca="false">IF(OR(D74="",D74+G74=0),"",D74/(D74+G74))</f>
        <v>0.67304347826087</v>
      </c>
      <c r="K74" s="53" t="n">
        <f aca="false">IF(E74="","",E74/(E74+H74))</f>
        <v>0.640480591497227</v>
      </c>
      <c r="L74" s="64" t="n">
        <f aca="false">IF(OR(K74="",J74=""),"",(J74-K74)*100)</f>
        <v>3.25628867636422</v>
      </c>
      <c r="M74" s="28" t="n">
        <v>2.40127504711013</v>
      </c>
      <c r="N74" s="28" t="n">
        <v>0.395142145636406</v>
      </c>
      <c r="O74" s="28" t="n">
        <f aca="false">SQRT(M74^2+N74^2)</f>
        <v>2.43356922382165</v>
      </c>
      <c r="P74" s="53" t="n">
        <f aca="false">IF(J74="","",MAX(0,J74-1.96*O74/100))</f>
        <v>0.625345521473965</v>
      </c>
      <c r="Q74" s="53" t="n">
        <f aca="false">IF(J74="","",MIN(1,J74+1.96*O74/100))</f>
        <v>0.720741435047774</v>
      </c>
      <c r="R74" s="25" t="str">
        <f aca="false">IF(L74="","",IF(ABS(L74)&lt;=O74,"Yes","No"))</f>
        <v>No</v>
      </c>
      <c r="S74" s="25" t="str">
        <f aca="false">IF(L74="","",IF(ABS(L74)&lt;=1.96*O74,"Yes","No"))</f>
        <v>Yes</v>
      </c>
      <c r="T74" s="52" t="n">
        <f aca="false">IF(D74="","",ROUND(SQRT(((D74+G74)*O74/100)^2+(J74*(D74+G74)*0.10931)^2),0))</f>
        <v>89</v>
      </c>
      <c r="U74" s="25"/>
    </row>
    <row r="75" customFormat="false" ht="15" hidden="false" customHeight="false" outlineLevel="0" collapsed="false">
      <c r="A75" s="25" t="s">
        <v>197</v>
      </c>
      <c r="B75" s="25" t="s">
        <v>199</v>
      </c>
      <c r="C75" s="25" t="s">
        <v>221</v>
      </c>
      <c r="D75" s="52" t="n">
        <v>494</v>
      </c>
      <c r="E75" s="52" t="n">
        <v>446</v>
      </c>
      <c r="F75" s="63" t="n">
        <f aca="false">IF(E75="","",D75-E75)</f>
        <v>48</v>
      </c>
      <c r="G75" s="52" t="n">
        <v>339</v>
      </c>
      <c r="H75" s="52" t="n">
        <v>382</v>
      </c>
      <c r="I75" s="63" t="n">
        <f aca="false">IF(H75="","",G75-H75)</f>
        <v>-43</v>
      </c>
      <c r="J75" s="53" t="n">
        <f aca="false">IF(OR(D75="",D75+G75=0),"",D75/(D75+G75))</f>
        <v>0.593037214885954</v>
      </c>
      <c r="K75" s="53" t="n">
        <f aca="false">IF(E75="","",E75/(E75+H75))</f>
        <v>0.538647342995169</v>
      </c>
      <c r="L75" s="64" t="n">
        <f aca="false">IF(OR(K75="",J75=""),"",(J75-K75)*100)</f>
        <v>5.43898718907854</v>
      </c>
      <c r="M75" s="28" t="n">
        <v>2.40127504711013</v>
      </c>
      <c r="N75" s="28" t="n">
        <v>0.395142145636406</v>
      </c>
      <c r="O75" s="28" t="n">
        <f aca="false">SQRT(M75^2+N75^2)</f>
        <v>2.43356922382165</v>
      </c>
      <c r="P75" s="53" t="n">
        <f aca="false">IF(J75="","",MAX(0,J75-1.96*O75/100))</f>
        <v>0.54533925809905</v>
      </c>
      <c r="Q75" s="53" t="n">
        <f aca="false">IF(J75="","",MIN(1,J75+1.96*O75/100))</f>
        <v>0.640735171672859</v>
      </c>
      <c r="R75" s="25" t="str">
        <f aca="false">IF(L75="","",IF(ABS(L75)&lt;=O75,"Yes","No"))</f>
        <v>No</v>
      </c>
      <c r="S75" s="25" t="str">
        <f aca="false">IF(L75="","",IF(ABS(L75)&lt;=1.96*O75,"Yes","No"))</f>
        <v>No</v>
      </c>
      <c r="T75" s="52" t="n">
        <f aca="false">IF(D75="","",ROUND(SQRT(((D75+G75)*O75/100)^2+(J75*(D75+G75)*0.10931)^2),0))</f>
        <v>58</v>
      </c>
      <c r="U75" s="25"/>
    </row>
    <row r="76" customFormat="false" ht="15" hidden="false" customHeight="false" outlineLevel="0" collapsed="false">
      <c r="A76" s="25" t="s">
        <v>197</v>
      </c>
      <c r="B76" s="25" t="s">
        <v>199</v>
      </c>
      <c r="C76" s="25" t="s">
        <v>222</v>
      </c>
      <c r="D76" s="52" t="n">
        <v>628</v>
      </c>
      <c r="E76" s="52" t="n">
        <v>627</v>
      </c>
      <c r="F76" s="63" t="n">
        <f aca="false">IF(E76="","",D76-E76)</f>
        <v>1</v>
      </c>
      <c r="G76" s="52" t="n">
        <v>382</v>
      </c>
      <c r="H76" s="52" t="n">
        <v>389</v>
      </c>
      <c r="I76" s="63" t="n">
        <f aca="false">IF(H76="","",G76-H76)</f>
        <v>-7</v>
      </c>
      <c r="J76" s="53" t="n">
        <f aca="false">IF(OR(D76="",D76+G76=0),"",D76/(D76+G76))</f>
        <v>0.621782178217822</v>
      </c>
      <c r="K76" s="53" t="n">
        <f aca="false">IF(E76="","",E76/(E76+H76))</f>
        <v>0.617125984251969</v>
      </c>
      <c r="L76" s="64" t="n">
        <f aca="false">IF(OR(K76="",J76=""),"",(J76-K76)*100)</f>
        <v>0.465619396585326</v>
      </c>
      <c r="M76" s="28" t="n">
        <v>2.40127504711013</v>
      </c>
      <c r="N76" s="28" t="n">
        <v>0.395142145636406</v>
      </c>
      <c r="O76" s="28" t="n">
        <f aca="false">SQRT(M76^2+N76^2)</f>
        <v>2.43356922382165</v>
      </c>
      <c r="P76" s="53" t="n">
        <f aca="false">IF(J76="","",MAX(0,J76-1.96*O76/100))</f>
        <v>0.574084221430918</v>
      </c>
      <c r="Q76" s="53" t="n">
        <f aca="false">IF(J76="","",MIN(1,J76+1.96*O76/100))</f>
        <v>0.669480135004726</v>
      </c>
      <c r="R76" s="25" t="str">
        <f aca="false">IF(L76="","",IF(ABS(L76)&lt;=O76,"Yes","No"))</f>
        <v>Yes</v>
      </c>
      <c r="S76" s="25" t="str">
        <f aca="false">IF(L76="","",IF(ABS(L76)&lt;=1.96*O76,"Yes","No"))</f>
        <v>Yes</v>
      </c>
      <c r="T76" s="52" t="n">
        <f aca="false">IF(D76="","",ROUND(SQRT(((D76+G76)*O76/100)^2+(J76*(D76+G76)*0.10931)^2),0))</f>
        <v>73</v>
      </c>
      <c r="U76" s="25"/>
    </row>
    <row r="77" customFormat="false" ht="15" hidden="false" customHeight="false" outlineLevel="0" collapsed="false">
      <c r="A77" s="25" t="s">
        <v>197</v>
      </c>
      <c r="B77" s="25" t="s">
        <v>199</v>
      </c>
      <c r="C77" s="25" t="s">
        <v>223</v>
      </c>
      <c r="D77" s="52" t="n">
        <v>645</v>
      </c>
      <c r="E77" s="52" t="n">
        <v>645</v>
      </c>
      <c r="F77" s="63" t="n">
        <f aca="false">IF(E77="","",D77-E77)</f>
        <v>0</v>
      </c>
      <c r="G77" s="52" t="n">
        <v>386</v>
      </c>
      <c r="H77" s="52" t="n">
        <v>418</v>
      </c>
      <c r="I77" s="63" t="n">
        <f aca="false">IF(H77="","",G77-H77)</f>
        <v>-32</v>
      </c>
      <c r="J77" s="53" t="n">
        <f aca="false">IF(OR(D77="",D77+G77=0),"",D77/(D77+G77))</f>
        <v>0.62560620756547</v>
      </c>
      <c r="K77" s="53" t="n">
        <f aca="false">IF(E77="","",E77/(E77+H77))</f>
        <v>0.606773283160865</v>
      </c>
      <c r="L77" s="64" t="n">
        <f aca="false">IF(OR(K77="",J77=""),"",(J77-K77)*100)</f>
        <v>1.88329244046049</v>
      </c>
      <c r="M77" s="28" t="n">
        <v>2.40127504711013</v>
      </c>
      <c r="N77" s="28" t="n">
        <v>0.395142145636406</v>
      </c>
      <c r="O77" s="28" t="n">
        <f aca="false">SQRT(M77^2+N77^2)</f>
        <v>2.43356922382165</v>
      </c>
      <c r="P77" s="53" t="n">
        <f aca="false">IF(J77="","",MAX(0,J77-1.96*O77/100))</f>
        <v>0.577908250778566</v>
      </c>
      <c r="Q77" s="53" t="n">
        <f aca="false">IF(J77="","",MIN(1,J77+1.96*O77/100))</f>
        <v>0.673304164352375</v>
      </c>
      <c r="R77" s="25" t="str">
        <f aca="false">IF(L77="","",IF(ABS(L77)&lt;=O77,"Yes","No"))</f>
        <v>Yes</v>
      </c>
      <c r="S77" s="25" t="str">
        <f aca="false">IF(L77="","",IF(ABS(L77)&lt;=1.96*O77,"Yes","No"))</f>
        <v>Yes</v>
      </c>
      <c r="T77" s="52" t="n">
        <f aca="false">IF(D77="","",ROUND(SQRT(((D77+G77)*O77/100)^2+(J77*(D77+G77)*0.10931)^2),0))</f>
        <v>75</v>
      </c>
      <c r="U77" s="25"/>
    </row>
    <row r="78" customFormat="false" ht="15" hidden="false" customHeight="false" outlineLevel="0" collapsed="false">
      <c r="A78" s="25" t="s">
        <v>197</v>
      </c>
      <c r="B78" s="25" t="s">
        <v>199</v>
      </c>
      <c r="C78" s="25" t="s">
        <v>224</v>
      </c>
      <c r="D78" s="52" t="n">
        <v>504</v>
      </c>
      <c r="E78" s="52" t="n">
        <v>452</v>
      </c>
      <c r="F78" s="63" t="n">
        <f aca="false">IF(E78="","",D78-E78)</f>
        <v>52</v>
      </c>
      <c r="G78" s="52" t="n">
        <v>306</v>
      </c>
      <c r="H78" s="52" t="n">
        <v>341</v>
      </c>
      <c r="I78" s="63" t="n">
        <f aca="false">IF(H78="","",G78-H78)</f>
        <v>-35</v>
      </c>
      <c r="J78" s="53" t="n">
        <f aca="false">IF(OR(D78="",D78+G78=0),"",D78/(D78+G78))</f>
        <v>0.622222222222222</v>
      </c>
      <c r="K78" s="53" t="n">
        <f aca="false">IF(E78="","",E78/(E78+H78))</f>
        <v>0.569987389659521</v>
      </c>
      <c r="L78" s="64" t="n">
        <f aca="false">IF(OR(K78="",J78=""),"",(J78-K78)*100)</f>
        <v>5.22348325627014</v>
      </c>
      <c r="M78" s="28" t="n">
        <v>2.40127504711013</v>
      </c>
      <c r="N78" s="28" t="n">
        <v>0.395142145636406</v>
      </c>
      <c r="O78" s="28" t="n">
        <f aca="false">SQRT(M78^2+N78^2)</f>
        <v>2.43356922382165</v>
      </c>
      <c r="P78" s="53" t="n">
        <f aca="false">IF(J78="","",MAX(0,J78-1.96*O78/100))</f>
        <v>0.574524265435318</v>
      </c>
      <c r="Q78" s="53" t="n">
        <f aca="false">IF(J78="","",MIN(1,J78+1.96*O78/100))</f>
        <v>0.669920179009127</v>
      </c>
      <c r="R78" s="25" t="str">
        <f aca="false">IF(L78="","",IF(ABS(L78)&lt;=O78,"Yes","No"))</f>
        <v>No</v>
      </c>
      <c r="S78" s="25" t="str">
        <f aca="false">IF(L78="","",IF(ABS(L78)&lt;=1.96*O78,"Yes","No"))</f>
        <v>No</v>
      </c>
      <c r="T78" s="52" t="n">
        <f aca="false">IF(D78="","",ROUND(SQRT(((D78+G78)*O78/100)^2+(J78*(D78+G78)*0.10931)^2),0))</f>
        <v>59</v>
      </c>
      <c r="U78" s="25"/>
    </row>
    <row r="79" customFormat="false" ht="15" hidden="false" customHeight="false" outlineLevel="0" collapsed="false">
      <c r="A79" s="25" t="s">
        <v>197</v>
      </c>
      <c r="B79" s="25" t="s">
        <v>199</v>
      </c>
      <c r="C79" s="25" t="s">
        <v>225</v>
      </c>
      <c r="D79" s="52" t="n">
        <v>567</v>
      </c>
      <c r="E79" s="52" t="n">
        <v>541</v>
      </c>
      <c r="F79" s="63" t="n">
        <f aca="false">IF(E79="","",D79-E79)</f>
        <v>26</v>
      </c>
      <c r="G79" s="52" t="n">
        <v>342</v>
      </c>
      <c r="H79" s="52" t="n">
        <v>325</v>
      </c>
      <c r="I79" s="63" t="n">
        <f aca="false">IF(H79="","",G79-H79)</f>
        <v>17</v>
      </c>
      <c r="J79" s="53" t="n">
        <f aca="false">IF(OR(D79="",D79+G79=0),"",D79/(D79+G79))</f>
        <v>0.623762376237624</v>
      </c>
      <c r="K79" s="53" t="n">
        <f aca="false">IF(E79="","",E79/(E79+H79))</f>
        <v>0.624711316397229</v>
      </c>
      <c r="L79" s="64" t="n">
        <f aca="false">IF(OR(K79="",J79=""),"",(J79-K79)*100)</f>
        <v>-0.0948940159604894</v>
      </c>
      <c r="M79" s="28" t="n">
        <v>2.40127504711013</v>
      </c>
      <c r="N79" s="28" t="n">
        <v>0.395142145636406</v>
      </c>
      <c r="O79" s="28" t="n">
        <f aca="false">SQRT(M79^2+N79^2)</f>
        <v>2.43356922382165</v>
      </c>
      <c r="P79" s="53" t="n">
        <f aca="false">IF(J79="","",MAX(0,J79-1.96*O79/100))</f>
        <v>0.57606441945072</v>
      </c>
      <c r="Q79" s="53" t="n">
        <f aca="false">IF(J79="","",MIN(1,J79+1.96*O79/100))</f>
        <v>0.671460333024528</v>
      </c>
      <c r="R79" s="25" t="str">
        <f aca="false">IF(L79="","",IF(ABS(L79)&lt;=O79,"Yes","No"))</f>
        <v>Yes</v>
      </c>
      <c r="S79" s="25" t="str">
        <f aca="false">IF(L79="","",IF(ABS(L79)&lt;=1.96*O79,"Yes","No"))</f>
        <v>Yes</v>
      </c>
      <c r="T79" s="52" t="n">
        <f aca="false">IF(D79="","",ROUND(SQRT(((D79+G79)*O79/100)^2+(J79*(D79+G79)*0.10931)^2),0))</f>
        <v>66</v>
      </c>
      <c r="U79" s="25"/>
    </row>
    <row r="80" customFormat="false" ht="15" hidden="false" customHeight="false" outlineLevel="0" collapsed="false">
      <c r="A80" s="25" t="s">
        <v>197</v>
      </c>
      <c r="B80" s="25" t="s">
        <v>199</v>
      </c>
      <c r="C80" s="25" t="s">
        <v>226</v>
      </c>
      <c r="D80" s="52" t="n">
        <v>805</v>
      </c>
      <c r="E80" s="52" t="n">
        <v>783</v>
      </c>
      <c r="F80" s="63" t="n">
        <f aca="false">IF(E80="","",D80-E80)</f>
        <v>22</v>
      </c>
      <c r="G80" s="52" t="n">
        <v>528</v>
      </c>
      <c r="H80" s="52" t="n">
        <v>562</v>
      </c>
      <c r="I80" s="63" t="n">
        <f aca="false">IF(H80="","",G80-H80)</f>
        <v>-34</v>
      </c>
      <c r="J80" s="53" t="n">
        <f aca="false">IF(OR(D80="",D80+G80=0),"",D80/(D80+G80))</f>
        <v>0.603900975243811</v>
      </c>
      <c r="K80" s="53" t="n">
        <f aca="false">IF(E80="","",E80/(E80+H80))</f>
        <v>0.582156133828996</v>
      </c>
      <c r="L80" s="64" t="n">
        <f aca="false">IF(OR(K80="",J80=""),"",(J80-K80)*100)</f>
        <v>2.17448414148146</v>
      </c>
      <c r="M80" s="28" t="n">
        <v>2.1665403898083</v>
      </c>
      <c r="N80" s="28" t="n">
        <v>0.395142145636406</v>
      </c>
      <c r="O80" s="28" t="n">
        <f aca="false">SQRT(M80^2+N80^2)</f>
        <v>2.2022794046008</v>
      </c>
      <c r="P80" s="53" t="n">
        <f aca="false">IF(J80="","",MAX(0,J80-1.96*O80/100))</f>
        <v>0.560736298913635</v>
      </c>
      <c r="Q80" s="53" t="n">
        <f aca="false">IF(J80="","",MIN(1,J80+1.96*O80/100))</f>
        <v>0.647065651573987</v>
      </c>
      <c r="R80" s="25" t="str">
        <f aca="false">IF(L80="","",IF(ABS(L80)&lt;=O80,"Yes","No"))</f>
        <v>Yes</v>
      </c>
      <c r="S80" s="25" t="str">
        <f aca="false">IF(L80="","",IF(ABS(L80)&lt;=1.96*O80,"Yes","No"))</f>
        <v>Yes</v>
      </c>
      <c r="T80" s="52" t="n">
        <f aca="false">IF(D80="","",ROUND(SQRT(((D80+G80)*O80/100)^2+(J80*(D80+G80)*0.08889)^2),0))</f>
        <v>77</v>
      </c>
      <c r="U80" s="25"/>
    </row>
    <row r="81" customFormat="false" ht="15" hidden="false" customHeight="false" outlineLevel="0" collapsed="false">
      <c r="A81" s="25" t="s">
        <v>197</v>
      </c>
      <c r="B81" s="25" t="s">
        <v>199</v>
      </c>
      <c r="C81" s="25" t="s">
        <v>227</v>
      </c>
      <c r="D81" s="52" t="n">
        <v>469</v>
      </c>
      <c r="E81" s="52" t="n">
        <v>454</v>
      </c>
      <c r="F81" s="63" t="n">
        <f aca="false">IF(E81="","",D81-E81)</f>
        <v>15</v>
      </c>
      <c r="G81" s="52" t="n">
        <v>230</v>
      </c>
      <c r="H81" s="52" t="n">
        <v>218</v>
      </c>
      <c r="I81" s="63" t="n">
        <f aca="false">IF(H81="","",G81-H81)</f>
        <v>12</v>
      </c>
      <c r="J81" s="53" t="n">
        <f aca="false">IF(OR(D81="",D81+G81=0),"",D81/(D81+G81))</f>
        <v>0.670958512160229</v>
      </c>
      <c r="K81" s="53" t="n">
        <f aca="false">IF(E81="","",E81/(E81+H81))</f>
        <v>0.675595238095238</v>
      </c>
      <c r="L81" s="64" t="n">
        <f aca="false">IF(OR(K81="",J81=""),"",(J81-K81)*100)</f>
        <v>-0.463672593500919</v>
      </c>
      <c r="M81" s="28" t="n">
        <v>3.59869162464536</v>
      </c>
      <c r="N81" s="28" t="n">
        <v>0.395142145636406</v>
      </c>
      <c r="O81" s="28" t="n">
        <f aca="false">SQRT(M81^2+N81^2)</f>
        <v>3.62032025165603</v>
      </c>
      <c r="P81" s="53" t="n">
        <f aca="false">IF(J81="","",MAX(0,J81-1.96*O81/100))</f>
        <v>0.600000235227771</v>
      </c>
      <c r="Q81" s="53" t="n">
        <f aca="false">IF(J81="","",MIN(1,J81+1.96*O81/100))</f>
        <v>0.741916789092687</v>
      </c>
      <c r="R81" s="25" t="str">
        <f aca="false">IF(L81="","",IF(ABS(L81)&lt;=O81,"Yes","No"))</f>
        <v>Yes</v>
      </c>
      <c r="S81" s="25" t="str">
        <f aca="false">IF(L81="","",IF(ABS(L81)&lt;=1.96*O81,"Yes","No"))</f>
        <v>Yes</v>
      </c>
      <c r="T81" s="52" t="n">
        <f aca="false">IF(D81="","",ROUND(SQRT(((D81+G81)*O81/100)^2+(J81*(D81+G81)*0.1901)^2),0))</f>
        <v>93</v>
      </c>
      <c r="U81" s="25"/>
    </row>
    <row r="82" customFormat="false" ht="15" hidden="false" customHeight="false" outlineLevel="0" collapsed="false">
      <c r="A82" s="25" t="s">
        <v>197</v>
      </c>
      <c r="B82" s="25" t="s">
        <v>199</v>
      </c>
      <c r="C82" s="25" t="s">
        <v>228</v>
      </c>
      <c r="D82" s="52" t="n">
        <v>483</v>
      </c>
      <c r="E82" s="52" t="n">
        <v>502</v>
      </c>
      <c r="F82" s="63" t="n">
        <f aca="false">IF(E82="","",D82-E82)</f>
        <v>-19</v>
      </c>
      <c r="G82" s="52" t="n">
        <v>288</v>
      </c>
      <c r="H82" s="52" t="n">
        <v>274</v>
      </c>
      <c r="I82" s="63" t="n">
        <f aca="false">IF(H82="","",G82-H82)</f>
        <v>14</v>
      </c>
      <c r="J82" s="53" t="n">
        <f aca="false">IF(OR(D82="",D82+G82=0),"",D82/(D82+G82))</f>
        <v>0.626459143968872</v>
      </c>
      <c r="K82" s="53" t="n">
        <f aca="false">IF(E82="","",E82/(E82+H82))</f>
        <v>0.646907216494845</v>
      </c>
      <c r="L82" s="64" t="n">
        <f aca="false">IF(OR(K82="",J82=""),"",(J82-K82)*100)</f>
        <v>-2.04480725259738</v>
      </c>
      <c r="M82" s="28" t="n">
        <v>2.40127504711013</v>
      </c>
      <c r="N82" s="28" t="n">
        <v>0.395142145636406</v>
      </c>
      <c r="O82" s="28" t="n">
        <f aca="false">SQRT(M82^2+N82^2)</f>
        <v>2.43356922382165</v>
      </c>
      <c r="P82" s="53" t="n">
        <f aca="false">IF(J82="","",MAX(0,J82-1.96*O82/100))</f>
        <v>0.578761187181967</v>
      </c>
      <c r="Q82" s="53" t="n">
        <f aca="false">IF(J82="","",MIN(1,J82+1.96*O82/100))</f>
        <v>0.674157100755776</v>
      </c>
      <c r="R82" s="25" t="str">
        <f aca="false">IF(L82="","",IF(ABS(L82)&lt;=O82,"Yes","No"))</f>
        <v>Yes</v>
      </c>
      <c r="S82" s="25" t="str">
        <f aca="false">IF(L82="","",IF(ABS(L82)&lt;=1.96*O82,"Yes","No"))</f>
        <v>Yes</v>
      </c>
      <c r="T82" s="52" t="n">
        <f aca="false">IF(D82="","",ROUND(SQRT(((D82+G82)*O82/100)^2+(J82*(D82+G82)*0.10931)^2),0))</f>
        <v>56</v>
      </c>
      <c r="U82" s="25"/>
    </row>
    <row r="83" customFormat="false" ht="15" hidden="false" customHeight="false" outlineLevel="0" collapsed="false">
      <c r="A83" s="25" t="s">
        <v>197</v>
      </c>
      <c r="B83" s="25" t="s">
        <v>199</v>
      </c>
      <c r="C83" s="25" t="s">
        <v>229</v>
      </c>
      <c r="D83" s="52" t="n">
        <v>499</v>
      </c>
      <c r="E83" s="52" t="n">
        <v>502</v>
      </c>
      <c r="F83" s="63" t="n">
        <f aca="false">IF(E83="","",D83-E83)</f>
        <v>-3</v>
      </c>
      <c r="G83" s="52" t="n">
        <v>304</v>
      </c>
      <c r="H83" s="52" t="n">
        <v>283</v>
      </c>
      <c r="I83" s="63" t="n">
        <f aca="false">IF(H83="","",G83-H83)</f>
        <v>21</v>
      </c>
      <c r="J83" s="53" t="n">
        <f aca="false">IF(OR(D83="",D83+G83=0),"",D83/(D83+G83))</f>
        <v>0.621419676214197</v>
      </c>
      <c r="K83" s="53" t="n">
        <f aca="false">IF(E83="","",E83/(E83+H83))</f>
        <v>0.639490445859873</v>
      </c>
      <c r="L83" s="64" t="n">
        <f aca="false">IF(OR(K83="",J83=""),"",(J83-K83)*100)</f>
        <v>-1.80707696456758</v>
      </c>
      <c r="M83" s="28" t="n">
        <v>2.40127504711013</v>
      </c>
      <c r="N83" s="28" t="n">
        <v>0.395142145636406</v>
      </c>
      <c r="O83" s="28" t="n">
        <f aca="false">SQRT(M83^2+N83^2)</f>
        <v>2.43356922382165</v>
      </c>
      <c r="P83" s="53" t="n">
        <f aca="false">IF(J83="","",MAX(0,J83-1.96*O83/100))</f>
        <v>0.573721719427293</v>
      </c>
      <c r="Q83" s="53" t="n">
        <f aca="false">IF(J83="","",MIN(1,J83+1.96*O83/100))</f>
        <v>0.669117633001101</v>
      </c>
      <c r="R83" s="25" t="str">
        <f aca="false">IF(L83="","",IF(ABS(L83)&lt;=O83,"Yes","No"))</f>
        <v>Yes</v>
      </c>
      <c r="S83" s="25" t="str">
        <f aca="false">IF(L83="","",IF(ABS(L83)&lt;=1.96*O83,"Yes","No"))</f>
        <v>Yes</v>
      </c>
      <c r="T83" s="52" t="n">
        <f aca="false">IF(D83="","",ROUND(SQRT(((D83+G83)*O83/100)^2+(J83*(D83+G83)*0.10931)^2),0))</f>
        <v>58</v>
      </c>
      <c r="U83" s="25"/>
    </row>
    <row r="84" customFormat="false" ht="15" hidden="false" customHeight="false" outlineLevel="0" collapsed="false">
      <c r="A84" s="25" t="s">
        <v>197</v>
      </c>
      <c r="B84" s="25" t="s">
        <v>199</v>
      </c>
      <c r="C84" s="25" t="s">
        <v>230</v>
      </c>
      <c r="D84" s="52" t="n">
        <v>385</v>
      </c>
      <c r="E84" s="52"/>
      <c r="F84" s="63" t="str">
        <f aca="false">IF(E84="","",D84-E84)</f>
        <v/>
      </c>
      <c r="G84" s="52" t="n">
        <v>218</v>
      </c>
      <c r="H84" s="52"/>
      <c r="I84" s="63" t="str">
        <f aca="false">IF(H84="","",G84-H84)</f>
        <v/>
      </c>
      <c r="J84" s="53" t="n">
        <f aca="false">IF(OR(D84="",D84+G84=0),"",D84/(D84+G84))</f>
        <v>0.638474295190713</v>
      </c>
      <c r="K84" s="53" t="str">
        <f aca="false">IF(E84="","",E84/(E84+H84))</f>
        <v/>
      </c>
      <c r="L84" s="64" t="str">
        <f aca="false">IF(OR(K84="",J84=""),"",(J84-K84)*100)</f>
        <v/>
      </c>
      <c r="M84" s="28" t="n">
        <v>3.59869162464536</v>
      </c>
      <c r="N84" s="28" t="n">
        <v>0.395142145636406</v>
      </c>
      <c r="O84" s="28" t="n">
        <f aca="false">SQRT(M84^2+N84^2)</f>
        <v>3.62032025165603</v>
      </c>
      <c r="P84" s="53" t="n">
        <f aca="false">IF(J84="","",MAX(0,J84-1.96*O84/100))</f>
        <v>0.567516018258255</v>
      </c>
      <c r="Q84" s="53" t="n">
        <f aca="false">IF(J84="","",MIN(1,J84+1.96*O84/100))</f>
        <v>0.709432572123171</v>
      </c>
      <c r="R84" s="25" t="str">
        <f aca="false">IF(L84="","",IF(ABS(L84)&lt;=O84,"Yes","No"))</f>
        <v/>
      </c>
      <c r="S84" s="25" t="str">
        <f aca="false">IF(L84="","",IF(ABS(L84)&lt;=1.96*O84,"Yes","No"))</f>
        <v/>
      </c>
      <c r="T84" s="52" t="n">
        <f aca="false">IF(D84="","",ROUND(SQRT(((D84+G84)*O84/100)^2+(J84*(D84+G84)*0.1901)^2),0))</f>
        <v>76</v>
      </c>
      <c r="U84" s="25" t="s">
        <v>702</v>
      </c>
    </row>
    <row r="85" customFormat="false" ht="15" hidden="false" customHeight="false" outlineLevel="0" collapsed="false">
      <c r="A85" s="25" t="s">
        <v>197</v>
      </c>
      <c r="B85" s="25" t="s">
        <v>199</v>
      </c>
      <c r="C85" s="25" t="s">
        <v>232</v>
      </c>
      <c r="D85" s="52" t="n">
        <v>967</v>
      </c>
      <c r="E85" s="52"/>
      <c r="F85" s="63" t="str">
        <f aca="false">IF(E85="","",D85-E85)</f>
        <v/>
      </c>
      <c r="G85" s="52" t="n">
        <v>570</v>
      </c>
      <c r="H85" s="52"/>
      <c r="I85" s="63" t="str">
        <f aca="false">IF(H85="","",G85-H85)</f>
        <v/>
      </c>
      <c r="J85" s="53" t="n">
        <f aca="false">IF(OR(D85="",D85+G85=0),"",D85/(D85+G85))</f>
        <v>0.629147690305791</v>
      </c>
      <c r="K85" s="53" t="str">
        <f aca="false">IF(E85="","",E85/(E85+H85))</f>
        <v/>
      </c>
      <c r="L85" s="64" t="str">
        <f aca="false">IF(OR(K85="",J85=""),"",(J85-K85)*100)</f>
        <v/>
      </c>
      <c r="M85" s="28" t="n">
        <v>2.1665403898083</v>
      </c>
      <c r="N85" s="28" t="n">
        <v>0.395142145636406</v>
      </c>
      <c r="O85" s="28" t="n">
        <f aca="false">SQRT(M85^2+N85^2)</f>
        <v>2.2022794046008</v>
      </c>
      <c r="P85" s="53" t="n">
        <f aca="false">IF(J85="","",MAX(0,J85-1.96*O85/100))</f>
        <v>0.585983013975615</v>
      </c>
      <c r="Q85" s="53" t="n">
        <f aca="false">IF(J85="","",MIN(1,J85+1.96*O85/100))</f>
        <v>0.672312366635966</v>
      </c>
      <c r="R85" s="25" t="str">
        <f aca="false">IF(L85="","",IF(ABS(L85)&lt;=O85,"Yes","No"))</f>
        <v/>
      </c>
      <c r="S85" s="25" t="str">
        <f aca="false">IF(L85="","",IF(ABS(L85)&lt;=1.96*O85,"Yes","No"))</f>
        <v/>
      </c>
      <c r="T85" s="52" t="n">
        <f aca="false">IF(D85="","",ROUND(SQRT(((D85+G85)*O85/100)^2+(J85*(D85+G85)*0.08889)^2),0))</f>
        <v>92</v>
      </c>
      <c r="U85" s="25" t="s">
        <v>702</v>
      </c>
    </row>
    <row r="86" customFormat="false" ht="15" hidden="false" customHeight="false" outlineLevel="0" collapsed="false">
      <c r="A86" s="25" t="s">
        <v>197</v>
      </c>
      <c r="B86" s="25" t="s">
        <v>199</v>
      </c>
      <c r="C86" s="25" t="s">
        <v>234</v>
      </c>
      <c r="D86" s="52" t="n">
        <v>502</v>
      </c>
      <c r="E86" s="52" t="n">
        <v>488</v>
      </c>
      <c r="F86" s="63" t="n">
        <f aca="false">IF(E86="","",D86-E86)</f>
        <v>14</v>
      </c>
      <c r="G86" s="52" t="n">
        <v>248</v>
      </c>
      <c r="H86" s="52" t="n">
        <v>252</v>
      </c>
      <c r="I86" s="63" t="n">
        <f aca="false">IF(H86="","",G86-H86)</f>
        <v>-4</v>
      </c>
      <c r="J86" s="53" t="n">
        <f aca="false">IF(OR(D86="",D86+G86=0),"",D86/(D86+G86))</f>
        <v>0.669333333333333</v>
      </c>
      <c r="K86" s="53" t="n">
        <f aca="false">IF(E86="","",E86/(E86+H86))</f>
        <v>0.65945945945946</v>
      </c>
      <c r="L86" s="64" t="n">
        <f aca="false">IF(OR(K86="",J86=""),"",(J86-K86)*100)</f>
        <v>0.987387387387384</v>
      </c>
      <c r="M86" s="28" t="n">
        <v>3.59869162464536</v>
      </c>
      <c r="N86" s="28" t="n">
        <v>0.395142145636406</v>
      </c>
      <c r="O86" s="28" t="n">
        <f aca="false">SQRT(M86^2+N86^2)</f>
        <v>3.62032025165603</v>
      </c>
      <c r="P86" s="53" t="n">
        <f aca="false">IF(J86="","",MAX(0,J86-1.96*O86/100))</f>
        <v>0.598375056400875</v>
      </c>
      <c r="Q86" s="53" t="n">
        <f aca="false">IF(J86="","",MIN(1,J86+1.96*O86/100))</f>
        <v>0.740291610265792</v>
      </c>
      <c r="R86" s="25" t="str">
        <f aca="false">IF(L86="","",IF(ABS(L86)&lt;=O86,"Yes","No"))</f>
        <v>Yes</v>
      </c>
      <c r="S86" s="25" t="str">
        <f aca="false">IF(L86="","",IF(ABS(L86)&lt;=1.96*O86,"Yes","No"))</f>
        <v>Yes</v>
      </c>
      <c r="T86" s="52" t="n">
        <f aca="false">IF(D86="","",ROUND(SQRT(((D86+G86)*O86/100)^2+(J86*(D86+G86)*0.1901)^2),0))</f>
        <v>99</v>
      </c>
      <c r="U86" s="25"/>
    </row>
    <row r="87" customFormat="false" ht="15" hidden="false" customHeight="false" outlineLevel="0" collapsed="false">
      <c r="A87" s="25" t="s">
        <v>197</v>
      </c>
      <c r="B87" s="25" t="s">
        <v>199</v>
      </c>
      <c r="C87" s="25" t="s">
        <v>235</v>
      </c>
      <c r="D87" s="52" t="n">
        <v>630</v>
      </c>
      <c r="E87" s="52" t="n">
        <v>601</v>
      </c>
      <c r="F87" s="63" t="n">
        <f aca="false">IF(E87="","",D87-E87)</f>
        <v>29</v>
      </c>
      <c r="G87" s="52" t="n">
        <v>400</v>
      </c>
      <c r="H87" s="52" t="n">
        <v>394</v>
      </c>
      <c r="I87" s="63" t="n">
        <f aca="false">IF(H87="","",G87-H87)</f>
        <v>6</v>
      </c>
      <c r="J87" s="53" t="n">
        <f aca="false">IF(OR(D87="",D87+G87=0),"",D87/(D87+G87))</f>
        <v>0.611650485436893</v>
      </c>
      <c r="K87" s="53" t="n">
        <f aca="false">IF(E87="","",E87/(E87+H87))</f>
        <v>0.604020100502513</v>
      </c>
      <c r="L87" s="64" t="n">
        <f aca="false">IF(OR(K87="",J87=""),"",(J87-K87)*100)</f>
        <v>0.763038493438062</v>
      </c>
      <c r="M87" s="28" t="n">
        <v>2.40127504711013</v>
      </c>
      <c r="N87" s="28" t="n">
        <v>0.395142145636406</v>
      </c>
      <c r="O87" s="28" t="n">
        <f aca="false">SQRT(M87^2+N87^2)</f>
        <v>2.43356922382165</v>
      </c>
      <c r="P87" s="53" t="n">
        <f aca="false">IF(J87="","",MAX(0,J87-1.96*O87/100))</f>
        <v>0.563952528649989</v>
      </c>
      <c r="Q87" s="53" t="n">
        <f aca="false">IF(J87="","",MIN(1,J87+1.96*O87/100))</f>
        <v>0.659348442223797</v>
      </c>
      <c r="R87" s="25" t="str">
        <f aca="false">IF(L87="","",IF(ABS(L87)&lt;=O87,"Yes","No"))</f>
        <v>Yes</v>
      </c>
      <c r="S87" s="25" t="str">
        <f aca="false">IF(L87="","",IF(ABS(L87)&lt;=1.96*O87,"Yes","No"))</f>
        <v>Yes</v>
      </c>
      <c r="T87" s="52" t="n">
        <f aca="false">IF(D87="","",ROUND(SQRT(((D87+G87)*O87/100)^2+(J87*(D87+G87)*0.10931)^2),0))</f>
        <v>73</v>
      </c>
      <c r="U87" s="25"/>
    </row>
    <row r="88" customFormat="false" ht="15" hidden="false" customHeight="false" outlineLevel="0" collapsed="false">
      <c r="A88" s="25" t="s">
        <v>197</v>
      </c>
      <c r="B88" s="25" t="s">
        <v>199</v>
      </c>
      <c r="C88" s="25" t="s">
        <v>236</v>
      </c>
      <c r="D88" s="52" t="n">
        <v>17</v>
      </c>
      <c r="E88" s="52"/>
      <c r="F88" s="63" t="str">
        <f aca="false">IF(E88="","",D88-E88)</f>
        <v/>
      </c>
      <c r="G88" s="52" t="n">
        <v>12</v>
      </c>
      <c r="H88" s="52"/>
      <c r="I88" s="63" t="str">
        <f aca="false">IF(H88="","",G88-H88)</f>
        <v/>
      </c>
      <c r="J88" s="53" t="n">
        <f aca="false">IF(OR(D88="",D88+G88=0),"",D88/(D88+G88))</f>
        <v>0.586206896551724</v>
      </c>
      <c r="K88" s="53" t="str">
        <f aca="false">IF(E88="","",E88/(E88+H88))</f>
        <v/>
      </c>
      <c r="L88" s="64" t="str">
        <f aca="false">IF(OR(K88="",J88=""),"",(J88-K88)*100)</f>
        <v/>
      </c>
      <c r="M88" s="28" t="n">
        <v>3.59869162464536</v>
      </c>
      <c r="N88" s="28" t="n">
        <v>0.395142145636406</v>
      </c>
      <c r="O88" s="28" t="n">
        <f aca="false">SQRT(M88^2+N88^2)</f>
        <v>3.62032025165603</v>
      </c>
      <c r="P88" s="53" t="n">
        <f aca="false">IF(J88="","",MAX(0,J88-1.96*O88/100))</f>
        <v>0.515248619619266</v>
      </c>
      <c r="Q88" s="53" t="n">
        <f aca="false">IF(J88="","",MIN(1,J88+1.96*O88/100))</f>
        <v>0.657165173484182</v>
      </c>
      <c r="R88" s="25" t="str">
        <f aca="false">IF(L88="","",IF(ABS(L88)&lt;=O88,"Yes","No"))</f>
        <v/>
      </c>
      <c r="S88" s="25" t="str">
        <f aca="false">IF(L88="","",IF(ABS(L88)&lt;=1.96*O88,"Yes","No"))</f>
        <v/>
      </c>
      <c r="T88" s="52" t="n">
        <f aca="false">IF(D88="","",ROUND(SQRT(((D88+G88)*O88/100)^2+(J88*(D88+G88)*0.1901)^2),0))</f>
        <v>3</v>
      </c>
      <c r="U88" s="25" t="s">
        <v>702</v>
      </c>
    </row>
    <row r="89" customFormat="false" ht="15" hidden="false" customHeight="false" outlineLevel="0" collapsed="false">
      <c r="A89" s="25" t="s">
        <v>197</v>
      </c>
      <c r="B89" s="25" t="s">
        <v>199</v>
      </c>
      <c r="C89" s="25" t="s">
        <v>237</v>
      </c>
      <c r="D89" s="52" t="n">
        <v>350</v>
      </c>
      <c r="E89" s="52" t="n">
        <v>330</v>
      </c>
      <c r="F89" s="63" t="n">
        <f aca="false">IF(E89="","",D89-E89)</f>
        <v>20</v>
      </c>
      <c r="G89" s="52" t="n">
        <v>253</v>
      </c>
      <c r="H89" s="52" t="n">
        <v>270</v>
      </c>
      <c r="I89" s="63" t="n">
        <f aca="false">IF(H89="","",G89-H89)</f>
        <v>-17</v>
      </c>
      <c r="J89" s="53" t="n">
        <f aca="false">IF(OR(D89="",D89+G89=0),"",D89/(D89+G89))</f>
        <v>0.580431177446103</v>
      </c>
      <c r="K89" s="53" t="n">
        <f aca="false">IF(E89="","",E89/(E89+H89))</f>
        <v>0.55</v>
      </c>
      <c r="L89" s="64" t="n">
        <f aca="false">IF(OR(K89="",J89=""),"",(J89-K89)*100)</f>
        <v>3.04311774461028</v>
      </c>
      <c r="M89" s="28" t="n">
        <v>3.59869162464536</v>
      </c>
      <c r="N89" s="28" t="n">
        <v>0.395142145636406</v>
      </c>
      <c r="O89" s="28" t="n">
        <f aca="false">SQRT(M89^2+N89^2)</f>
        <v>3.62032025165603</v>
      </c>
      <c r="P89" s="53" t="n">
        <f aca="false">IF(J89="","",MAX(0,J89-1.96*O89/100))</f>
        <v>0.509472900513645</v>
      </c>
      <c r="Q89" s="53" t="n">
        <f aca="false">IF(J89="","",MIN(1,J89+1.96*O89/100))</f>
        <v>0.651389454378561</v>
      </c>
      <c r="R89" s="25" t="str">
        <f aca="false">IF(L89="","",IF(ABS(L89)&lt;=O89,"Yes","No"))</f>
        <v>Yes</v>
      </c>
      <c r="S89" s="25" t="str">
        <f aca="false">IF(L89="","",IF(ABS(L89)&lt;=1.96*O89,"Yes","No"))</f>
        <v>Yes</v>
      </c>
      <c r="T89" s="52" t="n">
        <f aca="false">IF(D89="","",ROUND(SQRT(((D89+G89)*O89/100)^2+(J89*(D89+G89)*0.1901)^2),0))</f>
        <v>70</v>
      </c>
      <c r="U89" s="25"/>
    </row>
    <row r="90" customFormat="false" ht="15" hidden="false" customHeight="false" outlineLevel="0" collapsed="false">
      <c r="A90" s="25" t="s">
        <v>197</v>
      </c>
      <c r="B90" s="25" t="s">
        <v>199</v>
      </c>
      <c r="C90" s="25" t="s">
        <v>238</v>
      </c>
      <c r="D90" s="52" t="n">
        <v>628</v>
      </c>
      <c r="E90" s="52" t="n">
        <v>591</v>
      </c>
      <c r="F90" s="63" t="n">
        <f aca="false">IF(E90="","",D90-E90)</f>
        <v>37</v>
      </c>
      <c r="G90" s="52" t="n">
        <v>303</v>
      </c>
      <c r="H90" s="52" t="n">
        <v>333</v>
      </c>
      <c r="I90" s="63" t="n">
        <f aca="false">IF(H90="","",G90-H90)</f>
        <v>-30</v>
      </c>
      <c r="J90" s="53" t="n">
        <f aca="false">IF(OR(D90="",D90+G90=0),"",D90/(D90+G90))</f>
        <v>0.674543501611171</v>
      </c>
      <c r="K90" s="53" t="n">
        <f aca="false">IF(E90="","",E90/(E90+H90))</f>
        <v>0.63961038961039</v>
      </c>
      <c r="L90" s="64" t="n">
        <f aca="false">IF(OR(K90="",J90=""),"",(J90-K90)*100)</f>
        <v>3.49331120007812</v>
      </c>
      <c r="M90" s="28" t="n">
        <v>2.40127504711013</v>
      </c>
      <c r="N90" s="28" t="n">
        <v>0.395142145636406</v>
      </c>
      <c r="O90" s="28" t="n">
        <f aca="false">SQRT(M90^2+N90^2)</f>
        <v>2.43356922382165</v>
      </c>
      <c r="P90" s="53" t="n">
        <f aca="false">IF(J90="","",MAX(0,J90-1.96*O90/100))</f>
        <v>0.626845544824267</v>
      </c>
      <c r="Q90" s="53" t="n">
        <f aca="false">IF(J90="","",MIN(1,J90+1.96*O90/100))</f>
        <v>0.722241458398075</v>
      </c>
      <c r="R90" s="25" t="str">
        <f aca="false">IF(L90="","",IF(ABS(L90)&lt;=O90,"Yes","No"))</f>
        <v>No</v>
      </c>
      <c r="S90" s="25" t="str">
        <f aca="false">IF(L90="","",IF(ABS(L90)&lt;=1.96*O90,"Yes","No"))</f>
        <v>Yes</v>
      </c>
      <c r="T90" s="52" t="n">
        <f aca="false">IF(D90="","",ROUND(SQRT(((D90+G90)*O90/100)^2+(J90*(D90+G90)*0.10931)^2),0))</f>
        <v>72</v>
      </c>
      <c r="U90" s="25"/>
    </row>
    <row r="91" customFormat="false" ht="15" hidden="false" customHeight="false" outlineLevel="0" collapsed="false">
      <c r="A91" s="25" t="s">
        <v>197</v>
      </c>
      <c r="B91" s="25" t="s">
        <v>199</v>
      </c>
      <c r="C91" s="25" t="s">
        <v>239</v>
      </c>
      <c r="D91" s="52" t="n">
        <v>348</v>
      </c>
      <c r="E91" s="52" t="n">
        <v>347</v>
      </c>
      <c r="F91" s="63" t="n">
        <f aca="false">IF(E91="","",D91-E91)</f>
        <v>1</v>
      </c>
      <c r="G91" s="52" t="n">
        <v>244</v>
      </c>
      <c r="H91" s="52" t="n">
        <v>243</v>
      </c>
      <c r="I91" s="63" t="n">
        <f aca="false">IF(H91="","",G91-H91)</f>
        <v>1</v>
      </c>
      <c r="J91" s="53" t="n">
        <f aca="false">IF(OR(D91="",D91+G91=0),"",D91/(D91+G91))</f>
        <v>0.587837837837838</v>
      </c>
      <c r="K91" s="53" t="n">
        <f aca="false">IF(E91="","",E91/(E91+H91))</f>
        <v>0.588135593220339</v>
      </c>
      <c r="L91" s="64" t="n">
        <f aca="false">IF(OR(K91="",J91=""),"",(J91-K91)*100)</f>
        <v>-0.0297755382501208</v>
      </c>
      <c r="M91" s="28" t="n">
        <v>3.59869162464536</v>
      </c>
      <c r="N91" s="28" t="n">
        <v>0.395142145636406</v>
      </c>
      <c r="O91" s="28" t="n">
        <f aca="false">SQRT(M91^2+N91^2)</f>
        <v>3.62032025165603</v>
      </c>
      <c r="P91" s="53" t="n">
        <f aca="false">IF(J91="","",MAX(0,J91-1.96*O91/100))</f>
        <v>0.51687956090538</v>
      </c>
      <c r="Q91" s="53" t="n">
        <f aca="false">IF(J91="","",MIN(1,J91+1.96*O91/100))</f>
        <v>0.658796114770296</v>
      </c>
      <c r="R91" s="25" t="str">
        <f aca="false">IF(L91="","",IF(ABS(L91)&lt;=O91,"Yes","No"))</f>
        <v>Yes</v>
      </c>
      <c r="S91" s="25" t="str">
        <f aca="false">IF(L91="","",IF(ABS(L91)&lt;=1.96*O91,"Yes","No"))</f>
        <v>Yes</v>
      </c>
      <c r="T91" s="52" t="n">
        <f aca="false">IF(D91="","",ROUND(SQRT(((D91+G91)*O91/100)^2+(J91*(D91+G91)*0.1901)^2),0))</f>
        <v>70</v>
      </c>
      <c r="U91" s="25"/>
    </row>
    <row r="92" customFormat="false" ht="15" hidden="false" customHeight="false" outlineLevel="0" collapsed="false">
      <c r="A92" s="25" t="s">
        <v>197</v>
      </c>
      <c r="B92" s="25" t="s">
        <v>199</v>
      </c>
      <c r="C92" s="25" t="s">
        <v>240</v>
      </c>
      <c r="D92" s="52" t="n">
        <v>471</v>
      </c>
      <c r="E92" s="52" t="n">
        <v>440</v>
      </c>
      <c r="F92" s="63" t="n">
        <f aca="false">IF(E92="","",D92-E92)</f>
        <v>31</v>
      </c>
      <c r="G92" s="52" t="n">
        <v>245</v>
      </c>
      <c r="H92" s="52" t="n">
        <v>259</v>
      </c>
      <c r="I92" s="63" t="n">
        <f aca="false">IF(H92="","",G92-H92)</f>
        <v>-14</v>
      </c>
      <c r="J92" s="53" t="n">
        <f aca="false">IF(OR(D92="",D92+G92=0),"",D92/(D92+G92))</f>
        <v>0.657821229050279</v>
      </c>
      <c r="K92" s="53" t="n">
        <f aca="false">IF(E92="","",E92/(E92+H92))</f>
        <v>0.629470672389127</v>
      </c>
      <c r="L92" s="64" t="n">
        <f aca="false">IF(OR(K92="",J92=""),"",(J92-K92)*100)</f>
        <v>2.83505566611519</v>
      </c>
      <c r="M92" s="28" t="n">
        <v>3.59869162464536</v>
      </c>
      <c r="N92" s="28" t="n">
        <v>0.395142145636406</v>
      </c>
      <c r="O92" s="28" t="n">
        <f aca="false">SQRT(M92^2+N92^2)</f>
        <v>3.62032025165603</v>
      </c>
      <c r="P92" s="53" t="n">
        <f aca="false">IF(J92="","",MAX(0,J92-1.96*O92/100))</f>
        <v>0.586862952117821</v>
      </c>
      <c r="Q92" s="53" t="n">
        <f aca="false">IF(J92="","",MIN(1,J92+1.96*O92/100))</f>
        <v>0.728779505982737</v>
      </c>
      <c r="R92" s="25" t="str">
        <f aca="false">IF(L92="","",IF(ABS(L92)&lt;=O92,"Yes","No"))</f>
        <v>Yes</v>
      </c>
      <c r="S92" s="25" t="str">
        <f aca="false">IF(L92="","",IF(ABS(L92)&lt;=1.96*O92,"Yes","No"))</f>
        <v>Yes</v>
      </c>
      <c r="T92" s="52" t="n">
        <f aca="false">IF(D92="","",ROUND(SQRT(((D92+G92)*O92/100)^2+(J92*(D92+G92)*0.1901)^2),0))</f>
        <v>93</v>
      </c>
      <c r="U92" s="25"/>
    </row>
    <row r="93" customFormat="false" ht="15" hidden="false" customHeight="false" outlineLevel="0" collapsed="false">
      <c r="A93" s="25" t="s">
        <v>197</v>
      </c>
      <c r="B93" s="25" t="s">
        <v>199</v>
      </c>
      <c r="C93" s="25" t="s">
        <v>241</v>
      </c>
      <c r="D93" s="52" t="n">
        <v>566</v>
      </c>
      <c r="E93" s="52" t="n">
        <v>553</v>
      </c>
      <c r="F93" s="63" t="n">
        <f aca="false">IF(E93="","",D93-E93)</f>
        <v>13</v>
      </c>
      <c r="G93" s="52" t="n">
        <v>407</v>
      </c>
      <c r="H93" s="52" t="n">
        <v>367</v>
      </c>
      <c r="I93" s="63" t="n">
        <f aca="false">IF(H93="","",G93-H93)</f>
        <v>40</v>
      </c>
      <c r="J93" s="53" t="n">
        <f aca="false">IF(OR(D93="",D93+G93=0),"",D93/(D93+G93))</f>
        <v>0.581706063720452</v>
      </c>
      <c r="K93" s="53" t="n">
        <f aca="false">IF(E93="","",E93/(E93+H93))</f>
        <v>0.601086956521739</v>
      </c>
      <c r="L93" s="64" t="n">
        <f aca="false">IF(OR(K93="",J93=""),"",(J93-K93)*100)</f>
        <v>-1.9380892801287</v>
      </c>
      <c r="M93" s="28" t="n">
        <v>2.40127504711013</v>
      </c>
      <c r="N93" s="28" t="n">
        <v>0.395142145636406</v>
      </c>
      <c r="O93" s="28" t="n">
        <f aca="false">SQRT(M93^2+N93^2)</f>
        <v>2.43356922382165</v>
      </c>
      <c r="P93" s="53" t="n">
        <f aca="false">IF(J93="","",MAX(0,J93-1.96*O93/100))</f>
        <v>0.534008106933548</v>
      </c>
      <c r="Q93" s="53" t="n">
        <f aca="false">IF(J93="","",MIN(1,J93+1.96*O93/100))</f>
        <v>0.629404020507356</v>
      </c>
      <c r="R93" s="25" t="str">
        <f aca="false">IF(L93="","",IF(ABS(L93)&lt;=O93,"Yes","No"))</f>
        <v>Yes</v>
      </c>
      <c r="S93" s="25" t="str">
        <f aca="false">IF(L93="","",IF(ABS(L93)&lt;=1.96*O93,"Yes","No"))</f>
        <v>Yes</v>
      </c>
      <c r="T93" s="52" t="n">
        <f aca="false">IF(D93="","",ROUND(SQRT(((D93+G93)*O93/100)^2+(J93*(D93+G93)*0.10931)^2),0))</f>
        <v>66</v>
      </c>
      <c r="U93" s="25"/>
    </row>
    <row r="94" customFormat="false" ht="15" hidden="false" customHeight="false" outlineLevel="0" collapsed="false">
      <c r="A94" s="25" t="s">
        <v>197</v>
      </c>
      <c r="B94" s="25" t="s">
        <v>199</v>
      </c>
      <c r="C94" s="25" t="s">
        <v>242</v>
      </c>
      <c r="D94" s="52" t="n">
        <v>1</v>
      </c>
      <c r="E94" s="52"/>
      <c r="F94" s="63" t="str">
        <f aca="false">IF(E94="","",D94-E94)</f>
        <v/>
      </c>
      <c r="G94" s="52" t="n">
        <v>1</v>
      </c>
      <c r="H94" s="52"/>
      <c r="I94" s="63" t="str">
        <f aca="false">IF(H94="","",G94-H94)</f>
        <v/>
      </c>
      <c r="J94" s="53" t="n">
        <f aca="false">IF(OR(D94="",D94+G94=0),"",D94/(D94+G94))</f>
        <v>0.5</v>
      </c>
      <c r="K94" s="53" t="str">
        <f aca="false">IF(E94="","",E94/(E94+H94))</f>
        <v/>
      </c>
      <c r="L94" s="64" t="str">
        <f aca="false">IF(OR(K94="",J94=""),"",(J94-K94)*100)</f>
        <v/>
      </c>
      <c r="M94" s="28" t="n">
        <v>3.59869162464536</v>
      </c>
      <c r="N94" s="28" t="n">
        <v>0.395142145636406</v>
      </c>
      <c r="O94" s="28" t="n">
        <f aca="false">SQRT(M94^2+N94^2)</f>
        <v>3.62032025165603</v>
      </c>
      <c r="P94" s="53" t="n">
        <f aca="false">IF(J94="","",MAX(0,J94-1.96*O94/100))</f>
        <v>0.429041723067542</v>
      </c>
      <c r="Q94" s="53" t="n">
        <f aca="false">IF(J94="","",MIN(1,J94+1.96*O94/100))</f>
        <v>0.570958276932458</v>
      </c>
      <c r="R94" s="25" t="str">
        <f aca="false">IF(L94="","",IF(ABS(L94)&lt;=O94,"Yes","No"))</f>
        <v/>
      </c>
      <c r="S94" s="25" t="str">
        <f aca="false">IF(L94="","",IF(ABS(L94)&lt;=1.96*O94,"Yes","No"))</f>
        <v/>
      </c>
      <c r="T94" s="52" t="n">
        <f aca="false">IF(D94="","",ROUND(SQRT(((D94+G94)*O94/100)^2+(J94*(D94+G94)*0.1901)^2),0))</f>
        <v>0</v>
      </c>
      <c r="U94" s="25" t="s">
        <v>702</v>
      </c>
    </row>
    <row r="95" customFormat="false" ht="15" hidden="false" customHeight="false" outlineLevel="0" collapsed="false">
      <c r="A95" s="25" t="s">
        <v>197</v>
      </c>
      <c r="B95" s="25" t="s">
        <v>199</v>
      </c>
      <c r="C95" s="25" t="s">
        <v>243</v>
      </c>
      <c r="D95" s="52" t="n">
        <v>860</v>
      </c>
      <c r="E95" s="52" t="n">
        <v>821</v>
      </c>
      <c r="F95" s="63" t="n">
        <f aca="false">IF(E95="","",D95-E95)</f>
        <v>39</v>
      </c>
      <c r="G95" s="52" t="n">
        <v>518</v>
      </c>
      <c r="H95" s="52" t="n">
        <v>504</v>
      </c>
      <c r="I95" s="63" t="n">
        <f aca="false">IF(H95="","",G95-H95)</f>
        <v>14</v>
      </c>
      <c r="J95" s="53" t="n">
        <f aca="false">IF(OR(D95="",D95+G95=0),"",D95/(D95+G95))</f>
        <v>0.624092888243832</v>
      </c>
      <c r="K95" s="53" t="n">
        <f aca="false">IF(E95="","",E95/(E95+H95))</f>
        <v>0.619622641509434</v>
      </c>
      <c r="L95" s="64" t="n">
        <f aca="false">IF(OR(K95="",J95=""),"",(J95-K95)*100)</f>
        <v>0.447024673439778</v>
      </c>
      <c r="M95" s="28" t="n">
        <v>2.1665403898083</v>
      </c>
      <c r="N95" s="28" t="n">
        <v>0.395142145636406</v>
      </c>
      <c r="O95" s="28" t="n">
        <f aca="false">SQRT(M95^2+N95^2)</f>
        <v>2.2022794046008</v>
      </c>
      <c r="P95" s="53" t="n">
        <f aca="false">IF(J95="","",MAX(0,J95-1.96*O95/100))</f>
        <v>0.580928211913656</v>
      </c>
      <c r="Q95" s="53" t="n">
        <f aca="false">IF(J95="","",MIN(1,J95+1.96*O95/100))</f>
        <v>0.667257564574007</v>
      </c>
      <c r="R95" s="25" t="str">
        <f aca="false">IF(L95="","",IF(ABS(L95)&lt;=O95,"Yes","No"))</f>
        <v>Yes</v>
      </c>
      <c r="S95" s="25" t="str">
        <f aca="false">IF(L95="","",IF(ABS(L95)&lt;=1.96*O95,"Yes","No"))</f>
        <v>Yes</v>
      </c>
      <c r="T95" s="52" t="n">
        <f aca="false">IF(D95="","",ROUND(SQRT(((D95+G95)*O95/100)^2+(J95*(D95+G95)*0.08889)^2),0))</f>
        <v>82</v>
      </c>
      <c r="U95" s="25"/>
    </row>
    <row r="96" customFormat="false" ht="15" hidden="false" customHeight="false" outlineLevel="0" collapsed="false">
      <c r="A96" s="25" t="s">
        <v>197</v>
      </c>
      <c r="B96" s="25" t="s">
        <v>199</v>
      </c>
      <c r="C96" s="25" t="s">
        <v>244</v>
      </c>
      <c r="D96" s="52" t="n">
        <v>523</v>
      </c>
      <c r="E96" s="52" t="n">
        <v>487</v>
      </c>
      <c r="F96" s="63" t="n">
        <f aca="false">IF(E96="","",D96-E96)</f>
        <v>36</v>
      </c>
      <c r="G96" s="52" t="n">
        <v>147</v>
      </c>
      <c r="H96" s="52" t="n">
        <v>191</v>
      </c>
      <c r="I96" s="63" t="n">
        <f aca="false">IF(H96="","",G96-H96)</f>
        <v>-44</v>
      </c>
      <c r="J96" s="53" t="n">
        <f aca="false">IF(OR(D96="",D96+G96=0),"",D96/(D96+G96))</f>
        <v>0.780597014925373</v>
      </c>
      <c r="K96" s="53" t="n">
        <f aca="false">IF(E96="","",E96/(E96+H96))</f>
        <v>0.718289085545723</v>
      </c>
      <c r="L96" s="64" t="n">
        <f aca="false">IF(OR(K96="",J96=""),"",(J96-K96)*100)</f>
        <v>6.23079293796505</v>
      </c>
      <c r="M96" s="28" t="n">
        <v>3.59869162464536</v>
      </c>
      <c r="N96" s="28" t="n">
        <v>0.395142145636406</v>
      </c>
      <c r="O96" s="28" t="n">
        <f aca="false">SQRT(M96^2+N96^2)</f>
        <v>3.62032025165603</v>
      </c>
      <c r="P96" s="53" t="n">
        <f aca="false">IF(J96="","",MAX(0,J96-1.96*O96/100))</f>
        <v>0.709638737992915</v>
      </c>
      <c r="Q96" s="53" t="n">
        <f aca="false">IF(J96="","",MIN(1,J96+1.96*O96/100))</f>
        <v>0.851555291857831</v>
      </c>
      <c r="R96" s="25" t="str">
        <f aca="false">IF(L96="","",IF(ABS(L96)&lt;=O96,"Yes","No"))</f>
        <v>No</v>
      </c>
      <c r="S96" s="25" t="str">
        <f aca="false">IF(L96="","",IF(ABS(L96)&lt;=1.96*O96,"Yes","No"))</f>
        <v>Yes</v>
      </c>
      <c r="T96" s="52" t="n">
        <f aca="false">IF(D96="","",ROUND(SQRT(((D96+G96)*O96/100)^2+(J96*(D96+G96)*0.1901)^2),0))</f>
        <v>102</v>
      </c>
      <c r="U96" s="25"/>
    </row>
    <row r="97" customFormat="false" ht="15" hidden="false" customHeight="false" outlineLevel="0" collapsed="false">
      <c r="A97" s="25" t="s">
        <v>197</v>
      </c>
      <c r="B97" s="25" t="s">
        <v>199</v>
      </c>
      <c r="C97" s="25" t="s">
        <v>245</v>
      </c>
      <c r="D97" s="52" t="n">
        <v>483</v>
      </c>
      <c r="E97" s="52" t="n">
        <v>418</v>
      </c>
      <c r="F97" s="63" t="n">
        <f aca="false">IF(E97="","",D97-E97)</f>
        <v>65</v>
      </c>
      <c r="G97" s="52" t="n">
        <v>149</v>
      </c>
      <c r="H97" s="52" t="n">
        <v>181</v>
      </c>
      <c r="I97" s="63" t="n">
        <f aca="false">IF(H97="","",G97-H97)</f>
        <v>-32</v>
      </c>
      <c r="J97" s="53" t="n">
        <f aca="false">IF(OR(D97="",D97+G97=0),"",D97/(D97+G97))</f>
        <v>0.764240506329114</v>
      </c>
      <c r="K97" s="53" t="n">
        <f aca="false">IF(E97="","",E97/(E97+H97))</f>
        <v>0.697829716193656</v>
      </c>
      <c r="L97" s="64" t="n">
        <f aca="false">IF(OR(K97="",J97=""),"",(J97-K97)*100)</f>
        <v>6.64107901354578</v>
      </c>
      <c r="M97" s="28" t="n">
        <v>3.59869162464536</v>
      </c>
      <c r="N97" s="28" t="n">
        <v>0.395142145636406</v>
      </c>
      <c r="O97" s="28" t="n">
        <f aca="false">SQRT(M97^2+N97^2)</f>
        <v>3.62032025165603</v>
      </c>
      <c r="P97" s="53" t="n">
        <f aca="false">IF(J97="","",MAX(0,J97-1.96*O97/100))</f>
        <v>0.693282229396656</v>
      </c>
      <c r="Q97" s="53" t="n">
        <f aca="false">IF(J97="","",MIN(1,J97+1.96*O97/100))</f>
        <v>0.835198783261572</v>
      </c>
      <c r="R97" s="25" t="str">
        <f aca="false">IF(L97="","",IF(ABS(L97)&lt;=O97,"Yes","No"))</f>
        <v>No</v>
      </c>
      <c r="S97" s="25" t="str">
        <f aca="false">IF(L97="","",IF(ABS(L97)&lt;=1.96*O97,"Yes","No"))</f>
        <v>Yes</v>
      </c>
      <c r="T97" s="52" t="n">
        <f aca="false">IF(D97="","",ROUND(SQRT(((D97+G97)*O97/100)^2+(J97*(D97+G97)*0.1901)^2),0))</f>
        <v>95</v>
      </c>
      <c r="U97" s="25"/>
    </row>
    <row r="98" customFormat="false" ht="15" hidden="false" customHeight="false" outlineLevel="0" collapsed="false">
      <c r="A98" s="25" t="s">
        <v>197</v>
      </c>
      <c r="B98" s="25" t="s">
        <v>199</v>
      </c>
      <c r="C98" s="25" t="s">
        <v>246</v>
      </c>
      <c r="D98" s="52" t="n">
        <v>678</v>
      </c>
      <c r="E98" s="52" t="n">
        <v>677</v>
      </c>
      <c r="F98" s="63" t="n">
        <f aca="false">IF(E98="","",D98-E98)</f>
        <v>1</v>
      </c>
      <c r="G98" s="52" t="n">
        <v>188</v>
      </c>
      <c r="H98" s="52" t="n">
        <v>264</v>
      </c>
      <c r="I98" s="63" t="n">
        <f aca="false">IF(H98="","",G98-H98)</f>
        <v>-76</v>
      </c>
      <c r="J98" s="53" t="n">
        <f aca="false">IF(OR(D98="",D98+G98=0),"",D98/(D98+G98))</f>
        <v>0.782909930715935</v>
      </c>
      <c r="K98" s="53" t="n">
        <f aca="false">IF(E98="","",E98/(E98+H98))</f>
        <v>0.719447396386823</v>
      </c>
      <c r="L98" s="64" t="n">
        <f aca="false">IF(OR(K98="",J98=""),"",(J98-K98)*100)</f>
        <v>6.34625343291128</v>
      </c>
      <c r="M98" s="28" t="n">
        <v>2.40127504711013</v>
      </c>
      <c r="N98" s="28" t="n">
        <v>0.395142145636406</v>
      </c>
      <c r="O98" s="28" t="n">
        <f aca="false">SQRT(M98^2+N98^2)</f>
        <v>2.43356922382165</v>
      </c>
      <c r="P98" s="53" t="n">
        <f aca="false">IF(J98="","",MAX(0,J98-1.96*O98/100))</f>
        <v>0.735211973929031</v>
      </c>
      <c r="Q98" s="53" t="n">
        <f aca="false">IF(J98="","",MIN(1,J98+1.96*O98/100))</f>
        <v>0.83060788750284</v>
      </c>
      <c r="R98" s="25" t="str">
        <f aca="false">IF(L98="","",IF(ABS(L98)&lt;=O98,"Yes","No"))</f>
        <v>No</v>
      </c>
      <c r="S98" s="25" t="str">
        <f aca="false">IF(L98="","",IF(ABS(L98)&lt;=1.96*O98,"Yes","No"))</f>
        <v>No</v>
      </c>
      <c r="T98" s="52" t="n">
        <f aca="false">IF(D98="","",ROUND(SQRT(((D98+G98)*O98/100)^2+(J98*(D98+G98)*0.10931)^2),0))</f>
        <v>77</v>
      </c>
      <c r="U98" s="25"/>
    </row>
    <row r="99" customFormat="false" ht="15" hidden="false" customHeight="false" outlineLevel="0" collapsed="false">
      <c r="A99" s="25" t="s">
        <v>197</v>
      </c>
      <c r="B99" s="25" t="s">
        <v>199</v>
      </c>
      <c r="C99" s="25" t="s">
        <v>247</v>
      </c>
      <c r="D99" s="52" t="n">
        <v>306</v>
      </c>
      <c r="E99" s="52" t="n">
        <v>283</v>
      </c>
      <c r="F99" s="63" t="n">
        <f aca="false">IF(E99="","",D99-E99)</f>
        <v>23</v>
      </c>
      <c r="G99" s="52" t="n">
        <v>106</v>
      </c>
      <c r="H99" s="52" t="n">
        <v>138</v>
      </c>
      <c r="I99" s="63" t="n">
        <f aca="false">IF(H99="","",G99-H99)</f>
        <v>-32</v>
      </c>
      <c r="J99" s="53" t="n">
        <f aca="false">IF(OR(D99="",D99+G99=0),"",D99/(D99+G99))</f>
        <v>0.742718446601942</v>
      </c>
      <c r="K99" s="53" t="n">
        <f aca="false">IF(E99="","",E99/(E99+H99))</f>
        <v>0.672209026128266</v>
      </c>
      <c r="L99" s="64" t="n">
        <f aca="false">IF(OR(K99="",J99=""),"",(J99-K99)*100)</f>
        <v>7.05094204736757</v>
      </c>
      <c r="M99" s="28" t="n">
        <v>3.59869162464536</v>
      </c>
      <c r="N99" s="28" t="n">
        <v>0.395142145636406</v>
      </c>
      <c r="O99" s="28" t="n">
        <f aca="false">SQRT(M99^2+N99^2)</f>
        <v>3.62032025165603</v>
      </c>
      <c r="P99" s="53" t="n">
        <f aca="false">IF(J99="","",MAX(0,J99-1.96*O99/100))</f>
        <v>0.671760169669484</v>
      </c>
      <c r="Q99" s="53" t="n">
        <f aca="false">IF(J99="","",MIN(1,J99+1.96*O99/100))</f>
        <v>0.8136767235344</v>
      </c>
      <c r="R99" s="25" t="str">
        <f aca="false">IF(L99="","",IF(ABS(L99)&lt;=O99,"Yes","No"))</f>
        <v>No</v>
      </c>
      <c r="S99" s="25" t="str">
        <f aca="false">IF(L99="","",IF(ABS(L99)&lt;=1.96*O99,"Yes","No"))</f>
        <v>Yes</v>
      </c>
      <c r="T99" s="52" t="n">
        <f aca="false">IF(D99="","",ROUND(SQRT(((D99+G99)*O99/100)^2+(J99*(D99+G99)*0.1901)^2),0))</f>
        <v>60</v>
      </c>
      <c r="U99" s="25"/>
    </row>
    <row r="100" customFormat="false" ht="15" hidden="false" customHeight="false" outlineLevel="0" collapsed="false">
      <c r="A100" s="25" t="s">
        <v>197</v>
      </c>
      <c r="B100" s="25" t="s">
        <v>199</v>
      </c>
      <c r="C100" s="25" t="s">
        <v>248</v>
      </c>
      <c r="D100" s="52" t="n">
        <v>474</v>
      </c>
      <c r="E100" s="52" t="n">
        <v>447</v>
      </c>
      <c r="F100" s="63" t="n">
        <f aca="false">IF(E100="","",D100-E100)</f>
        <v>27</v>
      </c>
      <c r="G100" s="52" t="n">
        <v>136</v>
      </c>
      <c r="H100" s="52" t="n">
        <v>152</v>
      </c>
      <c r="I100" s="63" t="n">
        <f aca="false">IF(H100="","",G100-H100)</f>
        <v>-16</v>
      </c>
      <c r="J100" s="53" t="n">
        <f aca="false">IF(OR(D100="",D100+G100=0),"",D100/(D100+G100))</f>
        <v>0.777049180327869</v>
      </c>
      <c r="K100" s="53" t="n">
        <f aca="false">IF(E100="","",E100/(E100+H100))</f>
        <v>0.746243739565943</v>
      </c>
      <c r="L100" s="64" t="n">
        <f aca="false">IF(OR(K100="",J100=""),"",(J100-K100)*100)</f>
        <v>3.08054407619256</v>
      </c>
      <c r="M100" s="28" t="n">
        <v>3.59869162464536</v>
      </c>
      <c r="N100" s="28" t="n">
        <v>0.395142145636406</v>
      </c>
      <c r="O100" s="28" t="n">
        <f aca="false">SQRT(M100^2+N100^2)</f>
        <v>3.62032025165603</v>
      </c>
      <c r="P100" s="53" t="n">
        <f aca="false">IF(J100="","",MAX(0,J100-1.96*O100/100))</f>
        <v>0.706090903395411</v>
      </c>
      <c r="Q100" s="53" t="n">
        <f aca="false">IF(J100="","",MIN(1,J100+1.96*O100/100))</f>
        <v>0.848007457260327</v>
      </c>
      <c r="R100" s="25" t="str">
        <f aca="false">IF(L100="","",IF(ABS(L100)&lt;=O100,"Yes","No"))</f>
        <v>Yes</v>
      </c>
      <c r="S100" s="25" t="str">
        <f aca="false">IF(L100="","",IF(ABS(L100)&lt;=1.96*O100,"Yes","No"))</f>
        <v>Yes</v>
      </c>
      <c r="T100" s="52" t="n">
        <f aca="false">IF(D100="","",ROUND(SQRT(((D100+G100)*O100/100)^2+(J100*(D100+G100)*0.1901)^2),0))</f>
        <v>93</v>
      </c>
      <c r="U100" s="25"/>
    </row>
    <row r="101" customFormat="false" ht="15" hidden="false" customHeight="false" outlineLevel="0" collapsed="false">
      <c r="A101" s="25" t="s">
        <v>197</v>
      </c>
      <c r="B101" s="25" t="s">
        <v>199</v>
      </c>
      <c r="C101" s="25" t="s">
        <v>249</v>
      </c>
      <c r="D101" s="52" t="n">
        <v>247</v>
      </c>
      <c r="E101" s="52" t="n">
        <v>179</v>
      </c>
      <c r="F101" s="63" t="n">
        <f aca="false">IF(E101="","",D101-E101)</f>
        <v>68</v>
      </c>
      <c r="G101" s="52" t="n">
        <v>78</v>
      </c>
      <c r="H101" s="52" t="n">
        <v>112</v>
      </c>
      <c r="I101" s="63" t="n">
        <f aca="false">IF(H101="","",G101-H101)</f>
        <v>-34</v>
      </c>
      <c r="J101" s="53" t="n">
        <f aca="false">IF(OR(D101="",D101+G101=0),"",D101/(D101+G101))</f>
        <v>0.76</v>
      </c>
      <c r="K101" s="53" t="n">
        <f aca="false">IF(E101="","",E101/(E101+H101))</f>
        <v>0.615120274914089</v>
      </c>
      <c r="L101" s="64" t="n">
        <f aca="false">IF(OR(K101="",J101=""),"",(J101-K101)*100)</f>
        <v>14.4879725085911</v>
      </c>
      <c r="M101" s="28" t="n">
        <v>3.59869162464536</v>
      </c>
      <c r="N101" s="28" t="n">
        <v>0.395142145636406</v>
      </c>
      <c r="O101" s="28" t="n">
        <f aca="false">SQRT(M101^2+N101^2)</f>
        <v>3.62032025165603</v>
      </c>
      <c r="P101" s="53" t="n">
        <f aca="false">IF(J101="","",MAX(0,J101-1.96*O101/100))</f>
        <v>0.689041723067542</v>
      </c>
      <c r="Q101" s="53" t="n">
        <f aca="false">IF(J101="","",MIN(1,J101+1.96*O101/100))</f>
        <v>0.830958276932458</v>
      </c>
      <c r="R101" s="25" t="str">
        <f aca="false">IF(L101="","",IF(ABS(L101)&lt;=O101,"Yes","No"))</f>
        <v>No</v>
      </c>
      <c r="S101" s="25" t="str">
        <f aca="false">IF(L101="","",IF(ABS(L101)&lt;=1.96*O101,"Yes","No"))</f>
        <v>No</v>
      </c>
      <c r="T101" s="52" t="n">
        <f aca="false">IF(D101="","",ROUND(SQRT(((D101+G101)*O101/100)^2+(J101*(D101+G101)*0.1901)^2),0))</f>
        <v>48</v>
      </c>
      <c r="U101" s="25"/>
    </row>
    <row r="102" customFormat="false" ht="15" hidden="false" customHeight="false" outlineLevel="0" collapsed="false">
      <c r="A102" s="25" t="s">
        <v>197</v>
      </c>
      <c r="B102" s="25" t="s">
        <v>199</v>
      </c>
      <c r="C102" s="25" t="s">
        <v>250</v>
      </c>
      <c r="D102" s="52" t="n">
        <v>390</v>
      </c>
      <c r="E102" s="52" t="n">
        <v>357</v>
      </c>
      <c r="F102" s="63" t="n">
        <f aca="false">IF(E102="","",D102-E102)</f>
        <v>33</v>
      </c>
      <c r="G102" s="52" t="n">
        <v>178</v>
      </c>
      <c r="H102" s="52" t="n">
        <v>225</v>
      </c>
      <c r="I102" s="63" t="n">
        <f aca="false">IF(H102="","",G102-H102)</f>
        <v>-47</v>
      </c>
      <c r="J102" s="53" t="n">
        <f aca="false">IF(OR(D102="",D102+G102=0),"",D102/(D102+G102))</f>
        <v>0.686619718309859</v>
      </c>
      <c r="K102" s="53" t="n">
        <f aca="false">IF(E102="","",E102/(E102+H102))</f>
        <v>0.61340206185567</v>
      </c>
      <c r="L102" s="64" t="n">
        <f aca="false">IF(OR(K102="",J102=""),"",(J102-K102)*100)</f>
        <v>7.3217656454189</v>
      </c>
      <c r="M102" s="28" t="n">
        <v>3.59869162464536</v>
      </c>
      <c r="N102" s="28" t="n">
        <v>0.395142145636406</v>
      </c>
      <c r="O102" s="28" t="n">
        <f aca="false">SQRT(M102^2+N102^2)</f>
        <v>3.62032025165603</v>
      </c>
      <c r="P102" s="53" t="n">
        <f aca="false">IF(J102="","",MAX(0,J102-1.96*O102/100))</f>
        <v>0.615661441377401</v>
      </c>
      <c r="Q102" s="53" t="n">
        <f aca="false">IF(J102="","",MIN(1,J102+1.96*O102/100))</f>
        <v>0.757577995242317</v>
      </c>
      <c r="R102" s="25" t="str">
        <f aca="false">IF(L102="","",IF(ABS(L102)&lt;=O102,"Yes","No"))</f>
        <v>No</v>
      </c>
      <c r="S102" s="25" t="str">
        <f aca="false">IF(L102="","",IF(ABS(L102)&lt;=1.96*O102,"Yes","No"))</f>
        <v>No</v>
      </c>
      <c r="T102" s="52" t="n">
        <f aca="false">IF(D102="","",ROUND(SQRT(((D102+G102)*O102/100)^2+(J102*(D102+G102)*0.1901)^2),0))</f>
        <v>77</v>
      </c>
      <c r="U102" s="25"/>
    </row>
    <row r="103" customFormat="false" ht="15" hidden="false" customHeight="false" outlineLevel="0" collapsed="false">
      <c r="A103" s="25" t="s">
        <v>197</v>
      </c>
      <c r="B103" s="25" t="s">
        <v>199</v>
      </c>
      <c r="C103" s="25" t="s">
        <v>251</v>
      </c>
      <c r="D103" s="52" t="n">
        <v>597</v>
      </c>
      <c r="E103" s="52" t="n">
        <v>520</v>
      </c>
      <c r="F103" s="63" t="n">
        <f aca="false">IF(E103="","",D103-E103)</f>
        <v>77</v>
      </c>
      <c r="G103" s="52" t="n">
        <v>186</v>
      </c>
      <c r="H103" s="52" t="n">
        <v>193</v>
      </c>
      <c r="I103" s="63" t="n">
        <f aca="false">IF(H103="","",G103-H103)</f>
        <v>-7</v>
      </c>
      <c r="J103" s="53" t="n">
        <f aca="false">IF(OR(D103="",D103+G103=0),"",D103/(D103+G103))</f>
        <v>0.762452107279694</v>
      </c>
      <c r="K103" s="53" t="n">
        <f aca="false">IF(E103="","",E103/(E103+H103))</f>
        <v>0.729312762973352</v>
      </c>
      <c r="L103" s="64" t="n">
        <f aca="false">IF(OR(K103="",J103=""),"",(J103-K103)*100)</f>
        <v>3.31393443063415</v>
      </c>
      <c r="M103" s="28" t="n">
        <v>2.40127504711013</v>
      </c>
      <c r="N103" s="28" t="n">
        <v>0.395142145636406</v>
      </c>
      <c r="O103" s="28" t="n">
        <f aca="false">SQRT(M103^2+N103^2)</f>
        <v>2.43356922382165</v>
      </c>
      <c r="P103" s="53" t="n">
        <f aca="false">IF(J103="","",MAX(0,J103-1.96*O103/100))</f>
        <v>0.714754150492789</v>
      </c>
      <c r="Q103" s="53" t="n">
        <f aca="false">IF(J103="","",MIN(1,J103+1.96*O103/100))</f>
        <v>0.810150064066598</v>
      </c>
      <c r="R103" s="25" t="str">
        <f aca="false">IF(L103="","",IF(ABS(L103)&lt;=O103,"Yes","No"))</f>
        <v>No</v>
      </c>
      <c r="S103" s="25" t="str">
        <f aca="false">IF(L103="","",IF(ABS(L103)&lt;=1.96*O103,"Yes","No"))</f>
        <v>Yes</v>
      </c>
      <c r="T103" s="52" t="n">
        <f aca="false">IF(D103="","",ROUND(SQRT(((D103+G103)*O103/100)^2+(J103*(D103+G103)*0.10931)^2),0))</f>
        <v>68</v>
      </c>
      <c r="U103" s="25"/>
    </row>
    <row r="104" customFormat="false" ht="15" hidden="false" customHeight="false" outlineLevel="0" collapsed="false">
      <c r="A104" s="25" t="s">
        <v>197</v>
      </c>
      <c r="B104" s="25" t="s">
        <v>199</v>
      </c>
      <c r="C104" s="25" t="s">
        <v>252</v>
      </c>
      <c r="D104" s="52" t="n">
        <v>236</v>
      </c>
      <c r="E104" s="52" t="n">
        <v>218</v>
      </c>
      <c r="F104" s="63" t="n">
        <f aca="false">IF(E104="","",D104-E104)</f>
        <v>18</v>
      </c>
      <c r="G104" s="52" t="n">
        <v>70</v>
      </c>
      <c r="H104" s="52" t="n">
        <v>86</v>
      </c>
      <c r="I104" s="63" t="n">
        <f aca="false">IF(H104="","",G104-H104)</f>
        <v>-16</v>
      </c>
      <c r="J104" s="53" t="n">
        <f aca="false">IF(OR(D104="",D104+G104=0),"",D104/(D104+G104))</f>
        <v>0.77124183006536</v>
      </c>
      <c r="K104" s="53" t="n">
        <f aca="false">IF(E104="","",E104/(E104+H104))</f>
        <v>0.717105263157895</v>
      </c>
      <c r="L104" s="64" t="n">
        <f aca="false">IF(OR(K104="",J104=""),"",(J104-K104)*100)</f>
        <v>5.41365669074648</v>
      </c>
      <c r="M104" s="28" t="n">
        <v>3.59869162464536</v>
      </c>
      <c r="N104" s="28" t="n">
        <v>0.395142145636406</v>
      </c>
      <c r="O104" s="28" t="n">
        <f aca="false">SQRT(M104^2+N104^2)</f>
        <v>3.62032025165603</v>
      </c>
      <c r="P104" s="53" t="n">
        <f aca="false">IF(J104="","",MAX(0,J104-1.96*O104/100))</f>
        <v>0.700283553132901</v>
      </c>
      <c r="Q104" s="53" t="n">
        <f aca="false">IF(J104="","",MIN(1,J104+1.96*O104/100))</f>
        <v>0.842200106997818</v>
      </c>
      <c r="R104" s="25" t="str">
        <f aca="false">IF(L104="","",IF(ABS(L104)&lt;=O104,"Yes","No"))</f>
        <v>No</v>
      </c>
      <c r="S104" s="25" t="str">
        <f aca="false">IF(L104="","",IF(ABS(L104)&lt;=1.96*O104,"Yes","No"))</f>
        <v>Yes</v>
      </c>
      <c r="T104" s="52" t="n">
        <f aca="false">IF(D104="","",ROUND(SQRT(((D104+G104)*O104/100)^2+(J104*(D104+G104)*0.1901)^2),0))</f>
        <v>46</v>
      </c>
      <c r="U104" s="25"/>
    </row>
    <row r="105" customFormat="false" ht="15" hidden="false" customHeight="false" outlineLevel="0" collapsed="false">
      <c r="A105" s="25" t="s">
        <v>197</v>
      </c>
      <c r="B105" s="25" t="s">
        <v>199</v>
      </c>
      <c r="C105" s="25" t="s">
        <v>253</v>
      </c>
      <c r="D105" s="52" t="n">
        <v>268</v>
      </c>
      <c r="E105" s="52" t="n">
        <v>262</v>
      </c>
      <c r="F105" s="63" t="n">
        <f aca="false">IF(E105="","",D105-E105)</f>
        <v>6</v>
      </c>
      <c r="G105" s="52" t="n">
        <v>72</v>
      </c>
      <c r="H105" s="52" t="n">
        <v>109</v>
      </c>
      <c r="I105" s="63" t="n">
        <f aca="false">IF(H105="","",G105-H105)</f>
        <v>-37</v>
      </c>
      <c r="J105" s="53" t="n">
        <f aca="false">IF(OR(D105="",D105+G105=0),"",D105/(D105+G105))</f>
        <v>0.788235294117647</v>
      </c>
      <c r="K105" s="53" t="n">
        <f aca="false">IF(E105="","",E105/(E105+H105))</f>
        <v>0.706199460916442</v>
      </c>
      <c r="L105" s="64" t="n">
        <f aca="false">IF(OR(K105="",J105=""),"",(J105-K105)*100)</f>
        <v>8.2035833201205</v>
      </c>
      <c r="M105" s="28" t="n">
        <v>3.59869162464536</v>
      </c>
      <c r="N105" s="28" t="n">
        <v>0.395142145636406</v>
      </c>
      <c r="O105" s="28" t="n">
        <f aca="false">SQRT(M105^2+N105^2)</f>
        <v>3.62032025165603</v>
      </c>
      <c r="P105" s="53" t="n">
        <f aca="false">IF(J105="","",MAX(0,J105-1.96*O105/100))</f>
        <v>0.717277017185189</v>
      </c>
      <c r="Q105" s="53" t="n">
        <f aca="false">IF(J105="","",MIN(1,J105+1.96*O105/100))</f>
        <v>0.859193571050105</v>
      </c>
      <c r="R105" s="25" t="str">
        <f aca="false">IF(L105="","",IF(ABS(L105)&lt;=O105,"Yes","No"))</f>
        <v>No</v>
      </c>
      <c r="S105" s="25" t="str">
        <f aca="false">IF(L105="","",IF(ABS(L105)&lt;=1.96*O105,"Yes","No"))</f>
        <v>No</v>
      </c>
      <c r="T105" s="52" t="n">
        <f aca="false">IF(D105="","",ROUND(SQRT(((D105+G105)*O105/100)^2+(J105*(D105+G105)*0.1901)^2),0))</f>
        <v>52</v>
      </c>
      <c r="U105" s="25"/>
    </row>
    <row r="106" customFormat="false" ht="15" hidden="false" customHeight="false" outlineLevel="0" collapsed="false">
      <c r="A106" s="25" t="s">
        <v>197</v>
      </c>
      <c r="B106" s="25" t="s">
        <v>199</v>
      </c>
      <c r="C106" s="25" t="s">
        <v>254</v>
      </c>
      <c r="D106" s="52" t="n">
        <v>455</v>
      </c>
      <c r="E106" s="52" t="n">
        <v>424</v>
      </c>
      <c r="F106" s="63" t="n">
        <f aca="false">IF(E106="","",D106-E106)</f>
        <v>31</v>
      </c>
      <c r="G106" s="52" t="n">
        <v>130</v>
      </c>
      <c r="H106" s="52" t="n">
        <v>151</v>
      </c>
      <c r="I106" s="63" t="n">
        <f aca="false">IF(H106="","",G106-H106)</f>
        <v>-21</v>
      </c>
      <c r="J106" s="53" t="n">
        <f aca="false">IF(OR(D106="",D106+G106=0),"",D106/(D106+G106))</f>
        <v>0.777777777777778</v>
      </c>
      <c r="K106" s="53" t="n">
        <f aca="false">IF(E106="","",E106/(E106+H106))</f>
        <v>0.737391304347826</v>
      </c>
      <c r="L106" s="64" t="n">
        <f aca="false">IF(OR(K106="",J106=""),"",(J106-K106)*100)</f>
        <v>4.03864734299517</v>
      </c>
      <c r="M106" s="28" t="n">
        <v>3.59869162464536</v>
      </c>
      <c r="N106" s="28" t="n">
        <v>0.395142145636406</v>
      </c>
      <c r="O106" s="28" t="n">
        <f aca="false">SQRT(M106^2+N106^2)</f>
        <v>3.62032025165603</v>
      </c>
      <c r="P106" s="53" t="n">
        <f aca="false">IF(J106="","",MAX(0,J106-1.96*O106/100))</f>
        <v>0.70681950084532</v>
      </c>
      <c r="Q106" s="53" t="n">
        <f aca="false">IF(J106="","",MIN(1,J106+1.96*O106/100))</f>
        <v>0.848736054710236</v>
      </c>
      <c r="R106" s="25" t="str">
        <f aca="false">IF(L106="","",IF(ABS(L106)&lt;=O106,"Yes","No"))</f>
        <v>No</v>
      </c>
      <c r="S106" s="25" t="str">
        <f aca="false">IF(L106="","",IF(ABS(L106)&lt;=1.96*O106,"Yes","No"))</f>
        <v>Yes</v>
      </c>
      <c r="T106" s="52" t="n">
        <f aca="false">IF(D106="","",ROUND(SQRT(((D106+G106)*O106/100)^2+(J106*(D106+G106)*0.1901)^2),0))</f>
        <v>89</v>
      </c>
      <c r="U106" s="25"/>
    </row>
    <row r="107" customFormat="false" ht="15" hidden="false" customHeight="false" outlineLevel="0" collapsed="false">
      <c r="A107" s="25" t="s">
        <v>197</v>
      </c>
      <c r="B107" s="25" t="s">
        <v>199</v>
      </c>
      <c r="C107" s="25" t="s">
        <v>255</v>
      </c>
      <c r="D107" s="52" t="n">
        <v>543</v>
      </c>
      <c r="E107" s="52" t="n">
        <v>565</v>
      </c>
      <c r="F107" s="63" t="n">
        <f aca="false">IF(E107="","",D107-E107)</f>
        <v>-22</v>
      </c>
      <c r="G107" s="52" t="n">
        <v>263</v>
      </c>
      <c r="H107" s="52" t="n">
        <v>277</v>
      </c>
      <c r="I107" s="63" t="n">
        <f aca="false">IF(H107="","",G107-H107)</f>
        <v>-14</v>
      </c>
      <c r="J107" s="53" t="n">
        <f aca="false">IF(OR(D107="",D107+G107=0),"",D107/(D107+G107))</f>
        <v>0.673697270471464</v>
      </c>
      <c r="K107" s="53" t="n">
        <f aca="false">IF(E107="","",E107/(E107+H107))</f>
        <v>0.671021377672209</v>
      </c>
      <c r="L107" s="64" t="n">
        <f aca="false">IF(OR(K107="",J107=""),"",(J107-K107)*100)</f>
        <v>0.267589279925495</v>
      </c>
      <c r="M107" s="28" t="n">
        <v>2.40127504711013</v>
      </c>
      <c r="N107" s="28" t="n">
        <v>0.395142145636406</v>
      </c>
      <c r="O107" s="28" t="n">
        <f aca="false">SQRT(M107^2+N107^2)</f>
        <v>2.43356922382165</v>
      </c>
      <c r="P107" s="53" t="n">
        <f aca="false">IF(J107="","",MAX(0,J107-1.96*O107/100))</f>
        <v>0.62599931368456</v>
      </c>
      <c r="Q107" s="53" t="n">
        <f aca="false">IF(J107="","",MIN(1,J107+1.96*O107/100))</f>
        <v>0.721395227258368</v>
      </c>
      <c r="R107" s="25" t="str">
        <f aca="false">IF(L107="","",IF(ABS(L107)&lt;=O107,"Yes","No"))</f>
        <v>Yes</v>
      </c>
      <c r="S107" s="25" t="str">
        <f aca="false">IF(L107="","",IF(ABS(L107)&lt;=1.96*O107,"Yes","No"))</f>
        <v>Yes</v>
      </c>
      <c r="T107" s="52" t="n">
        <f aca="false">IF(D107="","",ROUND(SQRT(((D107+G107)*O107/100)^2+(J107*(D107+G107)*0.10931)^2),0))</f>
        <v>63</v>
      </c>
      <c r="U107" s="25"/>
    </row>
    <row r="108" customFormat="false" ht="15" hidden="false" customHeight="false" outlineLevel="0" collapsed="false">
      <c r="A108" s="25" t="s">
        <v>197</v>
      </c>
      <c r="B108" s="25" t="s">
        <v>199</v>
      </c>
      <c r="C108" s="25" t="s">
        <v>256</v>
      </c>
      <c r="D108" s="52" t="n">
        <v>256</v>
      </c>
      <c r="E108" s="52" t="n">
        <v>260</v>
      </c>
      <c r="F108" s="63" t="n">
        <f aca="false">IF(E108="","",D108-E108)</f>
        <v>-4</v>
      </c>
      <c r="G108" s="52" t="n">
        <v>104</v>
      </c>
      <c r="H108" s="52" t="n">
        <v>121</v>
      </c>
      <c r="I108" s="63" t="n">
        <f aca="false">IF(H108="","",G108-H108)</f>
        <v>-17</v>
      </c>
      <c r="J108" s="53" t="n">
        <f aca="false">IF(OR(D108="",D108+G108=0),"",D108/(D108+G108))</f>
        <v>0.711111111111111</v>
      </c>
      <c r="K108" s="53" t="n">
        <f aca="false">IF(E108="","",E108/(E108+H108))</f>
        <v>0.68241469816273</v>
      </c>
      <c r="L108" s="64" t="n">
        <f aca="false">IF(OR(K108="",J108=""),"",(J108-K108)*100)</f>
        <v>2.86964129483814</v>
      </c>
      <c r="M108" s="28" t="n">
        <v>3.59869162464536</v>
      </c>
      <c r="N108" s="28" t="n">
        <v>0.395142145636406</v>
      </c>
      <c r="O108" s="28" t="n">
        <f aca="false">SQRT(M108^2+N108^2)</f>
        <v>3.62032025165603</v>
      </c>
      <c r="P108" s="53" t="n">
        <f aca="false">IF(J108="","",MAX(0,J108-1.96*O108/100))</f>
        <v>0.640152834178653</v>
      </c>
      <c r="Q108" s="53" t="n">
        <f aca="false">IF(J108="","",MIN(1,J108+1.96*O108/100))</f>
        <v>0.782069388043569</v>
      </c>
      <c r="R108" s="25" t="str">
        <f aca="false">IF(L108="","",IF(ABS(L108)&lt;=O108,"Yes","No"))</f>
        <v>Yes</v>
      </c>
      <c r="S108" s="25" t="str">
        <f aca="false">IF(L108="","",IF(ABS(L108)&lt;=1.96*O108,"Yes","No"))</f>
        <v>Yes</v>
      </c>
      <c r="T108" s="52" t="n">
        <f aca="false">IF(D108="","",ROUND(SQRT(((D108+G108)*O108/100)^2+(J108*(D108+G108)*0.1901)^2),0))</f>
        <v>50</v>
      </c>
      <c r="U108" s="25"/>
    </row>
    <row r="109" customFormat="false" ht="15" hidden="false" customHeight="false" outlineLevel="0" collapsed="false">
      <c r="A109" s="25" t="s">
        <v>197</v>
      </c>
      <c r="B109" s="25" t="s">
        <v>199</v>
      </c>
      <c r="C109" s="25" t="s">
        <v>257</v>
      </c>
      <c r="D109" s="52" t="n">
        <v>359</v>
      </c>
      <c r="E109" s="52" t="n">
        <v>317</v>
      </c>
      <c r="F109" s="63" t="n">
        <f aca="false">IF(E109="","",D109-E109)</f>
        <v>42</v>
      </c>
      <c r="G109" s="52" t="n">
        <v>117</v>
      </c>
      <c r="H109" s="52" t="n">
        <v>152</v>
      </c>
      <c r="I109" s="63" t="n">
        <f aca="false">IF(H109="","",G109-H109)</f>
        <v>-35</v>
      </c>
      <c r="J109" s="53" t="n">
        <f aca="false">IF(OR(D109="",D109+G109=0),"",D109/(D109+G109))</f>
        <v>0.754201680672269</v>
      </c>
      <c r="K109" s="53" t="n">
        <f aca="false">IF(E109="","",E109/(E109+H109))</f>
        <v>0.67590618336887</v>
      </c>
      <c r="L109" s="64" t="n">
        <f aca="false">IF(OR(K109="",J109=""),"",(J109-K109)*100)</f>
        <v>7.82954973033989</v>
      </c>
      <c r="M109" s="28" t="n">
        <v>3.59869162464536</v>
      </c>
      <c r="N109" s="28" t="n">
        <v>0.395142145636406</v>
      </c>
      <c r="O109" s="28" t="n">
        <f aca="false">SQRT(M109^2+N109^2)</f>
        <v>3.62032025165603</v>
      </c>
      <c r="P109" s="53" t="n">
        <f aca="false">IF(J109="","",MAX(0,J109-1.96*O109/100))</f>
        <v>0.683243403739811</v>
      </c>
      <c r="Q109" s="53" t="n">
        <f aca="false">IF(J109="","",MIN(1,J109+1.96*O109/100))</f>
        <v>0.825159957604727</v>
      </c>
      <c r="R109" s="25" t="str">
        <f aca="false">IF(L109="","",IF(ABS(L109)&lt;=O109,"Yes","No"))</f>
        <v>No</v>
      </c>
      <c r="S109" s="25" t="str">
        <f aca="false">IF(L109="","",IF(ABS(L109)&lt;=1.96*O109,"Yes","No"))</f>
        <v>No</v>
      </c>
      <c r="T109" s="52" t="n">
        <f aca="false">IF(D109="","",ROUND(SQRT(((D109+G109)*O109/100)^2+(J109*(D109+G109)*0.1901)^2),0))</f>
        <v>70</v>
      </c>
      <c r="U109" s="25"/>
    </row>
    <row r="110" customFormat="false" ht="15" hidden="false" customHeight="false" outlineLevel="0" collapsed="false">
      <c r="A110" s="25" t="s">
        <v>197</v>
      </c>
      <c r="B110" s="25" t="s">
        <v>199</v>
      </c>
      <c r="C110" s="25" t="s">
        <v>258</v>
      </c>
      <c r="D110" s="52" t="n">
        <v>426</v>
      </c>
      <c r="E110" s="52" t="n">
        <v>424</v>
      </c>
      <c r="F110" s="63" t="n">
        <f aca="false">IF(E110="","",D110-E110)</f>
        <v>2</v>
      </c>
      <c r="G110" s="52" t="n">
        <v>260</v>
      </c>
      <c r="H110" s="52" t="n">
        <v>264</v>
      </c>
      <c r="I110" s="63" t="n">
        <f aca="false">IF(H110="","",G110-H110)</f>
        <v>-4</v>
      </c>
      <c r="J110" s="53" t="n">
        <f aca="false">IF(OR(D110="",D110+G110=0),"",D110/(D110+G110))</f>
        <v>0.620991253644315</v>
      </c>
      <c r="K110" s="53" t="n">
        <f aca="false">IF(E110="","",E110/(E110+H110))</f>
        <v>0.616279069767442</v>
      </c>
      <c r="L110" s="64" t="n">
        <f aca="false">IF(OR(K110="",J110=""),"",(J110-K110)*100)</f>
        <v>0.4712183876873</v>
      </c>
      <c r="M110" s="28" t="n">
        <v>3.59869162464536</v>
      </c>
      <c r="N110" s="28" t="n">
        <v>0.395142145636406</v>
      </c>
      <c r="O110" s="28" t="n">
        <f aca="false">SQRT(M110^2+N110^2)</f>
        <v>3.62032025165603</v>
      </c>
      <c r="P110" s="53" t="n">
        <f aca="false">IF(J110="","",MAX(0,J110-1.96*O110/100))</f>
        <v>0.550032976711857</v>
      </c>
      <c r="Q110" s="53" t="n">
        <f aca="false">IF(J110="","",MIN(1,J110+1.96*O110/100))</f>
        <v>0.691949530576773</v>
      </c>
      <c r="R110" s="25" t="str">
        <f aca="false">IF(L110="","",IF(ABS(L110)&lt;=O110,"Yes","No"))</f>
        <v>Yes</v>
      </c>
      <c r="S110" s="25" t="str">
        <f aca="false">IF(L110="","",IF(ABS(L110)&lt;=1.96*O110,"Yes","No"))</f>
        <v>Yes</v>
      </c>
      <c r="T110" s="52" t="n">
        <f aca="false">IF(D110="","",ROUND(SQRT(((D110+G110)*O110/100)^2+(J110*(D110+G110)*0.1901)^2),0))</f>
        <v>85</v>
      </c>
      <c r="U110" s="25"/>
    </row>
    <row r="111" customFormat="false" ht="15" hidden="false" customHeight="false" outlineLevel="0" collapsed="false">
      <c r="A111" s="25" t="s">
        <v>197</v>
      </c>
      <c r="B111" s="25" t="s">
        <v>199</v>
      </c>
      <c r="C111" s="25" t="s">
        <v>259</v>
      </c>
      <c r="D111" s="52" t="n">
        <v>500</v>
      </c>
      <c r="E111" s="52" t="n">
        <v>469</v>
      </c>
      <c r="F111" s="63" t="n">
        <f aca="false">IF(E111="","",D111-E111)</f>
        <v>31</v>
      </c>
      <c r="G111" s="52" t="n">
        <v>147</v>
      </c>
      <c r="H111" s="52" t="n">
        <v>215</v>
      </c>
      <c r="I111" s="63" t="n">
        <f aca="false">IF(H111="","",G111-H111)</f>
        <v>-68</v>
      </c>
      <c r="J111" s="53" t="n">
        <f aca="false">IF(OR(D111="",D111+G111=0),"",D111/(D111+G111))</f>
        <v>0.772797527047914</v>
      </c>
      <c r="K111" s="53" t="n">
        <f aca="false">IF(E111="","",E111/(E111+H111))</f>
        <v>0.685672514619883</v>
      </c>
      <c r="L111" s="64" t="n">
        <f aca="false">IF(OR(K111="",J111=""),"",(J111-K111)*100)</f>
        <v>8.71250124280305</v>
      </c>
      <c r="M111" s="28" t="n">
        <v>3.59869162464536</v>
      </c>
      <c r="N111" s="28" t="n">
        <v>0.395142145636406</v>
      </c>
      <c r="O111" s="28" t="n">
        <f aca="false">SQRT(M111^2+N111^2)</f>
        <v>3.62032025165603</v>
      </c>
      <c r="P111" s="53" t="n">
        <f aca="false">IF(J111="","",MAX(0,J111-1.96*O111/100))</f>
        <v>0.701839250115455</v>
      </c>
      <c r="Q111" s="53" t="n">
        <f aca="false">IF(J111="","",MIN(1,J111+1.96*O111/100))</f>
        <v>0.843755803980372</v>
      </c>
      <c r="R111" s="25" t="str">
        <f aca="false">IF(L111="","",IF(ABS(L111)&lt;=O111,"Yes","No"))</f>
        <v>No</v>
      </c>
      <c r="S111" s="25" t="str">
        <f aca="false">IF(L111="","",IF(ABS(L111)&lt;=1.96*O111,"Yes","No"))</f>
        <v>No</v>
      </c>
      <c r="T111" s="52" t="n">
        <f aca="false">IF(D111="","",ROUND(SQRT(((D111+G111)*O111/100)^2+(J111*(D111+G111)*0.1901)^2),0))</f>
        <v>98</v>
      </c>
      <c r="U111" s="25"/>
    </row>
    <row r="112" customFormat="false" ht="15" hidden="false" customHeight="false" outlineLevel="0" collapsed="false">
      <c r="A112" s="25" t="s">
        <v>197</v>
      </c>
      <c r="B112" s="25" t="s">
        <v>260</v>
      </c>
      <c r="C112" s="25" t="s">
        <v>261</v>
      </c>
      <c r="D112" s="52" t="n">
        <v>636</v>
      </c>
      <c r="E112" s="52" t="n">
        <v>598</v>
      </c>
      <c r="F112" s="63" t="n">
        <f aca="false">IF(E112="","",D112-E112)</f>
        <v>38</v>
      </c>
      <c r="G112" s="52" t="n">
        <v>243</v>
      </c>
      <c r="H112" s="52" t="n">
        <v>253</v>
      </c>
      <c r="I112" s="63" t="n">
        <f aca="false">IF(H112="","",G112-H112)</f>
        <v>-10</v>
      </c>
      <c r="J112" s="53" t="n">
        <f aca="false">IF(OR(D112="",D112+G112=0),"",D112/(D112+G112))</f>
        <v>0.723549488054608</v>
      </c>
      <c r="K112" s="53" t="n">
        <f aca="false">IF(E112="","",E112/(E112+H112))</f>
        <v>0.702702702702703</v>
      </c>
      <c r="L112" s="64" t="n">
        <f aca="false">IF(OR(K112="",J112=""),"",(J112-K112)*100)</f>
        <v>2.08467853519048</v>
      </c>
      <c r="M112" s="28" t="n">
        <v>2.40127504711013</v>
      </c>
      <c r="N112" s="28" t="n">
        <v>0.395142145636406</v>
      </c>
      <c r="O112" s="28" t="n">
        <f aca="false">SQRT(M112^2+N112^2)</f>
        <v>2.43356922382165</v>
      </c>
      <c r="P112" s="53" t="n">
        <f aca="false">IF(J112="","",MAX(0,J112-1.96*O112/100))</f>
        <v>0.675851531267703</v>
      </c>
      <c r="Q112" s="53" t="n">
        <f aca="false">IF(J112="","",MIN(1,J112+1.96*O112/100))</f>
        <v>0.771247444841512</v>
      </c>
      <c r="R112" s="25" t="str">
        <f aca="false">IF(L112="","",IF(ABS(L112)&lt;=O112,"Yes","No"))</f>
        <v>Yes</v>
      </c>
      <c r="S112" s="25" t="str">
        <f aca="false">IF(L112="","",IF(ABS(L112)&lt;=1.96*O112,"Yes","No"))</f>
        <v>Yes</v>
      </c>
      <c r="T112" s="52" t="n">
        <f aca="false">IF(D112="","",ROUND(SQRT(((D112+G112)*O112/100)^2+(J112*(D112+G112)*0.10931)^2),0))</f>
        <v>73</v>
      </c>
      <c r="U112" s="25"/>
    </row>
    <row r="113" customFormat="false" ht="15" hidden="false" customHeight="false" outlineLevel="0" collapsed="false">
      <c r="A113" s="25" t="s">
        <v>197</v>
      </c>
      <c r="B113" s="25" t="s">
        <v>260</v>
      </c>
      <c r="C113" s="25" t="s">
        <v>262</v>
      </c>
      <c r="D113" s="52" t="n">
        <v>432</v>
      </c>
      <c r="E113" s="52" t="n">
        <v>420</v>
      </c>
      <c r="F113" s="63" t="n">
        <f aca="false">IF(E113="","",D113-E113)</f>
        <v>12</v>
      </c>
      <c r="G113" s="52" t="n">
        <v>218</v>
      </c>
      <c r="H113" s="52" t="n">
        <v>214</v>
      </c>
      <c r="I113" s="63" t="n">
        <f aca="false">IF(H113="","",G113-H113)</f>
        <v>4</v>
      </c>
      <c r="J113" s="53" t="n">
        <f aca="false">IF(OR(D113="",D113+G113=0),"",D113/(D113+G113))</f>
        <v>0.664615384615385</v>
      </c>
      <c r="K113" s="53" t="n">
        <f aca="false">IF(E113="","",E113/(E113+H113))</f>
        <v>0.662460567823344</v>
      </c>
      <c r="L113" s="64" t="n">
        <f aca="false">IF(OR(K113="",J113=""),"",(J113-K113)*100)</f>
        <v>0.215481679204077</v>
      </c>
      <c r="M113" s="28" t="n">
        <v>3.59869162464536</v>
      </c>
      <c r="N113" s="28" t="n">
        <v>0.395142145636406</v>
      </c>
      <c r="O113" s="28" t="n">
        <f aca="false">SQRT(M113^2+N113^2)</f>
        <v>3.62032025165603</v>
      </c>
      <c r="P113" s="53" t="n">
        <f aca="false">IF(J113="","",MAX(0,J113-1.96*O113/100))</f>
        <v>0.593657107682927</v>
      </c>
      <c r="Q113" s="53" t="n">
        <f aca="false">IF(J113="","",MIN(1,J113+1.96*O113/100))</f>
        <v>0.735573661547843</v>
      </c>
      <c r="R113" s="25" t="str">
        <f aca="false">IF(L113="","",IF(ABS(L113)&lt;=O113,"Yes","No"))</f>
        <v>Yes</v>
      </c>
      <c r="S113" s="25" t="str">
        <f aca="false">IF(L113="","",IF(ABS(L113)&lt;=1.96*O113,"Yes","No"))</f>
        <v>Yes</v>
      </c>
      <c r="T113" s="52" t="n">
        <f aca="false">IF(D113="","",ROUND(SQRT(((D113+G113)*O113/100)^2+(J113*(D113+G113)*0.1901)^2),0))</f>
        <v>85</v>
      </c>
      <c r="U113" s="25"/>
    </row>
    <row r="114" customFormat="false" ht="15" hidden="false" customHeight="false" outlineLevel="0" collapsed="false">
      <c r="A114" s="25" t="s">
        <v>197</v>
      </c>
      <c r="B114" s="25" t="s">
        <v>260</v>
      </c>
      <c r="C114" s="25" t="s">
        <v>263</v>
      </c>
      <c r="D114" s="52" t="n">
        <v>463</v>
      </c>
      <c r="E114" s="52" t="n">
        <v>438</v>
      </c>
      <c r="F114" s="63" t="n">
        <f aca="false">IF(E114="","",D114-E114)</f>
        <v>25</v>
      </c>
      <c r="G114" s="52" t="n">
        <v>170</v>
      </c>
      <c r="H114" s="52" t="n">
        <v>176</v>
      </c>
      <c r="I114" s="63" t="n">
        <f aca="false">IF(H114="","",G114-H114)</f>
        <v>-6</v>
      </c>
      <c r="J114" s="53" t="n">
        <f aca="false">IF(OR(D114="",D114+G114=0),"",D114/(D114+G114))</f>
        <v>0.731437598736177</v>
      </c>
      <c r="K114" s="53" t="n">
        <f aca="false">IF(E114="","",E114/(E114+H114))</f>
        <v>0.713355048859935</v>
      </c>
      <c r="L114" s="64" t="n">
        <f aca="false">IF(OR(K114="",J114=""),"",(J114-K114)*100)</f>
        <v>1.80825498762421</v>
      </c>
      <c r="M114" s="28" t="n">
        <v>3.59869162464536</v>
      </c>
      <c r="N114" s="28" t="n">
        <v>0.395142145636406</v>
      </c>
      <c r="O114" s="28" t="n">
        <f aca="false">SQRT(M114^2+N114^2)</f>
        <v>3.62032025165603</v>
      </c>
      <c r="P114" s="53" t="n">
        <f aca="false">IF(J114="","",MAX(0,J114-1.96*O114/100))</f>
        <v>0.660479321803719</v>
      </c>
      <c r="Q114" s="53" t="n">
        <f aca="false">IF(J114="","",MIN(1,J114+1.96*O114/100))</f>
        <v>0.802395875668635</v>
      </c>
      <c r="R114" s="25" t="str">
        <f aca="false">IF(L114="","",IF(ABS(L114)&lt;=O114,"Yes","No"))</f>
        <v>Yes</v>
      </c>
      <c r="S114" s="25" t="str">
        <f aca="false">IF(L114="","",IF(ABS(L114)&lt;=1.96*O114,"Yes","No"))</f>
        <v>Yes</v>
      </c>
      <c r="T114" s="52" t="n">
        <f aca="false">IF(D114="","",ROUND(SQRT(((D114+G114)*O114/100)^2+(J114*(D114+G114)*0.1901)^2),0))</f>
        <v>91</v>
      </c>
      <c r="U114" s="25"/>
    </row>
    <row r="115" customFormat="false" ht="15" hidden="false" customHeight="false" outlineLevel="0" collapsed="false">
      <c r="A115" s="25" t="s">
        <v>197</v>
      </c>
      <c r="B115" s="25" t="s">
        <v>260</v>
      </c>
      <c r="C115" s="25" t="s">
        <v>264</v>
      </c>
      <c r="D115" s="52" t="n">
        <v>474</v>
      </c>
      <c r="E115" s="52" t="n">
        <v>463</v>
      </c>
      <c r="F115" s="63" t="n">
        <f aca="false">IF(E115="","",D115-E115)</f>
        <v>11</v>
      </c>
      <c r="G115" s="52" t="n">
        <v>214</v>
      </c>
      <c r="H115" s="52" t="n">
        <v>219</v>
      </c>
      <c r="I115" s="63" t="n">
        <f aca="false">IF(H115="","",G115-H115)</f>
        <v>-5</v>
      </c>
      <c r="J115" s="53" t="n">
        <f aca="false">IF(OR(D115="",D115+G115=0),"",D115/(D115+G115))</f>
        <v>0.688953488372093</v>
      </c>
      <c r="K115" s="53" t="n">
        <f aca="false">IF(E115="","",E115/(E115+H115))</f>
        <v>0.678885630498534</v>
      </c>
      <c r="L115" s="64" t="n">
        <f aca="false">IF(OR(K115="",J115=""),"",(J115-K115)*100)</f>
        <v>1.00678578735594</v>
      </c>
      <c r="M115" s="28" t="n">
        <v>3.59869162464536</v>
      </c>
      <c r="N115" s="28" t="n">
        <v>0.395142145636406</v>
      </c>
      <c r="O115" s="28" t="n">
        <f aca="false">SQRT(M115^2+N115^2)</f>
        <v>3.62032025165603</v>
      </c>
      <c r="P115" s="53" t="n">
        <f aca="false">IF(J115="","",MAX(0,J115-1.96*O115/100))</f>
        <v>0.617995211439635</v>
      </c>
      <c r="Q115" s="53" t="n">
        <f aca="false">IF(J115="","",MIN(1,J115+1.96*O115/100))</f>
        <v>0.759911765304551</v>
      </c>
      <c r="R115" s="25" t="str">
        <f aca="false">IF(L115="","",IF(ABS(L115)&lt;=O115,"Yes","No"))</f>
        <v>Yes</v>
      </c>
      <c r="S115" s="25" t="str">
        <f aca="false">IF(L115="","",IF(ABS(L115)&lt;=1.96*O115,"Yes","No"))</f>
        <v>Yes</v>
      </c>
      <c r="T115" s="52" t="n">
        <f aca="false">IF(D115="","",ROUND(SQRT(((D115+G115)*O115/100)^2+(J115*(D115+G115)*0.1901)^2),0))</f>
        <v>93</v>
      </c>
      <c r="U115" s="25"/>
    </row>
    <row r="116" customFormat="false" ht="15" hidden="false" customHeight="false" outlineLevel="0" collapsed="false">
      <c r="A116" s="25" t="s">
        <v>197</v>
      </c>
      <c r="B116" s="25" t="s">
        <v>260</v>
      </c>
      <c r="C116" s="25" t="s">
        <v>265</v>
      </c>
      <c r="D116" s="52" t="n">
        <v>794</v>
      </c>
      <c r="E116" s="52" t="n">
        <v>782</v>
      </c>
      <c r="F116" s="63" t="n">
        <f aca="false">IF(E116="","",D116-E116)</f>
        <v>12</v>
      </c>
      <c r="G116" s="52" t="n">
        <v>469</v>
      </c>
      <c r="H116" s="52" t="n">
        <v>404</v>
      </c>
      <c r="I116" s="63" t="n">
        <f aca="false">IF(H116="","",G116-H116)</f>
        <v>65</v>
      </c>
      <c r="J116" s="53" t="n">
        <f aca="false">IF(OR(D116="",D116+G116=0),"",D116/(D116+G116))</f>
        <v>0.628661916072842</v>
      </c>
      <c r="K116" s="53" t="n">
        <f aca="false">IF(E116="","",E116/(E116+H116))</f>
        <v>0.659359190556492</v>
      </c>
      <c r="L116" s="64" t="n">
        <f aca="false">IF(OR(K116="",J116=""),"",(J116-K116)*100)</f>
        <v>-3.069727448365</v>
      </c>
      <c r="M116" s="28" t="n">
        <v>2.1665403898083</v>
      </c>
      <c r="N116" s="28" t="n">
        <v>0.395142145636406</v>
      </c>
      <c r="O116" s="28" t="n">
        <f aca="false">SQRT(M116^2+N116^2)</f>
        <v>2.2022794046008</v>
      </c>
      <c r="P116" s="53" t="n">
        <f aca="false">IF(J116="","",MAX(0,J116-1.96*O116/100))</f>
        <v>0.585497239742667</v>
      </c>
      <c r="Q116" s="53" t="n">
        <f aca="false">IF(J116="","",MIN(1,J116+1.96*O116/100))</f>
        <v>0.671826592403018</v>
      </c>
      <c r="R116" s="25" t="str">
        <f aca="false">IF(L116="","",IF(ABS(L116)&lt;=O116,"Yes","No"))</f>
        <v>No</v>
      </c>
      <c r="S116" s="25" t="str">
        <f aca="false">IF(L116="","",IF(ABS(L116)&lt;=1.96*O116,"Yes","No"))</f>
        <v>Yes</v>
      </c>
      <c r="T116" s="52" t="n">
        <f aca="false">IF(D116="","",ROUND(SQRT(((D116+G116)*O116/100)^2+(J116*(D116+G116)*0.08889)^2),0))</f>
        <v>76</v>
      </c>
      <c r="U116" s="25"/>
    </row>
    <row r="117" customFormat="false" ht="15" hidden="false" customHeight="false" outlineLevel="0" collapsed="false">
      <c r="A117" s="25" t="s">
        <v>197</v>
      </c>
      <c r="B117" s="25" t="s">
        <v>260</v>
      </c>
      <c r="C117" s="25" t="s">
        <v>266</v>
      </c>
      <c r="D117" s="52" t="n">
        <v>522</v>
      </c>
      <c r="E117" s="52" t="n">
        <v>503</v>
      </c>
      <c r="F117" s="63" t="n">
        <f aca="false">IF(E117="","",D117-E117)</f>
        <v>19</v>
      </c>
      <c r="G117" s="52" t="n">
        <v>321</v>
      </c>
      <c r="H117" s="52" t="n">
        <v>318</v>
      </c>
      <c r="I117" s="63" t="n">
        <f aca="false">IF(H117="","",G117-H117)</f>
        <v>3</v>
      </c>
      <c r="J117" s="53" t="n">
        <f aca="false">IF(OR(D117="",D117+G117=0),"",D117/(D117+G117))</f>
        <v>0.619217081850534</v>
      </c>
      <c r="K117" s="53" t="n">
        <f aca="false">IF(E117="","",E117/(E117+H117))</f>
        <v>0.612667478684531</v>
      </c>
      <c r="L117" s="64" t="n">
        <f aca="false">IF(OR(K117="",J117=""),"",(J117-K117)*100)</f>
        <v>0.654960316600273</v>
      </c>
      <c r="M117" s="28" t="n">
        <v>2.40127504711013</v>
      </c>
      <c r="N117" s="28" t="n">
        <v>0.395142145636406</v>
      </c>
      <c r="O117" s="28" t="n">
        <f aca="false">SQRT(M117^2+N117^2)</f>
        <v>2.43356922382165</v>
      </c>
      <c r="P117" s="53" t="n">
        <f aca="false">IF(J117="","",MAX(0,J117-1.96*O117/100))</f>
        <v>0.57151912506363</v>
      </c>
      <c r="Q117" s="53" t="n">
        <f aca="false">IF(J117="","",MIN(1,J117+1.96*O117/100))</f>
        <v>0.666915038637438</v>
      </c>
      <c r="R117" s="25" t="str">
        <f aca="false">IF(L117="","",IF(ABS(L117)&lt;=O117,"Yes","No"))</f>
        <v>Yes</v>
      </c>
      <c r="S117" s="25" t="str">
        <f aca="false">IF(L117="","",IF(ABS(L117)&lt;=1.96*O117,"Yes","No"))</f>
        <v>Yes</v>
      </c>
      <c r="T117" s="52" t="n">
        <f aca="false">IF(D117="","",ROUND(SQRT(((D117+G117)*O117/100)^2+(J117*(D117+G117)*0.10931)^2),0))</f>
        <v>61</v>
      </c>
      <c r="U117" s="25"/>
    </row>
    <row r="118" customFormat="false" ht="15" hidden="false" customHeight="false" outlineLevel="0" collapsed="false">
      <c r="A118" s="25" t="s">
        <v>197</v>
      </c>
      <c r="B118" s="25" t="s">
        <v>260</v>
      </c>
      <c r="C118" s="25" t="s">
        <v>267</v>
      </c>
      <c r="D118" s="52" t="n">
        <v>613</v>
      </c>
      <c r="E118" s="52" t="n">
        <v>597</v>
      </c>
      <c r="F118" s="63" t="n">
        <f aca="false">IF(E118="","",D118-E118)</f>
        <v>16</v>
      </c>
      <c r="G118" s="52" t="n">
        <v>420</v>
      </c>
      <c r="H118" s="52" t="n">
        <v>396</v>
      </c>
      <c r="I118" s="63" t="n">
        <f aca="false">IF(H118="","",G118-H118)</f>
        <v>24</v>
      </c>
      <c r="J118" s="53" t="n">
        <f aca="false">IF(OR(D118="",D118+G118=0),"",D118/(D118+G118))</f>
        <v>0.593417231364956</v>
      </c>
      <c r="K118" s="53" t="n">
        <f aca="false">IF(E118="","",E118/(E118+H118))</f>
        <v>0.601208459214502</v>
      </c>
      <c r="L118" s="64" t="n">
        <f aca="false">IF(OR(K118="",J118=""),"",(J118-K118)*100)</f>
        <v>-0.779122784954511</v>
      </c>
      <c r="M118" s="28" t="n">
        <v>2.40127504711013</v>
      </c>
      <c r="N118" s="28" t="n">
        <v>0.395142145636406</v>
      </c>
      <c r="O118" s="28" t="n">
        <f aca="false">SQRT(M118^2+N118^2)</f>
        <v>2.43356922382165</v>
      </c>
      <c r="P118" s="53" t="n">
        <f aca="false">IF(J118="","",MAX(0,J118-1.96*O118/100))</f>
        <v>0.545719274578052</v>
      </c>
      <c r="Q118" s="53" t="n">
        <f aca="false">IF(J118="","",MIN(1,J118+1.96*O118/100))</f>
        <v>0.641115188151861</v>
      </c>
      <c r="R118" s="25" t="str">
        <f aca="false">IF(L118="","",IF(ABS(L118)&lt;=O118,"Yes","No"))</f>
        <v>Yes</v>
      </c>
      <c r="S118" s="25" t="str">
        <f aca="false">IF(L118="","",IF(ABS(L118)&lt;=1.96*O118,"Yes","No"))</f>
        <v>Yes</v>
      </c>
      <c r="T118" s="52" t="n">
        <f aca="false">IF(D118="","",ROUND(SQRT(((D118+G118)*O118/100)^2+(J118*(D118+G118)*0.10931)^2),0))</f>
        <v>72</v>
      </c>
      <c r="U118" s="25"/>
    </row>
    <row r="119" customFormat="false" ht="15" hidden="false" customHeight="false" outlineLevel="0" collapsed="false">
      <c r="A119" s="25" t="s">
        <v>197</v>
      </c>
      <c r="B119" s="25" t="s">
        <v>260</v>
      </c>
      <c r="C119" s="25" t="s">
        <v>268</v>
      </c>
      <c r="D119" s="52" t="n">
        <v>677</v>
      </c>
      <c r="E119" s="52" t="n">
        <v>678</v>
      </c>
      <c r="F119" s="63" t="n">
        <f aca="false">IF(E119="","",D119-E119)</f>
        <v>-1</v>
      </c>
      <c r="G119" s="52" t="n">
        <v>430</v>
      </c>
      <c r="H119" s="52" t="n">
        <v>451</v>
      </c>
      <c r="I119" s="63" t="n">
        <f aca="false">IF(H119="","",G119-H119)</f>
        <v>-21</v>
      </c>
      <c r="J119" s="53" t="n">
        <f aca="false">IF(OR(D119="",D119+G119=0),"",D119/(D119+G119))</f>
        <v>0.61156278229449</v>
      </c>
      <c r="K119" s="53" t="n">
        <f aca="false">IF(E119="","",E119/(E119+H119))</f>
        <v>0.600531443755536</v>
      </c>
      <c r="L119" s="64" t="n">
        <f aca="false">IF(OR(K119="",J119=""),"",(J119-K119)*100)</f>
        <v>1.10313385389537</v>
      </c>
      <c r="M119" s="28" t="n">
        <v>2.40127504711013</v>
      </c>
      <c r="N119" s="28" t="n">
        <v>0.395142145636406</v>
      </c>
      <c r="O119" s="28" t="n">
        <f aca="false">SQRT(M119^2+N119^2)</f>
        <v>2.43356922382165</v>
      </c>
      <c r="P119" s="53" t="n">
        <f aca="false">IF(J119="","",MAX(0,J119-1.96*O119/100))</f>
        <v>0.563864825507585</v>
      </c>
      <c r="Q119" s="53" t="n">
        <f aca="false">IF(J119="","",MIN(1,J119+1.96*O119/100))</f>
        <v>0.659260739081394</v>
      </c>
      <c r="R119" s="25" t="str">
        <f aca="false">IF(L119="","",IF(ABS(L119)&lt;=O119,"Yes","No"))</f>
        <v>Yes</v>
      </c>
      <c r="S119" s="25" t="str">
        <f aca="false">IF(L119="","",IF(ABS(L119)&lt;=1.96*O119,"Yes","No"))</f>
        <v>Yes</v>
      </c>
      <c r="T119" s="52" t="n">
        <f aca="false">IF(D119="","",ROUND(SQRT(((D119+G119)*O119/100)^2+(J119*(D119+G119)*0.10931)^2),0))</f>
        <v>79</v>
      </c>
      <c r="U119" s="25"/>
    </row>
    <row r="120" customFormat="false" ht="15" hidden="false" customHeight="false" outlineLevel="0" collapsed="false">
      <c r="A120" s="25" t="s">
        <v>197</v>
      </c>
      <c r="B120" s="25" t="s">
        <v>260</v>
      </c>
      <c r="C120" s="25" t="s">
        <v>269</v>
      </c>
      <c r="D120" s="52" t="n">
        <v>530</v>
      </c>
      <c r="E120" s="52" t="n">
        <v>524</v>
      </c>
      <c r="F120" s="63" t="n">
        <f aca="false">IF(E120="","",D120-E120)</f>
        <v>6</v>
      </c>
      <c r="G120" s="52" t="n">
        <v>335</v>
      </c>
      <c r="H120" s="52" t="n">
        <v>327</v>
      </c>
      <c r="I120" s="63" t="n">
        <f aca="false">IF(H120="","",G120-H120)</f>
        <v>8</v>
      </c>
      <c r="J120" s="53" t="n">
        <f aca="false">IF(OR(D120="",D120+G120=0),"",D120/(D120+G120))</f>
        <v>0.61271676300578</v>
      </c>
      <c r="K120" s="53" t="n">
        <f aca="false">IF(E120="","",E120/(E120+H120))</f>
        <v>0.615746180963572</v>
      </c>
      <c r="L120" s="64" t="n">
        <f aca="false">IF(OR(K120="",J120=""),"",(J120-K120)*100)</f>
        <v>-0.302941795779188</v>
      </c>
      <c r="M120" s="28" t="n">
        <v>2.40127504711013</v>
      </c>
      <c r="N120" s="28" t="n">
        <v>0.395142145636406</v>
      </c>
      <c r="O120" s="28" t="n">
        <f aca="false">SQRT(M120^2+N120^2)</f>
        <v>2.43356922382165</v>
      </c>
      <c r="P120" s="53" t="n">
        <f aca="false">IF(J120="","",MAX(0,J120-1.96*O120/100))</f>
        <v>0.565018806218876</v>
      </c>
      <c r="Q120" s="53" t="n">
        <f aca="false">IF(J120="","",MIN(1,J120+1.96*O120/100))</f>
        <v>0.660414719792685</v>
      </c>
      <c r="R120" s="25" t="str">
        <f aca="false">IF(L120="","",IF(ABS(L120)&lt;=O120,"Yes","No"))</f>
        <v>Yes</v>
      </c>
      <c r="S120" s="25" t="str">
        <f aca="false">IF(L120="","",IF(ABS(L120)&lt;=1.96*O120,"Yes","No"))</f>
        <v>Yes</v>
      </c>
      <c r="T120" s="52" t="n">
        <f aca="false">IF(D120="","",ROUND(SQRT(((D120+G120)*O120/100)^2+(J120*(D120+G120)*0.10931)^2),0))</f>
        <v>62</v>
      </c>
      <c r="U120" s="25"/>
    </row>
    <row r="121" customFormat="false" ht="15" hidden="false" customHeight="false" outlineLevel="0" collapsed="false">
      <c r="A121" s="25" t="s">
        <v>197</v>
      </c>
      <c r="B121" s="25" t="s">
        <v>260</v>
      </c>
      <c r="C121" s="25" t="s">
        <v>270</v>
      </c>
      <c r="D121" s="52" t="n">
        <v>419</v>
      </c>
      <c r="E121" s="52" t="n">
        <v>437</v>
      </c>
      <c r="F121" s="63" t="n">
        <f aca="false">IF(E121="","",D121-E121)</f>
        <v>-18</v>
      </c>
      <c r="G121" s="52" t="n">
        <v>326</v>
      </c>
      <c r="H121" s="52" t="n">
        <v>344</v>
      </c>
      <c r="I121" s="63" t="n">
        <f aca="false">IF(H121="","",G121-H121)</f>
        <v>-18</v>
      </c>
      <c r="J121" s="53" t="n">
        <f aca="false">IF(OR(D121="",D121+G121=0),"",D121/(D121+G121))</f>
        <v>0.56241610738255</v>
      </c>
      <c r="K121" s="53" t="n">
        <f aca="false">IF(E121="","",E121/(E121+H121))</f>
        <v>0.559539052496799</v>
      </c>
      <c r="L121" s="64" t="n">
        <f aca="false">IF(OR(K121="",J121=""),"",(J121-K121)*100)</f>
        <v>0.28770548857513</v>
      </c>
      <c r="M121" s="28" t="n">
        <v>3.59869162464536</v>
      </c>
      <c r="N121" s="28" t="n">
        <v>0.395142145636406</v>
      </c>
      <c r="O121" s="28" t="n">
        <f aca="false">SQRT(M121^2+N121^2)</f>
        <v>3.62032025165603</v>
      </c>
      <c r="P121" s="53" t="n">
        <f aca="false">IF(J121="","",MAX(0,J121-1.96*O121/100))</f>
        <v>0.491457830450092</v>
      </c>
      <c r="Q121" s="53" t="n">
        <f aca="false">IF(J121="","",MIN(1,J121+1.96*O121/100))</f>
        <v>0.633374384315009</v>
      </c>
      <c r="R121" s="25" t="str">
        <f aca="false">IF(L121="","",IF(ABS(L121)&lt;=O121,"Yes","No"))</f>
        <v>Yes</v>
      </c>
      <c r="S121" s="25" t="str">
        <f aca="false">IF(L121="","",IF(ABS(L121)&lt;=1.96*O121,"Yes","No"))</f>
        <v>Yes</v>
      </c>
      <c r="T121" s="52" t="n">
        <f aca="false">IF(D121="","",ROUND(SQRT(((D121+G121)*O121/100)^2+(J121*(D121+G121)*0.1901)^2),0))</f>
        <v>84</v>
      </c>
      <c r="U121" s="25"/>
    </row>
    <row r="122" customFormat="false" ht="15" hidden="false" customHeight="false" outlineLevel="0" collapsed="false">
      <c r="A122" s="25" t="s">
        <v>197</v>
      </c>
      <c r="B122" s="25" t="s">
        <v>260</v>
      </c>
      <c r="C122" s="25" t="s">
        <v>271</v>
      </c>
      <c r="D122" s="52" t="n">
        <v>580</v>
      </c>
      <c r="E122" s="52" t="n">
        <v>581</v>
      </c>
      <c r="F122" s="63" t="n">
        <f aca="false">IF(E122="","",D122-E122)</f>
        <v>-1</v>
      </c>
      <c r="G122" s="52" t="n">
        <v>354</v>
      </c>
      <c r="H122" s="52" t="n">
        <v>342</v>
      </c>
      <c r="I122" s="63" t="n">
        <f aca="false">IF(H122="","",G122-H122)</f>
        <v>12</v>
      </c>
      <c r="J122" s="53" t="n">
        <f aca="false">IF(OR(D122="",D122+G122=0),"",D122/(D122+G122))</f>
        <v>0.620985010706638</v>
      </c>
      <c r="K122" s="53" t="n">
        <f aca="false">IF(E122="","",E122/(E122+H122))</f>
        <v>0.629469122426869</v>
      </c>
      <c r="L122" s="64" t="n">
        <f aca="false">IF(OR(K122="",J122=""),"",(J122-K122)*100)</f>
        <v>-0.848411172023078</v>
      </c>
      <c r="M122" s="28" t="n">
        <v>2.40127504711013</v>
      </c>
      <c r="N122" s="28" t="n">
        <v>0.395142145636406</v>
      </c>
      <c r="O122" s="28" t="n">
        <f aca="false">SQRT(M122^2+N122^2)</f>
        <v>2.43356922382165</v>
      </c>
      <c r="P122" s="53" t="n">
        <f aca="false">IF(J122="","",MAX(0,J122-1.96*O122/100))</f>
        <v>0.573287053919734</v>
      </c>
      <c r="Q122" s="53" t="n">
        <f aca="false">IF(J122="","",MIN(1,J122+1.96*O122/100))</f>
        <v>0.668682967493542</v>
      </c>
      <c r="R122" s="25" t="str">
        <f aca="false">IF(L122="","",IF(ABS(L122)&lt;=O122,"Yes","No"))</f>
        <v>Yes</v>
      </c>
      <c r="S122" s="25" t="str">
        <f aca="false">IF(L122="","",IF(ABS(L122)&lt;=1.96*O122,"Yes","No"))</f>
        <v>Yes</v>
      </c>
      <c r="T122" s="52" t="n">
        <f aca="false">IF(D122="","",ROUND(SQRT(((D122+G122)*O122/100)^2+(J122*(D122+G122)*0.10931)^2),0))</f>
        <v>67</v>
      </c>
      <c r="U122" s="25"/>
    </row>
    <row r="123" customFormat="false" ht="15" hidden="false" customHeight="false" outlineLevel="0" collapsed="false">
      <c r="A123" s="25" t="s">
        <v>197</v>
      </c>
      <c r="B123" s="25" t="s">
        <v>260</v>
      </c>
      <c r="C123" s="25" t="s">
        <v>272</v>
      </c>
      <c r="D123" s="52" t="n">
        <v>605</v>
      </c>
      <c r="E123" s="52" t="n">
        <v>591</v>
      </c>
      <c r="F123" s="63" t="n">
        <f aca="false">IF(E123="","",D123-E123)</f>
        <v>14</v>
      </c>
      <c r="G123" s="52" t="n">
        <v>404</v>
      </c>
      <c r="H123" s="52" t="n">
        <v>390</v>
      </c>
      <c r="I123" s="63" t="n">
        <f aca="false">IF(H123="","",G123-H123)</f>
        <v>14</v>
      </c>
      <c r="J123" s="53" t="n">
        <f aca="false">IF(OR(D123="",D123+G123=0),"",D123/(D123+G123))</f>
        <v>0.599603567888999</v>
      </c>
      <c r="K123" s="53" t="n">
        <f aca="false">IF(E123="","",E123/(E123+H123))</f>
        <v>0.602446483180428</v>
      </c>
      <c r="L123" s="64" t="n">
        <f aca="false">IF(OR(K123="",J123=""),"",(J123-K123)*100)</f>
        <v>-0.28429152914291</v>
      </c>
      <c r="M123" s="28" t="n">
        <v>2.40127504711013</v>
      </c>
      <c r="N123" s="28" t="n">
        <v>0.395142145636406</v>
      </c>
      <c r="O123" s="28" t="n">
        <f aca="false">SQRT(M123^2+N123^2)</f>
        <v>2.43356922382165</v>
      </c>
      <c r="P123" s="53" t="n">
        <f aca="false">IF(J123="","",MAX(0,J123-1.96*O123/100))</f>
        <v>0.551905611102095</v>
      </c>
      <c r="Q123" s="53" t="n">
        <f aca="false">IF(J123="","",MIN(1,J123+1.96*O123/100))</f>
        <v>0.647301524675903</v>
      </c>
      <c r="R123" s="25" t="str">
        <f aca="false">IF(L123="","",IF(ABS(L123)&lt;=O123,"Yes","No"))</f>
        <v>Yes</v>
      </c>
      <c r="S123" s="25" t="str">
        <f aca="false">IF(L123="","",IF(ABS(L123)&lt;=1.96*O123,"Yes","No"))</f>
        <v>Yes</v>
      </c>
      <c r="T123" s="52" t="n">
        <f aca="false">IF(D123="","",ROUND(SQRT(((D123+G123)*O123/100)^2+(J123*(D123+G123)*0.10931)^2),0))</f>
        <v>71</v>
      </c>
      <c r="U123" s="25"/>
    </row>
    <row r="124" customFormat="false" ht="15" hidden="false" customHeight="false" outlineLevel="0" collapsed="false">
      <c r="A124" s="25" t="s">
        <v>197</v>
      </c>
      <c r="B124" s="25" t="s">
        <v>273</v>
      </c>
      <c r="C124" s="25" t="s">
        <v>274</v>
      </c>
      <c r="D124" s="52" t="n">
        <v>541</v>
      </c>
      <c r="E124" s="52" t="n">
        <v>557</v>
      </c>
      <c r="F124" s="63" t="n">
        <f aca="false">IF(E124="","",D124-E124)</f>
        <v>-16</v>
      </c>
      <c r="G124" s="52" t="n">
        <v>420</v>
      </c>
      <c r="H124" s="52" t="n">
        <v>454</v>
      </c>
      <c r="I124" s="63" t="n">
        <f aca="false">IF(H124="","",G124-H124)</f>
        <v>-34</v>
      </c>
      <c r="J124" s="53" t="n">
        <f aca="false">IF(OR(D124="",D124+G124=0),"",D124/(D124+G124))</f>
        <v>0.562955254942768</v>
      </c>
      <c r="K124" s="53" t="n">
        <f aca="false">IF(E124="","",E124/(E124+H124))</f>
        <v>0.550939663699308</v>
      </c>
      <c r="L124" s="64" t="n">
        <f aca="false">IF(OR(K124="",J124=""),"",(J124-K124)*100)</f>
        <v>1.20155912434604</v>
      </c>
      <c r="M124" s="28" t="n">
        <v>2.40127504711013</v>
      </c>
      <c r="N124" s="28" t="n">
        <v>0.395142145636406</v>
      </c>
      <c r="O124" s="28" t="n">
        <f aca="false">SQRT(M124^2+N124^2)</f>
        <v>2.43356922382165</v>
      </c>
      <c r="P124" s="53" t="n">
        <f aca="false">IF(J124="","",MAX(0,J124-1.96*O124/100))</f>
        <v>0.515257298155864</v>
      </c>
      <c r="Q124" s="53" t="n">
        <f aca="false">IF(J124="","",MIN(1,J124+1.96*O124/100))</f>
        <v>0.610653211729672</v>
      </c>
      <c r="R124" s="25" t="str">
        <f aca="false">IF(L124="","",IF(ABS(L124)&lt;=O124,"Yes","No"))</f>
        <v>Yes</v>
      </c>
      <c r="S124" s="25" t="str">
        <f aca="false">IF(L124="","",IF(ABS(L124)&lt;=1.96*O124,"Yes","No"))</f>
        <v>Yes</v>
      </c>
      <c r="T124" s="52" t="n">
        <f aca="false">IF(D124="","",ROUND(SQRT(((D124+G124)*O124/100)^2+(J124*(D124+G124)*0.10931)^2),0))</f>
        <v>64</v>
      </c>
      <c r="U124" s="25"/>
    </row>
    <row r="125" customFormat="false" ht="15" hidden="false" customHeight="false" outlineLevel="0" collapsed="false">
      <c r="A125" s="25" t="s">
        <v>197</v>
      </c>
      <c r="B125" s="25" t="s">
        <v>273</v>
      </c>
      <c r="C125" s="25" t="s">
        <v>275</v>
      </c>
      <c r="D125" s="52" t="n">
        <v>502</v>
      </c>
      <c r="E125" s="52" t="n">
        <v>467</v>
      </c>
      <c r="F125" s="63" t="n">
        <f aca="false">IF(E125="","",D125-E125)</f>
        <v>35</v>
      </c>
      <c r="G125" s="52" t="n">
        <v>549</v>
      </c>
      <c r="H125" s="52" t="n">
        <v>513</v>
      </c>
      <c r="I125" s="63" t="n">
        <f aca="false">IF(H125="","",G125-H125)</f>
        <v>36</v>
      </c>
      <c r="J125" s="53" t="n">
        <f aca="false">IF(OR(D125="",D125+G125=0),"",D125/(D125+G125))</f>
        <v>0.477640342530923</v>
      </c>
      <c r="K125" s="53" t="n">
        <f aca="false">IF(E125="","",E125/(E125+H125))</f>
        <v>0.476530612244898</v>
      </c>
      <c r="L125" s="64" t="n">
        <f aca="false">IF(OR(K125="",J125=""),"",(J125-K125)*100)</f>
        <v>0.110973028602496</v>
      </c>
      <c r="M125" s="28" t="n">
        <v>2.40127504711013</v>
      </c>
      <c r="N125" s="28" t="n">
        <v>0.395142145636406</v>
      </c>
      <c r="O125" s="28" t="n">
        <f aca="false">SQRT(M125^2+N125^2)</f>
        <v>2.43356922382165</v>
      </c>
      <c r="P125" s="53" t="n">
        <f aca="false">IF(J125="","",MAX(0,J125-1.96*O125/100))</f>
        <v>0.429942385744019</v>
      </c>
      <c r="Q125" s="53" t="n">
        <f aca="false">IF(J125="","",MIN(1,J125+1.96*O125/100))</f>
        <v>0.525338299317827</v>
      </c>
      <c r="R125" s="25" t="str">
        <f aca="false">IF(L125="","",IF(ABS(L125)&lt;=O125,"Yes","No"))</f>
        <v>Yes</v>
      </c>
      <c r="S125" s="25" t="str">
        <f aca="false">IF(L125="","",IF(ABS(L125)&lt;=1.96*O125,"Yes","No"))</f>
        <v>Yes</v>
      </c>
      <c r="T125" s="52" t="n">
        <f aca="false">IF(D125="","",ROUND(SQRT(((D125+G125)*O125/100)^2+(J125*(D125+G125)*0.10931)^2),0))</f>
        <v>61</v>
      </c>
      <c r="U125" s="25"/>
    </row>
    <row r="126" customFormat="false" ht="15" hidden="false" customHeight="false" outlineLevel="0" collapsed="false">
      <c r="A126" s="25" t="s">
        <v>197</v>
      </c>
      <c r="B126" s="25" t="s">
        <v>273</v>
      </c>
      <c r="C126" s="25" t="s">
        <v>276</v>
      </c>
      <c r="D126" s="52" t="n">
        <v>550</v>
      </c>
      <c r="E126" s="52" t="n">
        <v>536</v>
      </c>
      <c r="F126" s="63" t="n">
        <f aca="false">IF(E126="","",D126-E126)</f>
        <v>14</v>
      </c>
      <c r="G126" s="52" t="n">
        <v>529</v>
      </c>
      <c r="H126" s="52" t="n">
        <v>524</v>
      </c>
      <c r="I126" s="63" t="n">
        <f aca="false">IF(H126="","",G126-H126)</f>
        <v>5</v>
      </c>
      <c r="J126" s="53" t="n">
        <f aca="false">IF(OR(D126="",D126+G126=0),"",D126/(D126+G126))</f>
        <v>0.509731232622799</v>
      </c>
      <c r="K126" s="53" t="n">
        <f aca="false">IF(E126="","",E126/(E126+H126))</f>
        <v>0.505660377358491</v>
      </c>
      <c r="L126" s="64" t="n">
        <f aca="false">IF(OR(K126="",J126=""),"",(J126-K126)*100)</f>
        <v>0.407085526430828</v>
      </c>
      <c r="M126" s="28" t="n">
        <v>2.40127504711013</v>
      </c>
      <c r="N126" s="28" t="n">
        <v>0.395142145636406</v>
      </c>
      <c r="O126" s="28" t="n">
        <f aca="false">SQRT(M126^2+N126^2)</f>
        <v>2.43356922382165</v>
      </c>
      <c r="P126" s="53" t="n">
        <f aca="false">IF(J126="","",MAX(0,J126-1.96*O126/100))</f>
        <v>0.462033275835895</v>
      </c>
      <c r="Q126" s="53" t="n">
        <f aca="false">IF(J126="","",MIN(1,J126+1.96*O126/100))</f>
        <v>0.557429189409703</v>
      </c>
      <c r="R126" s="25" t="str">
        <f aca="false">IF(L126="","",IF(ABS(L126)&lt;=O126,"Yes","No"))</f>
        <v>Yes</v>
      </c>
      <c r="S126" s="25" t="str">
        <f aca="false">IF(L126="","",IF(ABS(L126)&lt;=1.96*O126,"Yes","No"))</f>
        <v>Yes</v>
      </c>
      <c r="T126" s="52" t="n">
        <f aca="false">IF(D126="","",ROUND(SQRT(((D126+G126)*O126/100)^2+(J126*(D126+G126)*0.10931)^2),0))</f>
        <v>66</v>
      </c>
      <c r="U126" s="25"/>
    </row>
    <row r="127" customFormat="false" ht="15" hidden="false" customHeight="false" outlineLevel="0" collapsed="false">
      <c r="A127" s="25" t="s">
        <v>197</v>
      </c>
      <c r="B127" s="25" t="s">
        <v>277</v>
      </c>
      <c r="C127" s="25" t="s">
        <v>277</v>
      </c>
      <c r="D127" s="52" t="n">
        <v>762</v>
      </c>
      <c r="E127" s="52" t="n">
        <v>735</v>
      </c>
      <c r="F127" s="63" t="n">
        <f aca="false">IF(E127="","",D127-E127)</f>
        <v>27</v>
      </c>
      <c r="G127" s="52" t="n">
        <v>810</v>
      </c>
      <c r="H127" s="52" t="n">
        <v>804</v>
      </c>
      <c r="I127" s="63" t="n">
        <f aca="false">IF(H127="","",G127-H127)</f>
        <v>6</v>
      </c>
      <c r="J127" s="53" t="n">
        <f aca="false">IF(OR(D127="",D127+G127=0),"",D127/(D127+G127))</f>
        <v>0.484732824427481</v>
      </c>
      <c r="K127" s="53" t="n">
        <f aca="false">IF(E127="","",E127/(E127+H127))</f>
        <v>0.477582846003899</v>
      </c>
      <c r="L127" s="64" t="n">
        <f aca="false">IF(OR(K127="",J127=""),"",(J127-K127)*100)</f>
        <v>0.714997842358228</v>
      </c>
      <c r="M127" s="28" t="n">
        <v>2.1665403898083</v>
      </c>
      <c r="N127" s="28" t="n">
        <v>0.395142145636406</v>
      </c>
      <c r="O127" s="28" t="n">
        <f aca="false">SQRT(M127^2+N127^2)</f>
        <v>2.2022794046008</v>
      </c>
      <c r="P127" s="53" t="n">
        <f aca="false">IF(J127="","",MAX(0,J127-1.96*O127/100))</f>
        <v>0.441568148097305</v>
      </c>
      <c r="Q127" s="53" t="n">
        <f aca="false">IF(J127="","",MIN(1,J127+1.96*O127/100))</f>
        <v>0.527897500757657</v>
      </c>
      <c r="R127" s="25" t="str">
        <f aca="false">IF(L127="","",IF(ABS(L127)&lt;=O127,"Yes","No"))</f>
        <v>Yes</v>
      </c>
      <c r="S127" s="25" t="str">
        <f aca="false">IF(L127="","",IF(ABS(L127)&lt;=1.96*O127,"Yes","No"))</f>
        <v>Yes</v>
      </c>
      <c r="T127" s="52" t="n">
        <f aca="false">IF(D127="","",ROUND(SQRT(((D127+G127)*O127/100)^2+(J127*(D127+G127)*0.08889)^2),0))</f>
        <v>76</v>
      </c>
      <c r="U127" s="25"/>
    </row>
    <row r="128" customFormat="false" ht="15" hidden="false" customHeight="false" outlineLevel="0" collapsed="false">
      <c r="A128" s="25" t="s">
        <v>197</v>
      </c>
      <c r="B128" s="25" t="s">
        <v>278</v>
      </c>
      <c r="C128" s="25" t="s">
        <v>279</v>
      </c>
      <c r="D128" s="52" t="n">
        <v>402</v>
      </c>
      <c r="E128" s="52" t="n">
        <v>372</v>
      </c>
      <c r="F128" s="63" t="n">
        <f aca="false">IF(E128="","",D128-E128)</f>
        <v>30</v>
      </c>
      <c r="G128" s="52" t="n">
        <v>405</v>
      </c>
      <c r="H128" s="52" t="n">
        <v>383</v>
      </c>
      <c r="I128" s="63" t="n">
        <f aca="false">IF(H128="","",G128-H128)</f>
        <v>22</v>
      </c>
      <c r="J128" s="53" t="n">
        <f aca="false">IF(OR(D128="",D128+G128=0),"",D128/(D128+G128))</f>
        <v>0.49814126394052</v>
      </c>
      <c r="K128" s="53" t="n">
        <f aca="false">IF(E128="","",E128/(E128+H128))</f>
        <v>0.492715231788079</v>
      </c>
      <c r="L128" s="64" t="n">
        <f aca="false">IF(OR(K128="",J128=""),"",(J128-K128)*100)</f>
        <v>0.542603215244097</v>
      </c>
      <c r="M128" s="28" t="n">
        <v>2.40127504711013</v>
      </c>
      <c r="N128" s="28" t="n">
        <v>0.395142145636406</v>
      </c>
      <c r="O128" s="28" t="n">
        <f aca="false">SQRT(M128^2+N128^2)</f>
        <v>2.43356922382165</v>
      </c>
      <c r="P128" s="53" t="n">
        <f aca="false">IF(J128="","",MAX(0,J128-1.96*O128/100))</f>
        <v>0.450443307153616</v>
      </c>
      <c r="Q128" s="53" t="n">
        <f aca="false">IF(J128="","",MIN(1,J128+1.96*O128/100))</f>
        <v>0.545839220727425</v>
      </c>
      <c r="R128" s="25" t="str">
        <f aca="false">IF(L128="","",IF(ABS(L128)&lt;=O128,"Yes","No"))</f>
        <v>Yes</v>
      </c>
      <c r="S128" s="25" t="str">
        <f aca="false">IF(L128="","",IF(ABS(L128)&lt;=1.96*O128,"Yes","No"))</f>
        <v>Yes</v>
      </c>
      <c r="T128" s="52" t="n">
        <f aca="false">IF(D128="","",ROUND(SQRT(((D128+G128)*O128/100)^2+(J128*(D128+G128)*0.10931)^2),0))</f>
        <v>48</v>
      </c>
      <c r="U128" s="25"/>
    </row>
    <row r="129" customFormat="false" ht="15" hidden="false" customHeight="false" outlineLevel="0" collapsed="false">
      <c r="A129" s="25" t="s">
        <v>197</v>
      </c>
      <c r="B129" s="25" t="s">
        <v>278</v>
      </c>
      <c r="C129" s="25" t="s">
        <v>280</v>
      </c>
      <c r="D129" s="52" t="n">
        <v>543</v>
      </c>
      <c r="E129" s="52" t="n">
        <v>527</v>
      </c>
      <c r="F129" s="63" t="n">
        <f aca="false">IF(E129="","",D129-E129)</f>
        <v>16</v>
      </c>
      <c r="G129" s="52" t="n">
        <v>488</v>
      </c>
      <c r="H129" s="52" t="n">
        <v>515</v>
      </c>
      <c r="I129" s="63" t="n">
        <f aca="false">IF(H129="","",G129-H129)</f>
        <v>-27</v>
      </c>
      <c r="J129" s="53" t="n">
        <f aca="false">IF(OR(D129="",D129+G129=0),"",D129/(D129+G129))</f>
        <v>0.526673132880698</v>
      </c>
      <c r="K129" s="53" t="n">
        <f aca="false">IF(E129="","",E129/(E129+H129))</f>
        <v>0.505758157389635</v>
      </c>
      <c r="L129" s="64" t="n">
        <f aca="false">IF(OR(K129="",J129=""),"",(J129-K129)*100)</f>
        <v>2.0914975491063</v>
      </c>
      <c r="M129" s="28" t="n">
        <v>2.40127504711013</v>
      </c>
      <c r="N129" s="28" t="n">
        <v>0.395142145636406</v>
      </c>
      <c r="O129" s="28" t="n">
        <f aca="false">SQRT(M129^2+N129^2)</f>
        <v>2.43356922382165</v>
      </c>
      <c r="P129" s="53" t="n">
        <f aca="false">IF(J129="","",MAX(0,J129-1.96*O129/100))</f>
        <v>0.478975176093794</v>
      </c>
      <c r="Q129" s="53" t="n">
        <f aca="false">IF(J129="","",MIN(1,J129+1.96*O129/100))</f>
        <v>0.574371089667603</v>
      </c>
      <c r="R129" s="25" t="str">
        <f aca="false">IF(L129="","",IF(ABS(L129)&lt;=O129,"Yes","No"))</f>
        <v>Yes</v>
      </c>
      <c r="S129" s="25" t="str">
        <f aca="false">IF(L129="","",IF(ABS(L129)&lt;=1.96*O129,"Yes","No"))</f>
        <v>Yes</v>
      </c>
      <c r="T129" s="52" t="n">
        <f aca="false">IF(D129="","",ROUND(SQRT(((D129+G129)*O129/100)^2+(J129*(D129+G129)*0.10931)^2),0))</f>
        <v>64</v>
      </c>
      <c r="U129" s="25"/>
    </row>
    <row r="130" customFormat="false" ht="15" hidden="false" customHeight="false" outlineLevel="0" collapsed="false">
      <c r="A130" s="25" t="s">
        <v>197</v>
      </c>
      <c r="B130" s="25" t="s">
        <v>281</v>
      </c>
      <c r="C130" s="25" t="s">
        <v>282</v>
      </c>
      <c r="D130" s="52" t="n">
        <v>567</v>
      </c>
      <c r="E130" s="52" t="n">
        <v>562</v>
      </c>
      <c r="F130" s="63" t="n">
        <f aca="false">IF(E130="","",D130-E130)</f>
        <v>5</v>
      </c>
      <c r="G130" s="52" t="n">
        <v>483</v>
      </c>
      <c r="H130" s="52" t="n">
        <v>497</v>
      </c>
      <c r="I130" s="63" t="n">
        <f aca="false">IF(H130="","",G130-H130)</f>
        <v>-14</v>
      </c>
      <c r="J130" s="53" t="n">
        <f aca="false">IF(OR(D130="",D130+G130=0),"",D130/(D130+G130))</f>
        <v>0.54</v>
      </c>
      <c r="K130" s="53" t="n">
        <f aca="false">IF(E130="","",E130/(E130+H130))</f>
        <v>0.530689329556185</v>
      </c>
      <c r="L130" s="64" t="n">
        <f aca="false">IF(OR(K130="",J130=""),"",(J130-K130)*100)</f>
        <v>0.931067044381495</v>
      </c>
      <c r="M130" s="28" t="n">
        <v>2.40127504711013</v>
      </c>
      <c r="N130" s="28" t="n">
        <v>0.395142145636406</v>
      </c>
      <c r="O130" s="28" t="n">
        <f aca="false">SQRT(M130^2+N130^2)</f>
        <v>2.43356922382165</v>
      </c>
      <c r="P130" s="53" t="n">
        <f aca="false">IF(J130="","",MAX(0,J130-1.96*O130/100))</f>
        <v>0.492302043213096</v>
      </c>
      <c r="Q130" s="53" t="n">
        <f aca="false">IF(J130="","",MIN(1,J130+1.96*O130/100))</f>
        <v>0.587697956786904</v>
      </c>
      <c r="R130" s="25" t="str">
        <f aca="false">IF(L130="","",IF(ABS(L130)&lt;=O130,"Yes","No"))</f>
        <v>Yes</v>
      </c>
      <c r="S130" s="25" t="str">
        <f aca="false">IF(L130="","",IF(ABS(L130)&lt;=1.96*O130,"Yes","No"))</f>
        <v>Yes</v>
      </c>
      <c r="T130" s="52" t="n">
        <f aca="false">IF(D130="","",ROUND(SQRT(((D130+G130)*O130/100)^2+(J130*(D130+G130)*0.10931)^2),0))</f>
        <v>67</v>
      </c>
      <c r="U130" s="25"/>
    </row>
    <row r="131" customFormat="false" ht="15" hidden="false" customHeight="false" outlineLevel="0" collapsed="false">
      <c r="A131" s="25" t="s">
        <v>197</v>
      </c>
      <c r="B131" s="25" t="s">
        <v>281</v>
      </c>
      <c r="C131" s="25" t="s">
        <v>283</v>
      </c>
      <c r="D131" s="52" t="n">
        <v>573</v>
      </c>
      <c r="E131" s="52" t="n">
        <v>566</v>
      </c>
      <c r="F131" s="63" t="n">
        <f aca="false">IF(E131="","",D131-E131)</f>
        <v>7</v>
      </c>
      <c r="G131" s="52" t="n">
        <v>506</v>
      </c>
      <c r="H131" s="52" t="n">
        <v>509</v>
      </c>
      <c r="I131" s="63" t="n">
        <f aca="false">IF(H131="","",G131-H131)</f>
        <v>-3</v>
      </c>
      <c r="J131" s="53" t="n">
        <f aca="false">IF(OR(D131="",D131+G131=0),"",D131/(D131+G131))</f>
        <v>0.531047265987025</v>
      </c>
      <c r="K131" s="53" t="n">
        <f aca="false">IF(E131="","",E131/(E131+H131))</f>
        <v>0.526511627906977</v>
      </c>
      <c r="L131" s="64" t="n">
        <f aca="false">IF(OR(K131="",J131=""),"",(J131-K131)*100)</f>
        <v>0.453563808004831</v>
      </c>
      <c r="M131" s="28" t="n">
        <v>2.40127504711013</v>
      </c>
      <c r="N131" s="28" t="n">
        <v>0.395142145636406</v>
      </c>
      <c r="O131" s="28" t="n">
        <f aca="false">SQRT(M131^2+N131^2)</f>
        <v>2.43356922382165</v>
      </c>
      <c r="P131" s="53" t="n">
        <f aca="false">IF(J131="","",MAX(0,J131-1.96*O131/100))</f>
        <v>0.483349309200121</v>
      </c>
      <c r="Q131" s="53" t="n">
        <f aca="false">IF(J131="","",MIN(1,J131+1.96*O131/100))</f>
        <v>0.578745222773929</v>
      </c>
      <c r="R131" s="25" t="str">
        <f aca="false">IF(L131="","",IF(ABS(L131)&lt;=O131,"Yes","No"))</f>
        <v>Yes</v>
      </c>
      <c r="S131" s="25" t="str">
        <f aca="false">IF(L131="","",IF(ABS(L131)&lt;=1.96*O131,"Yes","No"))</f>
        <v>Yes</v>
      </c>
      <c r="T131" s="52" t="n">
        <f aca="false">IF(D131="","",ROUND(SQRT(((D131+G131)*O131/100)^2+(J131*(D131+G131)*0.10931)^2),0))</f>
        <v>68</v>
      </c>
      <c r="U131" s="25"/>
    </row>
    <row r="132" customFormat="false" ht="15" hidden="false" customHeight="false" outlineLevel="0" collapsed="false">
      <c r="A132" s="25" t="s">
        <v>197</v>
      </c>
      <c r="B132" s="25" t="s">
        <v>281</v>
      </c>
      <c r="C132" s="25" t="s">
        <v>284</v>
      </c>
      <c r="D132" s="52" t="n">
        <v>800</v>
      </c>
      <c r="E132" s="52" t="n">
        <v>826</v>
      </c>
      <c r="F132" s="63" t="n">
        <f aca="false">IF(E132="","",D132-E132)</f>
        <v>-26</v>
      </c>
      <c r="G132" s="52" t="n">
        <v>798</v>
      </c>
      <c r="H132" s="52" t="n">
        <v>801</v>
      </c>
      <c r="I132" s="63" t="n">
        <f aca="false">IF(H132="","",G132-H132)</f>
        <v>-3</v>
      </c>
      <c r="J132" s="53" t="n">
        <f aca="false">IF(OR(D132="",D132+G132=0),"",D132/(D132+G132))</f>
        <v>0.500625782227785</v>
      </c>
      <c r="K132" s="53" t="n">
        <f aca="false">IF(E132="","",E132/(E132+H132))</f>
        <v>0.507682851874616</v>
      </c>
      <c r="L132" s="64" t="n">
        <f aca="false">IF(OR(K132="",J132=""),"",(J132-K132)*100)</f>
        <v>-0.705706964683106</v>
      </c>
      <c r="M132" s="28" t="n">
        <v>2.1665403898083</v>
      </c>
      <c r="N132" s="28" t="n">
        <v>0.395142145636406</v>
      </c>
      <c r="O132" s="28" t="n">
        <f aca="false">SQRT(M132^2+N132^2)</f>
        <v>2.2022794046008</v>
      </c>
      <c r="P132" s="53" t="n">
        <f aca="false">IF(J132="","",MAX(0,J132-1.96*O132/100))</f>
        <v>0.457461105897609</v>
      </c>
      <c r="Q132" s="53" t="n">
        <f aca="false">IF(J132="","",MIN(1,J132+1.96*O132/100))</f>
        <v>0.543790458557961</v>
      </c>
      <c r="R132" s="25" t="str">
        <f aca="false">IF(L132="","",IF(ABS(L132)&lt;=O132,"Yes","No"))</f>
        <v>Yes</v>
      </c>
      <c r="S132" s="25" t="str">
        <f aca="false">IF(L132="","",IF(ABS(L132)&lt;=1.96*O132,"Yes","No"))</f>
        <v>Yes</v>
      </c>
      <c r="T132" s="52" t="n">
        <f aca="false">IF(D132="","",ROUND(SQRT(((D132+G132)*O132/100)^2+(J132*(D132+G132)*0.08889)^2),0))</f>
        <v>79</v>
      </c>
      <c r="U132" s="25"/>
    </row>
    <row r="133" customFormat="false" ht="15" hidden="false" customHeight="false" outlineLevel="0" collapsed="false">
      <c r="A133" s="25" t="s">
        <v>197</v>
      </c>
      <c r="B133" s="25" t="s">
        <v>281</v>
      </c>
      <c r="C133" s="25" t="s">
        <v>285</v>
      </c>
      <c r="D133" s="52" t="n">
        <v>703</v>
      </c>
      <c r="E133" s="52" t="n">
        <v>686</v>
      </c>
      <c r="F133" s="63" t="n">
        <f aca="false">IF(E133="","",D133-E133)</f>
        <v>17</v>
      </c>
      <c r="G133" s="52" t="n">
        <v>553</v>
      </c>
      <c r="H133" s="52" t="n">
        <v>580</v>
      </c>
      <c r="I133" s="63" t="n">
        <f aca="false">IF(H133="","",G133-H133)</f>
        <v>-27</v>
      </c>
      <c r="J133" s="53" t="n">
        <f aca="false">IF(OR(D133="",D133+G133=0),"",D133/(D133+G133))</f>
        <v>0.559713375796178</v>
      </c>
      <c r="K133" s="53" t="n">
        <f aca="false">IF(E133="","",E133/(E133+H133))</f>
        <v>0.541864139020537</v>
      </c>
      <c r="L133" s="64" t="n">
        <f aca="false">IF(OR(K133="",J133=""),"",(J133-K133)*100)</f>
        <v>1.78492367756412</v>
      </c>
      <c r="M133" s="28" t="n">
        <v>2.1665403898083</v>
      </c>
      <c r="N133" s="28" t="n">
        <v>0.395142145636406</v>
      </c>
      <c r="O133" s="28" t="n">
        <f aca="false">SQRT(M133^2+N133^2)</f>
        <v>2.2022794046008</v>
      </c>
      <c r="P133" s="53" t="n">
        <f aca="false">IF(J133="","",MAX(0,J133-1.96*O133/100))</f>
        <v>0.516548699466003</v>
      </c>
      <c r="Q133" s="53" t="n">
        <f aca="false">IF(J133="","",MIN(1,J133+1.96*O133/100))</f>
        <v>0.602878052126354</v>
      </c>
      <c r="R133" s="25" t="str">
        <f aca="false">IF(L133="","",IF(ABS(L133)&lt;=O133,"Yes","No"))</f>
        <v>Yes</v>
      </c>
      <c r="S133" s="25" t="str">
        <f aca="false">IF(L133="","",IF(ABS(L133)&lt;=1.96*O133,"Yes","No"))</f>
        <v>Yes</v>
      </c>
      <c r="T133" s="52" t="n">
        <f aca="false">IF(D133="","",ROUND(SQRT(((D133+G133)*O133/100)^2+(J133*(D133+G133)*0.08889)^2),0))</f>
        <v>68</v>
      </c>
      <c r="U133" s="25"/>
    </row>
    <row r="134" customFormat="false" ht="15" hidden="false" customHeight="false" outlineLevel="0" collapsed="false">
      <c r="A134" s="25" t="s">
        <v>197</v>
      </c>
      <c r="B134" s="25" t="s">
        <v>281</v>
      </c>
      <c r="C134" s="25" t="s">
        <v>286</v>
      </c>
      <c r="D134" s="52" t="n">
        <v>343</v>
      </c>
      <c r="E134" s="52" t="n">
        <v>332</v>
      </c>
      <c r="F134" s="63" t="n">
        <f aca="false">IF(E134="","",D134-E134)</f>
        <v>11</v>
      </c>
      <c r="G134" s="52" t="n">
        <v>337</v>
      </c>
      <c r="H134" s="52" t="n">
        <v>340</v>
      </c>
      <c r="I134" s="63" t="n">
        <f aca="false">IF(H134="","",G134-H134)</f>
        <v>-3</v>
      </c>
      <c r="J134" s="53" t="n">
        <f aca="false">IF(OR(D134="",D134+G134=0),"",D134/(D134+G134))</f>
        <v>0.504411764705882</v>
      </c>
      <c r="K134" s="53" t="n">
        <f aca="false">IF(E134="","",E134/(E134+H134))</f>
        <v>0.494047619047619</v>
      </c>
      <c r="L134" s="64" t="n">
        <f aca="false">IF(OR(K134="",J134=""),"",(J134-K134)*100)</f>
        <v>1.03641456582633</v>
      </c>
      <c r="M134" s="28" t="n">
        <v>3.59869162464536</v>
      </c>
      <c r="N134" s="28" t="n">
        <v>0.395142145636406</v>
      </c>
      <c r="O134" s="28" t="n">
        <f aca="false">SQRT(M134^2+N134^2)</f>
        <v>3.62032025165603</v>
      </c>
      <c r="P134" s="53" t="n">
        <f aca="false">IF(J134="","",MAX(0,J134-1.96*O134/100))</f>
        <v>0.433453487773424</v>
      </c>
      <c r="Q134" s="53" t="n">
        <f aca="false">IF(J134="","",MIN(1,J134+1.96*O134/100))</f>
        <v>0.575370041638341</v>
      </c>
      <c r="R134" s="25" t="str">
        <f aca="false">IF(L134="","",IF(ABS(L134)&lt;=O134,"Yes","No"))</f>
        <v>Yes</v>
      </c>
      <c r="S134" s="25" t="str">
        <f aca="false">IF(L134="","",IF(ABS(L134)&lt;=1.96*O134,"Yes","No"))</f>
        <v>Yes</v>
      </c>
      <c r="T134" s="52" t="n">
        <f aca="false">IF(D134="","",ROUND(SQRT(((D134+G134)*O134/100)^2+(J134*(D134+G134)*0.1901)^2),0))</f>
        <v>70</v>
      </c>
      <c r="U134" s="25"/>
    </row>
    <row r="135" customFormat="false" ht="15" hidden="false" customHeight="false" outlineLevel="0" collapsed="false">
      <c r="A135" s="25" t="s">
        <v>197</v>
      </c>
      <c r="B135" s="25" t="s">
        <v>281</v>
      </c>
      <c r="C135" s="25" t="s">
        <v>287</v>
      </c>
      <c r="D135" s="52" t="n">
        <v>676</v>
      </c>
      <c r="E135" s="52" t="n">
        <v>691</v>
      </c>
      <c r="F135" s="63" t="n">
        <f aca="false">IF(E135="","",D135-E135)</f>
        <v>-15</v>
      </c>
      <c r="G135" s="52" t="n">
        <v>523</v>
      </c>
      <c r="H135" s="52" t="n">
        <v>509</v>
      </c>
      <c r="I135" s="63" t="n">
        <f aca="false">IF(H135="","",G135-H135)</f>
        <v>14</v>
      </c>
      <c r="J135" s="53" t="n">
        <f aca="false">IF(OR(D135="",D135+G135=0),"",D135/(D135+G135))</f>
        <v>0.563803169307756</v>
      </c>
      <c r="K135" s="53" t="n">
        <f aca="false">IF(E135="","",E135/(E135+H135))</f>
        <v>0.575833333333333</v>
      </c>
      <c r="L135" s="64" t="n">
        <f aca="false">IF(OR(K135="",J135=""),"",(J135-K135)*100)</f>
        <v>-1.20301640255769</v>
      </c>
      <c r="M135" s="28" t="n">
        <v>2.1665403898083</v>
      </c>
      <c r="N135" s="28" t="n">
        <v>0.395142145636406</v>
      </c>
      <c r="O135" s="28" t="n">
        <f aca="false">SQRT(M135^2+N135^2)</f>
        <v>2.2022794046008</v>
      </c>
      <c r="P135" s="53" t="n">
        <f aca="false">IF(J135="","",MAX(0,J135-1.96*O135/100))</f>
        <v>0.520638492977581</v>
      </c>
      <c r="Q135" s="53" t="n">
        <f aca="false">IF(J135="","",MIN(1,J135+1.96*O135/100))</f>
        <v>0.606967845637932</v>
      </c>
      <c r="R135" s="25" t="str">
        <f aca="false">IF(L135="","",IF(ABS(L135)&lt;=O135,"Yes","No"))</f>
        <v>Yes</v>
      </c>
      <c r="S135" s="25" t="str">
        <f aca="false">IF(L135="","",IF(ABS(L135)&lt;=1.96*O135,"Yes","No"))</f>
        <v>Yes</v>
      </c>
      <c r="T135" s="52" t="n">
        <f aca="false">IF(D135="","",ROUND(SQRT(((D135+G135)*O135/100)^2+(J135*(D135+G135)*0.08889)^2),0))</f>
        <v>66</v>
      </c>
      <c r="U135" s="25"/>
    </row>
    <row r="136" customFormat="false" ht="15" hidden="false" customHeight="false" outlineLevel="0" collapsed="false">
      <c r="A136" s="25" t="s">
        <v>197</v>
      </c>
      <c r="B136" s="25" t="s">
        <v>288</v>
      </c>
      <c r="C136" s="25" t="s">
        <v>289</v>
      </c>
      <c r="D136" s="52" t="n">
        <v>658</v>
      </c>
      <c r="E136" s="52" t="n">
        <v>579</v>
      </c>
      <c r="F136" s="63" t="n">
        <f aca="false">IF(E136="","",D136-E136)</f>
        <v>79</v>
      </c>
      <c r="G136" s="52" t="n">
        <v>284</v>
      </c>
      <c r="H136" s="52" t="n">
        <v>292</v>
      </c>
      <c r="I136" s="63" t="n">
        <f aca="false">IF(H136="","",G136-H136)</f>
        <v>-8</v>
      </c>
      <c r="J136" s="53" t="n">
        <f aca="false">IF(OR(D136="",D136+G136=0),"",D136/(D136+G136))</f>
        <v>0.698513800424628</v>
      </c>
      <c r="K136" s="53" t="n">
        <f aca="false">IF(E136="","",E136/(E136+H136))</f>
        <v>0.664753157290471</v>
      </c>
      <c r="L136" s="64" t="n">
        <f aca="false">IF(OR(K136="",J136=""),"",(J136-K136)*100)</f>
        <v>3.37606431341577</v>
      </c>
      <c r="M136" s="28" t="n">
        <v>2.40127504711013</v>
      </c>
      <c r="N136" s="28" t="n">
        <v>0.395142145636406</v>
      </c>
      <c r="O136" s="28" t="n">
        <f aca="false">SQRT(M136^2+N136^2)</f>
        <v>2.43356922382165</v>
      </c>
      <c r="P136" s="53" t="n">
        <f aca="false">IF(J136="","",MAX(0,J136-1.96*O136/100))</f>
        <v>0.650815843637724</v>
      </c>
      <c r="Q136" s="53" t="n">
        <f aca="false">IF(J136="","",MIN(1,J136+1.96*O136/100))</f>
        <v>0.746211757211533</v>
      </c>
      <c r="R136" s="25" t="str">
        <f aca="false">IF(L136="","",IF(ABS(L136)&lt;=O136,"Yes","No"))</f>
        <v>No</v>
      </c>
      <c r="S136" s="25" t="str">
        <f aca="false">IF(L136="","",IF(ABS(L136)&lt;=1.96*O136,"Yes","No"))</f>
        <v>Yes</v>
      </c>
      <c r="T136" s="52" t="n">
        <f aca="false">IF(D136="","",ROUND(SQRT(((D136+G136)*O136/100)^2+(J136*(D136+G136)*0.10931)^2),0))</f>
        <v>75</v>
      </c>
      <c r="U136" s="25"/>
    </row>
    <row r="137" customFormat="false" ht="15" hidden="false" customHeight="false" outlineLevel="0" collapsed="false">
      <c r="A137" s="25" t="s">
        <v>197</v>
      </c>
      <c r="B137" s="25" t="s">
        <v>288</v>
      </c>
      <c r="C137" s="25" t="s">
        <v>290</v>
      </c>
      <c r="D137" s="52" t="n">
        <v>451</v>
      </c>
      <c r="E137" s="52" t="n">
        <v>440</v>
      </c>
      <c r="F137" s="63" t="n">
        <f aca="false">IF(E137="","",D137-E137)</f>
        <v>11</v>
      </c>
      <c r="G137" s="52" t="n">
        <v>266</v>
      </c>
      <c r="H137" s="52" t="n">
        <v>262</v>
      </c>
      <c r="I137" s="63" t="n">
        <f aca="false">IF(H137="","",G137-H137)</f>
        <v>4</v>
      </c>
      <c r="J137" s="53" t="n">
        <f aca="false">IF(OR(D137="",D137+G137=0),"",D137/(D137+G137))</f>
        <v>0.629009762900976</v>
      </c>
      <c r="K137" s="53" t="n">
        <f aca="false">IF(E137="","",E137/(E137+H137))</f>
        <v>0.626780626780627</v>
      </c>
      <c r="L137" s="64" t="n">
        <f aca="false">IF(OR(K137="",J137=""),"",(J137-K137)*100)</f>
        <v>0.222913612034958</v>
      </c>
      <c r="M137" s="28" t="n">
        <v>3.59869162464536</v>
      </c>
      <c r="N137" s="28" t="n">
        <v>0.395142145636406</v>
      </c>
      <c r="O137" s="28" t="n">
        <f aca="false">SQRT(M137^2+N137^2)</f>
        <v>3.62032025165603</v>
      </c>
      <c r="P137" s="53" t="n">
        <f aca="false">IF(J137="","",MAX(0,J137-1.96*O137/100))</f>
        <v>0.558051485968518</v>
      </c>
      <c r="Q137" s="53" t="n">
        <f aca="false">IF(J137="","",MIN(1,J137+1.96*O137/100))</f>
        <v>0.699968039833435</v>
      </c>
      <c r="R137" s="25" t="str">
        <f aca="false">IF(L137="","",IF(ABS(L137)&lt;=O137,"Yes","No"))</f>
        <v>Yes</v>
      </c>
      <c r="S137" s="25" t="str">
        <f aca="false">IF(L137="","",IF(ABS(L137)&lt;=1.96*O137,"Yes","No"))</f>
        <v>Yes</v>
      </c>
      <c r="T137" s="52" t="n">
        <f aca="false">IF(D137="","",ROUND(SQRT(((D137+G137)*O137/100)^2+(J137*(D137+G137)*0.1901)^2),0))</f>
        <v>90</v>
      </c>
      <c r="U137" s="25"/>
    </row>
    <row r="138" customFormat="false" ht="15" hidden="false" customHeight="false" outlineLevel="0" collapsed="false">
      <c r="A138" s="25" t="s">
        <v>197</v>
      </c>
      <c r="B138" s="25" t="s">
        <v>288</v>
      </c>
      <c r="C138" s="25" t="s">
        <v>291</v>
      </c>
      <c r="D138" s="52" t="n">
        <v>449</v>
      </c>
      <c r="E138" s="52" t="n">
        <v>414</v>
      </c>
      <c r="F138" s="63" t="n">
        <f aca="false">IF(E138="","",D138-E138)</f>
        <v>35</v>
      </c>
      <c r="G138" s="52" t="n">
        <v>232</v>
      </c>
      <c r="H138" s="52" t="n">
        <v>239</v>
      </c>
      <c r="I138" s="63" t="n">
        <f aca="false">IF(H138="","",G138-H138)</f>
        <v>-7</v>
      </c>
      <c r="J138" s="53" t="n">
        <f aca="false">IF(OR(D138="",D138+G138=0),"",D138/(D138+G138))</f>
        <v>0.659324522760646</v>
      </c>
      <c r="K138" s="53" t="n">
        <f aca="false">IF(E138="","",E138/(E138+H138))</f>
        <v>0.633996937212864</v>
      </c>
      <c r="L138" s="64" t="n">
        <f aca="false">IF(OR(K138="",J138=""),"",(J138-K138)*100)</f>
        <v>2.53275855477825</v>
      </c>
      <c r="M138" s="28" t="n">
        <v>3.59869162464536</v>
      </c>
      <c r="N138" s="28" t="n">
        <v>0.395142145636406</v>
      </c>
      <c r="O138" s="28" t="n">
        <f aca="false">SQRT(M138^2+N138^2)</f>
        <v>3.62032025165603</v>
      </c>
      <c r="P138" s="53" t="n">
        <f aca="false">IF(J138="","",MAX(0,J138-1.96*O138/100))</f>
        <v>0.588366245828188</v>
      </c>
      <c r="Q138" s="53" t="n">
        <f aca="false">IF(J138="","",MIN(1,J138+1.96*O138/100))</f>
        <v>0.730282799693104</v>
      </c>
      <c r="R138" s="25" t="str">
        <f aca="false">IF(L138="","",IF(ABS(L138)&lt;=O138,"Yes","No"))</f>
        <v>Yes</v>
      </c>
      <c r="S138" s="25" t="str">
        <f aca="false">IF(L138="","",IF(ABS(L138)&lt;=1.96*O138,"Yes","No"))</f>
        <v>Yes</v>
      </c>
      <c r="T138" s="52" t="n">
        <f aca="false">IF(D138="","",ROUND(SQRT(((D138+G138)*O138/100)^2+(J138*(D138+G138)*0.1901)^2),0))</f>
        <v>89</v>
      </c>
      <c r="U138" s="25"/>
    </row>
    <row r="139" customFormat="false" ht="15" hidden="false" customHeight="false" outlineLevel="0" collapsed="false">
      <c r="A139" s="25" t="s">
        <v>197</v>
      </c>
      <c r="B139" s="25" t="s">
        <v>292</v>
      </c>
      <c r="C139" s="25" t="s">
        <v>292</v>
      </c>
      <c r="D139" s="52" t="n">
        <v>399</v>
      </c>
      <c r="E139" s="52" t="n">
        <v>379</v>
      </c>
      <c r="F139" s="63" t="n">
        <f aca="false">IF(E139="","",D139-E139)</f>
        <v>20</v>
      </c>
      <c r="G139" s="52" t="n">
        <v>342</v>
      </c>
      <c r="H139" s="52" t="n">
        <v>330</v>
      </c>
      <c r="I139" s="63" t="n">
        <f aca="false">IF(H139="","",G139-H139)</f>
        <v>12</v>
      </c>
      <c r="J139" s="53" t="n">
        <f aca="false">IF(OR(D139="",D139+G139=0),"",D139/(D139+G139))</f>
        <v>0.538461538461538</v>
      </c>
      <c r="K139" s="53" t="n">
        <f aca="false">IF(E139="","",E139/(E139+H139))</f>
        <v>0.534555712270804</v>
      </c>
      <c r="L139" s="64" t="n">
        <f aca="false">IF(OR(K139="",J139=""),"",(J139-K139)*100)</f>
        <v>0.390582619073454</v>
      </c>
      <c r="M139" s="28" t="n">
        <v>3.59869162464536</v>
      </c>
      <c r="N139" s="28" t="n">
        <v>0.395142145636406</v>
      </c>
      <c r="O139" s="28" t="n">
        <f aca="false">SQRT(M139^2+N139^2)</f>
        <v>3.62032025165603</v>
      </c>
      <c r="P139" s="53" t="n">
        <f aca="false">IF(J139="","",MAX(0,J139-1.96*O139/100))</f>
        <v>0.46750326152908</v>
      </c>
      <c r="Q139" s="53" t="n">
        <f aca="false">IF(J139="","",MIN(1,J139+1.96*O139/100))</f>
        <v>0.609419815393997</v>
      </c>
      <c r="R139" s="25" t="str">
        <f aca="false">IF(L139="","",IF(ABS(L139)&lt;=O139,"Yes","No"))</f>
        <v>Yes</v>
      </c>
      <c r="S139" s="25" t="str">
        <f aca="false">IF(L139="","",IF(ABS(L139)&lt;=1.96*O139,"Yes","No"))</f>
        <v>Yes</v>
      </c>
      <c r="T139" s="52" t="n">
        <f aca="false">IF(D139="","",ROUND(SQRT(((D139+G139)*O139/100)^2+(J139*(D139+G139)*0.1901)^2),0))</f>
        <v>80</v>
      </c>
      <c r="U139" s="25"/>
    </row>
    <row r="140" customFormat="false" ht="15" hidden="false" customHeight="false" outlineLevel="0" collapsed="false">
      <c r="A140" s="25" t="s">
        <v>197</v>
      </c>
      <c r="B140" s="25" t="s">
        <v>293</v>
      </c>
      <c r="C140" s="25" t="s">
        <v>293</v>
      </c>
      <c r="D140" s="52" t="n">
        <v>601</v>
      </c>
      <c r="E140" s="52" t="n">
        <v>654</v>
      </c>
      <c r="F140" s="63" t="n">
        <f aca="false">IF(E140="","",D140-E140)</f>
        <v>-53</v>
      </c>
      <c r="G140" s="52" t="n">
        <v>1457</v>
      </c>
      <c r="H140" s="52" t="n">
        <v>1439</v>
      </c>
      <c r="I140" s="63" t="n">
        <f aca="false">IF(H140="","",G140-H140)</f>
        <v>18</v>
      </c>
      <c r="J140" s="53" t="n">
        <f aca="false">IF(OR(D140="",D140+G140=0),"",D140/(D140+G140))</f>
        <v>0.292031098153547</v>
      </c>
      <c r="K140" s="53" t="n">
        <f aca="false">IF(E140="","",E140/(E140+H140))</f>
        <v>0.312470138557095</v>
      </c>
      <c r="L140" s="64" t="n">
        <f aca="false">IF(OR(K140="",J140=""),"",(J140-K140)*100)</f>
        <v>-2.0439040403548</v>
      </c>
      <c r="M140" s="28" t="n">
        <v>2.1665403898083</v>
      </c>
      <c r="N140" s="28" t="n">
        <v>0.395142145636406</v>
      </c>
      <c r="O140" s="28" t="n">
        <f aca="false">SQRT(M140^2+N140^2)</f>
        <v>2.2022794046008</v>
      </c>
      <c r="P140" s="53" t="n">
        <f aca="false">IF(J140="","",MAX(0,J140-1.96*O140/100))</f>
        <v>0.248866421823371</v>
      </c>
      <c r="Q140" s="53" t="n">
        <f aca="false">IF(J140="","",MIN(1,J140+1.96*O140/100))</f>
        <v>0.335195774483723</v>
      </c>
      <c r="R140" s="25" t="str">
        <f aca="false">IF(L140="","",IF(ABS(L140)&lt;=O140,"Yes","No"))</f>
        <v>Yes</v>
      </c>
      <c r="S140" s="25" t="str">
        <f aca="false">IF(L140="","",IF(ABS(L140)&lt;=1.96*O140,"Yes","No"))</f>
        <v>Yes</v>
      </c>
      <c r="T140" s="52" t="n">
        <f aca="false">IF(D140="","",ROUND(SQRT(((D140+G140)*O140/100)^2+(J140*(D140+G140)*0.08889)^2),0))</f>
        <v>70</v>
      </c>
      <c r="U140" s="25"/>
    </row>
    <row r="141" customFormat="false" ht="15" hidden="false" customHeight="false" outlineLevel="0" collapsed="false">
      <c r="A141" s="25" t="s">
        <v>197</v>
      </c>
      <c r="B141" s="25" t="s">
        <v>294</v>
      </c>
      <c r="C141" s="25" t="s">
        <v>295</v>
      </c>
      <c r="D141" s="52" t="n">
        <v>942</v>
      </c>
      <c r="E141" s="52" t="n">
        <v>928</v>
      </c>
      <c r="F141" s="63" t="n">
        <f aca="false">IF(E141="","",D141-E141)</f>
        <v>14</v>
      </c>
      <c r="G141" s="52" t="n">
        <v>994</v>
      </c>
      <c r="H141" s="52" t="n">
        <v>988</v>
      </c>
      <c r="I141" s="63" t="n">
        <f aca="false">IF(H141="","",G141-H141)</f>
        <v>6</v>
      </c>
      <c r="J141" s="53" t="n">
        <f aca="false">IF(OR(D141="",D141+G141=0),"",D141/(D141+G141))</f>
        <v>0.486570247933884</v>
      </c>
      <c r="K141" s="53" t="n">
        <f aca="false">IF(E141="","",E141/(E141+H141))</f>
        <v>0.484342379958246</v>
      </c>
      <c r="L141" s="64" t="n">
        <f aca="false">IF(OR(K141="",J141=""),"",(J141-K141)*100)</f>
        <v>0.222786797563795</v>
      </c>
      <c r="M141" s="28" t="n">
        <v>2.1665403898083</v>
      </c>
      <c r="N141" s="28" t="n">
        <v>0.395142145636406</v>
      </c>
      <c r="O141" s="28" t="n">
        <f aca="false">SQRT(M141^2+N141^2)</f>
        <v>2.2022794046008</v>
      </c>
      <c r="P141" s="53" t="n">
        <f aca="false">IF(J141="","",MAX(0,J141-1.96*O141/100))</f>
        <v>0.443405571603709</v>
      </c>
      <c r="Q141" s="53" t="n">
        <f aca="false">IF(J141="","",MIN(1,J141+1.96*O141/100))</f>
        <v>0.52973492426406</v>
      </c>
      <c r="R141" s="25" t="str">
        <f aca="false">IF(L141="","",IF(ABS(L141)&lt;=O141,"Yes","No"))</f>
        <v>Yes</v>
      </c>
      <c r="S141" s="25" t="str">
        <f aca="false">IF(L141="","",IF(ABS(L141)&lt;=1.96*O141,"Yes","No"))</f>
        <v>Yes</v>
      </c>
      <c r="T141" s="52" t="n">
        <f aca="false">IF(D141="","",ROUND(SQRT(((D141+G141)*O141/100)^2+(J141*(D141+G141)*0.08889)^2),0))</f>
        <v>94</v>
      </c>
      <c r="U141" s="25"/>
    </row>
    <row r="142" customFormat="false" ht="15" hidden="false" customHeight="false" outlineLevel="0" collapsed="false">
      <c r="A142" s="25" t="s">
        <v>197</v>
      </c>
      <c r="B142" s="25" t="s">
        <v>294</v>
      </c>
      <c r="C142" s="25" t="s">
        <v>296</v>
      </c>
      <c r="D142" s="52" t="n">
        <v>1130</v>
      </c>
      <c r="E142" s="52" t="n">
        <v>1082</v>
      </c>
      <c r="F142" s="63" t="n">
        <f aca="false">IF(E142="","",D142-E142)</f>
        <v>48</v>
      </c>
      <c r="G142" s="52" t="n">
        <v>1125</v>
      </c>
      <c r="H142" s="52" t="n">
        <v>1101</v>
      </c>
      <c r="I142" s="63" t="n">
        <f aca="false">IF(H142="","",G142-H142)</f>
        <v>24</v>
      </c>
      <c r="J142" s="53" t="n">
        <f aca="false">IF(OR(D142="",D142+G142=0),"",D142/(D142+G142))</f>
        <v>0.501108647450111</v>
      </c>
      <c r="K142" s="53" t="n">
        <f aca="false">IF(E142="","",E142/(E142+H142))</f>
        <v>0.495648190563445</v>
      </c>
      <c r="L142" s="64" t="n">
        <f aca="false">IF(OR(K142="",J142=""),"",(J142-K142)*100)</f>
        <v>0.546045688666608</v>
      </c>
      <c r="M142" s="28" t="n">
        <v>2.1665403898083</v>
      </c>
      <c r="N142" s="28" t="n">
        <v>0.395142145636406</v>
      </c>
      <c r="O142" s="28" t="n">
        <f aca="false">SQRT(M142^2+N142^2)</f>
        <v>2.2022794046008</v>
      </c>
      <c r="P142" s="53" t="n">
        <f aca="false">IF(J142="","",MAX(0,J142-1.96*O142/100))</f>
        <v>0.457943971119935</v>
      </c>
      <c r="Q142" s="53" t="n">
        <f aca="false">IF(J142="","",MIN(1,J142+1.96*O142/100))</f>
        <v>0.544273323780287</v>
      </c>
      <c r="R142" s="25" t="str">
        <f aca="false">IF(L142="","",IF(ABS(L142)&lt;=O142,"Yes","No"))</f>
        <v>Yes</v>
      </c>
      <c r="S142" s="25" t="str">
        <f aca="false">IF(L142="","",IF(ABS(L142)&lt;=1.96*O142,"Yes","No"))</f>
        <v>Yes</v>
      </c>
      <c r="T142" s="52" t="n">
        <f aca="false">IF(D142="","",ROUND(SQRT(((D142+G142)*O142/100)^2+(J142*(D142+G142)*0.08889)^2),0))</f>
        <v>112</v>
      </c>
      <c r="U142" s="25"/>
    </row>
    <row r="143" customFormat="false" ht="15" hidden="false" customHeight="false" outlineLevel="0" collapsed="false">
      <c r="A143" s="25" t="s">
        <v>197</v>
      </c>
      <c r="B143" s="25" t="s">
        <v>294</v>
      </c>
      <c r="C143" s="25" t="s">
        <v>297</v>
      </c>
      <c r="D143" s="52" t="n">
        <v>1843</v>
      </c>
      <c r="E143" s="52" t="n">
        <v>1799</v>
      </c>
      <c r="F143" s="63" t="n">
        <f aca="false">IF(E143="","",D143-E143)</f>
        <v>44</v>
      </c>
      <c r="G143" s="52" t="n">
        <v>1872</v>
      </c>
      <c r="H143" s="52" t="n">
        <v>1810</v>
      </c>
      <c r="I143" s="63" t="n">
        <f aca="false">IF(H143="","",G143-H143)</f>
        <v>62</v>
      </c>
      <c r="J143" s="53" t="n">
        <f aca="false">IF(OR(D143="",D143+G143=0),"",D143/(D143+G143))</f>
        <v>0.496096904441454</v>
      </c>
      <c r="K143" s="53" t="n">
        <f aca="false">IF(E143="","",E143/(E143+H143))</f>
        <v>0.498476032141868</v>
      </c>
      <c r="L143" s="64" t="n">
        <f aca="false">IF(OR(K143="",J143=""),"",(J143-K143)*100)</f>
        <v>-0.237912770041399</v>
      </c>
      <c r="M143" s="28" t="n">
        <v>2.1665403898083</v>
      </c>
      <c r="N143" s="28" t="n">
        <v>0.395142145636406</v>
      </c>
      <c r="O143" s="28" t="n">
        <f aca="false">SQRT(M143^2+N143^2)</f>
        <v>2.2022794046008</v>
      </c>
      <c r="P143" s="53" t="n">
        <f aca="false">IF(J143="","",MAX(0,J143-1.96*O143/100))</f>
        <v>0.452932228111278</v>
      </c>
      <c r="Q143" s="53" t="n">
        <f aca="false">IF(J143="","",MIN(1,J143+1.96*O143/100))</f>
        <v>0.539261580771629</v>
      </c>
      <c r="R143" s="25" t="str">
        <f aca="false">IF(L143="","",IF(ABS(L143)&lt;=O143,"Yes","No"))</f>
        <v>Yes</v>
      </c>
      <c r="S143" s="25" t="str">
        <f aca="false">IF(L143="","",IF(ABS(L143)&lt;=1.96*O143,"Yes","No"))</f>
        <v>Yes</v>
      </c>
      <c r="T143" s="52" t="n">
        <f aca="false">IF(D143="","",ROUND(SQRT(((D143+G143)*O143/100)^2+(J143*(D143+G143)*0.08889)^2),0))</f>
        <v>183</v>
      </c>
      <c r="U143" s="25"/>
    </row>
    <row r="144" customFormat="false" ht="15" hidden="false" customHeight="false" outlineLevel="0" collapsed="false">
      <c r="A144" s="25" t="s">
        <v>197</v>
      </c>
      <c r="B144" s="25" t="s">
        <v>294</v>
      </c>
      <c r="C144" s="25" t="s">
        <v>298</v>
      </c>
      <c r="D144" s="52" t="n">
        <v>924</v>
      </c>
      <c r="E144" s="52" t="n">
        <v>906</v>
      </c>
      <c r="F144" s="63" t="n">
        <f aca="false">IF(E144="","",D144-E144)</f>
        <v>18</v>
      </c>
      <c r="G144" s="52" t="n">
        <v>966</v>
      </c>
      <c r="H144" s="52" t="n">
        <v>980</v>
      </c>
      <c r="I144" s="63" t="n">
        <f aca="false">IF(H144="","",G144-H144)</f>
        <v>-14</v>
      </c>
      <c r="J144" s="53" t="n">
        <f aca="false">IF(OR(D144="",D144+G144=0),"",D144/(D144+G144))</f>
        <v>0.488888888888889</v>
      </c>
      <c r="K144" s="53" t="n">
        <f aca="false">IF(E144="","",E144/(E144+H144))</f>
        <v>0.480381760339343</v>
      </c>
      <c r="L144" s="64" t="n">
        <f aca="false">IF(OR(K144="",J144=""),"",(J144-K144)*100)</f>
        <v>0.850712854954633</v>
      </c>
      <c r="M144" s="28" t="n">
        <v>2.1665403898083</v>
      </c>
      <c r="N144" s="28" t="n">
        <v>0.395142145636406</v>
      </c>
      <c r="O144" s="28" t="n">
        <f aca="false">SQRT(M144^2+N144^2)</f>
        <v>2.2022794046008</v>
      </c>
      <c r="P144" s="53" t="n">
        <f aca="false">IF(J144="","",MAX(0,J144-1.96*O144/100))</f>
        <v>0.445724212558713</v>
      </c>
      <c r="Q144" s="53" t="n">
        <f aca="false">IF(J144="","",MIN(1,J144+1.96*O144/100))</f>
        <v>0.532053565219065</v>
      </c>
      <c r="R144" s="25" t="str">
        <f aca="false">IF(L144="","",IF(ABS(L144)&lt;=O144,"Yes","No"))</f>
        <v>Yes</v>
      </c>
      <c r="S144" s="25" t="str">
        <f aca="false">IF(L144="","",IF(ABS(L144)&lt;=1.96*O144,"Yes","No"))</f>
        <v>Yes</v>
      </c>
      <c r="T144" s="52" t="n">
        <f aca="false">IF(D144="","",ROUND(SQRT(((D144+G144)*O144/100)^2+(J144*(D144+G144)*0.08889)^2),0))</f>
        <v>92</v>
      </c>
      <c r="U144" s="25"/>
    </row>
    <row r="145" customFormat="false" ht="15" hidden="false" customHeight="false" outlineLevel="0" collapsed="false">
      <c r="A145" s="25" t="s">
        <v>197</v>
      </c>
      <c r="B145" s="25" t="s">
        <v>294</v>
      </c>
      <c r="C145" s="25" t="s">
        <v>299</v>
      </c>
      <c r="D145" s="52" t="n">
        <v>853</v>
      </c>
      <c r="E145" s="52" t="n">
        <v>852</v>
      </c>
      <c r="F145" s="63" t="n">
        <f aca="false">IF(E145="","",D145-E145)</f>
        <v>1</v>
      </c>
      <c r="G145" s="52" t="n">
        <v>903</v>
      </c>
      <c r="H145" s="52" t="n">
        <v>912</v>
      </c>
      <c r="I145" s="63" t="n">
        <f aca="false">IF(H145="","",G145-H145)</f>
        <v>-9</v>
      </c>
      <c r="J145" s="53" t="n">
        <f aca="false">IF(OR(D145="",D145+G145=0),"",D145/(D145+G145))</f>
        <v>0.485763097949886</v>
      </c>
      <c r="K145" s="53" t="n">
        <f aca="false">IF(E145="","",E145/(E145+H145))</f>
        <v>0.482993197278912</v>
      </c>
      <c r="L145" s="64" t="n">
        <f aca="false">IF(OR(K145="",J145=""),"",(J145-K145)*100)</f>
        <v>0.276990067097455</v>
      </c>
      <c r="M145" s="28" t="n">
        <v>2.1665403898083</v>
      </c>
      <c r="N145" s="28" t="n">
        <v>0.395142145636406</v>
      </c>
      <c r="O145" s="28" t="n">
        <f aca="false">SQRT(M145^2+N145^2)</f>
        <v>2.2022794046008</v>
      </c>
      <c r="P145" s="53" t="n">
        <f aca="false">IF(J145="","",MAX(0,J145-1.96*O145/100))</f>
        <v>0.44259842161971</v>
      </c>
      <c r="Q145" s="53" t="n">
        <f aca="false">IF(J145="","",MIN(1,J145+1.96*O145/100))</f>
        <v>0.528927774280062</v>
      </c>
      <c r="R145" s="25" t="str">
        <f aca="false">IF(L145="","",IF(ABS(L145)&lt;=O145,"Yes","No"))</f>
        <v>Yes</v>
      </c>
      <c r="S145" s="25" t="str">
        <f aca="false">IF(L145="","",IF(ABS(L145)&lt;=1.96*O145,"Yes","No"))</f>
        <v>Yes</v>
      </c>
      <c r="T145" s="52" t="n">
        <f aca="false">IF(D145="","",ROUND(SQRT(((D145+G145)*O145/100)^2+(J145*(D145+G145)*0.08889)^2),0))</f>
        <v>85</v>
      </c>
      <c r="U145" s="25"/>
    </row>
    <row r="146" customFormat="false" ht="15" hidden="false" customHeight="false" outlineLevel="0" collapsed="false">
      <c r="A146" s="25" t="s">
        <v>197</v>
      </c>
      <c r="B146" s="25" t="s">
        <v>294</v>
      </c>
      <c r="C146" s="25" t="s">
        <v>300</v>
      </c>
      <c r="D146" s="52" t="n">
        <v>691</v>
      </c>
      <c r="E146" s="52" t="n">
        <v>715</v>
      </c>
      <c r="F146" s="63" t="n">
        <f aca="false">IF(E146="","",D146-E146)</f>
        <v>-24</v>
      </c>
      <c r="G146" s="52" t="n">
        <v>698</v>
      </c>
      <c r="H146" s="52" t="n">
        <v>677</v>
      </c>
      <c r="I146" s="63" t="n">
        <f aca="false">IF(H146="","",G146-H146)</f>
        <v>21</v>
      </c>
      <c r="J146" s="53" t="n">
        <f aca="false">IF(OR(D146="",D146+G146=0),"",D146/(D146+G146))</f>
        <v>0.497480201583873</v>
      </c>
      <c r="K146" s="53" t="n">
        <f aca="false">IF(E146="","",E146/(E146+H146))</f>
        <v>0.513649425287356</v>
      </c>
      <c r="L146" s="64" t="n">
        <f aca="false">IF(OR(K146="",J146=""),"",(J146-K146)*100)</f>
        <v>-1.61692237034831</v>
      </c>
      <c r="M146" s="28" t="n">
        <v>2.1665403898083</v>
      </c>
      <c r="N146" s="28" t="n">
        <v>0.395142145636406</v>
      </c>
      <c r="O146" s="28" t="n">
        <f aca="false">SQRT(M146^2+N146^2)</f>
        <v>2.2022794046008</v>
      </c>
      <c r="P146" s="53" t="n">
        <f aca="false">IF(J146="","",MAX(0,J146-1.96*O146/100))</f>
        <v>0.454315525253698</v>
      </c>
      <c r="Q146" s="53" t="n">
        <f aca="false">IF(J146="","",MIN(1,J146+1.96*O146/100))</f>
        <v>0.540644877914049</v>
      </c>
      <c r="R146" s="25" t="str">
        <f aca="false">IF(L146="","",IF(ABS(L146)&lt;=O146,"Yes","No"))</f>
        <v>Yes</v>
      </c>
      <c r="S146" s="25" t="str">
        <f aca="false">IF(L146="","",IF(ABS(L146)&lt;=1.96*O146,"Yes","No"))</f>
        <v>Yes</v>
      </c>
      <c r="T146" s="52" t="n">
        <f aca="false">IF(D146="","",ROUND(SQRT(((D146+G146)*O146/100)^2+(J146*(D146+G146)*0.08889)^2),0))</f>
        <v>69</v>
      </c>
      <c r="U146" s="25"/>
    </row>
    <row r="147" customFormat="false" ht="15" hidden="false" customHeight="false" outlineLevel="0" collapsed="false">
      <c r="A147" s="25" t="s">
        <v>197</v>
      </c>
      <c r="B147" s="25" t="s">
        <v>294</v>
      </c>
      <c r="C147" s="25" t="s">
        <v>301</v>
      </c>
      <c r="D147" s="52" t="n">
        <v>1593</v>
      </c>
      <c r="E147" s="52" t="n">
        <v>1480</v>
      </c>
      <c r="F147" s="63" t="n">
        <f aca="false">IF(E147="","",D147-E147)</f>
        <v>113</v>
      </c>
      <c r="G147" s="52" t="n">
        <v>1556</v>
      </c>
      <c r="H147" s="52" t="n">
        <v>1588</v>
      </c>
      <c r="I147" s="63" t="n">
        <f aca="false">IF(H147="","",G147-H147)</f>
        <v>-32</v>
      </c>
      <c r="J147" s="53" t="n">
        <f aca="false">IF(OR(D147="",D147+G147=0),"",D147/(D147+G147))</f>
        <v>0.505874880914576</v>
      </c>
      <c r="K147" s="53" t="n">
        <f aca="false">IF(E147="","",E147/(E147+H147))</f>
        <v>0.482398956975228</v>
      </c>
      <c r="L147" s="64" t="n">
        <f aca="false">IF(OR(K147="",J147=""),"",(J147-K147)*100)</f>
        <v>2.34759239393479</v>
      </c>
      <c r="M147" s="28" t="n">
        <v>2.1665403898083</v>
      </c>
      <c r="N147" s="28" t="n">
        <v>0.395142145636406</v>
      </c>
      <c r="O147" s="28" t="n">
        <f aca="false">SQRT(M147^2+N147^2)</f>
        <v>2.2022794046008</v>
      </c>
      <c r="P147" s="53" t="n">
        <f aca="false">IF(J147="","",MAX(0,J147-1.96*O147/100))</f>
        <v>0.4627102045844</v>
      </c>
      <c r="Q147" s="53" t="n">
        <f aca="false">IF(J147="","",MIN(1,J147+1.96*O147/100))</f>
        <v>0.549039557244752</v>
      </c>
      <c r="R147" s="25" t="str">
        <f aca="false">IF(L147="","",IF(ABS(L147)&lt;=O147,"Yes","No"))</f>
        <v>No</v>
      </c>
      <c r="S147" s="25" t="str">
        <f aca="false">IF(L147="","",IF(ABS(L147)&lt;=1.96*O147,"Yes","No"))</f>
        <v>Yes</v>
      </c>
      <c r="T147" s="52" t="n">
        <f aca="false">IF(D147="","",ROUND(SQRT(((D147+G147)*O147/100)^2+(J147*(D147+G147)*0.08889)^2),0))</f>
        <v>158</v>
      </c>
      <c r="U147" s="25"/>
    </row>
    <row r="148" customFormat="false" ht="15" hidden="false" customHeight="false" outlineLevel="0" collapsed="false">
      <c r="A148" s="25" t="s">
        <v>197</v>
      </c>
      <c r="B148" s="25" t="s">
        <v>294</v>
      </c>
      <c r="C148" s="25" t="s">
        <v>302</v>
      </c>
      <c r="D148" s="52" t="n">
        <v>903</v>
      </c>
      <c r="E148" s="52" t="n">
        <v>890</v>
      </c>
      <c r="F148" s="63" t="n">
        <f aca="false">IF(E148="","",D148-E148)</f>
        <v>13</v>
      </c>
      <c r="G148" s="52" t="n">
        <v>786</v>
      </c>
      <c r="H148" s="52" t="n">
        <v>789</v>
      </c>
      <c r="I148" s="63" t="n">
        <f aca="false">IF(H148="","",G148-H148)</f>
        <v>-3</v>
      </c>
      <c r="J148" s="53" t="n">
        <f aca="false">IF(OR(D148="",D148+G148=0),"",D148/(D148+G148))</f>
        <v>0.534635879218472</v>
      </c>
      <c r="K148" s="53" t="n">
        <f aca="false">IF(E148="","",E148/(E148+H148))</f>
        <v>0.530077427039905</v>
      </c>
      <c r="L148" s="64" t="n">
        <f aca="false">IF(OR(K148="",J148=""),"",(J148-K148)*100)</f>
        <v>0.455845217856776</v>
      </c>
      <c r="M148" s="28" t="n">
        <v>2.1665403898083</v>
      </c>
      <c r="N148" s="28" t="n">
        <v>0.395142145636406</v>
      </c>
      <c r="O148" s="28" t="n">
        <f aca="false">SQRT(M148^2+N148^2)</f>
        <v>2.2022794046008</v>
      </c>
      <c r="P148" s="53" t="n">
        <f aca="false">IF(J148="","",MAX(0,J148-1.96*O148/100))</f>
        <v>0.491471202888297</v>
      </c>
      <c r="Q148" s="53" t="n">
        <f aca="false">IF(J148="","",MIN(1,J148+1.96*O148/100))</f>
        <v>0.577800555548648</v>
      </c>
      <c r="R148" s="25" t="str">
        <f aca="false">IF(L148="","",IF(ABS(L148)&lt;=O148,"Yes","No"))</f>
        <v>Yes</v>
      </c>
      <c r="S148" s="25" t="str">
        <f aca="false">IF(L148="","",IF(ABS(L148)&lt;=1.96*O148,"Yes","No"))</f>
        <v>Yes</v>
      </c>
      <c r="T148" s="52" t="n">
        <f aca="false">IF(D148="","",ROUND(SQRT(((D148+G148)*O148/100)^2+(J148*(D148+G148)*0.08889)^2),0))</f>
        <v>88</v>
      </c>
      <c r="U148" s="25"/>
    </row>
    <row r="149" customFormat="false" ht="15" hidden="false" customHeight="false" outlineLevel="0" collapsed="false">
      <c r="A149" s="25" t="s">
        <v>197</v>
      </c>
      <c r="B149" s="25" t="s">
        <v>294</v>
      </c>
      <c r="C149" s="25" t="s">
        <v>303</v>
      </c>
      <c r="D149" s="52" t="n">
        <v>812</v>
      </c>
      <c r="E149" s="52" t="n">
        <v>817</v>
      </c>
      <c r="F149" s="63" t="n">
        <f aca="false">IF(E149="","",D149-E149)</f>
        <v>-5</v>
      </c>
      <c r="G149" s="52" t="n">
        <v>771</v>
      </c>
      <c r="H149" s="52" t="n">
        <v>798</v>
      </c>
      <c r="I149" s="63" t="n">
        <f aca="false">IF(H149="","",G149-H149)</f>
        <v>-27</v>
      </c>
      <c r="J149" s="53" t="n">
        <f aca="false">IF(OR(D149="",D149+G149=0),"",D149/(D149+G149))</f>
        <v>0.512950094756791</v>
      </c>
      <c r="K149" s="53" t="n">
        <f aca="false">IF(E149="","",E149/(E149+H149))</f>
        <v>0.505882352941176</v>
      </c>
      <c r="L149" s="64" t="n">
        <f aca="false">IF(OR(K149="",J149=""),"",(J149-K149)*100)</f>
        <v>0.706774181561443</v>
      </c>
      <c r="M149" s="28" t="n">
        <v>2.1665403898083</v>
      </c>
      <c r="N149" s="28" t="n">
        <v>0.395142145636406</v>
      </c>
      <c r="O149" s="28" t="n">
        <f aca="false">SQRT(M149^2+N149^2)</f>
        <v>2.2022794046008</v>
      </c>
      <c r="P149" s="53" t="n">
        <f aca="false">IF(J149="","",MAX(0,J149-1.96*O149/100))</f>
        <v>0.469785418426615</v>
      </c>
      <c r="Q149" s="53" t="n">
        <f aca="false">IF(J149="","",MIN(1,J149+1.96*O149/100))</f>
        <v>0.556114771086967</v>
      </c>
      <c r="R149" s="25" t="str">
        <f aca="false">IF(L149="","",IF(ABS(L149)&lt;=O149,"Yes","No"))</f>
        <v>Yes</v>
      </c>
      <c r="S149" s="25" t="str">
        <f aca="false">IF(L149="","",IF(ABS(L149)&lt;=1.96*O149,"Yes","No"))</f>
        <v>Yes</v>
      </c>
      <c r="T149" s="52" t="n">
        <f aca="false">IF(D149="","",ROUND(SQRT(((D149+G149)*O149/100)^2+(J149*(D149+G149)*0.08889)^2),0))</f>
        <v>80</v>
      </c>
      <c r="U149" s="25"/>
    </row>
    <row r="150" customFormat="false" ht="15" hidden="false" customHeight="false" outlineLevel="0" collapsed="false">
      <c r="A150" s="25" t="s">
        <v>197</v>
      </c>
      <c r="B150" s="25" t="s">
        <v>294</v>
      </c>
      <c r="C150" s="25" t="s">
        <v>304</v>
      </c>
      <c r="D150" s="52" t="n">
        <v>581</v>
      </c>
      <c r="E150" s="52" t="n">
        <v>552</v>
      </c>
      <c r="F150" s="63" t="n">
        <f aca="false">IF(E150="","",D150-E150)</f>
        <v>29</v>
      </c>
      <c r="G150" s="52" t="n">
        <v>531</v>
      </c>
      <c r="H150" s="52" t="n">
        <v>556</v>
      </c>
      <c r="I150" s="63" t="n">
        <f aca="false">IF(H150="","",G150-H150)</f>
        <v>-25</v>
      </c>
      <c r="J150" s="53" t="n">
        <f aca="false">IF(OR(D150="",D150+G150=0),"",D150/(D150+G150))</f>
        <v>0.522482014388489</v>
      </c>
      <c r="K150" s="53" t="n">
        <f aca="false">IF(E150="","",E150/(E150+H150))</f>
        <v>0.498194945848375</v>
      </c>
      <c r="L150" s="64" t="n">
        <f aca="false">IF(OR(K150="",J150=""),"",(J150-K150)*100)</f>
        <v>2.42870685401138</v>
      </c>
      <c r="M150" s="28" t="n">
        <v>2.40127504711013</v>
      </c>
      <c r="N150" s="28" t="n">
        <v>0.395142145636406</v>
      </c>
      <c r="O150" s="28" t="n">
        <f aca="false">SQRT(M150^2+N150^2)</f>
        <v>2.43356922382165</v>
      </c>
      <c r="P150" s="53" t="n">
        <f aca="false">IF(J150="","",MAX(0,J150-1.96*O150/100))</f>
        <v>0.474784057601585</v>
      </c>
      <c r="Q150" s="53" t="n">
        <f aca="false">IF(J150="","",MIN(1,J150+1.96*O150/100))</f>
        <v>0.570179971175393</v>
      </c>
      <c r="R150" s="25" t="str">
        <f aca="false">IF(L150="","",IF(ABS(L150)&lt;=O150,"Yes","No"))</f>
        <v>Yes</v>
      </c>
      <c r="S150" s="25" t="str">
        <f aca="false">IF(L150="","",IF(ABS(L150)&lt;=1.96*O150,"Yes","No"))</f>
        <v>Yes</v>
      </c>
      <c r="T150" s="52" t="n">
        <f aca="false">IF(D150="","",ROUND(SQRT(((D150+G150)*O150/100)^2+(J150*(D150+G150)*0.10931)^2),0))</f>
        <v>69</v>
      </c>
      <c r="U150" s="25"/>
    </row>
    <row r="151" customFormat="false" ht="15" hidden="false" customHeight="false" outlineLevel="0" collapsed="false">
      <c r="A151" s="25" t="s">
        <v>197</v>
      </c>
      <c r="B151" s="25" t="s">
        <v>305</v>
      </c>
      <c r="C151" s="25" t="s">
        <v>305</v>
      </c>
      <c r="D151" s="52" t="n">
        <v>928</v>
      </c>
      <c r="E151" s="52" t="n">
        <v>985</v>
      </c>
      <c r="F151" s="63" t="n">
        <f aca="false">IF(E151="","",D151-E151)</f>
        <v>-57</v>
      </c>
      <c r="G151" s="52" t="n">
        <v>1678</v>
      </c>
      <c r="H151" s="52" t="n">
        <v>1586</v>
      </c>
      <c r="I151" s="63" t="n">
        <f aca="false">IF(H151="","",G151-H151)</f>
        <v>92</v>
      </c>
      <c r="J151" s="53" t="n">
        <f aca="false">IF(OR(D151="",D151+G151=0),"",D151/(D151+G151))</f>
        <v>0.356101304681504</v>
      </c>
      <c r="K151" s="53" t="n">
        <f aca="false">IF(E151="","",E151/(E151+H151))</f>
        <v>0.383119408790354</v>
      </c>
      <c r="L151" s="64" t="n">
        <f aca="false">IF(OR(K151="",J151=""),"",(J151-K151)*100)</f>
        <v>-2.70181041088498</v>
      </c>
      <c r="M151" s="28" t="n">
        <v>2.1665403898083</v>
      </c>
      <c r="N151" s="28" t="n">
        <v>0.395142145636406</v>
      </c>
      <c r="O151" s="28" t="n">
        <f aca="false">SQRT(M151^2+N151^2)</f>
        <v>2.2022794046008</v>
      </c>
      <c r="P151" s="53" t="n">
        <f aca="false">IF(J151="","",MAX(0,J151-1.96*O151/100))</f>
        <v>0.312936628351329</v>
      </c>
      <c r="Q151" s="53" t="n">
        <f aca="false">IF(J151="","",MIN(1,J151+1.96*O151/100))</f>
        <v>0.39926598101168</v>
      </c>
      <c r="R151" s="25" t="str">
        <f aca="false">IF(L151="","",IF(ABS(L151)&lt;=O151,"Yes","No"))</f>
        <v>No</v>
      </c>
      <c r="S151" s="25" t="str">
        <f aca="false">IF(L151="","",IF(ABS(L151)&lt;=1.96*O151,"Yes","No"))</f>
        <v>Yes</v>
      </c>
      <c r="T151" s="52" t="n">
        <f aca="false">IF(D151="","",ROUND(SQRT(((D151+G151)*O151/100)^2+(J151*(D151+G151)*0.08889)^2),0))</f>
        <v>100</v>
      </c>
      <c r="U151" s="25"/>
    </row>
    <row r="152" customFormat="false" ht="15" hidden="false" customHeight="false" outlineLevel="0" collapsed="false">
      <c r="A152" s="25" t="s">
        <v>197</v>
      </c>
      <c r="B152" s="25" t="s">
        <v>306</v>
      </c>
      <c r="C152" s="25" t="s">
        <v>306</v>
      </c>
      <c r="D152" s="52" t="n">
        <v>520</v>
      </c>
      <c r="E152" s="52" t="n">
        <v>543</v>
      </c>
      <c r="F152" s="63" t="n">
        <f aca="false">IF(E152="","",D152-E152)</f>
        <v>-23</v>
      </c>
      <c r="G152" s="52" t="n">
        <v>1044</v>
      </c>
      <c r="H152" s="52" t="n">
        <v>990</v>
      </c>
      <c r="I152" s="63" t="n">
        <f aca="false">IF(H152="","",G152-H152)</f>
        <v>54</v>
      </c>
      <c r="J152" s="53" t="n">
        <f aca="false">IF(OR(D152="",D152+G152=0),"",D152/(D152+G152))</f>
        <v>0.332480818414322</v>
      </c>
      <c r="K152" s="53" t="n">
        <f aca="false">IF(E152="","",E152/(E152+H152))</f>
        <v>0.354207436399217</v>
      </c>
      <c r="L152" s="64" t="n">
        <f aca="false">IF(OR(K152="",J152=""),"",(J152-K152)*100)</f>
        <v>-2.17266179848949</v>
      </c>
      <c r="M152" s="28" t="n">
        <v>2.1665403898083</v>
      </c>
      <c r="N152" s="28" t="n">
        <v>0.395142145636406</v>
      </c>
      <c r="O152" s="28" t="n">
        <f aca="false">SQRT(M152^2+N152^2)</f>
        <v>2.2022794046008</v>
      </c>
      <c r="P152" s="53" t="n">
        <f aca="false">IF(J152="","",MAX(0,J152-1.96*O152/100))</f>
        <v>0.289316142084147</v>
      </c>
      <c r="Q152" s="53" t="n">
        <f aca="false">IF(J152="","",MIN(1,J152+1.96*O152/100))</f>
        <v>0.375645494744498</v>
      </c>
      <c r="R152" s="25" t="str">
        <f aca="false">IF(L152="","",IF(ABS(L152)&lt;=O152,"Yes","No"))</f>
        <v>Yes</v>
      </c>
      <c r="S152" s="25" t="str">
        <f aca="false">IF(L152="","",IF(ABS(L152)&lt;=1.96*O152,"Yes","No"))</f>
        <v>Yes</v>
      </c>
      <c r="T152" s="52" t="n">
        <f aca="false">IF(D152="","",ROUND(SQRT(((D152+G152)*O152/100)^2+(J152*(D152+G152)*0.08889)^2),0))</f>
        <v>58</v>
      </c>
      <c r="U152" s="25"/>
    </row>
    <row r="153" customFormat="false" ht="15" hidden="false" customHeight="false" outlineLevel="0" collapsed="false">
      <c r="A153" s="25" t="s">
        <v>197</v>
      </c>
      <c r="B153" s="25" t="s">
        <v>307</v>
      </c>
      <c r="C153" s="25" t="s">
        <v>308</v>
      </c>
      <c r="D153" s="52" t="n">
        <v>177</v>
      </c>
      <c r="E153" s="52" t="n">
        <v>181</v>
      </c>
      <c r="F153" s="63" t="n">
        <f aca="false">IF(E153="","",D153-E153)</f>
        <v>-4</v>
      </c>
      <c r="G153" s="52" t="n">
        <v>502</v>
      </c>
      <c r="H153" s="52" t="n">
        <v>482</v>
      </c>
      <c r="I153" s="63" t="n">
        <f aca="false">IF(H153="","",G153-H153)</f>
        <v>20</v>
      </c>
      <c r="J153" s="53" t="n">
        <f aca="false">IF(OR(D153="",D153+G153=0),"",D153/(D153+G153))</f>
        <v>0.260677466863034</v>
      </c>
      <c r="K153" s="53" t="n">
        <f aca="false">IF(E153="","",E153/(E153+H153))</f>
        <v>0.273001508295626</v>
      </c>
      <c r="L153" s="64" t="n">
        <f aca="false">IF(OR(K153="",J153=""),"",(J153-K153)*100)</f>
        <v>-1.2324041432592</v>
      </c>
      <c r="M153" s="28" t="n">
        <v>3.59869162464536</v>
      </c>
      <c r="N153" s="28" t="n">
        <v>0.395142145636406</v>
      </c>
      <c r="O153" s="28" t="n">
        <f aca="false">SQRT(M153^2+N153^2)</f>
        <v>3.62032025165603</v>
      </c>
      <c r="P153" s="53" t="n">
        <f aca="false">IF(J153="","",MAX(0,J153-1.96*O153/100))</f>
        <v>0.189719189930576</v>
      </c>
      <c r="Q153" s="53" t="n">
        <f aca="false">IF(J153="","",MIN(1,J153+1.96*O153/100))</f>
        <v>0.331635743795492</v>
      </c>
      <c r="R153" s="25" t="str">
        <f aca="false">IF(L153="","",IF(ABS(L153)&lt;=O153,"Yes","No"))</f>
        <v>Yes</v>
      </c>
      <c r="S153" s="25" t="str">
        <f aca="false">IF(L153="","",IF(ABS(L153)&lt;=1.96*O153,"Yes","No"))</f>
        <v>Yes</v>
      </c>
      <c r="T153" s="52" t="n">
        <f aca="false">IF(D153="","",ROUND(SQRT(((D153+G153)*O153/100)^2+(J153*(D153+G153)*0.1901)^2),0))</f>
        <v>42</v>
      </c>
      <c r="U153" s="25"/>
    </row>
    <row r="154" customFormat="false" ht="15" hidden="false" customHeight="false" outlineLevel="0" collapsed="false">
      <c r="A154" s="25" t="s">
        <v>197</v>
      </c>
      <c r="B154" s="25" t="s">
        <v>307</v>
      </c>
      <c r="C154" s="25" t="s">
        <v>309</v>
      </c>
      <c r="D154" s="52" t="n">
        <v>135</v>
      </c>
      <c r="E154" s="52" t="n">
        <v>147</v>
      </c>
      <c r="F154" s="63" t="n">
        <f aca="false">IF(E154="","",D154-E154)</f>
        <v>-12</v>
      </c>
      <c r="G154" s="52" t="n">
        <v>326</v>
      </c>
      <c r="H154" s="52" t="n">
        <v>314</v>
      </c>
      <c r="I154" s="63" t="n">
        <f aca="false">IF(H154="","",G154-H154)</f>
        <v>12</v>
      </c>
      <c r="J154" s="53" t="n">
        <f aca="false">IF(OR(D154="",D154+G154=0),"",D154/(D154+G154))</f>
        <v>0.292841648590022</v>
      </c>
      <c r="K154" s="53" t="n">
        <f aca="false">IF(E154="","",E154/(E154+H154))</f>
        <v>0.318872017353579</v>
      </c>
      <c r="L154" s="64" t="n">
        <f aca="false">IF(OR(K154="",J154=""),"",(J154-K154)*100)</f>
        <v>-2.60303687635575</v>
      </c>
      <c r="M154" s="28" t="n">
        <v>3.59869162464536</v>
      </c>
      <c r="N154" s="28" t="n">
        <v>0.395142145636406</v>
      </c>
      <c r="O154" s="28" t="n">
        <f aca="false">SQRT(M154^2+N154^2)</f>
        <v>3.62032025165603</v>
      </c>
      <c r="P154" s="53" t="n">
        <f aca="false">IF(J154="","",MAX(0,J154-1.96*O154/100))</f>
        <v>0.221883371657564</v>
      </c>
      <c r="Q154" s="53" t="n">
        <f aca="false">IF(J154="","",MIN(1,J154+1.96*O154/100))</f>
        <v>0.36379992552248</v>
      </c>
      <c r="R154" s="25" t="str">
        <f aca="false">IF(L154="","",IF(ABS(L154)&lt;=O154,"Yes","No"))</f>
        <v>Yes</v>
      </c>
      <c r="S154" s="25" t="str">
        <f aca="false">IF(L154="","",IF(ABS(L154)&lt;=1.96*O154,"Yes","No"))</f>
        <v>Yes</v>
      </c>
      <c r="T154" s="52" t="n">
        <f aca="false">IF(D154="","",ROUND(SQRT(((D154+G154)*O154/100)^2+(J154*(D154+G154)*0.1901)^2),0))</f>
        <v>31</v>
      </c>
      <c r="U154" s="25"/>
    </row>
    <row r="155" customFormat="false" ht="15" hidden="false" customHeight="false" outlineLevel="0" collapsed="false">
      <c r="A155" s="25" t="s">
        <v>197</v>
      </c>
      <c r="B155" s="25" t="s">
        <v>307</v>
      </c>
      <c r="C155" s="25" t="s">
        <v>310</v>
      </c>
      <c r="D155" s="52" t="n">
        <v>484</v>
      </c>
      <c r="E155" s="52" t="n">
        <v>522</v>
      </c>
      <c r="F155" s="63" t="n">
        <f aca="false">IF(E155="","",D155-E155)</f>
        <v>-38</v>
      </c>
      <c r="G155" s="52" t="n">
        <v>1081</v>
      </c>
      <c r="H155" s="52" t="n">
        <v>1060</v>
      </c>
      <c r="I155" s="63" t="n">
        <f aca="false">IF(H155="","",G155-H155)</f>
        <v>21</v>
      </c>
      <c r="J155" s="53" t="n">
        <f aca="false">IF(OR(D155="",D155+G155=0),"",D155/(D155+G155))</f>
        <v>0.30926517571885</v>
      </c>
      <c r="K155" s="53" t="n">
        <f aca="false">IF(E155="","",E155/(E155+H155))</f>
        <v>0.329962073324905</v>
      </c>
      <c r="L155" s="64" t="n">
        <f aca="false">IF(OR(K155="",J155=""),"",(J155-K155)*100)</f>
        <v>-2.06968976060554</v>
      </c>
      <c r="M155" s="28" t="n">
        <v>2.1665403898083</v>
      </c>
      <c r="N155" s="28" t="n">
        <v>0.395142145636406</v>
      </c>
      <c r="O155" s="28" t="n">
        <f aca="false">SQRT(M155^2+N155^2)</f>
        <v>2.2022794046008</v>
      </c>
      <c r="P155" s="53" t="n">
        <f aca="false">IF(J155="","",MAX(0,J155-1.96*O155/100))</f>
        <v>0.266100499388674</v>
      </c>
      <c r="Q155" s="53" t="n">
        <f aca="false">IF(J155="","",MIN(1,J155+1.96*O155/100))</f>
        <v>0.352429852049026</v>
      </c>
      <c r="R155" s="25" t="str">
        <f aca="false">IF(L155="","",IF(ABS(L155)&lt;=O155,"Yes","No"))</f>
        <v>Yes</v>
      </c>
      <c r="S155" s="25" t="str">
        <f aca="false">IF(L155="","",IF(ABS(L155)&lt;=1.96*O155,"Yes","No"))</f>
        <v>Yes</v>
      </c>
      <c r="T155" s="52" t="n">
        <f aca="false">IF(D155="","",ROUND(SQRT(((D155+G155)*O155/100)^2+(J155*(D155+G155)*0.08889)^2),0))</f>
        <v>55</v>
      </c>
      <c r="U155" s="25"/>
    </row>
    <row r="156" customFormat="false" ht="15" hidden="false" customHeight="false" outlineLevel="0" collapsed="false">
      <c r="A156" s="25" t="s">
        <v>197</v>
      </c>
      <c r="B156" s="25" t="s">
        <v>311</v>
      </c>
      <c r="C156" s="25" t="s">
        <v>311</v>
      </c>
      <c r="D156" s="52" t="n">
        <v>1012</v>
      </c>
      <c r="E156" s="52" t="n">
        <v>980</v>
      </c>
      <c r="F156" s="63" t="n">
        <f aca="false">IF(E156="","",D156-E156)</f>
        <v>32</v>
      </c>
      <c r="G156" s="52" t="n">
        <v>888</v>
      </c>
      <c r="H156" s="52" t="n">
        <v>872</v>
      </c>
      <c r="I156" s="63" t="n">
        <f aca="false">IF(H156="","",G156-H156)</f>
        <v>16</v>
      </c>
      <c r="J156" s="53" t="n">
        <f aca="false">IF(OR(D156="",D156+G156=0),"",D156/(D156+G156))</f>
        <v>0.532631578947369</v>
      </c>
      <c r="K156" s="53" t="n">
        <f aca="false">IF(E156="","",E156/(E156+H156))</f>
        <v>0.529157667386609</v>
      </c>
      <c r="L156" s="64" t="n">
        <f aca="false">IF(OR(K156="",J156=""),"",(J156-K156)*100)</f>
        <v>0.347391156075938</v>
      </c>
      <c r="M156" s="28" t="n">
        <v>2.1665403898083</v>
      </c>
      <c r="N156" s="28" t="n">
        <v>0.395142145636406</v>
      </c>
      <c r="O156" s="28" t="n">
        <f aca="false">SQRT(M156^2+N156^2)</f>
        <v>2.2022794046008</v>
      </c>
      <c r="P156" s="53" t="n">
        <f aca="false">IF(J156="","",MAX(0,J156-1.96*O156/100))</f>
        <v>0.489466902617193</v>
      </c>
      <c r="Q156" s="53" t="n">
        <f aca="false">IF(J156="","",MIN(1,J156+1.96*O156/100))</f>
        <v>0.575796255277544</v>
      </c>
      <c r="R156" s="25" t="str">
        <f aca="false">IF(L156="","",IF(ABS(L156)&lt;=O156,"Yes","No"))</f>
        <v>Yes</v>
      </c>
      <c r="S156" s="25" t="str">
        <f aca="false">IF(L156="","",IF(ABS(L156)&lt;=1.96*O156,"Yes","No"))</f>
        <v>Yes</v>
      </c>
      <c r="T156" s="52" t="n">
        <f aca="false">IF(D156="","",ROUND(SQRT(((D156+G156)*O156/100)^2+(J156*(D156+G156)*0.08889)^2),0))</f>
        <v>99</v>
      </c>
      <c r="U156" s="25"/>
    </row>
    <row r="157" customFormat="false" ht="15" hidden="false" customHeight="false" outlineLevel="0" collapsed="false">
      <c r="A157" s="25" t="s">
        <v>197</v>
      </c>
      <c r="B157" s="25" t="s">
        <v>312</v>
      </c>
      <c r="C157" s="25" t="s">
        <v>313</v>
      </c>
      <c r="D157" s="52" t="n">
        <v>957</v>
      </c>
      <c r="E157" s="52" t="n">
        <v>1010</v>
      </c>
      <c r="F157" s="63" t="n">
        <f aca="false">IF(E157="","",D157-E157)</f>
        <v>-53</v>
      </c>
      <c r="G157" s="52" t="n">
        <v>1404</v>
      </c>
      <c r="H157" s="52" t="n">
        <v>1334</v>
      </c>
      <c r="I157" s="63" t="n">
        <f aca="false">IF(H157="","",G157-H157)</f>
        <v>70</v>
      </c>
      <c r="J157" s="53" t="n">
        <f aca="false">IF(OR(D157="",D157+G157=0),"",D157/(D157+G157))</f>
        <v>0.405336721728081</v>
      </c>
      <c r="K157" s="53" t="n">
        <f aca="false">IF(E157="","",E157/(E157+H157))</f>
        <v>0.430887372013652</v>
      </c>
      <c r="L157" s="64" t="n">
        <f aca="false">IF(OR(K157="",J157=""),"",(J157-K157)*100)</f>
        <v>-2.55506502855706</v>
      </c>
      <c r="M157" s="28" t="n">
        <v>2.1665403898083</v>
      </c>
      <c r="N157" s="28" t="n">
        <v>0.395142145636406</v>
      </c>
      <c r="O157" s="28" t="n">
        <f aca="false">SQRT(M157^2+N157^2)</f>
        <v>2.2022794046008</v>
      </c>
      <c r="P157" s="53" t="n">
        <f aca="false">IF(J157="","",MAX(0,J157-1.96*O157/100))</f>
        <v>0.362172045397906</v>
      </c>
      <c r="Q157" s="53" t="n">
        <f aca="false">IF(J157="","",MIN(1,J157+1.96*O157/100))</f>
        <v>0.448501398058257</v>
      </c>
      <c r="R157" s="25" t="str">
        <f aca="false">IF(L157="","",IF(ABS(L157)&lt;=O157,"Yes","No"))</f>
        <v>No</v>
      </c>
      <c r="S157" s="25" t="str">
        <f aca="false">IF(L157="","",IF(ABS(L157)&lt;=1.96*O157,"Yes","No"))</f>
        <v>Yes</v>
      </c>
      <c r="T157" s="52" t="n">
        <f aca="false">IF(D157="","",ROUND(SQRT(((D157+G157)*O157/100)^2+(J157*(D157+G157)*0.08889)^2),0))</f>
        <v>100</v>
      </c>
      <c r="U157" s="25"/>
    </row>
    <row r="158" customFormat="false" ht="15" hidden="false" customHeight="false" outlineLevel="0" collapsed="false">
      <c r="A158" s="25" t="s">
        <v>197</v>
      </c>
      <c r="B158" s="25" t="s">
        <v>312</v>
      </c>
      <c r="C158" s="25" t="s">
        <v>314</v>
      </c>
      <c r="D158" s="52" t="n">
        <v>852</v>
      </c>
      <c r="E158" s="52" t="n">
        <v>860</v>
      </c>
      <c r="F158" s="63" t="n">
        <f aca="false">IF(E158="","",D158-E158)</f>
        <v>-8</v>
      </c>
      <c r="G158" s="52" t="n">
        <v>1370</v>
      </c>
      <c r="H158" s="52" t="n">
        <v>1332</v>
      </c>
      <c r="I158" s="63" t="n">
        <f aca="false">IF(H158="","",G158-H158)</f>
        <v>38</v>
      </c>
      <c r="J158" s="53" t="n">
        <f aca="false">IF(OR(D158="",D158+G158=0),"",D158/(D158+G158))</f>
        <v>0.383438343834383</v>
      </c>
      <c r="K158" s="53" t="n">
        <f aca="false">IF(E158="","",E158/(E158+H158))</f>
        <v>0.392335766423358</v>
      </c>
      <c r="L158" s="64" t="n">
        <f aca="false">IF(OR(K158="",J158=""),"",(J158-K158)*100)</f>
        <v>-0.889742258897419</v>
      </c>
      <c r="M158" s="28" t="n">
        <v>2.1665403898083</v>
      </c>
      <c r="N158" s="28" t="n">
        <v>0.395142145636406</v>
      </c>
      <c r="O158" s="28" t="n">
        <f aca="false">SQRT(M158^2+N158^2)</f>
        <v>2.2022794046008</v>
      </c>
      <c r="P158" s="53" t="n">
        <f aca="false">IF(J158="","",MAX(0,J158-1.96*O158/100))</f>
        <v>0.340273667504208</v>
      </c>
      <c r="Q158" s="53" t="n">
        <f aca="false">IF(J158="","",MIN(1,J158+1.96*O158/100))</f>
        <v>0.426603020164559</v>
      </c>
      <c r="R158" s="25" t="str">
        <f aca="false">IF(L158="","",IF(ABS(L158)&lt;=O158,"Yes","No"))</f>
        <v>Yes</v>
      </c>
      <c r="S158" s="25" t="str">
        <f aca="false">IF(L158="","",IF(ABS(L158)&lt;=1.96*O158,"Yes","No"))</f>
        <v>Yes</v>
      </c>
      <c r="T158" s="52" t="n">
        <f aca="false">IF(D158="","",ROUND(SQRT(((D158+G158)*O158/100)^2+(J158*(D158+G158)*0.08889)^2),0))</f>
        <v>90</v>
      </c>
      <c r="U158" s="25"/>
    </row>
    <row r="159" customFormat="false" ht="15" hidden="false" customHeight="false" outlineLevel="0" collapsed="false">
      <c r="A159" s="25" t="s">
        <v>197</v>
      </c>
      <c r="B159" s="25" t="s">
        <v>312</v>
      </c>
      <c r="C159" s="25" t="s">
        <v>315</v>
      </c>
      <c r="D159" s="52" t="n">
        <v>444</v>
      </c>
      <c r="E159" s="52" t="n">
        <v>449</v>
      </c>
      <c r="F159" s="63" t="n">
        <f aca="false">IF(E159="","",D159-E159)</f>
        <v>-5</v>
      </c>
      <c r="G159" s="52" t="n">
        <v>699</v>
      </c>
      <c r="H159" s="52" t="n">
        <v>705</v>
      </c>
      <c r="I159" s="63" t="n">
        <f aca="false">IF(H159="","",G159-H159)</f>
        <v>-6</v>
      </c>
      <c r="J159" s="53" t="n">
        <f aca="false">IF(OR(D159="",D159+G159=0),"",D159/(D159+G159))</f>
        <v>0.388451443569554</v>
      </c>
      <c r="K159" s="53" t="n">
        <f aca="false">IF(E159="","",E159/(E159+H159))</f>
        <v>0.389081455805893</v>
      </c>
      <c r="L159" s="64" t="n">
        <f aca="false">IF(OR(K159="",J159=""),"",(J159-K159)*100)</f>
        <v>-0.063001223633874</v>
      </c>
      <c r="M159" s="28" t="n">
        <v>2.40127504711013</v>
      </c>
      <c r="N159" s="28" t="n">
        <v>0.395142145636406</v>
      </c>
      <c r="O159" s="28" t="n">
        <f aca="false">SQRT(M159^2+N159^2)</f>
        <v>2.43356922382165</v>
      </c>
      <c r="P159" s="53" t="n">
        <f aca="false">IF(J159="","",MAX(0,J159-1.96*O159/100))</f>
        <v>0.34075348678265</v>
      </c>
      <c r="Q159" s="53" t="n">
        <f aca="false">IF(J159="","",MIN(1,J159+1.96*O159/100))</f>
        <v>0.436149400356458</v>
      </c>
      <c r="R159" s="25" t="str">
        <f aca="false">IF(L159="","",IF(ABS(L159)&lt;=O159,"Yes","No"))</f>
        <v>Yes</v>
      </c>
      <c r="S159" s="25" t="str">
        <f aca="false">IF(L159="","",IF(ABS(L159)&lt;=1.96*O159,"Yes","No"))</f>
        <v>Yes</v>
      </c>
      <c r="T159" s="52" t="n">
        <f aca="false">IF(D159="","",ROUND(SQRT(((D159+G159)*O159/100)^2+(J159*(D159+G159)*0.10931)^2),0))</f>
        <v>56</v>
      </c>
      <c r="U159" s="25"/>
    </row>
    <row r="160" customFormat="false" ht="15" hidden="false" customHeight="false" outlineLevel="0" collapsed="false">
      <c r="A160" s="25" t="s">
        <v>197</v>
      </c>
      <c r="B160" s="25" t="s">
        <v>312</v>
      </c>
      <c r="C160" s="25" t="s">
        <v>316</v>
      </c>
      <c r="D160" s="52" t="n">
        <v>639</v>
      </c>
      <c r="E160" s="52" t="n">
        <v>654</v>
      </c>
      <c r="F160" s="63" t="n">
        <f aca="false">IF(E160="","",D160-E160)</f>
        <v>-15</v>
      </c>
      <c r="G160" s="52" t="n">
        <v>1010</v>
      </c>
      <c r="H160" s="52" t="n">
        <v>979</v>
      </c>
      <c r="I160" s="63" t="n">
        <f aca="false">IF(H160="","",G160-H160)</f>
        <v>31</v>
      </c>
      <c r="J160" s="53" t="n">
        <f aca="false">IF(OR(D160="",D160+G160=0),"",D160/(D160+G160))</f>
        <v>0.387507580351728</v>
      </c>
      <c r="K160" s="53" t="n">
        <f aca="false">IF(E160="","",E160/(E160+H160))</f>
        <v>0.400489895897122</v>
      </c>
      <c r="L160" s="64" t="n">
        <f aca="false">IF(OR(K160="",J160=""),"",(J160-K160)*100)</f>
        <v>-1.29823155453935</v>
      </c>
      <c r="M160" s="28" t="n">
        <v>2.1665403898083</v>
      </c>
      <c r="N160" s="28" t="n">
        <v>0.395142145636406</v>
      </c>
      <c r="O160" s="28" t="n">
        <f aca="false">SQRT(M160^2+N160^2)</f>
        <v>2.2022794046008</v>
      </c>
      <c r="P160" s="53" t="n">
        <f aca="false">IF(J160="","",MAX(0,J160-1.96*O160/100))</f>
        <v>0.344342904021553</v>
      </c>
      <c r="Q160" s="53" t="n">
        <f aca="false">IF(J160="","",MIN(1,J160+1.96*O160/100))</f>
        <v>0.430672256681904</v>
      </c>
      <c r="R160" s="25" t="str">
        <f aca="false">IF(L160="","",IF(ABS(L160)&lt;=O160,"Yes","No"))</f>
        <v>Yes</v>
      </c>
      <c r="S160" s="25" t="str">
        <f aca="false">IF(L160="","",IF(ABS(L160)&lt;=1.96*O160,"Yes","No"))</f>
        <v>Yes</v>
      </c>
      <c r="T160" s="52" t="n">
        <f aca="false">IF(D160="","",ROUND(SQRT(((D160+G160)*O160/100)^2+(J160*(D160+G160)*0.08889)^2),0))</f>
        <v>67</v>
      </c>
      <c r="U160" s="25"/>
    </row>
    <row r="161" customFormat="false" ht="15" hidden="false" customHeight="false" outlineLevel="0" collapsed="false">
      <c r="A161" s="25" t="s">
        <v>197</v>
      </c>
      <c r="B161" s="25" t="s">
        <v>312</v>
      </c>
      <c r="C161" s="25" t="s">
        <v>317</v>
      </c>
      <c r="D161" s="52" t="n">
        <v>545</v>
      </c>
      <c r="E161" s="52" t="n">
        <v>557</v>
      </c>
      <c r="F161" s="63" t="n">
        <f aca="false">IF(E161="","",D161-E161)</f>
        <v>-12</v>
      </c>
      <c r="G161" s="52" t="n">
        <v>928</v>
      </c>
      <c r="H161" s="52" t="n">
        <v>890</v>
      </c>
      <c r="I161" s="63" t="n">
        <f aca="false">IF(H161="","",G161-H161)</f>
        <v>38</v>
      </c>
      <c r="J161" s="53" t="n">
        <f aca="false">IF(OR(D161="",D161+G161=0),"",D161/(D161+G161))</f>
        <v>0.369993211133741</v>
      </c>
      <c r="K161" s="53" t="n">
        <f aca="false">IF(E161="","",E161/(E161+H161))</f>
        <v>0.384934346924672</v>
      </c>
      <c r="L161" s="64" t="n">
        <f aca="false">IF(OR(K161="",J161=""),"",(J161-K161)*100)</f>
        <v>-1.4941135790931</v>
      </c>
      <c r="M161" s="28" t="n">
        <v>2.1665403898083</v>
      </c>
      <c r="N161" s="28" t="n">
        <v>0.395142145636406</v>
      </c>
      <c r="O161" s="28" t="n">
        <f aca="false">SQRT(M161^2+N161^2)</f>
        <v>2.2022794046008</v>
      </c>
      <c r="P161" s="53" t="n">
        <f aca="false">IF(J161="","",MAX(0,J161-1.96*O161/100))</f>
        <v>0.326828534803565</v>
      </c>
      <c r="Q161" s="53" t="n">
        <f aca="false">IF(J161="","",MIN(1,J161+1.96*O161/100))</f>
        <v>0.413157887463916</v>
      </c>
      <c r="R161" s="25" t="str">
        <f aca="false">IF(L161="","",IF(ABS(L161)&lt;=O161,"Yes","No"))</f>
        <v>Yes</v>
      </c>
      <c r="S161" s="25" t="str">
        <f aca="false">IF(L161="","",IF(ABS(L161)&lt;=1.96*O161,"Yes","No"))</f>
        <v>Yes</v>
      </c>
      <c r="T161" s="52" t="n">
        <f aca="false">IF(D161="","",ROUND(SQRT(((D161+G161)*O161/100)^2+(J161*(D161+G161)*0.08889)^2),0))</f>
        <v>58</v>
      </c>
      <c r="U161" s="25"/>
    </row>
    <row r="162" customFormat="false" ht="15" hidden="false" customHeight="false" outlineLevel="0" collapsed="false">
      <c r="A162" s="25" t="s">
        <v>197</v>
      </c>
      <c r="B162" s="25" t="s">
        <v>312</v>
      </c>
      <c r="C162" s="25" t="s">
        <v>318</v>
      </c>
      <c r="D162" s="52" t="n">
        <v>502</v>
      </c>
      <c r="E162" s="52" t="n">
        <v>492</v>
      </c>
      <c r="F162" s="63" t="n">
        <f aca="false">IF(E162="","",D162-E162)</f>
        <v>10</v>
      </c>
      <c r="G162" s="52" t="n">
        <v>697</v>
      </c>
      <c r="H162" s="52" t="n">
        <v>675</v>
      </c>
      <c r="I162" s="63" t="n">
        <f aca="false">IF(H162="","",G162-H162)</f>
        <v>22</v>
      </c>
      <c r="J162" s="53" t="n">
        <f aca="false">IF(OR(D162="",D162+G162=0),"",D162/(D162+G162))</f>
        <v>0.418682235195997</v>
      </c>
      <c r="K162" s="53" t="n">
        <f aca="false">IF(E162="","",E162/(E162+H162))</f>
        <v>0.42159383033419</v>
      </c>
      <c r="L162" s="64" t="n">
        <f aca="false">IF(OR(K162="",J162=""),"",(J162-K162)*100)</f>
        <v>-0.291159513819356</v>
      </c>
      <c r="M162" s="28" t="n">
        <v>2.1665403898083</v>
      </c>
      <c r="N162" s="28" t="n">
        <v>0.395142145636406</v>
      </c>
      <c r="O162" s="28" t="n">
        <f aca="false">SQRT(M162^2+N162^2)</f>
        <v>2.2022794046008</v>
      </c>
      <c r="P162" s="53" t="n">
        <f aca="false">IF(J162="","",MAX(0,J162-1.96*O162/100))</f>
        <v>0.375517558865821</v>
      </c>
      <c r="Q162" s="53" t="n">
        <f aca="false">IF(J162="","",MIN(1,J162+1.96*O162/100))</f>
        <v>0.461846911526172</v>
      </c>
      <c r="R162" s="25" t="str">
        <f aca="false">IF(L162="","",IF(ABS(L162)&lt;=O162,"Yes","No"))</f>
        <v>Yes</v>
      </c>
      <c r="S162" s="25" t="str">
        <f aca="false">IF(L162="","",IF(ABS(L162)&lt;=1.96*O162,"Yes","No"))</f>
        <v>Yes</v>
      </c>
      <c r="T162" s="52" t="n">
        <f aca="false">IF(D162="","",ROUND(SQRT(((D162+G162)*O162/100)^2+(J162*(D162+G162)*0.08889)^2),0))</f>
        <v>52</v>
      </c>
      <c r="U162" s="25"/>
    </row>
    <row r="163" customFormat="false" ht="15" hidden="false" customHeight="false" outlineLevel="0" collapsed="false">
      <c r="A163" s="25" t="s">
        <v>197</v>
      </c>
      <c r="B163" s="25" t="s">
        <v>319</v>
      </c>
      <c r="C163" s="25" t="s">
        <v>320</v>
      </c>
      <c r="D163" s="52" t="n">
        <v>676</v>
      </c>
      <c r="E163" s="52" t="n">
        <v>668</v>
      </c>
      <c r="F163" s="63" t="n">
        <f aca="false">IF(E163="","",D163-E163)</f>
        <v>8</v>
      </c>
      <c r="G163" s="52" t="n">
        <v>713</v>
      </c>
      <c r="H163" s="52" t="n">
        <v>693</v>
      </c>
      <c r="I163" s="63" t="n">
        <f aca="false">IF(H163="","",G163-H163)</f>
        <v>20</v>
      </c>
      <c r="J163" s="53" t="n">
        <f aca="false">IF(OR(D163="",D163+G163=0),"",D163/(D163+G163))</f>
        <v>0.486681065514759</v>
      </c>
      <c r="K163" s="53" t="n">
        <f aca="false">IF(E163="","",E163/(E163+H163))</f>
        <v>0.490815576781778</v>
      </c>
      <c r="L163" s="64" t="n">
        <f aca="false">IF(OR(K163="",J163=""),"",(J163-K163)*100)</f>
        <v>-0.41345112670193</v>
      </c>
      <c r="M163" s="28" t="n">
        <v>2.1665403898083</v>
      </c>
      <c r="N163" s="28" t="n">
        <v>0.395142145636406</v>
      </c>
      <c r="O163" s="28" t="n">
        <f aca="false">SQRT(M163^2+N163^2)</f>
        <v>2.2022794046008</v>
      </c>
      <c r="P163" s="53" t="n">
        <f aca="false">IF(J163="","",MAX(0,J163-1.96*O163/100))</f>
        <v>0.443516389184583</v>
      </c>
      <c r="Q163" s="53" t="n">
        <f aca="false">IF(J163="","",MIN(1,J163+1.96*O163/100))</f>
        <v>0.529845741844935</v>
      </c>
      <c r="R163" s="25" t="str">
        <f aca="false">IF(L163="","",IF(ABS(L163)&lt;=O163,"Yes","No"))</f>
        <v>Yes</v>
      </c>
      <c r="S163" s="25" t="str">
        <f aca="false">IF(L163="","",IF(ABS(L163)&lt;=1.96*O163,"Yes","No"))</f>
        <v>Yes</v>
      </c>
      <c r="T163" s="52" t="n">
        <f aca="false">IF(D163="","",ROUND(SQRT(((D163+G163)*O163/100)^2+(J163*(D163+G163)*0.08889)^2),0))</f>
        <v>67</v>
      </c>
      <c r="U163" s="25"/>
    </row>
    <row r="164" customFormat="false" ht="15" hidden="false" customHeight="false" outlineLevel="0" collapsed="false">
      <c r="A164" s="25" t="s">
        <v>197</v>
      </c>
      <c r="B164" s="25" t="s">
        <v>319</v>
      </c>
      <c r="C164" s="25" t="s">
        <v>321</v>
      </c>
      <c r="D164" s="52" t="n">
        <v>804</v>
      </c>
      <c r="E164" s="52" t="n">
        <v>803</v>
      </c>
      <c r="F164" s="63" t="n">
        <f aca="false">IF(E164="","",D164-E164)</f>
        <v>1</v>
      </c>
      <c r="G164" s="52" t="n">
        <v>818</v>
      </c>
      <c r="H164" s="52" t="n">
        <v>818</v>
      </c>
      <c r="I164" s="63" t="n">
        <f aca="false">IF(H164="","",G164-H164)</f>
        <v>0</v>
      </c>
      <c r="J164" s="53" t="n">
        <f aca="false">IF(OR(D164="",D164+G164=0),"",D164/(D164+G164))</f>
        <v>0.495684340320592</v>
      </c>
      <c r="K164" s="53" t="n">
        <f aca="false">IF(E164="","",E164/(E164+H164))</f>
        <v>0.495373226403455</v>
      </c>
      <c r="L164" s="64" t="n">
        <f aca="false">IF(OR(K164="",J164=""),"",(J164-K164)*100)</f>
        <v>0.0311113917137229</v>
      </c>
      <c r="M164" s="28" t="n">
        <v>2.1665403898083</v>
      </c>
      <c r="N164" s="28" t="n">
        <v>0.395142145636406</v>
      </c>
      <c r="O164" s="28" t="n">
        <f aca="false">SQRT(M164^2+N164^2)</f>
        <v>2.2022794046008</v>
      </c>
      <c r="P164" s="53" t="n">
        <f aca="false">IF(J164="","",MAX(0,J164-1.96*O164/100))</f>
        <v>0.452519663990416</v>
      </c>
      <c r="Q164" s="53" t="n">
        <f aca="false">IF(J164="","",MIN(1,J164+1.96*O164/100))</f>
        <v>0.538849016650768</v>
      </c>
      <c r="R164" s="25" t="str">
        <f aca="false">IF(L164="","",IF(ABS(L164)&lt;=O164,"Yes","No"))</f>
        <v>Yes</v>
      </c>
      <c r="S164" s="25" t="str">
        <f aca="false">IF(L164="","",IF(ABS(L164)&lt;=1.96*O164,"Yes","No"))</f>
        <v>Yes</v>
      </c>
      <c r="T164" s="52" t="n">
        <f aca="false">IF(D164="","",ROUND(SQRT(((D164+G164)*O164/100)^2+(J164*(D164+G164)*0.08889)^2),0))</f>
        <v>80</v>
      </c>
      <c r="U164" s="25"/>
    </row>
    <row r="165" customFormat="false" ht="15" hidden="false" customHeight="false" outlineLevel="0" collapsed="false">
      <c r="A165" s="25" t="s">
        <v>197</v>
      </c>
      <c r="B165" s="25" t="s">
        <v>319</v>
      </c>
      <c r="C165" s="25" t="s">
        <v>322</v>
      </c>
      <c r="D165" s="52" t="n">
        <v>349</v>
      </c>
      <c r="E165" s="52" t="n">
        <v>342</v>
      </c>
      <c r="F165" s="63" t="n">
        <f aca="false">IF(E165="","",D165-E165)</f>
        <v>7</v>
      </c>
      <c r="G165" s="52" t="n">
        <v>345</v>
      </c>
      <c r="H165" s="52" t="n">
        <v>358</v>
      </c>
      <c r="I165" s="63" t="n">
        <f aca="false">IF(H165="","",G165-H165)</f>
        <v>-13</v>
      </c>
      <c r="J165" s="53" t="n">
        <f aca="false">IF(OR(D165="",D165+G165=0),"",D165/(D165+G165))</f>
        <v>0.502881844380404</v>
      </c>
      <c r="K165" s="53" t="n">
        <f aca="false">IF(E165="","",E165/(E165+H165))</f>
        <v>0.488571428571429</v>
      </c>
      <c r="L165" s="64" t="n">
        <f aca="false">IF(OR(K165="",J165=""),"",(J165-K165)*100)</f>
        <v>1.4310415808975</v>
      </c>
      <c r="M165" s="28" t="n">
        <v>3.59869162464536</v>
      </c>
      <c r="N165" s="28" t="n">
        <v>0.395142145636406</v>
      </c>
      <c r="O165" s="28" t="n">
        <f aca="false">SQRT(M165^2+N165^2)</f>
        <v>3.62032025165603</v>
      </c>
      <c r="P165" s="53" t="n">
        <f aca="false">IF(J165="","",MAX(0,J165-1.96*O165/100))</f>
        <v>0.431923567447945</v>
      </c>
      <c r="Q165" s="53" t="n">
        <f aca="false">IF(J165="","",MIN(1,J165+1.96*O165/100))</f>
        <v>0.573840121312862</v>
      </c>
      <c r="R165" s="25" t="str">
        <f aca="false">IF(L165="","",IF(ABS(L165)&lt;=O165,"Yes","No"))</f>
        <v>Yes</v>
      </c>
      <c r="S165" s="25" t="str">
        <f aca="false">IF(L165="","",IF(ABS(L165)&lt;=1.96*O165,"Yes","No"))</f>
        <v>Yes</v>
      </c>
      <c r="T165" s="52" t="n">
        <f aca="false">IF(D165="","",ROUND(SQRT(((D165+G165)*O165/100)^2+(J165*(D165+G165)*0.1901)^2),0))</f>
        <v>71</v>
      </c>
      <c r="U165" s="25"/>
    </row>
    <row r="166" customFormat="false" ht="15" hidden="false" customHeight="false" outlineLevel="0" collapsed="false">
      <c r="A166" s="25" t="s">
        <v>197</v>
      </c>
      <c r="B166" s="25" t="s">
        <v>319</v>
      </c>
      <c r="C166" s="25" t="s">
        <v>323</v>
      </c>
      <c r="D166" s="52" t="n">
        <v>418</v>
      </c>
      <c r="E166" s="52" t="n">
        <v>411</v>
      </c>
      <c r="F166" s="63" t="n">
        <f aca="false">IF(E166="","",D166-E166)</f>
        <v>7</v>
      </c>
      <c r="G166" s="52" t="n">
        <v>409</v>
      </c>
      <c r="H166" s="52" t="n">
        <v>417</v>
      </c>
      <c r="I166" s="63" t="n">
        <f aca="false">IF(H166="","",G166-H166)</f>
        <v>-8</v>
      </c>
      <c r="J166" s="53" t="n">
        <f aca="false">IF(OR(D166="",D166+G166=0),"",D166/(D166+G166))</f>
        <v>0.505441354292624</v>
      </c>
      <c r="K166" s="53" t="n">
        <f aca="false">IF(E166="","",E166/(E166+H166))</f>
        <v>0.496376811594203</v>
      </c>
      <c r="L166" s="64" t="n">
        <f aca="false">IF(OR(K166="",J166=""),"",(J166-K166)*100)</f>
        <v>0.906454269842105</v>
      </c>
      <c r="M166" s="28" t="n">
        <v>2.40127504711013</v>
      </c>
      <c r="N166" s="28" t="n">
        <v>0.395142145636406</v>
      </c>
      <c r="O166" s="28" t="n">
        <f aca="false">SQRT(M166^2+N166^2)</f>
        <v>2.43356922382165</v>
      </c>
      <c r="P166" s="53" t="n">
        <f aca="false">IF(J166="","",MAX(0,J166-1.96*O166/100))</f>
        <v>0.45774339750572</v>
      </c>
      <c r="Q166" s="53" t="n">
        <f aca="false">IF(J166="","",MIN(1,J166+1.96*O166/100))</f>
        <v>0.553139311079528</v>
      </c>
      <c r="R166" s="25" t="str">
        <f aca="false">IF(L166="","",IF(ABS(L166)&lt;=O166,"Yes","No"))</f>
        <v>Yes</v>
      </c>
      <c r="S166" s="25" t="str">
        <f aca="false">IF(L166="","",IF(ABS(L166)&lt;=1.96*O166,"Yes","No"))</f>
        <v>Yes</v>
      </c>
      <c r="T166" s="52" t="n">
        <f aca="false">IF(D166="","",ROUND(SQRT(((D166+G166)*O166/100)^2+(J166*(D166+G166)*0.10931)^2),0))</f>
        <v>50</v>
      </c>
      <c r="U166" s="25"/>
    </row>
    <row r="167" customFormat="false" ht="15" hidden="false" customHeight="false" outlineLevel="0" collapsed="false">
      <c r="A167" s="25" t="s">
        <v>197</v>
      </c>
      <c r="B167" s="25" t="s">
        <v>319</v>
      </c>
      <c r="C167" s="25" t="s">
        <v>324</v>
      </c>
      <c r="D167" s="52" t="n">
        <v>509</v>
      </c>
      <c r="E167" s="52" t="n">
        <v>525</v>
      </c>
      <c r="F167" s="63" t="n">
        <f aca="false">IF(E167="","",D167-E167)</f>
        <v>-16</v>
      </c>
      <c r="G167" s="52" t="n">
        <v>577</v>
      </c>
      <c r="H167" s="52" t="n">
        <v>552</v>
      </c>
      <c r="I167" s="63" t="n">
        <f aca="false">IF(H167="","",G167-H167)</f>
        <v>25</v>
      </c>
      <c r="J167" s="53" t="n">
        <f aca="false">IF(OR(D167="",D167+G167=0),"",D167/(D167+G167))</f>
        <v>0.468692449355433</v>
      </c>
      <c r="K167" s="53" t="n">
        <f aca="false">IF(E167="","",E167/(E167+H167))</f>
        <v>0.487465181058496</v>
      </c>
      <c r="L167" s="64" t="n">
        <f aca="false">IF(OR(K167="",J167=""),"",(J167-K167)*100)</f>
        <v>-1.8772731703063</v>
      </c>
      <c r="M167" s="28" t="n">
        <v>2.40127504711013</v>
      </c>
      <c r="N167" s="28" t="n">
        <v>0.395142145636406</v>
      </c>
      <c r="O167" s="28" t="n">
        <f aca="false">SQRT(M167^2+N167^2)</f>
        <v>2.43356922382165</v>
      </c>
      <c r="P167" s="53" t="n">
        <f aca="false">IF(J167="","",MAX(0,J167-1.96*O167/100))</f>
        <v>0.420994492568529</v>
      </c>
      <c r="Q167" s="53" t="n">
        <f aca="false">IF(J167="","",MIN(1,J167+1.96*O167/100))</f>
        <v>0.516390406142337</v>
      </c>
      <c r="R167" s="25" t="str">
        <f aca="false">IF(L167="","",IF(ABS(L167)&lt;=O167,"Yes","No"))</f>
        <v>Yes</v>
      </c>
      <c r="S167" s="25" t="str">
        <f aca="false">IF(L167="","",IF(ABS(L167)&lt;=1.96*O167,"Yes","No"))</f>
        <v>Yes</v>
      </c>
      <c r="T167" s="52" t="n">
        <f aca="false">IF(D167="","",ROUND(SQRT(((D167+G167)*O167/100)^2+(J167*(D167+G167)*0.10931)^2),0))</f>
        <v>62</v>
      </c>
      <c r="U167" s="25"/>
    </row>
    <row r="168" customFormat="false" ht="15" hidden="false" customHeight="false" outlineLevel="0" collapsed="false">
      <c r="A168" s="25" t="s">
        <v>197</v>
      </c>
      <c r="B168" s="25" t="s">
        <v>319</v>
      </c>
      <c r="C168" s="25" t="s">
        <v>325</v>
      </c>
      <c r="D168" s="52" t="n">
        <v>337</v>
      </c>
      <c r="E168" s="52" t="n">
        <v>313</v>
      </c>
      <c r="F168" s="63" t="n">
        <f aca="false">IF(E168="","",D168-E168)</f>
        <v>24</v>
      </c>
      <c r="G168" s="52" t="n">
        <v>374</v>
      </c>
      <c r="H168" s="52" t="n">
        <v>360</v>
      </c>
      <c r="I168" s="63" t="n">
        <f aca="false">IF(H168="","",G168-H168)</f>
        <v>14</v>
      </c>
      <c r="J168" s="53" t="n">
        <f aca="false">IF(OR(D168="",D168+G168=0),"",D168/(D168+G168))</f>
        <v>0.473980309423347</v>
      </c>
      <c r="K168" s="53" t="n">
        <f aca="false">IF(E168="","",E168/(E168+H168))</f>
        <v>0.465081723625557</v>
      </c>
      <c r="L168" s="64" t="n">
        <f aca="false">IF(OR(K168="",J168=""),"",(J168-K168)*100)</f>
        <v>0.889858579779018</v>
      </c>
      <c r="M168" s="28" t="n">
        <v>3.59869162464536</v>
      </c>
      <c r="N168" s="28" t="n">
        <v>0.395142145636406</v>
      </c>
      <c r="O168" s="28" t="n">
        <f aca="false">SQRT(M168^2+N168^2)</f>
        <v>3.62032025165603</v>
      </c>
      <c r="P168" s="53" t="n">
        <f aca="false">IF(J168="","",MAX(0,J168-1.96*O168/100))</f>
        <v>0.403022032490889</v>
      </c>
      <c r="Q168" s="53" t="n">
        <f aca="false">IF(J168="","",MIN(1,J168+1.96*O168/100))</f>
        <v>0.544938586355806</v>
      </c>
      <c r="R168" s="25" t="str">
        <f aca="false">IF(L168="","",IF(ABS(L168)&lt;=O168,"Yes","No"))</f>
        <v>Yes</v>
      </c>
      <c r="S168" s="25" t="str">
        <f aca="false">IF(L168="","",IF(ABS(L168)&lt;=1.96*O168,"Yes","No"))</f>
        <v>Yes</v>
      </c>
      <c r="T168" s="52" t="n">
        <f aca="false">IF(D168="","",ROUND(SQRT(((D168+G168)*O168/100)^2+(J168*(D168+G168)*0.1901)^2),0))</f>
        <v>69</v>
      </c>
      <c r="U168" s="25"/>
    </row>
    <row r="169" customFormat="false" ht="15" hidden="false" customHeight="false" outlineLevel="0" collapsed="false">
      <c r="A169" s="25" t="s">
        <v>197</v>
      </c>
      <c r="B169" s="25" t="s">
        <v>319</v>
      </c>
      <c r="C169" s="25" t="s">
        <v>326</v>
      </c>
      <c r="D169" s="52" t="n">
        <v>402</v>
      </c>
      <c r="E169" s="52" t="n">
        <v>415</v>
      </c>
      <c r="F169" s="63" t="n">
        <f aca="false">IF(E169="","",D169-E169)</f>
        <v>-13</v>
      </c>
      <c r="G169" s="52" t="n">
        <v>374</v>
      </c>
      <c r="H169" s="52" t="n">
        <v>371</v>
      </c>
      <c r="I169" s="63" t="n">
        <f aca="false">IF(H169="","",G169-H169)</f>
        <v>3</v>
      </c>
      <c r="J169" s="53" t="n">
        <f aca="false">IF(OR(D169="",D169+G169=0),"",D169/(D169+G169))</f>
        <v>0.518041237113402</v>
      </c>
      <c r="K169" s="53" t="n">
        <f aca="false">IF(E169="","",E169/(E169+H169))</f>
        <v>0.527989821882952</v>
      </c>
      <c r="L169" s="64" t="n">
        <f aca="false">IF(OR(K169="",J169=""),"",(J169-K169)*100)</f>
        <v>-0.994858476954952</v>
      </c>
      <c r="M169" s="28" t="n">
        <v>2.40127504711013</v>
      </c>
      <c r="N169" s="28" t="n">
        <v>0.395142145636406</v>
      </c>
      <c r="O169" s="28" t="n">
        <f aca="false">SQRT(M169^2+N169^2)</f>
        <v>2.43356922382165</v>
      </c>
      <c r="P169" s="53" t="n">
        <f aca="false">IF(J169="","",MAX(0,J169-1.96*O169/100))</f>
        <v>0.470343280326498</v>
      </c>
      <c r="Q169" s="53" t="n">
        <f aca="false">IF(J169="","",MIN(1,J169+1.96*O169/100))</f>
        <v>0.565739193900306</v>
      </c>
      <c r="R169" s="25" t="str">
        <f aca="false">IF(L169="","",IF(ABS(L169)&lt;=O169,"Yes","No"))</f>
        <v>Yes</v>
      </c>
      <c r="S169" s="25" t="str">
        <f aca="false">IF(L169="","",IF(ABS(L169)&lt;=1.96*O169,"Yes","No"))</f>
        <v>Yes</v>
      </c>
      <c r="T169" s="52" t="n">
        <f aca="false">IF(D169="","",ROUND(SQRT(((D169+G169)*O169/100)^2+(J169*(D169+G169)*0.10931)^2),0))</f>
        <v>48</v>
      </c>
      <c r="U169" s="25"/>
    </row>
    <row r="170" customFormat="false" ht="15" hidden="false" customHeight="false" outlineLevel="0" collapsed="false">
      <c r="A170" s="25" t="s">
        <v>197</v>
      </c>
      <c r="B170" s="25" t="s">
        <v>319</v>
      </c>
      <c r="C170" s="25" t="s">
        <v>327</v>
      </c>
      <c r="D170" s="52" t="n">
        <v>528</v>
      </c>
      <c r="E170" s="52" t="n">
        <v>533</v>
      </c>
      <c r="F170" s="63" t="n">
        <f aca="false">IF(E170="","",D170-E170)</f>
        <v>-5</v>
      </c>
      <c r="G170" s="52" t="n">
        <v>542</v>
      </c>
      <c r="H170" s="52" t="n">
        <v>535</v>
      </c>
      <c r="I170" s="63" t="n">
        <f aca="false">IF(H170="","",G170-H170)</f>
        <v>7</v>
      </c>
      <c r="J170" s="53" t="n">
        <f aca="false">IF(OR(D170="",D170+G170=0),"",D170/(D170+G170))</f>
        <v>0.493457943925234</v>
      </c>
      <c r="K170" s="53" t="n">
        <f aca="false">IF(E170="","",E170/(E170+H170))</f>
        <v>0.499063670411985</v>
      </c>
      <c r="L170" s="64" t="n">
        <f aca="false">IF(OR(K170="",J170=""),"",(J170-K170)*100)</f>
        <v>-0.56057264867514</v>
      </c>
      <c r="M170" s="28" t="n">
        <v>2.40127504711013</v>
      </c>
      <c r="N170" s="28" t="n">
        <v>0.395142145636406</v>
      </c>
      <c r="O170" s="28" t="n">
        <f aca="false">SQRT(M170^2+N170^2)</f>
        <v>2.43356922382165</v>
      </c>
      <c r="P170" s="53" t="n">
        <f aca="false">IF(J170="","",MAX(0,J170-1.96*O170/100))</f>
        <v>0.445759987138329</v>
      </c>
      <c r="Q170" s="53" t="n">
        <f aca="false">IF(J170="","",MIN(1,J170+1.96*O170/100))</f>
        <v>0.541155900712138</v>
      </c>
      <c r="R170" s="25" t="str">
        <f aca="false">IF(L170="","",IF(ABS(L170)&lt;=O170,"Yes","No"))</f>
        <v>Yes</v>
      </c>
      <c r="S170" s="25" t="str">
        <f aca="false">IF(L170="","",IF(ABS(L170)&lt;=1.96*O170,"Yes","No"))</f>
        <v>Yes</v>
      </c>
      <c r="T170" s="52" t="n">
        <f aca="false">IF(D170="","",ROUND(SQRT(((D170+G170)*O170/100)^2+(J170*(D170+G170)*0.10931)^2),0))</f>
        <v>63</v>
      </c>
      <c r="U170" s="25"/>
    </row>
    <row r="171" customFormat="false" ht="15" hidden="false" customHeight="false" outlineLevel="0" collapsed="false">
      <c r="A171" s="25" t="s">
        <v>197</v>
      </c>
      <c r="B171" s="25" t="s">
        <v>328</v>
      </c>
      <c r="C171" s="25" t="s">
        <v>329</v>
      </c>
      <c r="D171" s="52" t="n">
        <v>254</v>
      </c>
      <c r="E171" s="52" t="n">
        <v>242</v>
      </c>
      <c r="F171" s="63" t="n">
        <f aca="false">IF(E171="","",D171-E171)</f>
        <v>12</v>
      </c>
      <c r="G171" s="52" t="n">
        <v>331</v>
      </c>
      <c r="H171" s="52" t="n">
        <v>337</v>
      </c>
      <c r="I171" s="63" t="n">
        <f aca="false">IF(H171="","",G171-H171)</f>
        <v>-6</v>
      </c>
      <c r="J171" s="53" t="n">
        <f aca="false">IF(OR(D171="",D171+G171=0),"",D171/(D171+G171))</f>
        <v>0.434188034188034</v>
      </c>
      <c r="K171" s="53" t="n">
        <f aca="false">IF(E171="","",E171/(E171+H171))</f>
        <v>0.417962003454231</v>
      </c>
      <c r="L171" s="64" t="n">
        <f aca="false">IF(OR(K171="",J171=""),"",(J171-K171)*100)</f>
        <v>1.62260307338027</v>
      </c>
      <c r="M171" s="28" t="n">
        <v>3.59869162464536</v>
      </c>
      <c r="N171" s="28" t="n">
        <v>0.395142145636406</v>
      </c>
      <c r="O171" s="28" t="n">
        <f aca="false">SQRT(M171^2+N171^2)</f>
        <v>3.62032025165603</v>
      </c>
      <c r="P171" s="53" t="n">
        <f aca="false">IF(J171="","",MAX(0,J171-1.96*O171/100))</f>
        <v>0.363229757255576</v>
      </c>
      <c r="Q171" s="53" t="n">
        <f aca="false">IF(J171="","",MIN(1,J171+1.96*O171/100))</f>
        <v>0.505146311120492</v>
      </c>
      <c r="R171" s="25" t="str">
        <f aca="false">IF(L171="","",IF(ABS(L171)&lt;=O171,"Yes","No"))</f>
        <v>Yes</v>
      </c>
      <c r="S171" s="25" t="str">
        <f aca="false">IF(L171="","",IF(ABS(L171)&lt;=1.96*O171,"Yes","No"))</f>
        <v>Yes</v>
      </c>
      <c r="T171" s="52" t="n">
        <f aca="false">IF(D171="","",ROUND(SQRT(((D171+G171)*O171/100)^2+(J171*(D171+G171)*0.1901)^2),0))</f>
        <v>53</v>
      </c>
      <c r="U171" s="25"/>
    </row>
    <row r="172" customFormat="false" ht="15" hidden="false" customHeight="false" outlineLevel="0" collapsed="false">
      <c r="A172" s="25" t="s">
        <v>197</v>
      </c>
      <c r="B172" s="25" t="s">
        <v>328</v>
      </c>
      <c r="C172" s="25" t="s">
        <v>330</v>
      </c>
      <c r="D172" s="52" t="n">
        <v>196</v>
      </c>
      <c r="E172" s="52" t="n">
        <v>187</v>
      </c>
      <c r="F172" s="63" t="n">
        <f aca="false">IF(E172="","",D172-E172)</f>
        <v>9</v>
      </c>
      <c r="G172" s="52" t="n">
        <v>294</v>
      </c>
      <c r="H172" s="52" t="n">
        <v>292</v>
      </c>
      <c r="I172" s="63" t="n">
        <f aca="false">IF(H172="","",G172-H172)</f>
        <v>2</v>
      </c>
      <c r="J172" s="53" t="n">
        <f aca="false">IF(OR(D172="",D172+G172=0),"",D172/(D172+G172))</f>
        <v>0.4</v>
      </c>
      <c r="K172" s="53" t="n">
        <f aca="false">IF(E172="","",E172/(E172+H172))</f>
        <v>0.390396659707724</v>
      </c>
      <c r="L172" s="64" t="n">
        <f aca="false">IF(OR(K172="",J172=""),"",(J172-K172)*100)</f>
        <v>0.960334029227561</v>
      </c>
      <c r="M172" s="28" t="n">
        <v>3.59869162464536</v>
      </c>
      <c r="N172" s="28" t="n">
        <v>0.395142145636406</v>
      </c>
      <c r="O172" s="28" t="n">
        <f aca="false">SQRT(M172^2+N172^2)</f>
        <v>3.62032025165603</v>
      </c>
      <c r="P172" s="53" t="n">
        <f aca="false">IF(J172="","",MAX(0,J172-1.96*O172/100))</f>
        <v>0.329041723067542</v>
      </c>
      <c r="Q172" s="53" t="n">
        <f aca="false">IF(J172="","",MIN(1,J172+1.96*O172/100))</f>
        <v>0.470958276932458</v>
      </c>
      <c r="R172" s="25" t="str">
        <f aca="false">IF(L172="","",IF(ABS(L172)&lt;=O172,"Yes","No"))</f>
        <v>Yes</v>
      </c>
      <c r="S172" s="25" t="str">
        <f aca="false">IF(L172="","",IF(ABS(L172)&lt;=1.96*O172,"Yes","No"))</f>
        <v>Yes</v>
      </c>
      <c r="T172" s="52" t="n">
        <f aca="false">IF(D172="","",ROUND(SQRT(((D172+G172)*O172/100)^2+(J172*(D172+G172)*0.1901)^2),0))</f>
        <v>41</v>
      </c>
      <c r="U172" s="25"/>
    </row>
    <row r="173" customFormat="false" ht="15" hidden="false" customHeight="false" outlineLevel="0" collapsed="false">
      <c r="A173" s="25" t="s">
        <v>197</v>
      </c>
      <c r="B173" s="25" t="s">
        <v>328</v>
      </c>
      <c r="C173" s="25" t="s">
        <v>331</v>
      </c>
      <c r="D173" s="52" t="n">
        <v>375</v>
      </c>
      <c r="E173" s="52" t="n">
        <v>371</v>
      </c>
      <c r="F173" s="63" t="n">
        <f aca="false">IF(E173="","",D173-E173)</f>
        <v>4</v>
      </c>
      <c r="G173" s="52" t="n">
        <v>549</v>
      </c>
      <c r="H173" s="52" t="n">
        <v>527</v>
      </c>
      <c r="I173" s="63" t="n">
        <f aca="false">IF(H173="","",G173-H173)</f>
        <v>22</v>
      </c>
      <c r="J173" s="53" t="n">
        <f aca="false">IF(OR(D173="",D173+G173=0),"",D173/(D173+G173))</f>
        <v>0.405844155844156</v>
      </c>
      <c r="K173" s="53" t="n">
        <f aca="false">IF(E173="","",E173/(E173+H173))</f>
        <v>0.413140311804009</v>
      </c>
      <c r="L173" s="64" t="n">
        <f aca="false">IF(OR(K173="",J173=""),"",(J173-K173)*100)</f>
        <v>-0.729615595985306</v>
      </c>
      <c r="M173" s="28" t="n">
        <v>2.40127504711013</v>
      </c>
      <c r="N173" s="28" t="n">
        <v>0.395142145636406</v>
      </c>
      <c r="O173" s="28" t="n">
        <f aca="false">SQRT(M173^2+N173^2)</f>
        <v>2.43356922382165</v>
      </c>
      <c r="P173" s="53" t="n">
        <f aca="false">IF(J173="","",MAX(0,J173-1.96*O173/100))</f>
        <v>0.358146199057252</v>
      </c>
      <c r="Q173" s="53" t="n">
        <f aca="false">IF(J173="","",MIN(1,J173+1.96*O173/100))</f>
        <v>0.45354211263106</v>
      </c>
      <c r="R173" s="25" t="str">
        <f aca="false">IF(L173="","",IF(ABS(L173)&lt;=O173,"Yes","No"))</f>
        <v>Yes</v>
      </c>
      <c r="S173" s="25" t="str">
        <f aca="false">IF(L173="","",IF(ABS(L173)&lt;=1.96*O173,"Yes","No"))</f>
        <v>Yes</v>
      </c>
      <c r="T173" s="52" t="n">
        <f aca="false">IF(D173="","",ROUND(SQRT(((D173+G173)*O173/100)^2+(J173*(D173+G173)*0.10931)^2),0))</f>
        <v>47</v>
      </c>
      <c r="U173" s="25"/>
    </row>
    <row r="174" customFormat="false" ht="15" hidden="false" customHeight="false" outlineLevel="0" collapsed="false">
      <c r="A174" s="25" t="s">
        <v>197</v>
      </c>
      <c r="B174" s="25" t="s">
        <v>332</v>
      </c>
      <c r="C174" s="25" t="s">
        <v>333</v>
      </c>
      <c r="D174" s="52" t="n">
        <v>936</v>
      </c>
      <c r="E174" s="52" t="n">
        <v>912</v>
      </c>
      <c r="F174" s="63" t="n">
        <f aca="false">IF(E174="","",D174-E174)</f>
        <v>24</v>
      </c>
      <c r="G174" s="52" t="n">
        <v>928</v>
      </c>
      <c r="H174" s="52" t="n">
        <v>964</v>
      </c>
      <c r="I174" s="63" t="n">
        <f aca="false">IF(H174="","",G174-H174)</f>
        <v>-36</v>
      </c>
      <c r="J174" s="53" t="n">
        <f aca="false">IF(OR(D174="",D174+G174=0),"",D174/(D174+G174))</f>
        <v>0.502145922746781</v>
      </c>
      <c r="K174" s="53" t="n">
        <f aca="false">IF(E174="","",E174/(E174+H174))</f>
        <v>0.486140724946695</v>
      </c>
      <c r="L174" s="64" t="n">
        <f aca="false">IF(OR(K174="",J174=""),"",(J174-K174)*100)</f>
        <v>1.60051978000861</v>
      </c>
      <c r="M174" s="28" t="n">
        <v>2.1665403898083</v>
      </c>
      <c r="N174" s="28" t="n">
        <v>0.395142145636406</v>
      </c>
      <c r="O174" s="28" t="n">
        <f aca="false">SQRT(M174^2+N174^2)</f>
        <v>2.2022794046008</v>
      </c>
      <c r="P174" s="53" t="n">
        <f aca="false">IF(J174="","",MAX(0,J174-1.96*O174/100))</f>
        <v>0.458981246416606</v>
      </c>
      <c r="Q174" s="53" t="n">
        <f aca="false">IF(J174="","",MIN(1,J174+1.96*O174/100))</f>
        <v>0.545310599076957</v>
      </c>
      <c r="R174" s="25" t="str">
        <f aca="false">IF(L174="","",IF(ABS(L174)&lt;=O174,"Yes","No"))</f>
        <v>Yes</v>
      </c>
      <c r="S174" s="25" t="str">
        <f aca="false">IF(L174="","",IF(ABS(L174)&lt;=1.96*O174,"Yes","No"))</f>
        <v>Yes</v>
      </c>
      <c r="T174" s="52" t="n">
        <f aca="false">IF(D174="","",ROUND(SQRT(((D174+G174)*O174/100)^2+(J174*(D174+G174)*0.08889)^2),0))</f>
        <v>93</v>
      </c>
      <c r="U174" s="25"/>
    </row>
    <row r="175" customFormat="false" ht="15" hidden="false" customHeight="false" outlineLevel="0" collapsed="false">
      <c r="A175" s="25" t="s">
        <v>197</v>
      </c>
      <c r="B175" s="25" t="s">
        <v>332</v>
      </c>
      <c r="C175" s="25" t="s">
        <v>334</v>
      </c>
      <c r="D175" s="52" t="n">
        <v>472</v>
      </c>
      <c r="E175" s="52" t="n">
        <v>449</v>
      </c>
      <c r="F175" s="63" t="n">
        <f aca="false">IF(E175="","",D175-E175)</f>
        <v>23</v>
      </c>
      <c r="G175" s="52" t="n">
        <v>463</v>
      </c>
      <c r="H175" s="52" t="n">
        <v>448</v>
      </c>
      <c r="I175" s="63" t="n">
        <f aca="false">IF(H175="","",G175-H175)</f>
        <v>15</v>
      </c>
      <c r="J175" s="53" t="n">
        <f aca="false">IF(OR(D175="",D175+G175=0),"",D175/(D175+G175))</f>
        <v>0.504812834224599</v>
      </c>
      <c r="K175" s="53" t="n">
        <f aca="false">IF(E175="","",E175/(E175+H175))</f>
        <v>0.500557413600892</v>
      </c>
      <c r="L175" s="64" t="n">
        <f aca="false">IF(OR(K175="",J175=""),"",(J175-K175)*100)</f>
        <v>0.425542062370698</v>
      </c>
      <c r="M175" s="28" t="n">
        <v>2.40127504711013</v>
      </c>
      <c r="N175" s="28" t="n">
        <v>0.395142145636406</v>
      </c>
      <c r="O175" s="28" t="n">
        <f aca="false">SQRT(M175^2+N175^2)</f>
        <v>2.43356922382165</v>
      </c>
      <c r="P175" s="53" t="n">
        <f aca="false">IF(J175="","",MAX(0,J175-1.96*O175/100))</f>
        <v>0.457114877437695</v>
      </c>
      <c r="Q175" s="53" t="n">
        <f aca="false">IF(J175="","",MIN(1,J175+1.96*O175/100))</f>
        <v>0.552510791011503</v>
      </c>
      <c r="R175" s="25" t="str">
        <f aca="false">IF(L175="","",IF(ABS(L175)&lt;=O175,"Yes","No"))</f>
        <v>Yes</v>
      </c>
      <c r="S175" s="25" t="str">
        <f aca="false">IF(L175="","",IF(ABS(L175)&lt;=1.96*O175,"Yes","No"))</f>
        <v>Yes</v>
      </c>
      <c r="T175" s="52" t="n">
        <f aca="false">IF(D175="","",ROUND(SQRT(((D175+G175)*O175/100)^2+(J175*(D175+G175)*0.10931)^2),0))</f>
        <v>56</v>
      </c>
      <c r="U175" s="25"/>
    </row>
    <row r="176" customFormat="false" ht="15" hidden="false" customHeight="false" outlineLevel="0" collapsed="false">
      <c r="A176" s="25" t="s">
        <v>197</v>
      </c>
      <c r="B176" s="25" t="s">
        <v>332</v>
      </c>
      <c r="C176" s="25" t="s">
        <v>335</v>
      </c>
      <c r="D176" s="52" t="n">
        <v>1233</v>
      </c>
      <c r="E176" s="52" t="n">
        <v>1161</v>
      </c>
      <c r="F176" s="63" t="n">
        <f aca="false">IF(E176="","",D176-E176)</f>
        <v>72</v>
      </c>
      <c r="G176" s="52" t="n">
        <v>948</v>
      </c>
      <c r="H176" s="52" t="n">
        <v>915</v>
      </c>
      <c r="I176" s="63" t="n">
        <f aca="false">IF(H176="","",G176-H176)</f>
        <v>33</v>
      </c>
      <c r="J176" s="53" t="n">
        <f aca="false">IF(OR(D176="",D176+G176=0),"",D176/(D176+G176))</f>
        <v>0.565337001375516</v>
      </c>
      <c r="K176" s="53" t="n">
        <f aca="false">IF(E176="","",E176/(E176+H176))</f>
        <v>0.559248554913295</v>
      </c>
      <c r="L176" s="64" t="n">
        <f aca="false">IF(OR(K176="",J176=""),"",(J176-K176)*100)</f>
        <v>0.608844646222095</v>
      </c>
      <c r="M176" s="28" t="n">
        <v>2.1665403898083</v>
      </c>
      <c r="N176" s="28" t="n">
        <v>0.395142145636406</v>
      </c>
      <c r="O176" s="28" t="n">
        <f aca="false">SQRT(M176^2+N176^2)</f>
        <v>2.2022794046008</v>
      </c>
      <c r="P176" s="53" t="n">
        <f aca="false">IF(J176="","",MAX(0,J176-1.96*O176/100))</f>
        <v>0.52217232504534</v>
      </c>
      <c r="Q176" s="53" t="n">
        <f aca="false">IF(J176="","",MIN(1,J176+1.96*O176/100))</f>
        <v>0.608501677705692</v>
      </c>
      <c r="R176" s="25" t="str">
        <f aca="false">IF(L176="","",IF(ABS(L176)&lt;=O176,"Yes","No"))</f>
        <v>Yes</v>
      </c>
      <c r="S176" s="25" t="str">
        <f aca="false">IF(L176="","",IF(ABS(L176)&lt;=1.96*O176,"Yes","No"))</f>
        <v>Yes</v>
      </c>
      <c r="T176" s="52" t="n">
        <f aca="false">IF(D176="","",ROUND(SQRT(((D176+G176)*O176/100)^2+(J176*(D176+G176)*0.08889)^2),0))</f>
        <v>120</v>
      </c>
      <c r="U176" s="25"/>
    </row>
    <row r="177" customFormat="false" ht="15" hidden="false" customHeight="false" outlineLevel="0" collapsed="false">
      <c r="A177" s="25" t="s">
        <v>197</v>
      </c>
      <c r="B177" s="25" t="s">
        <v>332</v>
      </c>
      <c r="C177" s="25" t="s">
        <v>336</v>
      </c>
      <c r="D177" s="52" t="n">
        <v>528</v>
      </c>
      <c r="E177" s="52" t="n">
        <v>534</v>
      </c>
      <c r="F177" s="63" t="n">
        <f aca="false">IF(E177="","",D177-E177)</f>
        <v>-6</v>
      </c>
      <c r="G177" s="52" t="n">
        <v>575</v>
      </c>
      <c r="H177" s="52" t="n">
        <v>577</v>
      </c>
      <c r="I177" s="63" t="n">
        <f aca="false">IF(H177="","",G177-H177)</f>
        <v>-2</v>
      </c>
      <c r="J177" s="53" t="n">
        <f aca="false">IF(OR(D177="",D177+G177=0),"",D177/(D177+G177))</f>
        <v>0.478694469628287</v>
      </c>
      <c r="K177" s="53" t="n">
        <f aca="false">IF(E177="","",E177/(E177+H177))</f>
        <v>0.480648064806481</v>
      </c>
      <c r="L177" s="64" t="n">
        <f aca="false">IF(OR(K177="",J177=""),"",(J177-K177)*100)</f>
        <v>-0.195359517819416</v>
      </c>
      <c r="M177" s="28" t="n">
        <v>2.40127504711013</v>
      </c>
      <c r="N177" s="28" t="n">
        <v>0.395142145636406</v>
      </c>
      <c r="O177" s="28" t="n">
        <f aca="false">SQRT(M177^2+N177^2)</f>
        <v>2.43356922382165</v>
      </c>
      <c r="P177" s="53" t="n">
        <f aca="false">IF(J177="","",MAX(0,J177-1.96*O177/100))</f>
        <v>0.430996512841382</v>
      </c>
      <c r="Q177" s="53" t="n">
        <f aca="false">IF(J177="","",MIN(1,J177+1.96*O177/100))</f>
        <v>0.526392426415191</v>
      </c>
      <c r="R177" s="25" t="str">
        <f aca="false">IF(L177="","",IF(ABS(L177)&lt;=O177,"Yes","No"))</f>
        <v>Yes</v>
      </c>
      <c r="S177" s="25" t="str">
        <f aca="false">IF(L177="","",IF(ABS(L177)&lt;=1.96*O177,"Yes","No"))</f>
        <v>Yes</v>
      </c>
      <c r="T177" s="52" t="n">
        <f aca="false">IF(D177="","",ROUND(SQRT(((D177+G177)*O177/100)^2+(J177*(D177+G177)*0.10931)^2),0))</f>
        <v>64</v>
      </c>
      <c r="U177" s="25"/>
    </row>
    <row r="178" customFormat="false" ht="15" hidden="false" customHeight="false" outlineLevel="0" collapsed="false">
      <c r="A178" s="25" t="s">
        <v>197</v>
      </c>
      <c r="B178" s="25" t="s">
        <v>332</v>
      </c>
      <c r="C178" s="25" t="s">
        <v>337</v>
      </c>
      <c r="D178" s="52" t="n">
        <v>1100</v>
      </c>
      <c r="E178" s="52" t="n">
        <v>1123</v>
      </c>
      <c r="F178" s="63" t="n">
        <f aca="false">IF(E178="","",D178-E178)</f>
        <v>-23</v>
      </c>
      <c r="G178" s="52" t="n">
        <v>744</v>
      </c>
      <c r="H178" s="52" t="n">
        <v>741</v>
      </c>
      <c r="I178" s="63" t="n">
        <f aca="false">IF(H178="","",G178-H178)</f>
        <v>3</v>
      </c>
      <c r="J178" s="53" t="n">
        <f aca="false">IF(OR(D178="",D178+G178=0),"",D178/(D178+G178))</f>
        <v>0.596529284164859</v>
      </c>
      <c r="K178" s="53" t="n">
        <f aca="false">IF(E178="","",E178/(E178+H178))</f>
        <v>0.602467811158798</v>
      </c>
      <c r="L178" s="64" t="n">
        <f aca="false">IF(OR(K178="",J178=""),"",(J178-K178)*100)</f>
        <v>-0.593852699393938</v>
      </c>
      <c r="M178" s="28" t="n">
        <v>2.1665403898083</v>
      </c>
      <c r="N178" s="28" t="n">
        <v>0.395142145636406</v>
      </c>
      <c r="O178" s="28" t="n">
        <f aca="false">SQRT(M178^2+N178^2)</f>
        <v>2.2022794046008</v>
      </c>
      <c r="P178" s="53" t="n">
        <f aca="false">IF(J178="","",MAX(0,J178-1.96*O178/100))</f>
        <v>0.553364607834683</v>
      </c>
      <c r="Q178" s="53" t="n">
        <f aca="false">IF(J178="","",MIN(1,J178+1.96*O178/100))</f>
        <v>0.639693960495035</v>
      </c>
      <c r="R178" s="25" t="str">
        <f aca="false">IF(L178="","",IF(ABS(L178)&lt;=O178,"Yes","No"))</f>
        <v>Yes</v>
      </c>
      <c r="S178" s="25" t="str">
        <f aca="false">IF(L178="","",IF(ABS(L178)&lt;=1.96*O178,"Yes","No"))</f>
        <v>Yes</v>
      </c>
      <c r="T178" s="52" t="n">
        <f aca="false">IF(D178="","",ROUND(SQRT(((D178+G178)*O178/100)^2+(J178*(D178+G178)*0.08889)^2),0))</f>
        <v>106</v>
      </c>
      <c r="U178" s="25"/>
    </row>
    <row r="179" customFormat="false" ht="15" hidden="false" customHeight="false" outlineLevel="0" collapsed="false">
      <c r="A179" s="25" t="s">
        <v>197</v>
      </c>
      <c r="B179" s="25" t="s">
        <v>332</v>
      </c>
      <c r="C179" s="25" t="s">
        <v>338</v>
      </c>
      <c r="D179" s="52" t="n">
        <v>1038</v>
      </c>
      <c r="E179" s="52" t="n">
        <v>1054</v>
      </c>
      <c r="F179" s="63" t="n">
        <f aca="false">IF(E179="","",D179-E179)</f>
        <v>-16</v>
      </c>
      <c r="G179" s="52" t="n">
        <v>705</v>
      </c>
      <c r="H179" s="52" t="n">
        <v>706</v>
      </c>
      <c r="I179" s="63" t="n">
        <f aca="false">IF(H179="","",G179-H179)</f>
        <v>-1</v>
      </c>
      <c r="J179" s="53" t="n">
        <f aca="false">IF(OR(D179="",D179+G179=0),"",D179/(D179+G179))</f>
        <v>0.59552495697074</v>
      </c>
      <c r="K179" s="53" t="n">
        <f aca="false">IF(E179="","",E179/(E179+H179))</f>
        <v>0.598863636363636</v>
      </c>
      <c r="L179" s="64" t="n">
        <f aca="false">IF(OR(K179="",J179=""),"",(J179-K179)*100)</f>
        <v>-0.333867939289623</v>
      </c>
      <c r="M179" s="28" t="n">
        <v>2.1665403898083</v>
      </c>
      <c r="N179" s="28" t="n">
        <v>0.395142145636406</v>
      </c>
      <c r="O179" s="28" t="n">
        <f aca="false">SQRT(M179^2+N179^2)</f>
        <v>2.2022794046008</v>
      </c>
      <c r="P179" s="53" t="n">
        <f aca="false">IF(J179="","",MAX(0,J179-1.96*O179/100))</f>
        <v>0.552360280640564</v>
      </c>
      <c r="Q179" s="53" t="n">
        <f aca="false">IF(J179="","",MIN(1,J179+1.96*O179/100))</f>
        <v>0.638689633300916</v>
      </c>
      <c r="R179" s="25" t="str">
        <f aca="false">IF(L179="","",IF(ABS(L179)&lt;=O179,"Yes","No"))</f>
        <v>Yes</v>
      </c>
      <c r="S179" s="25" t="str">
        <f aca="false">IF(L179="","",IF(ABS(L179)&lt;=1.96*O179,"Yes","No"))</f>
        <v>Yes</v>
      </c>
      <c r="T179" s="52" t="n">
        <f aca="false">IF(D179="","",ROUND(SQRT(((D179+G179)*O179/100)^2+(J179*(D179+G179)*0.08889)^2),0))</f>
        <v>100</v>
      </c>
      <c r="U179" s="25"/>
    </row>
    <row r="180" customFormat="false" ht="15" hidden="false" customHeight="false" outlineLevel="0" collapsed="false">
      <c r="A180" s="25" t="s">
        <v>197</v>
      </c>
      <c r="B180" s="25" t="s">
        <v>332</v>
      </c>
      <c r="C180" s="25" t="s">
        <v>339</v>
      </c>
      <c r="D180" s="52" t="n">
        <v>498</v>
      </c>
      <c r="E180" s="52" t="n">
        <v>469</v>
      </c>
      <c r="F180" s="63" t="n">
        <f aca="false">IF(E180="","",D180-E180)</f>
        <v>29</v>
      </c>
      <c r="G180" s="52" t="n">
        <v>431</v>
      </c>
      <c r="H180" s="52" t="n">
        <v>468</v>
      </c>
      <c r="I180" s="63" t="n">
        <f aca="false">IF(H180="","",G180-H180)</f>
        <v>-37</v>
      </c>
      <c r="J180" s="53" t="n">
        <f aca="false">IF(OR(D180="",D180+G180=0),"",D180/(D180+G180))</f>
        <v>0.536060279870829</v>
      </c>
      <c r="K180" s="53" t="n">
        <f aca="false">IF(E180="","",E180/(E180+H180))</f>
        <v>0.500533617929562</v>
      </c>
      <c r="L180" s="64" t="n">
        <f aca="false">IF(OR(K180="",J180=""),"",(J180-K180)*100)</f>
        <v>3.55266619412664</v>
      </c>
      <c r="M180" s="28" t="n">
        <v>2.40127504711013</v>
      </c>
      <c r="N180" s="28" t="n">
        <v>0.395142145636406</v>
      </c>
      <c r="O180" s="28" t="n">
        <f aca="false">SQRT(M180^2+N180^2)</f>
        <v>2.43356922382165</v>
      </c>
      <c r="P180" s="53" t="n">
        <f aca="false">IF(J180="","",MAX(0,J180-1.96*O180/100))</f>
        <v>0.488362323083925</v>
      </c>
      <c r="Q180" s="53" t="n">
        <f aca="false">IF(J180="","",MIN(1,J180+1.96*O180/100))</f>
        <v>0.583758236657733</v>
      </c>
      <c r="R180" s="25" t="str">
        <f aca="false">IF(L180="","",IF(ABS(L180)&lt;=O180,"Yes","No"))</f>
        <v>No</v>
      </c>
      <c r="S180" s="25" t="str">
        <f aca="false">IF(L180="","",IF(ABS(L180)&lt;=1.96*O180,"Yes","No"))</f>
        <v>Yes</v>
      </c>
      <c r="T180" s="52" t="n">
        <f aca="false">IF(D180="","",ROUND(SQRT(((D180+G180)*O180/100)^2+(J180*(D180+G180)*0.10931)^2),0))</f>
        <v>59</v>
      </c>
      <c r="U180" s="25"/>
    </row>
    <row r="181" customFormat="false" ht="15" hidden="false" customHeight="false" outlineLevel="0" collapsed="false">
      <c r="A181" s="25" t="s">
        <v>197</v>
      </c>
      <c r="B181" s="25" t="s">
        <v>332</v>
      </c>
      <c r="C181" s="25" t="s">
        <v>340</v>
      </c>
      <c r="D181" s="52" t="n">
        <v>1309</v>
      </c>
      <c r="E181" s="52" t="n">
        <v>1317</v>
      </c>
      <c r="F181" s="63" t="n">
        <f aca="false">IF(E181="","",D181-E181)</f>
        <v>-8</v>
      </c>
      <c r="G181" s="52" t="n">
        <v>1313</v>
      </c>
      <c r="H181" s="52" t="n">
        <v>1291</v>
      </c>
      <c r="I181" s="63" t="n">
        <f aca="false">IF(H181="","",G181-H181)</f>
        <v>22</v>
      </c>
      <c r="J181" s="53" t="n">
        <f aca="false">IF(OR(D181="",D181+G181=0),"",D181/(D181+G181))</f>
        <v>0.499237223493516</v>
      </c>
      <c r="K181" s="53" t="n">
        <f aca="false">IF(E181="","",E181/(E181+H181))</f>
        <v>0.504984662576687</v>
      </c>
      <c r="L181" s="64" t="n">
        <f aca="false">IF(OR(K181="",J181=""),"",(J181-K181)*100)</f>
        <v>-0.574743908317077</v>
      </c>
      <c r="M181" s="28" t="n">
        <v>2.1665403898083</v>
      </c>
      <c r="N181" s="28" t="n">
        <v>0.395142145636406</v>
      </c>
      <c r="O181" s="28" t="n">
        <f aca="false">SQRT(M181^2+N181^2)</f>
        <v>2.2022794046008</v>
      </c>
      <c r="P181" s="53" t="n">
        <f aca="false">IF(J181="","",MAX(0,J181-1.96*O181/100))</f>
        <v>0.456072547163341</v>
      </c>
      <c r="Q181" s="53" t="n">
        <f aca="false">IF(J181="","",MIN(1,J181+1.96*O181/100))</f>
        <v>0.542401899823692</v>
      </c>
      <c r="R181" s="25" t="str">
        <f aca="false">IF(L181="","",IF(ABS(L181)&lt;=O181,"Yes","No"))</f>
        <v>Yes</v>
      </c>
      <c r="S181" s="25" t="str">
        <f aca="false">IF(L181="","",IF(ABS(L181)&lt;=1.96*O181,"Yes","No"))</f>
        <v>Yes</v>
      </c>
      <c r="T181" s="52" t="n">
        <f aca="false">IF(D181="","",ROUND(SQRT(((D181+G181)*O181/100)^2+(J181*(D181+G181)*0.08889)^2),0))</f>
        <v>130</v>
      </c>
      <c r="U181" s="25"/>
    </row>
    <row r="182" customFormat="false" ht="15" hidden="false" customHeight="false" outlineLevel="0" collapsed="false">
      <c r="A182" s="25" t="s">
        <v>197</v>
      </c>
      <c r="B182" s="25" t="s">
        <v>341</v>
      </c>
      <c r="C182" s="25" t="s">
        <v>342</v>
      </c>
      <c r="D182" s="52" t="n">
        <v>1023</v>
      </c>
      <c r="E182" s="52" t="n">
        <v>992</v>
      </c>
      <c r="F182" s="63" t="n">
        <f aca="false">IF(E182="","",D182-E182)</f>
        <v>31</v>
      </c>
      <c r="G182" s="52" t="n">
        <v>968</v>
      </c>
      <c r="H182" s="52" t="n">
        <v>983</v>
      </c>
      <c r="I182" s="63" t="n">
        <f aca="false">IF(H182="","",G182-H182)</f>
        <v>-15</v>
      </c>
      <c r="J182" s="53" t="n">
        <f aca="false">IF(OR(D182="",D182+G182=0),"",D182/(D182+G182))</f>
        <v>0.513812154696133</v>
      </c>
      <c r="K182" s="53" t="n">
        <f aca="false">IF(E182="","",E182/(E182+H182))</f>
        <v>0.502278481012658</v>
      </c>
      <c r="L182" s="64" t="n">
        <f aca="false">IF(OR(K182="",J182=""),"",(J182-K182)*100)</f>
        <v>1.15336736834744</v>
      </c>
      <c r="M182" s="28" t="n">
        <v>2.1665403898083</v>
      </c>
      <c r="N182" s="28" t="n">
        <v>0.395142145636406</v>
      </c>
      <c r="O182" s="28" t="n">
        <f aca="false">SQRT(M182^2+N182^2)</f>
        <v>2.2022794046008</v>
      </c>
      <c r="P182" s="53" t="n">
        <f aca="false">IF(J182="","",MAX(0,J182-1.96*O182/100))</f>
        <v>0.470647478365957</v>
      </c>
      <c r="Q182" s="53" t="n">
        <f aca="false">IF(J182="","",MIN(1,J182+1.96*O182/100))</f>
        <v>0.556976831026308</v>
      </c>
      <c r="R182" s="25" t="str">
        <f aca="false">IF(L182="","",IF(ABS(L182)&lt;=O182,"Yes","No"))</f>
        <v>Yes</v>
      </c>
      <c r="S182" s="25" t="str">
        <f aca="false">IF(L182="","",IF(ABS(L182)&lt;=1.96*O182,"Yes","No"))</f>
        <v>Yes</v>
      </c>
      <c r="T182" s="52" t="n">
        <f aca="false">IF(D182="","",ROUND(SQRT(((D182+G182)*O182/100)^2+(J182*(D182+G182)*0.08889)^2),0))</f>
        <v>101</v>
      </c>
      <c r="U182" s="25"/>
    </row>
    <row r="183" customFormat="false" ht="15" hidden="false" customHeight="false" outlineLevel="0" collapsed="false">
      <c r="A183" s="25" t="s">
        <v>197</v>
      </c>
      <c r="B183" s="25" t="s">
        <v>341</v>
      </c>
      <c r="C183" s="25" t="s">
        <v>343</v>
      </c>
      <c r="D183" s="52" t="n">
        <v>1283</v>
      </c>
      <c r="E183" s="52" t="n">
        <v>1311</v>
      </c>
      <c r="F183" s="63" t="n">
        <f aca="false">IF(E183="","",D183-E183)</f>
        <v>-28</v>
      </c>
      <c r="G183" s="52" t="n">
        <v>1280</v>
      </c>
      <c r="H183" s="52" t="n">
        <v>1258</v>
      </c>
      <c r="I183" s="63" t="n">
        <f aca="false">IF(H183="","",G183-H183)</f>
        <v>22</v>
      </c>
      <c r="J183" s="53" t="n">
        <f aca="false">IF(OR(D183="",D183+G183=0),"",D183/(D183+G183))</f>
        <v>0.500585251658213</v>
      </c>
      <c r="K183" s="53" t="n">
        <f aca="false">IF(E183="","",E183/(E183+H183))</f>
        <v>0.510315297781238</v>
      </c>
      <c r="L183" s="64" t="n">
        <f aca="false">IF(OR(K183="",J183=""),"",(J183-K183)*100)</f>
        <v>-0.973004612302486</v>
      </c>
      <c r="M183" s="28" t="n">
        <v>2.1665403898083</v>
      </c>
      <c r="N183" s="28" t="n">
        <v>0.395142145636406</v>
      </c>
      <c r="O183" s="28" t="n">
        <f aca="false">SQRT(M183^2+N183^2)</f>
        <v>2.2022794046008</v>
      </c>
      <c r="P183" s="53" t="n">
        <f aca="false">IF(J183="","",MAX(0,J183-1.96*O183/100))</f>
        <v>0.457420575328037</v>
      </c>
      <c r="Q183" s="53" t="n">
        <f aca="false">IF(J183="","",MIN(1,J183+1.96*O183/100))</f>
        <v>0.543749927988389</v>
      </c>
      <c r="R183" s="25" t="str">
        <f aca="false">IF(L183="","",IF(ABS(L183)&lt;=O183,"Yes","No"))</f>
        <v>Yes</v>
      </c>
      <c r="S183" s="25" t="str">
        <f aca="false">IF(L183="","",IF(ABS(L183)&lt;=1.96*O183,"Yes","No"))</f>
        <v>Yes</v>
      </c>
      <c r="T183" s="52" t="n">
        <f aca="false">IF(D183="","",ROUND(SQRT(((D183+G183)*O183/100)^2+(J183*(D183+G183)*0.08889)^2),0))</f>
        <v>127</v>
      </c>
      <c r="U183" s="25"/>
    </row>
    <row r="184" customFormat="false" ht="15" hidden="false" customHeight="false" outlineLevel="0" collapsed="false">
      <c r="A184" s="25" t="s">
        <v>197</v>
      </c>
      <c r="B184" s="25" t="s">
        <v>341</v>
      </c>
      <c r="C184" s="25" t="s">
        <v>344</v>
      </c>
      <c r="D184" s="52" t="n">
        <v>953</v>
      </c>
      <c r="E184" s="52" t="n">
        <v>914</v>
      </c>
      <c r="F184" s="63" t="n">
        <f aca="false">IF(E184="","",D184-E184)</f>
        <v>39</v>
      </c>
      <c r="G184" s="52" t="n">
        <v>1086</v>
      </c>
      <c r="H184" s="52" t="n">
        <v>1075</v>
      </c>
      <c r="I184" s="63" t="n">
        <f aca="false">IF(H184="","",G184-H184)</f>
        <v>11</v>
      </c>
      <c r="J184" s="53" t="n">
        <f aca="false">IF(OR(D184="",D184+G184=0),"",D184/(D184+G184))</f>
        <v>0.46738597351643</v>
      </c>
      <c r="K184" s="53" t="n">
        <f aca="false">IF(E184="","",E184/(E184+H184))</f>
        <v>0.459527400703871</v>
      </c>
      <c r="L184" s="64" t="n">
        <f aca="false">IF(OR(K184="",J184=""),"",(J184-K184)*100)</f>
        <v>0.785857281255836</v>
      </c>
      <c r="M184" s="28" t="n">
        <v>2.1665403898083</v>
      </c>
      <c r="N184" s="28" t="n">
        <v>0.395142145636406</v>
      </c>
      <c r="O184" s="28" t="n">
        <f aca="false">SQRT(M184^2+N184^2)</f>
        <v>2.2022794046008</v>
      </c>
      <c r="P184" s="53" t="n">
        <f aca="false">IF(J184="","",MAX(0,J184-1.96*O184/100))</f>
        <v>0.424221297186254</v>
      </c>
      <c r="Q184" s="53" t="n">
        <f aca="false">IF(J184="","",MIN(1,J184+1.96*O184/100))</f>
        <v>0.510550649846605</v>
      </c>
      <c r="R184" s="25" t="str">
        <f aca="false">IF(L184="","",IF(ABS(L184)&lt;=O184,"Yes","No"))</f>
        <v>Yes</v>
      </c>
      <c r="S184" s="25" t="str">
        <f aca="false">IF(L184="","",IF(ABS(L184)&lt;=1.96*O184,"Yes","No"))</f>
        <v>Yes</v>
      </c>
      <c r="T184" s="52" t="n">
        <f aca="false">IF(D184="","",ROUND(SQRT(((D184+G184)*O184/100)^2+(J184*(D184+G184)*0.08889)^2),0))</f>
        <v>96</v>
      </c>
      <c r="U184" s="25"/>
    </row>
    <row r="185" customFormat="false" ht="15" hidden="false" customHeight="false" outlineLevel="0" collapsed="false">
      <c r="A185" s="25" t="s">
        <v>197</v>
      </c>
      <c r="B185" s="25" t="s">
        <v>341</v>
      </c>
      <c r="C185" s="25" t="s">
        <v>345</v>
      </c>
      <c r="D185" s="52" t="n">
        <v>767</v>
      </c>
      <c r="E185" s="52" t="n">
        <v>735</v>
      </c>
      <c r="F185" s="63" t="n">
        <f aca="false">IF(E185="","",D185-E185)</f>
        <v>32</v>
      </c>
      <c r="G185" s="52" t="n">
        <v>635</v>
      </c>
      <c r="H185" s="52" t="n">
        <v>653</v>
      </c>
      <c r="I185" s="63" t="n">
        <f aca="false">IF(H185="","",G185-H185)</f>
        <v>-18</v>
      </c>
      <c r="J185" s="53" t="n">
        <f aca="false">IF(OR(D185="",D185+G185=0),"",D185/(D185+G185))</f>
        <v>0.547075606276748</v>
      </c>
      <c r="K185" s="53" t="n">
        <f aca="false">IF(E185="","",E185/(E185+H185))</f>
        <v>0.529538904899136</v>
      </c>
      <c r="L185" s="64" t="n">
        <f aca="false">IF(OR(K185="",J185=""),"",(J185-K185)*100)</f>
        <v>1.7536701377612</v>
      </c>
      <c r="M185" s="28" t="n">
        <v>2.1665403898083</v>
      </c>
      <c r="N185" s="28" t="n">
        <v>0.395142145636406</v>
      </c>
      <c r="O185" s="28" t="n">
        <f aca="false">SQRT(M185^2+N185^2)</f>
        <v>2.2022794046008</v>
      </c>
      <c r="P185" s="53" t="n">
        <f aca="false">IF(J185="","",MAX(0,J185-1.96*O185/100))</f>
        <v>0.503910929946572</v>
      </c>
      <c r="Q185" s="53" t="n">
        <f aca="false">IF(J185="","",MIN(1,J185+1.96*O185/100))</f>
        <v>0.590240282606923</v>
      </c>
      <c r="R185" s="25" t="str">
        <f aca="false">IF(L185="","",IF(ABS(L185)&lt;=O185,"Yes","No"))</f>
        <v>Yes</v>
      </c>
      <c r="S185" s="25" t="str">
        <f aca="false">IF(L185="","",IF(ABS(L185)&lt;=1.96*O185,"Yes","No"))</f>
        <v>Yes</v>
      </c>
      <c r="T185" s="52" t="n">
        <f aca="false">IF(D185="","",ROUND(SQRT(((D185+G185)*O185/100)^2+(J185*(D185+G185)*0.08889)^2),0))</f>
        <v>75</v>
      </c>
      <c r="U185" s="25"/>
    </row>
    <row r="186" customFormat="false" ht="15" hidden="false" customHeight="false" outlineLevel="0" collapsed="false">
      <c r="A186" s="25" t="s">
        <v>197</v>
      </c>
      <c r="B186" s="25" t="s">
        <v>341</v>
      </c>
      <c r="C186" s="25" t="s">
        <v>346</v>
      </c>
      <c r="D186" s="52" t="n">
        <v>2019</v>
      </c>
      <c r="E186" s="52" t="n">
        <v>1929</v>
      </c>
      <c r="F186" s="63" t="n">
        <f aca="false">IF(E186="","",D186-E186)</f>
        <v>90</v>
      </c>
      <c r="G186" s="52" t="n">
        <v>1737</v>
      </c>
      <c r="H186" s="52" t="n">
        <v>1679</v>
      </c>
      <c r="I186" s="63" t="n">
        <f aca="false">IF(H186="","",G186-H186)</f>
        <v>58</v>
      </c>
      <c r="J186" s="53" t="n">
        <f aca="false">IF(OR(D186="",D186+G186=0),"",D186/(D186+G186))</f>
        <v>0.537539936102236</v>
      </c>
      <c r="K186" s="53" t="n">
        <f aca="false">IF(E186="","",E186/(E186+H186))</f>
        <v>0.534645232815965</v>
      </c>
      <c r="L186" s="64" t="n">
        <f aca="false">IF(OR(K186="",J186=""),"",(J186-K186)*100)</f>
        <v>0.289470328627184</v>
      </c>
      <c r="M186" s="28" t="n">
        <v>2.1665403898083</v>
      </c>
      <c r="N186" s="28" t="n">
        <v>0.395142145636406</v>
      </c>
      <c r="O186" s="28" t="n">
        <f aca="false">SQRT(M186^2+N186^2)</f>
        <v>2.2022794046008</v>
      </c>
      <c r="P186" s="53" t="n">
        <f aca="false">IF(J186="","",MAX(0,J186-1.96*O186/100))</f>
        <v>0.494375259772061</v>
      </c>
      <c r="Q186" s="53" t="n">
        <f aca="false">IF(J186="","",MIN(1,J186+1.96*O186/100))</f>
        <v>0.580704612432412</v>
      </c>
      <c r="R186" s="25" t="str">
        <f aca="false">IF(L186="","",IF(ABS(L186)&lt;=O186,"Yes","No"))</f>
        <v>Yes</v>
      </c>
      <c r="S186" s="25" t="str">
        <f aca="false">IF(L186="","",IF(ABS(L186)&lt;=1.96*O186,"Yes","No"))</f>
        <v>Yes</v>
      </c>
      <c r="T186" s="52" t="n">
        <f aca="false">IF(D186="","",ROUND(SQRT(((D186+G186)*O186/100)^2+(J186*(D186+G186)*0.08889)^2),0))</f>
        <v>198</v>
      </c>
      <c r="U186" s="25"/>
    </row>
    <row r="187" customFormat="false" ht="15" hidden="false" customHeight="false" outlineLevel="0" collapsed="false">
      <c r="A187" s="25" t="s">
        <v>197</v>
      </c>
      <c r="B187" s="25" t="s">
        <v>341</v>
      </c>
      <c r="C187" s="25" t="s">
        <v>347</v>
      </c>
      <c r="D187" s="52" t="n">
        <v>729</v>
      </c>
      <c r="E187" s="52" t="n">
        <v>696</v>
      </c>
      <c r="F187" s="63" t="n">
        <f aca="false">IF(E187="","",D187-E187)</f>
        <v>33</v>
      </c>
      <c r="G187" s="52" t="n">
        <v>672</v>
      </c>
      <c r="H187" s="52" t="n">
        <v>666</v>
      </c>
      <c r="I187" s="63" t="n">
        <f aca="false">IF(H187="","",G187-H187)</f>
        <v>6</v>
      </c>
      <c r="J187" s="53" t="n">
        <f aca="false">IF(OR(D187="",D187+G187=0),"",D187/(D187+G187))</f>
        <v>0.5203426124197</v>
      </c>
      <c r="K187" s="53" t="n">
        <f aca="false">IF(E187="","",E187/(E187+H187))</f>
        <v>0.511013215859031</v>
      </c>
      <c r="L187" s="64" t="n">
        <f aca="false">IF(OR(K187="",J187=""),"",(J187-K187)*100)</f>
        <v>0.932939656066945</v>
      </c>
      <c r="M187" s="28" t="n">
        <v>2.1665403898083</v>
      </c>
      <c r="N187" s="28" t="n">
        <v>0.395142145636406</v>
      </c>
      <c r="O187" s="28" t="n">
        <f aca="false">SQRT(M187^2+N187^2)</f>
        <v>2.2022794046008</v>
      </c>
      <c r="P187" s="53" t="n">
        <f aca="false">IF(J187="","",MAX(0,J187-1.96*O187/100))</f>
        <v>0.477177936089525</v>
      </c>
      <c r="Q187" s="53" t="n">
        <f aca="false">IF(J187="","",MIN(1,J187+1.96*O187/100))</f>
        <v>0.563507288749876</v>
      </c>
      <c r="R187" s="25" t="str">
        <f aca="false">IF(L187="","",IF(ABS(L187)&lt;=O187,"Yes","No"))</f>
        <v>Yes</v>
      </c>
      <c r="S187" s="25" t="str">
        <f aca="false">IF(L187="","",IF(ABS(L187)&lt;=1.96*O187,"Yes","No"))</f>
        <v>Yes</v>
      </c>
      <c r="T187" s="52" t="n">
        <f aca="false">IF(D187="","",ROUND(SQRT(((D187+G187)*O187/100)^2+(J187*(D187+G187)*0.08889)^2),0))</f>
        <v>72</v>
      </c>
      <c r="U187" s="25"/>
    </row>
    <row r="188" customFormat="false" ht="15" hidden="false" customHeight="false" outlineLevel="0" collapsed="false">
      <c r="A188" s="25" t="s">
        <v>197</v>
      </c>
      <c r="B188" s="25" t="s">
        <v>341</v>
      </c>
      <c r="C188" s="25" t="s">
        <v>348</v>
      </c>
      <c r="D188" s="52" t="n">
        <v>741</v>
      </c>
      <c r="E188" s="52" t="n">
        <v>715</v>
      </c>
      <c r="F188" s="63" t="n">
        <f aca="false">IF(E188="","",D188-E188)</f>
        <v>26</v>
      </c>
      <c r="G188" s="52" t="n">
        <v>631</v>
      </c>
      <c r="H188" s="52" t="n">
        <v>601</v>
      </c>
      <c r="I188" s="63" t="n">
        <f aca="false">IF(H188="","",G188-H188)</f>
        <v>30</v>
      </c>
      <c r="J188" s="53" t="n">
        <f aca="false">IF(OR(D188="",D188+G188=0),"",D188/(D188+G188))</f>
        <v>0.540087463556851</v>
      </c>
      <c r="K188" s="53" t="n">
        <f aca="false">IF(E188="","",E188/(E188+H188))</f>
        <v>0.543313069908815</v>
      </c>
      <c r="L188" s="64" t="n">
        <f aca="false">IF(OR(K188="",J188=""),"",(J188-K188)*100)</f>
        <v>-0.322560635196323</v>
      </c>
      <c r="M188" s="28" t="n">
        <v>2.1665403898083</v>
      </c>
      <c r="N188" s="28" t="n">
        <v>0.395142145636406</v>
      </c>
      <c r="O188" s="28" t="n">
        <f aca="false">SQRT(M188^2+N188^2)</f>
        <v>2.2022794046008</v>
      </c>
      <c r="P188" s="53" t="n">
        <f aca="false">IF(J188="","",MAX(0,J188-1.96*O188/100))</f>
        <v>0.496922787226676</v>
      </c>
      <c r="Q188" s="53" t="n">
        <f aca="false">IF(J188="","",MIN(1,J188+1.96*O188/100))</f>
        <v>0.583252139887027</v>
      </c>
      <c r="R188" s="25" t="str">
        <f aca="false">IF(L188="","",IF(ABS(L188)&lt;=O188,"Yes","No"))</f>
        <v>Yes</v>
      </c>
      <c r="S188" s="25" t="str">
        <f aca="false">IF(L188="","",IF(ABS(L188)&lt;=1.96*O188,"Yes","No"))</f>
        <v>Yes</v>
      </c>
      <c r="T188" s="52" t="n">
        <f aca="false">IF(D188="","",ROUND(SQRT(((D188+G188)*O188/100)^2+(J188*(D188+G188)*0.08889)^2),0))</f>
        <v>72</v>
      </c>
      <c r="U188" s="25"/>
    </row>
    <row r="189" customFormat="false" ht="15" hidden="false" customHeight="false" outlineLevel="0" collapsed="false">
      <c r="A189" s="25" t="s">
        <v>197</v>
      </c>
      <c r="B189" s="25" t="s">
        <v>341</v>
      </c>
      <c r="C189" s="25" t="s">
        <v>349</v>
      </c>
      <c r="D189" s="52" t="n">
        <v>749</v>
      </c>
      <c r="E189" s="52" t="n">
        <v>728</v>
      </c>
      <c r="F189" s="63" t="n">
        <f aca="false">IF(E189="","",D189-E189)</f>
        <v>21</v>
      </c>
      <c r="G189" s="52" t="n">
        <v>737</v>
      </c>
      <c r="H189" s="52" t="n">
        <v>692</v>
      </c>
      <c r="I189" s="63" t="n">
        <f aca="false">IF(H189="","",G189-H189)</f>
        <v>45</v>
      </c>
      <c r="J189" s="53" t="n">
        <f aca="false">IF(OR(D189="",D189+G189=0),"",D189/(D189+G189))</f>
        <v>0.504037685060565</v>
      </c>
      <c r="K189" s="53" t="n">
        <f aca="false">IF(E189="","",E189/(E189+H189))</f>
        <v>0.512676056338028</v>
      </c>
      <c r="L189" s="64" t="n">
        <f aca="false">IF(OR(K189="",J189=""),"",(J189-K189)*100)</f>
        <v>-0.863837127746292</v>
      </c>
      <c r="M189" s="28" t="n">
        <v>2.1665403898083</v>
      </c>
      <c r="N189" s="28" t="n">
        <v>0.395142145636406</v>
      </c>
      <c r="O189" s="28" t="n">
        <f aca="false">SQRT(M189^2+N189^2)</f>
        <v>2.2022794046008</v>
      </c>
      <c r="P189" s="53" t="n">
        <f aca="false">IF(J189="","",MAX(0,J189-1.96*O189/100))</f>
        <v>0.46087300873039</v>
      </c>
      <c r="Q189" s="53" t="n">
        <f aca="false">IF(J189="","",MIN(1,J189+1.96*O189/100))</f>
        <v>0.547202361390741</v>
      </c>
      <c r="R189" s="25" t="str">
        <f aca="false">IF(L189="","",IF(ABS(L189)&lt;=O189,"Yes","No"))</f>
        <v>Yes</v>
      </c>
      <c r="S189" s="25" t="str">
        <f aca="false">IF(L189="","",IF(ABS(L189)&lt;=1.96*O189,"Yes","No"))</f>
        <v>Yes</v>
      </c>
      <c r="T189" s="52" t="n">
        <f aca="false">IF(D189="","",ROUND(SQRT(((D189+G189)*O189/100)^2+(J189*(D189+G189)*0.08889)^2),0))</f>
        <v>74</v>
      </c>
      <c r="U189" s="25"/>
    </row>
    <row r="190" customFormat="false" ht="15" hidden="false" customHeight="false" outlineLevel="0" collapsed="false">
      <c r="A190" s="25" t="s">
        <v>197</v>
      </c>
      <c r="B190" s="25" t="s">
        <v>350</v>
      </c>
      <c r="C190" s="25" t="s">
        <v>351</v>
      </c>
      <c r="D190" s="52" t="n">
        <v>1445</v>
      </c>
      <c r="E190" s="52" t="n">
        <v>1473</v>
      </c>
      <c r="F190" s="63" t="n">
        <f aca="false">IF(E190="","",D190-E190)</f>
        <v>-28</v>
      </c>
      <c r="G190" s="52" t="n">
        <v>1714</v>
      </c>
      <c r="H190" s="52" t="n">
        <v>1690</v>
      </c>
      <c r="I190" s="63" t="n">
        <f aca="false">IF(H190="","",G190-H190)</f>
        <v>24</v>
      </c>
      <c r="J190" s="53" t="n">
        <f aca="false">IF(OR(D190="",D190+G190=0),"",D190/(D190+G190))</f>
        <v>0.457423235201013</v>
      </c>
      <c r="K190" s="53" t="n">
        <f aca="false">IF(E190="","",E190/(E190+H190))</f>
        <v>0.465697122984508</v>
      </c>
      <c r="L190" s="64" t="n">
        <f aca="false">IF(OR(K190="",J190=""),"",(J190-K190)*100)</f>
        <v>-0.827388778349542</v>
      </c>
      <c r="M190" s="28" t="n">
        <v>2.1665403898083</v>
      </c>
      <c r="N190" s="28" t="n">
        <v>0.395142145636406</v>
      </c>
      <c r="O190" s="28" t="n">
        <f aca="false">SQRT(M190^2+N190^2)</f>
        <v>2.2022794046008</v>
      </c>
      <c r="P190" s="53" t="n">
        <f aca="false">IF(J190="","",MAX(0,J190-1.96*O190/100))</f>
        <v>0.414258558870837</v>
      </c>
      <c r="Q190" s="53" t="n">
        <f aca="false">IF(J190="","",MIN(1,J190+1.96*O190/100))</f>
        <v>0.500587911531189</v>
      </c>
      <c r="R190" s="25" t="str">
        <f aca="false">IF(L190="","",IF(ABS(L190)&lt;=O190,"Yes","No"))</f>
        <v>Yes</v>
      </c>
      <c r="S190" s="25" t="str">
        <f aca="false">IF(L190="","",IF(ABS(L190)&lt;=1.96*O190,"Yes","No"))</f>
        <v>Yes</v>
      </c>
      <c r="T190" s="52" t="n">
        <f aca="false">IF(D190="","",ROUND(SQRT(((D190+G190)*O190/100)^2+(J190*(D190+G190)*0.08889)^2),0))</f>
        <v>146</v>
      </c>
      <c r="U190" s="25"/>
    </row>
    <row r="191" customFormat="false" ht="15" hidden="false" customHeight="false" outlineLevel="0" collapsed="false">
      <c r="A191" s="25" t="s">
        <v>197</v>
      </c>
      <c r="B191" s="25" t="s">
        <v>350</v>
      </c>
      <c r="C191" s="25" t="s">
        <v>352</v>
      </c>
      <c r="D191" s="52" t="n">
        <v>878</v>
      </c>
      <c r="E191" s="52" t="n">
        <v>907</v>
      </c>
      <c r="F191" s="63" t="n">
        <f aca="false">IF(E191="","",D191-E191)</f>
        <v>-29</v>
      </c>
      <c r="G191" s="52" t="n">
        <v>1430</v>
      </c>
      <c r="H191" s="52" t="n">
        <v>1445</v>
      </c>
      <c r="I191" s="63" t="n">
        <f aca="false">IF(H191="","",G191-H191)</f>
        <v>-15</v>
      </c>
      <c r="J191" s="53" t="n">
        <f aca="false">IF(OR(D191="",D191+G191=0),"",D191/(D191+G191))</f>
        <v>0.380415944540728</v>
      </c>
      <c r="K191" s="53" t="n">
        <f aca="false">IF(E191="","",E191/(E191+H191))</f>
        <v>0.38562925170068</v>
      </c>
      <c r="L191" s="64" t="n">
        <f aca="false">IF(OR(K191="",J191=""),"",(J191-K191)*100)</f>
        <v>-0.521330715995239</v>
      </c>
      <c r="M191" s="28" t="n">
        <v>2.1665403898083</v>
      </c>
      <c r="N191" s="28" t="n">
        <v>0.395142145636406</v>
      </c>
      <c r="O191" s="28" t="n">
        <f aca="false">SQRT(M191^2+N191^2)</f>
        <v>2.2022794046008</v>
      </c>
      <c r="P191" s="53" t="n">
        <f aca="false">IF(J191="","",MAX(0,J191-1.96*O191/100))</f>
        <v>0.337251268210552</v>
      </c>
      <c r="Q191" s="53" t="n">
        <f aca="false">IF(J191="","",MIN(1,J191+1.96*O191/100))</f>
        <v>0.423580620870904</v>
      </c>
      <c r="R191" s="25" t="str">
        <f aca="false">IF(L191="","",IF(ABS(L191)&lt;=O191,"Yes","No"))</f>
        <v>Yes</v>
      </c>
      <c r="S191" s="25" t="str">
        <f aca="false">IF(L191="","",IF(ABS(L191)&lt;=1.96*O191,"Yes","No"))</f>
        <v>Yes</v>
      </c>
      <c r="T191" s="52" t="n">
        <f aca="false">IF(D191="","",ROUND(SQRT(((D191+G191)*O191/100)^2+(J191*(D191+G191)*0.08889)^2),0))</f>
        <v>93</v>
      </c>
      <c r="U191" s="25"/>
    </row>
    <row r="192" customFormat="false" ht="15" hidden="false" customHeight="false" outlineLevel="0" collapsed="false">
      <c r="A192" s="25" t="s">
        <v>197</v>
      </c>
      <c r="B192" s="25" t="s">
        <v>353</v>
      </c>
      <c r="C192" s="25" t="s">
        <v>354</v>
      </c>
      <c r="D192" s="52" t="n">
        <v>1011</v>
      </c>
      <c r="E192" s="52" t="n">
        <v>1017</v>
      </c>
      <c r="F192" s="63" t="n">
        <f aca="false">IF(E192="","",D192-E192)</f>
        <v>-6</v>
      </c>
      <c r="G192" s="52" t="n">
        <v>1064</v>
      </c>
      <c r="H192" s="52" t="n">
        <v>1074</v>
      </c>
      <c r="I192" s="63" t="n">
        <f aca="false">IF(H192="","",G192-H192)</f>
        <v>-10</v>
      </c>
      <c r="J192" s="53" t="n">
        <f aca="false">IF(OR(D192="",D192+G192=0),"",D192/(D192+G192))</f>
        <v>0.487228915662651</v>
      </c>
      <c r="K192" s="53" t="n">
        <f aca="false">IF(E192="","",E192/(E192+H192))</f>
        <v>0.486370157819225</v>
      </c>
      <c r="L192" s="64" t="n">
        <f aca="false">IF(OR(K192="",J192=""),"",(J192-K192)*100)</f>
        <v>0.0858757843425317</v>
      </c>
      <c r="M192" s="28" t="n">
        <v>2.1665403898083</v>
      </c>
      <c r="N192" s="28" t="n">
        <v>0.395142145636406</v>
      </c>
      <c r="O192" s="28" t="n">
        <f aca="false">SQRT(M192^2+N192^2)</f>
        <v>2.2022794046008</v>
      </c>
      <c r="P192" s="53" t="n">
        <f aca="false">IF(J192="","",MAX(0,J192-1.96*O192/100))</f>
        <v>0.444064239332475</v>
      </c>
      <c r="Q192" s="53" t="n">
        <f aca="false">IF(J192="","",MIN(1,J192+1.96*O192/100))</f>
        <v>0.530393591992826</v>
      </c>
      <c r="R192" s="25" t="str">
        <f aca="false">IF(L192="","",IF(ABS(L192)&lt;=O192,"Yes","No"))</f>
        <v>Yes</v>
      </c>
      <c r="S192" s="25" t="str">
        <f aca="false">IF(L192="","",IF(ABS(L192)&lt;=1.96*O192,"Yes","No"))</f>
        <v>Yes</v>
      </c>
      <c r="T192" s="52" t="n">
        <f aca="false">IF(D192="","",ROUND(SQRT(((D192+G192)*O192/100)^2+(J192*(D192+G192)*0.08889)^2),0))</f>
        <v>101</v>
      </c>
      <c r="U192" s="25"/>
    </row>
    <row r="193" customFormat="false" ht="15" hidden="false" customHeight="false" outlineLevel="0" collapsed="false">
      <c r="A193" s="25" t="s">
        <v>197</v>
      </c>
      <c r="B193" s="25" t="s">
        <v>353</v>
      </c>
      <c r="C193" s="25" t="s">
        <v>355</v>
      </c>
      <c r="D193" s="52" t="n">
        <v>737</v>
      </c>
      <c r="E193" s="52" t="n">
        <v>753</v>
      </c>
      <c r="F193" s="63" t="n">
        <f aca="false">IF(E193="","",D193-E193)</f>
        <v>-16</v>
      </c>
      <c r="G193" s="52" t="n">
        <v>846</v>
      </c>
      <c r="H193" s="52" t="n">
        <v>851</v>
      </c>
      <c r="I193" s="63" t="n">
        <f aca="false">IF(H193="","",G193-H193)</f>
        <v>-5</v>
      </c>
      <c r="J193" s="53" t="n">
        <f aca="false">IF(OR(D193="",D193+G193=0),"",D193/(D193+G193))</f>
        <v>0.465571699305117</v>
      </c>
      <c r="K193" s="53" t="n">
        <f aca="false">IF(E193="","",E193/(E193+H193))</f>
        <v>0.469451371571072</v>
      </c>
      <c r="L193" s="64" t="n">
        <f aca="false">IF(OR(K193="",J193=""),"",(J193-K193)*100)</f>
        <v>-0.387967226595543</v>
      </c>
      <c r="M193" s="28" t="n">
        <v>2.1665403898083</v>
      </c>
      <c r="N193" s="28" t="n">
        <v>0.395142145636406</v>
      </c>
      <c r="O193" s="28" t="n">
        <f aca="false">SQRT(M193^2+N193^2)</f>
        <v>2.2022794046008</v>
      </c>
      <c r="P193" s="53" t="n">
        <f aca="false">IF(J193="","",MAX(0,J193-1.96*O193/100))</f>
        <v>0.422407022974941</v>
      </c>
      <c r="Q193" s="53" t="n">
        <f aca="false">IF(J193="","",MIN(1,J193+1.96*O193/100))</f>
        <v>0.508736375635293</v>
      </c>
      <c r="R193" s="25" t="str">
        <f aca="false">IF(L193="","",IF(ABS(L193)&lt;=O193,"Yes","No"))</f>
        <v>Yes</v>
      </c>
      <c r="S193" s="25" t="str">
        <f aca="false">IF(L193="","",IF(ABS(L193)&lt;=1.96*O193,"Yes","No"))</f>
        <v>Yes</v>
      </c>
      <c r="T193" s="52" t="n">
        <f aca="false">IF(D193="","",ROUND(SQRT(((D193+G193)*O193/100)^2+(J193*(D193+G193)*0.08889)^2),0))</f>
        <v>74</v>
      </c>
      <c r="U193" s="25"/>
    </row>
    <row r="194" customFormat="false" ht="15" hidden="false" customHeight="false" outlineLevel="0" collapsed="false">
      <c r="A194" s="25" t="s">
        <v>197</v>
      </c>
      <c r="B194" s="25" t="s">
        <v>353</v>
      </c>
      <c r="C194" s="25" t="s">
        <v>356</v>
      </c>
      <c r="D194" s="52" t="n">
        <v>688</v>
      </c>
      <c r="E194" s="52" t="n">
        <v>713</v>
      </c>
      <c r="F194" s="63" t="n">
        <f aca="false">IF(E194="","",D194-E194)</f>
        <v>-25</v>
      </c>
      <c r="G194" s="52" t="n">
        <v>765</v>
      </c>
      <c r="H194" s="52" t="n">
        <v>780</v>
      </c>
      <c r="I194" s="63" t="n">
        <f aca="false">IF(H194="","",G194-H194)</f>
        <v>-15</v>
      </c>
      <c r="J194" s="53" t="n">
        <f aca="false">IF(OR(D194="",D194+G194=0),"",D194/(D194+G194))</f>
        <v>0.473503097040606</v>
      </c>
      <c r="K194" s="53" t="n">
        <f aca="false">IF(E194="","",E194/(E194+H194))</f>
        <v>0.477561955793704</v>
      </c>
      <c r="L194" s="64" t="n">
        <f aca="false">IF(OR(K194="",J194=""),"",(J194-K194)*100)</f>
        <v>-0.40588587530983</v>
      </c>
      <c r="M194" s="28" t="n">
        <v>2.1665403898083</v>
      </c>
      <c r="N194" s="28" t="n">
        <v>0.395142145636406</v>
      </c>
      <c r="O194" s="28" t="n">
        <f aca="false">SQRT(M194^2+N194^2)</f>
        <v>2.2022794046008</v>
      </c>
      <c r="P194" s="53" t="n">
        <f aca="false">IF(J194="","",MAX(0,J194-1.96*O194/100))</f>
        <v>0.43033842071043</v>
      </c>
      <c r="Q194" s="53" t="n">
        <f aca="false">IF(J194="","",MIN(1,J194+1.96*O194/100))</f>
        <v>0.516667773370781</v>
      </c>
      <c r="R194" s="25" t="str">
        <f aca="false">IF(L194="","",IF(ABS(L194)&lt;=O194,"Yes","No"))</f>
        <v>Yes</v>
      </c>
      <c r="S194" s="25" t="str">
        <f aca="false">IF(L194="","",IF(ABS(L194)&lt;=1.96*O194,"Yes","No"))</f>
        <v>Yes</v>
      </c>
      <c r="T194" s="52" t="n">
        <f aca="false">IF(D194="","",ROUND(SQRT(((D194+G194)*O194/100)^2+(J194*(D194+G194)*0.08889)^2),0))</f>
        <v>69</v>
      </c>
      <c r="U194" s="25"/>
    </row>
    <row r="195" customFormat="false" ht="15" hidden="false" customHeight="false" outlineLevel="0" collapsed="false">
      <c r="A195" s="25" t="s">
        <v>197</v>
      </c>
      <c r="B195" s="25" t="s">
        <v>353</v>
      </c>
      <c r="C195" s="25" t="s">
        <v>357</v>
      </c>
      <c r="D195" s="52" t="n">
        <v>1630</v>
      </c>
      <c r="E195" s="52" t="n">
        <v>1648</v>
      </c>
      <c r="F195" s="63" t="n">
        <f aca="false">IF(E195="","",D195-E195)</f>
        <v>-18</v>
      </c>
      <c r="G195" s="52" t="n">
        <v>1841</v>
      </c>
      <c r="H195" s="52" t="n">
        <v>1789</v>
      </c>
      <c r="I195" s="63" t="n">
        <f aca="false">IF(H195="","",G195-H195)</f>
        <v>52</v>
      </c>
      <c r="J195" s="53" t="n">
        <f aca="false">IF(OR(D195="",D195+G195=0),"",D195/(D195+G195))</f>
        <v>0.469605301065975</v>
      </c>
      <c r="K195" s="53" t="n">
        <f aca="false">IF(E195="","",E195/(E195+H195))</f>
        <v>0.479487925516439</v>
      </c>
      <c r="L195" s="64" t="n">
        <f aca="false">IF(OR(K195="",J195=""),"",(J195-K195)*100)</f>
        <v>-0.988262445046356</v>
      </c>
      <c r="M195" s="28" t="n">
        <v>2.1665403898083</v>
      </c>
      <c r="N195" s="28" t="n">
        <v>0.395142145636406</v>
      </c>
      <c r="O195" s="28" t="n">
        <f aca="false">SQRT(M195^2+N195^2)</f>
        <v>2.2022794046008</v>
      </c>
      <c r="P195" s="53" t="n">
        <f aca="false">IF(J195="","",MAX(0,J195-1.96*O195/100))</f>
        <v>0.4264406247358</v>
      </c>
      <c r="Q195" s="53" t="n">
        <f aca="false">IF(J195="","",MIN(1,J195+1.96*O195/100))</f>
        <v>0.512769977396151</v>
      </c>
      <c r="R195" s="25" t="str">
        <f aca="false">IF(L195="","",IF(ABS(L195)&lt;=O195,"Yes","No"))</f>
        <v>Yes</v>
      </c>
      <c r="S195" s="25" t="str">
        <f aca="false">IF(L195="","",IF(ABS(L195)&lt;=1.96*O195,"Yes","No"))</f>
        <v>Yes</v>
      </c>
      <c r="T195" s="52" t="n">
        <f aca="false">IF(D195="","",ROUND(SQRT(((D195+G195)*O195/100)^2+(J195*(D195+G195)*0.08889)^2),0))</f>
        <v>164</v>
      </c>
      <c r="U195" s="25"/>
    </row>
    <row r="196" customFormat="false" ht="15" hidden="false" customHeight="false" outlineLevel="0" collapsed="false">
      <c r="A196" s="25" t="s">
        <v>197</v>
      </c>
      <c r="B196" s="25" t="s">
        <v>353</v>
      </c>
      <c r="C196" s="25" t="s">
        <v>358</v>
      </c>
      <c r="D196" s="52" t="n">
        <v>689</v>
      </c>
      <c r="E196" s="52" t="n">
        <v>683</v>
      </c>
      <c r="F196" s="63" t="n">
        <f aca="false">IF(E196="","",D196-E196)</f>
        <v>6</v>
      </c>
      <c r="G196" s="52" t="n">
        <v>704</v>
      </c>
      <c r="H196" s="52" t="n">
        <v>663</v>
      </c>
      <c r="I196" s="63" t="n">
        <f aca="false">IF(H196="","",G196-H196)</f>
        <v>41</v>
      </c>
      <c r="J196" s="53" t="n">
        <f aca="false">IF(OR(D196="",D196+G196=0),"",D196/(D196+G196))</f>
        <v>0.494615936826992</v>
      </c>
      <c r="K196" s="53" t="n">
        <f aca="false">IF(E196="","",E196/(E196+H196))</f>
        <v>0.507429420505201</v>
      </c>
      <c r="L196" s="64" t="n">
        <f aca="false">IF(OR(K196="",J196=""),"",(J196-K196)*100)</f>
        <v>-1.28134836782084</v>
      </c>
      <c r="M196" s="28" t="n">
        <v>2.1665403898083</v>
      </c>
      <c r="N196" s="28" t="n">
        <v>0.395142145636406</v>
      </c>
      <c r="O196" s="28" t="n">
        <f aca="false">SQRT(M196^2+N196^2)</f>
        <v>2.2022794046008</v>
      </c>
      <c r="P196" s="53" t="n">
        <f aca="false">IF(J196="","",MAX(0,J196-1.96*O196/100))</f>
        <v>0.451451260496816</v>
      </c>
      <c r="Q196" s="53" t="n">
        <f aca="false">IF(J196="","",MIN(1,J196+1.96*O196/100))</f>
        <v>0.537780613157168</v>
      </c>
      <c r="R196" s="25" t="str">
        <f aca="false">IF(L196="","",IF(ABS(L196)&lt;=O196,"Yes","No"))</f>
        <v>Yes</v>
      </c>
      <c r="S196" s="25" t="str">
        <f aca="false">IF(L196="","",IF(ABS(L196)&lt;=1.96*O196,"Yes","No"))</f>
        <v>Yes</v>
      </c>
      <c r="T196" s="52" t="n">
        <f aca="false">IF(D196="","",ROUND(SQRT(((D196+G196)*O196/100)^2+(J196*(D196+G196)*0.08889)^2),0))</f>
        <v>68</v>
      </c>
      <c r="U196" s="25"/>
    </row>
    <row r="197" customFormat="false" ht="15" hidden="false" customHeight="false" outlineLevel="0" collapsed="false">
      <c r="A197" s="25" t="s">
        <v>197</v>
      </c>
      <c r="B197" s="25" t="s">
        <v>353</v>
      </c>
      <c r="C197" s="25" t="s">
        <v>359</v>
      </c>
      <c r="D197" s="52" t="n">
        <v>648</v>
      </c>
      <c r="E197" s="52" t="n">
        <v>648</v>
      </c>
      <c r="F197" s="63" t="n">
        <f aca="false">IF(E197="","",D197-E197)</f>
        <v>0</v>
      </c>
      <c r="G197" s="52" t="n">
        <v>607</v>
      </c>
      <c r="H197" s="52" t="n">
        <v>583</v>
      </c>
      <c r="I197" s="63" t="n">
        <f aca="false">IF(H197="","",G197-H197)</f>
        <v>24</v>
      </c>
      <c r="J197" s="53" t="n">
        <f aca="false">IF(OR(D197="",D197+G197=0),"",D197/(D197+G197))</f>
        <v>0.516334661354582</v>
      </c>
      <c r="K197" s="53" t="n">
        <f aca="false">IF(E197="","",E197/(E197+H197))</f>
        <v>0.526401299756296</v>
      </c>
      <c r="L197" s="64" t="n">
        <f aca="false">IF(OR(K197="",J197=""),"",(J197-K197)*100)</f>
        <v>-1.0066638401714</v>
      </c>
      <c r="M197" s="28" t="n">
        <v>2.1665403898083</v>
      </c>
      <c r="N197" s="28" t="n">
        <v>0.395142145636406</v>
      </c>
      <c r="O197" s="28" t="n">
        <f aca="false">SQRT(M197^2+N197^2)</f>
        <v>2.2022794046008</v>
      </c>
      <c r="P197" s="53" t="n">
        <f aca="false">IF(J197="","",MAX(0,J197-1.96*O197/100))</f>
        <v>0.473169985024406</v>
      </c>
      <c r="Q197" s="53" t="n">
        <f aca="false">IF(J197="","",MIN(1,J197+1.96*O197/100))</f>
        <v>0.559499337684758</v>
      </c>
      <c r="R197" s="25" t="str">
        <f aca="false">IF(L197="","",IF(ABS(L197)&lt;=O197,"Yes","No"))</f>
        <v>Yes</v>
      </c>
      <c r="S197" s="25" t="str">
        <f aca="false">IF(L197="","",IF(ABS(L197)&lt;=1.96*O197,"Yes","No"))</f>
        <v>Yes</v>
      </c>
      <c r="T197" s="52" t="n">
        <f aca="false">IF(D197="","",ROUND(SQRT(((D197+G197)*O197/100)^2+(J197*(D197+G197)*0.08889)^2),0))</f>
        <v>64</v>
      </c>
      <c r="U197" s="25"/>
    </row>
    <row r="198" customFormat="false" ht="15" hidden="false" customHeight="false" outlineLevel="0" collapsed="false">
      <c r="A198" s="25" t="s">
        <v>197</v>
      </c>
      <c r="B198" s="25" t="s">
        <v>360</v>
      </c>
      <c r="C198" s="25" t="s">
        <v>361</v>
      </c>
      <c r="D198" s="52" t="n">
        <v>231</v>
      </c>
      <c r="E198" s="52" t="n">
        <v>243</v>
      </c>
      <c r="F198" s="63" t="n">
        <f aca="false">IF(E198="","",D198-E198)</f>
        <v>-12</v>
      </c>
      <c r="G198" s="52" t="n">
        <v>552</v>
      </c>
      <c r="H198" s="52" t="n">
        <v>532</v>
      </c>
      <c r="I198" s="63" t="n">
        <f aca="false">IF(H198="","",G198-H198)</f>
        <v>20</v>
      </c>
      <c r="J198" s="53" t="n">
        <f aca="false">IF(OR(D198="",D198+G198=0),"",D198/(D198+G198))</f>
        <v>0.295019157088123</v>
      </c>
      <c r="K198" s="53" t="n">
        <f aca="false">IF(E198="","",E198/(E198+H198))</f>
        <v>0.313548387096774</v>
      </c>
      <c r="L198" s="64" t="n">
        <f aca="false">IF(OR(K198="",J198=""),"",(J198-K198)*100)</f>
        <v>-1.85292300086516</v>
      </c>
      <c r="M198" s="28" t="n">
        <v>2.40127504711013</v>
      </c>
      <c r="N198" s="28" t="n">
        <v>0.395142145636406</v>
      </c>
      <c r="O198" s="28" t="n">
        <f aca="false">SQRT(M198^2+N198^2)</f>
        <v>2.43356922382165</v>
      </c>
      <c r="P198" s="53" t="n">
        <f aca="false">IF(J198="","",MAX(0,J198-1.96*O198/100))</f>
        <v>0.247321200301218</v>
      </c>
      <c r="Q198" s="53" t="n">
        <f aca="false">IF(J198="","",MIN(1,J198+1.96*O198/100))</f>
        <v>0.342717113875027</v>
      </c>
      <c r="R198" s="25" t="str">
        <f aca="false">IF(L198="","",IF(ABS(L198)&lt;=O198,"Yes","No"))</f>
        <v>Yes</v>
      </c>
      <c r="S198" s="25" t="str">
        <f aca="false">IF(L198="","",IF(ABS(L198)&lt;=1.96*O198,"Yes","No"))</f>
        <v>Yes</v>
      </c>
      <c r="T198" s="52" t="n">
        <f aca="false">IF(D198="","",ROUND(SQRT(((D198+G198)*O198/100)^2+(J198*(D198+G198)*0.10931)^2),0))</f>
        <v>32</v>
      </c>
      <c r="U198" s="25"/>
    </row>
    <row r="199" customFormat="false" ht="15" hidden="false" customHeight="false" outlineLevel="0" collapsed="false">
      <c r="A199" s="25" t="s">
        <v>197</v>
      </c>
      <c r="B199" s="25" t="s">
        <v>360</v>
      </c>
      <c r="C199" s="25" t="s">
        <v>362</v>
      </c>
      <c r="D199" s="52" t="n">
        <v>793</v>
      </c>
      <c r="E199" s="52" t="n">
        <v>841</v>
      </c>
      <c r="F199" s="63" t="n">
        <f aca="false">IF(E199="","",D199-E199)</f>
        <v>-48</v>
      </c>
      <c r="G199" s="52" t="n">
        <v>1689</v>
      </c>
      <c r="H199" s="52" t="n">
        <v>1653</v>
      </c>
      <c r="I199" s="63" t="n">
        <f aca="false">IF(H199="","",G199-H199)</f>
        <v>36</v>
      </c>
      <c r="J199" s="53" t="n">
        <f aca="false">IF(OR(D199="",D199+G199=0),"",D199/(D199+G199))</f>
        <v>0.319500402900886</v>
      </c>
      <c r="K199" s="53" t="n">
        <f aca="false">IF(E199="","",E199/(E199+H199))</f>
        <v>0.337209302325581</v>
      </c>
      <c r="L199" s="64" t="n">
        <f aca="false">IF(OR(K199="",J199=""),"",(J199-K199)*100)</f>
        <v>-1.7708899424695</v>
      </c>
      <c r="M199" s="28" t="n">
        <v>2.1665403898083</v>
      </c>
      <c r="N199" s="28" t="n">
        <v>0.395142145636406</v>
      </c>
      <c r="O199" s="28" t="n">
        <f aca="false">SQRT(M199^2+N199^2)</f>
        <v>2.2022794046008</v>
      </c>
      <c r="P199" s="53" t="n">
        <f aca="false">IF(J199="","",MAX(0,J199-1.96*O199/100))</f>
        <v>0.276335726570711</v>
      </c>
      <c r="Q199" s="53" t="n">
        <f aca="false">IF(J199="","",MIN(1,J199+1.96*O199/100))</f>
        <v>0.362665079231062</v>
      </c>
      <c r="R199" s="25" t="str">
        <f aca="false">IF(L199="","",IF(ABS(L199)&lt;=O199,"Yes","No"))</f>
        <v>Yes</v>
      </c>
      <c r="S199" s="25" t="str">
        <f aca="false">IF(L199="","",IF(ABS(L199)&lt;=1.96*O199,"Yes","No"))</f>
        <v>Yes</v>
      </c>
      <c r="T199" s="52" t="n">
        <f aca="false">IF(D199="","",ROUND(SQRT(((D199+G199)*O199/100)^2+(J199*(D199+G199)*0.08889)^2),0))</f>
        <v>89</v>
      </c>
      <c r="U199" s="25"/>
    </row>
    <row r="200" customFormat="false" ht="15" hidden="false" customHeight="false" outlineLevel="0" collapsed="false">
      <c r="A200" s="25" t="s">
        <v>197</v>
      </c>
      <c r="B200" s="25" t="s">
        <v>360</v>
      </c>
      <c r="C200" s="25" t="s">
        <v>363</v>
      </c>
      <c r="D200" s="52" t="n">
        <v>198</v>
      </c>
      <c r="E200" s="52" t="n">
        <v>182</v>
      </c>
      <c r="F200" s="63" t="n">
        <f aca="false">IF(E200="","",D200-E200)</f>
        <v>16</v>
      </c>
      <c r="G200" s="52" t="n">
        <v>475</v>
      </c>
      <c r="H200" s="52" t="n">
        <v>484</v>
      </c>
      <c r="I200" s="63" t="n">
        <f aca="false">IF(H200="","",G200-H200)</f>
        <v>-9</v>
      </c>
      <c r="J200" s="53" t="n">
        <f aca="false">IF(OR(D200="",D200+G200=0),"",D200/(D200+G200))</f>
        <v>0.294205052005944</v>
      </c>
      <c r="K200" s="53" t="n">
        <f aca="false">IF(E200="","",E200/(E200+H200))</f>
        <v>0.273273273273273</v>
      </c>
      <c r="L200" s="64" t="n">
        <f aca="false">IF(OR(K200="",J200=""),"",(J200-K200)*100)</f>
        <v>2.09317787326703</v>
      </c>
      <c r="M200" s="28" t="n">
        <v>3.59869162464536</v>
      </c>
      <c r="N200" s="28" t="n">
        <v>0.395142145636406</v>
      </c>
      <c r="O200" s="28" t="n">
        <f aca="false">SQRT(M200^2+N200^2)</f>
        <v>3.62032025165603</v>
      </c>
      <c r="P200" s="53" t="n">
        <f aca="false">IF(J200="","",MAX(0,J200-1.96*O200/100))</f>
        <v>0.223246775073485</v>
      </c>
      <c r="Q200" s="53" t="n">
        <f aca="false">IF(J200="","",MIN(1,J200+1.96*O200/100))</f>
        <v>0.365163328938402</v>
      </c>
      <c r="R200" s="25" t="str">
        <f aca="false">IF(L200="","",IF(ABS(L200)&lt;=O200,"Yes","No"))</f>
        <v>Yes</v>
      </c>
      <c r="S200" s="25" t="str">
        <f aca="false">IF(L200="","",IF(ABS(L200)&lt;=1.96*O200,"Yes","No"))</f>
        <v>Yes</v>
      </c>
      <c r="T200" s="52" t="n">
        <f aca="false">IF(D200="","",ROUND(SQRT(((D200+G200)*O200/100)^2+(J200*(D200+G200)*0.1901)^2),0))</f>
        <v>45</v>
      </c>
      <c r="U200" s="25"/>
    </row>
    <row r="201" customFormat="false" ht="15" hidden="false" customHeight="false" outlineLevel="0" collapsed="false">
      <c r="A201" s="25" t="s">
        <v>197</v>
      </c>
      <c r="B201" s="25" t="s">
        <v>364</v>
      </c>
      <c r="C201" s="25" t="s">
        <v>364</v>
      </c>
      <c r="D201" s="52" t="n">
        <v>1070</v>
      </c>
      <c r="E201" s="52" t="n">
        <v>1172</v>
      </c>
      <c r="F201" s="63" t="n">
        <f aca="false">IF(E201="","",D201-E201)</f>
        <v>-102</v>
      </c>
      <c r="G201" s="52" t="n">
        <v>2315</v>
      </c>
      <c r="H201" s="52" t="n">
        <v>2201</v>
      </c>
      <c r="I201" s="63" t="n">
        <f aca="false">IF(H201="","",G201-H201)</f>
        <v>114</v>
      </c>
      <c r="J201" s="53" t="n">
        <f aca="false">IF(OR(D201="",D201+G201=0),"",D201/(D201+G201))</f>
        <v>0.316100443131462</v>
      </c>
      <c r="K201" s="53" t="n">
        <f aca="false">IF(E201="","",E201/(E201+H201))</f>
        <v>0.347465164541951</v>
      </c>
      <c r="L201" s="64" t="n">
        <f aca="false">IF(OR(K201="",J201=""),"",(J201-K201)*100)</f>
        <v>-3.13647214104885</v>
      </c>
      <c r="M201" s="28" t="n">
        <v>2.1665403898083</v>
      </c>
      <c r="N201" s="28" t="n">
        <v>0.395142145636406</v>
      </c>
      <c r="O201" s="28" t="n">
        <f aca="false">SQRT(M201^2+N201^2)</f>
        <v>2.2022794046008</v>
      </c>
      <c r="P201" s="53" t="n">
        <f aca="false">IF(J201="","",MAX(0,J201-1.96*O201/100))</f>
        <v>0.272935766801287</v>
      </c>
      <c r="Q201" s="53" t="n">
        <f aca="false">IF(J201="","",MIN(1,J201+1.96*O201/100))</f>
        <v>0.359265119461638</v>
      </c>
      <c r="R201" s="25" t="str">
        <f aca="false">IF(L201="","",IF(ABS(L201)&lt;=O201,"Yes","No"))</f>
        <v>No</v>
      </c>
      <c r="S201" s="25" t="str">
        <f aca="false">IF(L201="","",IF(ABS(L201)&lt;=1.96*O201,"Yes","No"))</f>
        <v>Yes</v>
      </c>
      <c r="T201" s="52" t="n">
        <f aca="false">IF(D201="","",ROUND(SQRT(((D201+G201)*O201/100)^2+(J201*(D201+G201)*0.08889)^2),0))</f>
        <v>121</v>
      </c>
      <c r="U201" s="25"/>
    </row>
    <row r="202" customFormat="false" ht="15" hidden="false" customHeight="false" outlineLevel="0" collapsed="false">
      <c r="A202" s="25" t="s">
        <v>197</v>
      </c>
      <c r="B202" s="25" t="s">
        <v>365</v>
      </c>
      <c r="C202" s="25" t="s">
        <v>366</v>
      </c>
      <c r="D202" s="52" t="n">
        <v>797</v>
      </c>
      <c r="E202" s="52" t="n">
        <v>811</v>
      </c>
      <c r="F202" s="63" t="n">
        <f aca="false">IF(E202="","",D202-E202)</f>
        <v>-14</v>
      </c>
      <c r="G202" s="52" t="n">
        <v>920</v>
      </c>
      <c r="H202" s="52" t="n">
        <v>918</v>
      </c>
      <c r="I202" s="63" t="n">
        <f aca="false">IF(H202="","",G202-H202)</f>
        <v>2</v>
      </c>
      <c r="J202" s="53" t="n">
        <f aca="false">IF(OR(D202="",D202+G202=0),"",D202/(D202+G202))</f>
        <v>0.464181712288876</v>
      </c>
      <c r="K202" s="53" t="n">
        <f aca="false">IF(E202="","",E202/(E202+H202))</f>
        <v>0.469057258530943</v>
      </c>
      <c r="L202" s="64" t="n">
        <f aca="false">IF(OR(K202="",J202=""),"",(J202-K202)*100)</f>
        <v>-0.487554624206682</v>
      </c>
      <c r="M202" s="28" t="n">
        <v>2.1665403898083</v>
      </c>
      <c r="N202" s="28" t="n">
        <v>0.395142145636406</v>
      </c>
      <c r="O202" s="28" t="n">
        <f aca="false">SQRT(M202^2+N202^2)</f>
        <v>2.2022794046008</v>
      </c>
      <c r="P202" s="53" t="n">
        <f aca="false">IF(J202="","",MAX(0,J202-1.96*O202/100))</f>
        <v>0.4210170359587</v>
      </c>
      <c r="Q202" s="53" t="n">
        <f aca="false">IF(J202="","",MIN(1,J202+1.96*O202/100))</f>
        <v>0.507346388619052</v>
      </c>
      <c r="R202" s="25" t="str">
        <f aca="false">IF(L202="","",IF(ABS(L202)&lt;=O202,"Yes","No"))</f>
        <v>Yes</v>
      </c>
      <c r="S202" s="25" t="str">
        <f aca="false">IF(L202="","",IF(ABS(L202)&lt;=1.96*O202,"Yes","No"))</f>
        <v>Yes</v>
      </c>
      <c r="T202" s="52" t="n">
        <f aca="false">IF(D202="","",ROUND(SQRT(((D202+G202)*O202/100)^2+(J202*(D202+G202)*0.08889)^2),0))</f>
        <v>80</v>
      </c>
      <c r="U202" s="25"/>
    </row>
    <row r="203" customFormat="false" ht="15" hidden="false" customHeight="false" outlineLevel="0" collapsed="false">
      <c r="A203" s="25" t="s">
        <v>197</v>
      </c>
      <c r="B203" s="25" t="s">
        <v>365</v>
      </c>
      <c r="C203" s="25" t="s">
        <v>367</v>
      </c>
      <c r="D203" s="52" t="n">
        <v>611</v>
      </c>
      <c r="E203" s="52" t="n">
        <v>606</v>
      </c>
      <c r="F203" s="63" t="n">
        <f aca="false">IF(E203="","",D203-E203)</f>
        <v>5</v>
      </c>
      <c r="G203" s="52" t="n">
        <v>693</v>
      </c>
      <c r="H203" s="52" t="n">
        <v>669</v>
      </c>
      <c r="I203" s="63" t="n">
        <f aca="false">IF(H203="","",G203-H203)</f>
        <v>24</v>
      </c>
      <c r="J203" s="53" t="n">
        <f aca="false">IF(OR(D203="",D203+G203=0),"",D203/(D203+G203))</f>
        <v>0.468558282208589</v>
      </c>
      <c r="K203" s="53" t="n">
        <f aca="false">IF(E203="","",E203/(E203+H203))</f>
        <v>0.475294117647059</v>
      </c>
      <c r="L203" s="64" t="n">
        <f aca="false">IF(OR(K203="",J203=""),"",(J203-K203)*100)</f>
        <v>-0.673583543846984</v>
      </c>
      <c r="M203" s="28" t="n">
        <v>2.1665403898083</v>
      </c>
      <c r="N203" s="28" t="n">
        <v>0.395142145636406</v>
      </c>
      <c r="O203" s="28" t="n">
        <f aca="false">SQRT(M203^2+N203^2)</f>
        <v>2.2022794046008</v>
      </c>
      <c r="P203" s="53" t="n">
        <f aca="false">IF(J203="","",MAX(0,J203-1.96*O203/100))</f>
        <v>0.425393605878413</v>
      </c>
      <c r="Q203" s="53" t="n">
        <f aca="false">IF(J203="","",MIN(1,J203+1.96*O203/100))</f>
        <v>0.511722958538765</v>
      </c>
      <c r="R203" s="25" t="str">
        <f aca="false">IF(L203="","",IF(ABS(L203)&lt;=O203,"Yes","No"))</f>
        <v>Yes</v>
      </c>
      <c r="S203" s="25" t="str">
        <f aca="false">IF(L203="","",IF(ABS(L203)&lt;=1.96*O203,"Yes","No"))</f>
        <v>Yes</v>
      </c>
      <c r="T203" s="52" t="n">
        <f aca="false">IF(D203="","",ROUND(SQRT(((D203+G203)*O203/100)^2+(J203*(D203+G203)*0.08889)^2),0))</f>
        <v>61</v>
      </c>
      <c r="U203" s="25"/>
    </row>
    <row r="204" customFormat="false" ht="15" hidden="false" customHeight="false" outlineLevel="0" collapsed="false">
      <c r="A204" s="25" t="s">
        <v>197</v>
      </c>
      <c r="B204" s="25" t="s">
        <v>365</v>
      </c>
      <c r="C204" s="25" t="s">
        <v>368</v>
      </c>
      <c r="D204" s="52" t="n">
        <v>782</v>
      </c>
      <c r="E204" s="52" t="n">
        <v>732</v>
      </c>
      <c r="F204" s="63" t="n">
        <f aca="false">IF(E204="","",D204-E204)</f>
        <v>50</v>
      </c>
      <c r="G204" s="52" t="n">
        <v>580</v>
      </c>
      <c r="H204" s="52" t="n">
        <v>616</v>
      </c>
      <c r="I204" s="63" t="n">
        <f aca="false">IF(H204="","",G204-H204)</f>
        <v>-36</v>
      </c>
      <c r="J204" s="53" t="n">
        <f aca="false">IF(OR(D204="",D204+G204=0),"",D204/(D204+G204))</f>
        <v>0.574155653450808</v>
      </c>
      <c r="K204" s="53" t="n">
        <f aca="false">IF(E204="","",E204/(E204+H204))</f>
        <v>0.543026706231454</v>
      </c>
      <c r="L204" s="64" t="n">
        <f aca="false">IF(OR(K204="",J204=""),"",(J204-K204)*100)</f>
        <v>3.11289472193537</v>
      </c>
      <c r="M204" s="28" t="n">
        <v>2.1665403898083</v>
      </c>
      <c r="N204" s="28" t="n">
        <v>0.395142145636406</v>
      </c>
      <c r="O204" s="28" t="n">
        <f aca="false">SQRT(M204^2+N204^2)</f>
        <v>2.2022794046008</v>
      </c>
      <c r="P204" s="53" t="n">
        <f aca="false">IF(J204="","",MAX(0,J204-1.96*O204/100))</f>
        <v>0.530990977120632</v>
      </c>
      <c r="Q204" s="53" t="n">
        <f aca="false">IF(J204="","",MIN(1,J204+1.96*O204/100))</f>
        <v>0.617320329780983</v>
      </c>
      <c r="R204" s="25" t="str">
        <f aca="false">IF(L204="","",IF(ABS(L204)&lt;=O204,"Yes","No"))</f>
        <v>No</v>
      </c>
      <c r="S204" s="25" t="str">
        <f aca="false">IF(L204="","",IF(ABS(L204)&lt;=1.96*O204,"Yes","No"))</f>
        <v>Yes</v>
      </c>
      <c r="T204" s="52" t="n">
        <f aca="false">IF(D204="","",ROUND(SQRT(((D204+G204)*O204/100)^2+(J204*(D204+G204)*0.08889)^2),0))</f>
        <v>76</v>
      </c>
      <c r="U204" s="25"/>
    </row>
    <row r="205" customFormat="false" ht="15" hidden="false" customHeight="false" outlineLevel="0" collapsed="false">
      <c r="A205" s="25" t="s">
        <v>197</v>
      </c>
      <c r="B205" s="25" t="s">
        <v>365</v>
      </c>
      <c r="C205" s="25" t="s">
        <v>369</v>
      </c>
      <c r="D205" s="52" t="n">
        <v>906</v>
      </c>
      <c r="E205" s="52" t="n">
        <v>871</v>
      </c>
      <c r="F205" s="63" t="n">
        <f aca="false">IF(E205="","",D205-E205)</f>
        <v>35</v>
      </c>
      <c r="G205" s="52" t="n">
        <v>634</v>
      </c>
      <c r="H205" s="52" t="n">
        <v>616</v>
      </c>
      <c r="I205" s="63" t="n">
        <f aca="false">IF(H205="","",G205-H205)</f>
        <v>18</v>
      </c>
      <c r="J205" s="53" t="n">
        <f aca="false">IF(OR(D205="",D205+G205=0),"",D205/(D205+G205))</f>
        <v>0.588311688311688</v>
      </c>
      <c r="K205" s="53" t="n">
        <f aca="false">IF(E205="","",E205/(E205+H205))</f>
        <v>0.585743106926698</v>
      </c>
      <c r="L205" s="64" t="n">
        <f aca="false">IF(OR(K205="",J205=""),"",(J205-K205)*100)</f>
        <v>0.256858138499028</v>
      </c>
      <c r="M205" s="28" t="n">
        <v>2.1665403898083</v>
      </c>
      <c r="N205" s="28" t="n">
        <v>0.395142145636406</v>
      </c>
      <c r="O205" s="28" t="n">
        <f aca="false">SQRT(M205^2+N205^2)</f>
        <v>2.2022794046008</v>
      </c>
      <c r="P205" s="53" t="n">
        <f aca="false">IF(J205="","",MAX(0,J205-1.96*O205/100))</f>
        <v>0.545147011981513</v>
      </c>
      <c r="Q205" s="53" t="n">
        <f aca="false">IF(J205="","",MIN(1,J205+1.96*O205/100))</f>
        <v>0.631476364641864</v>
      </c>
      <c r="R205" s="25" t="str">
        <f aca="false">IF(L205="","",IF(ABS(L205)&lt;=O205,"Yes","No"))</f>
        <v>Yes</v>
      </c>
      <c r="S205" s="25" t="str">
        <f aca="false">IF(L205="","",IF(ABS(L205)&lt;=1.96*O205,"Yes","No"))</f>
        <v>Yes</v>
      </c>
      <c r="T205" s="52" t="n">
        <f aca="false">IF(D205="","",ROUND(SQRT(((D205+G205)*O205/100)^2+(J205*(D205+G205)*0.08889)^2),0))</f>
        <v>87</v>
      </c>
      <c r="U205" s="25"/>
    </row>
    <row r="206" customFormat="false" ht="15" hidden="false" customHeight="false" outlineLevel="0" collapsed="false">
      <c r="A206" s="25" t="s">
        <v>197</v>
      </c>
      <c r="B206" s="25" t="s">
        <v>365</v>
      </c>
      <c r="C206" s="25" t="s">
        <v>370</v>
      </c>
      <c r="D206" s="52" t="n">
        <v>315</v>
      </c>
      <c r="E206" s="52" t="n">
        <v>305</v>
      </c>
      <c r="F206" s="63" t="n">
        <f aca="false">IF(E206="","",D206-E206)</f>
        <v>10</v>
      </c>
      <c r="G206" s="52" t="n">
        <v>260</v>
      </c>
      <c r="H206" s="52" t="n">
        <v>262</v>
      </c>
      <c r="I206" s="63" t="n">
        <f aca="false">IF(H206="","",G206-H206)</f>
        <v>-2</v>
      </c>
      <c r="J206" s="53" t="n">
        <f aca="false">IF(OR(D206="",D206+G206=0),"",D206/(D206+G206))</f>
        <v>0.547826086956522</v>
      </c>
      <c r="K206" s="53" t="n">
        <f aca="false">IF(E206="","",E206/(E206+H206))</f>
        <v>0.537918871252205</v>
      </c>
      <c r="L206" s="64" t="n">
        <f aca="false">IF(OR(K206="",J206=""),"",(J206-K206)*100)</f>
        <v>0.990721570431707</v>
      </c>
      <c r="M206" s="28" t="n">
        <v>3.59869162464536</v>
      </c>
      <c r="N206" s="28" t="n">
        <v>0.395142145636406</v>
      </c>
      <c r="O206" s="28" t="n">
        <f aca="false">SQRT(M206^2+N206^2)</f>
        <v>3.62032025165603</v>
      </c>
      <c r="P206" s="53" t="n">
        <f aca="false">IF(J206="","",MAX(0,J206-1.96*O206/100))</f>
        <v>0.476867810024064</v>
      </c>
      <c r="Q206" s="53" t="n">
        <f aca="false">IF(J206="","",MIN(1,J206+1.96*O206/100))</f>
        <v>0.61878436388898</v>
      </c>
      <c r="R206" s="25" t="str">
        <f aca="false">IF(L206="","",IF(ABS(L206)&lt;=O206,"Yes","No"))</f>
        <v>Yes</v>
      </c>
      <c r="S206" s="25" t="str">
        <f aca="false">IF(L206="","",IF(ABS(L206)&lt;=1.96*O206,"Yes","No"))</f>
        <v>Yes</v>
      </c>
      <c r="T206" s="52" t="n">
        <f aca="false">IF(D206="","",ROUND(SQRT(((D206+G206)*O206/100)^2+(J206*(D206+G206)*0.1901)^2),0))</f>
        <v>63</v>
      </c>
      <c r="U206" s="25"/>
    </row>
    <row r="207" customFormat="false" ht="15" hidden="false" customHeight="false" outlineLevel="0" collapsed="false">
      <c r="A207" s="25" t="s">
        <v>197</v>
      </c>
      <c r="B207" s="25" t="s">
        <v>365</v>
      </c>
      <c r="C207" s="25" t="s">
        <v>371</v>
      </c>
      <c r="D207" s="52" t="n">
        <v>566</v>
      </c>
      <c r="E207" s="52" t="n">
        <v>535</v>
      </c>
      <c r="F207" s="63" t="n">
        <f aca="false">IF(E207="","",D207-E207)</f>
        <v>31</v>
      </c>
      <c r="G207" s="52" t="n">
        <v>332</v>
      </c>
      <c r="H207" s="52" t="n">
        <v>364</v>
      </c>
      <c r="I207" s="63" t="n">
        <f aca="false">IF(H207="","",G207-H207)</f>
        <v>-32</v>
      </c>
      <c r="J207" s="53" t="n">
        <f aca="false">IF(OR(D207="",D207+G207=0),"",D207/(D207+G207))</f>
        <v>0.630289532293987</v>
      </c>
      <c r="K207" s="53" t="n">
        <f aca="false">IF(E207="","",E207/(E207+H207))</f>
        <v>0.595105672969967</v>
      </c>
      <c r="L207" s="64" t="n">
        <f aca="false">IF(OR(K207="",J207=""),"",(J207-K207)*100)</f>
        <v>3.518385932402</v>
      </c>
      <c r="M207" s="28" t="n">
        <v>2.40127504711013</v>
      </c>
      <c r="N207" s="28" t="n">
        <v>0.395142145636406</v>
      </c>
      <c r="O207" s="28" t="n">
        <f aca="false">SQRT(M207^2+N207^2)</f>
        <v>2.43356922382165</v>
      </c>
      <c r="P207" s="53" t="n">
        <f aca="false">IF(J207="","",MAX(0,J207-1.96*O207/100))</f>
        <v>0.582591575507082</v>
      </c>
      <c r="Q207" s="53" t="n">
        <f aca="false">IF(J207="","",MIN(1,J207+1.96*O207/100))</f>
        <v>0.677987489080891</v>
      </c>
      <c r="R207" s="25" t="str">
        <f aca="false">IF(L207="","",IF(ABS(L207)&lt;=O207,"Yes","No"))</f>
        <v>No</v>
      </c>
      <c r="S207" s="25" t="str">
        <f aca="false">IF(L207="","",IF(ABS(L207)&lt;=1.96*O207,"Yes","No"))</f>
        <v>Yes</v>
      </c>
      <c r="T207" s="52" t="n">
        <f aca="false">IF(D207="","",ROUND(SQRT(((D207+G207)*O207/100)^2+(J207*(D207+G207)*0.10931)^2),0))</f>
        <v>66</v>
      </c>
      <c r="U207" s="25"/>
    </row>
    <row r="208" customFormat="false" ht="15" hidden="false" customHeight="false" outlineLevel="0" collapsed="false">
      <c r="A208" s="25" t="s">
        <v>197</v>
      </c>
      <c r="B208" s="25" t="s">
        <v>365</v>
      </c>
      <c r="C208" s="25" t="s">
        <v>372</v>
      </c>
      <c r="D208" s="52" t="n">
        <v>534</v>
      </c>
      <c r="E208" s="52" t="n">
        <v>564</v>
      </c>
      <c r="F208" s="63" t="n">
        <f aca="false">IF(E208="","",D208-E208)</f>
        <v>-30</v>
      </c>
      <c r="G208" s="52" t="n">
        <v>437</v>
      </c>
      <c r="H208" s="52" t="n">
        <v>451</v>
      </c>
      <c r="I208" s="63" t="n">
        <f aca="false">IF(H208="","",G208-H208)</f>
        <v>-14</v>
      </c>
      <c r="J208" s="53" t="n">
        <f aca="false">IF(OR(D208="",D208+G208=0),"",D208/(D208+G208))</f>
        <v>0.54994850669413</v>
      </c>
      <c r="K208" s="53" t="n">
        <f aca="false">IF(E208="","",E208/(E208+H208))</f>
        <v>0.555665024630542</v>
      </c>
      <c r="L208" s="64" t="n">
        <f aca="false">IF(OR(K208="",J208=""),"",(J208-K208)*100)</f>
        <v>-0.571651793641215</v>
      </c>
      <c r="M208" s="28" t="n">
        <v>2.40127504711013</v>
      </c>
      <c r="N208" s="28" t="n">
        <v>0.395142145636406</v>
      </c>
      <c r="O208" s="28" t="n">
        <f aca="false">SQRT(M208^2+N208^2)</f>
        <v>2.43356922382165</v>
      </c>
      <c r="P208" s="53" t="n">
        <f aca="false">IF(J208="","",MAX(0,J208-1.96*O208/100))</f>
        <v>0.502250549907226</v>
      </c>
      <c r="Q208" s="53" t="n">
        <f aca="false">IF(J208="","",MIN(1,J208+1.96*O208/100))</f>
        <v>0.597646463481034</v>
      </c>
      <c r="R208" s="25" t="str">
        <f aca="false">IF(L208="","",IF(ABS(L208)&lt;=O208,"Yes","No"))</f>
        <v>Yes</v>
      </c>
      <c r="S208" s="25" t="str">
        <f aca="false">IF(L208="","",IF(ABS(L208)&lt;=1.96*O208,"Yes","No"))</f>
        <v>Yes</v>
      </c>
      <c r="T208" s="52" t="n">
        <f aca="false">IF(D208="","",ROUND(SQRT(((D208+G208)*O208/100)^2+(J208*(D208+G208)*0.10931)^2),0))</f>
        <v>63</v>
      </c>
      <c r="U208" s="25"/>
    </row>
    <row r="209" customFormat="false" ht="15" hidden="false" customHeight="false" outlineLevel="0" collapsed="false">
      <c r="A209" s="25" t="s">
        <v>197</v>
      </c>
      <c r="B209" s="25" t="s">
        <v>365</v>
      </c>
      <c r="C209" s="25" t="s">
        <v>373</v>
      </c>
      <c r="D209" s="52" t="n">
        <v>272</v>
      </c>
      <c r="E209" s="52" t="n">
        <v>279</v>
      </c>
      <c r="F209" s="63" t="n">
        <f aca="false">IF(E209="","",D209-E209)</f>
        <v>-7</v>
      </c>
      <c r="G209" s="52" t="n">
        <v>312</v>
      </c>
      <c r="H209" s="52" t="n">
        <v>318</v>
      </c>
      <c r="I209" s="63" t="n">
        <f aca="false">IF(H209="","",G209-H209)</f>
        <v>-6</v>
      </c>
      <c r="J209" s="53" t="n">
        <f aca="false">IF(OR(D209="",D209+G209=0),"",D209/(D209+G209))</f>
        <v>0.465753424657534</v>
      </c>
      <c r="K209" s="53" t="n">
        <f aca="false">IF(E209="","",E209/(E209+H209))</f>
        <v>0.467336683417085</v>
      </c>
      <c r="L209" s="64" t="n">
        <f aca="false">IF(OR(K209="",J209=""),"",(J209-K209)*100)</f>
        <v>-0.158325875955123</v>
      </c>
      <c r="M209" s="28" t="n">
        <v>3.59869162464536</v>
      </c>
      <c r="N209" s="28" t="n">
        <v>0.395142145636406</v>
      </c>
      <c r="O209" s="28" t="n">
        <f aca="false">SQRT(M209^2+N209^2)</f>
        <v>3.62032025165603</v>
      </c>
      <c r="P209" s="53" t="n">
        <f aca="false">IF(J209="","",MAX(0,J209-1.96*O209/100))</f>
        <v>0.394795147725076</v>
      </c>
      <c r="Q209" s="53" t="n">
        <f aca="false">IF(J209="","",MIN(1,J209+1.96*O209/100))</f>
        <v>0.536711701589992</v>
      </c>
      <c r="R209" s="25" t="str">
        <f aca="false">IF(L209="","",IF(ABS(L209)&lt;=O209,"Yes","No"))</f>
        <v>Yes</v>
      </c>
      <c r="S209" s="25" t="str">
        <f aca="false">IF(L209="","",IF(ABS(L209)&lt;=1.96*O209,"Yes","No"))</f>
        <v>Yes</v>
      </c>
      <c r="T209" s="52" t="n">
        <f aca="false">IF(D209="","",ROUND(SQRT(((D209+G209)*O209/100)^2+(J209*(D209+G209)*0.1901)^2),0))</f>
        <v>56</v>
      </c>
      <c r="U209" s="25"/>
    </row>
    <row r="210" customFormat="false" ht="15" hidden="false" customHeight="false" outlineLevel="0" collapsed="false">
      <c r="A210" s="25" t="s">
        <v>197</v>
      </c>
      <c r="B210" s="25" t="s">
        <v>365</v>
      </c>
      <c r="C210" s="25" t="s">
        <v>374</v>
      </c>
      <c r="D210" s="52" t="n">
        <v>596</v>
      </c>
      <c r="E210" s="52" t="n">
        <v>571</v>
      </c>
      <c r="F210" s="63" t="n">
        <f aca="false">IF(E210="","",D210-E210)</f>
        <v>25</v>
      </c>
      <c r="G210" s="52" t="n">
        <v>538</v>
      </c>
      <c r="H210" s="52" t="n">
        <v>544</v>
      </c>
      <c r="I210" s="63" t="n">
        <f aca="false">IF(H210="","",G210-H210)</f>
        <v>-6</v>
      </c>
      <c r="J210" s="53" t="n">
        <f aca="false">IF(OR(D210="",D210+G210=0),"",D210/(D210+G210))</f>
        <v>0.525573192239859</v>
      </c>
      <c r="K210" s="53" t="n">
        <f aca="false">IF(E210="","",E210/(E210+H210))</f>
        <v>0.512107623318386</v>
      </c>
      <c r="L210" s="64" t="n">
        <f aca="false">IF(OR(K210="",J210=""),"",(J210-K210)*100)</f>
        <v>1.34655689214732</v>
      </c>
      <c r="M210" s="28" t="n">
        <v>2.40127504711013</v>
      </c>
      <c r="N210" s="28" t="n">
        <v>0.395142145636406</v>
      </c>
      <c r="O210" s="28" t="n">
        <f aca="false">SQRT(M210^2+N210^2)</f>
        <v>2.43356922382165</v>
      </c>
      <c r="P210" s="53" t="n">
        <f aca="false">IF(J210="","",MAX(0,J210-1.96*O210/100))</f>
        <v>0.477875235452955</v>
      </c>
      <c r="Q210" s="53" t="n">
        <f aca="false">IF(J210="","",MIN(1,J210+1.96*O210/100))</f>
        <v>0.573271149026763</v>
      </c>
      <c r="R210" s="25" t="str">
        <f aca="false">IF(L210="","",IF(ABS(L210)&lt;=O210,"Yes","No"))</f>
        <v>Yes</v>
      </c>
      <c r="S210" s="25" t="str">
        <f aca="false">IF(L210="","",IF(ABS(L210)&lt;=1.96*O210,"Yes","No"))</f>
        <v>Yes</v>
      </c>
      <c r="T210" s="52" t="n">
        <f aca="false">IF(D210="","",ROUND(SQRT(((D210+G210)*O210/100)^2+(J210*(D210+G210)*0.10931)^2),0))</f>
        <v>71</v>
      </c>
      <c r="U210" s="25"/>
    </row>
    <row r="211" customFormat="false" ht="15" hidden="false" customHeight="false" outlineLevel="0" collapsed="false">
      <c r="A211" s="25" t="s">
        <v>197</v>
      </c>
      <c r="B211" s="25" t="s">
        <v>365</v>
      </c>
      <c r="C211" s="25" t="s">
        <v>375</v>
      </c>
      <c r="D211" s="52" t="n">
        <v>838</v>
      </c>
      <c r="E211" s="52" t="n">
        <v>829</v>
      </c>
      <c r="F211" s="63" t="n">
        <f aca="false">IF(E211="","",D211-E211)</f>
        <v>9</v>
      </c>
      <c r="G211" s="52" t="n">
        <v>956</v>
      </c>
      <c r="H211" s="52" t="n">
        <v>968</v>
      </c>
      <c r="I211" s="63" t="n">
        <f aca="false">IF(H211="","",G211-H211)</f>
        <v>-12</v>
      </c>
      <c r="J211" s="53" t="n">
        <f aca="false">IF(OR(D211="",D211+G211=0),"",D211/(D211+G211))</f>
        <v>0.46711259754738</v>
      </c>
      <c r="K211" s="53" t="n">
        <f aca="false">IF(E211="","",E211/(E211+H211))</f>
        <v>0.461324429604897</v>
      </c>
      <c r="L211" s="64" t="n">
        <f aca="false">IF(OR(K211="",J211=""),"",(J211-K211)*100)</f>
        <v>0.57881679424831</v>
      </c>
      <c r="M211" s="28" t="n">
        <v>2.1665403898083</v>
      </c>
      <c r="N211" s="28" t="n">
        <v>0.395142145636406</v>
      </c>
      <c r="O211" s="28" t="n">
        <f aca="false">SQRT(M211^2+N211^2)</f>
        <v>2.2022794046008</v>
      </c>
      <c r="P211" s="53" t="n">
        <f aca="false">IF(J211="","",MAX(0,J211-1.96*O211/100))</f>
        <v>0.423947921217205</v>
      </c>
      <c r="Q211" s="53" t="n">
        <f aca="false">IF(J211="","",MIN(1,J211+1.96*O211/100))</f>
        <v>0.510277273877556</v>
      </c>
      <c r="R211" s="25" t="str">
        <f aca="false">IF(L211="","",IF(ABS(L211)&lt;=O211,"Yes","No"))</f>
        <v>Yes</v>
      </c>
      <c r="S211" s="25" t="str">
        <f aca="false">IF(L211="","",IF(ABS(L211)&lt;=1.96*O211,"Yes","No"))</f>
        <v>Yes</v>
      </c>
      <c r="T211" s="52" t="n">
        <f aca="false">IF(D211="","",ROUND(SQRT(((D211+G211)*O211/100)^2+(J211*(D211+G211)*0.08889)^2),0))</f>
        <v>84</v>
      </c>
      <c r="U211" s="25"/>
    </row>
    <row r="212" customFormat="false" ht="15" hidden="false" customHeight="false" outlineLevel="0" collapsed="false">
      <c r="A212" s="25" t="s">
        <v>197</v>
      </c>
      <c r="B212" s="25" t="s">
        <v>365</v>
      </c>
      <c r="C212" s="25" t="s">
        <v>376</v>
      </c>
      <c r="D212" s="52" t="n">
        <v>692</v>
      </c>
      <c r="E212" s="52" t="n">
        <v>698</v>
      </c>
      <c r="F212" s="63" t="n">
        <f aca="false">IF(E212="","",D212-E212)</f>
        <v>-6</v>
      </c>
      <c r="G212" s="52" t="n">
        <v>750</v>
      </c>
      <c r="H212" s="52" t="n">
        <v>748</v>
      </c>
      <c r="I212" s="63" t="n">
        <f aca="false">IF(H212="","",G212-H212)</f>
        <v>2</v>
      </c>
      <c r="J212" s="53" t="n">
        <f aca="false">IF(OR(D212="",D212+G212=0),"",D212/(D212+G212))</f>
        <v>0.479889042995839</v>
      </c>
      <c r="K212" s="53" t="n">
        <f aca="false">IF(E212="","",E212/(E212+H212))</f>
        <v>0.482710926694329</v>
      </c>
      <c r="L212" s="64" t="n">
        <f aca="false">IF(OR(K212="",J212=""),"",(J212-K212)*100)</f>
        <v>-0.282188369849007</v>
      </c>
      <c r="M212" s="28" t="n">
        <v>2.1665403898083</v>
      </c>
      <c r="N212" s="28" t="n">
        <v>0.395142145636406</v>
      </c>
      <c r="O212" s="28" t="n">
        <f aca="false">SQRT(M212^2+N212^2)</f>
        <v>2.2022794046008</v>
      </c>
      <c r="P212" s="53" t="n">
        <f aca="false">IF(J212="","",MAX(0,J212-1.96*O212/100))</f>
        <v>0.436724366665663</v>
      </c>
      <c r="Q212" s="53" t="n">
        <f aca="false">IF(J212="","",MIN(1,J212+1.96*O212/100))</f>
        <v>0.523053719326015</v>
      </c>
      <c r="R212" s="25" t="str">
        <f aca="false">IF(L212="","",IF(ABS(L212)&lt;=O212,"Yes","No"))</f>
        <v>Yes</v>
      </c>
      <c r="S212" s="25" t="str">
        <f aca="false">IF(L212="","",IF(ABS(L212)&lt;=1.96*O212,"Yes","No"))</f>
        <v>Yes</v>
      </c>
      <c r="T212" s="52" t="n">
        <f aca="false">IF(D212="","",ROUND(SQRT(((D212+G212)*O212/100)^2+(J212*(D212+G212)*0.08889)^2),0))</f>
        <v>69</v>
      </c>
      <c r="U212" s="25"/>
    </row>
    <row r="213" customFormat="false" ht="15" hidden="false" customHeight="false" outlineLevel="0" collapsed="false">
      <c r="A213" s="25" t="s">
        <v>197</v>
      </c>
      <c r="B213" s="25" t="s">
        <v>365</v>
      </c>
      <c r="C213" s="25" t="s">
        <v>377</v>
      </c>
      <c r="D213" s="52" t="n">
        <v>618</v>
      </c>
      <c r="E213" s="52" t="n">
        <v>582</v>
      </c>
      <c r="F213" s="63" t="n">
        <f aca="false">IF(E213="","",D213-E213)</f>
        <v>36</v>
      </c>
      <c r="G213" s="52" t="n">
        <v>558</v>
      </c>
      <c r="H213" s="52" t="n">
        <v>562</v>
      </c>
      <c r="I213" s="63" t="n">
        <f aca="false">IF(H213="","",G213-H213)</f>
        <v>-4</v>
      </c>
      <c r="J213" s="53" t="n">
        <f aca="false">IF(OR(D213="",D213+G213=0),"",D213/(D213+G213))</f>
        <v>0.525510204081633</v>
      </c>
      <c r="K213" s="53" t="n">
        <f aca="false">IF(E213="","",E213/(E213+H213))</f>
        <v>0.508741258741259</v>
      </c>
      <c r="L213" s="64" t="n">
        <f aca="false">IF(OR(K213="",J213=""),"",(J213-K213)*100)</f>
        <v>1.67689453403739</v>
      </c>
      <c r="M213" s="28" t="n">
        <v>2.40127504711013</v>
      </c>
      <c r="N213" s="28" t="n">
        <v>0.395142145636406</v>
      </c>
      <c r="O213" s="28" t="n">
        <f aca="false">SQRT(M213^2+N213^2)</f>
        <v>2.43356922382165</v>
      </c>
      <c r="P213" s="53" t="n">
        <f aca="false">IF(J213="","",MAX(0,J213-1.96*O213/100))</f>
        <v>0.477812247294728</v>
      </c>
      <c r="Q213" s="53" t="n">
        <f aca="false">IF(J213="","",MIN(1,J213+1.96*O213/100))</f>
        <v>0.573208160868537</v>
      </c>
      <c r="R213" s="25" t="str">
        <f aca="false">IF(L213="","",IF(ABS(L213)&lt;=O213,"Yes","No"))</f>
        <v>Yes</v>
      </c>
      <c r="S213" s="25" t="str">
        <f aca="false">IF(L213="","",IF(ABS(L213)&lt;=1.96*O213,"Yes","No"))</f>
        <v>Yes</v>
      </c>
      <c r="T213" s="52" t="n">
        <f aca="false">IF(D213="","",ROUND(SQRT(((D213+G213)*O213/100)^2+(J213*(D213+G213)*0.10931)^2),0))</f>
        <v>73</v>
      </c>
      <c r="U213" s="25"/>
    </row>
    <row r="214" customFormat="false" ht="15" hidden="false" customHeight="false" outlineLevel="0" collapsed="false">
      <c r="A214" s="25" t="s">
        <v>378</v>
      </c>
      <c r="B214" s="25" t="s">
        <v>379</v>
      </c>
      <c r="C214" s="25" t="s">
        <v>380</v>
      </c>
      <c r="D214" s="52" t="n">
        <v>433</v>
      </c>
      <c r="E214" s="52" t="n">
        <v>471</v>
      </c>
      <c r="F214" s="63" t="n">
        <f aca="false">IF(E214="","",D214-E214)</f>
        <v>-38</v>
      </c>
      <c r="G214" s="52" t="n">
        <v>1111</v>
      </c>
      <c r="H214" s="52" t="n">
        <v>1124</v>
      </c>
      <c r="I214" s="63" t="n">
        <f aca="false">IF(H214="","",G214-H214)</f>
        <v>-13</v>
      </c>
      <c r="J214" s="53" t="n">
        <f aca="false">IF(OR(D214="",D214+G214=0),"",D214/(D214+G214))</f>
        <v>0.280440414507772</v>
      </c>
      <c r="K214" s="53" t="n">
        <f aca="false">IF(E214="","",E214/(E214+H214))</f>
        <v>0.295297805642633</v>
      </c>
      <c r="L214" s="64" t="n">
        <f aca="false">IF(OR(K214="",J214=""),"",(J214-K214)*100)</f>
        <v>-1.48573911348612</v>
      </c>
      <c r="M214" s="28" t="n">
        <v>2.1665403898083</v>
      </c>
      <c r="N214" s="28" t="n">
        <v>0.395142145636406</v>
      </c>
      <c r="O214" s="28" t="n">
        <f aca="false">SQRT(M214^2+N214^2)</f>
        <v>2.2022794046008</v>
      </c>
      <c r="P214" s="53" t="n">
        <f aca="false">IF(J214="","",MAX(0,J214-1.96*O214/100))</f>
        <v>0.237275738177596</v>
      </c>
      <c r="Q214" s="53" t="n">
        <f aca="false">IF(J214="","",MIN(1,J214+1.96*O214/100))</f>
        <v>0.323605090837948</v>
      </c>
      <c r="R214" s="25" t="str">
        <f aca="false">IF(L214="","",IF(ABS(L214)&lt;=O214,"Yes","No"))</f>
        <v>Yes</v>
      </c>
      <c r="S214" s="25" t="str">
        <f aca="false">IF(L214="","",IF(ABS(L214)&lt;=1.96*O214,"Yes","No"))</f>
        <v>Yes</v>
      </c>
      <c r="T214" s="52" t="n">
        <f aca="false">IF(D214="","",ROUND(SQRT(((D214+G214)*O214/100)^2+(J214*(D214+G214)*0.08889)^2),0))</f>
        <v>51</v>
      </c>
      <c r="U214" s="25"/>
    </row>
    <row r="215" customFormat="false" ht="15" hidden="false" customHeight="false" outlineLevel="0" collapsed="false">
      <c r="A215" s="25" t="s">
        <v>378</v>
      </c>
      <c r="B215" s="25" t="s">
        <v>381</v>
      </c>
      <c r="C215" s="25" t="s">
        <v>382</v>
      </c>
      <c r="D215" s="52" t="n">
        <v>1299</v>
      </c>
      <c r="E215" s="52" t="n">
        <v>1414</v>
      </c>
      <c r="F215" s="63" t="n">
        <f aca="false">IF(E215="","",D215-E215)</f>
        <v>-115</v>
      </c>
      <c r="G215" s="52" t="n">
        <v>2870</v>
      </c>
      <c r="H215" s="52" t="n">
        <v>2894</v>
      </c>
      <c r="I215" s="63" t="n">
        <f aca="false">IF(H215="","",G215-H215)</f>
        <v>-24</v>
      </c>
      <c r="J215" s="53" t="n">
        <f aca="false">IF(OR(D215="",D215+G215=0),"",D215/(D215+G215))</f>
        <v>0.311585512113217</v>
      </c>
      <c r="K215" s="53" t="n">
        <f aca="false">IF(E215="","",E215/(E215+H215))</f>
        <v>0.328226555246054</v>
      </c>
      <c r="L215" s="64" t="n">
        <f aca="false">IF(OR(K215="",J215=""),"",(J215-K215)*100)</f>
        <v>-1.66410431328373</v>
      </c>
      <c r="M215" s="28" t="n">
        <v>2.1665403898083</v>
      </c>
      <c r="N215" s="28" t="n">
        <v>0.395142145636406</v>
      </c>
      <c r="O215" s="28" t="n">
        <f aca="false">SQRT(M215^2+N215^2)</f>
        <v>2.2022794046008</v>
      </c>
      <c r="P215" s="53" t="n">
        <f aca="false">IF(J215="","",MAX(0,J215-1.96*O215/100))</f>
        <v>0.268420835783041</v>
      </c>
      <c r="Q215" s="53" t="n">
        <f aca="false">IF(J215="","",MIN(1,J215+1.96*O215/100))</f>
        <v>0.354750188443392</v>
      </c>
      <c r="R215" s="25" t="str">
        <f aca="false">IF(L215="","",IF(ABS(L215)&lt;=O215,"Yes","No"))</f>
        <v>Yes</v>
      </c>
      <c r="S215" s="25" t="str">
        <f aca="false">IF(L215="","",IF(ABS(L215)&lt;=1.96*O215,"Yes","No"))</f>
        <v>Yes</v>
      </c>
      <c r="T215" s="52" t="n">
        <f aca="false">IF(D215="","",ROUND(SQRT(((D215+G215)*O215/100)^2+(J215*(D215+G215)*0.08889)^2),0))</f>
        <v>148</v>
      </c>
      <c r="U215" s="25"/>
    </row>
    <row r="216" customFormat="false" ht="15" hidden="false" customHeight="false" outlineLevel="0" collapsed="false">
      <c r="A216" s="25" t="s">
        <v>378</v>
      </c>
      <c r="B216" s="25" t="s">
        <v>383</v>
      </c>
      <c r="C216" s="25" t="s">
        <v>384</v>
      </c>
      <c r="D216" s="52" t="n">
        <v>414</v>
      </c>
      <c r="E216" s="52" t="n">
        <v>521</v>
      </c>
      <c r="F216" s="63" t="n">
        <f aca="false">IF(E216="","",D216-E216)</f>
        <v>-107</v>
      </c>
      <c r="G216" s="52" t="n">
        <v>913</v>
      </c>
      <c r="H216" s="52" t="n">
        <v>997</v>
      </c>
      <c r="I216" s="63" t="n">
        <f aca="false">IF(H216="","",G216-H216)</f>
        <v>-84</v>
      </c>
      <c r="J216" s="53" t="n">
        <f aca="false">IF(OR(D216="",D216+G216=0),"",D216/(D216+G216))</f>
        <v>0.311981914091937</v>
      </c>
      <c r="K216" s="53" t="n">
        <f aca="false">IF(E216="","",E216/(E216+H216))</f>
        <v>0.343214756258235</v>
      </c>
      <c r="L216" s="64" t="n">
        <f aca="false">IF(OR(K216="",J216=""),"",(J216-K216)*100)</f>
        <v>-3.12328421662978</v>
      </c>
      <c r="M216" s="28" t="n">
        <v>2.1665403898083</v>
      </c>
      <c r="N216" s="28" t="n">
        <v>0.395142145636406</v>
      </c>
      <c r="O216" s="28" t="n">
        <f aca="false">SQRT(M216^2+N216^2)</f>
        <v>2.2022794046008</v>
      </c>
      <c r="P216" s="53" t="n">
        <f aca="false">IF(J216="","",MAX(0,J216-1.96*O216/100))</f>
        <v>0.268817237761761</v>
      </c>
      <c r="Q216" s="53" t="n">
        <f aca="false">IF(J216="","",MIN(1,J216+1.96*O216/100))</f>
        <v>0.355146590422112</v>
      </c>
      <c r="R216" s="25" t="str">
        <f aca="false">IF(L216="","",IF(ABS(L216)&lt;=O216,"Yes","No"))</f>
        <v>No</v>
      </c>
      <c r="S216" s="25" t="str">
        <f aca="false">IF(L216="","",IF(ABS(L216)&lt;=1.96*O216,"Yes","No"))</f>
        <v>Yes</v>
      </c>
      <c r="T216" s="52" t="n">
        <f aca="false">IF(D216="","",ROUND(SQRT(((D216+G216)*O216/100)^2+(J216*(D216+G216)*0.08889)^2),0))</f>
        <v>47</v>
      </c>
      <c r="U216" s="25"/>
    </row>
    <row r="217" customFormat="false" ht="15" hidden="false" customHeight="false" outlineLevel="0" collapsed="false">
      <c r="A217" s="25" t="s">
        <v>385</v>
      </c>
      <c r="B217" s="25" t="s">
        <v>386</v>
      </c>
      <c r="C217" s="25" t="s">
        <v>387</v>
      </c>
      <c r="D217" s="52" t="n">
        <v>664</v>
      </c>
      <c r="E217" s="52" t="n">
        <v>687</v>
      </c>
      <c r="F217" s="63" t="n">
        <f aca="false">IF(E217="","",D217-E217)</f>
        <v>-23</v>
      </c>
      <c r="G217" s="52" t="n">
        <v>1033</v>
      </c>
      <c r="H217" s="52" t="n">
        <v>1009</v>
      </c>
      <c r="I217" s="63" t="n">
        <f aca="false">IF(H217="","",G217-H217)</f>
        <v>24</v>
      </c>
      <c r="J217" s="53" t="n">
        <f aca="false">IF(OR(D217="",D217+G217=0),"",D217/(D217+G217))</f>
        <v>0.391278727165586</v>
      </c>
      <c r="K217" s="53" t="n">
        <f aca="false">IF(E217="","",E217/(E217+H217))</f>
        <v>0.405070754716981</v>
      </c>
      <c r="L217" s="64" t="n">
        <f aca="false">IF(OR(K217="",J217=""),"",(J217-K217)*100)</f>
        <v>-1.37920275513948</v>
      </c>
      <c r="M217" s="28" t="n">
        <v>2.1665403898083</v>
      </c>
      <c r="N217" s="28" t="n">
        <v>0.395142145636406</v>
      </c>
      <c r="O217" s="28" t="n">
        <f aca="false">SQRT(M217^2+N217^2)</f>
        <v>2.2022794046008</v>
      </c>
      <c r="P217" s="53" t="n">
        <f aca="false">IF(J217="","",MAX(0,J217-1.96*O217/100))</f>
        <v>0.348114050835411</v>
      </c>
      <c r="Q217" s="53" t="n">
        <f aca="false">IF(J217="","",MIN(1,J217+1.96*O217/100))</f>
        <v>0.434443403495762</v>
      </c>
      <c r="R217" s="25" t="str">
        <f aca="false">IF(L217="","",IF(ABS(L217)&lt;=O217,"Yes","No"))</f>
        <v>Yes</v>
      </c>
      <c r="S217" s="25" t="str">
        <f aca="false">IF(L217="","",IF(ABS(L217)&lt;=1.96*O217,"Yes","No"))</f>
        <v>Yes</v>
      </c>
      <c r="T217" s="52" t="n">
        <f aca="false">IF(D217="","",ROUND(SQRT(((D217+G217)*O217/100)^2+(J217*(D217+G217)*0.08889)^2),0))</f>
        <v>70</v>
      </c>
      <c r="U217" s="25"/>
    </row>
    <row r="218" customFormat="false" ht="15" hidden="false" customHeight="false" outlineLevel="0" collapsed="false">
      <c r="A218" s="25" t="s">
        <v>385</v>
      </c>
      <c r="B218" s="25" t="s">
        <v>386</v>
      </c>
      <c r="C218" s="25" t="s">
        <v>388</v>
      </c>
      <c r="D218" s="52" t="n">
        <v>818</v>
      </c>
      <c r="E218" s="52" t="n">
        <v>824</v>
      </c>
      <c r="F218" s="63" t="n">
        <f aca="false">IF(E218="","",D218-E218)</f>
        <v>-6</v>
      </c>
      <c r="G218" s="52" t="n">
        <v>948</v>
      </c>
      <c r="H218" s="52" t="n">
        <v>1009</v>
      </c>
      <c r="I218" s="63" t="n">
        <f aca="false">IF(H218="","",G218-H218)</f>
        <v>-61</v>
      </c>
      <c r="J218" s="53" t="n">
        <f aca="false">IF(OR(D218="",D218+G218=0),"",D218/(D218+G218))</f>
        <v>0.463193657984145</v>
      </c>
      <c r="K218" s="53" t="n">
        <f aca="false">IF(E218="","",E218/(E218+H218))</f>
        <v>0.449536279323513</v>
      </c>
      <c r="L218" s="64" t="n">
        <f aca="false">IF(OR(K218="",J218=""),"",(J218-K218)*100)</f>
        <v>1.36573786606316</v>
      </c>
      <c r="M218" s="28" t="n">
        <v>2.1665403898083</v>
      </c>
      <c r="N218" s="28" t="n">
        <v>0.395142145636406</v>
      </c>
      <c r="O218" s="28" t="n">
        <f aca="false">SQRT(M218^2+N218^2)</f>
        <v>2.2022794046008</v>
      </c>
      <c r="P218" s="53" t="n">
        <f aca="false">IF(J218="","",MAX(0,J218-1.96*O218/100))</f>
        <v>0.420028981653969</v>
      </c>
      <c r="Q218" s="53" t="n">
        <f aca="false">IF(J218="","",MIN(1,J218+1.96*O218/100))</f>
        <v>0.506358334314321</v>
      </c>
      <c r="R218" s="25" t="str">
        <f aca="false">IF(L218="","",IF(ABS(L218)&lt;=O218,"Yes","No"))</f>
        <v>Yes</v>
      </c>
      <c r="S218" s="25" t="str">
        <f aca="false">IF(L218="","",IF(ABS(L218)&lt;=1.96*O218,"Yes","No"))</f>
        <v>Yes</v>
      </c>
      <c r="T218" s="52" t="n">
        <f aca="false">IF(D218="","",ROUND(SQRT(((D218+G218)*O218/100)^2+(J218*(D218+G218)*0.08889)^2),0))</f>
        <v>82</v>
      </c>
      <c r="U218" s="25"/>
    </row>
    <row r="219" customFormat="false" ht="15" hidden="false" customHeight="false" outlineLevel="0" collapsed="false">
      <c r="A219" s="25" t="s">
        <v>385</v>
      </c>
      <c r="B219" s="25" t="s">
        <v>389</v>
      </c>
      <c r="C219" s="25" t="s">
        <v>390</v>
      </c>
      <c r="D219" s="52" t="n">
        <v>481</v>
      </c>
      <c r="E219" s="52"/>
      <c r="F219" s="63" t="str">
        <f aca="false">IF(E219="","",D219-E219)</f>
        <v/>
      </c>
      <c r="G219" s="52" t="n">
        <v>741</v>
      </c>
      <c r="H219" s="52"/>
      <c r="I219" s="63" t="str">
        <f aca="false">IF(H219="","",G219-H219)</f>
        <v/>
      </c>
      <c r="J219" s="53" t="n">
        <f aca="false">IF(OR(D219="",D219+G219=0),"",D219/(D219+G219))</f>
        <v>0.393617021276596</v>
      </c>
      <c r="K219" s="53" t="str">
        <f aca="false">IF(E219="","",E219/(E219+H219))</f>
        <v/>
      </c>
      <c r="L219" s="64" t="str">
        <f aca="false">IF(OR(K219="",J219=""),"",(J219-K219)*100)</f>
        <v/>
      </c>
      <c r="M219" s="28" t="n">
        <v>2.1665403898083</v>
      </c>
      <c r="N219" s="28" t="n">
        <v>0.395142145636406</v>
      </c>
      <c r="O219" s="28" t="n">
        <f aca="false">SQRT(M219^2+N219^2)</f>
        <v>2.2022794046008</v>
      </c>
      <c r="P219" s="53" t="n">
        <f aca="false">IF(J219="","",MAX(0,J219-1.96*O219/100))</f>
        <v>0.35045234494642</v>
      </c>
      <c r="Q219" s="53" t="n">
        <f aca="false">IF(J219="","",MIN(1,J219+1.96*O219/100))</f>
        <v>0.436781697606771</v>
      </c>
      <c r="R219" s="25" t="str">
        <f aca="false">IF(L219="","",IF(ABS(L219)&lt;=O219,"Yes","No"))</f>
        <v/>
      </c>
      <c r="S219" s="25" t="str">
        <f aca="false">IF(L219="","",IF(ABS(L219)&lt;=1.96*O219,"Yes","No"))</f>
        <v/>
      </c>
      <c r="T219" s="52" t="n">
        <f aca="false">IF(D219="","",ROUND(SQRT(((D219+G219)*O219/100)^2+(J219*(D219+G219)*0.08889)^2),0))</f>
        <v>51</v>
      </c>
      <c r="U219" s="25" t="s">
        <v>702</v>
      </c>
    </row>
    <row r="220" customFormat="false" ht="15" hidden="false" customHeight="false" outlineLevel="0" collapsed="false">
      <c r="A220" s="25" t="s">
        <v>385</v>
      </c>
      <c r="B220" s="25" t="s">
        <v>389</v>
      </c>
      <c r="C220" s="25" t="s">
        <v>391</v>
      </c>
      <c r="D220" s="52" t="n">
        <v>449</v>
      </c>
      <c r="E220" s="52"/>
      <c r="F220" s="63" t="str">
        <f aca="false">IF(E220="","",D220-E220)</f>
        <v/>
      </c>
      <c r="G220" s="52" t="n">
        <v>640</v>
      </c>
      <c r="H220" s="52"/>
      <c r="I220" s="63" t="str">
        <f aca="false">IF(H220="","",G220-H220)</f>
        <v/>
      </c>
      <c r="J220" s="53" t="n">
        <f aca="false">IF(OR(D220="",D220+G220=0),"",D220/(D220+G220))</f>
        <v>0.412304866850321</v>
      </c>
      <c r="K220" s="53" t="str">
        <f aca="false">IF(E220="","",E220/(E220+H220))</f>
        <v/>
      </c>
      <c r="L220" s="64" t="str">
        <f aca="false">IF(OR(K220="",J220=""),"",(J220-K220)*100)</f>
        <v/>
      </c>
      <c r="M220" s="28" t="n">
        <v>2.40127504711013</v>
      </c>
      <c r="N220" s="28" t="n">
        <v>0.395142145636406</v>
      </c>
      <c r="O220" s="28" t="n">
        <f aca="false">SQRT(M220^2+N220^2)</f>
        <v>2.43356922382165</v>
      </c>
      <c r="P220" s="53" t="n">
        <f aca="false">IF(J220="","",MAX(0,J220-1.96*O220/100))</f>
        <v>0.364606910063417</v>
      </c>
      <c r="Q220" s="53" t="n">
        <f aca="false">IF(J220="","",MIN(1,J220+1.96*O220/100))</f>
        <v>0.460002823637226</v>
      </c>
      <c r="R220" s="25" t="str">
        <f aca="false">IF(L220="","",IF(ABS(L220)&lt;=O220,"Yes","No"))</f>
        <v/>
      </c>
      <c r="S220" s="25" t="str">
        <f aca="false">IF(L220="","",IF(ABS(L220)&lt;=1.96*O220,"Yes","No"))</f>
        <v/>
      </c>
      <c r="T220" s="52" t="n">
        <f aca="false">IF(D220="","",ROUND(SQRT(((D220+G220)*O220/100)^2+(J220*(D220+G220)*0.10931)^2),0))</f>
        <v>56</v>
      </c>
      <c r="U220" s="25" t="s">
        <v>702</v>
      </c>
    </row>
    <row r="221" customFormat="false" ht="15" hidden="false" customHeight="false" outlineLevel="0" collapsed="false">
      <c r="A221" s="25" t="s">
        <v>385</v>
      </c>
      <c r="B221" s="25" t="s">
        <v>392</v>
      </c>
      <c r="C221" s="25" t="s">
        <v>393</v>
      </c>
      <c r="D221" s="52" t="n">
        <v>610</v>
      </c>
      <c r="E221" s="52" t="n">
        <v>623</v>
      </c>
      <c r="F221" s="63" t="n">
        <f aca="false">IF(E221="","",D221-E221)</f>
        <v>-13</v>
      </c>
      <c r="G221" s="52" t="n">
        <v>760</v>
      </c>
      <c r="H221" s="52" t="n">
        <v>726</v>
      </c>
      <c r="I221" s="63" t="n">
        <f aca="false">IF(H221="","",G221-H221)</f>
        <v>34</v>
      </c>
      <c r="J221" s="53" t="n">
        <f aca="false">IF(OR(D221="",D221+G221=0),"",D221/(D221+G221))</f>
        <v>0.445255474452555</v>
      </c>
      <c r="K221" s="53" t="n">
        <f aca="false">IF(E221="","",E221/(E221+H221))</f>
        <v>0.46182357301705</v>
      </c>
      <c r="L221" s="64" t="n">
        <f aca="false">IF(OR(K221="",J221=""),"",(J221-K221)*100)</f>
        <v>-1.65680985644949</v>
      </c>
      <c r="M221" s="28" t="n">
        <v>2.1665403898083</v>
      </c>
      <c r="N221" s="28" t="n">
        <v>0.395142145636406</v>
      </c>
      <c r="O221" s="28" t="n">
        <f aca="false">SQRT(M221^2+N221^2)</f>
        <v>2.2022794046008</v>
      </c>
      <c r="P221" s="53" t="n">
        <f aca="false">IF(J221="","",MAX(0,J221-1.96*O221/100))</f>
        <v>0.402090798122379</v>
      </c>
      <c r="Q221" s="53" t="n">
        <f aca="false">IF(J221="","",MIN(1,J221+1.96*O221/100))</f>
        <v>0.48842015078273</v>
      </c>
      <c r="R221" s="25" t="str">
        <f aca="false">IF(L221="","",IF(ABS(L221)&lt;=O221,"Yes","No"))</f>
        <v>Yes</v>
      </c>
      <c r="S221" s="25" t="str">
        <f aca="false">IF(L221="","",IF(ABS(L221)&lt;=1.96*O221,"Yes","No"))</f>
        <v>Yes</v>
      </c>
      <c r="T221" s="52" t="n">
        <f aca="false">IF(D221="","",ROUND(SQRT(((D221+G221)*O221/100)^2+(J221*(D221+G221)*0.08889)^2),0))</f>
        <v>62</v>
      </c>
      <c r="U221" s="25"/>
    </row>
    <row r="222" customFormat="false" ht="15" hidden="false" customHeight="false" outlineLevel="0" collapsed="false">
      <c r="A222" s="25" t="s">
        <v>385</v>
      </c>
      <c r="B222" s="25" t="s">
        <v>260</v>
      </c>
      <c r="C222" s="25" t="s">
        <v>394</v>
      </c>
      <c r="D222" s="52" t="n">
        <v>721</v>
      </c>
      <c r="E222" s="52" t="n">
        <v>775</v>
      </c>
      <c r="F222" s="63" t="n">
        <f aca="false">IF(E222="","",D222-E222)</f>
        <v>-54</v>
      </c>
      <c r="G222" s="52" t="n">
        <v>456</v>
      </c>
      <c r="H222" s="52" t="n">
        <v>447</v>
      </c>
      <c r="I222" s="63" t="n">
        <f aca="false">IF(H222="","",G222-H222)</f>
        <v>9</v>
      </c>
      <c r="J222" s="53" t="n">
        <f aca="false">IF(OR(D222="",D222+G222=0),"",D222/(D222+G222))</f>
        <v>0.612574341546304</v>
      </c>
      <c r="K222" s="53" t="n">
        <f aca="false">IF(E222="","",E222/(E222+H222))</f>
        <v>0.634206219312602</v>
      </c>
      <c r="L222" s="64" t="n">
        <f aca="false">IF(OR(K222="",J222=""),"",(J222-K222)*100)</f>
        <v>-2.1631877766298</v>
      </c>
      <c r="M222" s="28" t="n">
        <v>2.40127504711013</v>
      </c>
      <c r="N222" s="28" t="n">
        <v>0.395142145636406</v>
      </c>
      <c r="O222" s="28" t="n">
        <f aca="false">SQRT(M222^2+N222^2)</f>
        <v>2.43356922382165</v>
      </c>
      <c r="P222" s="53" t="n">
        <f aca="false">IF(J222="","",MAX(0,J222-1.96*O222/100))</f>
        <v>0.5648763847594</v>
      </c>
      <c r="Q222" s="53" t="n">
        <f aca="false">IF(J222="","",MIN(1,J222+1.96*O222/100))</f>
        <v>0.660272298333208</v>
      </c>
      <c r="R222" s="25" t="str">
        <f aca="false">IF(L222="","",IF(ABS(L222)&lt;=O222,"Yes","No"))</f>
        <v>Yes</v>
      </c>
      <c r="S222" s="25" t="str">
        <f aca="false">IF(L222="","",IF(ABS(L222)&lt;=1.96*O222,"Yes","No"))</f>
        <v>Yes</v>
      </c>
      <c r="T222" s="52" t="n">
        <f aca="false">IF(D222="","",ROUND(SQRT(((D222+G222)*O222/100)^2+(J222*(D222+G222)*0.10931)^2),0))</f>
        <v>84</v>
      </c>
      <c r="U222" s="25"/>
    </row>
    <row r="223" customFormat="false" ht="15" hidden="false" customHeight="false" outlineLevel="0" collapsed="false">
      <c r="A223" s="25" t="s">
        <v>385</v>
      </c>
      <c r="B223" s="25" t="s">
        <v>260</v>
      </c>
      <c r="C223" s="25" t="s">
        <v>395</v>
      </c>
      <c r="D223" s="52" t="n">
        <v>986</v>
      </c>
      <c r="E223" s="52" t="n">
        <v>982</v>
      </c>
      <c r="F223" s="63" t="n">
        <f aca="false">IF(E223="","",D223-E223)</f>
        <v>4</v>
      </c>
      <c r="G223" s="52" t="n">
        <v>653</v>
      </c>
      <c r="H223" s="52" t="n">
        <v>684</v>
      </c>
      <c r="I223" s="63" t="n">
        <f aca="false">IF(H223="","",G223-H223)</f>
        <v>-31</v>
      </c>
      <c r="J223" s="53" t="n">
        <f aca="false">IF(OR(D223="",D223+G223=0),"",D223/(D223+G223))</f>
        <v>0.601586333129957</v>
      </c>
      <c r="K223" s="53" t="n">
        <f aca="false">IF(E223="","",E223/(E223+H223))</f>
        <v>0.589435774309724</v>
      </c>
      <c r="L223" s="64" t="n">
        <f aca="false">IF(OR(K223="",J223=""),"",(J223-K223)*100)</f>
        <v>1.21505588202333</v>
      </c>
      <c r="M223" s="28" t="n">
        <v>2.1665403898083</v>
      </c>
      <c r="N223" s="28" t="n">
        <v>0.395142145636406</v>
      </c>
      <c r="O223" s="28" t="n">
        <f aca="false">SQRT(M223^2+N223^2)</f>
        <v>2.2022794046008</v>
      </c>
      <c r="P223" s="53" t="n">
        <f aca="false">IF(J223="","",MAX(0,J223-1.96*O223/100))</f>
        <v>0.558421656799782</v>
      </c>
      <c r="Q223" s="53" t="n">
        <f aca="false">IF(J223="","",MIN(1,J223+1.96*O223/100))</f>
        <v>0.644751009460133</v>
      </c>
      <c r="R223" s="25" t="str">
        <f aca="false">IF(L223="","",IF(ABS(L223)&lt;=O223,"Yes","No"))</f>
        <v>Yes</v>
      </c>
      <c r="S223" s="25" t="str">
        <f aca="false">IF(L223="","",IF(ABS(L223)&lt;=1.96*O223,"Yes","No"))</f>
        <v>Yes</v>
      </c>
      <c r="T223" s="52" t="n">
        <f aca="false">IF(D223="","",ROUND(SQRT(((D223+G223)*O223/100)^2+(J223*(D223+G223)*0.08889)^2),0))</f>
        <v>95</v>
      </c>
      <c r="U223" s="25"/>
    </row>
    <row r="224" customFormat="false" ht="15" hidden="false" customHeight="false" outlineLevel="0" collapsed="false">
      <c r="A224" s="25" t="s">
        <v>385</v>
      </c>
      <c r="B224" s="25" t="s">
        <v>260</v>
      </c>
      <c r="C224" s="25" t="s">
        <v>396</v>
      </c>
      <c r="D224" s="52" t="n">
        <v>736</v>
      </c>
      <c r="E224" s="52" t="n">
        <v>750</v>
      </c>
      <c r="F224" s="63" t="n">
        <f aca="false">IF(E224="","",D224-E224)</f>
        <v>-14</v>
      </c>
      <c r="G224" s="52" t="n">
        <v>425</v>
      </c>
      <c r="H224" s="52" t="n">
        <v>421</v>
      </c>
      <c r="I224" s="63" t="n">
        <f aca="false">IF(H224="","",G224-H224)</f>
        <v>4</v>
      </c>
      <c r="J224" s="53" t="n">
        <f aca="false">IF(OR(D224="",D224+G224=0),"",D224/(D224+G224))</f>
        <v>0.633936261843239</v>
      </c>
      <c r="K224" s="53" t="n">
        <f aca="false">IF(E224="","",E224/(E224+H224))</f>
        <v>0.640478223740393</v>
      </c>
      <c r="L224" s="64" t="n">
        <f aca="false">IF(OR(K224="",J224=""),"",(J224-K224)*100)</f>
        <v>-0.654196189715428</v>
      </c>
      <c r="M224" s="28" t="n">
        <v>2.40127504711013</v>
      </c>
      <c r="N224" s="28" t="n">
        <v>0.395142145636406</v>
      </c>
      <c r="O224" s="28" t="n">
        <f aca="false">SQRT(M224^2+N224^2)</f>
        <v>2.43356922382165</v>
      </c>
      <c r="P224" s="53" t="n">
        <f aca="false">IF(J224="","",MAX(0,J224-1.96*O224/100))</f>
        <v>0.586238305056334</v>
      </c>
      <c r="Q224" s="53" t="n">
        <f aca="false">IF(J224="","",MIN(1,J224+1.96*O224/100))</f>
        <v>0.681634218630143</v>
      </c>
      <c r="R224" s="25" t="str">
        <f aca="false">IF(L224="","",IF(ABS(L224)&lt;=O224,"Yes","No"))</f>
        <v>Yes</v>
      </c>
      <c r="S224" s="25" t="str">
        <f aca="false">IF(L224="","",IF(ABS(L224)&lt;=1.96*O224,"Yes","No"))</f>
        <v>Yes</v>
      </c>
      <c r="T224" s="52" t="n">
        <f aca="false">IF(D224="","",ROUND(SQRT(((D224+G224)*O224/100)^2+(J224*(D224+G224)*0.10931)^2),0))</f>
        <v>85</v>
      </c>
      <c r="U224" s="25"/>
    </row>
    <row r="225" customFormat="false" ht="15" hidden="false" customHeight="false" outlineLevel="0" collapsed="false">
      <c r="A225" s="25" t="s">
        <v>385</v>
      </c>
      <c r="B225" s="25" t="s">
        <v>260</v>
      </c>
      <c r="C225" s="25" t="s">
        <v>397</v>
      </c>
      <c r="D225" s="52" t="n">
        <v>581</v>
      </c>
      <c r="E225" s="52" t="n">
        <v>592</v>
      </c>
      <c r="F225" s="63" t="n">
        <f aca="false">IF(E225="","",D225-E225)</f>
        <v>-11</v>
      </c>
      <c r="G225" s="52" t="n">
        <v>352</v>
      </c>
      <c r="H225" s="52" t="n">
        <v>337</v>
      </c>
      <c r="I225" s="63" t="n">
        <f aca="false">IF(H225="","",G225-H225)</f>
        <v>15</v>
      </c>
      <c r="J225" s="53" t="n">
        <f aca="false">IF(OR(D225="",D225+G225=0),"",D225/(D225+G225))</f>
        <v>0.622722400857449</v>
      </c>
      <c r="K225" s="53" t="n">
        <f aca="false">IF(E225="","",E225/(E225+H225))</f>
        <v>0.63724434876211</v>
      </c>
      <c r="L225" s="64" t="n">
        <f aca="false">IF(OR(K225="",J225=""),"",(J225-K225)*100)</f>
        <v>-1.45219479046607</v>
      </c>
      <c r="M225" s="28" t="n">
        <v>2.40127504711013</v>
      </c>
      <c r="N225" s="28" t="n">
        <v>0.395142145636406</v>
      </c>
      <c r="O225" s="28" t="n">
        <f aca="false">SQRT(M225^2+N225^2)</f>
        <v>2.43356922382165</v>
      </c>
      <c r="P225" s="53" t="n">
        <f aca="false">IF(J225="","",MAX(0,J225-1.96*O225/100))</f>
        <v>0.575024444070545</v>
      </c>
      <c r="Q225" s="53" t="n">
        <f aca="false">IF(J225="","",MIN(1,J225+1.96*O225/100))</f>
        <v>0.670420357644353</v>
      </c>
      <c r="R225" s="25" t="str">
        <f aca="false">IF(L225="","",IF(ABS(L225)&lt;=O225,"Yes","No"))</f>
        <v>Yes</v>
      </c>
      <c r="S225" s="25" t="str">
        <f aca="false">IF(L225="","",IF(ABS(L225)&lt;=1.96*O225,"Yes","No"))</f>
        <v>Yes</v>
      </c>
      <c r="T225" s="52" t="n">
        <f aca="false">IF(D225="","",ROUND(SQRT(((D225+G225)*O225/100)^2+(J225*(D225+G225)*0.10931)^2),0))</f>
        <v>67</v>
      </c>
      <c r="U225" s="25"/>
    </row>
    <row r="226" customFormat="false" ht="15" hidden="false" customHeight="false" outlineLevel="0" collapsed="false">
      <c r="A226" s="25" t="s">
        <v>385</v>
      </c>
      <c r="B226" s="25" t="s">
        <v>260</v>
      </c>
      <c r="C226" s="25" t="s">
        <v>398</v>
      </c>
      <c r="D226" s="52" t="n">
        <v>765</v>
      </c>
      <c r="E226" s="52" t="n">
        <v>740</v>
      </c>
      <c r="F226" s="63" t="n">
        <f aca="false">IF(E226="","",D226-E226)</f>
        <v>25</v>
      </c>
      <c r="G226" s="52" t="n">
        <v>517</v>
      </c>
      <c r="H226" s="52" t="n">
        <v>506</v>
      </c>
      <c r="I226" s="63" t="n">
        <f aca="false">IF(H226="","",G226-H226)</f>
        <v>11</v>
      </c>
      <c r="J226" s="53" t="n">
        <f aca="false">IF(OR(D226="",D226+G226=0),"",D226/(D226+G226))</f>
        <v>0.596723868954758</v>
      </c>
      <c r="K226" s="53" t="n">
        <f aca="false">IF(E226="","",E226/(E226+H226))</f>
        <v>0.593900481540931</v>
      </c>
      <c r="L226" s="64" t="n">
        <f aca="false">IF(OR(K226="",J226=""),"",(J226-K226)*100)</f>
        <v>0.282338741382715</v>
      </c>
      <c r="M226" s="28" t="n">
        <v>2.1665403898083</v>
      </c>
      <c r="N226" s="28" t="n">
        <v>0.395142145636406</v>
      </c>
      <c r="O226" s="28" t="n">
        <f aca="false">SQRT(M226^2+N226^2)</f>
        <v>2.2022794046008</v>
      </c>
      <c r="P226" s="53" t="n">
        <f aca="false">IF(J226="","",MAX(0,J226-1.96*O226/100))</f>
        <v>0.553559192624582</v>
      </c>
      <c r="Q226" s="53" t="n">
        <f aca="false">IF(J226="","",MIN(1,J226+1.96*O226/100))</f>
        <v>0.639888545284934</v>
      </c>
      <c r="R226" s="25" t="str">
        <f aca="false">IF(L226="","",IF(ABS(L226)&lt;=O226,"Yes","No"))</f>
        <v>Yes</v>
      </c>
      <c r="S226" s="25" t="str">
        <f aca="false">IF(L226="","",IF(ABS(L226)&lt;=1.96*O226,"Yes","No"))</f>
        <v>Yes</v>
      </c>
      <c r="T226" s="52" t="n">
        <f aca="false">IF(D226="","",ROUND(SQRT(((D226+G226)*O226/100)^2+(J226*(D226+G226)*0.08889)^2),0))</f>
        <v>74</v>
      </c>
      <c r="U226" s="25"/>
    </row>
    <row r="227" customFormat="false" ht="15" hidden="false" customHeight="false" outlineLevel="0" collapsed="false">
      <c r="A227" s="25" t="s">
        <v>385</v>
      </c>
      <c r="B227" s="25" t="s">
        <v>260</v>
      </c>
      <c r="C227" s="25" t="s">
        <v>399</v>
      </c>
      <c r="D227" s="52" t="n">
        <v>1035</v>
      </c>
      <c r="E227" s="52" t="n">
        <v>1037</v>
      </c>
      <c r="F227" s="63" t="n">
        <f aca="false">IF(E227="","",D227-E227)</f>
        <v>-2</v>
      </c>
      <c r="G227" s="52" t="n">
        <v>623</v>
      </c>
      <c r="H227" s="52" t="n">
        <v>623</v>
      </c>
      <c r="I227" s="63" t="n">
        <f aca="false">IF(H227="","",G227-H227)</f>
        <v>0</v>
      </c>
      <c r="J227" s="53" t="n">
        <f aca="false">IF(OR(D227="",D227+G227=0),"",D227/(D227+G227))</f>
        <v>0.624246079613993</v>
      </c>
      <c r="K227" s="53" t="n">
        <f aca="false">IF(E227="","",E227/(E227+H227))</f>
        <v>0.624698795180723</v>
      </c>
      <c r="L227" s="64" t="n">
        <f aca="false">IF(OR(K227="",J227=""),"",(J227-K227)*100)</f>
        <v>-0.04527155667301</v>
      </c>
      <c r="M227" s="28" t="n">
        <v>2.1665403898083</v>
      </c>
      <c r="N227" s="28" t="n">
        <v>0.395142145636406</v>
      </c>
      <c r="O227" s="28" t="n">
        <f aca="false">SQRT(M227^2+N227^2)</f>
        <v>2.2022794046008</v>
      </c>
      <c r="P227" s="53" t="n">
        <f aca="false">IF(J227="","",MAX(0,J227-1.96*O227/100))</f>
        <v>0.581081403283817</v>
      </c>
      <c r="Q227" s="53" t="n">
        <f aca="false">IF(J227="","",MIN(1,J227+1.96*O227/100))</f>
        <v>0.667410755944169</v>
      </c>
      <c r="R227" s="25" t="str">
        <f aca="false">IF(L227="","",IF(ABS(L227)&lt;=O227,"Yes","No"))</f>
        <v>Yes</v>
      </c>
      <c r="S227" s="25" t="str">
        <f aca="false">IF(L227="","",IF(ABS(L227)&lt;=1.96*O227,"Yes","No"))</f>
        <v>Yes</v>
      </c>
      <c r="T227" s="52" t="n">
        <f aca="false">IF(D227="","",ROUND(SQRT(((D227+G227)*O227/100)^2+(J227*(D227+G227)*0.08889)^2),0))</f>
        <v>99</v>
      </c>
      <c r="U227" s="25"/>
    </row>
    <row r="228" customFormat="false" ht="15" hidden="false" customHeight="false" outlineLevel="0" collapsed="false">
      <c r="A228" s="25" t="s">
        <v>385</v>
      </c>
      <c r="B228" s="25" t="s">
        <v>260</v>
      </c>
      <c r="C228" s="25" t="s">
        <v>400</v>
      </c>
      <c r="D228" s="52" t="n">
        <v>689</v>
      </c>
      <c r="E228" s="52" t="n">
        <v>681</v>
      </c>
      <c r="F228" s="63" t="n">
        <f aca="false">IF(E228="","",D228-E228)</f>
        <v>8</v>
      </c>
      <c r="G228" s="52" t="n">
        <v>475</v>
      </c>
      <c r="H228" s="52" t="n">
        <v>513</v>
      </c>
      <c r="I228" s="63" t="n">
        <f aca="false">IF(H228="","",G228-H228)</f>
        <v>-38</v>
      </c>
      <c r="J228" s="53" t="n">
        <f aca="false">IF(OR(D228="",D228+G228=0),"",D228/(D228+G228))</f>
        <v>0.59192439862543</v>
      </c>
      <c r="K228" s="53" t="n">
        <f aca="false">IF(E228="","",E228/(E228+H228))</f>
        <v>0.57035175879397</v>
      </c>
      <c r="L228" s="64" t="n">
        <f aca="false">IF(OR(K228="",J228=""),"",(J228-K228)*100)</f>
        <v>2.15726398314597</v>
      </c>
      <c r="M228" s="28" t="n">
        <v>2.40127504711013</v>
      </c>
      <c r="N228" s="28" t="n">
        <v>0.395142145636406</v>
      </c>
      <c r="O228" s="28" t="n">
        <f aca="false">SQRT(M228^2+N228^2)</f>
        <v>2.43356922382165</v>
      </c>
      <c r="P228" s="53" t="n">
        <f aca="false">IF(J228="","",MAX(0,J228-1.96*O228/100))</f>
        <v>0.544226441838525</v>
      </c>
      <c r="Q228" s="53" t="n">
        <f aca="false">IF(J228="","",MIN(1,J228+1.96*O228/100))</f>
        <v>0.639622355412334</v>
      </c>
      <c r="R228" s="25" t="str">
        <f aca="false">IF(L228="","",IF(ABS(L228)&lt;=O228,"Yes","No"))</f>
        <v>Yes</v>
      </c>
      <c r="S228" s="25" t="str">
        <f aca="false">IF(L228="","",IF(ABS(L228)&lt;=1.96*O228,"Yes","No"))</f>
        <v>Yes</v>
      </c>
      <c r="T228" s="52" t="n">
        <f aca="false">IF(D228="","",ROUND(SQRT(((D228+G228)*O228/100)^2+(J228*(D228+G228)*0.10931)^2),0))</f>
        <v>80</v>
      </c>
      <c r="U228" s="25"/>
    </row>
    <row r="229" customFormat="false" ht="15" hidden="false" customHeight="false" outlineLevel="0" collapsed="false">
      <c r="A229" s="25" t="s">
        <v>385</v>
      </c>
      <c r="B229" s="25" t="s">
        <v>260</v>
      </c>
      <c r="C229" s="25" t="s">
        <v>401</v>
      </c>
      <c r="D229" s="52" t="n">
        <v>526</v>
      </c>
      <c r="E229" s="52" t="n">
        <v>529</v>
      </c>
      <c r="F229" s="63" t="n">
        <f aca="false">IF(E229="","",D229-E229)</f>
        <v>-3</v>
      </c>
      <c r="G229" s="52" t="n">
        <v>318</v>
      </c>
      <c r="H229" s="52" t="n">
        <v>293</v>
      </c>
      <c r="I229" s="63" t="n">
        <f aca="false">IF(H229="","",G229-H229)</f>
        <v>25</v>
      </c>
      <c r="J229" s="53" t="n">
        <f aca="false">IF(OR(D229="",D229+G229=0),"",D229/(D229+G229))</f>
        <v>0.623222748815166</v>
      </c>
      <c r="K229" s="53" t="n">
        <f aca="false">IF(E229="","",E229/(E229+H229))</f>
        <v>0.643552311435523</v>
      </c>
      <c r="L229" s="64" t="n">
        <f aca="false">IF(OR(K229="",J229=""),"",(J229-K229)*100)</f>
        <v>-2.03295626203572</v>
      </c>
      <c r="M229" s="28" t="n">
        <v>2.40127504711013</v>
      </c>
      <c r="N229" s="28" t="n">
        <v>0.395142145636406</v>
      </c>
      <c r="O229" s="28" t="n">
        <f aca="false">SQRT(M229^2+N229^2)</f>
        <v>2.43356922382165</v>
      </c>
      <c r="P229" s="53" t="n">
        <f aca="false">IF(J229="","",MAX(0,J229-1.96*O229/100))</f>
        <v>0.575524792028262</v>
      </c>
      <c r="Q229" s="53" t="n">
        <f aca="false">IF(J229="","",MIN(1,J229+1.96*O229/100))</f>
        <v>0.67092070560207</v>
      </c>
      <c r="R229" s="25" t="str">
        <f aca="false">IF(L229="","",IF(ABS(L229)&lt;=O229,"Yes","No"))</f>
        <v>Yes</v>
      </c>
      <c r="S229" s="25" t="str">
        <f aca="false">IF(L229="","",IF(ABS(L229)&lt;=1.96*O229,"Yes","No"))</f>
        <v>Yes</v>
      </c>
      <c r="T229" s="52" t="n">
        <f aca="false">IF(D229="","",ROUND(SQRT(((D229+G229)*O229/100)^2+(J229*(D229+G229)*0.10931)^2),0))</f>
        <v>61</v>
      </c>
      <c r="U229" s="25"/>
    </row>
    <row r="230" customFormat="false" ht="15" hidden="false" customHeight="false" outlineLevel="0" collapsed="false">
      <c r="A230" s="25" t="s">
        <v>385</v>
      </c>
      <c r="B230" s="25" t="s">
        <v>260</v>
      </c>
      <c r="C230" s="25" t="s">
        <v>402</v>
      </c>
      <c r="D230" s="52" t="n">
        <v>727</v>
      </c>
      <c r="E230" s="52" t="n">
        <v>767</v>
      </c>
      <c r="F230" s="63" t="n">
        <f aca="false">IF(E230="","",D230-E230)</f>
        <v>-40</v>
      </c>
      <c r="G230" s="52" t="n">
        <v>388</v>
      </c>
      <c r="H230" s="52" t="n">
        <v>384</v>
      </c>
      <c r="I230" s="63" t="n">
        <f aca="false">IF(H230="","",G230-H230)</f>
        <v>4</v>
      </c>
      <c r="J230" s="53" t="n">
        <f aca="false">IF(OR(D230="",D230+G230=0),"",D230/(D230+G230))</f>
        <v>0.652017937219731</v>
      </c>
      <c r="K230" s="53" t="n">
        <f aca="false">IF(E230="","",E230/(E230+H230))</f>
        <v>0.66637706342311</v>
      </c>
      <c r="L230" s="64" t="n">
        <f aca="false">IF(OR(K230="",J230=""),"",(J230-K230)*100)</f>
        <v>-1.43591262033794</v>
      </c>
      <c r="M230" s="28" t="n">
        <v>2.40127504711013</v>
      </c>
      <c r="N230" s="28" t="n">
        <v>0.395142145636406</v>
      </c>
      <c r="O230" s="28" t="n">
        <f aca="false">SQRT(M230^2+N230^2)</f>
        <v>2.43356922382165</v>
      </c>
      <c r="P230" s="53" t="n">
        <f aca="false">IF(J230="","",MAX(0,J230-1.96*O230/100))</f>
        <v>0.604319980432827</v>
      </c>
      <c r="Q230" s="53" t="n">
        <f aca="false">IF(J230="","",MIN(1,J230+1.96*O230/100))</f>
        <v>0.699715894006635</v>
      </c>
      <c r="R230" s="25" t="str">
        <f aca="false">IF(L230="","",IF(ABS(L230)&lt;=O230,"Yes","No"))</f>
        <v>Yes</v>
      </c>
      <c r="S230" s="25" t="str">
        <f aca="false">IF(L230="","",IF(ABS(L230)&lt;=1.96*O230,"Yes","No"))</f>
        <v>Yes</v>
      </c>
      <c r="T230" s="52" t="n">
        <f aca="false">IF(D230="","",ROUND(SQRT(((D230+G230)*O230/100)^2+(J230*(D230+G230)*0.10931)^2),0))</f>
        <v>84</v>
      </c>
      <c r="U230" s="25"/>
    </row>
    <row r="231" customFormat="false" ht="15" hidden="false" customHeight="false" outlineLevel="0" collapsed="false">
      <c r="A231" s="25" t="s">
        <v>385</v>
      </c>
      <c r="B231" s="25" t="s">
        <v>260</v>
      </c>
      <c r="C231" s="25" t="s">
        <v>403</v>
      </c>
      <c r="D231" s="52" t="n">
        <v>919</v>
      </c>
      <c r="E231" s="52" t="n">
        <v>906</v>
      </c>
      <c r="F231" s="63" t="n">
        <f aca="false">IF(E231="","",D231-E231)</f>
        <v>13</v>
      </c>
      <c r="G231" s="52" t="n">
        <v>566</v>
      </c>
      <c r="H231" s="52" t="n">
        <v>586</v>
      </c>
      <c r="I231" s="63" t="n">
        <f aca="false">IF(H231="","",G231-H231)</f>
        <v>-20</v>
      </c>
      <c r="J231" s="53" t="n">
        <f aca="false">IF(OR(D231="",D231+G231=0),"",D231/(D231+G231))</f>
        <v>0.618855218855219</v>
      </c>
      <c r="K231" s="53" t="n">
        <f aca="false">IF(E231="","",E231/(E231+H231))</f>
        <v>0.607238605898123</v>
      </c>
      <c r="L231" s="64" t="n">
        <f aca="false">IF(OR(K231="",J231=""),"",(J231-K231)*100)</f>
        <v>1.16166129570956</v>
      </c>
      <c r="M231" s="28" t="n">
        <v>2.1665403898083</v>
      </c>
      <c r="N231" s="28" t="n">
        <v>0.395142145636406</v>
      </c>
      <c r="O231" s="28" t="n">
        <f aca="false">SQRT(M231^2+N231^2)</f>
        <v>2.2022794046008</v>
      </c>
      <c r="P231" s="53" t="n">
        <f aca="false">IF(J231="","",MAX(0,J231-1.96*O231/100))</f>
        <v>0.575690542525043</v>
      </c>
      <c r="Q231" s="53" t="n">
        <f aca="false">IF(J231="","",MIN(1,J231+1.96*O231/100))</f>
        <v>0.662019895185395</v>
      </c>
      <c r="R231" s="25" t="str">
        <f aca="false">IF(L231="","",IF(ABS(L231)&lt;=O231,"Yes","No"))</f>
        <v>Yes</v>
      </c>
      <c r="S231" s="25" t="str">
        <f aca="false">IF(L231="","",IF(ABS(L231)&lt;=1.96*O231,"Yes","No"))</f>
        <v>Yes</v>
      </c>
      <c r="T231" s="52" t="n">
        <f aca="false">IF(D231="","",ROUND(SQRT(((D231+G231)*O231/100)^2+(J231*(D231+G231)*0.08889)^2),0))</f>
        <v>88</v>
      </c>
      <c r="U231" s="25"/>
    </row>
    <row r="232" customFormat="false" ht="15" hidden="false" customHeight="false" outlineLevel="0" collapsed="false">
      <c r="A232" s="25" t="s">
        <v>385</v>
      </c>
      <c r="B232" s="25" t="s">
        <v>260</v>
      </c>
      <c r="C232" s="25" t="s">
        <v>404</v>
      </c>
      <c r="D232" s="52" t="n">
        <v>849</v>
      </c>
      <c r="E232" s="52" t="n">
        <v>954</v>
      </c>
      <c r="F232" s="63" t="n">
        <f aca="false">IF(E232="","",D232-E232)</f>
        <v>-105</v>
      </c>
      <c r="G232" s="52" t="n">
        <v>414</v>
      </c>
      <c r="H232" s="52" t="n">
        <v>416</v>
      </c>
      <c r="I232" s="63" t="n">
        <f aca="false">IF(H232="","",G232-H232)</f>
        <v>-2</v>
      </c>
      <c r="J232" s="53" t="n">
        <f aca="false">IF(OR(D232="",D232+G232=0),"",D232/(D232+G232))</f>
        <v>0.672209026128266</v>
      </c>
      <c r="K232" s="53" t="n">
        <f aca="false">IF(E232="","",E232/(E232+H232))</f>
        <v>0.696350364963504</v>
      </c>
      <c r="L232" s="64" t="n">
        <f aca="false">IF(OR(K232="",J232=""),"",(J232-K232)*100)</f>
        <v>-2.41413388352376</v>
      </c>
      <c r="M232" s="28" t="n">
        <v>2.1665403898083</v>
      </c>
      <c r="N232" s="28" t="n">
        <v>0.395142145636406</v>
      </c>
      <c r="O232" s="28" t="n">
        <f aca="false">SQRT(M232^2+N232^2)</f>
        <v>2.2022794046008</v>
      </c>
      <c r="P232" s="53" t="n">
        <f aca="false">IF(J232="","",MAX(0,J232-1.96*O232/100))</f>
        <v>0.62904434979809</v>
      </c>
      <c r="Q232" s="53" t="n">
        <f aca="false">IF(J232="","",MIN(1,J232+1.96*O232/100))</f>
        <v>0.715373702458442</v>
      </c>
      <c r="R232" s="25" t="str">
        <f aca="false">IF(L232="","",IF(ABS(L232)&lt;=O232,"Yes","No"))</f>
        <v>No</v>
      </c>
      <c r="S232" s="25" t="str">
        <f aca="false">IF(L232="","",IF(ABS(L232)&lt;=1.96*O232,"Yes","No"))</f>
        <v>Yes</v>
      </c>
      <c r="T232" s="52" t="n">
        <f aca="false">IF(D232="","",ROUND(SQRT(((D232+G232)*O232/100)^2+(J232*(D232+G232)*0.08889)^2),0))</f>
        <v>80</v>
      </c>
      <c r="U232" s="25"/>
    </row>
    <row r="233" customFormat="false" ht="15" hidden="false" customHeight="false" outlineLevel="0" collapsed="false">
      <c r="A233" s="25" t="s">
        <v>385</v>
      </c>
      <c r="B233" s="25" t="s">
        <v>260</v>
      </c>
      <c r="C233" s="25" t="s">
        <v>405</v>
      </c>
      <c r="D233" s="52" t="n">
        <v>738</v>
      </c>
      <c r="E233" s="52" t="n">
        <v>821</v>
      </c>
      <c r="F233" s="63" t="n">
        <f aca="false">IF(E233="","",D233-E233)</f>
        <v>-83</v>
      </c>
      <c r="G233" s="52" t="n">
        <v>454</v>
      </c>
      <c r="H233" s="52" t="n">
        <v>474</v>
      </c>
      <c r="I233" s="63" t="n">
        <f aca="false">IF(H233="","",G233-H233)</f>
        <v>-20</v>
      </c>
      <c r="J233" s="53" t="n">
        <f aca="false">IF(OR(D233="",D233+G233=0),"",D233/(D233+G233))</f>
        <v>0.619127516778524</v>
      </c>
      <c r="K233" s="53" t="n">
        <f aca="false">IF(E233="","",E233/(E233+H233))</f>
        <v>0.633976833976834</v>
      </c>
      <c r="L233" s="64" t="n">
        <f aca="false">IF(OR(K233="",J233=""),"",(J233-K233)*100)</f>
        <v>-1.48493171983105</v>
      </c>
      <c r="M233" s="28" t="n">
        <v>2.40127504711013</v>
      </c>
      <c r="N233" s="28" t="n">
        <v>0.395142145636406</v>
      </c>
      <c r="O233" s="28" t="n">
        <f aca="false">SQRT(M233^2+N233^2)</f>
        <v>2.43356922382165</v>
      </c>
      <c r="P233" s="53" t="n">
        <f aca="false">IF(J233="","",MAX(0,J233-1.96*O233/100))</f>
        <v>0.571429559991619</v>
      </c>
      <c r="Q233" s="53" t="n">
        <f aca="false">IF(J233="","",MIN(1,J233+1.96*O233/100))</f>
        <v>0.666825473565428</v>
      </c>
      <c r="R233" s="25" t="str">
        <f aca="false">IF(L233="","",IF(ABS(L233)&lt;=O233,"Yes","No"))</f>
        <v>Yes</v>
      </c>
      <c r="S233" s="25" t="str">
        <f aca="false">IF(L233="","",IF(ABS(L233)&lt;=1.96*O233,"Yes","No"))</f>
        <v>Yes</v>
      </c>
      <c r="T233" s="52" t="n">
        <f aca="false">IF(D233="","",ROUND(SQRT(((D233+G233)*O233/100)^2+(J233*(D233+G233)*0.10931)^2),0))</f>
        <v>86</v>
      </c>
      <c r="U233" s="25"/>
    </row>
    <row r="234" customFormat="false" ht="15" hidden="false" customHeight="false" outlineLevel="0" collapsed="false">
      <c r="A234" s="25" t="s">
        <v>385</v>
      </c>
      <c r="B234" s="25" t="s">
        <v>260</v>
      </c>
      <c r="C234" s="25" t="s">
        <v>406</v>
      </c>
      <c r="D234" s="52" t="n">
        <v>285</v>
      </c>
      <c r="E234" s="52" t="n">
        <v>283</v>
      </c>
      <c r="F234" s="63" t="n">
        <f aca="false">IF(E234="","",D234-E234)</f>
        <v>2</v>
      </c>
      <c r="G234" s="52" t="n">
        <v>94</v>
      </c>
      <c r="H234" s="52" t="n">
        <v>110</v>
      </c>
      <c r="I234" s="63" t="n">
        <f aca="false">IF(H234="","",G234-H234)</f>
        <v>-16</v>
      </c>
      <c r="J234" s="53" t="n">
        <f aca="false">IF(OR(D234="",D234+G234=0),"",D234/(D234+G234))</f>
        <v>0.75197889182058</v>
      </c>
      <c r="K234" s="53" t="n">
        <f aca="false">IF(E234="","",E234/(E234+H234))</f>
        <v>0.720101781170484</v>
      </c>
      <c r="L234" s="64" t="n">
        <f aca="false">IF(OR(K234="",J234=""),"",(J234-K234)*100)</f>
        <v>3.18771106500969</v>
      </c>
      <c r="M234" s="28" t="n">
        <v>3.59869162464536</v>
      </c>
      <c r="N234" s="28" t="n">
        <v>0.395142145636406</v>
      </c>
      <c r="O234" s="28" t="n">
        <f aca="false">SQRT(M234^2+N234^2)</f>
        <v>3.62032025165603</v>
      </c>
      <c r="P234" s="53" t="n">
        <f aca="false">IF(J234="","",MAX(0,J234-1.96*O234/100))</f>
        <v>0.681020614888122</v>
      </c>
      <c r="Q234" s="53" t="n">
        <f aca="false">IF(J234="","",MIN(1,J234+1.96*O234/100))</f>
        <v>0.822937168753039</v>
      </c>
      <c r="R234" s="25" t="str">
        <f aca="false">IF(L234="","",IF(ABS(L234)&lt;=O234,"Yes","No"))</f>
        <v>Yes</v>
      </c>
      <c r="S234" s="25" t="str">
        <f aca="false">IF(L234="","",IF(ABS(L234)&lt;=1.96*O234,"Yes","No"))</f>
        <v>Yes</v>
      </c>
      <c r="T234" s="52" t="n">
        <f aca="false">IF(D234="","",ROUND(SQRT(((D234+G234)*O234/100)^2+(J234*(D234+G234)*0.1901)^2),0))</f>
        <v>56</v>
      </c>
      <c r="U234" s="25"/>
    </row>
    <row r="235" customFormat="false" ht="15" hidden="false" customHeight="false" outlineLevel="0" collapsed="false">
      <c r="A235" s="25" t="s">
        <v>385</v>
      </c>
      <c r="B235" s="25" t="s">
        <v>260</v>
      </c>
      <c r="C235" s="25" t="s">
        <v>407</v>
      </c>
      <c r="D235" s="52" t="n">
        <v>502</v>
      </c>
      <c r="E235" s="52" t="n">
        <v>450</v>
      </c>
      <c r="F235" s="63" t="n">
        <f aca="false">IF(E235="","",D235-E235)</f>
        <v>52</v>
      </c>
      <c r="G235" s="52" t="n">
        <v>153</v>
      </c>
      <c r="H235" s="52" t="n">
        <v>179</v>
      </c>
      <c r="I235" s="63" t="n">
        <f aca="false">IF(H235="","",G235-H235)</f>
        <v>-26</v>
      </c>
      <c r="J235" s="53" t="n">
        <f aca="false">IF(OR(D235="",D235+G235=0),"",D235/(D235+G235))</f>
        <v>0.766412213740458</v>
      </c>
      <c r="K235" s="53" t="n">
        <f aca="false">IF(E235="","",E235/(E235+H235))</f>
        <v>0.715421303656598</v>
      </c>
      <c r="L235" s="64" t="n">
        <f aca="false">IF(OR(K235="",J235=""),"",(J235-K235)*100)</f>
        <v>5.09909100838603</v>
      </c>
      <c r="M235" s="28" t="n">
        <v>3.59869162464536</v>
      </c>
      <c r="N235" s="28" t="n">
        <v>0.395142145636406</v>
      </c>
      <c r="O235" s="28" t="n">
        <f aca="false">SQRT(M235^2+N235^2)</f>
        <v>3.62032025165603</v>
      </c>
      <c r="P235" s="53" t="n">
        <f aca="false">IF(J235="","",MAX(0,J235-1.96*O235/100))</f>
        <v>0.695453936808</v>
      </c>
      <c r="Q235" s="53" t="n">
        <f aca="false">IF(J235="","",MIN(1,J235+1.96*O235/100))</f>
        <v>0.837370490672916</v>
      </c>
      <c r="R235" s="25" t="str">
        <f aca="false">IF(L235="","",IF(ABS(L235)&lt;=O235,"Yes","No"))</f>
        <v>No</v>
      </c>
      <c r="S235" s="25" t="str">
        <f aca="false">IF(L235="","",IF(ABS(L235)&lt;=1.96*O235,"Yes","No"))</f>
        <v>Yes</v>
      </c>
      <c r="T235" s="52" t="n">
        <f aca="false">IF(D235="","",ROUND(SQRT(((D235+G235)*O235/100)^2+(J235*(D235+G235)*0.1901)^2),0))</f>
        <v>98</v>
      </c>
      <c r="U235" s="25"/>
    </row>
    <row r="236" customFormat="false" ht="15" hidden="false" customHeight="false" outlineLevel="0" collapsed="false">
      <c r="A236" s="25" t="s">
        <v>385</v>
      </c>
      <c r="B236" s="25" t="s">
        <v>260</v>
      </c>
      <c r="C236" s="25" t="s">
        <v>408</v>
      </c>
      <c r="D236" s="52" t="n">
        <v>498</v>
      </c>
      <c r="E236" s="52" t="n">
        <v>442</v>
      </c>
      <c r="F236" s="63" t="n">
        <f aca="false">IF(E236="","",D236-E236)</f>
        <v>56</v>
      </c>
      <c r="G236" s="52" t="n">
        <v>168</v>
      </c>
      <c r="H236" s="52" t="n">
        <v>161</v>
      </c>
      <c r="I236" s="63" t="n">
        <f aca="false">IF(H236="","",G236-H236)</f>
        <v>7</v>
      </c>
      <c r="J236" s="53" t="n">
        <f aca="false">IF(OR(D236="",D236+G236=0),"",D236/(D236+G236))</f>
        <v>0.747747747747748</v>
      </c>
      <c r="K236" s="53" t="n">
        <f aca="false">IF(E236="","",E236/(E236+H236))</f>
        <v>0.733001658374793</v>
      </c>
      <c r="L236" s="64" t="n">
        <f aca="false">IF(OR(K236="",J236=""),"",(J236-K236)*100)</f>
        <v>1.47460893729551</v>
      </c>
      <c r="M236" s="28" t="n">
        <v>3.59869162464536</v>
      </c>
      <c r="N236" s="28" t="n">
        <v>0.395142145636406</v>
      </c>
      <c r="O236" s="28" t="n">
        <f aca="false">SQRT(M236^2+N236^2)</f>
        <v>3.62032025165603</v>
      </c>
      <c r="P236" s="53" t="n">
        <f aca="false">IF(J236="","",MAX(0,J236-1.96*O236/100))</f>
        <v>0.67678947081529</v>
      </c>
      <c r="Q236" s="53" t="n">
        <f aca="false">IF(J236="","",MIN(1,J236+1.96*O236/100))</f>
        <v>0.818706024680206</v>
      </c>
      <c r="R236" s="25" t="str">
        <f aca="false">IF(L236="","",IF(ABS(L236)&lt;=O236,"Yes","No"))</f>
        <v>Yes</v>
      </c>
      <c r="S236" s="25" t="str">
        <f aca="false">IF(L236="","",IF(ABS(L236)&lt;=1.96*O236,"Yes","No"))</f>
        <v>Yes</v>
      </c>
      <c r="T236" s="52" t="n">
        <f aca="false">IF(D236="","",ROUND(SQRT(((D236+G236)*O236/100)^2+(J236*(D236+G236)*0.1901)^2),0))</f>
        <v>98</v>
      </c>
      <c r="U236" s="25"/>
    </row>
    <row r="237" customFormat="false" ht="15" hidden="false" customHeight="false" outlineLevel="0" collapsed="false">
      <c r="A237" s="25" t="s">
        <v>385</v>
      </c>
      <c r="B237" s="25" t="s">
        <v>260</v>
      </c>
      <c r="C237" s="25" t="s">
        <v>409</v>
      </c>
      <c r="D237" s="52" t="n">
        <v>720</v>
      </c>
      <c r="E237" s="52" t="n">
        <v>599</v>
      </c>
      <c r="F237" s="63" t="n">
        <f aca="false">IF(E237="","",D237-E237)</f>
        <v>121</v>
      </c>
      <c r="G237" s="52" t="n">
        <v>187</v>
      </c>
      <c r="H237" s="52" t="n">
        <v>203</v>
      </c>
      <c r="I237" s="63" t="n">
        <f aca="false">IF(H237="","",G237-H237)</f>
        <v>-16</v>
      </c>
      <c r="J237" s="53" t="n">
        <f aca="false">IF(OR(D237="",D237+G237=0),"",D237/(D237+G237))</f>
        <v>0.793825799338479</v>
      </c>
      <c r="K237" s="53" t="n">
        <f aca="false">IF(E237="","",E237/(E237+H237))</f>
        <v>0.746882793017456</v>
      </c>
      <c r="L237" s="64" t="n">
        <f aca="false">IF(OR(K237="",J237=""),"",(J237-K237)*100)</f>
        <v>4.69430063210221</v>
      </c>
      <c r="M237" s="28" t="n">
        <v>2.40127504711013</v>
      </c>
      <c r="N237" s="28" t="n">
        <v>0.395142145636406</v>
      </c>
      <c r="O237" s="28" t="n">
        <f aca="false">SQRT(M237^2+N237^2)</f>
        <v>2.43356922382165</v>
      </c>
      <c r="P237" s="53" t="n">
        <f aca="false">IF(J237="","",MAX(0,J237-1.96*O237/100))</f>
        <v>0.746127842551574</v>
      </c>
      <c r="Q237" s="53" t="n">
        <f aca="false">IF(J237="","",MIN(1,J237+1.96*O237/100))</f>
        <v>0.841523756125383</v>
      </c>
      <c r="R237" s="25" t="str">
        <f aca="false">IF(L237="","",IF(ABS(L237)&lt;=O237,"Yes","No"))</f>
        <v>No</v>
      </c>
      <c r="S237" s="25" t="str">
        <f aca="false">IF(L237="","",IF(ABS(L237)&lt;=1.96*O237,"Yes","No"))</f>
        <v>Yes</v>
      </c>
      <c r="T237" s="52" t="n">
        <f aca="false">IF(D237="","",ROUND(SQRT(((D237+G237)*O237/100)^2+(J237*(D237+G237)*0.10931)^2),0))</f>
        <v>82</v>
      </c>
      <c r="U237" s="25"/>
    </row>
    <row r="238" customFormat="false" ht="15" hidden="false" customHeight="false" outlineLevel="0" collapsed="false">
      <c r="A238" s="25" t="s">
        <v>385</v>
      </c>
      <c r="B238" s="25" t="s">
        <v>260</v>
      </c>
      <c r="C238" s="25" t="s">
        <v>410</v>
      </c>
      <c r="D238" s="52" t="n">
        <v>936</v>
      </c>
      <c r="E238" s="52" t="n">
        <v>1506</v>
      </c>
      <c r="F238" s="63" t="n">
        <f aca="false">IF(E238="","",D238-E238)</f>
        <v>-570</v>
      </c>
      <c r="G238" s="52" t="n">
        <v>211</v>
      </c>
      <c r="H238" s="52" t="n">
        <v>338</v>
      </c>
      <c r="I238" s="63" t="n">
        <f aca="false">IF(H238="","",G238-H238)</f>
        <v>-127</v>
      </c>
      <c r="J238" s="53" t="n">
        <f aca="false">IF(OR(D238="",D238+G238=0),"",D238/(D238+G238))</f>
        <v>0.816041848299913</v>
      </c>
      <c r="K238" s="53" t="n">
        <f aca="false">IF(E238="","",E238/(E238+H238))</f>
        <v>0.816702819956616</v>
      </c>
      <c r="L238" s="64" t="n">
        <f aca="false">IF(OR(K238="",J238=""),"",(J238-K238)*100)</f>
        <v>-0.0660971656703313</v>
      </c>
      <c r="M238" s="28" t="n">
        <v>2.40127504711013</v>
      </c>
      <c r="N238" s="28" t="n">
        <v>0.395142145636406</v>
      </c>
      <c r="O238" s="28" t="n">
        <f aca="false">SQRT(M238^2+N238^2)</f>
        <v>2.43356922382165</v>
      </c>
      <c r="P238" s="53" t="n">
        <f aca="false">IF(J238="","",MAX(0,J238-1.96*O238/100))</f>
        <v>0.768343891513009</v>
      </c>
      <c r="Q238" s="53" t="n">
        <f aca="false">IF(J238="","",MIN(1,J238+1.96*O238/100))</f>
        <v>0.863739805086817</v>
      </c>
      <c r="R238" s="25" t="str">
        <f aca="false">IF(L238="","",IF(ABS(L238)&lt;=O238,"Yes","No"))</f>
        <v>Yes</v>
      </c>
      <c r="S238" s="25" t="str">
        <f aca="false">IF(L238="","",IF(ABS(L238)&lt;=1.96*O238,"Yes","No"))</f>
        <v>Yes</v>
      </c>
      <c r="T238" s="52" t="n">
        <f aca="false">IF(D238="","",ROUND(SQRT(((D238+G238)*O238/100)^2+(J238*(D238+G238)*0.10931)^2),0))</f>
        <v>106</v>
      </c>
      <c r="U238" s="25"/>
    </row>
    <row r="239" customFormat="false" ht="15" hidden="false" customHeight="false" outlineLevel="0" collapsed="false">
      <c r="A239" s="25" t="s">
        <v>385</v>
      </c>
      <c r="B239" s="25" t="s">
        <v>260</v>
      </c>
      <c r="C239" s="25" t="s">
        <v>411</v>
      </c>
      <c r="D239" s="52" t="n">
        <v>746</v>
      </c>
      <c r="E239" s="52" t="n">
        <v>645</v>
      </c>
      <c r="F239" s="63" t="n">
        <f aca="false">IF(E239="","",D239-E239)</f>
        <v>101</v>
      </c>
      <c r="G239" s="52" t="n">
        <v>204</v>
      </c>
      <c r="H239" s="52" t="n">
        <v>243</v>
      </c>
      <c r="I239" s="63" t="n">
        <f aca="false">IF(H239="","",G239-H239)</f>
        <v>-39</v>
      </c>
      <c r="J239" s="53" t="n">
        <f aca="false">IF(OR(D239="",D239+G239=0),"",D239/(D239+G239))</f>
        <v>0.785263157894737</v>
      </c>
      <c r="K239" s="53" t="n">
        <f aca="false">IF(E239="","",E239/(E239+H239))</f>
        <v>0.726351351351351</v>
      </c>
      <c r="L239" s="64" t="n">
        <f aca="false">IF(OR(K239="",J239=""),"",(J239-K239)*100)</f>
        <v>5.89118065433856</v>
      </c>
      <c r="M239" s="28" t="n">
        <v>2.40127504711013</v>
      </c>
      <c r="N239" s="28" t="n">
        <v>0.395142145636406</v>
      </c>
      <c r="O239" s="28" t="n">
        <f aca="false">SQRT(M239^2+N239^2)</f>
        <v>2.43356922382165</v>
      </c>
      <c r="P239" s="53" t="n">
        <f aca="false">IF(J239="","",MAX(0,J239-1.96*O239/100))</f>
        <v>0.737565201107833</v>
      </c>
      <c r="Q239" s="53" t="n">
        <f aca="false">IF(J239="","",MIN(1,J239+1.96*O239/100))</f>
        <v>0.832961114681641</v>
      </c>
      <c r="R239" s="25" t="str">
        <f aca="false">IF(L239="","",IF(ABS(L239)&lt;=O239,"Yes","No"))</f>
        <v>No</v>
      </c>
      <c r="S239" s="25" t="str">
        <f aca="false">IF(L239="","",IF(ABS(L239)&lt;=1.96*O239,"Yes","No"))</f>
        <v>No</v>
      </c>
      <c r="T239" s="52" t="n">
        <f aca="false">IF(D239="","",ROUND(SQRT(((D239+G239)*O239/100)^2+(J239*(D239+G239)*0.10931)^2),0))</f>
        <v>85</v>
      </c>
      <c r="U239" s="25"/>
    </row>
    <row r="240" customFormat="false" ht="15" hidden="false" customHeight="false" outlineLevel="0" collapsed="false">
      <c r="A240" s="25" t="s">
        <v>385</v>
      </c>
      <c r="B240" s="25" t="s">
        <v>260</v>
      </c>
      <c r="C240" s="25" t="s">
        <v>412</v>
      </c>
      <c r="D240" s="52" t="n">
        <v>694</v>
      </c>
      <c r="E240" s="52" t="n">
        <v>628</v>
      </c>
      <c r="F240" s="63" t="n">
        <f aca="false">IF(E240="","",D240-E240)</f>
        <v>66</v>
      </c>
      <c r="G240" s="52" t="n">
        <v>220</v>
      </c>
      <c r="H240" s="52" t="n">
        <v>267</v>
      </c>
      <c r="I240" s="63" t="n">
        <f aca="false">IF(H240="","",G240-H240)</f>
        <v>-47</v>
      </c>
      <c r="J240" s="53" t="n">
        <f aca="false">IF(OR(D240="",D240+G240=0),"",D240/(D240+G240))</f>
        <v>0.759299781181619</v>
      </c>
      <c r="K240" s="53" t="n">
        <f aca="false">IF(E240="","",E240/(E240+H240))</f>
        <v>0.701675977653631</v>
      </c>
      <c r="L240" s="64" t="n">
        <f aca="false">IF(OR(K240="",J240=""),"",(J240-K240)*100)</f>
        <v>5.76238035279879</v>
      </c>
      <c r="M240" s="28" t="n">
        <v>2.40127504711013</v>
      </c>
      <c r="N240" s="28" t="n">
        <v>0.395142145636406</v>
      </c>
      <c r="O240" s="28" t="n">
        <f aca="false">SQRT(M240^2+N240^2)</f>
        <v>2.43356922382165</v>
      </c>
      <c r="P240" s="53" t="n">
        <f aca="false">IF(J240="","",MAX(0,J240-1.96*O240/100))</f>
        <v>0.711601824394715</v>
      </c>
      <c r="Q240" s="53" t="n">
        <f aca="false">IF(J240="","",MIN(1,J240+1.96*O240/100))</f>
        <v>0.806997737968524</v>
      </c>
      <c r="R240" s="25" t="str">
        <f aca="false">IF(L240="","",IF(ABS(L240)&lt;=O240,"Yes","No"))</f>
        <v>No</v>
      </c>
      <c r="S240" s="25" t="str">
        <f aca="false">IF(L240="","",IF(ABS(L240)&lt;=1.96*O240,"Yes","No"))</f>
        <v>No</v>
      </c>
      <c r="T240" s="52" t="n">
        <f aca="false">IF(D240="","",ROUND(SQRT(((D240+G240)*O240/100)^2+(J240*(D240+G240)*0.10931)^2),0))</f>
        <v>79</v>
      </c>
      <c r="U240" s="25"/>
    </row>
    <row r="241" customFormat="false" ht="15" hidden="false" customHeight="false" outlineLevel="0" collapsed="false">
      <c r="A241" s="25" t="s">
        <v>385</v>
      </c>
      <c r="B241" s="25" t="s">
        <v>260</v>
      </c>
      <c r="C241" s="25" t="s">
        <v>413</v>
      </c>
      <c r="D241" s="52" t="n">
        <v>420</v>
      </c>
      <c r="E241" s="52" t="n">
        <v>473</v>
      </c>
      <c r="F241" s="63" t="n">
        <f aca="false">IF(E241="","",D241-E241)</f>
        <v>-53</v>
      </c>
      <c r="G241" s="52" t="n">
        <v>171</v>
      </c>
      <c r="H241" s="52" t="n">
        <v>153</v>
      </c>
      <c r="I241" s="63" t="n">
        <f aca="false">IF(H241="","",G241-H241)</f>
        <v>18</v>
      </c>
      <c r="J241" s="53" t="n">
        <f aca="false">IF(OR(D241="",D241+G241=0),"",D241/(D241+G241))</f>
        <v>0.710659898477157</v>
      </c>
      <c r="K241" s="53" t="n">
        <f aca="false">IF(E241="","",E241/(E241+H241))</f>
        <v>0.755591054313099</v>
      </c>
      <c r="L241" s="64" t="n">
        <f aca="false">IF(OR(K241="",J241=""),"",(J241-K241)*100)</f>
        <v>-4.49311558359416</v>
      </c>
      <c r="M241" s="28" t="n">
        <v>3.59869162464536</v>
      </c>
      <c r="N241" s="28" t="n">
        <v>0.395142145636406</v>
      </c>
      <c r="O241" s="28" t="n">
        <f aca="false">SQRT(M241^2+N241^2)</f>
        <v>3.62032025165603</v>
      </c>
      <c r="P241" s="53" t="n">
        <f aca="false">IF(J241="","",MAX(0,J241-1.96*O241/100))</f>
        <v>0.639701621544699</v>
      </c>
      <c r="Q241" s="53" t="n">
        <f aca="false">IF(J241="","",MIN(1,J241+1.96*O241/100))</f>
        <v>0.781618175409616</v>
      </c>
      <c r="R241" s="25" t="str">
        <f aca="false">IF(L241="","",IF(ABS(L241)&lt;=O241,"Yes","No"))</f>
        <v>No</v>
      </c>
      <c r="S241" s="25" t="str">
        <f aca="false">IF(L241="","",IF(ABS(L241)&lt;=1.96*O241,"Yes","No"))</f>
        <v>Yes</v>
      </c>
      <c r="T241" s="52" t="n">
        <f aca="false">IF(D241="","",ROUND(SQRT(((D241+G241)*O241/100)^2+(J241*(D241+G241)*0.1901)^2),0))</f>
        <v>83</v>
      </c>
      <c r="U241" s="25"/>
    </row>
    <row r="242" customFormat="false" ht="15" hidden="false" customHeight="false" outlineLevel="0" collapsed="false">
      <c r="A242" s="25" t="s">
        <v>385</v>
      </c>
      <c r="B242" s="25" t="s">
        <v>260</v>
      </c>
      <c r="C242" s="25" t="s">
        <v>414</v>
      </c>
      <c r="D242" s="52" t="n">
        <v>773</v>
      </c>
      <c r="E242" s="52" t="n">
        <v>745</v>
      </c>
      <c r="F242" s="63" t="n">
        <f aca="false">IF(E242="","",D242-E242)</f>
        <v>28</v>
      </c>
      <c r="G242" s="52" t="n">
        <v>284</v>
      </c>
      <c r="H242" s="52" t="n">
        <v>301</v>
      </c>
      <c r="I242" s="63" t="n">
        <f aca="false">IF(H242="","",G242-H242)</f>
        <v>-17</v>
      </c>
      <c r="J242" s="53" t="n">
        <f aca="false">IF(OR(D242="",D242+G242=0),"",D242/(D242+G242))</f>
        <v>0.731315042573321</v>
      </c>
      <c r="K242" s="53" t="n">
        <f aca="false">IF(E242="","",E242/(E242+H242))</f>
        <v>0.712237093690249</v>
      </c>
      <c r="L242" s="64" t="n">
        <f aca="false">IF(OR(K242="",J242=""),"",(J242-K242)*100)</f>
        <v>1.90779488830721</v>
      </c>
      <c r="M242" s="28" t="n">
        <v>2.40127504711013</v>
      </c>
      <c r="N242" s="28" t="n">
        <v>0.395142145636406</v>
      </c>
      <c r="O242" s="28" t="n">
        <f aca="false">SQRT(M242^2+N242^2)</f>
        <v>2.43356922382165</v>
      </c>
      <c r="P242" s="53" t="n">
        <f aca="false">IF(J242="","",MAX(0,J242-1.96*O242/100))</f>
        <v>0.683617085786416</v>
      </c>
      <c r="Q242" s="53" t="n">
        <f aca="false">IF(J242="","",MIN(1,J242+1.96*O242/100))</f>
        <v>0.779012999360225</v>
      </c>
      <c r="R242" s="25" t="str">
        <f aca="false">IF(L242="","",IF(ABS(L242)&lt;=O242,"Yes","No"))</f>
        <v>Yes</v>
      </c>
      <c r="S242" s="25" t="str">
        <f aca="false">IF(L242="","",IF(ABS(L242)&lt;=1.96*O242,"Yes","No"))</f>
        <v>Yes</v>
      </c>
      <c r="T242" s="52" t="n">
        <f aca="false">IF(D242="","",ROUND(SQRT(((D242+G242)*O242/100)^2+(J242*(D242+G242)*0.10931)^2),0))</f>
        <v>88</v>
      </c>
      <c r="U242" s="25"/>
    </row>
    <row r="243" customFormat="false" ht="15" hidden="false" customHeight="false" outlineLevel="0" collapsed="false">
      <c r="A243" s="25" t="s">
        <v>385</v>
      </c>
      <c r="B243" s="25" t="s">
        <v>260</v>
      </c>
      <c r="C243" s="25" t="s">
        <v>415</v>
      </c>
      <c r="D243" s="52" t="n">
        <v>681</v>
      </c>
      <c r="E243" s="52" t="n">
        <v>682</v>
      </c>
      <c r="F243" s="63" t="n">
        <f aca="false">IF(E243="","",D243-E243)</f>
        <v>-1</v>
      </c>
      <c r="G243" s="52" t="n">
        <v>286</v>
      </c>
      <c r="H243" s="52" t="n">
        <v>313</v>
      </c>
      <c r="I243" s="63" t="n">
        <f aca="false">IF(H243="","",G243-H243)</f>
        <v>-27</v>
      </c>
      <c r="J243" s="53" t="n">
        <f aca="false">IF(OR(D243="",D243+G243=0),"",D243/(D243+G243))</f>
        <v>0.704239917269907</v>
      </c>
      <c r="K243" s="53" t="n">
        <f aca="false">IF(E243="","",E243/(E243+H243))</f>
        <v>0.685427135678392</v>
      </c>
      <c r="L243" s="64" t="n">
        <f aca="false">IF(OR(K243="",J243=""),"",(J243-K243)*100)</f>
        <v>1.8812781591515</v>
      </c>
      <c r="M243" s="28" t="n">
        <v>2.40127504711013</v>
      </c>
      <c r="N243" s="28" t="n">
        <v>0.395142145636406</v>
      </c>
      <c r="O243" s="28" t="n">
        <f aca="false">SQRT(M243^2+N243^2)</f>
        <v>2.43356922382165</v>
      </c>
      <c r="P243" s="53" t="n">
        <f aca="false">IF(J243="","",MAX(0,J243-1.96*O243/100))</f>
        <v>0.656541960483003</v>
      </c>
      <c r="Q243" s="53" t="n">
        <f aca="false">IF(J243="","",MIN(1,J243+1.96*O243/100))</f>
        <v>0.751937874056811</v>
      </c>
      <c r="R243" s="25" t="str">
        <f aca="false">IF(L243="","",IF(ABS(L243)&lt;=O243,"Yes","No"))</f>
        <v>Yes</v>
      </c>
      <c r="S243" s="25" t="str">
        <f aca="false">IF(L243="","",IF(ABS(L243)&lt;=1.96*O243,"Yes","No"))</f>
        <v>Yes</v>
      </c>
      <c r="T243" s="52" t="n">
        <f aca="false">IF(D243="","",ROUND(SQRT(((D243+G243)*O243/100)^2+(J243*(D243+G243)*0.10931)^2),0))</f>
        <v>78</v>
      </c>
      <c r="U243" s="25"/>
    </row>
    <row r="244" customFormat="false" ht="15" hidden="false" customHeight="false" outlineLevel="0" collapsed="false">
      <c r="A244" s="25" t="s">
        <v>385</v>
      </c>
      <c r="B244" s="25" t="s">
        <v>260</v>
      </c>
      <c r="C244" s="25" t="s">
        <v>416</v>
      </c>
      <c r="D244" s="52" t="n">
        <v>692</v>
      </c>
      <c r="E244" s="52" t="n">
        <v>711</v>
      </c>
      <c r="F244" s="63" t="n">
        <f aca="false">IF(E244="","",D244-E244)</f>
        <v>-19</v>
      </c>
      <c r="G244" s="52" t="n">
        <v>331</v>
      </c>
      <c r="H244" s="52" t="n">
        <v>341</v>
      </c>
      <c r="I244" s="63" t="n">
        <f aca="false">IF(H244="","",G244-H244)</f>
        <v>-10</v>
      </c>
      <c r="J244" s="53" t="n">
        <f aca="false">IF(OR(D244="",D244+G244=0),"",D244/(D244+G244))</f>
        <v>0.67644183773216</v>
      </c>
      <c r="K244" s="53" t="n">
        <f aca="false">IF(E244="","",E244/(E244+H244))</f>
        <v>0.675855513307985</v>
      </c>
      <c r="L244" s="64" t="n">
        <f aca="false">IF(OR(K244="",J244=""),"",(J244-K244)*100)</f>
        <v>0.0586324424175499</v>
      </c>
      <c r="M244" s="28" t="n">
        <v>2.40127504711013</v>
      </c>
      <c r="N244" s="28" t="n">
        <v>0.395142145636406</v>
      </c>
      <c r="O244" s="28" t="n">
        <f aca="false">SQRT(M244^2+N244^2)</f>
        <v>2.43356922382165</v>
      </c>
      <c r="P244" s="53" t="n">
        <f aca="false">IF(J244="","",MAX(0,J244-1.96*O244/100))</f>
        <v>0.628743880945256</v>
      </c>
      <c r="Q244" s="53" t="n">
        <f aca="false">IF(J244="","",MIN(1,J244+1.96*O244/100))</f>
        <v>0.724139794519065</v>
      </c>
      <c r="R244" s="25" t="str">
        <f aca="false">IF(L244="","",IF(ABS(L244)&lt;=O244,"Yes","No"))</f>
        <v>Yes</v>
      </c>
      <c r="S244" s="25" t="str">
        <f aca="false">IF(L244="","",IF(ABS(L244)&lt;=1.96*O244,"Yes","No"))</f>
        <v>Yes</v>
      </c>
      <c r="T244" s="52" t="n">
        <f aca="false">IF(D244="","",ROUND(SQRT(((D244+G244)*O244/100)^2+(J244*(D244+G244)*0.10931)^2),0))</f>
        <v>80</v>
      </c>
      <c r="U244" s="25"/>
    </row>
    <row r="245" customFormat="false" ht="15" hidden="false" customHeight="false" outlineLevel="0" collapsed="false">
      <c r="A245" s="25" t="s">
        <v>385</v>
      </c>
      <c r="B245" s="25" t="s">
        <v>260</v>
      </c>
      <c r="C245" s="25" t="s">
        <v>417</v>
      </c>
      <c r="D245" s="52" t="n">
        <v>310</v>
      </c>
      <c r="E245" s="52"/>
      <c r="F245" s="63" t="str">
        <f aca="false">IF(E245="","",D245-E245)</f>
        <v/>
      </c>
      <c r="G245" s="52" t="n">
        <v>157</v>
      </c>
      <c r="H245" s="52"/>
      <c r="I245" s="63" t="str">
        <f aca="false">IF(H245="","",G245-H245)</f>
        <v/>
      </c>
      <c r="J245" s="53" t="n">
        <f aca="false">IF(OR(D245="",D245+G245=0),"",D245/(D245+G245))</f>
        <v>0.663811563169165</v>
      </c>
      <c r="K245" s="53" t="str">
        <f aca="false">IF(E245="","",E245/(E245+H245))</f>
        <v/>
      </c>
      <c r="L245" s="64" t="str">
        <f aca="false">IF(OR(K245="",J245=""),"",(J245-K245)*100)</f>
        <v/>
      </c>
      <c r="M245" s="28" t="n">
        <v>3.59869162464536</v>
      </c>
      <c r="N245" s="28" t="n">
        <v>0.395142145636406</v>
      </c>
      <c r="O245" s="28" t="n">
        <f aca="false">SQRT(M245^2+N245^2)</f>
        <v>3.62032025165603</v>
      </c>
      <c r="P245" s="53" t="n">
        <f aca="false">IF(J245="","",MAX(0,J245-1.96*O245/100))</f>
        <v>0.592853286236707</v>
      </c>
      <c r="Q245" s="53" t="n">
        <f aca="false">IF(J245="","",MIN(1,J245+1.96*O245/100))</f>
        <v>0.734769840101623</v>
      </c>
      <c r="R245" s="25" t="str">
        <f aca="false">IF(L245="","",IF(ABS(L245)&lt;=O245,"Yes","No"))</f>
        <v/>
      </c>
      <c r="S245" s="25" t="str">
        <f aca="false">IF(L245="","",IF(ABS(L245)&lt;=1.96*O245,"Yes","No"))</f>
        <v/>
      </c>
      <c r="T245" s="52" t="n">
        <f aca="false">IF(D245="","",ROUND(SQRT(((D245+G245)*O245/100)^2+(J245*(D245+G245)*0.1901)^2),0))</f>
        <v>61</v>
      </c>
      <c r="U245" s="25" t="s">
        <v>702</v>
      </c>
    </row>
    <row r="246" customFormat="false" ht="15" hidden="false" customHeight="false" outlineLevel="0" collapsed="false">
      <c r="A246" s="25" t="s">
        <v>385</v>
      </c>
      <c r="B246" s="25" t="s">
        <v>418</v>
      </c>
      <c r="C246" s="25" t="s">
        <v>419</v>
      </c>
      <c r="D246" s="52" t="n">
        <v>431</v>
      </c>
      <c r="E246" s="52" t="n">
        <v>466</v>
      </c>
      <c r="F246" s="63" t="n">
        <f aca="false">IF(E246="","",D246-E246)</f>
        <v>-35</v>
      </c>
      <c r="G246" s="52" t="n">
        <v>419</v>
      </c>
      <c r="H246" s="52" t="n">
        <v>405</v>
      </c>
      <c r="I246" s="63" t="n">
        <f aca="false">IF(H246="","",G246-H246)</f>
        <v>14</v>
      </c>
      <c r="J246" s="53" t="n">
        <f aca="false">IF(OR(D246="",D246+G246=0),"",D246/(D246+G246))</f>
        <v>0.507058823529412</v>
      </c>
      <c r="K246" s="53" t="n">
        <f aca="false">IF(E246="","",E246/(E246+H246))</f>
        <v>0.535017221584386</v>
      </c>
      <c r="L246" s="64" t="n">
        <f aca="false">IF(OR(K246="",J246=""),"",(J246-K246)*100)</f>
        <v>-2.7958398054974</v>
      </c>
      <c r="M246" s="28" t="n">
        <v>2.40127504711013</v>
      </c>
      <c r="N246" s="28" t="n">
        <v>0.395142145636406</v>
      </c>
      <c r="O246" s="28" t="n">
        <f aca="false">SQRT(M246^2+N246^2)</f>
        <v>2.43356922382165</v>
      </c>
      <c r="P246" s="53" t="n">
        <f aca="false">IF(J246="","",MAX(0,J246-1.96*O246/100))</f>
        <v>0.459360866742508</v>
      </c>
      <c r="Q246" s="53" t="n">
        <f aca="false">IF(J246="","",MIN(1,J246+1.96*O246/100))</f>
        <v>0.554756780316316</v>
      </c>
      <c r="R246" s="25" t="str">
        <f aca="false">IF(L246="","",IF(ABS(L246)&lt;=O246,"Yes","No"))</f>
        <v>No</v>
      </c>
      <c r="S246" s="25" t="str">
        <f aca="false">IF(L246="","",IF(ABS(L246)&lt;=1.96*O246,"Yes","No"))</f>
        <v>Yes</v>
      </c>
      <c r="T246" s="52" t="n">
        <f aca="false">IF(D246="","",ROUND(SQRT(((D246+G246)*O246/100)^2+(J246*(D246+G246)*0.10931)^2),0))</f>
        <v>51</v>
      </c>
      <c r="U246" s="25"/>
    </row>
    <row r="247" customFormat="false" ht="15" hidden="false" customHeight="false" outlineLevel="0" collapsed="false">
      <c r="A247" s="25" t="s">
        <v>385</v>
      </c>
      <c r="B247" s="25" t="s">
        <v>418</v>
      </c>
      <c r="C247" s="25" t="s">
        <v>420</v>
      </c>
      <c r="D247" s="52" t="n">
        <v>563</v>
      </c>
      <c r="E247" s="52" t="n">
        <v>552</v>
      </c>
      <c r="F247" s="63" t="n">
        <f aca="false">IF(E247="","",D247-E247)</f>
        <v>11</v>
      </c>
      <c r="G247" s="52" t="n">
        <v>530</v>
      </c>
      <c r="H247" s="52" t="n">
        <v>506</v>
      </c>
      <c r="I247" s="63" t="n">
        <f aca="false">IF(H247="","",G247-H247)</f>
        <v>24</v>
      </c>
      <c r="J247" s="53" t="n">
        <f aca="false">IF(OR(D247="",D247+G247=0),"",D247/(D247+G247))</f>
        <v>0.515096065873742</v>
      </c>
      <c r="K247" s="53" t="n">
        <f aca="false">IF(E247="","",E247/(E247+H247))</f>
        <v>0.521739130434783</v>
      </c>
      <c r="L247" s="64" t="n">
        <f aca="false">IF(OR(K247="",J247=""),"",(J247-K247)*100)</f>
        <v>-0.664306456104058</v>
      </c>
      <c r="M247" s="28" t="n">
        <v>2.40127504711013</v>
      </c>
      <c r="N247" s="28" t="n">
        <v>0.395142145636406</v>
      </c>
      <c r="O247" s="28" t="n">
        <f aca="false">SQRT(M247^2+N247^2)</f>
        <v>2.43356922382165</v>
      </c>
      <c r="P247" s="53" t="n">
        <f aca="false">IF(J247="","",MAX(0,J247-1.96*O247/100))</f>
        <v>0.467398109086838</v>
      </c>
      <c r="Q247" s="53" t="n">
        <f aca="false">IF(J247="","",MIN(1,J247+1.96*O247/100))</f>
        <v>0.562794022660646</v>
      </c>
      <c r="R247" s="25" t="str">
        <f aca="false">IF(L247="","",IF(ABS(L247)&lt;=O247,"Yes","No"))</f>
        <v>Yes</v>
      </c>
      <c r="S247" s="25" t="str">
        <f aca="false">IF(L247="","",IF(ABS(L247)&lt;=1.96*O247,"Yes","No"))</f>
        <v>Yes</v>
      </c>
      <c r="T247" s="52" t="n">
        <f aca="false">IF(D247="","",ROUND(SQRT(((D247+G247)*O247/100)^2+(J247*(D247+G247)*0.10931)^2),0))</f>
        <v>67</v>
      </c>
      <c r="U247" s="25"/>
    </row>
    <row r="248" customFormat="false" ht="15" hidden="false" customHeight="false" outlineLevel="0" collapsed="false">
      <c r="A248" s="25" t="s">
        <v>385</v>
      </c>
      <c r="B248" s="25" t="s">
        <v>418</v>
      </c>
      <c r="C248" s="25" t="s">
        <v>421</v>
      </c>
      <c r="D248" s="52" t="n">
        <v>680</v>
      </c>
      <c r="E248" s="52" t="n">
        <v>722</v>
      </c>
      <c r="F248" s="63" t="n">
        <f aca="false">IF(E248="","",D248-E248)</f>
        <v>-42</v>
      </c>
      <c r="G248" s="52" t="n">
        <v>566</v>
      </c>
      <c r="H248" s="52" t="n">
        <v>596</v>
      </c>
      <c r="I248" s="63" t="n">
        <f aca="false">IF(H248="","",G248-H248)</f>
        <v>-30</v>
      </c>
      <c r="J248" s="53" t="n">
        <f aca="false">IF(OR(D248="",D248+G248=0),"",D248/(D248+G248))</f>
        <v>0.545746388443018</v>
      </c>
      <c r="K248" s="53" t="n">
        <f aca="false">IF(E248="","",E248/(E248+H248))</f>
        <v>0.547799696509863</v>
      </c>
      <c r="L248" s="64" t="n">
        <f aca="false">IF(OR(K248="",J248=""),"",(J248-K248)*100)</f>
        <v>-0.205330806684567</v>
      </c>
      <c r="M248" s="28" t="n">
        <v>2.1665403898083</v>
      </c>
      <c r="N248" s="28" t="n">
        <v>0.395142145636406</v>
      </c>
      <c r="O248" s="28" t="n">
        <f aca="false">SQRT(M248^2+N248^2)</f>
        <v>2.2022794046008</v>
      </c>
      <c r="P248" s="53" t="n">
        <f aca="false">IF(J248="","",MAX(0,J248-1.96*O248/100))</f>
        <v>0.502581712112842</v>
      </c>
      <c r="Q248" s="53" t="n">
        <f aca="false">IF(J248="","",MIN(1,J248+1.96*O248/100))</f>
        <v>0.588911064773193</v>
      </c>
      <c r="R248" s="25" t="str">
        <f aca="false">IF(L248="","",IF(ABS(L248)&lt;=O248,"Yes","No"))</f>
        <v>Yes</v>
      </c>
      <c r="S248" s="25" t="str">
        <f aca="false">IF(L248="","",IF(ABS(L248)&lt;=1.96*O248,"Yes","No"))</f>
        <v>Yes</v>
      </c>
      <c r="T248" s="52" t="n">
        <f aca="false">IF(D248="","",ROUND(SQRT(((D248+G248)*O248/100)^2+(J248*(D248+G248)*0.08889)^2),0))</f>
        <v>66</v>
      </c>
      <c r="U248" s="25"/>
    </row>
    <row r="249" customFormat="false" ht="15" hidden="false" customHeight="false" outlineLevel="0" collapsed="false">
      <c r="A249" s="25" t="s">
        <v>385</v>
      </c>
      <c r="B249" s="25" t="s">
        <v>418</v>
      </c>
      <c r="C249" s="25" t="s">
        <v>422</v>
      </c>
      <c r="D249" s="52" t="n">
        <v>298</v>
      </c>
      <c r="E249" s="52" t="n">
        <v>339</v>
      </c>
      <c r="F249" s="63" t="n">
        <f aca="false">IF(E249="","",D249-E249)</f>
        <v>-41</v>
      </c>
      <c r="G249" s="52" t="n">
        <v>324</v>
      </c>
      <c r="H249" s="52" t="n">
        <v>338</v>
      </c>
      <c r="I249" s="63" t="n">
        <f aca="false">IF(H249="","",G249-H249)</f>
        <v>-14</v>
      </c>
      <c r="J249" s="53" t="n">
        <f aca="false">IF(OR(D249="",D249+G249=0),"",D249/(D249+G249))</f>
        <v>0.479099678456592</v>
      </c>
      <c r="K249" s="53" t="n">
        <f aca="false">IF(E249="","",E249/(E249+H249))</f>
        <v>0.500738552437223</v>
      </c>
      <c r="L249" s="64" t="n">
        <f aca="false">IF(OR(K249="",J249=""),"",(J249-K249)*100)</f>
        <v>-2.16388739806315</v>
      </c>
      <c r="M249" s="28" t="n">
        <v>3.59869162464536</v>
      </c>
      <c r="N249" s="28" t="n">
        <v>0.395142145636406</v>
      </c>
      <c r="O249" s="28" t="n">
        <f aca="false">SQRT(M249^2+N249^2)</f>
        <v>3.62032025165603</v>
      </c>
      <c r="P249" s="53" t="n">
        <f aca="false">IF(J249="","",MAX(0,J249-1.96*O249/100))</f>
        <v>0.408141401524134</v>
      </c>
      <c r="Q249" s="53" t="n">
        <f aca="false">IF(J249="","",MIN(1,J249+1.96*O249/100))</f>
        <v>0.55005795538905</v>
      </c>
      <c r="R249" s="25" t="str">
        <f aca="false">IF(L249="","",IF(ABS(L249)&lt;=O249,"Yes","No"))</f>
        <v>Yes</v>
      </c>
      <c r="S249" s="25" t="str">
        <f aca="false">IF(L249="","",IF(ABS(L249)&lt;=1.96*O249,"Yes","No"))</f>
        <v>Yes</v>
      </c>
      <c r="T249" s="52" t="n">
        <f aca="false">IF(D249="","",ROUND(SQRT(((D249+G249)*O249/100)^2+(J249*(D249+G249)*0.1901)^2),0))</f>
        <v>61</v>
      </c>
      <c r="U249" s="25"/>
    </row>
    <row r="250" customFormat="false" ht="15" hidden="false" customHeight="false" outlineLevel="0" collapsed="false">
      <c r="A250" s="25" t="s">
        <v>385</v>
      </c>
      <c r="B250" s="25" t="s">
        <v>418</v>
      </c>
      <c r="C250" s="25" t="s">
        <v>423</v>
      </c>
      <c r="D250" s="52" t="n">
        <v>600</v>
      </c>
      <c r="E250" s="52" t="n">
        <v>579</v>
      </c>
      <c r="F250" s="63" t="n">
        <f aca="false">IF(E250="","",D250-E250)</f>
        <v>21</v>
      </c>
      <c r="G250" s="52" t="n">
        <v>474</v>
      </c>
      <c r="H250" s="52" t="n">
        <v>482</v>
      </c>
      <c r="I250" s="63" t="n">
        <f aca="false">IF(H250="","",G250-H250)</f>
        <v>-8</v>
      </c>
      <c r="J250" s="53" t="n">
        <f aca="false">IF(OR(D250="",D250+G250=0),"",D250/(D250+G250))</f>
        <v>0.558659217877095</v>
      </c>
      <c r="K250" s="53" t="n">
        <f aca="false">IF(E250="","",E250/(E250+H250))</f>
        <v>0.545711592836946</v>
      </c>
      <c r="L250" s="64" t="n">
        <f aca="false">IF(OR(K250="",J250=""),"",(J250-K250)*100)</f>
        <v>1.29476250401487</v>
      </c>
      <c r="M250" s="28" t="n">
        <v>2.40127504711013</v>
      </c>
      <c r="N250" s="28" t="n">
        <v>0.395142145636406</v>
      </c>
      <c r="O250" s="28" t="n">
        <f aca="false">SQRT(M250^2+N250^2)</f>
        <v>2.43356922382165</v>
      </c>
      <c r="P250" s="53" t="n">
        <f aca="false">IF(J250="","",MAX(0,J250-1.96*O250/100))</f>
        <v>0.510961261090191</v>
      </c>
      <c r="Q250" s="53" t="n">
        <f aca="false">IF(J250="","",MIN(1,J250+1.96*O250/100))</f>
        <v>0.606357174663999</v>
      </c>
      <c r="R250" s="25" t="str">
        <f aca="false">IF(L250="","",IF(ABS(L250)&lt;=O250,"Yes","No"))</f>
        <v>Yes</v>
      </c>
      <c r="S250" s="25" t="str">
        <f aca="false">IF(L250="","",IF(ABS(L250)&lt;=1.96*O250,"Yes","No"))</f>
        <v>Yes</v>
      </c>
      <c r="T250" s="52" t="n">
        <f aca="false">IF(D250="","",ROUND(SQRT(((D250+G250)*O250/100)^2+(J250*(D250+G250)*0.10931)^2),0))</f>
        <v>71</v>
      </c>
      <c r="U250" s="25"/>
    </row>
    <row r="251" customFormat="false" ht="15" hidden="false" customHeight="false" outlineLevel="0" collapsed="false">
      <c r="A251" s="25" t="s">
        <v>385</v>
      </c>
      <c r="B251" s="25" t="s">
        <v>418</v>
      </c>
      <c r="C251" s="25" t="s">
        <v>424</v>
      </c>
      <c r="D251" s="52" t="n">
        <v>559</v>
      </c>
      <c r="E251" s="52" t="n">
        <v>562</v>
      </c>
      <c r="F251" s="63" t="n">
        <f aca="false">IF(E251="","",D251-E251)</f>
        <v>-3</v>
      </c>
      <c r="G251" s="52" t="n">
        <v>500</v>
      </c>
      <c r="H251" s="52" t="n">
        <v>525</v>
      </c>
      <c r="I251" s="63" t="n">
        <f aca="false">IF(H251="","",G251-H251)</f>
        <v>-25</v>
      </c>
      <c r="J251" s="53" t="n">
        <f aca="false">IF(OR(D251="",D251+G251=0),"",D251/(D251+G251))</f>
        <v>0.527856468366383</v>
      </c>
      <c r="K251" s="53" t="n">
        <f aca="false">IF(E251="","",E251/(E251+H251))</f>
        <v>0.517019319227231</v>
      </c>
      <c r="L251" s="64" t="n">
        <f aca="false">IF(OR(K251="",J251=""),"",(J251-K251)*100)</f>
        <v>1.08371491391525</v>
      </c>
      <c r="M251" s="28" t="n">
        <v>2.40127504711013</v>
      </c>
      <c r="N251" s="28" t="n">
        <v>0.395142145636406</v>
      </c>
      <c r="O251" s="28" t="n">
        <f aca="false">SQRT(M251^2+N251^2)</f>
        <v>2.43356922382165</v>
      </c>
      <c r="P251" s="53" t="n">
        <f aca="false">IF(J251="","",MAX(0,J251-1.96*O251/100))</f>
        <v>0.480158511579479</v>
      </c>
      <c r="Q251" s="53" t="n">
        <f aca="false">IF(J251="","",MIN(1,J251+1.96*O251/100))</f>
        <v>0.575554425153288</v>
      </c>
      <c r="R251" s="25" t="str">
        <f aca="false">IF(L251="","",IF(ABS(L251)&lt;=O251,"Yes","No"))</f>
        <v>Yes</v>
      </c>
      <c r="S251" s="25" t="str">
        <f aca="false">IF(L251="","",IF(ABS(L251)&lt;=1.96*O251,"Yes","No"))</f>
        <v>Yes</v>
      </c>
      <c r="T251" s="52" t="n">
        <f aca="false">IF(D251="","",ROUND(SQRT(((D251+G251)*O251/100)^2+(J251*(D251+G251)*0.10931)^2),0))</f>
        <v>66</v>
      </c>
      <c r="U251" s="25"/>
    </row>
    <row r="252" customFormat="false" ht="15" hidden="false" customHeight="false" outlineLevel="0" collapsed="false">
      <c r="A252" s="25" t="s">
        <v>385</v>
      </c>
      <c r="B252" s="25" t="s">
        <v>418</v>
      </c>
      <c r="C252" s="25" t="s">
        <v>425</v>
      </c>
      <c r="D252" s="52" t="n">
        <v>346</v>
      </c>
      <c r="E252" s="52" t="n">
        <v>337</v>
      </c>
      <c r="F252" s="63" t="n">
        <f aca="false">IF(E252="","",D252-E252)</f>
        <v>9</v>
      </c>
      <c r="G252" s="52" t="n">
        <v>289</v>
      </c>
      <c r="H252" s="52" t="n">
        <v>296</v>
      </c>
      <c r="I252" s="63" t="n">
        <f aca="false">IF(H252="","",G252-H252)</f>
        <v>-7</v>
      </c>
      <c r="J252" s="53" t="n">
        <f aca="false">IF(OR(D252="",D252+G252=0),"",D252/(D252+G252))</f>
        <v>0.54488188976378</v>
      </c>
      <c r="K252" s="53" t="n">
        <f aca="false">IF(E252="","",E252/(E252+H252))</f>
        <v>0.532385466034755</v>
      </c>
      <c r="L252" s="64" t="n">
        <f aca="false">IF(OR(K252="",J252=""),"",(J252-K252)*100)</f>
        <v>1.24964237290244</v>
      </c>
      <c r="M252" s="28" t="n">
        <v>3.59869162464536</v>
      </c>
      <c r="N252" s="28" t="n">
        <v>0.395142145636406</v>
      </c>
      <c r="O252" s="28" t="n">
        <f aca="false">SQRT(M252^2+N252^2)</f>
        <v>3.62032025165603</v>
      </c>
      <c r="P252" s="53" t="n">
        <f aca="false">IF(J252="","",MAX(0,J252-1.96*O252/100))</f>
        <v>0.473923612831321</v>
      </c>
      <c r="Q252" s="53" t="n">
        <f aca="false">IF(J252="","",MIN(1,J252+1.96*O252/100))</f>
        <v>0.615840166696238</v>
      </c>
      <c r="R252" s="25" t="str">
        <f aca="false">IF(L252="","",IF(ABS(L252)&lt;=O252,"Yes","No"))</f>
        <v>Yes</v>
      </c>
      <c r="S252" s="25" t="str">
        <f aca="false">IF(L252="","",IF(ABS(L252)&lt;=1.96*O252,"Yes","No"))</f>
        <v>Yes</v>
      </c>
      <c r="T252" s="52" t="n">
        <f aca="false">IF(D252="","",ROUND(SQRT(((D252+G252)*O252/100)^2+(J252*(D252+G252)*0.1901)^2),0))</f>
        <v>70</v>
      </c>
      <c r="U252" s="25"/>
    </row>
    <row r="253" customFormat="false" ht="15" hidden="false" customHeight="false" outlineLevel="0" collapsed="false">
      <c r="A253" s="25" t="s">
        <v>385</v>
      </c>
      <c r="B253" s="25" t="s">
        <v>418</v>
      </c>
      <c r="C253" s="25" t="s">
        <v>426</v>
      </c>
      <c r="D253" s="52" t="n">
        <v>517</v>
      </c>
      <c r="E253" s="52" t="n">
        <v>517</v>
      </c>
      <c r="F253" s="63" t="n">
        <f aca="false">IF(E253="","",D253-E253)</f>
        <v>0</v>
      </c>
      <c r="G253" s="52" t="n">
        <v>379</v>
      </c>
      <c r="H253" s="52" t="n">
        <v>388</v>
      </c>
      <c r="I253" s="63" t="n">
        <f aca="false">IF(H253="","",G253-H253)</f>
        <v>-9</v>
      </c>
      <c r="J253" s="53" t="n">
        <f aca="false">IF(OR(D253="",D253+G253=0),"",D253/(D253+G253))</f>
        <v>0.577008928571429</v>
      </c>
      <c r="K253" s="53" t="n">
        <f aca="false">IF(E253="","",E253/(E253+H253))</f>
        <v>0.571270718232044</v>
      </c>
      <c r="L253" s="64" t="n">
        <f aca="false">IF(OR(K253="",J253=""),"",(J253-K253)*100)</f>
        <v>0.573821033938438</v>
      </c>
      <c r="M253" s="28" t="n">
        <v>2.40127504711013</v>
      </c>
      <c r="N253" s="28" t="n">
        <v>0.395142145636406</v>
      </c>
      <c r="O253" s="28" t="n">
        <f aca="false">SQRT(M253^2+N253^2)</f>
        <v>2.43356922382165</v>
      </c>
      <c r="P253" s="53" t="n">
        <f aca="false">IF(J253="","",MAX(0,J253-1.96*O253/100))</f>
        <v>0.529310971784524</v>
      </c>
      <c r="Q253" s="53" t="n">
        <f aca="false">IF(J253="","",MIN(1,J253+1.96*O253/100))</f>
        <v>0.624706885358333</v>
      </c>
      <c r="R253" s="25" t="str">
        <f aca="false">IF(L253="","",IF(ABS(L253)&lt;=O253,"Yes","No"))</f>
        <v>Yes</v>
      </c>
      <c r="S253" s="25" t="str">
        <f aca="false">IF(L253="","",IF(ABS(L253)&lt;=1.96*O253,"Yes","No"))</f>
        <v>Yes</v>
      </c>
      <c r="T253" s="52" t="n">
        <f aca="false">IF(D253="","",ROUND(SQRT(((D253+G253)*O253/100)^2+(J253*(D253+G253)*0.10931)^2),0))</f>
        <v>61</v>
      </c>
      <c r="U253" s="25"/>
    </row>
    <row r="254" customFormat="false" ht="15" hidden="false" customHeight="false" outlineLevel="0" collapsed="false">
      <c r="A254" s="25" t="s">
        <v>385</v>
      </c>
      <c r="B254" s="25" t="s">
        <v>418</v>
      </c>
      <c r="C254" s="25" t="s">
        <v>427</v>
      </c>
      <c r="D254" s="52" t="n">
        <v>317</v>
      </c>
      <c r="E254" s="52" t="n">
        <v>329</v>
      </c>
      <c r="F254" s="63" t="n">
        <f aca="false">IF(E254="","",D254-E254)</f>
        <v>-12</v>
      </c>
      <c r="G254" s="52" t="n">
        <v>231</v>
      </c>
      <c r="H254" s="52" t="n">
        <v>217</v>
      </c>
      <c r="I254" s="63" t="n">
        <f aca="false">IF(H254="","",G254-H254)</f>
        <v>14</v>
      </c>
      <c r="J254" s="53" t="n">
        <f aca="false">IF(OR(D254="",D254+G254=0),"",D254/(D254+G254))</f>
        <v>0.578467153284672</v>
      </c>
      <c r="K254" s="53" t="n">
        <f aca="false">IF(E254="","",E254/(E254+H254))</f>
        <v>0.602564102564103</v>
      </c>
      <c r="L254" s="64" t="n">
        <f aca="false">IF(OR(K254="",J254=""),"",(J254-K254)*100)</f>
        <v>-2.4096949279431</v>
      </c>
      <c r="M254" s="28" t="n">
        <v>3.59869162464536</v>
      </c>
      <c r="N254" s="28" t="n">
        <v>0.395142145636406</v>
      </c>
      <c r="O254" s="28" t="n">
        <f aca="false">SQRT(M254^2+N254^2)</f>
        <v>3.62032025165603</v>
      </c>
      <c r="P254" s="53" t="n">
        <f aca="false">IF(J254="","",MAX(0,J254-1.96*O254/100))</f>
        <v>0.507508876352213</v>
      </c>
      <c r="Q254" s="53" t="n">
        <f aca="false">IF(J254="","",MIN(1,J254+1.96*O254/100))</f>
        <v>0.64942543021713</v>
      </c>
      <c r="R254" s="25" t="str">
        <f aca="false">IF(L254="","",IF(ABS(L254)&lt;=O254,"Yes","No"))</f>
        <v>Yes</v>
      </c>
      <c r="S254" s="25" t="str">
        <f aca="false">IF(L254="","",IF(ABS(L254)&lt;=1.96*O254,"Yes","No"))</f>
        <v>Yes</v>
      </c>
      <c r="T254" s="52" t="n">
        <f aca="false">IF(D254="","",ROUND(SQRT(((D254+G254)*O254/100)^2+(J254*(D254+G254)*0.1901)^2),0))</f>
        <v>63</v>
      </c>
      <c r="U254" s="25"/>
    </row>
    <row r="255" customFormat="false" ht="15" hidden="false" customHeight="false" outlineLevel="0" collapsed="false">
      <c r="A255" s="25" t="s">
        <v>385</v>
      </c>
      <c r="B255" s="25" t="s">
        <v>418</v>
      </c>
      <c r="C255" s="25" t="s">
        <v>428</v>
      </c>
      <c r="D255" s="52" t="n">
        <v>328</v>
      </c>
      <c r="E255" s="52" t="n">
        <v>352</v>
      </c>
      <c r="F255" s="63" t="n">
        <f aca="false">IF(E255="","",D255-E255)</f>
        <v>-24</v>
      </c>
      <c r="G255" s="52" t="n">
        <v>360</v>
      </c>
      <c r="H255" s="52" t="n">
        <v>326</v>
      </c>
      <c r="I255" s="63" t="n">
        <f aca="false">IF(H255="","",G255-H255)</f>
        <v>34</v>
      </c>
      <c r="J255" s="53" t="n">
        <f aca="false">IF(OR(D255="",D255+G255=0),"",D255/(D255+G255))</f>
        <v>0.476744186046512</v>
      </c>
      <c r="K255" s="53" t="n">
        <f aca="false">IF(E255="","",E255/(E255+H255))</f>
        <v>0.519174041297935</v>
      </c>
      <c r="L255" s="64" t="n">
        <f aca="false">IF(OR(K255="",J255=""),"",(J255-K255)*100)</f>
        <v>-4.24298552514235</v>
      </c>
      <c r="M255" s="28" t="n">
        <v>3.59869162464536</v>
      </c>
      <c r="N255" s="28" t="n">
        <v>0.395142145636406</v>
      </c>
      <c r="O255" s="28" t="n">
        <f aca="false">SQRT(M255^2+N255^2)</f>
        <v>3.62032025165603</v>
      </c>
      <c r="P255" s="53" t="n">
        <f aca="false">IF(J255="","",MAX(0,J255-1.96*O255/100))</f>
        <v>0.405785909114054</v>
      </c>
      <c r="Q255" s="53" t="n">
        <f aca="false">IF(J255="","",MIN(1,J255+1.96*O255/100))</f>
        <v>0.54770246297897</v>
      </c>
      <c r="R255" s="25" t="str">
        <f aca="false">IF(L255="","",IF(ABS(L255)&lt;=O255,"Yes","No"))</f>
        <v>No</v>
      </c>
      <c r="S255" s="25" t="str">
        <f aca="false">IF(L255="","",IF(ABS(L255)&lt;=1.96*O255,"Yes","No"))</f>
        <v>Yes</v>
      </c>
      <c r="T255" s="52" t="n">
        <f aca="false">IF(D255="","",ROUND(SQRT(((D255+G255)*O255/100)^2+(J255*(D255+G255)*0.1901)^2),0))</f>
        <v>67</v>
      </c>
      <c r="U255" s="25"/>
    </row>
    <row r="256" customFormat="false" ht="15" hidden="false" customHeight="false" outlineLevel="0" collapsed="false">
      <c r="A256" s="25" t="s">
        <v>385</v>
      </c>
      <c r="B256" s="25" t="s">
        <v>418</v>
      </c>
      <c r="C256" s="25" t="s">
        <v>429</v>
      </c>
      <c r="D256" s="52" t="n">
        <v>421</v>
      </c>
      <c r="E256" s="52" t="n">
        <v>420</v>
      </c>
      <c r="F256" s="63" t="n">
        <f aca="false">IF(E256="","",D256-E256)</f>
        <v>1</v>
      </c>
      <c r="G256" s="52" t="n">
        <v>375</v>
      </c>
      <c r="H256" s="52" t="n">
        <v>378</v>
      </c>
      <c r="I256" s="63" t="n">
        <f aca="false">IF(H256="","",G256-H256)</f>
        <v>-3</v>
      </c>
      <c r="J256" s="53" t="n">
        <f aca="false">IF(OR(D256="",D256+G256=0),"",D256/(D256+G256))</f>
        <v>0.528894472361809</v>
      </c>
      <c r="K256" s="53" t="n">
        <f aca="false">IF(E256="","",E256/(E256+H256))</f>
        <v>0.526315789473684</v>
      </c>
      <c r="L256" s="64" t="n">
        <f aca="false">IF(OR(K256="",J256=""),"",(J256-K256)*100)</f>
        <v>0.257868288812491</v>
      </c>
      <c r="M256" s="28" t="n">
        <v>2.40127504711013</v>
      </c>
      <c r="N256" s="28" t="n">
        <v>0.395142145636406</v>
      </c>
      <c r="O256" s="28" t="n">
        <f aca="false">SQRT(M256^2+N256^2)</f>
        <v>2.43356922382165</v>
      </c>
      <c r="P256" s="53" t="n">
        <f aca="false">IF(J256="","",MAX(0,J256-1.96*O256/100))</f>
        <v>0.481196515574905</v>
      </c>
      <c r="Q256" s="53" t="n">
        <f aca="false">IF(J256="","",MIN(1,J256+1.96*O256/100))</f>
        <v>0.576592429148713</v>
      </c>
      <c r="R256" s="25" t="str">
        <f aca="false">IF(L256="","",IF(ABS(L256)&lt;=O256,"Yes","No"))</f>
        <v>Yes</v>
      </c>
      <c r="S256" s="25" t="str">
        <f aca="false">IF(L256="","",IF(ABS(L256)&lt;=1.96*O256,"Yes","No"))</f>
        <v>Yes</v>
      </c>
      <c r="T256" s="52" t="n">
        <f aca="false">IF(D256="","",ROUND(SQRT(((D256+G256)*O256/100)^2+(J256*(D256+G256)*0.10931)^2),0))</f>
        <v>50</v>
      </c>
      <c r="U256" s="25"/>
    </row>
    <row r="257" customFormat="false" ht="15" hidden="false" customHeight="false" outlineLevel="0" collapsed="false">
      <c r="A257" s="25" t="s">
        <v>385</v>
      </c>
      <c r="B257" s="25" t="s">
        <v>418</v>
      </c>
      <c r="C257" s="25" t="s">
        <v>430</v>
      </c>
      <c r="D257" s="52" t="n">
        <v>492</v>
      </c>
      <c r="E257" s="52" t="n">
        <v>522</v>
      </c>
      <c r="F257" s="63" t="n">
        <f aca="false">IF(E257="","",D257-E257)</f>
        <v>-30</v>
      </c>
      <c r="G257" s="52" t="n">
        <v>400</v>
      </c>
      <c r="H257" s="52" t="n">
        <v>400</v>
      </c>
      <c r="I257" s="63" t="n">
        <f aca="false">IF(H257="","",G257-H257)</f>
        <v>0</v>
      </c>
      <c r="J257" s="53" t="n">
        <f aca="false">IF(OR(D257="",D257+G257=0),"",D257/(D257+G257))</f>
        <v>0.551569506726457</v>
      </c>
      <c r="K257" s="53" t="n">
        <f aca="false">IF(E257="","",E257/(E257+H257))</f>
        <v>0.566160520607375</v>
      </c>
      <c r="L257" s="64" t="n">
        <f aca="false">IF(OR(K257="",J257=""),"",(J257-K257)*100)</f>
        <v>-1.45910138809179</v>
      </c>
      <c r="M257" s="28" t="n">
        <v>2.40127504711013</v>
      </c>
      <c r="N257" s="28" t="n">
        <v>0.395142145636406</v>
      </c>
      <c r="O257" s="28" t="n">
        <f aca="false">SQRT(M257^2+N257^2)</f>
        <v>2.43356922382165</v>
      </c>
      <c r="P257" s="53" t="n">
        <f aca="false">IF(J257="","",MAX(0,J257-1.96*O257/100))</f>
        <v>0.503871549939553</v>
      </c>
      <c r="Q257" s="53" t="n">
        <f aca="false">IF(J257="","",MIN(1,J257+1.96*O257/100))</f>
        <v>0.599267463513362</v>
      </c>
      <c r="R257" s="25" t="str">
        <f aca="false">IF(L257="","",IF(ABS(L257)&lt;=O257,"Yes","No"))</f>
        <v>Yes</v>
      </c>
      <c r="S257" s="25" t="str">
        <f aca="false">IF(L257="","",IF(ABS(L257)&lt;=1.96*O257,"Yes","No"))</f>
        <v>Yes</v>
      </c>
      <c r="T257" s="52" t="n">
        <f aca="false">IF(D257="","",ROUND(SQRT(((D257+G257)*O257/100)^2+(J257*(D257+G257)*0.10931)^2),0))</f>
        <v>58</v>
      </c>
      <c r="U257" s="25"/>
    </row>
    <row r="258" customFormat="false" ht="15" hidden="false" customHeight="false" outlineLevel="0" collapsed="false">
      <c r="A258" s="25" t="s">
        <v>385</v>
      </c>
      <c r="B258" s="25" t="s">
        <v>418</v>
      </c>
      <c r="C258" s="25" t="s">
        <v>431</v>
      </c>
      <c r="D258" s="52" t="n">
        <v>432</v>
      </c>
      <c r="E258" s="52" t="n">
        <v>436</v>
      </c>
      <c r="F258" s="63" t="n">
        <f aca="false">IF(E258="","",D258-E258)</f>
        <v>-4</v>
      </c>
      <c r="G258" s="52" t="n">
        <v>435</v>
      </c>
      <c r="H258" s="52" t="n">
        <v>423</v>
      </c>
      <c r="I258" s="63" t="n">
        <f aca="false">IF(H258="","",G258-H258)</f>
        <v>12</v>
      </c>
      <c r="J258" s="53" t="n">
        <f aca="false">IF(OR(D258="",D258+G258=0),"",D258/(D258+G258))</f>
        <v>0.498269896193772</v>
      </c>
      <c r="K258" s="53" t="n">
        <f aca="false">IF(E258="","",E258/(E258+H258))</f>
        <v>0.507566938300349</v>
      </c>
      <c r="L258" s="64" t="n">
        <f aca="false">IF(OR(K258="",J258=""),"",(J258-K258)*100)</f>
        <v>-0.929704210657767</v>
      </c>
      <c r="M258" s="28" t="n">
        <v>2.40127504711013</v>
      </c>
      <c r="N258" s="28" t="n">
        <v>0.395142145636406</v>
      </c>
      <c r="O258" s="28" t="n">
        <f aca="false">SQRT(M258^2+N258^2)</f>
        <v>2.43356922382165</v>
      </c>
      <c r="P258" s="53" t="n">
        <f aca="false">IF(J258="","",MAX(0,J258-1.96*O258/100))</f>
        <v>0.450571939406867</v>
      </c>
      <c r="Q258" s="53" t="n">
        <f aca="false">IF(J258="","",MIN(1,J258+1.96*O258/100))</f>
        <v>0.545967852980676</v>
      </c>
      <c r="R258" s="25" t="str">
        <f aca="false">IF(L258="","",IF(ABS(L258)&lt;=O258,"Yes","No"))</f>
        <v>Yes</v>
      </c>
      <c r="S258" s="25" t="str">
        <f aca="false">IF(L258="","",IF(ABS(L258)&lt;=1.96*O258,"Yes","No"))</f>
        <v>Yes</v>
      </c>
      <c r="T258" s="52" t="n">
        <f aca="false">IF(D258="","",ROUND(SQRT(((D258+G258)*O258/100)^2+(J258*(D258+G258)*0.10931)^2),0))</f>
        <v>52</v>
      </c>
      <c r="U258" s="25"/>
    </row>
    <row r="259" customFormat="false" ht="15" hidden="false" customHeight="false" outlineLevel="0" collapsed="false">
      <c r="A259" s="25" t="s">
        <v>385</v>
      </c>
      <c r="B259" s="25" t="s">
        <v>418</v>
      </c>
      <c r="C259" s="25" t="s">
        <v>432</v>
      </c>
      <c r="D259" s="52" t="n">
        <v>955</v>
      </c>
      <c r="E259" s="52" t="n">
        <v>925</v>
      </c>
      <c r="F259" s="63" t="n">
        <f aca="false">IF(E259="","",D259-E259)</f>
        <v>30</v>
      </c>
      <c r="G259" s="52" t="n">
        <v>776</v>
      </c>
      <c r="H259" s="52" t="n">
        <v>710</v>
      </c>
      <c r="I259" s="63" t="n">
        <f aca="false">IF(H259="","",G259-H259)</f>
        <v>66</v>
      </c>
      <c r="J259" s="53" t="n">
        <f aca="false">IF(OR(D259="",D259+G259=0),"",D259/(D259+G259))</f>
        <v>0.551704217215482</v>
      </c>
      <c r="K259" s="53" t="n">
        <f aca="false">IF(E259="","",E259/(E259+H259))</f>
        <v>0.565749235474006</v>
      </c>
      <c r="L259" s="64" t="n">
        <f aca="false">IF(OR(K259="",J259=""),"",(J259-K259)*100)</f>
        <v>-1.40450182585238</v>
      </c>
      <c r="M259" s="28" t="n">
        <v>2.1665403898083</v>
      </c>
      <c r="N259" s="28" t="n">
        <v>0.395142145636406</v>
      </c>
      <c r="O259" s="28" t="n">
        <f aca="false">SQRT(M259^2+N259^2)</f>
        <v>2.2022794046008</v>
      </c>
      <c r="P259" s="53" t="n">
        <f aca="false">IF(J259="","",MAX(0,J259-1.96*O259/100))</f>
        <v>0.508539540885307</v>
      </c>
      <c r="Q259" s="53" t="n">
        <f aca="false">IF(J259="","",MIN(1,J259+1.96*O259/100))</f>
        <v>0.594868893545658</v>
      </c>
      <c r="R259" s="25" t="str">
        <f aca="false">IF(L259="","",IF(ABS(L259)&lt;=O259,"Yes","No"))</f>
        <v>Yes</v>
      </c>
      <c r="S259" s="25" t="str">
        <f aca="false">IF(L259="","",IF(ABS(L259)&lt;=1.96*O259,"Yes","No"))</f>
        <v>Yes</v>
      </c>
      <c r="T259" s="52" t="n">
        <f aca="false">IF(D259="","",ROUND(SQRT(((D259+G259)*O259/100)^2+(J259*(D259+G259)*0.08889)^2),0))</f>
        <v>93</v>
      </c>
      <c r="U259" s="25"/>
    </row>
    <row r="260" customFormat="false" ht="15" hidden="false" customHeight="false" outlineLevel="0" collapsed="false">
      <c r="A260" s="25" t="s">
        <v>385</v>
      </c>
      <c r="B260" s="25" t="s">
        <v>418</v>
      </c>
      <c r="C260" s="25" t="s">
        <v>433</v>
      </c>
      <c r="D260" s="52" t="n">
        <v>489</v>
      </c>
      <c r="E260" s="52" t="n">
        <v>535</v>
      </c>
      <c r="F260" s="63" t="n">
        <f aca="false">IF(E260="","",D260-E260)</f>
        <v>-46</v>
      </c>
      <c r="G260" s="52" t="n">
        <v>530</v>
      </c>
      <c r="H260" s="52" t="n">
        <v>514</v>
      </c>
      <c r="I260" s="63" t="n">
        <f aca="false">IF(H260="","",G260-H260)</f>
        <v>16</v>
      </c>
      <c r="J260" s="53" t="n">
        <f aca="false">IF(OR(D260="",D260+G260=0),"",D260/(D260+G260))</f>
        <v>0.479882237487733</v>
      </c>
      <c r="K260" s="53" t="n">
        <f aca="false">IF(E260="","",E260/(E260+H260))</f>
        <v>0.510009532888465</v>
      </c>
      <c r="L260" s="64" t="n">
        <f aca="false">IF(OR(K260="",J260=""),"",(J260-K260)*100)</f>
        <v>-3.01272954007321</v>
      </c>
      <c r="M260" s="28" t="n">
        <v>2.40127504711013</v>
      </c>
      <c r="N260" s="28" t="n">
        <v>0.395142145636406</v>
      </c>
      <c r="O260" s="28" t="n">
        <f aca="false">SQRT(M260^2+N260^2)</f>
        <v>2.43356922382165</v>
      </c>
      <c r="P260" s="53" t="n">
        <f aca="false">IF(J260="","",MAX(0,J260-1.96*O260/100))</f>
        <v>0.432184280700829</v>
      </c>
      <c r="Q260" s="53" t="n">
        <f aca="false">IF(J260="","",MIN(1,J260+1.96*O260/100))</f>
        <v>0.527580194274637</v>
      </c>
      <c r="R260" s="25" t="str">
        <f aca="false">IF(L260="","",IF(ABS(L260)&lt;=O260,"Yes","No"))</f>
        <v>No</v>
      </c>
      <c r="S260" s="25" t="str">
        <f aca="false">IF(L260="","",IF(ABS(L260)&lt;=1.96*O260,"Yes","No"))</f>
        <v>Yes</v>
      </c>
      <c r="T260" s="52" t="n">
        <f aca="false">IF(D260="","",ROUND(SQRT(((D260+G260)*O260/100)^2+(J260*(D260+G260)*0.10931)^2),0))</f>
        <v>59</v>
      </c>
      <c r="U260" s="25"/>
    </row>
    <row r="261" customFormat="false" ht="15" hidden="false" customHeight="false" outlineLevel="0" collapsed="false">
      <c r="A261" s="25" t="s">
        <v>385</v>
      </c>
      <c r="B261" s="25" t="s">
        <v>418</v>
      </c>
      <c r="C261" s="25" t="s">
        <v>434</v>
      </c>
      <c r="D261" s="52" t="n">
        <v>453</v>
      </c>
      <c r="E261" s="52" t="n">
        <v>499</v>
      </c>
      <c r="F261" s="63" t="n">
        <f aca="false">IF(E261="","",D261-E261)</f>
        <v>-46</v>
      </c>
      <c r="G261" s="52" t="n">
        <v>486</v>
      </c>
      <c r="H261" s="52" t="n">
        <v>468</v>
      </c>
      <c r="I261" s="63" t="n">
        <f aca="false">IF(H261="","",G261-H261)</f>
        <v>18</v>
      </c>
      <c r="J261" s="53" t="n">
        <f aca="false">IF(OR(D261="",D261+G261=0),"",D261/(D261+G261))</f>
        <v>0.482428115015974</v>
      </c>
      <c r="K261" s="53" t="n">
        <f aca="false">IF(E261="","",E261/(E261+H261))</f>
        <v>0.516028955532575</v>
      </c>
      <c r="L261" s="64" t="n">
        <f aca="false">IF(OR(K261="",J261=""),"",(J261-K261)*100)</f>
        <v>-3.36008405166006</v>
      </c>
      <c r="M261" s="28" t="n">
        <v>2.40127504711013</v>
      </c>
      <c r="N261" s="28" t="n">
        <v>0.395142145636406</v>
      </c>
      <c r="O261" s="28" t="n">
        <f aca="false">SQRT(M261^2+N261^2)</f>
        <v>2.43356922382165</v>
      </c>
      <c r="P261" s="53" t="n">
        <f aca="false">IF(J261="","",MAX(0,J261-1.96*O261/100))</f>
        <v>0.43473015822907</v>
      </c>
      <c r="Q261" s="53" t="n">
        <f aca="false">IF(J261="","",MIN(1,J261+1.96*O261/100))</f>
        <v>0.530126071802879</v>
      </c>
      <c r="R261" s="25" t="str">
        <f aca="false">IF(L261="","",IF(ABS(L261)&lt;=O261,"Yes","No"))</f>
        <v>No</v>
      </c>
      <c r="S261" s="25" t="str">
        <f aca="false">IF(L261="","",IF(ABS(L261)&lt;=1.96*O261,"Yes","No"))</f>
        <v>Yes</v>
      </c>
      <c r="T261" s="52" t="n">
        <f aca="false">IF(D261="","",ROUND(SQRT(((D261+G261)*O261/100)^2+(J261*(D261+G261)*0.10931)^2),0))</f>
        <v>55</v>
      </c>
      <c r="U261" s="25"/>
    </row>
    <row r="262" customFormat="false" ht="15" hidden="false" customHeight="false" outlineLevel="0" collapsed="false">
      <c r="A262" s="25" t="s">
        <v>385</v>
      </c>
      <c r="B262" s="25" t="s">
        <v>418</v>
      </c>
      <c r="C262" s="25" t="s">
        <v>435</v>
      </c>
      <c r="D262" s="52" t="n">
        <v>506</v>
      </c>
      <c r="E262" s="52" t="n">
        <v>503</v>
      </c>
      <c r="F262" s="63" t="n">
        <f aca="false">IF(E262="","",D262-E262)</f>
        <v>3</v>
      </c>
      <c r="G262" s="52" t="n">
        <v>459</v>
      </c>
      <c r="H262" s="52" t="n">
        <v>468</v>
      </c>
      <c r="I262" s="63" t="n">
        <f aca="false">IF(H262="","",G262-H262)</f>
        <v>-9</v>
      </c>
      <c r="J262" s="53" t="n">
        <f aca="false">IF(OR(D262="",D262+G262=0),"",D262/(D262+G262))</f>
        <v>0.524352331606218</v>
      </c>
      <c r="K262" s="53" t="n">
        <f aca="false">IF(E262="","",E262/(E262+H262))</f>
        <v>0.518022657054583</v>
      </c>
      <c r="L262" s="64" t="n">
        <f aca="false">IF(OR(K262="",J262=""),"",(J262-K262)*100)</f>
        <v>0.632967455163469</v>
      </c>
      <c r="M262" s="28" t="n">
        <v>2.40127504711013</v>
      </c>
      <c r="N262" s="28" t="n">
        <v>0.395142145636406</v>
      </c>
      <c r="O262" s="28" t="n">
        <f aca="false">SQRT(M262^2+N262^2)</f>
        <v>2.43356922382165</v>
      </c>
      <c r="P262" s="53" t="n">
        <f aca="false">IF(J262="","",MAX(0,J262-1.96*O262/100))</f>
        <v>0.476654374819313</v>
      </c>
      <c r="Q262" s="53" t="n">
        <f aca="false">IF(J262="","",MIN(1,J262+1.96*O262/100))</f>
        <v>0.572050288393122</v>
      </c>
      <c r="R262" s="25" t="str">
        <f aca="false">IF(L262="","",IF(ABS(L262)&lt;=O262,"Yes","No"))</f>
        <v>Yes</v>
      </c>
      <c r="S262" s="25" t="str">
        <f aca="false">IF(L262="","",IF(ABS(L262)&lt;=1.96*O262,"Yes","No"))</f>
        <v>Yes</v>
      </c>
      <c r="T262" s="52" t="n">
        <f aca="false">IF(D262="","",ROUND(SQRT(((D262+G262)*O262/100)^2+(J262*(D262+G262)*0.10931)^2),0))</f>
        <v>60</v>
      </c>
      <c r="U262" s="25"/>
    </row>
    <row r="263" customFormat="false" ht="15" hidden="false" customHeight="false" outlineLevel="0" collapsed="false">
      <c r="A263" s="25" t="s">
        <v>385</v>
      </c>
      <c r="B263" s="25" t="s">
        <v>436</v>
      </c>
      <c r="C263" s="25" t="s">
        <v>437</v>
      </c>
      <c r="D263" s="52" t="n">
        <v>845</v>
      </c>
      <c r="E263" s="52" t="n">
        <v>939</v>
      </c>
      <c r="F263" s="63" t="n">
        <f aca="false">IF(E263="","",D263-E263)</f>
        <v>-94</v>
      </c>
      <c r="G263" s="52" t="n">
        <v>1545</v>
      </c>
      <c r="H263" s="52" t="n">
        <v>1452</v>
      </c>
      <c r="I263" s="63" t="n">
        <f aca="false">IF(H263="","",G263-H263)</f>
        <v>93</v>
      </c>
      <c r="J263" s="53" t="n">
        <f aca="false">IF(OR(D263="",D263+G263=0),"",D263/(D263+G263))</f>
        <v>0.353556485355649</v>
      </c>
      <c r="K263" s="53" t="n">
        <f aca="false">IF(E263="","",E263/(E263+H263))</f>
        <v>0.392722710163112</v>
      </c>
      <c r="L263" s="64" t="n">
        <f aca="false">IF(OR(K263="",J263=""),"",(J263-K263)*100)</f>
        <v>-3.91662248074631</v>
      </c>
      <c r="M263" s="28" t="n">
        <v>2.1665403898083</v>
      </c>
      <c r="N263" s="28" t="n">
        <v>0.395142145636406</v>
      </c>
      <c r="O263" s="28" t="n">
        <f aca="false">SQRT(M263^2+N263^2)</f>
        <v>2.2022794046008</v>
      </c>
      <c r="P263" s="53" t="n">
        <f aca="false">IF(J263="","",MAX(0,J263-1.96*O263/100))</f>
        <v>0.310391809025473</v>
      </c>
      <c r="Q263" s="53" t="n">
        <f aca="false">IF(J263="","",MIN(1,J263+1.96*O263/100))</f>
        <v>0.396721161685824</v>
      </c>
      <c r="R263" s="25" t="str">
        <f aca="false">IF(L263="","",IF(ABS(L263)&lt;=O263,"Yes","No"))</f>
        <v>No</v>
      </c>
      <c r="S263" s="25" t="str">
        <f aca="false">IF(L263="","",IF(ABS(L263)&lt;=1.96*O263,"Yes","No"))</f>
        <v>Yes</v>
      </c>
      <c r="T263" s="52" t="n">
        <f aca="false">IF(D263="","",ROUND(SQRT(((D263+G263)*O263/100)^2+(J263*(D263+G263)*0.08889)^2),0))</f>
        <v>92</v>
      </c>
      <c r="U263" s="25"/>
    </row>
    <row r="264" customFormat="false" ht="15" hidden="false" customHeight="false" outlineLevel="0" collapsed="false">
      <c r="A264" s="25" t="s">
        <v>385</v>
      </c>
      <c r="B264" s="25" t="s">
        <v>436</v>
      </c>
      <c r="C264" s="25" t="s">
        <v>438</v>
      </c>
      <c r="D264" s="52" t="n">
        <v>783</v>
      </c>
      <c r="E264" s="52" t="n">
        <v>820</v>
      </c>
      <c r="F264" s="63" t="n">
        <f aca="false">IF(E264="","",D264-E264)</f>
        <v>-37</v>
      </c>
      <c r="G264" s="52" t="n">
        <v>1254</v>
      </c>
      <c r="H264" s="52" t="n">
        <v>1185</v>
      </c>
      <c r="I264" s="63" t="n">
        <f aca="false">IF(H264="","",G264-H264)</f>
        <v>69</v>
      </c>
      <c r="J264" s="53" t="n">
        <f aca="false">IF(OR(D264="",D264+G264=0),"",D264/(D264+G264))</f>
        <v>0.384388807069219</v>
      </c>
      <c r="K264" s="53" t="n">
        <f aca="false">IF(E264="","",E264/(E264+H264))</f>
        <v>0.408977556109726</v>
      </c>
      <c r="L264" s="64" t="n">
        <f aca="false">IF(OR(K264="",J264=""),"",(J264-K264)*100)</f>
        <v>-2.45887490405062</v>
      </c>
      <c r="M264" s="28" t="n">
        <v>2.1665403898083</v>
      </c>
      <c r="N264" s="28" t="n">
        <v>0.395142145636406</v>
      </c>
      <c r="O264" s="28" t="n">
        <f aca="false">SQRT(M264^2+N264^2)</f>
        <v>2.2022794046008</v>
      </c>
      <c r="P264" s="53" t="n">
        <f aca="false">IF(J264="","",MAX(0,J264-1.96*O264/100))</f>
        <v>0.341224130739044</v>
      </c>
      <c r="Q264" s="53" t="n">
        <f aca="false">IF(J264="","",MIN(1,J264+1.96*O264/100))</f>
        <v>0.427553483399395</v>
      </c>
      <c r="R264" s="25" t="str">
        <f aca="false">IF(L264="","",IF(ABS(L264)&lt;=O264,"Yes","No"))</f>
        <v>No</v>
      </c>
      <c r="S264" s="25" t="str">
        <f aca="false">IF(L264="","",IF(ABS(L264)&lt;=1.96*O264,"Yes","No"))</f>
        <v>Yes</v>
      </c>
      <c r="T264" s="52" t="n">
        <f aca="false">IF(D264="","",ROUND(SQRT(((D264+G264)*O264/100)^2+(J264*(D264+G264)*0.08889)^2),0))</f>
        <v>83</v>
      </c>
      <c r="U264" s="25"/>
    </row>
    <row r="265" customFormat="false" ht="15" hidden="false" customHeight="false" outlineLevel="0" collapsed="false">
      <c r="A265" s="25" t="s">
        <v>385</v>
      </c>
      <c r="B265" s="25" t="s">
        <v>436</v>
      </c>
      <c r="C265" s="25" t="s">
        <v>439</v>
      </c>
      <c r="D265" s="52" t="n">
        <v>385</v>
      </c>
      <c r="E265" s="52" t="n">
        <v>410</v>
      </c>
      <c r="F265" s="63" t="n">
        <f aca="false">IF(E265="","",D265-E265)</f>
        <v>-25</v>
      </c>
      <c r="G265" s="52" t="n">
        <v>802</v>
      </c>
      <c r="H265" s="52" t="n">
        <v>822</v>
      </c>
      <c r="I265" s="63" t="n">
        <f aca="false">IF(H265="","",G265-H265)</f>
        <v>-20</v>
      </c>
      <c r="J265" s="53" t="n">
        <f aca="false">IF(OR(D265="",D265+G265=0),"",D265/(D265+G265))</f>
        <v>0.324347093513058</v>
      </c>
      <c r="K265" s="53" t="n">
        <f aca="false">IF(E265="","",E265/(E265+H265))</f>
        <v>0.332792207792208</v>
      </c>
      <c r="L265" s="64" t="n">
        <f aca="false">IF(OR(K265="",J265=""),"",(J265-K265)*100)</f>
        <v>-0.844511427914968</v>
      </c>
      <c r="M265" s="28" t="n">
        <v>2.40127504711013</v>
      </c>
      <c r="N265" s="28" t="n">
        <v>0.395142145636406</v>
      </c>
      <c r="O265" s="28" t="n">
        <f aca="false">SQRT(M265^2+N265^2)</f>
        <v>2.43356922382165</v>
      </c>
      <c r="P265" s="53" t="n">
        <f aca="false">IF(J265="","",MAX(0,J265-1.96*O265/100))</f>
        <v>0.276649136726154</v>
      </c>
      <c r="Q265" s="53" t="n">
        <f aca="false">IF(J265="","",MIN(1,J265+1.96*O265/100))</f>
        <v>0.372045050299962</v>
      </c>
      <c r="R265" s="25" t="str">
        <f aca="false">IF(L265="","",IF(ABS(L265)&lt;=O265,"Yes","No"))</f>
        <v>Yes</v>
      </c>
      <c r="S265" s="25" t="str">
        <f aca="false">IF(L265="","",IF(ABS(L265)&lt;=1.96*O265,"Yes","No"))</f>
        <v>Yes</v>
      </c>
      <c r="T265" s="52" t="n">
        <f aca="false">IF(D265="","",ROUND(SQRT(((D265+G265)*O265/100)^2+(J265*(D265+G265)*0.10931)^2),0))</f>
        <v>51</v>
      </c>
      <c r="U265" s="25"/>
    </row>
    <row r="266" customFormat="false" ht="15" hidden="false" customHeight="false" outlineLevel="0" collapsed="false">
      <c r="A266" s="25" t="s">
        <v>385</v>
      </c>
      <c r="B266" s="25" t="s">
        <v>440</v>
      </c>
      <c r="C266" s="25" t="s">
        <v>440</v>
      </c>
      <c r="D266" s="52" t="n">
        <v>39</v>
      </c>
      <c r="E266" s="52" t="n">
        <v>40</v>
      </c>
      <c r="F266" s="63" t="n">
        <f aca="false">IF(E266="","",D266-E266)</f>
        <v>-1</v>
      </c>
      <c r="G266" s="52" t="n">
        <v>82</v>
      </c>
      <c r="H266" s="52" t="n">
        <v>83</v>
      </c>
      <c r="I266" s="63" t="n">
        <f aca="false">IF(H266="","",G266-H266)</f>
        <v>-1</v>
      </c>
      <c r="J266" s="53" t="n">
        <f aca="false">IF(OR(D266="",D266+G266=0),"",D266/(D266+G266))</f>
        <v>0.322314049586777</v>
      </c>
      <c r="K266" s="53" t="n">
        <f aca="false">IF(E266="","",E266/(E266+H266))</f>
        <v>0.32520325203252</v>
      </c>
      <c r="L266" s="64" t="n">
        <f aca="false">IF(OR(K266="",J266=""),"",(J266-K266)*100)</f>
        <v>-0.288920244574348</v>
      </c>
      <c r="M266" s="28" t="n">
        <v>3.59869162464536</v>
      </c>
      <c r="N266" s="28" t="n">
        <v>0.395142145636406</v>
      </c>
      <c r="O266" s="28" t="n">
        <f aca="false">SQRT(M266^2+N266^2)</f>
        <v>3.62032025165603</v>
      </c>
      <c r="P266" s="53" t="n">
        <f aca="false">IF(J266="","",MAX(0,J266-1.96*O266/100))</f>
        <v>0.251355772654319</v>
      </c>
      <c r="Q266" s="53" t="n">
        <f aca="false">IF(J266="","",MIN(1,J266+1.96*O266/100))</f>
        <v>0.393272326519235</v>
      </c>
      <c r="R266" s="25" t="str">
        <f aca="false">IF(L266="","",IF(ABS(L266)&lt;=O266,"Yes","No"))</f>
        <v>Yes</v>
      </c>
      <c r="S266" s="25" t="str">
        <f aca="false">IF(L266="","",IF(ABS(L266)&lt;=1.96*O266,"Yes","No"))</f>
        <v>Yes</v>
      </c>
      <c r="T266" s="52" t="n">
        <f aca="false">IF(D266="","",ROUND(SQRT(((D266+G266)*O266/100)^2+(J266*(D266+G266)*0.1901)^2),0))</f>
        <v>9</v>
      </c>
      <c r="U266" s="25"/>
    </row>
    <row r="267" customFormat="false" ht="15" hidden="false" customHeight="false" outlineLevel="0" collapsed="false">
      <c r="A267" s="25" t="s">
        <v>385</v>
      </c>
      <c r="B267" s="25" t="s">
        <v>441</v>
      </c>
      <c r="C267" s="25" t="s">
        <v>442</v>
      </c>
      <c r="D267" s="52" t="n">
        <v>688</v>
      </c>
      <c r="E267" s="52" t="n">
        <v>774</v>
      </c>
      <c r="F267" s="63" t="n">
        <f aca="false">IF(E267="","",D267-E267)</f>
        <v>-86</v>
      </c>
      <c r="G267" s="52" t="n">
        <v>1047</v>
      </c>
      <c r="H267" s="52" t="n">
        <v>1032</v>
      </c>
      <c r="I267" s="63" t="n">
        <f aca="false">IF(H267="","",G267-H267)</f>
        <v>15</v>
      </c>
      <c r="J267" s="53" t="n">
        <f aca="false">IF(OR(D267="",D267+G267=0),"",D267/(D267+G267))</f>
        <v>0.396541786743516</v>
      </c>
      <c r="K267" s="53" t="n">
        <f aca="false">IF(E267="","",E267/(E267+H267))</f>
        <v>0.428571428571429</v>
      </c>
      <c r="L267" s="64" t="n">
        <f aca="false">IF(OR(K267="",J267=""),"",(J267-K267)*100)</f>
        <v>-3.20296418279127</v>
      </c>
      <c r="M267" s="28" t="n">
        <v>2.1665403898083</v>
      </c>
      <c r="N267" s="28" t="n">
        <v>0.395142145636406</v>
      </c>
      <c r="O267" s="28" t="n">
        <f aca="false">SQRT(M267^2+N267^2)</f>
        <v>2.2022794046008</v>
      </c>
      <c r="P267" s="53" t="n">
        <f aca="false">IF(J267="","",MAX(0,J267-1.96*O267/100))</f>
        <v>0.35337711041334</v>
      </c>
      <c r="Q267" s="53" t="n">
        <f aca="false">IF(J267="","",MIN(1,J267+1.96*O267/100))</f>
        <v>0.439706463073692</v>
      </c>
      <c r="R267" s="25" t="str">
        <f aca="false">IF(L267="","",IF(ABS(L267)&lt;=O267,"Yes","No"))</f>
        <v>No</v>
      </c>
      <c r="S267" s="25" t="str">
        <f aca="false">IF(L267="","",IF(ABS(L267)&lt;=1.96*O267,"Yes","No"))</f>
        <v>Yes</v>
      </c>
      <c r="T267" s="52" t="n">
        <f aca="false">IF(D267="","",ROUND(SQRT(((D267+G267)*O267/100)^2+(J267*(D267+G267)*0.08889)^2),0))</f>
        <v>72</v>
      </c>
      <c r="U267" s="25"/>
    </row>
    <row r="268" customFormat="false" ht="15" hidden="false" customHeight="false" outlineLevel="0" collapsed="false">
      <c r="A268" s="25" t="s">
        <v>385</v>
      </c>
      <c r="B268" s="25" t="s">
        <v>441</v>
      </c>
      <c r="C268" s="25" t="s">
        <v>443</v>
      </c>
      <c r="D268" s="52" t="n">
        <v>695</v>
      </c>
      <c r="E268" s="52" t="n">
        <v>710</v>
      </c>
      <c r="F268" s="63" t="n">
        <f aca="false">IF(E268="","",D268-E268)</f>
        <v>-15</v>
      </c>
      <c r="G268" s="52" t="n">
        <v>929</v>
      </c>
      <c r="H268" s="52" t="n">
        <v>927</v>
      </c>
      <c r="I268" s="63" t="n">
        <f aca="false">IF(H268="","",G268-H268)</f>
        <v>2</v>
      </c>
      <c r="J268" s="53" t="n">
        <f aca="false">IF(OR(D268="",D268+G268=0),"",D268/(D268+G268))</f>
        <v>0.427955665024631</v>
      </c>
      <c r="K268" s="53" t="n">
        <f aca="false">IF(E268="","",E268/(E268+H268))</f>
        <v>0.433720219914478</v>
      </c>
      <c r="L268" s="64" t="n">
        <f aca="false">IF(OR(K268="",J268=""),"",(J268-K268)*100)</f>
        <v>-0.576455488984712</v>
      </c>
      <c r="M268" s="28" t="n">
        <v>2.1665403898083</v>
      </c>
      <c r="N268" s="28" t="n">
        <v>0.395142145636406</v>
      </c>
      <c r="O268" s="28" t="n">
        <f aca="false">SQRT(M268^2+N268^2)</f>
        <v>2.2022794046008</v>
      </c>
      <c r="P268" s="53" t="n">
        <f aca="false">IF(J268="","",MAX(0,J268-1.96*O268/100))</f>
        <v>0.384790988694455</v>
      </c>
      <c r="Q268" s="53" t="n">
        <f aca="false">IF(J268="","",MIN(1,J268+1.96*O268/100))</f>
        <v>0.471120341354806</v>
      </c>
      <c r="R268" s="25" t="str">
        <f aca="false">IF(L268="","",IF(ABS(L268)&lt;=O268,"Yes","No"))</f>
        <v>Yes</v>
      </c>
      <c r="S268" s="25" t="str">
        <f aca="false">IF(L268="","",IF(ABS(L268)&lt;=1.96*O268,"Yes","No"))</f>
        <v>Yes</v>
      </c>
      <c r="T268" s="52" t="n">
        <f aca="false">IF(D268="","",ROUND(SQRT(((D268+G268)*O268/100)^2+(J268*(D268+G268)*0.08889)^2),0))</f>
        <v>71</v>
      </c>
      <c r="U268" s="25"/>
    </row>
    <row r="269" customFormat="false" ht="15" hidden="false" customHeight="false" outlineLevel="0" collapsed="false">
      <c r="A269" s="25" t="s">
        <v>385</v>
      </c>
      <c r="B269" s="25" t="s">
        <v>444</v>
      </c>
      <c r="C269" s="25" t="s">
        <v>444</v>
      </c>
      <c r="D269" s="52" t="n">
        <v>185</v>
      </c>
      <c r="E269" s="52" t="n">
        <v>217</v>
      </c>
      <c r="F269" s="63" t="n">
        <f aca="false">IF(E269="","",D269-E269)</f>
        <v>-32</v>
      </c>
      <c r="G269" s="52" t="n">
        <v>326</v>
      </c>
      <c r="H269" s="52" t="n">
        <v>309</v>
      </c>
      <c r="I269" s="63" t="n">
        <f aca="false">IF(H269="","",G269-H269)</f>
        <v>17</v>
      </c>
      <c r="J269" s="53" t="n">
        <f aca="false">IF(OR(D269="",D269+G269=0),"",D269/(D269+G269))</f>
        <v>0.362035225048924</v>
      </c>
      <c r="K269" s="53" t="n">
        <f aca="false">IF(E269="","",E269/(E269+H269))</f>
        <v>0.41254752851711</v>
      </c>
      <c r="L269" s="64" t="n">
        <f aca="false">IF(OR(K269="",J269=""),"",(J269-K269)*100)</f>
        <v>-5.05123034681866</v>
      </c>
      <c r="M269" s="28" t="n">
        <v>3.59869162464536</v>
      </c>
      <c r="N269" s="28" t="n">
        <v>0.395142145636406</v>
      </c>
      <c r="O269" s="28" t="n">
        <f aca="false">SQRT(M269^2+N269^2)</f>
        <v>3.62032025165603</v>
      </c>
      <c r="P269" s="53" t="n">
        <f aca="false">IF(J269="","",MAX(0,J269-1.96*O269/100))</f>
        <v>0.291076948116466</v>
      </c>
      <c r="Q269" s="53" t="n">
        <f aca="false">IF(J269="","",MIN(1,J269+1.96*O269/100))</f>
        <v>0.432993501981382</v>
      </c>
      <c r="R269" s="25" t="str">
        <f aca="false">IF(L269="","",IF(ABS(L269)&lt;=O269,"Yes","No"))</f>
        <v>No</v>
      </c>
      <c r="S269" s="25" t="str">
        <f aca="false">IF(L269="","",IF(ABS(L269)&lt;=1.96*O269,"Yes","No"))</f>
        <v>Yes</v>
      </c>
      <c r="T269" s="52" t="n">
        <f aca="false">IF(D269="","",ROUND(SQRT(((D269+G269)*O269/100)^2+(J269*(D269+G269)*0.1901)^2),0))</f>
        <v>40</v>
      </c>
      <c r="U269" s="25"/>
    </row>
    <row r="270" customFormat="false" ht="15" hidden="false" customHeight="false" outlineLevel="0" collapsed="false">
      <c r="A270" s="25" t="s">
        <v>385</v>
      </c>
      <c r="B270" s="25" t="s">
        <v>445</v>
      </c>
      <c r="C270" s="25" t="s">
        <v>446</v>
      </c>
      <c r="D270" s="52" t="n">
        <v>309</v>
      </c>
      <c r="E270" s="52"/>
      <c r="F270" s="63" t="str">
        <f aca="false">IF(E270="","",D270-E270)</f>
        <v/>
      </c>
      <c r="G270" s="52" t="n">
        <v>132</v>
      </c>
      <c r="H270" s="52"/>
      <c r="I270" s="63" t="str">
        <f aca="false">IF(H270="","",G270-H270)</f>
        <v/>
      </c>
      <c r="J270" s="53" t="n">
        <f aca="false">IF(OR(D270="",D270+G270=0),"",D270/(D270+G270))</f>
        <v>0.700680272108844</v>
      </c>
      <c r="K270" s="53" t="str">
        <f aca="false">IF(E270="","",E270/(E270+H270))</f>
        <v/>
      </c>
      <c r="L270" s="64" t="str">
        <f aca="false">IF(OR(K270="",J270=""),"",(J270-K270)*100)</f>
        <v/>
      </c>
      <c r="M270" s="28" t="n">
        <v>3.59869162464536</v>
      </c>
      <c r="N270" s="28" t="n">
        <v>0.395142145636406</v>
      </c>
      <c r="O270" s="28" t="n">
        <f aca="false">SQRT(M270^2+N270^2)</f>
        <v>3.62032025165603</v>
      </c>
      <c r="P270" s="53" t="n">
        <f aca="false">IF(J270="","",MAX(0,J270-1.96*O270/100))</f>
        <v>0.629721995176385</v>
      </c>
      <c r="Q270" s="53" t="n">
        <f aca="false">IF(J270="","",MIN(1,J270+1.96*O270/100))</f>
        <v>0.771638549041302</v>
      </c>
      <c r="R270" s="25" t="str">
        <f aca="false">IF(L270="","",IF(ABS(L270)&lt;=O270,"Yes","No"))</f>
        <v/>
      </c>
      <c r="S270" s="25" t="str">
        <f aca="false">IF(L270="","",IF(ABS(L270)&lt;=1.96*O270,"Yes","No"))</f>
        <v/>
      </c>
      <c r="T270" s="52" t="n">
        <f aca="false">IF(D270="","",ROUND(SQRT(((D270+G270)*O270/100)^2+(J270*(D270+G270)*0.1901)^2),0))</f>
        <v>61</v>
      </c>
      <c r="U270" s="25" t="s">
        <v>702</v>
      </c>
    </row>
    <row r="271" customFormat="false" ht="15" hidden="false" customHeight="false" outlineLevel="0" collapsed="false">
      <c r="A271" s="25" t="s">
        <v>385</v>
      </c>
      <c r="B271" s="25" t="s">
        <v>445</v>
      </c>
      <c r="C271" s="25" t="s">
        <v>447</v>
      </c>
      <c r="D271" s="52" t="n">
        <v>496</v>
      </c>
      <c r="E271" s="52"/>
      <c r="F271" s="63" t="str">
        <f aca="false">IF(E271="","",D271-E271)</f>
        <v/>
      </c>
      <c r="G271" s="52" t="n">
        <v>204</v>
      </c>
      <c r="H271" s="52"/>
      <c r="I271" s="63" t="str">
        <f aca="false">IF(H271="","",G271-H271)</f>
        <v/>
      </c>
      <c r="J271" s="53" t="n">
        <f aca="false">IF(OR(D271="",D271+G271=0),"",D271/(D271+G271))</f>
        <v>0.708571428571429</v>
      </c>
      <c r="K271" s="53" t="str">
        <f aca="false">IF(E271="","",E271/(E271+H271))</f>
        <v/>
      </c>
      <c r="L271" s="64" t="str">
        <f aca="false">IF(OR(K271="",J271=""),"",(J271-K271)*100)</f>
        <v/>
      </c>
      <c r="M271" s="28" t="n">
        <v>3.59869162464536</v>
      </c>
      <c r="N271" s="28" t="n">
        <v>0.395142145636406</v>
      </c>
      <c r="O271" s="28" t="n">
        <f aca="false">SQRT(M271^2+N271^2)</f>
        <v>3.62032025165603</v>
      </c>
      <c r="P271" s="53" t="n">
        <f aca="false">IF(J271="","",MAX(0,J271-1.96*O271/100))</f>
        <v>0.63761315163897</v>
      </c>
      <c r="Q271" s="53" t="n">
        <f aca="false">IF(J271="","",MIN(1,J271+1.96*O271/100))</f>
        <v>0.779529705503887</v>
      </c>
      <c r="R271" s="25" t="str">
        <f aca="false">IF(L271="","",IF(ABS(L271)&lt;=O271,"Yes","No"))</f>
        <v/>
      </c>
      <c r="S271" s="25" t="str">
        <f aca="false">IF(L271="","",IF(ABS(L271)&lt;=1.96*O271,"Yes","No"))</f>
        <v/>
      </c>
      <c r="T271" s="52" t="n">
        <f aca="false">IF(D271="","",ROUND(SQRT(((D271+G271)*O271/100)^2+(J271*(D271+G271)*0.1901)^2),0))</f>
        <v>98</v>
      </c>
      <c r="U271" s="25" t="s">
        <v>702</v>
      </c>
    </row>
    <row r="272" customFormat="false" ht="15" hidden="false" customHeight="false" outlineLevel="0" collapsed="false">
      <c r="A272" s="25" t="s">
        <v>385</v>
      </c>
      <c r="B272" s="25" t="s">
        <v>445</v>
      </c>
      <c r="C272" s="25" t="s">
        <v>448</v>
      </c>
      <c r="D272" s="52" t="n">
        <v>472</v>
      </c>
      <c r="E272" s="52" t="n">
        <v>492</v>
      </c>
      <c r="F272" s="63" t="n">
        <f aca="false">IF(E272="","",D272-E272)</f>
        <v>-20</v>
      </c>
      <c r="G272" s="52" t="n">
        <v>164</v>
      </c>
      <c r="H272" s="52" t="n">
        <v>197</v>
      </c>
      <c r="I272" s="63" t="n">
        <f aca="false">IF(H272="","",G272-H272)</f>
        <v>-33</v>
      </c>
      <c r="J272" s="53" t="n">
        <f aca="false">IF(OR(D272="",D272+G272=0),"",D272/(D272+G272))</f>
        <v>0.742138364779874</v>
      </c>
      <c r="K272" s="53" t="n">
        <f aca="false">IF(E272="","",E272/(E272+H272))</f>
        <v>0.714078374455733</v>
      </c>
      <c r="L272" s="64" t="n">
        <f aca="false">IF(OR(K272="",J272=""),"",(J272-K272)*100)</f>
        <v>2.80599903241412</v>
      </c>
      <c r="M272" s="28" t="n">
        <v>3.59869162464536</v>
      </c>
      <c r="N272" s="28" t="n">
        <v>0.395142145636406</v>
      </c>
      <c r="O272" s="28" t="n">
        <f aca="false">SQRT(M272^2+N272^2)</f>
        <v>3.62032025165603</v>
      </c>
      <c r="P272" s="53" t="n">
        <f aca="false">IF(J272="","",MAX(0,J272-1.96*O272/100))</f>
        <v>0.671180087847416</v>
      </c>
      <c r="Q272" s="53" t="n">
        <f aca="false">IF(J272="","",MIN(1,J272+1.96*O272/100))</f>
        <v>0.813096641712332</v>
      </c>
      <c r="R272" s="25" t="str">
        <f aca="false">IF(L272="","",IF(ABS(L272)&lt;=O272,"Yes","No"))</f>
        <v>Yes</v>
      </c>
      <c r="S272" s="25" t="str">
        <f aca="false">IF(L272="","",IF(ABS(L272)&lt;=1.96*O272,"Yes","No"))</f>
        <v>Yes</v>
      </c>
      <c r="T272" s="52" t="n">
        <f aca="false">IF(D272="","",ROUND(SQRT(((D272+G272)*O272/100)^2+(J272*(D272+G272)*0.1901)^2),0))</f>
        <v>93</v>
      </c>
      <c r="U272" s="25"/>
    </row>
    <row r="273" customFormat="false" ht="15" hidden="false" customHeight="false" outlineLevel="0" collapsed="false">
      <c r="A273" s="25" t="s">
        <v>385</v>
      </c>
      <c r="B273" s="25" t="s">
        <v>445</v>
      </c>
      <c r="C273" s="25" t="s">
        <v>449</v>
      </c>
      <c r="D273" s="52" t="n">
        <v>711</v>
      </c>
      <c r="E273" s="52" t="n">
        <v>743</v>
      </c>
      <c r="F273" s="63" t="n">
        <f aca="false">IF(E273="","",D273-E273)</f>
        <v>-32</v>
      </c>
      <c r="G273" s="52" t="n">
        <v>264</v>
      </c>
      <c r="H273" s="52" t="n">
        <v>265</v>
      </c>
      <c r="I273" s="63" t="n">
        <f aca="false">IF(H273="","",G273-H273)</f>
        <v>-1</v>
      </c>
      <c r="J273" s="53" t="n">
        <f aca="false">IF(OR(D273="",D273+G273=0),"",D273/(D273+G273))</f>
        <v>0.729230769230769</v>
      </c>
      <c r="K273" s="53" t="n">
        <f aca="false">IF(E273="","",E273/(E273+H273))</f>
        <v>0.737103174603175</v>
      </c>
      <c r="L273" s="64" t="n">
        <f aca="false">IF(OR(K273="",J273=""),"",(J273-K273)*100)</f>
        <v>-0.787240537240541</v>
      </c>
      <c r="M273" s="28" t="n">
        <v>2.40127504711013</v>
      </c>
      <c r="N273" s="28" t="n">
        <v>0.395142145636406</v>
      </c>
      <c r="O273" s="28" t="n">
        <f aca="false">SQRT(M273^2+N273^2)</f>
        <v>2.43356922382165</v>
      </c>
      <c r="P273" s="53" t="n">
        <f aca="false">IF(J273="","",MAX(0,J273-1.96*O273/100))</f>
        <v>0.681532812443865</v>
      </c>
      <c r="Q273" s="53" t="n">
        <f aca="false">IF(J273="","",MIN(1,J273+1.96*O273/100))</f>
        <v>0.776928726017674</v>
      </c>
      <c r="R273" s="25" t="str">
        <f aca="false">IF(L273="","",IF(ABS(L273)&lt;=O273,"Yes","No"))</f>
        <v>Yes</v>
      </c>
      <c r="S273" s="25" t="str">
        <f aca="false">IF(L273="","",IF(ABS(L273)&lt;=1.96*O273,"Yes","No"))</f>
        <v>Yes</v>
      </c>
      <c r="T273" s="52" t="n">
        <f aca="false">IF(D273="","",ROUND(SQRT(((D273+G273)*O273/100)^2+(J273*(D273+G273)*0.10931)^2),0))</f>
        <v>81</v>
      </c>
      <c r="U273" s="25"/>
    </row>
    <row r="274" customFormat="false" ht="15" hidden="false" customHeight="false" outlineLevel="0" collapsed="false">
      <c r="A274" s="25" t="s">
        <v>385</v>
      </c>
      <c r="B274" s="25" t="s">
        <v>445</v>
      </c>
      <c r="C274" s="25" t="s">
        <v>450</v>
      </c>
      <c r="D274" s="52" t="n">
        <v>657</v>
      </c>
      <c r="E274" s="52" t="n">
        <v>1109</v>
      </c>
      <c r="F274" s="63" t="n">
        <f aca="false">IF(E274="","",D274-E274)</f>
        <v>-452</v>
      </c>
      <c r="G274" s="52" t="n">
        <v>166</v>
      </c>
      <c r="H274" s="52" t="n">
        <v>290</v>
      </c>
      <c r="I274" s="63" t="n">
        <f aca="false">IF(H274="","",G274-H274)</f>
        <v>-124</v>
      </c>
      <c r="J274" s="53" t="n">
        <f aca="false">IF(OR(D274="",D274+G274=0),"",D274/(D274+G274))</f>
        <v>0.798298906439854</v>
      </c>
      <c r="K274" s="53" t="n">
        <f aca="false">IF(E274="","",E274/(E274+H274))</f>
        <v>0.792709077912795</v>
      </c>
      <c r="L274" s="64" t="n">
        <f aca="false">IF(OR(K274="",J274=""),"",(J274-K274)*100)</f>
        <v>0.558982852705936</v>
      </c>
      <c r="M274" s="28" t="n">
        <v>2.40127504711013</v>
      </c>
      <c r="N274" s="28" t="n">
        <v>0.395142145636406</v>
      </c>
      <c r="O274" s="28" t="n">
        <f aca="false">SQRT(M274^2+N274^2)</f>
        <v>2.43356922382165</v>
      </c>
      <c r="P274" s="53" t="n">
        <f aca="false">IF(J274="","",MAX(0,J274-1.96*O274/100))</f>
        <v>0.75060094965295</v>
      </c>
      <c r="Q274" s="53" t="n">
        <f aca="false">IF(J274="","",MIN(1,J274+1.96*O274/100))</f>
        <v>0.845996863226759</v>
      </c>
      <c r="R274" s="25" t="str">
        <f aca="false">IF(L274="","",IF(ABS(L274)&lt;=O274,"Yes","No"))</f>
        <v>Yes</v>
      </c>
      <c r="S274" s="25" t="str">
        <f aca="false">IF(L274="","",IF(ABS(L274)&lt;=1.96*O274,"Yes","No"))</f>
        <v>Yes</v>
      </c>
      <c r="T274" s="52" t="n">
        <f aca="false">IF(D274="","",ROUND(SQRT(((D274+G274)*O274/100)^2+(J274*(D274+G274)*0.10931)^2),0))</f>
        <v>75</v>
      </c>
      <c r="U274" s="25"/>
    </row>
    <row r="275" customFormat="false" ht="15" hidden="false" customHeight="false" outlineLevel="0" collapsed="false">
      <c r="A275" s="25" t="s">
        <v>385</v>
      </c>
      <c r="B275" s="25" t="s">
        <v>445</v>
      </c>
      <c r="C275" s="25" t="s">
        <v>451</v>
      </c>
      <c r="D275" s="52" t="n">
        <v>606</v>
      </c>
      <c r="E275" s="52" t="n">
        <v>566</v>
      </c>
      <c r="F275" s="63" t="n">
        <f aca="false">IF(E275="","",D275-E275)</f>
        <v>40</v>
      </c>
      <c r="G275" s="52" t="n">
        <v>241</v>
      </c>
      <c r="H275" s="52" t="n">
        <v>257</v>
      </c>
      <c r="I275" s="63" t="n">
        <f aca="false">IF(H275="","",G275-H275)</f>
        <v>-16</v>
      </c>
      <c r="J275" s="53" t="n">
        <f aca="false">IF(OR(D275="",D275+G275=0),"",D275/(D275+G275))</f>
        <v>0.715466351829988</v>
      </c>
      <c r="K275" s="53" t="n">
        <f aca="false">IF(E275="","",E275/(E275+H275))</f>
        <v>0.687727825030377</v>
      </c>
      <c r="L275" s="64" t="n">
        <f aca="false">IF(OR(K275="",J275=""),"",(J275-K275)*100)</f>
        <v>2.77385267996115</v>
      </c>
      <c r="M275" s="28" t="n">
        <v>2.40127504711013</v>
      </c>
      <c r="N275" s="28" t="n">
        <v>0.395142145636406</v>
      </c>
      <c r="O275" s="28" t="n">
        <f aca="false">SQRT(M275^2+N275^2)</f>
        <v>2.43356922382165</v>
      </c>
      <c r="P275" s="53" t="n">
        <f aca="false">IF(J275="","",MAX(0,J275-1.96*O275/100))</f>
        <v>0.667768395043084</v>
      </c>
      <c r="Q275" s="53" t="n">
        <f aca="false">IF(J275="","",MIN(1,J275+1.96*O275/100))</f>
        <v>0.763164308616892</v>
      </c>
      <c r="R275" s="25" t="str">
        <f aca="false">IF(L275="","",IF(ABS(L275)&lt;=O275,"Yes","No"))</f>
        <v>No</v>
      </c>
      <c r="S275" s="25" t="str">
        <f aca="false">IF(L275="","",IF(ABS(L275)&lt;=1.96*O275,"Yes","No"))</f>
        <v>Yes</v>
      </c>
      <c r="T275" s="52" t="n">
        <f aca="false">IF(D275="","",ROUND(SQRT(((D275+G275)*O275/100)^2+(J275*(D275+G275)*0.10931)^2),0))</f>
        <v>69</v>
      </c>
      <c r="U275" s="25"/>
    </row>
    <row r="276" customFormat="false" ht="15" hidden="false" customHeight="false" outlineLevel="0" collapsed="false">
      <c r="A276" s="25" t="s">
        <v>385</v>
      </c>
      <c r="B276" s="25" t="s">
        <v>445</v>
      </c>
      <c r="C276" s="25" t="s">
        <v>452</v>
      </c>
      <c r="D276" s="52" t="n">
        <v>512</v>
      </c>
      <c r="E276" s="52" t="n">
        <v>517</v>
      </c>
      <c r="F276" s="63" t="n">
        <f aca="false">IF(E276="","",D276-E276)</f>
        <v>-5</v>
      </c>
      <c r="G276" s="52" t="n">
        <v>266</v>
      </c>
      <c r="H276" s="52" t="n">
        <v>265</v>
      </c>
      <c r="I276" s="63" t="n">
        <f aca="false">IF(H276="","",G276-H276)</f>
        <v>1</v>
      </c>
      <c r="J276" s="53" t="n">
        <f aca="false">IF(OR(D276="",D276+G276=0),"",D276/(D276+G276))</f>
        <v>0.658097686375321</v>
      </c>
      <c r="K276" s="53" t="n">
        <f aca="false">IF(E276="","",E276/(E276+H276))</f>
        <v>0.661125319693095</v>
      </c>
      <c r="L276" s="64" t="n">
        <f aca="false">IF(OR(K276="",J276=""),"",(J276-K276)*100)</f>
        <v>-0.302763331777334</v>
      </c>
      <c r="M276" s="28" t="n">
        <v>2.40127504711013</v>
      </c>
      <c r="N276" s="28" t="n">
        <v>0.395142145636406</v>
      </c>
      <c r="O276" s="28" t="n">
        <f aca="false">SQRT(M276^2+N276^2)</f>
        <v>2.43356922382165</v>
      </c>
      <c r="P276" s="53" t="n">
        <f aca="false">IF(J276="","",MAX(0,J276-1.96*O276/100))</f>
        <v>0.610399729588417</v>
      </c>
      <c r="Q276" s="53" t="n">
        <f aca="false">IF(J276="","",MIN(1,J276+1.96*O276/100))</f>
        <v>0.705795643162226</v>
      </c>
      <c r="R276" s="25" t="str">
        <f aca="false">IF(L276="","",IF(ABS(L276)&lt;=O276,"Yes","No"))</f>
        <v>Yes</v>
      </c>
      <c r="S276" s="25" t="str">
        <f aca="false">IF(L276="","",IF(ABS(L276)&lt;=1.96*O276,"Yes","No"))</f>
        <v>Yes</v>
      </c>
      <c r="T276" s="52" t="n">
        <f aca="false">IF(D276="","",ROUND(SQRT(((D276+G276)*O276/100)^2+(J276*(D276+G276)*0.10931)^2),0))</f>
        <v>59</v>
      </c>
      <c r="U276" s="25"/>
    </row>
    <row r="277" customFormat="false" ht="15" hidden="false" customHeight="false" outlineLevel="0" collapsed="false">
      <c r="A277" s="25" t="s">
        <v>385</v>
      </c>
      <c r="B277" s="25" t="s">
        <v>445</v>
      </c>
      <c r="C277" s="25" t="s">
        <v>453</v>
      </c>
      <c r="D277" s="52" t="n">
        <v>216</v>
      </c>
      <c r="E277" s="52" t="n">
        <v>233</v>
      </c>
      <c r="F277" s="63" t="n">
        <f aca="false">IF(E277="","",D277-E277)</f>
        <v>-17</v>
      </c>
      <c r="G277" s="52" t="n">
        <v>86</v>
      </c>
      <c r="H277" s="52" t="n">
        <v>84</v>
      </c>
      <c r="I277" s="63" t="n">
        <f aca="false">IF(H277="","",G277-H277)</f>
        <v>2</v>
      </c>
      <c r="J277" s="53" t="n">
        <f aca="false">IF(OR(D277="",D277+G277=0),"",D277/(D277+G277))</f>
        <v>0.71523178807947</v>
      </c>
      <c r="K277" s="53" t="n">
        <f aca="false">IF(E277="","",E277/(E277+H277))</f>
        <v>0.735015772870662</v>
      </c>
      <c r="L277" s="64" t="n">
        <f aca="false">IF(OR(K277="",J277=""),"",(J277-K277)*100)</f>
        <v>-1.97839847911923</v>
      </c>
      <c r="M277" s="28" t="n">
        <v>3.59869162464536</v>
      </c>
      <c r="N277" s="28" t="n">
        <v>0.395142145636406</v>
      </c>
      <c r="O277" s="28" t="n">
        <f aca="false">SQRT(M277^2+N277^2)</f>
        <v>3.62032025165603</v>
      </c>
      <c r="P277" s="53" t="n">
        <f aca="false">IF(J277="","",MAX(0,J277-1.96*O277/100))</f>
        <v>0.644273511147012</v>
      </c>
      <c r="Q277" s="53" t="n">
        <f aca="false">IF(J277="","",MIN(1,J277+1.96*O277/100))</f>
        <v>0.786190065011928</v>
      </c>
      <c r="R277" s="25" t="str">
        <f aca="false">IF(L277="","",IF(ABS(L277)&lt;=O277,"Yes","No"))</f>
        <v>Yes</v>
      </c>
      <c r="S277" s="25" t="str">
        <f aca="false">IF(L277="","",IF(ABS(L277)&lt;=1.96*O277,"Yes","No"))</f>
        <v>Yes</v>
      </c>
      <c r="T277" s="52" t="n">
        <f aca="false">IF(D277="","",ROUND(SQRT(((D277+G277)*O277/100)^2+(J277*(D277+G277)*0.1901)^2),0))</f>
        <v>42</v>
      </c>
      <c r="U277" s="25"/>
    </row>
    <row r="278" customFormat="false" ht="15" hidden="false" customHeight="false" outlineLevel="0" collapsed="false">
      <c r="A278" s="25" t="s">
        <v>385</v>
      </c>
      <c r="B278" s="25" t="s">
        <v>445</v>
      </c>
      <c r="C278" s="25" t="s">
        <v>454</v>
      </c>
      <c r="D278" s="52" t="n">
        <v>371</v>
      </c>
      <c r="E278" s="52" t="n">
        <v>391</v>
      </c>
      <c r="F278" s="63" t="n">
        <f aca="false">IF(E278="","",D278-E278)</f>
        <v>-20</v>
      </c>
      <c r="G278" s="52" t="n">
        <v>125</v>
      </c>
      <c r="H278" s="52" t="n">
        <v>126</v>
      </c>
      <c r="I278" s="63" t="n">
        <f aca="false">IF(H278="","",G278-H278)</f>
        <v>-1</v>
      </c>
      <c r="J278" s="53" t="n">
        <f aca="false">IF(OR(D278="",D278+G278=0),"",D278/(D278+G278))</f>
        <v>0.747983870967742</v>
      </c>
      <c r="K278" s="53" t="n">
        <f aca="false">IF(E278="","",E278/(E278+H278))</f>
        <v>0.756286266924565</v>
      </c>
      <c r="L278" s="64" t="n">
        <f aca="false">IF(OR(K278="",J278=""),"",(J278-K278)*100)</f>
        <v>-0.830239595682292</v>
      </c>
      <c r="M278" s="28" t="n">
        <v>3.59869162464536</v>
      </c>
      <c r="N278" s="28" t="n">
        <v>0.395142145636406</v>
      </c>
      <c r="O278" s="28" t="n">
        <f aca="false">SQRT(M278^2+N278^2)</f>
        <v>3.62032025165603</v>
      </c>
      <c r="P278" s="53" t="n">
        <f aca="false">IF(J278="","",MAX(0,J278-1.96*O278/100))</f>
        <v>0.677025594035284</v>
      </c>
      <c r="Q278" s="53" t="n">
        <f aca="false">IF(J278="","",MIN(1,J278+1.96*O278/100))</f>
        <v>0.8189421479002</v>
      </c>
      <c r="R278" s="25" t="str">
        <f aca="false">IF(L278="","",IF(ABS(L278)&lt;=O278,"Yes","No"))</f>
        <v>Yes</v>
      </c>
      <c r="S278" s="25" t="str">
        <f aca="false">IF(L278="","",IF(ABS(L278)&lt;=1.96*O278,"Yes","No"))</f>
        <v>Yes</v>
      </c>
      <c r="T278" s="52" t="n">
        <f aca="false">IF(D278="","",ROUND(SQRT(((D278+G278)*O278/100)^2+(J278*(D278+G278)*0.1901)^2),0))</f>
        <v>73</v>
      </c>
      <c r="U278" s="25"/>
    </row>
    <row r="279" customFormat="false" ht="15" hidden="false" customHeight="false" outlineLevel="0" collapsed="false">
      <c r="A279" s="25" t="s">
        <v>385</v>
      </c>
      <c r="B279" s="25" t="s">
        <v>445</v>
      </c>
      <c r="C279" s="25" t="s">
        <v>455</v>
      </c>
      <c r="D279" s="52" t="n">
        <v>425</v>
      </c>
      <c r="E279" s="52" t="n">
        <v>381</v>
      </c>
      <c r="F279" s="63" t="n">
        <f aca="false">IF(E279="","",D279-E279)</f>
        <v>44</v>
      </c>
      <c r="G279" s="52" t="n">
        <v>147</v>
      </c>
      <c r="H279" s="52" t="n">
        <v>184</v>
      </c>
      <c r="I279" s="63" t="n">
        <f aca="false">IF(H279="","",G279-H279)</f>
        <v>-37</v>
      </c>
      <c r="J279" s="53" t="n">
        <f aca="false">IF(OR(D279="",D279+G279=0),"",D279/(D279+G279))</f>
        <v>0.743006993006993</v>
      </c>
      <c r="K279" s="53" t="n">
        <f aca="false">IF(E279="","",E279/(E279+H279))</f>
        <v>0.674336283185841</v>
      </c>
      <c r="L279" s="64" t="n">
        <f aca="false">IF(OR(K279="",J279=""),"",(J279-K279)*100)</f>
        <v>6.86707098211523</v>
      </c>
      <c r="M279" s="28" t="n">
        <v>3.59869162464536</v>
      </c>
      <c r="N279" s="28" t="n">
        <v>0.395142145636406</v>
      </c>
      <c r="O279" s="28" t="n">
        <f aca="false">SQRT(M279^2+N279^2)</f>
        <v>3.62032025165603</v>
      </c>
      <c r="P279" s="53" t="n">
        <f aca="false">IF(J279="","",MAX(0,J279-1.96*O279/100))</f>
        <v>0.672048716074535</v>
      </c>
      <c r="Q279" s="53" t="n">
        <f aca="false">IF(J279="","",MIN(1,J279+1.96*O279/100))</f>
        <v>0.813965269939451</v>
      </c>
      <c r="R279" s="25" t="str">
        <f aca="false">IF(L279="","",IF(ABS(L279)&lt;=O279,"Yes","No"))</f>
        <v>No</v>
      </c>
      <c r="S279" s="25" t="str">
        <f aca="false">IF(L279="","",IF(ABS(L279)&lt;=1.96*O279,"Yes","No"))</f>
        <v>Yes</v>
      </c>
      <c r="T279" s="52" t="n">
        <f aca="false">IF(D279="","",ROUND(SQRT(((D279+G279)*O279/100)^2+(J279*(D279+G279)*0.1901)^2),0))</f>
        <v>83</v>
      </c>
      <c r="U279" s="25"/>
    </row>
    <row r="280" customFormat="false" ht="15" hidden="false" customHeight="false" outlineLevel="0" collapsed="false">
      <c r="A280" s="25" t="s">
        <v>385</v>
      </c>
      <c r="B280" s="25" t="s">
        <v>445</v>
      </c>
      <c r="C280" s="25" t="s">
        <v>456</v>
      </c>
      <c r="D280" s="52" t="n">
        <v>443</v>
      </c>
      <c r="E280" s="52"/>
      <c r="F280" s="63" t="str">
        <f aca="false">IF(E280="","",D280-E280)</f>
        <v/>
      </c>
      <c r="G280" s="52" t="n">
        <v>180</v>
      </c>
      <c r="H280" s="52"/>
      <c r="I280" s="63" t="str">
        <f aca="false">IF(H280="","",G280-H280)</f>
        <v/>
      </c>
      <c r="J280" s="53" t="n">
        <f aca="false">IF(OR(D280="",D280+G280=0),"",D280/(D280+G280))</f>
        <v>0.71107544141252</v>
      </c>
      <c r="K280" s="53" t="str">
        <f aca="false">IF(E280="","",E280/(E280+H280))</f>
        <v/>
      </c>
      <c r="L280" s="64" t="str">
        <f aca="false">IF(OR(K280="",J280=""),"",(J280-K280)*100)</f>
        <v/>
      </c>
      <c r="M280" s="28" t="n">
        <v>3.59869162464536</v>
      </c>
      <c r="N280" s="28" t="n">
        <v>0.395142145636406</v>
      </c>
      <c r="O280" s="28" t="n">
        <f aca="false">SQRT(M280^2+N280^2)</f>
        <v>3.62032025165603</v>
      </c>
      <c r="P280" s="53" t="n">
        <f aca="false">IF(J280="","",MAX(0,J280-1.96*O280/100))</f>
        <v>0.640117164480062</v>
      </c>
      <c r="Q280" s="53" t="n">
        <f aca="false">IF(J280="","",MIN(1,J280+1.96*O280/100))</f>
        <v>0.782033718344978</v>
      </c>
      <c r="R280" s="25" t="str">
        <f aca="false">IF(L280="","",IF(ABS(L280)&lt;=O280,"Yes","No"))</f>
        <v/>
      </c>
      <c r="S280" s="25" t="str">
        <f aca="false">IF(L280="","",IF(ABS(L280)&lt;=1.96*O280,"Yes","No"))</f>
        <v/>
      </c>
      <c r="T280" s="52" t="n">
        <f aca="false">IF(D280="","",ROUND(SQRT(((D280+G280)*O280/100)^2+(J280*(D280+G280)*0.1901)^2),0))</f>
        <v>87</v>
      </c>
      <c r="U280" s="25" t="s">
        <v>702</v>
      </c>
    </row>
    <row r="281" customFormat="false" ht="15" hidden="false" customHeight="false" outlineLevel="0" collapsed="false">
      <c r="A281" s="25" t="s">
        <v>385</v>
      </c>
      <c r="B281" s="25" t="s">
        <v>445</v>
      </c>
      <c r="C281" s="25" t="s">
        <v>457</v>
      </c>
      <c r="D281" s="52" t="n">
        <v>949</v>
      </c>
      <c r="E281" s="52" t="n">
        <v>912</v>
      </c>
      <c r="F281" s="63" t="n">
        <f aca="false">IF(E281="","",D281-E281)</f>
        <v>37</v>
      </c>
      <c r="G281" s="52" t="n">
        <v>437</v>
      </c>
      <c r="H281" s="52" t="n">
        <v>445</v>
      </c>
      <c r="I281" s="63" t="n">
        <f aca="false">IF(H281="","",G281-H281)</f>
        <v>-8</v>
      </c>
      <c r="J281" s="53" t="n">
        <f aca="false">IF(OR(D281="",D281+G281=0),"",D281/(D281+G281))</f>
        <v>0.684704184704185</v>
      </c>
      <c r="K281" s="53" t="n">
        <f aca="false">IF(E281="","",E281/(E281+H281))</f>
        <v>0.672070744288873</v>
      </c>
      <c r="L281" s="64" t="n">
        <f aca="false">IF(OR(K281="",J281=""),"",(J281-K281)*100)</f>
        <v>1.26334404153122</v>
      </c>
      <c r="M281" s="28" t="n">
        <v>2.1665403898083</v>
      </c>
      <c r="N281" s="28" t="n">
        <v>0.395142145636406</v>
      </c>
      <c r="O281" s="28" t="n">
        <f aca="false">SQRT(M281^2+N281^2)</f>
        <v>2.2022794046008</v>
      </c>
      <c r="P281" s="53" t="n">
        <f aca="false">IF(J281="","",MAX(0,J281-1.96*O281/100))</f>
        <v>0.641539508374009</v>
      </c>
      <c r="Q281" s="53" t="n">
        <f aca="false">IF(J281="","",MIN(1,J281+1.96*O281/100))</f>
        <v>0.72786886103436</v>
      </c>
      <c r="R281" s="25" t="str">
        <f aca="false">IF(L281="","",IF(ABS(L281)&lt;=O281,"Yes","No"))</f>
        <v>Yes</v>
      </c>
      <c r="S281" s="25" t="str">
        <f aca="false">IF(L281="","",IF(ABS(L281)&lt;=1.96*O281,"Yes","No"))</f>
        <v>Yes</v>
      </c>
      <c r="T281" s="52" t="n">
        <f aca="false">IF(D281="","",ROUND(SQRT(((D281+G281)*O281/100)^2+(J281*(D281+G281)*0.08889)^2),0))</f>
        <v>90</v>
      </c>
      <c r="U281" s="25"/>
    </row>
    <row r="282" customFormat="false" ht="15" hidden="false" customHeight="false" outlineLevel="0" collapsed="false">
      <c r="A282" s="25" t="s">
        <v>385</v>
      </c>
      <c r="B282" s="25" t="s">
        <v>458</v>
      </c>
      <c r="C282" s="25" t="s">
        <v>459</v>
      </c>
      <c r="D282" s="52" t="n">
        <v>1361</v>
      </c>
      <c r="E282" s="52"/>
      <c r="F282" s="63" t="str">
        <f aca="false">IF(E282="","",D282-E282)</f>
        <v/>
      </c>
      <c r="G282" s="52" t="n">
        <v>1444</v>
      </c>
      <c r="H282" s="52"/>
      <c r="I282" s="63" t="str">
        <f aca="false">IF(H282="","",G282-H282)</f>
        <v/>
      </c>
      <c r="J282" s="53" t="n">
        <f aca="false">IF(OR(D282="",D282+G282=0),"",D282/(D282+G282))</f>
        <v>0.485204991087344</v>
      </c>
      <c r="K282" s="53" t="str">
        <f aca="false">IF(E282="","",E282/(E282+H282))</f>
        <v/>
      </c>
      <c r="L282" s="64" t="str">
        <f aca="false">IF(OR(K282="",J282=""),"",(J282-K282)*100)</f>
        <v/>
      </c>
      <c r="M282" s="28" t="n">
        <v>2.1665403898083</v>
      </c>
      <c r="N282" s="28" t="n">
        <v>0.395142145636406</v>
      </c>
      <c r="O282" s="28" t="n">
        <f aca="false">SQRT(M282^2+N282^2)</f>
        <v>2.2022794046008</v>
      </c>
      <c r="P282" s="53" t="n">
        <f aca="false">IF(J282="","",MAX(0,J282-1.96*O282/100))</f>
        <v>0.442040314757168</v>
      </c>
      <c r="Q282" s="53" t="n">
        <f aca="false">IF(J282="","",MIN(1,J282+1.96*O282/100))</f>
        <v>0.52836966741752</v>
      </c>
      <c r="R282" s="25" t="str">
        <f aca="false">IF(L282="","",IF(ABS(L282)&lt;=O282,"Yes","No"))</f>
        <v/>
      </c>
      <c r="S282" s="25" t="str">
        <f aca="false">IF(L282="","",IF(ABS(L282)&lt;=1.96*O282,"Yes","No"))</f>
        <v/>
      </c>
      <c r="T282" s="52" t="n">
        <f aca="false">IF(D282="","",ROUND(SQRT(((D282+G282)*O282/100)^2+(J282*(D282+G282)*0.08889)^2),0))</f>
        <v>136</v>
      </c>
      <c r="U282" s="25" t="s">
        <v>702</v>
      </c>
    </row>
    <row r="283" customFormat="false" ht="15" hidden="false" customHeight="false" outlineLevel="0" collapsed="false">
      <c r="A283" s="25" t="s">
        <v>385</v>
      </c>
      <c r="B283" s="25" t="s">
        <v>458</v>
      </c>
      <c r="C283" s="25" t="s">
        <v>460</v>
      </c>
      <c r="D283" s="52" t="n">
        <v>664</v>
      </c>
      <c r="E283" s="52"/>
      <c r="F283" s="63" t="str">
        <f aca="false">IF(E283="","",D283-E283)</f>
        <v/>
      </c>
      <c r="G283" s="52" t="n">
        <v>653</v>
      </c>
      <c r="H283" s="52"/>
      <c r="I283" s="63" t="str">
        <f aca="false">IF(H283="","",G283-H283)</f>
        <v/>
      </c>
      <c r="J283" s="53" t="n">
        <f aca="false">IF(OR(D283="",D283+G283=0),"",D283/(D283+G283))</f>
        <v>0.5041761579347</v>
      </c>
      <c r="K283" s="53" t="str">
        <f aca="false">IF(E283="","",E283/(E283+H283))</f>
        <v/>
      </c>
      <c r="L283" s="64" t="str">
        <f aca="false">IF(OR(K283="",J283=""),"",(J283-K283)*100)</f>
        <v/>
      </c>
      <c r="M283" s="28" t="n">
        <v>2.1665403898083</v>
      </c>
      <c r="N283" s="28" t="n">
        <v>0.395142145636406</v>
      </c>
      <c r="O283" s="28" t="n">
        <f aca="false">SQRT(M283^2+N283^2)</f>
        <v>2.2022794046008</v>
      </c>
      <c r="P283" s="53" t="n">
        <f aca="false">IF(J283="","",MAX(0,J283-1.96*O283/100))</f>
        <v>0.461011481604524</v>
      </c>
      <c r="Q283" s="53" t="n">
        <f aca="false">IF(J283="","",MIN(1,J283+1.96*O283/100))</f>
        <v>0.547340834264876</v>
      </c>
      <c r="R283" s="25" t="str">
        <f aca="false">IF(L283="","",IF(ABS(L283)&lt;=O283,"Yes","No"))</f>
        <v/>
      </c>
      <c r="S283" s="25" t="str">
        <f aca="false">IF(L283="","",IF(ABS(L283)&lt;=1.96*O283,"Yes","No"))</f>
        <v/>
      </c>
      <c r="T283" s="52" t="n">
        <f aca="false">IF(D283="","",ROUND(SQRT(((D283+G283)*O283/100)^2+(J283*(D283+G283)*0.08889)^2),0))</f>
        <v>66</v>
      </c>
      <c r="U283" s="25" t="s">
        <v>702</v>
      </c>
    </row>
    <row r="284" customFormat="false" ht="15" hidden="false" customHeight="false" outlineLevel="0" collapsed="false">
      <c r="A284" s="25" t="s">
        <v>385</v>
      </c>
      <c r="B284" s="25" t="s">
        <v>458</v>
      </c>
      <c r="C284" s="25" t="s">
        <v>461</v>
      </c>
      <c r="D284" s="52" t="n">
        <v>812</v>
      </c>
      <c r="E284" s="52"/>
      <c r="F284" s="63" t="str">
        <f aca="false">IF(E284="","",D284-E284)</f>
        <v/>
      </c>
      <c r="G284" s="52" t="n">
        <v>741</v>
      </c>
      <c r="H284" s="52"/>
      <c r="I284" s="63" t="str">
        <f aca="false">IF(H284="","",G284-H284)</f>
        <v/>
      </c>
      <c r="J284" s="53" t="n">
        <f aca="false">IF(OR(D284="",D284+G284=0),"",D284/(D284+G284))</f>
        <v>0.522858982614295</v>
      </c>
      <c r="K284" s="53" t="str">
        <f aca="false">IF(E284="","",E284/(E284+H284))</f>
        <v/>
      </c>
      <c r="L284" s="64" t="str">
        <f aca="false">IF(OR(K284="",J284=""),"",(J284-K284)*100)</f>
        <v/>
      </c>
      <c r="M284" s="28" t="n">
        <v>2.1665403898083</v>
      </c>
      <c r="N284" s="28" t="n">
        <v>0.395142145636406</v>
      </c>
      <c r="O284" s="28" t="n">
        <f aca="false">SQRT(M284^2+N284^2)</f>
        <v>2.2022794046008</v>
      </c>
      <c r="P284" s="53" t="n">
        <f aca="false">IF(J284="","",MAX(0,J284-1.96*O284/100))</f>
        <v>0.479694306284119</v>
      </c>
      <c r="Q284" s="53" t="n">
        <f aca="false">IF(J284="","",MIN(1,J284+1.96*O284/100))</f>
        <v>0.566023658944471</v>
      </c>
      <c r="R284" s="25" t="str">
        <f aca="false">IF(L284="","",IF(ABS(L284)&lt;=O284,"Yes","No"))</f>
        <v/>
      </c>
      <c r="S284" s="25" t="str">
        <f aca="false">IF(L284="","",IF(ABS(L284)&lt;=1.96*O284,"Yes","No"))</f>
        <v/>
      </c>
      <c r="T284" s="52" t="n">
        <f aca="false">IF(D284="","",ROUND(SQRT(((D284+G284)*O284/100)^2+(J284*(D284+G284)*0.08889)^2),0))</f>
        <v>80</v>
      </c>
      <c r="U284" s="25" t="s">
        <v>702</v>
      </c>
    </row>
    <row r="285" customFormat="false" ht="15" hidden="false" customHeight="false" outlineLevel="0" collapsed="false">
      <c r="A285" s="25" t="s">
        <v>385</v>
      </c>
      <c r="B285" s="25" t="s">
        <v>458</v>
      </c>
      <c r="C285" s="25" t="s">
        <v>462</v>
      </c>
      <c r="D285" s="52" t="n">
        <v>747</v>
      </c>
      <c r="E285" s="52"/>
      <c r="F285" s="63" t="str">
        <f aca="false">IF(E285="","",D285-E285)</f>
        <v/>
      </c>
      <c r="G285" s="52" t="n">
        <v>726</v>
      </c>
      <c r="H285" s="52"/>
      <c r="I285" s="63" t="str">
        <f aca="false">IF(H285="","",G285-H285)</f>
        <v/>
      </c>
      <c r="J285" s="53" t="n">
        <f aca="false">IF(OR(D285="",D285+G285=0),"",D285/(D285+G285))</f>
        <v>0.507128309572301</v>
      </c>
      <c r="K285" s="53" t="str">
        <f aca="false">IF(E285="","",E285/(E285+H285))</f>
        <v/>
      </c>
      <c r="L285" s="64" t="str">
        <f aca="false">IF(OR(K285="",J285=""),"",(J285-K285)*100)</f>
        <v/>
      </c>
      <c r="M285" s="28" t="n">
        <v>2.1665403898083</v>
      </c>
      <c r="N285" s="28" t="n">
        <v>0.395142145636406</v>
      </c>
      <c r="O285" s="28" t="n">
        <f aca="false">SQRT(M285^2+N285^2)</f>
        <v>2.2022794046008</v>
      </c>
      <c r="P285" s="53" t="n">
        <f aca="false">IF(J285="","",MAX(0,J285-1.96*O285/100))</f>
        <v>0.463963633242126</v>
      </c>
      <c r="Q285" s="53" t="n">
        <f aca="false">IF(J285="","",MIN(1,J285+1.96*O285/100))</f>
        <v>0.550292985902477</v>
      </c>
      <c r="R285" s="25" t="str">
        <f aca="false">IF(L285="","",IF(ABS(L285)&lt;=O285,"Yes","No"))</f>
        <v/>
      </c>
      <c r="S285" s="25" t="str">
        <f aca="false">IF(L285="","",IF(ABS(L285)&lt;=1.96*O285,"Yes","No"))</f>
        <v/>
      </c>
      <c r="T285" s="52" t="n">
        <f aca="false">IF(D285="","",ROUND(SQRT(((D285+G285)*O285/100)^2+(J285*(D285+G285)*0.08889)^2),0))</f>
        <v>74</v>
      </c>
      <c r="U285" s="25" t="s">
        <v>702</v>
      </c>
    </row>
    <row r="286" customFormat="false" ht="15" hidden="false" customHeight="false" outlineLevel="0" collapsed="false">
      <c r="A286" s="25" t="s">
        <v>385</v>
      </c>
      <c r="B286" s="25" t="s">
        <v>458</v>
      </c>
      <c r="C286" s="25" t="s">
        <v>463</v>
      </c>
      <c r="D286" s="52" t="n">
        <v>985</v>
      </c>
      <c r="E286" s="52" t="n">
        <v>975</v>
      </c>
      <c r="F286" s="63" t="n">
        <f aca="false">IF(E286="","",D286-E286)</f>
        <v>10</v>
      </c>
      <c r="G286" s="52" t="n">
        <v>872</v>
      </c>
      <c r="H286" s="52" t="n">
        <v>935</v>
      </c>
      <c r="I286" s="63" t="n">
        <f aca="false">IF(H286="","",G286-H286)</f>
        <v>-63</v>
      </c>
      <c r="J286" s="53" t="n">
        <f aca="false">IF(OR(D286="",D286+G286=0),"",D286/(D286+G286))</f>
        <v>0.530425417339795</v>
      </c>
      <c r="K286" s="53" t="n">
        <f aca="false">IF(E286="","",E286/(E286+H286))</f>
        <v>0.510471204188482</v>
      </c>
      <c r="L286" s="64" t="n">
        <f aca="false">IF(OR(K286="",J286=""),"",(J286-K286)*100)</f>
        <v>1.99542131513137</v>
      </c>
      <c r="M286" s="28" t="n">
        <v>2.1665403898083</v>
      </c>
      <c r="N286" s="28" t="n">
        <v>0.395142145636406</v>
      </c>
      <c r="O286" s="28" t="n">
        <f aca="false">SQRT(M286^2+N286^2)</f>
        <v>2.2022794046008</v>
      </c>
      <c r="P286" s="53" t="n">
        <f aca="false">IF(J286="","",MAX(0,J286-1.96*O286/100))</f>
        <v>0.48726074100962</v>
      </c>
      <c r="Q286" s="53" t="n">
        <f aca="false">IF(J286="","",MIN(1,J286+1.96*O286/100))</f>
        <v>0.573590093669971</v>
      </c>
      <c r="R286" s="25" t="str">
        <f aca="false">IF(L286="","",IF(ABS(L286)&lt;=O286,"Yes","No"))</f>
        <v>Yes</v>
      </c>
      <c r="S286" s="25" t="str">
        <f aca="false">IF(L286="","",IF(ABS(L286)&lt;=1.96*O286,"Yes","No"))</f>
        <v>Yes</v>
      </c>
      <c r="T286" s="52" t="n">
        <f aca="false">IF(D286="","",ROUND(SQRT(((D286+G286)*O286/100)^2+(J286*(D286+G286)*0.08889)^2),0))</f>
        <v>97</v>
      </c>
      <c r="U286" s="25"/>
    </row>
    <row r="287" customFormat="false" ht="15" hidden="false" customHeight="false" outlineLevel="0" collapsed="false">
      <c r="A287" s="25" t="s">
        <v>385</v>
      </c>
      <c r="B287" s="25" t="s">
        <v>458</v>
      </c>
      <c r="C287" s="25" t="s">
        <v>464</v>
      </c>
      <c r="D287" s="52" t="n">
        <v>771</v>
      </c>
      <c r="E287" s="52"/>
      <c r="F287" s="63" t="str">
        <f aca="false">IF(E287="","",D287-E287)</f>
        <v/>
      </c>
      <c r="G287" s="52" t="n">
        <v>761</v>
      </c>
      <c r="H287" s="52"/>
      <c r="I287" s="63" t="str">
        <f aca="false">IF(H287="","",G287-H287)</f>
        <v/>
      </c>
      <c r="J287" s="53" t="n">
        <f aca="false">IF(OR(D287="",D287+G287=0),"",D287/(D287+G287))</f>
        <v>0.503263707571802</v>
      </c>
      <c r="K287" s="53" t="str">
        <f aca="false">IF(E287="","",E287/(E287+H287))</f>
        <v/>
      </c>
      <c r="L287" s="64" t="str">
        <f aca="false">IF(OR(K287="",J287=""),"",(J287-K287)*100)</f>
        <v/>
      </c>
      <c r="M287" s="28" t="n">
        <v>2.1665403898083</v>
      </c>
      <c r="N287" s="28" t="n">
        <v>0.395142145636406</v>
      </c>
      <c r="O287" s="28" t="n">
        <f aca="false">SQRT(M287^2+N287^2)</f>
        <v>2.2022794046008</v>
      </c>
      <c r="P287" s="53" t="n">
        <f aca="false">IF(J287="","",MAX(0,J287-1.96*O287/100))</f>
        <v>0.460099031241626</v>
      </c>
      <c r="Q287" s="53" t="n">
        <f aca="false">IF(J287="","",MIN(1,J287+1.96*O287/100))</f>
        <v>0.546428383901977</v>
      </c>
      <c r="R287" s="25" t="str">
        <f aca="false">IF(L287="","",IF(ABS(L287)&lt;=O287,"Yes","No"))</f>
        <v/>
      </c>
      <c r="S287" s="25" t="str">
        <f aca="false">IF(L287="","",IF(ABS(L287)&lt;=1.96*O287,"Yes","No"))</f>
        <v/>
      </c>
      <c r="T287" s="52" t="n">
        <f aca="false">IF(D287="","",ROUND(SQRT(((D287+G287)*O287/100)^2+(J287*(D287+G287)*0.08889)^2),0))</f>
        <v>76</v>
      </c>
      <c r="U287" s="25" t="s">
        <v>702</v>
      </c>
    </row>
    <row r="288" customFormat="false" ht="15" hidden="false" customHeight="false" outlineLevel="0" collapsed="false">
      <c r="A288" s="25" t="s">
        <v>385</v>
      </c>
      <c r="B288" s="25" t="s">
        <v>458</v>
      </c>
      <c r="C288" s="25" t="s">
        <v>465</v>
      </c>
      <c r="D288" s="52" t="n">
        <v>701</v>
      </c>
      <c r="E288" s="52"/>
      <c r="F288" s="63" t="str">
        <f aca="false">IF(E288="","",D288-E288)</f>
        <v/>
      </c>
      <c r="G288" s="52" t="n">
        <v>708</v>
      </c>
      <c r="H288" s="52"/>
      <c r="I288" s="63" t="str">
        <f aca="false">IF(H288="","",G288-H288)</f>
        <v/>
      </c>
      <c r="J288" s="53" t="n">
        <f aca="false">IF(OR(D288="",D288+G288=0),"",D288/(D288+G288))</f>
        <v>0.497515968772179</v>
      </c>
      <c r="K288" s="53" t="str">
        <f aca="false">IF(E288="","",E288/(E288+H288))</f>
        <v/>
      </c>
      <c r="L288" s="64" t="str">
        <f aca="false">IF(OR(K288="",J288=""),"",(J288-K288)*100)</f>
        <v/>
      </c>
      <c r="M288" s="28" t="n">
        <v>2.1665403898083</v>
      </c>
      <c r="N288" s="28" t="n">
        <v>0.395142145636406</v>
      </c>
      <c r="O288" s="28" t="n">
        <f aca="false">SQRT(M288^2+N288^2)</f>
        <v>2.2022794046008</v>
      </c>
      <c r="P288" s="53" t="n">
        <f aca="false">IF(J288="","",MAX(0,J288-1.96*O288/100))</f>
        <v>0.454351292442003</v>
      </c>
      <c r="Q288" s="53" t="n">
        <f aca="false">IF(J288="","",MIN(1,J288+1.96*O288/100))</f>
        <v>0.540680645102355</v>
      </c>
      <c r="R288" s="25" t="str">
        <f aca="false">IF(L288="","",IF(ABS(L288)&lt;=O288,"Yes","No"))</f>
        <v/>
      </c>
      <c r="S288" s="25" t="str">
        <f aca="false">IF(L288="","",IF(ABS(L288)&lt;=1.96*O288,"Yes","No"))</f>
        <v/>
      </c>
      <c r="T288" s="52" t="n">
        <f aca="false">IF(D288="","",ROUND(SQRT(((D288+G288)*O288/100)^2+(J288*(D288+G288)*0.08889)^2),0))</f>
        <v>70</v>
      </c>
      <c r="U288" s="25" t="s">
        <v>702</v>
      </c>
    </row>
    <row r="289" customFormat="false" ht="15" hidden="false" customHeight="false" outlineLevel="0" collapsed="false">
      <c r="A289" s="25" t="s">
        <v>385</v>
      </c>
      <c r="B289" s="25" t="s">
        <v>466</v>
      </c>
      <c r="C289" s="25" t="s">
        <v>466</v>
      </c>
      <c r="D289" s="52" t="n">
        <v>741</v>
      </c>
      <c r="E289" s="52" t="n">
        <v>714</v>
      </c>
      <c r="F289" s="63" t="n">
        <f aca="false">IF(E289="","",D289-E289)</f>
        <v>27</v>
      </c>
      <c r="G289" s="52" t="n">
        <v>524</v>
      </c>
      <c r="H289" s="52" t="n">
        <v>484</v>
      </c>
      <c r="I289" s="63" t="n">
        <f aca="false">IF(H289="","",G289-H289)</f>
        <v>40</v>
      </c>
      <c r="J289" s="53" t="n">
        <f aca="false">IF(OR(D289="",D289+G289=0),"",D289/(D289+G289))</f>
        <v>0.585770750988142</v>
      </c>
      <c r="K289" s="53" t="n">
        <f aca="false">IF(E289="","",E289/(E289+H289))</f>
        <v>0.595993322203673</v>
      </c>
      <c r="L289" s="64" t="n">
        <f aca="false">IF(OR(K289="",J289=""),"",(J289-K289)*100)</f>
        <v>-1.02225712155305</v>
      </c>
      <c r="M289" s="28" t="n">
        <v>2.1665403898083</v>
      </c>
      <c r="N289" s="28" t="n">
        <v>0.395142145636406</v>
      </c>
      <c r="O289" s="28" t="n">
        <f aca="false">SQRT(M289^2+N289^2)</f>
        <v>2.2022794046008</v>
      </c>
      <c r="P289" s="53" t="n">
        <f aca="false">IF(J289="","",MAX(0,J289-1.96*O289/100))</f>
        <v>0.542606074657967</v>
      </c>
      <c r="Q289" s="53" t="n">
        <f aca="false">IF(J289="","",MIN(1,J289+1.96*O289/100))</f>
        <v>0.628935427318318</v>
      </c>
      <c r="R289" s="25" t="str">
        <f aca="false">IF(L289="","",IF(ABS(L289)&lt;=O289,"Yes","No"))</f>
        <v>Yes</v>
      </c>
      <c r="S289" s="25" t="str">
        <f aca="false">IF(L289="","",IF(ABS(L289)&lt;=1.96*O289,"Yes","No"))</f>
        <v>Yes</v>
      </c>
      <c r="T289" s="52" t="n">
        <f aca="false">IF(D289="","",ROUND(SQRT(((D289+G289)*O289/100)^2+(J289*(D289+G289)*0.08889)^2),0))</f>
        <v>72</v>
      </c>
      <c r="U289" s="25"/>
    </row>
    <row r="290" customFormat="false" ht="15" hidden="false" customHeight="false" outlineLevel="0" collapsed="false">
      <c r="A290" s="25" t="s">
        <v>385</v>
      </c>
      <c r="B290" s="25" t="s">
        <v>467</v>
      </c>
      <c r="C290" s="25" t="s">
        <v>467</v>
      </c>
      <c r="D290" s="52" t="n">
        <v>99</v>
      </c>
      <c r="E290" s="52" t="n">
        <v>109</v>
      </c>
      <c r="F290" s="63" t="n">
        <f aca="false">IF(E290="","",D290-E290)</f>
        <v>-10</v>
      </c>
      <c r="G290" s="52" t="n">
        <v>106</v>
      </c>
      <c r="H290" s="52" t="n">
        <v>97</v>
      </c>
      <c r="I290" s="63" t="n">
        <f aca="false">IF(H290="","",G290-H290)</f>
        <v>9</v>
      </c>
      <c r="J290" s="53" t="n">
        <f aca="false">IF(OR(D290="",D290+G290=0),"",D290/(D290+G290))</f>
        <v>0.482926829268293</v>
      </c>
      <c r="K290" s="53" t="n">
        <f aca="false">IF(E290="","",E290/(E290+H290))</f>
        <v>0.529126213592233</v>
      </c>
      <c r="L290" s="64" t="n">
        <f aca="false">IF(OR(K290="",J290=""),"",(J290-K290)*100)</f>
        <v>-4.61993843239403</v>
      </c>
      <c r="M290" s="28" t="n">
        <v>3.59869162464536</v>
      </c>
      <c r="N290" s="28" t="n">
        <v>0.395142145636406</v>
      </c>
      <c r="O290" s="28" t="n">
        <f aca="false">SQRT(M290^2+N290^2)</f>
        <v>3.62032025165603</v>
      </c>
      <c r="P290" s="53" t="n">
        <f aca="false">IF(J290="","",MAX(0,J290-1.96*O290/100))</f>
        <v>0.411968552335835</v>
      </c>
      <c r="Q290" s="53" t="n">
        <f aca="false">IF(J290="","",MIN(1,J290+1.96*O290/100))</f>
        <v>0.553885106200751</v>
      </c>
      <c r="R290" s="25" t="str">
        <f aca="false">IF(L290="","",IF(ABS(L290)&lt;=O290,"Yes","No"))</f>
        <v>No</v>
      </c>
      <c r="S290" s="25" t="str">
        <f aca="false">IF(L290="","",IF(ABS(L290)&lt;=1.96*O290,"Yes","No"))</f>
        <v>Yes</v>
      </c>
      <c r="T290" s="52" t="n">
        <f aca="false">IF(D290="","",ROUND(SQRT(((D290+G290)*O290/100)^2+(J290*(D290+G290)*0.1901)^2),0))</f>
        <v>20</v>
      </c>
      <c r="U290" s="25"/>
    </row>
    <row r="291" customFormat="false" ht="15" hidden="false" customHeight="false" outlineLevel="0" collapsed="false">
      <c r="A291" s="25" t="s">
        <v>385</v>
      </c>
      <c r="B291" s="25" t="s">
        <v>292</v>
      </c>
      <c r="C291" s="25" t="s">
        <v>468</v>
      </c>
      <c r="D291" s="52" t="n">
        <v>933</v>
      </c>
      <c r="E291" s="52" t="n">
        <v>955</v>
      </c>
      <c r="F291" s="63" t="n">
        <f aca="false">IF(E291="","",D291-E291)</f>
        <v>-22</v>
      </c>
      <c r="G291" s="52" t="n">
        <v>707</v>
      </c>
      <c r="H291" s="52" t="n">
        <v>692</v>
      </c>
      <c r="I291" s="63" t="n">
        <f aca="false">IF(H291="","",G291-H291)</f>
        <v>15</v>
      </c>
      <c r="J291" s="53" t="n">
        <f aca="false">IF(OR(D291="",D291+G291=0),"",D291/(D291+G291))</f>
        <v>0.56890243902439</v>
      </c>
      <c r="K291" s="53" t="n">
        <f aca="false">IF(E291="","",E291/(E291+H291))</f>
        <v>0.579842137219186</v>
      </c>
      <c r="L291" s="64" t="n">
        <f aca="false">IF(OR(K291="",J291=""),"",(J291-K291)*100)</f>
        <v>-1.09396981947962</v>
      </c>
      <c r="M291" s="28" t="n">
        <v>2.1665403898083</v>
      </c>
      <c r="N291" s="28" t="n">
        <v>0.395142145636406</v>
      </c>
      <c r="O291" s="28" t="n">
        <f aca="false">SQRT(M291^2+N291^2)</f>
        <v>2.2022794046008</v>
      </c>
      <c r="P291" s="53" t="n">
        <f aca="false">IF(J291="","",MAX(0,J291-1.96*O291/100))</f>
        <v>0.525737762694215</v>
      </c>
      <c r="Q291" s="53" t="n">
        <f aca="false">IF(J291="","",MIN(1,J291+1.96*O291/100))</f>
        <v>0.612067115354566</v>
      </c>
      <c r="R291" s="25" t="str">
        <f aca="false">IF(L291="","",IF(ABS(L291)&lt;=O291,"Yes","No"))</f>
        <v>Yes</v>
      </c>
      <c r="S291" s="25" t="str">
        <f aca="false">IF(L291="","",IF(ABS(L291)&lt;=1.96*O291,"Yes","No"))</f>
        <v>Yes</v>
      </c>
      <c r="T291" s="52" t="n">
        <f aca="false">IF(D291="","",ROUND(SQRT(((D291+G291)*O291/100)^2+(J291*(D291+G291)*0.08889)^2),0))</f>
        <v>90</v>
      </c>
      <c r="U291" s="25"/>
    </row>
    <row r="292" customFormat="false" ht="15" hidden="false" customHeight="false" outlineLevel="0" collapsed="false">
      <c r="A292" s="25" t="s">
        <v>385</v>
      </c>
      <c r="B292" s="25" t="s">
        <v>292</v>
      </c>
      <c r="C292" s="25" t="s">
        <v>469</v>
      </c>
      <c r="D292" s="52" t="n">
        <v>859</v>
      </c>
      <c r="E292" s="52" t="n">
        <v>910</v>
      </c>
      <c r="F292" s="63" t="n">
        <f aca="false">IF(E292="","",D292-E292)</f>
        <v>-51</v>
      </c>
      <c r="G292" s="52" t="n">
        <v>765</v>
      </c>
      <c r="H292" s="52" t="n">
        <v>742</v>
      </c>
      <c r="I292" s="63" t="n">
        <f aca="false">IF(H292="","",G292-H292)</f>
        <v>23</v>
      </c>
      <c r="J292" s="53" t="n">
        <f aca="false">IF(OR(D292="",D292+G292=0),"",D292/(D292+G292))</f>
        <v>0.528940886699507</v>
      </c>
      <c r="K292" s="53" t="n">
        <f aca="false">IF(E292="","",E292/(E292+H292))</f>
        <v>0.550847457627119</v>
      </c>
      <c r="L292" s="64" t="n">
        <f aca="false">IF(OR(K292="",J292=""),"",(J292-K292)*100)</f>
        <v>-2.19065709276113</v>
      </c>
      <c r="M292" s="28" t="n">
        <v>2.1665403898083</v>
      </c>
      <c r="N292" s="28" t="n">
        <v>0.395142145636406</v>
      </c>
      <c r="O292" s="28" t="n">
        <f aca="false">SQRT(M292^2+N292^2)</f>
        <v>2.2022794046008</v>
      </c>
      <c r="P292" s="53" t="n">
        <f aca="false">IF(J292="","",MAX(0,J292-1.96*O292/100))</f>
        <v>0.485776210369332</v>
      </c>
      <c r="Q292" s="53" t="n">
        <f aca="false">IF(J292="","",MIN(1,J292+1.96*O292/100))</f>
        <v>0.572105563029683</v>
      </c>
      <c r="R292" s="25" t="str">
        <f aca="false">IF(L292="","",IF(ABS(L292)&lt;=O292,"Yes","No"))</f>
        <v>Yes</v>
      </c>
      <c r="S292" s="25" t="str">
        <f aca="false">IF(L292="","",IF(ABS(L292)&lt;=1.96*O292,"Yes","No"))</f>
        <v>Yes</v>
      </c>
      <c r="T292" s="52" t="n">
        <f aca="false">IF(D292="","",ROUND(SQRT(((D292+G292)*O292/100)^2+(J292*(D292+G292)*0.08889)^2),0))</f>
        <v>84</v>
      </c>
      <c r="U292" s="25"/>
    </row>
    <row r="293" customFormat="false" ht="15" hidden="false" customHeight="false" outlineLevel="0" collapsed="false">
      <c r="A293" s="25" t="s">
        <v>385</v>
      </c>
      <c r="B293" s="25" t="s">
        <v>292</v>
      </c>
      <c r="C293" s="25" t="s">
        <v>470</v>
      </c>
      <c r="D293" s="52" t="n">
        <v>436</v>
      </c>
      <c r="E293" s="52" t="n">
        <v>446</v>
      </c>
      <c r="F293" s="63" t="n">
        <f aca="false">IF(E293="","",D293-E293)</f>
        <v>-10</v>
      </c>
      <c r="G293" s="52" t="n">
        <v>419</v>
      </c>
      <c r="H293" s="52" t="n">
        <v>410</v>
      </c>
      <c r="I293" s="63" t="n">
        <f aca="false">IF(H293="","",G293-H293)</f>
        <v>9</v>
      </c>
      <c r="J293" s="53" t="n">
        <f aca="false">IF(OR(D293="",D293+G293=0),"",D293/(D293+G293))</f>
        <v>0.509941520467836</v>
      </c>
      <c r="K293" s="53" t="n">
        <f aca="false">IF(E293="","",E293/(E293+H293))</f>
        <v>0.521028037383178</v>
      </c>
      <c r="L293" s="64" t="n">
        <f aca="false">IF(OR(K293="",J293=""),"",(J293-K293)*100)</f>
        <v>-1.10865169153414</v>
      </c>
      <c r="M293" s="28" t="n">
        <v>2.40127504711013</v>
      </c>
      <c r="N293" s="28" t="n">
        <v>0.395142145636406</v>
      </c>
      <c r="O293" s="28" t="n">
        <f aca="false">SQRT(M293^2+N293^2)</f>
        <v>2.43356922382165</v>
      </c>
      <c r="P293" s="53" t="n">
        <f aca="false">IF(J293="","",MAX(0,J293-1.96*O293/100))</f>
        <v>0.462243563680932</v>
      </c>
      <c r="Q293" s="53" t="n">
        <f aca="false">IF(J293="","",MIN(1,J293+1.96*O293/100))</f>
        <v>0.557639477254741</v>
      </c>
      <c r="R293" s="25" t="str">
        <f aca="false">IF(L293="","",IF(ABS(L293)&lt;=O293,"Yes","No"))</f>
        <v>Yes</v>
      </c>
      <c r="S293" s="25" t="str">
        <f aca="false">IF(L293="","",IF(ABS(L293)&lt;=1.96*O293,"Yes","No"))</f>
        <v>Yes</v>
      </c>
      <c r="T293" s="52" t="n">
        <f aca="false">IF(D293="","",ROUND(SQRT(((D293+G293)*O293/100)^2+(J293*(D293+G293)*0.10931)^2),0))</f>
        <v>52</v>
      </c>
      <c r="U293" s="25"/>
    </row>
    <row r="294" customFormat="false" ht="15" hidden="false" customHeight="false" outlineLevel="0" collapsed="false">
      <c r="A294" s="25" t="s">
        <v>385</v>
      </c>
      <c r="B294" s="25" t="s">
        <v>292</v>
      </c>
      <c r="C294" s="25" t="s">
        <v>471</v>
      </c>
      <c r="D294" s="52" t="n">
        <v>730</v>
      </c>
      <c r="E294" s="52" t="n">
        <v>744</v>
      </c>
      <c r="F294" s="63" t="n">
        <f aca="false">IF(E294="","",D294-E294)</f>
        <v>-14</v>
      </c>
      <c r="G294" s="52" t="n">
        <v>707</v>
      </c>
      <c r="H294" s="52" t="n">
        <v>678</v>
      </c>
      <c r="I294" s="63" t="n">
        <f aca="false">IF(H294="","",G294-H294)</f>
        <v>29</v>
      </c>
      <c r="J294" s="53" t="n">
        <f aca="false">IF(OR(D294="",D294+G294=0),"",D294/(D294+G294))</f>
        <v>0.508002783576896</v>
      </c>
      <c r="K294" s="53" t="n">
        <f aca="false">IF(E294="","",E294/(E294+H294))</f>
        <v>0.523206751054852</v>
      </c>
      <c r="L294" s="64" t="n">
        <f aca="false">IF(OR(K294="",J294=""),"",(J294-K294)*100)</f>
        <v>-1.5203967477956</v>
      </c>
      <c r="M294" s="28" t="n">
        <v>2.1665403898083</v>
      </c>
      <c r="N294" s="28" t="n">
        <v>0.395142145636406</v>
      </c>
      <c r="O294" s="28" t="n">
        <f aca="false">SQRT(M294^2+N294^2)</f>
        <v>2.2022794046008</v>
      </c>
      <c r="P294" s="53" t="n">
        <f aca="false">IF(J294="","",MAX(0,J294-1.96*O294/100))</f>
        <v>0.464838107246721</v>
      </c>
      <c r="Q294" s="53" t="n">
        <f aca="false">IF(J294="","",MIN(1,J294+1.96*O294/100))</f>
        <v>0.551167459907072</v>
      </c>
      <c r="R294" s="25" t="str">
        <f aca="false">IF(L294="","",IF(ABS(L294)&lt;=O294,"Yes","No"))</f>
        <v>Yes</v>
      </c>
      <c r="S294" s="25" t="str">
        <f aca="false">IF(L294="","",IF(ABS(L294)&lt;=1.96*O294,"Yes","No"))</f>
        <v>Yes</v>
      </c>
      <c r="T294" s="52" t="n">
        <f aca="false">IF(D294="","",ROUND(SQRT(((D294+G294)*O294/100)^2+(J294*(D294+G294)*0.08889)^2),0))</f>
        <v>72</v>
      </c>
      <c r="U294" s="25"/>
    </row>
    <row r="295" customFormat="false" ht="15" hidden="false" customHeight="false" outlineLevel="0" collapsed="false">
      <c r="A295" s="25" t="s">
        <v>385</v>
      </c>
      <c r="B295" s="25" t="s">
        <v>292</v>
      </c>
      <c r="C295" s="25" t="s">
        <v>472</v>
      </c>
      <c r="D295" s="52" t="n">
        <v>778</v>
      </c>
      <c r="E295" s="52" t="n">
        <v>775</v>
      </c>
      <c r="F295" s="63" t="n">
        <f aca="false">IF(E295="","",D295-E295)</f>
        <v>3</v>
      </c>
      <c r="G295" s="52" t="n">
        <v>639</v>
      </c>
      <c r="H295" s="52" t="n">
        <v>645</v>
      </c>
      <c r="I295" s="63" t="n">
        <f aca="false">IF(H295="","",G295-H295)</f>
        <v>-6</v>
      </c>
      <c r="J295" s="53" t="n">
        <f aca="false">IF(OR(D295="",D295+G295=0),"",D295/(D295+G295))</f>
        <v>0.549047282992237</v>
      </c>
      <c r="K295" s="53" t="n">
        <f aca="false">IF(E295="","",E295/(E295+H295))</f>
        <v>0.545774647887324</v>
      </c>
      <c r="L295" s="64" t="n">
        <f aca="false">IF(OR(K295="",J295=""),"",(J295-K295)*100)</f>
        <v>0.327263510491316</v>
      </c>
      <c r="M295" s="28" t="n">
        <v>2.1665403898083</v>
      </c>
      <c r="N295" s="28" t="n">
        <v>0.395142145636406</v>
      </c>
      <c r="O295" s="28" t="n">
        <f aca="false">SQRT(M295^2+N295^2)</f>
        <v>2.2022794046008</v>
      </c>
      <c r="P295" s="53" t="n">
        <f aca="false">IF(J295="","",MAX(0,J295-1.96*O295/100))</f>
        <v>0.505882606662061</v>
      </c>
      <c r="Q295" s="53" t="n">
        <f aca="false">IF(J295="","",MIN(1,J295+1.96*O295/100))</f>
        <v>0.592211959322413</v>
      </c>
      <c r="R295" s="25" t="str">
        <f aca="false">IF(L295="","",IF(ABS(L295)&lt;=O295,"Yes","No"))</f>
        <v>Yes</v>
      </c>
      <c r="S295" s="25" t="str">
        <f aca="false">IF(L295="","",IF(ABS(L295)&lt;=1.96*O295,"Yes","No"))</f>
        <v>Yes</v>
      </c>
      <c r="T295" s="52" t="n">
        <f aca="false">IF(D295="","",ROUND(SQRT(((D295+G295)*O295/100)^2+(J295*(D295+G295)*0.08889)^2),0))</f>
        <v>76</v>
      </c>
      <c r="U295" s="25"/>
    </row>
    <row r="296" customFormat="false" ht="15" hidden="false" customHeight="false" outlineLevel="0" collapsed="false">
      <c r="A296" s="25" t="s">
        <v>385</v>
      </c>
      <c r="B296" s="25" t="s">
        <v>292</v>
      </c>
      <c r="C296" s="25" t="s">
        <v>473</v>
      </c>
      <c r="D296" s="52" t="n">
        <v>511</v>
      </c>
      <c r="E296" s="52" t="n">
        <v>511</v>
      </c>
      <c r="F296" s="63" t="n">
        <f aca="false">IF(E296="","",D296-E296)</f>
        <v>0</v>
      </c>
      <c r="G296" s="52" t="n">
        <v>466</v>
      </c>
      <c r="H296" s="52" t="n">
        <v>453</v>
      </c>
      <c r="I296" s="63" t="n">
        <f aca="false">IF(H296="","",G296-H296)</f>
        <v>13</v>
      </c>
      <c r="J296" s="53" t="n">
        <f aca="false">IF(OR(D296="",D296+G296=0),"",D296/(D296+G296))</f>
        <v>0.523029682702149</v>
      </c>
      <c r="K296" s="53" t="n">
        <f aca="false">IF(E296="","",E296/(E296+H296))</f>
        <v>0.530082987551867</v>
      </c>
      <c r="L296" s="64" t="n">
        <f aca="false">IF(OR(K296="",J296=""),"",(J296-K296)*100)</f>
        <v>-0.705330484971778</v>
      </c>
      <c r="M296" s="28" t="n">
        <v>2.40127504711013</v>
      </c>
      <c r="N296" s="28" t="n">
        <v>0.395142145636406</v>
      </c>
      <c r="O296" s="28" t="n">
        <f aca="false">SQRT(M296^2+N296^2)</f>
        <v>2.43356922382165</v>
      </c>
      <c r="P296" s="53" t="n">
        <f aca="false">IF(J296="","",MAX(0,J296-1.96*O296/100))</f>
        <v>0.475331725915245</v>
      </c>
      <c r="Q296" s="53" t="n">
        <f aca="false">IF(J296="","",MIN(1,J296+1.96*O296/100))</f>
        <v>0.570727639489054</v>
      </c>
      <c r="R296" s="25" t="str">
        <f aca="false">IF(L296="","",IF(ABS(L296)&lt;=O296,"Yes","No"))</f>
        <v>Yes</v>
      </c>
      <c r="S296" s="25" t="str">
        <f aca="false">IF(L296="","",IF(ABS(L296)&lt;=1.96*O296,"Yes","No"))</f>
        <v>Yes</v>
      </c>
      <c r="T296" s="52" t="n">
        <f aca="false">IF(D296="","",ROUND(SQRT(((D296+G296)*O296/100)^2+(J296*(D296+G296)*0.10931)^2),0))</f>
        <v>61</v>
      </c>
      <c r="U296" s="25"/>
    </row>
    <row r="297" customFormat="false" ht="15" hidden="false" customHeight="false" outlineLevel="0" collapsed="false">
      <c r="A297" s="25" t="s">
        <v>385</v>
      </c>
      <c r="B297" s="25" t="s">
        <v>474</v>
      </c>
      <c r="C297" s="25" t="s">
        <v>475</v>
      </c>
      <c r="D297" s="52" t="n">
        <v>567</v>
      </c>
      <c r="E297" s="52" t="n">
        <v>553</v>
      </c>
      <c r="F297" s="63" t="n">
        <f aca="false">IF(E297="","",D297-E297)</f>
        <v>14</v>
      </c>
      <c r="G297" s="52" t="n">
        <v>625</v>
      </c>
      <c r="H297" s="52" t="n">
        <v>581</v>
      </c>
      <c r="I297" s="63" t="n">
        <f aca="false">IF(H297="","",G297-H297)</f>
        <v>44</v>
      </c>
      <c r="J297" s="53" t="n">
        <f aca="false">IF(OR(D297="",D297+G297=0),"",D297/(D297+G297))</f>
        <v>0.475671140939597</v>
      </c>
      <c r="K297" s="53" t="n">
        <f aca="false">IF(E297="","",E297/(E297+H297))</f>
        <v>0.487654320987654</v>
      </c>
      <c r="L297" s="64" t="n">
        <f aca="false">IF(OR(K297="",J297=""),"",(J297-K297)*100)</f>
        <v>-1.1983180048057</v>
      </c>
      <c r="M297" s="28" t="n">
        <v>2.40127504711013</v>
      </c>
      <c r="N297" s="28" t="n">
        <v>0.395142145636406</v>
      </c>
      <c r="O297" s="28" t="n">
        <f aca="false">SQRT(M297^2+N297^2)</f>
        <v>2.43356922382165</v>
      </c>
      <c r="P297" s="53" t="n">
        <f aca="false">IF(J297="","",MAX(0,J297-1.96*O297/100))</f>
        <v>0.427973184152693</v>
      </c>
      <c r="Q297" s="53" t="n">
        <f aca="false">IF(J297="","",MIN(1,J297+1.96*O297/100))</f>
        <v>0.523369097726502</v>
      </c>
      <c r="R297" s="25" t="str">
        <f aca="false">IF(L297="","",IF(ABS(L297)&lt;=O297,"Yes","No"))</f>
        <v>Yes</v>
      </c>
      <c r="S297" s="25" t="str">
        <f aca="false">IF(L297="","",IF(ABS(L297)&lt;=1.96*O297,"Yes","No"))</f>
        <v>Yes</v>
      </c>
      <c r="T297" s="52" t="n">
        <f aca="false">IF(D297="","",ROUND(SQRT(((D297+G297)*O297/100)^2+(J297*(D297+G297)*0.10931)^2),0))</f>
        <v>68</v>
      </c>
      <c r="U297" s="25"/>
    </row>
    <row r="298" customFormat="false" ht="15" hidden="false" customHeight="false" outlineLevel="0" collapsed="false">
      <c r="A298" s="25" t="s">
        <v>385</v>
      </c>
      <c r="B298" s="25" t="s">
        <v>474</v>
      </c>
      <c r="C298" s="25" t="s">
        <v>476</v>
      </c>
      <c r="D298" s="52" t="n">
        <v>464</v>
      </c>
      <c r="E298" s="52" t="n">
        <v>473</v>
      </c>
      <c r="F298" s="63" t="n">
        <f aca="false">IF(E298="","",D298-E298)</f>
        <v>-9</v>
      </c>
      <c r="G298" s="52" t="n">
        <v>431</v>
      </c>
      <c r="H298" s="52" t="n">
        <v>465</v>
      </c>
      <c r="I298" s="63" t="n">
        <f aca="false">IF(H298="","",G298-H298)</f>
        <v>-34</v>
      </c>
      <c r="J298" s="53" t="n">
        <f aca="false">IF(OR(D298="",D298+G298=0),"",D298/(D298+G298))</f>
        <v>0.518435754189944</v>
      </c>
      <c r="K298" s="53" t="n">
        <f aca="false">IF(E298="","",E298/(E298+H298))</f>
        <v>0.504264392324094</v>
      </c>
      <c r="L298" s="64" t="n">
        <f aca="false">IF(OR(K298="",J298=""),"",(J298-K298)*100)</f>
        <v>1.41713618658503</v>
      </c>
      <c r="M298" s="28" t="n">
        <v>2.40127504711013</v>
      </c>
      <c r="N298" s="28" t="n">
        <v>0.395142145636406</v>
      </c>
      <c r="O298" s="28" t="n">
        <f aca="false">SQRT(M298^2+N298^2)</f>
        <v>2.43356922382165</v>
      </c>
      <c r="P298" s="53" t="n">
        <f aca="false">IF(J298="","",MAX(0,J298-1.96*O298/100))</f>
        <v>0.47073779740304</v>
      </c>
      <c r="Q298" s="53" t="n">
        <f aca="false">IF(J298="","",MIN(1,J298+1.96*O298/100))</f>
        <v>0.566133710976848</v>
      </c>
      <c r="R298" s="25" t="str">
        <f aca="false">IF(L298="","",IF(ABS(L298)&lt;=O298,"Yes","No"))</f>
        <v>Yes</v>
      </c>
      <c r="S298" s="25" t="str">
        <f aca="false">IF(L298="","",IF(ABS(L298)&lt;=1.96*O298,"Yes","No"))</f>
        <v>Yes</v>
      </c>
      <c r="T298" s="52" t="n">
        <f aca="false">IF(D298="","",ROUND(SQRT(((D298+G298)*O298/100)^2+(J298*(D298+G298)*0.10931)^2),0))</f>
        <v>55</v>
      </c>
      <c r="U298" s="25"/>
    </row>
    <row r="299" customFormat="false" ht="15" hidden="false" customHeight="false" outlineLevel="0" collapsed="false">
      <c r="A299" s="25" t="s">
        <v>385</v>
      </c>
      <c r="B299" s="25" t="s">
        <v>474</v>
      </c>
      <c r="C299" s="25" t="s">
        <v>477</v>
      </c>
      <c r="D299" s="52" t="n">
        <v>691</v>
      </c>
      <c r="E299" s="52" t="n">
        <v>700</v>
      </c>
      <c r="F299" s="63" t="n">
        <f aca="false">IF(E299="","",D299-E299)</f>
        <v>-9</v>
      </c>
      <c r="G299" s="52" t="n">
        <v>581</v>
      </c>
      <c r="H299" s="52" t="n">
        <v>639</v>
      </c>
      <c r="I299" s="63" t="n">
        <f aca="false">IF(H299="","",G299-H299)</f>
        <v>-58</v>
      </c>
      <c r="J299" s="53" t="n">
        <f aca="false">IF(OR(D299="",D299+G299=0),"",D299/(D299+G299))</f>
        <v>0.543238993710692</v>
      </c>
      <c r="K299" s="53" t="n">
        <f aca="false">IF(E299="","",E299/(E299+H299))</f>
        <v>0.522778192681105</v>
      </c>
      <c r="L299" s="64" t="n">
        <f aca="false">IF(OR(K299="",J299=""),"",(J299-K299)*100)</f>
        <v>2.04608010295866</v>
      </c>
      <c r="M299" s="28" t="n">
        <v>2.1665403898083</v>
      </c>
      <c r="N299" s="28" t="n">
        <v>0.395142145636406</v>
      </c>
      <c r="O299" s="28" t="n">
        <f aca="false">SQRT(M299^2+N299^2)</f>
        <v>2.2022794046008</v>
      </c>
      <c r="P299" s="53" t="n">
        <f aca="false">IF(J299="","",MAX(0,J299-1.96*O299/100))</f>
        <v>0.500074317380516</v>
      </c>
      <c r="Q299" s="53" t="n">
        <f aca="false">IF(J299="","",MIN(1,J299+1.96*O299/100))</f>
        <v>0.586403670040868</v>
      </c>
      <c r="R299" s="25" t="str">
        <f aca="false">IF(L299="","",IF(ABS(L299)&lt;=O299,"Yes","No"))</f>
        <v>Yes</v>
      </c>
      <c r="S299" s="25" t="str">
        <f aca="false">IF(L299="","",IF(ABS(L299)&lt;=1.96*O299,"Yes","No"))</f>
        <v>Yes</v>
      </c>
      <c r="T299" s="52" t="n">
        <f aca="false">IF(D299="","",ROUND(SQRT(((D299+G299)*O299/100)^2+(J299*(D299+G299)*0.08889)^2),0))</f>
        <v>68</v>
      </c>
      <c r="U299" s="25"/>
    </row>
    <row r="300" customFormat="false" ht="15" hidden="false" customHeight="false" outlineLevel="0" collapsed="false">
      <c r="A300" s="25" t="s">
        <v>385</v>
      </c>
      <c r="B300" s="25" t="s">
        <v>478</v>
      </c>
      <c r="C300" s="25" t="s">
        <v>479</v>
      </c>
      <c r="D300" s="52" t="n">
        <v>522</v>
      </c>
      <c r="E300" s="52" t="n">
        <v>546</v>
      </c>
      <c r="F300" s="63" t="n">
        <f aca="false">IF(E300="","",D300-E300)</f>
        <v>-24</v>
      </c>
      <c r="G300" s="52" t="n">
        <v>1136</v>
      </c>
      <c r="H300" s="52" t="n">
        <v>1089</v>
      </c>
      <c r="I300" s="63" t="n">
        <f aca="false">IF(H300="","",G300-H300)</f>
        <v>47</v>
      </c>
      <c r="J300" s="53" t="n">
        <f aca="false">IF(OR(D300="",D300+G300=0),"",D300/(D300+G300))</f>
        <v>0.314837153196622</v>
      </c>
      <c r="K300" s="53" t="n">
        <f aca="false">IF(E300="","",E300/(E300+H300))</f>
        <v>0.33394495412844</v>
      </c>
      <c r="L300" s="64" t="n">
        <f aca="false">IF(OR(K300="",J300=""),"",(J300-K300)*100)</f>
        <v>-1.9107800931818</v>
      </c>
      <c r="M300" s="28" t="n">
        <v>2.1665403898083</v>
      </c>
      <c r="N300" s="28" t="n">
        <v>0.395142145636406</v>
      </c>
      <c r="O300" s="28" t="n">
        <f aca="false">SQRT(M300^2+N300^2)</f>
        <v>2.2022794046008</v>
      </c>
      <c r="P300" s="53" t="n">
        <f aca="false">IF(J300="","",MAX(0,J300-1.96*O300/100))</f>
        <v>0.271672476866447</v>
      </c>
      <c r="Q300" s="53" t="n">
        <f aca="false">IF(J300="","",MIN(1,J300+1.96*O300/100))</f>
        <v>0.358001829526798</v>
      </c>
      <c r="R300" s="25" t="str">
        <f aca="false">IF(L300="","",IF(ABS(L300)&lt;=O300,"Yes","No"))</f>
        <v>Yes</v>
      </c>
      <c r="S300" s="25" t="str">
        <f aca="false">IF(L300="","",IF(ABS(L300)&lt;=1.96*O300,"Yes","No"))</f>
        <v>Yes</v>
      </c>
      <c r="T300" s="52" t="n">
        <f aca="false">IF(D300="","",ROUND(SQRT(((D300+G300)*O300/100)^2+(J300*(D300+G300)*0.08889)^2),0))</f>
        <v>59</v>
      </c>
      <c r="U300" s="25"/>
    </row>
    <row r="301" customFormat="false" ht="15" hidden="false" customHeight="false" outlineLevel="0" collapsed="false">
      <c r="A301" s="25" t="s">
        <v>385</v>
      </c>
      <c r="B301" s="25" t="s">
        <v>478</v>
      </c>
      <c r="C301" s="25" t="s">
        <v>480</v>
      </c>
      <c r="D301" s="52" t="n">
        <v>599</v>
      </c>
      <c r="E301" s="52" t="n">
        <v>636</v>
      </c>
      <c r="F301" s="63" t="n">
        <f aca="false">IF(E301="","",D301-E301)</f>
        <v>-37</v>
      </c>
      <c r="G301" s="52" t="n">
        <v>1251</v>
      </c>
      <c r="H301" s="52" t="n">
        <v>1262</v>
      </c>
      <c r="I301" s="63" t="n">
        <f aca="false">IF(H301="","",G301-H301)</f>
        <v>-11</v>
      </c>
      <c r="J301" s="53" t="n">
        <f aca="false">IF(OR(D301="",D301+G301=0),"",D301/(D301+G301))</f>
        <v>0.323783783783784</v>
      </c>
      <c r="K301" s="53" t="n">
        <f aca="false">IF(E301="","",E301/(E301+H301))</f>
        <v>0.33508956796628</v>
      </c>
      <c r="L301" s="64" t="n">
        <f aca="false">IF(OR(K301="",J301=""),"",(J301-K301)*100)</f>
        <v>-1.13057841824965</v>
      </c>
      <c r="M301" s="28" t="n">
        <v>2.1665403898083</v>
      </c>
      <c r="N301" s="28" t="n">
        <v>0.395142145636406</v>
      </c>
      <c r="O301" s="28" t="n">
        <f aca="false">SQRT(M301^2+N301^2)</f>
        <v>2.2022794046008</v>
      </c>
      <c r="P301" s="53" t="n">
        <f aca="false">IF(J301="","",MAX(0,J301-1.96*O301/100))</f>
        <v>0.280619107453608</v>
      </c>
      <c r="Q301" s="53" t="n">
        <f aca="false">IF(J301="","",MIN(1,J301+1.96*O301/100))</f>
        <v>0.36694846011396</v>
      </c>
      <c r="R301" s="25" t="str">
        <f aca="false">IF(L301="","",IF(ABS(L301)&lt;=O301,"Yes","No"))</f>
        <v>Yes</v>
      </c>
      <c r="S301" s="25" t="str">
        <f aca="false">IF(L301="","",IF(ABS(L301)&lt;=1.96*O301,"Yes","No"))</f>
        <v>Yes</v>
      </c>
      <c r="T301" s="52" t="n">
        <f aca="false">IF(D301="","",ROUND(SQRT(((D301+G301)*O301/100)^2+(J301*(D301+G301)*0.08889)^2),0))</f>
        <v>67</v>
      </c>
      <c r="U301" s="25"/>
    </row>
    <row r="302" customFormat="false" ht="15" hidden="false" customHeight="false" outlineLevel="0" collapsed="false">
      <c r="A302" s="25" t="s">
        <v>385</v>
      </c>
      <c r="B302" s="25" t="s">
        <v>478</v>
      </c>
      <c r="C302" s="25" t="s">
        <v>481</v>
      </c>
      <c r="D302" s="52" t="n">
        <v>202</v>
      </c>
      <c r="E302" s="52" t="n">
        <v>224</v>
      </c>
      <c r="F302" s="63" t="n">
        <f aca="false">IF(E302="","",D302-E302)</f>
        <v>-22</v>
      </c>
      <c r="G302" s="52" t="n">
        <v>515</v>
      </c>
      <c r="H302" s="52" t="n">
        <v>495</v>
      </c>
      <c r="I302" s="63" t="n">
        <f aca="false">IF(H302="","",G302-H302)</f>
        <v>20</v>
      </c>
      <c r="J302" s="53" t="n">
        <f aca="false">IF(OR(D302="",D302+G302=0),"",D302/(D302+G302))</f>
        <v>0.281729428172943</v>
      </c>
      <c r="K302" s="53" t="n">
        <f aca="false">IF(E302="","",E302/(E302+H302))</f>
        <v>0.311543810848401</v>
      </c>
      <c r="L302" s="64" t="n">
        <f aca="false">IF(OR(K302="",J302=""),"",(J302-K302)*100)</f>
        <v>-2.98143826754577</v>
      </c>
      <c r="M302" s="28" t="n">
        <v>3.59869162464536</v>
      </c>
      <c r="N302" s="28" t="n">
        <v>0.395142145636406</v>
      </c>
      <c r="O302" s="28" t="n">
        <f aca="false">SQRT(M302^2+N302^2)</f>
        <v>3.62032025165603</v>
      </c>
      <c r="P302" s="53" t="n">
        <f aca="false">IF(J302="","",MAX(0,J302-1.96*O302/100))</f>
        <v>0.210771151240485</v>
      </c>
      <c r="Q302" s="53" t="n">
        <f aca="false">IF(J302="","",MIN(1,J302+1.96*O302/100))</f>
        <v>0.352687705105401</v>
      </c>
      <c r="R302" s="25" t="str">
        <f aca="false">IF(L302="","",IF(ABS(L302)&lt;=O302,"Yes","No"))</f>
        <v>Yes</v>
      </c>
      <c r="S302" s="25" t="str">
        <f aca="false">IF(L302="","",IF(ABS(L302)&lt;=1.96*O302,"Yes","No"))</f>
        <v>Yes</v>
      </c>
      <c r="T302" s="52" t="n">
        <f aca="false">IF(D302="","",ROUND(SQRT(((D302+G302)*O302/100)^2+(J302*(D302+G302)*0.1901)^2),0))</f>
        <v>46</v>
      </c>
      <c r="U302" s="25"/>
    </row>
    <row r="303" customFormat="false" ht="15" hidden="false" customHeight="false" outlineLevel="0" collapsed="false">
      <c r="A303" s="25" t="s">
        <v>385</v>
      </c>
      <c r="B303" s="25" t="s">
        <v>478</v>
      </c>
      <c r="C303" s="25" t="s">
        <v>482</v>
      </c>
      <c r="D303" s="52" t="n">
        <v>457</v>
      </c>
      <c r="E303" s="52" t="n">
        <v>478</v>
      </c>
      <c r="F303" s="63" t="n">
        <f aca="false">IF(E303="","",D303-E303)</f>
        <v>-21</v>
      </c>
      <c r="G303" s="52" t="n">
        <v>969</v>
      </c>
      <c r="H303" s="52" t="n">
        <v>948</v>
      </c>
      <c r="I303" s="63" t="n">
        <f aca="false">IF(H303="","",G303-H303)</f>
        <v>21</v>
      </c>
      <c r="J303" s="53" t="n">
        <f aca="false">IF(OR(D303="",D303+G303=0),"",D303/(D303+G303))</f>
        <v>0.320476858345021</v>
      </c>
      <c r="K303" s="53" t="n">
        <f aca="false">IF(E303="","",E303/(E303+H303))</f>
        <v>0.335203366058906</v>
      </c>
      <c r="L303" s="64" t="n">
        <f aca="false">IF(OR(K303="",J303=""),"",(J303-K303)*100)</f>
        <v>-1.4726507713885</v>
      </c>
      <c r="M303" s="28" t="n">
        <v>2.1665403898083</v>
      </c>
      <c r="N303" s="28" t="n">
        <v>0.395142145636406</v>
      </c>
      <c r="O303" s="28" t="n">
        <f aca="false">SQRT(M303^2+N303^2)</f>
        <v>2.2022794046008</v>
      </c>
      <c r="P303" s="53" t="n">
        <f aca="false">IF(J303="","",MAX(0,J303-1.96*O303/100))</f>
        <v>0.277312182014845</v>
      </c>
      <c r="Q303" s="53" t="n">
        <f aca="false">IF(J303="","",MIN(1,J303+1.96*O303/100))</f>
        <v>0.363641534675197</v>
      </c>
      <c r="R303" s="25" t="str">
        <f aca="false">IF(L303="","",IF(ABS(L303)&lt;=O303,"Yes","No"))</f>
        <v>Yes</v>
      </c>
      <c r="S303" s="25" t="str">
        <f aca="false">IF(L303="","",IF(ABS(L303)&lt;=1.96*O303,"Yes","No"))</f>
        <v>Yes</v>
      </c>
      <c r="T303" s="52" t="n">
        <f aca="false">IF(D303="","",ROUND(SQRT(((D303+G303)*O303/100)^2+(J303*(D303+G303)*0.08889)^2),0))</f>
        <v>51</v>
      </c>
      <c r="U303" s="25"/>
    </row>
    <row r="304" customFormat="false" ht="15" hidden="false" customHeight="false" outlineLevel="0" collapsed="false">
      <c r="A304" s="25" t="s">
        <v>385</v>
      </c>
      <c r="B304" s="25" t="s">
        <v>478</v>
      </c>
      <c r="C304" s="25" t="s">
        <v>483</v>
      </c>
      <c r="D304" s="52" t="n">
        <v>315</v>
      </c>
      <c r="E304" s="52" t="n">
        <v>360</v>
      </c>
      <c r="F304" s="63" t="n">
        <f aca="false">IF(E304="","",D304-E304)</f>
        <v>-45</v>
      </c>
      <c r="G304" s="52" t="n">
        <v>683</v>
      </c>
      <c r="H304" s="52" t="n">
        <v>645</v>
      </c>
      <c r="I304" s="63" t="n">
        <f aca="false">IF(H304="","",G304-H304)</f>
        <v>38</v>
      </c>
      <c r="J304" s="53" t="n">
        <f aca="false">IF(OR(D304="",D304+G304=0),"",D304/(D304+G304))</f>
        <v>0.31563126252505</v>
      </c>
      <c r="K304" s="53" t="n">
        <f aca="false">IF(E304="","",E304/(E304+H304))</f>
        <v>0.358208955223881</v>
      </c>
      <c r="L304" s="64" t="n">
        <f aca="false">IF(OR(K304="",J304=""),"",(J304-K304)*100)</f>
        <v>-4.25776926988305</v>
      </c>
      <c r="M304" s="28" t="n">
        <v>2.40127504711013</v>
      </c>
      <c r="N304" s="28" t="n">
        <v>0.395142145636406</v>
      </c>
      <c r="O304" s="28" t="n">
        <f aca="false">SQRT(M304^2+N304^2)</f>
        <v>2.43356922382165</v>
      </c>
      <c r="P304" s="53" t="n">
        <f aca="false">IF(J304="","",MAX(0,J304-1.96*O304/100))</f>
        <v>0.267933305738146</v>
      </c>
      <c r="Q304" s="53" t="n">
        <f aca="false">IF(J304="","",MIN(1,J304+1.96*O304/100))</f>
        <v>0.363329219311954</v>
      </c>
      <c r="R304" s="25" t="str">
        <f aca="false">IF(L304="","",IF(ABS(L304)&lt;=O304,"Yes","No"))</f>
        <v>No</v>
      </c>
      <c r="S304" s="25" t="str">
        <f aca="false">IF(L304="","",IF(ABS(L304)&lt;=1.96*O304,"Yes","No"))</f>
        <v>Yes</v>
      </c>
      <c r="T304" s="52" t="n">
        <f aca="false">IF(D304="","",ROUND(SQRT(((D304+G304)*O304/100)^2+(J304*(D304+G304)*0.10931)^2),0))</f>
        <v>42</v>
      </c>
      <c r="U304" s="25"/>
    </row>
    <row r="305" customFormat="false" ht="15" hidden="false" customHeight="false" outlineLevel="0" collapsed="false">
      <c r="A305" s="25" t="s">
        <v>385</v>
      </c>
      <c r="B305" s="25" t="s">
        <v>484</v>
      </c>
      <c r="C305" s="25" t="s">
        <v>485</v>
      </c>
      <c r="D305" s="52" t="n">
        <v>62</v>
      </c>
      <c r="E305" s="52" t="n">
        <v>264</v>
      </c>
      <c r="F305" s="63" t="n">
        <f aca="false">IF(E305="","",D305-E305)</f>
        <v>-202</v>
      </c>
      <c r="G305" s="52" t="n">
        <v>118</v>
      </c>
      <c r="H305" s="52" t="n">
        <v>439</v>
      </c>
      <c r="I305" s="63" t="n">
        <f aca="false">IF(H305="","",G305-H305)</f>
        <v>-321</v>
      </c>
      <c r="J305" s="53" t="n">
        <f aca="false">IF(OR(D305="",D305+G305=0),"",D305/(D305+G305))</f>
        <v>0.344444444444444</v>
      </c>
      <c r="K305" s="53" t="n">
        <f aca="false">IF(E305="","",E305/(E305+H305))</f>
        <v>0.375533428165007</v>
      </c>
      <c r="L305" s="64" t="n">
        <f aca="false">IF(OR(K305="",J305=""),"",(J305-K305)*100)</f>
        <v>-3.10889837205627</v>
      </c>
      <c r="M305" s="28" t="n">
        <v>3.59869162464536</v>
      </c>
      <c r="N305" s="28" t="n">
        <v>0.395142145636406</v>
      </c>
      <c r="O305" s="28" t="n">
        <f aca="false">SQRT(M305^2+N305^2)</f>
        <v>3.62032025165603</v>
      </c>
      <c r="P305" s="53" t="n">
        <f aca="false">IF(J305="","",MAX(0,J305-1.96*O305/100))</f>
        <v>0.273486167511986</v>
      </c>
      <c r="Q305" s="53" t="n">
        <f aca="false">IF(J305="","",MIN(1,J305+1.96*O305/100))</f>
        <v>0.415402721376903</v>
      </c>
      <c r="R305" s="25" t="str">
        <f aca="false">IF(L305="","",IF(ABS(L305)&lt;=O305,"Yes","No"))</f>
        <v>Yes</v>
      </c>
      <c r="S305" s="25" t="str">
        <f aca="false">IF(L305="","",IF(ABS(L305)&lt;=1.96*O305,"Yes","No"))</f>
        <v>Yes</v>
      </c>
      <c r="T305" s="52" t="n">
        <f aca="false">IF(D305="","",ROUND(SQRT(((D305+G305)*O305/100)^2+(J305*(D305+G305)*0.1901)^2),0))</f>
        <v>13</v>
      </c>
      <c r="U305" s="25"/>
    </row>
    <row r="306" customFormat="false" ht="15" hidden="false" customHeight="false" outlineLevel="0" collapsed="false">
      <c r="A306" s="25" t="s">
        <v>385</v>
      </c>
      <c r="B306" s="25" t="s">
        <v>484</v>
      </c>
      <c r="C306" s="25" t="s">
        <v>486</v>
      </c>
      <c r="D306" s="52" t="n">
        <v>348</v>
      </c>
      <c r="E306" s="52" t="n">
        <v>361</v>
      </c>
      <c r="F306" s="63" t="n">
        <f aca="false">IF(E306="","",D306-E306)</f>
        <v>-13</v>
      </c>
      <c r="G306" s="52" t="n">
        <v>758</v>
      </c>
      <c r="H306" s="52" t="n">
        <v>775</v>
      </c>
      <c r="I306" s="63" t="n">
        <f aca="false">IF(H306="","",G306-H306)</f>
        <v>-17</v>
      </c>
      <c r="J306" s="53" t="n">
        <f aca="false">IF(OR(D306="",D306+G306=0),"",D306/(D306+G306))</f>
        <v>0.314647377938517</v>
      </c>
      <c r="K306" s="53" t="n">
        <f aca="false">IF(E306="","",E306/(E306+H306))</f>
        <v>0.317781690140845</v>
      </c>
      <c r="L306" s="64" t="n">
        <f aca="false">IF(OR(K306="",J306=""),"",(J306-K306)*100)</f>
        <v>-0.31343122023279</v>
      </c>
      <c r="M306" s="28" t="n">
        <v>2.40127504711013</v>
      </c>
      <c r="N306" s="28" t="n">
        <v>0.395142145636406</v>
      </c>
      <c r="O306" s="28" t="n">
        <f aca="false">SQRT(M306^2+N306^2)</f>
        <v>2.43356922382165</v>
      </c>
      <c r="P306" s="53" t="n">
        <f aca="false">IF(J306="","",MAX(0,J306-1.96*O306/100))</f>
        <v>0.266949421151613</v>
      </c>
      <c r="Q306" s="53" t="n">
        <f aca="false">IF(J306="","",MIN(1,J306+1.96*O306/100))</f>
        <v>0.362345334725421</v>
      </c>
      <c r="R306" s="25" t="str">
        <f aca="false">IF(L306="","",IF(ABS(L306)&lt;=O306,"Yes","No"))</f>
        <v>Yes</v>
      </c>
      <c r="S306" s="25" t="str">
        <f aca="false">IF(L306="","",IF(ABS(L306)&lt;=1.96*O306,"Yes","No"))</f>
        <v>Yes</v>
      </c>
      <c r="T306" s="52" t="n">
        <f aca="false">IF(D306="","",ROUND(SQRT(((D306+G306)*O306/100)^2+(J306*(D306+G306)*0.10931)^2),0))</f>
        <v>47</v>
      </c>
      <c r="U306" s="25"/>
    </row>
    <row r="307" customFormat="false" ht="15" hidden="false" customHeight="false" outlineLevel="0" collapsed="false">
      <c r="A307" s="25" t="s">
        <v>385</v>
      </c>
      <c r="B307" s="25" t="s">
        <v>487</v>
      </c>
      <c r="C307" s="25" t="s">
        <v>488</v>
      </c>
      <c r="D307" s="52" t="n">
        <v>253</v>
      </c>
      <c r="E307" s="52"/>
      <c r="F307" s="63" t="str">
        <f aca="false">IF(E307="","",D307-E307)</f>
        <v/>
      </c>
      <c r="G307" s="52" t="n">
        <v>361</v>
      </c>
      <c r="H307" s="52"/>
      <c r="I307" s="63" t="str">
        <f aca="false">IF(H307="","",G307-H307)</f>
        <v/>
      </c>
      <c r="J307" s="53" t="n">
        <f aca="false">IF(OR(D307="",D307+G307=0),"",D307/(D307+G307))</f>
        <v>0.412052117263844</v>
      </c>
      <c r="K307" s="53" t="str">
        <f aca="false">IF(E307="","",E307/(E307+H307))</f>
        <v/>
      </c>
      <c r="L307" s="64" t="str">
        <f aca="false">IF(OR(K307="",J307=""),"",(J307-K307)*100)</f>
        <v/>
      </c>
      <c r="M307" s="28" t="n">
        <v>3.59869162464536</v>
      </c>
      <c r="N307" s="28" t="n">
        <v>0.395142145636406</v>
      </c>
      <c r="O307" s="28" t="n">
        <f aca="false">SQRT(M307^2+N307^2)</f>
        <v>3.62032025165603</v>
      </c>
      <c r="P307" s="53" t="n">
        <f aca="false">IF(J307="","",MAX(0,J307-1.96*O307/100))</f>
        <v>0.341093840331386</v>
      </c>
      <c r="Q307" s="53" t="n">
        <f aca="false">IF(J307="","",MIN(1,J307+1.96*O307/100))</f>
        <v>0.483010394196302</v>
      </c>
      <c r="R307" s="25" t="str">
        <f aca="false">IF(L307="","",IF(ABS(L307)&lt;=O307,"Yes","No"))</f>
        <v/>
      </c>
      <c r="S307" s="25" t="str">
        <f aca="false">IF(L307="","",IF(ABS(L307)&lt;=1.96*O307,"Yes","No"))</f>
        <v/>
      </c>
      <c r="T307" s="52" t="n">
        <f aca="false">IF(D307="","",ROUND(SQRT(((D307+G307)*O307/100)^2+(J307*(D307+G307)*0.1901)^2),0))</f>
        <v>53</v>
      </c>
      <c r="U307" s="25" t="s">
        <v>702</v>
      </c>
    </row>
    <row r="308" customFormat="false" ht="15" hidden="false" customHeight="false" outlineLevel="0" collapsed="false">
      <c r="A308" s="25" t="s">
        <v>385</v>
      </c>
      <c r="B308" s="25" t="s">
        <v>487</v>
      </c>
      <c r="C308" s="25" t="s">
        <v>489</v>
      </c>
      <c r="D308" s="52" t="n">
        <v>593</v>
      </c>
      <c r="E308" s="52"/>
      <c r="F308" s="63" t="str">
        <f aca="false">IF(E308="","",D308-E308)</f>
        <v/>
      </c>
      <c r="G308" s="52" t="n">
        <v>807</v>
      </c>
      <c r="H308" s="52"/>
      <c r="I308" s="63" t="str">
        <f aca="false">IF(H308="","",G308-H308)</f>
        <v/>
      </c>
      <c r="J308" s="53" t="n">
        <f aca="false">IF(OR(D308="",D308+G308=0),"",D308/(D308+G308))</f>
        <v>0.423571428571429</v>
      </c>
      <c r="K308" s="53" t="str">
        <f aca="false">IF(E308="","",E308/(E308+H308))</f>
        <v/>
      </c>
      <c r="L308" s="64" t="str">
        <f aca="false">IF(OR(K308="",J308=""),"",(J308-K308)*100)</f>
        <v/>
      </c>
      <c r="M308" s="28" t="n">
        <v>2.1665403898083</v>
      </c>
      <c r="N308" s="28" t="n">
        <v>0.395142145636406</v>
      </c>
      <c r="O308" s="28" t="n">
        <f aca="false">SQRT(M308^2+N308^2)</f>
        <v>2.2022794046008</v>
      </c>
      <c r="P308" s="53" t="n">
        <f aca="false">IF(J308="","",MAX(0,J308-1.96*O308/100))</f>
        <v>0.380406752241253</v>
      </c>
      <c r="Q308" s="53" t="n">
        <f aca="false">IF(J308="","",MIN(1,J308+1.96*O308/100))</f>
        <v>0.466736104901604</v>
      </c>
      <c r="R308" s="25" t="str">
        <f aca="false">IF(L308="","",IF(ABS(L308)&lt;=O308,"Yes","No"))</f>
        <v/>
      </c>
      <c r="S308" s="25" t="str">
        <f aca="false">IF(L308="","",IF(ABS(L308)&lt;=1.96*O308,"Yes","No"))</f>
        <v/>
      </c>
      <c r="T308" s="52" t="n">
        <f aca="false">IF(D308="","",ROUND(SQRT(((D308+G308)*O308/100)^2+(J308*(D308+G308)*0.08889)^2),0))</f>
        <v>61</v>
      </c>
      <c r="U308" s="25" t="s">
        <v>702</v>
      </c>
    </row>
    <row r="309" customFormat="false" ht="15" hidden="false" customHeight="false" outlineLevel="0" collapsed="false">
      <c r="A309" s="25" t="s">
        <v>385</v>
      </c>
      <c r="B309" s="25" t="s">
        <v>487</v>
      </c>
      <c r="C309" s="25" t="s">
        <v>490</v>
      </c>
      <c r="D309" s="52" t="n">
        <v>567</v>
      </c>
      <c r="E309" s="52" t="n">
        <v>606</v>
      </c>
      <c r="F309" s="63" t="n">
        <f aca="false">IF(E309="","",D309-E309)</f>
        <v>-39</v>
      </c>
      <c r="G309" s="52" t="n">
        <v>847</v>
      </c>
      <c r="H309" s="52" t="n">
        <v>825</v>
      </c>
      <c r="I309" s="63" t="n">
        <f aca="false">IF(H309="","",G309-H309)</f>
        <v>22</v>
      </c>
      <c r="J309" s="53" t="n">
        <f aca="false">IF(OR(D309="",D309+G309=0),"",D309/(D309+G309))</f>
        <v>0.400990099009901</v>
      </c>
      <c r="K309" s="53" t="n">
        <f aca="false">IF(E309="","",E309/(E309+H309))</f>
        <v>0.423480083857442</v>
      </c>
      <c r="L309" s="64" t="n">
        <f aca="false">IF(OR(K309="",J309=""),"",(J309-K309)*100)</f>
        <v>-2.24899848475413</v>
      </c>
      <c r="M309" s="28" t="n">
        <v>2.1665403898083</v>
      </c>
      <c r="N309" s="28" t="n">
        <v>0.395142145636406</v>
      </c>
      <c r="O309" s="28" t="n">
        <f aca="false">SQRT(M309^2+N309^2)</f>
        <v>2.2022794046008</v>
      </c>
      <c r="P309" s="53" t="n">
        <f aca="false">IF(J309="","",MAX(0,J309-1.96*O309/100))</f>
        <v>0.357825422679725</v>
      </c>
      <c r="Q309" s="53" t="n">
        <f aca="false">IF(J309="","",MIN(1,J309+1.96*O309/100))</f>
        <v>0.444154775340077</v>
      </c>
      <c r="R309" s="25" t="str">
        <f aca="false">IF(L309="","",IF(ABS(L309)&lt;=O309,"Yes","No"))</f>
        <v>No</v>
      </c>
      <c r="S309" s="25" t="str">
        <f aca="false">IF(L309="","",IF(ABS(L309)&lt;=1.96*O309,"Yes","No"))</f>
        <v>Yes</v>
      </c>
      <c r="T309" s="52" t="n">
        <f aca="false">IF(D309="","",ROUND(SQRT(((D309+G309)*O309/100)^2+(J309*(D309+G309)*0.08889)^2),0))</f>
        <v>59</v>
      </c>
      <c r="U309" s="25"/>
    </row>
    <row r="310" customFormat="false" ht="15" hidden="false" customHeight="false" outlineLevel="0" collapsed="false">
      <c r="A310" s="25" t="s">
        <v>385</v>
      </c>
      <c r="B310" s="25" t="s">
        <v>487</v>
      </c>
      <c r="C310" s="25" t="s">
        <v>491</v>
      </c>
      <c r="D310" s="52" t="n">
        <v>540</v>
      </c>
      <c r="E310" s="52"/>
      <c r="F310" s="63" t="str">
        <f aca="false">IF(E310="","",D310-E310)</f>
        <v/>
      </c>
      <c r="G310" s="52" t="n">
        <v>804</v>
      </c>
      <c r="H310" s="52"/>
      <c r="I310" s="63" t="str">
        <f aca="false">IF(H310="","",G310-H310)</f>
        <v/>
      </c>
      <c r="J310" s="53" t="n">
        <f aca="false">IF(OR(D310="",D310+G310=0),"",D310/(D310+G310))</f>
        <v>0.401785714285714</v>
      </c>
      <c r="K310" s="53" t="str">
        <f aca="false">IF(E310="","",E310/(E310+H310))</f>
        <v/>
      </c>
      <c r="L310" s="64" t="str">
        <f aca="false">IF(OR(K310="",J310=""),"",(J310-K310)*100)</f>
        <v/>
      </c>
      <c r="M310" s="28" t="n">
        <v>2.1665403898083</v>
      </c>
      <c r="N310" s="28" t="n">
        <v>0.395142145636406</v>
      </c>
      <c r="O310" s="28" t="n">
        <f aca="false">SQRT(M310^2+N310^2)</f>
        <v>2.2022794046008</v>
      </c>
      <c r="P310" s="53" t="n">
        <f aca="false">IF(J310="","",MAX(0,J310-1.96*O310/100))</f>
        <v>0.358621037955539</v>
      </c>
      <c r="Q310" s="53" t="n">
        <f aca="false">IF(J310="","",MIN(1,J310+1.96*O310/100))</f>
        <v>0.44495039061589</v>
      </c>
      <c r="R310" s="25" t="str">
        <f aca="false">IF(L310="","",IF(ABS(L310)&lt;=O310,"Yes","No"))</f>
        <v/>
      </c>
      <c r="S310" s="25" t="str">
        <f aca="false">IF(L310="","",IF(ABS(L310)&lt;=1.96*O310,"Yes","No"))</f>
        <v/>
      </c>
      <c r="T310" s="52" t="n">
        <f aca="false">IF(D310="","",ROUND(SQRT(((D310+G310)*O310/100)^2+(J310*(D310+G310)*0.08889)^2),0))</f>
        <v>56</v>
      </c>
      <c r="U310" s="25" t="s">
        <v>702</v>
      </c>
    </row>
    <row r="311" customFormat="false" ht="15" hidden="false" customHeight="false" outlineLevel="0" collapsed="false">
      <c r="A311" s="25" t="s">
        <v>385</v>
      </c>
      <c r="B311" s="25" t="s">
        <v>492</v>
      </c>
      <c r="C311" s="25" t="s">
        <v>493</v>
      </c>
      <c r="D311" s="52" t="n">
        <v>576</v>
      </c>
      <c r="E311" s="52" t="n">
        <v>585</v>
      </c>
      <c r="F311" s="63" t="n">
        <f aca="false">IF(E311="","",D311-E311)</f>
        <v>-9</v>
      </c>
      <c r="G311" s="52" t="n">
        <v>530</v>
      </c>
      <c r="H311" s="52" t="n">
        <v>527</v>
      </c>
      <c r="I311" s="63" t="n">
        <f aca="false">IF(H311="","",G311-H311)</f>
        <v>3</v>
      </c>
      <c r="J311" s="53" t="n">
        <f aca="false">IF(OR(D311="",D311+G311=0),"",D311/(D311+G311))</f>
        <v>0.520795660036166</v>
      </c>
      <c r="K311" s="53" t="n">
        <f aca="false">IF(E311="","",E311/(E311+H311))</f>
        <v>0.526079136690647</v>
      </c>
      <c r="L311" s="64" t="n">
        <f aca="false">IF(OR(K311="",J311=""),"",(J311-K311)*100)</f>
        <v>-0.528347665448103</v>
      </c>
      <c r="M311" s="28" t="n">
        <v>2.40127504711013</v>
      </c>
      <c r="N311" s="28" t="n">
        <v>0.395142145636406</v>
      </c>
      <c r="O311" s="28" t="n">
        <f aca="false">SQRT(M311^2+N311^2)</f>
        <v>2.43356922382165</v>
      </c>
      <c r="P311" s="53" t="n">
        <f aca="false">IF(J311="","",MAX(0,J311-1.96*O311/100))</f>
        <v>0.473097703249262</v>
      </c>
      <c r="Q311" s="53" t="n">
        <f aca="false">IF(J311="","",MIN(1,J311+1.96*O311/100))</f>
        <v>0.568493616823071</v>
      </c>
      <c r="R311" s="25" t="str">
        <f aca="false">IF(L311="","",IF(ABS(L311)&lt;=O311,"Yes","No"))</f>
        <v>Yes</v>
      </c>
      <c r="S311" s="25" t="str">
        <f aca="false">IF(L311="","",IF(ABS(L311)&lt;=1.96*O311,"Yes","No"))</f>
        <v>Yes</v>
      </c>
      <c r="T311" s="52" t="n">
        <f aca="false">IF(D311="","",ROUND(SQRT(((D311+G311)*O311/100)^2+(J311*(D311+G311)*0.10931)^2),0))</f>
        <v>68</v>
      </c>
      <c r="U311" s="25"/>
    </row>
    <row r="312" customFormat="false" ht="15" hidden="false" customHeight="false" outlineLevel="0" collapsed="false">
      <c r="A312" s="25" t="s">
        <v>385</v>
      </c>
      <c r="B312" s="25" t="s">
        <v>492</v>
      </c>
      <c r="C312" s="25" t="s">
        <v>494</v>
      </c>
      <c r="D312" s="52" t="n">
        <v>667</v>
      </c>
      <c r="E312" s="52" t="n">
        <v>639</v>
      </c>
      <c r="F312" s="63" t="n">
        <f aca="false">IF(E312="","",D312-E312)</f>
        <v>28</v>
      </c>
      <c r="G312" s="52" t="n">
        <v>897</v>
      </c>
      <c r="H312" s="52" t="n">
        <v>886</v>
      </c>
      <c r="I312" s="63" t="n">
        <f aca="false">IF(H312="","",G312-H312)</f>
        <v>11</v>
      </c>
      <c r="J312" s="53" t="n">
        <f aca="false">IF(OR(D312="",D312+G312=0),"",D312/(D312+G312))</f>
        <v>0.426470588235294</v>
      </c>
      <c r="K312" s="53" t="n">
        <f aca="false">IF(E312="","",E312/(E312+H312))</f>
        <v>0.419016393442623</v>
      </c>
      <c r="L312" s="64" t="n">
        <f aca="false">IF(OR(K312="",J312=""),"",(J312-K312)*100)</f>
        <v>0.745419479267118</v>
      </c>
      <c r="M312" s="28" t="n">
        <v>2.1665403898083</v>
      </c>
      <c r="N312" s="28" t="n">
        <v>0.395142145636406</v>
      </c>
      <c r="O312" s="28" t="n">
        <f aca="false">SQRT(M312^2+N312^2)</f>
        <v>2.2022794046008</v>
      </c>
      <c r="P312" s="53" t="n">
        <f aca="false">IF(J312="","",MAX(0,J312-1.96*O312/100))</f>
        <v>0.383305911905118</v>
      </c>
      <c r="Q312" s="53" t="n">
        <f aca="false">IF(J312="","",MIN(1,J312+1.96*O312/100))</f>
        <v>0.46963526456547</v>
      </c>
      <c r="R312" s="25" t="str">
        <f aca="false">IF(L312="","",IF(ABS(L312)&lt;=O312,"Yes","No"))</f>
        <v>Yes</v>
      </c>
      <c r="S312" s="25" t="str">
        <f aca="false">IF(L312="","",IF(ABS(L312)&lt;=1.96*O312,"Yes","No"))</f>
        <v>Yes</v>
      </c>
      <c r="T312" s="52" t="n">
        <f aca="false">IF(D312="","",ROUND(SQRT(((D312+G312)*O312/100)^2+(J312*(D312+G312)*0.08889)^2),0))</f>
        <v>69</v>
      </c>
      <c r="U312" s="25"/>
    </row>
    <row r="313" customFormat="false" ht="15" hidden="false" customHeight="false" outlineLevel="0" collapsed="false">
      <c r="A313" s="25" t="s">
        <v>385</v>
      </c>
      <c r="B313" s="25" t="s">
        <v>492</v>
      </c>
      <c r="C313" s="25" t="s">
        <v>495</v>
      </c>
      <c r="D313" s="52" t="n">
        <v>304</v>
      </c>
      <c r="E313" s="52"/>
      <c r="F313" s="63" t="str">
        <f aca="false">IF(E313="","",D313-E313)</f>
        <v/>
      </c>
      <c r="G313" s="52" t="n">
        <v>366</v>
      </c>
      <c r="H313" s="52"/>
      <c r="I313" s="63" t="str">
        <f aca="false">IF(H313="","",G313-H313)</f>
        <v/>
      </c>
      <c r="J313" s="53" t="n">
        <f aca="false">IF(OR(D313="",D313+G313=0),"",D313/(D313+G313))</f>
        <v>0.453731343283582</v>
      </c>
      <c r="K313" s="53" t="str">
        <f aca="false">IF(E313="","",E313/(E313+H313))</f>
        <v/>
      </c>
      <c r="L313" s="64" t="str">
        <f aca="false">IF(OR(K313="",J313=""),"",(J313-K313)*100)</f>
        <v/>
      </c>
      <c r="M313" s="28" t="n">
        <v>3.59869162464536</v>
      </c>
      <c r="N313" s="28" t="n">
        <v>0.395142145636406</v>
      </c>
      <c r="O313" s="28" t="n">
        <f aca="false">SQRT(M313^2+N313^2)</f>
        <v>3.62032025165603</v>
      </c>
      <c r="P313" s="53" t="n">
        <f aca="false">IF(J313="","",MAX(0,J313-1.96*O313/100))</f>
        <v>0.382773066351124</v>
      </c>
      <c r="Q313" s="53" t="n">
        <f aca="false">IF(J313="","",MIN(1,J313+1.96*O313/100))</f>
        <v>0.52468962021604</v>
      </c>
      <c r="R313" s="25" t="str">
        <f aca="false">IF(L313="","",IF(ABS(L313)&lt;=O313,"Yes","No"))</f>
        <v/>
      </c>
      <c r="S313" s="25" t="str">
        <f aca="false">IF(L313="","",IF(ABS(L313)&lt;=1.96*O313,"Yes","No"))</f>
        <v/>
      </c>
      <c r="T313" s="52" t="n">
        <f aca="false">IF(D313="","",ROUND(SQRT(((D313+G313)*O313/100)^2+(J313*(D313+G313)*0.1901)^2),0))</f>
        <v>63</v>
      </c>
      <c r="U313" s="25" t="s">
        <v>702</v>
      </c>
    </row>
    <row r="314" customFormat="false" ht="15" hidden="false" customHeight="false" outlineLevel="0" collapsed="false">
      <c r="A314" s="25" t="s">
        <v>385</v>
      </c>
      <c r="B314" s="25" t="s">
        <v>492</v>
      </c>
      <c r="C314" s="25" t="s">
        <v>496</v>
      </c>
      <c r="D314" s="52" t="n">
        <v>468</v>
      </c>
      <c r="E314" s="52" t="n">
        <v>496</v>
      </c>
      <c r="F314" s="63" t="n">
        <f aca="false">IF(E314="","",D314-E314)</f>
        <v>-28</v>
      </c>
      <c r="G314" s="52" t="n">
        <v>463</v>
      </c>
      <c r="H314" s="52" t="n">
        <v>458</v>
      </c>
      <c r="I314" s="63" t="n">
        <f aca="false">IF(H314="","",G314-H314)</f>
        <v>5</v>
      </c>
      <c r="J314" s="53" t="n">
        <f aca="false">IF(OR(D314="",D314+G314=0),"",D314/(D314+G314))</f>
        <v>0.502685284640172</v>
      </c>
      <c r="K314" s="53" t="n">
        <f aca="false">IF(E314="","",E314/(E314+H314))</f>
        <v>0.519916142557652</v>
      </c>
      <c r="L314" s="64" t="n">
        <f aca="false">IF(OR(K314="",J314=""),"",(J314-K314)*100)</f>
        <v>-1.72308579174801</v>
      </c>
      <c r="M314" s="28" t="n">
        <v>2.40127504711013</v>
      </c>
      <c r="N314" s="28" t="n">
        <v>0.395142145636406</v>
      </c>
      <c r="O314" s="28" t="n">
        <f aca="false">SQRT(M314^2+N314^2)</f>
        <v>2.43356922382165</v>
      </c>
      <c r="P314" s="53" t="n">
        <f aca="false">IF(J314="","",MAX(0,J314-1.96*O314/100))</f>
        <v>0.454987327853268</v>
      </c>
      <c r="Q314" s="53" t="n">
        <f aca="false">IF(J314="","",MIN(1,J314+1.96*O314/100))</f>
        <v>0.550383241427076</v>
      </c>
      <c r="R314" s="25" t="str">
        <f aca="false">IF(L314="","",IF(ABS(L314)&lt;=O314,"Yes","No"))</f>
        <v>Yes</v>
      </c>
      <c r="S314" s="25" t="str">
        <f aca="false">IF(L314="","",IF(ABS(L314)&lt;=1.96*O314,"Yes","No"))</f>
        <v>Yes</v>
      </c>
      <c r="T314" s="52" t="n">
        <f aca="false">IF(D314="","",ROUND(SQRT(((D314+G314)*O314/100)^2+(J314*(D314+G314)*0.10931)^2),0))</f>
        <v>56</v>
      </c>
      <c r="U314" s="25"/>
    </row>
    <row r="315" customFormat="false" ht="15" hidden="false" customHeight="false" outlineLevel="0" collapsed="false">
      <c r="A315" s="25" t="s">
        <v>385</v>
      </c>
      <c r="B315" s="25" t="s">
        <v>492</v>
      </c>
      <c r="C315" s="25" t="s">
        <v>497</v>
      </c>
      <c r="D315" s="52" t="n">
        <v>398</v>
      </c>
      <c r="E315" s="52" t="n">
        <v>423</v>
      </c>
      <c r="F315" s="63" t="n">
        <f aca="false">IF(E315="","",D315-E315)</f>
        <v>-25</v>
      </c>
      <c r="G315" s="52" t="n">
        <v>578</v>
      </c>
      <c r="H315" s="52" t="n">
        <v>592</v>
      </c>
      <c r="I315" s="63" t="n">
        <f aca="false">IF(H315="","",G315-H315)</f>
        <v>-14</v>
      </c>
      <c r="J315" s="53" t="n">
        <f aca="false">IF(OR(D315="",D315+G315=0),"",D315/(D315+G315))</f>
        <v>0.407786885245902</v>
      </c>
      <c r="K315" s="53" t="n">
        <f aca="false">IF(E315="","",E315/(E315+H315))</f>
        <v>0.416748768472906</v>
      </c>
      <c r="L315" s="64" t="n">
        <f aca="false">IF(OR(K315="",J315=""),"",(J315-K315)*100)</f>
        <v>-0.896188322700481</v>
      </c>
      <c r="M315" s="28" t="n">
        <v>2.40127504711013</v>
      </c>
      <c r="N315" s="28" t="n">
        <v>0.395142145636406</v>
      </c>
      <c r="O315" s="28" t="n">
        <f aca="false">SQRT(M315^2+N315^2)</f>
        <v>2.43356922382165</v>
      </c>
      <c r="P315" s="53" t="n">
        <f aca="false">IF(J315="","",MAX(0,J315-1.96*O315/100))</f>
        <v>0.360088928458997</v>
      </c>
      <c r="Q315" s="53" t="n">
        <f aca="false">IF(J315="","",MIN(1,J315+1.96*O315/100))</f>
        <v>0.455484842032806</v>
      </c>
      <c r="R315" s="25" t="str">
        <f aca="false">IF(L315="","",IF(ABS(L315)&lt;=O315,"Yes","No"))</f>
        <v>Yes</v>
      </c>
      <c r="S315" s="25" t="str">
        <f aca="false">IF(L315="","",IF(ABS(L315)&lt;=1.96*O315,"Yes","No"))</f>
        <v>Yes</v>
      </c>
      <c r="T315" s="52" t="n">
        <f aca="false">IF(D315="","",ROUND(SQRT(((D315+G315)*O315/100)^2+(J315*(D315+G315)*0.10931)^2),0))</f>
        <v>50</v>
      </c>
      <c r="U315" s="25"/>
    </row>
    <row r="316" customFormat="false" ht="15" hidden="false" customHeight="false" outlineLevel="0" collapsed="false">
      <c r="A316" s="25" t="s">
        <v>385</v>
      </c>
      <c r="B316" s="25" t="s">
        <v>492</v>
      </c>
      <c r="C316" s="25" t="s">
        <v>498</v>
      </c>
      <c r="D316" s="52" t="n">
        <v>393</v>
      </c>
      <c r="E316" s="52"/>
      <c r="F316" s="63" t="str">
        <f aca="false">IF(E316="","",D316-E316)</f>
        <v/>
      </c>
      <c r="G316" s="52" t="n">
        <v>435</v>
      </c>
      <c r="H316" s="52"/>
      <c r="I316" s="63" t="str">
        <f aca="false">IF(H316="","",G316-H316)</f>
        <v/>
      </c>
      <c r="J316" s="53" t="n">
        <f aca="false">IF(OR(D316="",D316+G316=0),"",D316/(D316+G316))</f>
        <v>0.47463768115942</v>
      </c>
      <c r="K316" s="53" t="str">
        <f aca="false">IF(E316="","",E316/(E316+H316))</f>
        <v/>
      </c>
      <c r="L316" s="64" t="str">
        <f aca="false">IF(OR(K316="",J316=""),"",(J316-K316)*100)</f>
        <v/>
      </c>
      <c r="M316" s="28" t="n">
        <v>2.40127504711013</v>
      </c>
      <c r="N316" s="28" t="n">
        <v>0.395142145636406</v>
      </c>
      <c r="O316" s="28" t="n">
        <f aca="false">SQRT(M316^2+N316^2)</f>
        <v>2.43356922382165</v>
      </c>
      <c r="P316" s="53" t="n">
        <f aca="false">IF(J316="","",MAX(0,J316-1.96*O316/100))</f>
        <v>0.426939724372516</v>
      </c>
      <c r="Q316" s="53" t="n">
        <f aca="false">IF(J316="","",MIN(1,J316+1.96*O316/100))</f>
        <v>0.522335637946325</v>
      </c>
      <c r="R316" s="25" t="str">
        <f aca="false">IF(L316="","",IF(ABS(L316)&lt;=O316,"Yes","No"))</f>
        <v/>
      </c>
      <c r="S316" s="25" t="str">
        <f aca="false">IF(L316="","",IF(ABS(L316)&lt;=1.96*O316,"Yes","No"))</f>
        <v/>
      </c>
      <c r="T316" s="52" t="n">
        <f aca="false">IF(D316="","",ROUND(SQRT(((D316+G316)*O316/100)^2+(J316*(D316+G316)*0.10931)^2),0))</f>
        <v>47</v>
      </c>
      <c r="U316" s="25" t="s">
        <v>702</v>
      </c>
    </row>
    <row r="317" customFormat="false" ht="15" hidden="false" customHeight="false" outlineLevel="0" collapsed="false">
      <c r="A317" s="25" t="s">
        <v>385</v>
      </c>
      <c r="B317" s="25" t="s">
        <v>499</v>
      </c>
      <c r="C317" s="25" t="s">
        <v>500</v>
      </c>
      <c r="D317" s="52" t="n">
        <v>357</v>
      </c>
      <c r="E317" s="52" t="n">
        <v>409</v>
      </c>
      <c r="F317" s="63" t="n">
        <f aca="false">IF(E317="","",D317-E317)</f>
        <v>-52</v>
      </c>
      <c r="G317" s="52" t="n">
        <v>804</v>
      </c>
      <c r="H317" s="52" t="n">
        <v>764</v>
      </c>
      <c r="I317" s="63" t="n">
        <f aca="false">IF(H317="","",G317-H317)</f>
        <v>40</v>
      </c>
      <c r="J317" s="53" t="n">
        <f aca="false">IF(OR(D317="",D317+G317=0),"",D317/(D317+G317))</f>
        <v>0.30749354005168</v>
      </c>
      <c r="K317" s="53" t="n">
        <f aca="false">IF(E317="","",E317/(E317+H317))</f>
        <v>0.348678601875533</v>
      </c>
      <c r="L317" s="64" t="n">
        <f aca="false">IF(OR(K317="",J317=""),"",(J317-K317)*100)</f>
        <v>-4.11850618238533</v>
      </c>
      <c r="M317" s="28" t="n">
        <v>2.40127504711013</v>
      </c>
      <c r="N317" s="28" t="n">
        <v>0.395142145636406</v>
      </c>
      <c r="O317" s="28" t="n">
        <f aca="false">SQRT(M317^2+N317^2)</f>
        <v>2.43356922382165</v>
      </c>
      <c r="P317" s="53" t="n">
        <f aca="false">IF(J317="","",MAX(0,J317-1.96*O317/100))</f>
        <v>0.259795583264775</v>
      </c>
      <c r="Q317" s="53" t="n">
        <f aca="false">IF(J317="","",MIN(1,J317+1.96*O317/100))</f>
        <v>0.355191496838584</v>
      </c>
      <c r="R317" s="25" t="str">
        <f aca="false">IF(L317="","",IF(ABS(L317)&lt;=O317,"Yes","No"))</f>
        <v>No</v>
      </c>
      <c r="S317" s="25" t="str">
        <f aca="false">IF(L317="","",IF(ABS(L317)&lt;=1.96*O317,"Yes","No"))</f>
        <v>Yes</v>
      </c>
      <c r="T317" s="52" t="n">
        <f aca="false">IF(D317="","",ROUND(SQRT(((D317+G317)*O317/100)^2+(J317*(D317+G317)*0.10931)^2),0))</f>
        <v>48</v>
      </c>
      <c r="U317" s="25"/>
    </row>
    <row r="318" customFormat="false" ht="15" hidden="false" customHeight="false" outlineLevel="0" collapsed="false">
      <c r="A318" s="25" t="s">
        <v>385</v>
      </c>
      <c r="B318" s="25" t="s">
        <v>499</v>
      </c>
      <c r="C318" s="25" t="s">
        <v>501</v>
      </c>
      <c r="D318" s="52" t="n">
        <v>741</v>
      </c>
      <c r="E318" s="52" t="n">
        <v>805</v>
      </c>
      <c r="F318" s="63" t="n">
        <f aca="false">IF(E318="","",D318-E318)</f>
        <v>-64</v>
      </c>
      <c r="G318" s="52" t="n">
        <v>1601</v>
      </c>
      <c r="H318" s="52" t="n">
        <v>1577</v>
      </c>
      <c r="I318" s="63" t="n">
        <f aca="false">IF(H318="","",G318-H318)</f>
        <v>24</v>
      </c>
      <c r="J318" s="53" t="n">
        <f aca="false">IF(OR(D318="",D318+G318=0),"",D318/(D318+G318))</f>
        <v>0.316396242527754</v>
      </c>
      <c r="K318" s="53" t="n">
        <f aca="false">IF(E318="","",E318/(E318+H318))</f>
        <v>0.337951301427372</v>
      </c>
      <c r="L318" s="64" t="n">
        <f aca="false">IF(OR(K318="",J318=""),"",(J318-K318)*100)</f>
        <v>-2.15550588996179</v>
      </c>
      <c r="M318" s="28" t="n">
        <v>2.1665403898083</v>
      </c>
      <c r="N318" s="28" t="n">
        <v>0.395142145636406</v>
      </c>
      <c r="O318" s="28" t="n">
        <f aca="false">SQRT(M318^2+N318^2)</f>
        <v>2.2022794046008</v>
      </c>
      <c r="P318" s="53" t="n">
        <f aca="false">IF(J318="","",MAX(0,J318-1.96*O318/100))</f>
        <v>0.273231566197578</v>
      </c>
      <c r="Q318" s="53" t="n">
        <f aca="false">IF(J318="","",MIN(1,J318+1.96*O318/100))</f>
        <v>0.35956091885793</v>
      </c>
      <c r="R318" s="25" t="str">
        <f aca="false">IF(L318="","",IF(ABS(L318)&lt;=O318,"Yes","No"))</f>
        <v>Yes</v>
      </c>
      <c r="S318" s="25" t="str">
        <f aca="false">IF(L318="","",IF(ABS(L318)&lt;=1.96*O318,"Yes","No"))</f>
        <v>Yes</v>
      </c>
      <c r="T318" s="52" t="n">
        <f aca="false">IF(D318="","",ROUND(SQRT(((D318+G318)*O318/100)^2+(J318*(D318+G318)*0.08889)^2),0))</f>
        <v>84</v>
      </c>
      <c r="U318" s="25"/>
    </row>
    <row r="319" customFormat="false" ht="15" hidden="false" customHeight="false" outlineLevel="0" collapsed="false">
      <c r="A319" s="25" t="s">
        <v>385</v>
      </c>
      <c r="B319" s="25" t="s">
        <v>499</v>
      </c>
      <c r="C319" s="25" t="s">
        <v>502</v>
      </c>
      <c r="D319" s="52" t="n">
        <v>508</v>
      </c>
      <c r="E319" s="52" t="n">
        <v>547</v>
      </c>
      <c r="F319" s="63" t="n">
        <f aca="false">IF(E319="","",D319-E319)</f>
        <v>-39</v>
      </c>
      <c r="G319" s="52" t="n">
        <v>1173</v>
      </c>
      <c r="H319" s="52" t="n">
        <v>1179</v>
      </c>
      <c r="I319" s="63" t="n">
        <f aca="false">IF(H319="","",G319-H319)</f>
        <v>-6</v>
      </c>
      <c r="J319" s="53" t="n">
        <f aca="false">IF(OR(D319="",D319+G319=0),"",D319/(D319+G319))</f>
        <v>0.302201070791196</v>
      </c>
      <c r="K319" s="53" t="n">
        <f aca="false">IF(E319="","",E319/(E319+H319))</f>
        <v>0.316917728852839</v>
      </c>
      <c r="L319" s="64" t="n">
        <f aca="false">IF(OR(K319="",J319=""),"",(J319-K319)*100)</f>
        <v>-1.47166580616432</v>
      </c>
      <c r="M319" s="28" t="n">
        <v>2.1665403898083</v>
      </c>
      <c r="N319" s="28" t="n">
        <v>0.395142145636406</v>
      </c>
      <c r="O319" s="28" t="n">
        <f aca="false">SQRT(M319^2+N319^2)</f>
        <v>2.2022794046008</v>
      </c>
      <c r="P319" s="53" t="n">
        <f aca="false">IF(J319="","",MAX(0,J319-1.96*O319/100))</f>
        <v>0.25903639446102</v>
      </c>
      <c r="Q319" s="53" t="n">
        <f aca="false">IF(J319="","",MIN(1,J319+1.96*O319/100))</f>
        <v>0.345365747121371</v>
      </c>
      <c r="R319" s="25" t="str">
        <f aca="false">IF(L319="","",IF(ABS(L319)&lt;=O319,"Yes","No"))</f>
        <v>Yes</v>
      </c>
      <c r="S319" s="25" t="str">
        <f aca="false">IF(L319="","",IF(ABS(L319)&lt;=1.96*O319,"Yes","No"))</f>
        <v>Yes</v>
      </c>
      <c r="T319" s="52" t="n">
        <f aca="false">IF(D319="","",ROUND(SQRT(((D319+G319)*O319/100)^2+(J319*(D319+G319)*0.08889)^2),0))</f>
        <v>58</v>
      </c>
      <c r="U319" s="25"/>
    </row>
    <row r="320" customFormat="false" ht="15" hidden="false" customHeight="false" outlineLevel="0" collapsed="false">
      <c r="A320" s="25" t="s">
        <v>385</v>
      </c>
      <c r="B320" s="25" t="s">
        <v>499</v>
      </c>
      <c r="C320" s="25" t="s">
        <v>503</v>
      </c>
      <c r="D320" s="52" t="n">
        <v>240</v>
      </c>
      <c r="E320" s="52" t="n">
        <v>245</v>
      </c>
      <c r="F320" s="63" t="n">
        <f aca="false">IF(E320="","",D320-E320)</f>
        <v>-5</v>
      </c>
      <c r="G320" s="52" t="n">
        <v>522</v>
      </c>
      <c r="H320" s="52" t="n">
        <v>537</v>
      </c>
      <c r="I320" s="63" t="n">
        <f aca="false">IF(H320="","",G320-H320)</f>
        <v>-15</v>
      </c>
      <c r="J320" s="53" t="n">
        <f aca="false">IF(OR(D320="",D320+G320=0),"",D320/(D320+G320))</f>
        <v>0.31496062992126</v>
      </c>
      <c r="K320" s="53" t="n">
        <f aca="false">IF(E320="","",E320/(E320+H320))</f>
        <v>0.313299232736573</v>
      </c>
      <c r="L320" s="64" t="n">
        <f aca="false">IF(OR(K320="",J320=""),"",(J320-K320)*100)</f>
        <v>0.166139718468694</v>
      </c>
      <c r="M320" s="28" t="n">
        <v>2.40127504711013</v>
      </c>
      <c r="N320" s="28" t="n">
        <v>0.395142145636406</v>
      </c>
      <c r="O320" s="28" t="n">
        <f aca="false">SQRT(M320^2+N320^2)</f>
        <v>2.43356922382165</v>
      </c>
      <c r="P320" s="53" t="n">
        <f aca="false">IF(J320="","",MAX(0,J320-1.96*O320/100))</f>
        <v>0.267262673134356</v>
      </c>
      <c r="Q320" s="53" t="n">
        <f aca="false">IF(J320="","",MIN(1,J320+1.96*O320/100))</f>
        <v>0.362658586708164</v>
      </c>
      <c r="R320" s="25" t="str">
        <f aca="false">IF(L320="","",IF(ABS(L320)&lt;=O320,"Yes","No"))</f>
        <v>Yes</v>
      </c>
      <c r="S320" s="25" t="str">
        <f aca="false">IF(L320="","",IF(ABS(L320)&lt;=1.96*O320,"Yes","No"))</f>
        <v>Yes</v>
      </c>
      <c r="T320" s="52" t="n">
        <f aca="false">IF(D320="","",ROUND(SQRT(((D320+G320)*O320/100)^2+(J320*(D320+G320)*0.10931)^2),0))</f>
        <v>32</v>
      </c>
      <c r="U320" s="25"/>
    </row>
    <row r="321" customFormat="false" ht="15" hidden="false" customHeight="false" outlineLevel="0" collapsed="false">
      <c r="A321" s="25" t="s">
        <v>385</v>
      </c>
      <c r="B321" s="25" t="s">
        <v>504</v>
      </c>
      <c r="C321" s="25" t="s">
        <v>505</v>
      </c>
      <c r="D321" s="52" t="n">
        <v>565</v>
      </c>
      <c r="E321" s="52" t="n">
        <v>601</v>
      </c>
      <c r="F321" s="63" t="n">
        <f aca="false">IF(E321="","",D321-E321)</f>
        <v>-36</v>
      </c>
      <c r="G321" s="52" t="n">
        <v>614</v>
      </c>
      <c r="H321" s="52" t="n">
        <v>605</v>
      </c>
      <c r="I321" s="63" t="n">
        <f aca="false">IF(H321="","",G321-H321)</f>
        <v>9</v>
      </c>
      <c r="J321" s="53" t="n">
        <f aca="false">IF(OR(D321="",D321+G321=0),"",D321/(D321+G321))</f>
        <v>0.47921967769296</v>
      </c>
      <c r="K321" s="53" t="n">
        <f aca="false">IF(E321="","",E321/(E321+H321))</f>
        <v>0.498341625207297</v>
      </c>
      <c r="L321" s="64" t="n">
        <f aca="false">IF(OR(K321="",J321=""),"",(J321-K321)*100)</f>
        <v>-1.91219475143367</v>
      </c>
      <c r="M321" s="28" t="n">
        <v>2.40127504711013</v>
      </c>
      <c r="N321" s="28" t="n">
        <v>0.395142145636406</v>
      </c>
      <c r="O321" s="28" t="n">
        <f aca="false">SQRT(M321^2+N321^2)</f>
        <v>2.43356922382165</v>
      </c>
      <c r="P321" s="53" t="n">
        <f aca="false">IF(J321="","",MAX(0,J321-1.96*O321/100))</f>
        <v>0.431521720906056</v>
      </c>
      <c r="Q321" s="53" t="n">
        <f aca="false">IF(J321="","",MIN(1,J321+1.96*O321/100))</f>
        <v>0.526917634479864</v>
      </c>
      <c r="R321" s="25" t="str">
        <f aca="false">IF(L321="","",IF(ABS(L321)&lt;=O321,"Yes","No"))</f>
        <v>Yes</v>
      </c>
      <c r="S321" s="25" t="str">
        <f aca="false">IF(L321="","",IF(ABS(L321)&lt;=1.96*O321,"Yes","No"))</f>
        <v>Yes</v>
      </c>
      <c r="T321" s="52" t="n">
        <f aca="false">IF(D321="","",ROUND(SQRT(((D321+G321)*O321/100)^2+(J321*(D321+G321)*0.10931)^2),0))</f>
        <v>68</v>
      </c>
      <c r="U321" s="25"/>
    </row>
    <row r="322" customFormat="false" ht="15" hidden="false" customHeight="false" outlineLevel="0" collapsed="false">
      <c r="A322" s="25" t="s">
        <v>385</v>
      </c>
      <c r="B322" s="25" t="s">
        <v>504</v>
      </c>
      <c r="C322" s="25" t="s">
        <v>506</v>
      </c>
      <c r="D322" s="52" t="n">
        <v>520</v>
      </c>
      <c r="E322" s="52" t="n">
        <v>523</v>
      </c>
      <c r="F322" s="63" t="n">
        <f aca="false">IF(E322="","",D322-E322)</f>
        <v>-3</v>
      </c>
      <c r="G322" s="52" t="n">
        <v>485</v>
      </c>
      <c r="H322" s="52" t="n">
        <v>542</v>
      </c>
      <c r="I322" s="63" t="n">
        <f aca="false">IF(H322="","",G322-H322)</f>
        <v>-57</v>
      </c>
      <c r="J322" s="53" t="n">
        <f aca="false">IF(OR(D322="",D322+G322=0),"",D322/(D322+G322))</f>
        <v>0.517412935323383</v>
      </c>
      <c r="K322" s="53" t="n">
        <f aca="false">IF(E322="","",E322/(E322+H322))</f>
        <v>0.491079812206573</v>
      </c>
      <c r="L322" s="64" t="n">
        <f aca="false">IF(OR(K322="",J322=""),"",(J322-K322)*100)</f>
        <v>2.63331231168103</v>
      </c>
      <c r="M322" s="28" t="n">
        <v>2.40127504711013</v>
      </c>
      <c r="N322" s="28" t="n">
        <v>0.395142145636406</v>
      </c>
      <c r="O322" s="28" t="n">
        <f aca="false">SQRT(M322^2+N322^2)</f>
        <v>2.43356922382165</v>
      </c>
      <c r="P322" s="53" t="n">
        <f aca="false">IF(J322="","",MAX(0,J322-1.96*O322/100))</f>
        <v>0.469714978536479</v>
      </c>
      <c r="Q322" s="53" t="n">
        <f aca="false">IF(J322="","",MIN(1,J322+1.96*O322/100))</f>
        <v>0.565110892110287</v>
      </c>
      <c r="R322" s="25" t="str">
        <f aca="false">IF(L322="","",IF(ABS(L322)&lt;=O322,"Yes","No"))</f>
        <v>No</v>
      </c>
      <c r="S322" s="25" t="str">
        <f aca="false">IF(L322="","",IF(ABS(L322)&lt;=1.96*O322,"Yes","No"))</f>
        <v>Yes</v>
      </c>
      <c r="T322" s="52" t="n">
        <f aca="false">IF(D322="","",ROUND(SQRT(((D322+G322)*O322/100)^2+(J322*(D322+G322)*0.10931)^2),0))</f>
        <v>62</v>
      </c>
      <c r="U322" s="25"/>
    </row>
    <row r="323" customFormat="false" ht="15" hidden="false" customHeight="false" outlineLevel="0" collapsed="false">
      <c r="A323" s="25" t="s">
        <v>385</v>
      </c>
      <c r="B323" s="25" t="s">
        <v>504</v>
      </c>
      <c r="C323" s="25" t="s">
        <v>507</v>
      </c>
      <c r="D323" s="52" t="n">
        <v>467</v>
      </c>
      <c r="E323" s="52" t="n">
        <v>472</v>
      </c>
      <c r="F323" s="63" t="n">
        <f aca="false">IF(E323="","",D323-E323)</f>
        <v>-5</v>
      </c>
      <c r="G323" s="52" t="n">
        <v>515</v>
      </c>
      <c r="H323" s="52" t="n">
        <v>517</v>
      </c>
      <c r="I323" s="63" t="n">
        <f aca="false">IF(H323="","",G323-H323)</f>
        <v>-2</v>
      </c>
      <c r="J323" s="53" t="n">
        <f aca="false">IF(OR(D323="",D323+G323=0),"",D323/(D323+G323))</f>
        <v>0.475560081466395</v>
      </c>
      <c r="K323" s="53" t="n">
        <f aca="false">IF(E323="","",E323/(E323+H323))</f>
        <v>0.477249747219414</v>
      </c>
      <c r="L323" s="64" t="n">
        <f aca="false">IF(OR(K323="",J323=""),"",(J323-K323)*100)</f>
        <v>-0.168966575301843</v>
      </c>
      <c r="M323" s="28" t="n">
        <v>2.40127504711013</v>
      </c>
      <c r="N323" s="28" t="n">
        <v>0.395142145636406</v>
      </c>
      <c r="O323" s="28" t="n">
        <f aca="false">SQRT(M323^2+N323^2)</f>
        <v>2.43356922382165</v>
      </c>
      <c r="P323" s="53" t="n">
        <f aca="false">IF(J323="","",MAX(0,J323-1.96*O323/100))</f>
        <v>0.427862124679491</v>
      </c>
      <c r="Q323" s="53" t="n">
        <f aca="false">IF(J323="","",MIN(1,J323+1.96*O323/100))</f>
        <v>0.523258038253299</v>
      </c>
      <c r="R323" s="25" t="str">
        <f aca="false">IF(L323="","",IF(ABS(L323)&lt;=O323,"Yes","No"))</f>
        <v>Yes</v>
      </c>
      <c r="S323" s="25" t="str">
        <f aca="false">IF(L323="","",IF(ABS(L323)&lt;=1.96*O323,"Yes","No"))</f>
        <v>Yes</v>
      </c>
      <c r="T323" s="52" t="n">
        <f aca="false">IF(D323="","",ROUND(SQRT(((D323+G323)*O323/100)^2+(J323*(D323+G323)*0.10931)^2),0))</f>
        <v>56</v>
      </c>
      <c r="U323" s="25"/>
    </row>
    <row r="324" customFormat="false" ht="15" hidden="false" customHeight="false" outlineLevel="0" collapsed="false">
      <c r="A324" s="25" t="s">
        <v>385</v>
      </c>
      <c r="B324" s="25" t="s">
        <v>508</v>
      </c>
      <c r="C324" s="25" t="s">
        <v>509</v>
      </c>
      <c r="D324" s="52" t="n">
        <v>242</v>
      </c>
      <c r="E324" s="52" t="n">
        <v>222</v>
      </c>
      <c r="F324" s="63" t="n">
        <f aca="false">IF(E324="","",D324-E324)</f>
        <v>20</v>
      </c>
      <c r="G324" s="52" t="n">
        <v>287</v>
      </c>
      <c r="H324" s="52" t="n">
        <v>276</v>
      </c>
      <c r="I324" s="63" t="n">
        <f aca="false">IF(H324="","",G324-H324)</f>
        <v>11</v>
      </c>
      <c r="J324" s="53" t="n">
        <f aca="false">IF(OR(D324="",D324+G324=0),"",D324/(D324+G324))</f>
        <v>0.457466918714556</v>
      </c>
      <c r="K324" s="53" t="n">
        <f aca="false">IF(E324="","",E324/(E324+H324))</f>
        <v>0.445783132530121</v>
      </c>
      <c r="L324" s="64" t="n">
        <f aca="false">IF(OR(K324="",J324=""),"",(J324-K324)*100)</f>
        <v>1.16837861844353</v>
      </c>
      <c r="M324" s="28" t="n">
        <v>3.59869162464536</v>
      </c>
      <c r="N324" s="28" t="n">
        <v>0.395142145636406</v>
      </c>
      <c r="O324" s="28" t="n">
        <f aca="false">SQRT(M324^2+N324^2)</f>
        <v>3.62032025165603</v>
      </c>
      <c r="P324" s="53" t="n">
        <f aca="false">IF(J324="","",MAX(0,J324-1.96*O324/100))</f>
        <v>0.386508641782098</v>
      </c>
      <c r="Q324" s="53" t="n">
        <f aca="false">IF(J324="","",MIN(1,J324+1.96*O324/100))</f>
        <v>0.528425195647014</v>
      </c>
      <c r="R324" s="25" t="str">
        <f aca="false">IF(L324="","",IF(ABS(L324)&lt;=O324,"Yes","No"))</f>
        <v>Yes</v>
      </c>
      <c r="S324" s="25" t="str">
        <f aca="false">IF(L324="","",IF(ABS(L324)&lt;=1.96*O324,"Yes","No"))</f>
        <v>Yes</v>
      </c>
      <c r="T324" s="52" t="n">
        <f aca="false">IF(D324="","",ROUND(SQRT(((D324+G324)*O324/100)^2+(J324*(D324+G324)*0.1901)^2),0))</f>
        <v>50</v>
      </c>
      <c r="U324" s="25"/>
    </row>
    <row r="325" customFormat="false" ht="15" hidden="false" customHeight="false" outlineLevel="0" collapsed="false">
      <c r="A325" s="25" t="s">
        <v>385</v>
      </c>
      <c r="B325" s="25" t="s">
        <v>508</v>
      </c>
      <c r="C325" s="25" t="s">
        <v>510</v>
      </c>
      <c r="D325" s="52" t="n">
        <v>622</v>
      </c>
      <c r="E325" s="52" t="n">
        <v>625</v>
      </c>
      <c r="F325" s="63" t="n">
        <f aca="false">IF(E325="","",D325-E325)</f>
        <v>-3</v>
      </c>
      <c r="G325" s="52" t="n">
        <v>627</v>
      </c>
      <c r="H325" s="52" t="n">
        <v>613</v>
      </c>
      <c r="I325" s="63" t="n">
        <f aca="false">IF(H325="","",G325-H325)</f>
        <v>14</v>
      </c>
      <c r="J325" s="53" t="n">
        <f aca="false">IF(OR(D325="",D325+G325=0),"",D325/(D325+G325))</f>
        <v>0.497998398718975</v>
      </c>
      <c r="K325" s="53" t="n">
        <f aca="false">IF(E325="","",E325/(E325+H325))</f>
        <v>0.504846526655897</v>
      </c>
      <c r="L325" s="64" t="n">
        <f aca="false">IF(OR(K325="",J325=""),"",(J325-K325)*100)</f>
        <v>-0.684812793692141</v>
      </c>
      <c r="M325" s="28" t="n">
        <v>2.1665403898083</v>
      </c>
      <c r="N325" s="28" t="n">
        <v>0.395142145636406</v>
      </c>
      <c r="O325" s="28" t="n">
        <f aca="false">SQRT(M325^2+N325^2)</f>
        <v>2.2022794046008</v>
      </c>
      <c r="P325" s="53" t="n">
        <f aca="false">IF(J325="","",MAX(0,J325-1.96*O325/100))</f>
        <v>0.4548337223888</v>
      </c>
      <c r="Q325" s="53" t="n">
        <f aca="false">IF(J325="","",MIN(1,J325+1.96*O325/100))</f>
        <v>0.541163075049151</v>
      </c>
      <c r="R325" s="25" t="str">
        <f aca="false">IF(L325="","",IF(ABS(L325)&lt;=O325,"Yes","No"))</f>
        <v>Yes</v>
      </c>
      <c r="S325" s="25" t="str">
        <f aca="false">IF(L325="","",IF(ABS(L325)&lt;=1.96*O325,"Yes","No"))</f>
        <v>Yes</v>
      </c>
      <c r="T325" s="52" t="n">
        <f aca="false">IF(D325="","",ROUND(SQRT(((D325+G325)*O325/100)^2+(J325*(D325+G325)*0.08889)^2),0))</f>
        <v>62</v>
      </c>
      <c r="U325" s="25"/>
    </row>
    <row r="326" customFormat="false" ht="15" hidden="false" customHeight="false" outlineLevel="0" collapsed="false">
      <c r="A326" s="25" t="s">
        <v>385</v>
      </c>
      <c r="B326" s="25" t="s">
        <v>511</v>
      </c>
      <c r="C326" s="25" t="s">
        <v>512</v>
      </c>
      <c r="D326" s="52" t="n">
        <v>658</v>
      </c>
      <c r="E326" s="52" t="n">
        <v>628</v>
      </c>
      <c r="F326" s="63" t="n">
        <f aca="false">IF(E326="","",D326-E326)</f>
        <v>30</v>
      </c>
      <c r="G326" s="52" t="n">
        <v>740</v>
      </c>
      <c r="H326" s="52" t="n">
        <v>719</v>
      </c>
      <c r="I326" s="63" t="n">
        <f aca="false">IF(H326="","",G326-H326)</f>
        <v>21</v>
      </c>
      <c r="J326" s="53" t="n">
        <f aca="false">IF(OR(D326="",D326+G326=0),"",D326/(D326+G326))</f>
        <v>0.470672389127325</v>
      </c>
      <c r="K326" s="53" t="n">
        <f aca="false">IF(E326="","",E326/(E326+H326))</f>
        <v>0.466221232368226</v>
      </c>
      <c r="L326" s="64" t="n">
        <f aca="false">IF(OR(K326="",J326=""),"",(J326-K326)*100)</f>
        <v>0.445115675909902</v>
      </c>
      <c r="M326" s="28" t="n">
        <v>2.1665403898083</v>
      </c>
      <c r="N326" s="28" t="n">
        <v>0.395142145636406</v>
      </c>
      <c r="O326" s="28" t="n">
        <f aca="false">SQRT(M326^2+N326^2)</f>
        <v>2.2022794046008</v>
      </c>
      <c r="P326" s="53" t="n">
        <f aca="false">IF(J326="","",MAX(0,J326-1.96*O326/100))</f>
        <v>0.427507712797149</v>
      </c>
      <c r="Q326" s="53" t="n">
        <f aca="false">IF(J326="","",MIN(1,J326+1.96*O326/100))</f>
        <v>0.5138370654575</v>
      </c>
      <c r="R326" s="25" t="str">
        <f aca="false">IF(L326="","",IF(ABS(L326)&lt;=O326,"Yes","No"))</f>
        <v>Yes</v>
      </c>
      <c r="S326" s="25" t="str">
        <f aca="false">IF(L326="","",IF(ABS(L326)&lt;=1.96*O326,"Yes","No"))</f>
        <v>Yes</v>
      </c>
      <c r="T326" s="52" t="n">
        <f aca="false">IF(D326="","",ROUND(SQRT(((D326+G326)*O326/100)^2+(J326*(D326+G326)*0.08889)^2),0))</f>
        <v>66</v>
      </c>
      <c r="U326" s="25"/>
    </row>
    <row r="327" customFormat="false" ht="15" hidden="false" customHeight="false" outlineLevel="0" collapsed="false">
      <c r="A327" s="25" t="s">
        <v>385</v>
      </c>
      <c r="B327" s="25" t="s">
        <v>511</v>
      </c>
      <c r="C327" s="25" t="s">
        <v>513</v>
      </c>
      <c r="D327" s="52" t="n">
        <v>572</v>
      </c>
      <c r="E327" s="52" t="n">
        <v>588</v>
      </c>
      <c r="F327" s="63" t="n">
        <f aca="false">IF(E327="","",D327-E327)</f>
        <v>-16</v>
      </c>
      <c r="G327" s="52" t="n">
        <v>639</v>
      </c>
      <c r="H327" s="52" t="n">
        <v>628</v>
      </c>
      <c r="I327" s="63" t="n">
        <f aca="false">IF(H327="","",G327-H327)</f>
        <v>11</v>
      </c>
      <c r="J327" s="53" t="n">
        <f aca="false">IF(OR(D327="",D327+G327=0),"",D327/(D327+G327))</f>
        <v>0.47233691164327</v>
      </c>
      <c r="K327" s="53" t="n">
        <f aca="false">IF(E327="","",E327/(E327+H327))</f>
        <v>0.483552631578947</v>
      </c>
      <c r="L327" s="64" t="n">
        <f aca="false">IF(OR(K327="",J327=""),"",(J327-K327)*100)</f>
        <v>-1.12157199356773</v>
      </c>
      <c r="M327" s="28" t="n">
        <v>2.1665403898083</v>
      </c>
      <c r="N327" s="28" t="n">
        <v>0.395142145636406</v>
      </c>
      <c r="O327" s="28" t="n">
        <f aca="false">SQRT(M327^2+N327^2)</f>
        <v>2.2022794046008</v>
      </c>
      <c r="P327" s="53" t="n">
        <f aca="false">IF(J327="","",MAX(0,J327-1.96*O327/100))</f>
        <v>0.429172235313094</v>
      </c>
      <c r="Q327" s="53" t="n">
        <f aca="false">IF(J327="","",MIN(1,J327+1.96*O327/100))</f>
        <v>0.515501587973446</v>
      </c>
      <c r="R327" s="25" t="str">
        <f aca="false">IF(L327="","",IF(ABS(L327)&lt;=O327,"Yes","No"))</f>
        <v>Yes</v>
      </c>
      <c r="S327" s="25" t="str">
        <f aca="false">IF(L327="","",IF(ABS(L327)&lt;=1.96*O327,"Yes","No"))</f>
        <v>Yes</v>
      </c>
      <c r="T327" s="52" t="n">
        <f aca="false">IF(D327="","",ROUND(SQRT(((D327+G327)*O327/100)^2+(J327*(D327+G327)*0.08889)^2),0))</f>
        <v>57</v>
      </c>
      <c r="U327" s="25"/>
    </row>
    <row r="328" customFormat="false" ht="15" hidden="false" customHeight="false" outlineLevel="0" collapsed="false">
      <c r="A328" s="25" t="s">
        <v>385</v>
      </c>
      <c r="B328" s="25" t="s">
        <v>511</v>
      </c>
      <c r="C328" s="25" t="s">
        <v>514</v>
      </c>
      <c r="D328" s="52" t="n">
        <v>1198</v>
      </c>
      <c r="E328" s="52" t="n">
        <v>1120</v>
      </c>
      <c r="F328" s="63" t="n">
        <f aca="false">IF(E328="","",D328-E328)</f>
        <v>78</v>
      </c>
      <c r="G328" s="52" t="n">
        <v>1339</v>
      </c>
      <c r="H328" s="52" t="n">
        <v>1352</v>
      </c>
      <c r="I328" s="63" t="n">
        <f aca="false">IF(H328="","",G328-H328)</f>
        <v>-13</v>
      </c>
      <c r="J328" s="53" t="n">
        <f aca="false">IF(OR(D328="",D328+G328=0),"",D328/(D328+G328))</f>
        <v>0.472211273157272</v>
      </c>
      <c r="K328" s="53" t="n">
        <f aca="false">IF(E328="","",E328/(E328+H328))</f>
        <v>0.453074433656958</v>
      </c>
      <c r="L328" s="64" t="n">
        <f aca="false">IF(OR(K328="",J328=""),"",(J328-K328)*100)</f>
        <v>1.91368395003144</v>
      </c>
      <c r="M328" s="28" t="n">
        <v>2.1665403898083</v>
      </c>
      <c r="N328" s="28" t="n">
        <v>0.395142145636406</v>
      </c>
      <c r="O328" s="28" t="n">
        <f aca="false">SQRT(M328^2+N328^2)</f>
        <v>2.2022794046008</v>
      </c>
      <c r="P328" s="53" t="n">
        <f aca="false">IF(J328="","",MAX(0,J328-1.96*O328/100))</f>
        <v>0.429046596827097</v>
      </c>
      <c r="Q328" s="53" t="n">
        <f aca="false">IF(J328="","",MIN(1,J328+1.96*O328/100))</f>
        <v>0.515375949487448</v>
      </c>
      <c r="R328" s="25" t="str">
        <f aca="false">IF(L328="","",IF(ABS(L328)&lt;=O328,"Yes","No"))</f>
        <v>Yes</v>
      </c>
      <c r="S328" s="25" t="str">
        <f aca="false">IF(L328="","",IF(ABS(L328)&lt;=1.96*O328,"Yes","No"))</f>
        <v>Yes</v>
      </c>
      <c r="T328" s="52" t="n">
        <f aca="false">IF(D328="","",ROUND(SQRT(((D328+G328)*O328/100)^2+(J328*(D328+G328)*0.08889)^2),0))</f>
        <v>120</v>
      </c>
      <c r="U328" s="25"/>
    </row>
    <row r="329" customFormat="false" ht="15" hidden="false" customHeight="false" outlineLevel="0" collapsed="false">
      <c r="A329" s="25" t="s">
        <v>385</v>
      </c>
      <c r="B329" s="25" t="s">
        <v>511</v>
      </c>
      <c r="C329" s="25" t="s">
        <v>515</v>
      </c>
      <c r="D329" s="52" t="n">
        <v>258</v>
      </c>
      <c r="E329" s="52" t="n">
        <v>237</v>
      </c>
      <c r="F329" s="63" t="n">
        <f aca="false">IF(E329="","",D329-E329)</f>
        <v>21</v>
      </c>
      <c r="G329" s="52" t="n">
        <v>309</v>
      </c>
      <c r="H329" s="52" t="n">
        <v>324</v>
      </c>
      <c r="I329" s="63" t="n">
        <f aca="false">IF(H329="","",G329-H329)</f>
        <v>-15</v>
      </c>
      <c r="J329" s="53" t="n">
        <f aca="false">IF(OR(D329="",D329+G329=0),"",D329/(D329+G329))</f>
        <v>0.455026455026455</v>
      </c>
      <c r="K329" s="53" t="n">
        <f aca="false">IF(E329="","",E329/(E329+H329))</f>
        <v>0.422459893048128</v>
      </c>
      <c r="L329" s="64" t="n">
        <f aca="false">IF(OR(K329="",J329=""),"",(J329-K329)*100)</f>
        <v>3.25665619783266</v>
      </c>
      <c r="M329" s="28" t="n">
        <v>3.59869162464536</v>
      </c>
      <c r="N329" s="28" t="n">
        <v>0.395142145636406</v>
      </c>
      <c r="O329" s="28" t="n">
        <f aca="false">SQRT(M329^2+N329^2)</f>
        <v>3.62032025165603</v>
      </c>
      <c r="P329" s="53" t="n">
        <f aca="false">IF(J329="","",MAX(0,J329-1.96*O329/100))</f>
        <v>0.384068178093997</v>
      </c>
      <c r="Q329" s="53" t="n">
        <f aca="false">IF(J329="","",MIN(1,J329+1.96*O329/100))</f>
        <v>0.525984731958913</v>
      </c>
      <c r="R329" s="25" t="str">
        <f aca="false">IF(L329="","",IF(ABS(L329)&lt;=O329,"Yes","No"))</f>
        <v>Yes</v>
      </c>
      <c r="S329" s="25" t="str">
        <f aca="false">IF(L329="","",IF(ABS(L329)&lt;=1.96*O329,"Yes","No"))</f>
        <v>Yes</v>
      </c>
      <c r="T329" s="52" t="n">
        <f aca="false">IF(D329="","",ROUND(SQRT(((D329+G329)*O329/100)^2+(J329*(D329+G329)*0.1901)^2),0))</f>
        <v>53</v>
      </c>
      <c r="U329" s="25"/>
    </row>
    <row r="330" customFormat="false" ht="15" hidden="false" customHeight="false" outlineLevel="0" collapsed="false">
      <c r="A330" s="25" t="s">
        <v>385</v>
      </c>
      <c r="B330" s="25" t="s">
        <v>516</v>
      </c>
      <c r="C330" s="25" t="s">
        <v>517</v>
      </c>
      <c r="D330" s="52" t="n">
        <v>639</v>
      </c>
      <c r="E330" s="52" t="n">
        <v>600</v>
      </c>
      <c r="F330" s="63" t="n">
        <f aca="false">IF(E330="","",D330-E330)</f>
        <v>39</v>
      </c>
      <c r="G330" s="52" t="n">
        <v>686</v>
      </c>
      <c r="H330" s="52" t="n">
        <v>681</v>
      </c>
      <c r="I330" s="63" t="n">
        <f aca="false">IF(H330="","",G330-H330)</f>
        <v>5</v>
      </c>
      <c r="J330" s="53" t="n">
        <f aca="false">IF(OR(D330="",D330+G330=0),"",D330/(D330+G330))</f>
        <v>0.482264150943396</v>
      </c>
      <c r="K330" s="53" t="n">
        <f aca="false">IF(E330="","",E330/(E330+H330))</f>
        <v>0.468384074941452</v>
      </c>
      <c r="L330" s="64" t="n">
        <f aca="false">IF(OR(K330="",J330=""),"",(J330-K330)*100)</f>
        <v>1.38800760019442</v>
      </c>
      <c r="M330" s="28" t="n">
        <v>2.1665403898083</v>
      </c>
      <c r="N330" s="28" t="n">
        <v>0.395142145636406</v>
      </c>
      <c r="O330" s="28" t="n">
        <f aca="false">SQRT(M330^2+N330^2)</f>
        <v>2.2022794046008</v>
      </c>
      <c r="P330" s="53" t="n">
        <f aca="false">IF(J330="","",MAX(0,J330-1.96*O330/100))</f>
        <v>0.439099474613221</v>
      </c>
      <c r="Q330" s="53" t="n">
        <f aca="false">IF(J330="","",MIN(1,J330+1.96*O330/100))</f>
        <v>0.525428827273572</v>
      </c>
      <c r="R330" s="25" t="str">
        <f aca="false">IF(L330="","",IF(ABS(L330)&lt;=O330,"Yes","No"))</f>
        <v>Yes</v>
      </c>
      <c r="S330" s="25" t="str">
        <f aca="false">IF(L330="","",IF(ABS(L330)&lt;=1.96*O330,"Yes","No"))</f>
        <v>Yes</v>
      </c>
      <c r="T330" s="52" t="n">
        <f aca="false">IF(D330="","",ROUND(SQRT(((D330+G330)*O330/100)^2+(J330*(D330+G330)*0.08889)^2),0))</f>
        <v>64</v>
      </c>
      <c r="U330" s="25"/>
    </row>
    <row r="331" customFormat="false" ht="15" hidden="false" customHeight="false" outlineLevel="0" collapsed="false">
      <c r="A331" s="25" t="s">
        <v>385</v>
      </c>
      <c r="B331" s="25" t="s">
        <v>516</v>
      </c>
      <c r="C331" s="25" t="s">
        <v>518</v>
      </c>
      <c r="D331" s="52" t="n">
        <v>518</v>
      </c>
      <c r="E331" s="52"/>
      <c r="F331" s="63" t="str">
        <f aca="false">IF(E331="","",D331-E331)</f>
        <v/>
      </c>
      <c r="G331" s="52" t="n">
        <v>487</v>
      </c>
      <c r="H331" s="52"/>
      <c r="I331" s="63" t="str">
        <f aca="false">IF(H331="","",G331-H331)</f>
        <v/>
      </c>
      <c r="J331" s="53" t="n">
        <f aca="false">IF(OR(D331="",D331+G331=0),"",D331/(D331+G331))</f>
        <v>0.515422885572139</v>
      </c>
      <c r="K331" s="53" t="str">
        <f aca="false">IF(E331="","",E331/(E331+H331))</f>
        <v/>
      </c>
      <c r="L331" s="64" t="str">
        <f aca="false">IF(OR(K331="",J331=""),"",(J331-K331)*100)</f>
        <v/>
      </c>
      <c r="M331" s="28" t="n">
        <v>2.40127504711013</v>
      </c>
      <c r="N331" s="28" t="n">
        <v>0.395142145636406</v>
      </c>
      <c r="O331" s="28" t="n">
        <f aca="false">SQRT(M331^2+N331^2)</f>
        <v>2.43356922382165</v>
      </c>
      <c r="P331" s="53" t="n">
        <f aca="false">IF(J331="","",MAX(0,J331-1.96*O331/100))</f>
        <v>0.467724928785235</v>
      </c>
      <c r="Q331" s="53" t="n">
        <f aca="false">IF(J331="","",MIN(1,J331+1.96*O331/100))</f>
        <v>0.563120842359044</v>
      </c>
      <c r="R331" s="25" t="str">
        <f aca="false">IF(L331="","",IF(ABS(L331)&lt;=O331,"Yes","No"))</f>
        <v/>
      </c>
      <c r="S331" s="25" t="str">
        <f aca="false">IF(L331="","",IF(ABS(L331)&lt;=1.96*O331,"Yes","No"))</f>
        <v/>
      </c>
      <c r="T331" s="52" t="n">
        <f aca="false">IF(D331="","",ROUND(SQRT(((D331+G331)*O331/100)^2+(J331*(D331+G331)*0.10931)^2),0))</f>
        <v>62</v>
      </c>
      <c r="U331" s="25" t="s">
        <v>702</v>
      </c>
    </row>
    <row r="332" customFormat="false" ht="15" hidden="false" customHeight="false" outlineLevel="0" collapsed="false">
      <c r="A332" s="25" t="s">
        <v>385</v>
      </c>
      <c r="B332" s="25" t="s">
        <v>516</v>
      </c>
      <c r="C332" s="25" t="s">
        <v>519</v>
      </c>
      <c r="D332" s="52" t="n">
        <v>791</v>
      </c>
      <c r="E332" s="52"/>
      <c r="F332" s="63" t="str">
        <f aca="false">IF(E332="","",D332-E332)</f>
        <v/>
      </c>
      <c r="G332" s="52" t="n">
        <v>779</v>
      </c>
      <c r="H332" s="52"/>
      <c r="I332" s="63" t="str">
        <f aca="false">IF(H332="","",G332-H332)</f>
        <v/>
      </c>
      <c r="J332" s="53" t="n">
        <f aca="false">IF(OR(D332="",D332+G332=0),"",D332/(D332+G332))</f>
        <v>0.503821656050955</v>
      </c>
      <c r="K332" s="53" t="str">
        <f aca="false">IF(E332="","",E332/(E332+H332))</f>
        <v/>
      </c>
      <c r="L332" s="64" t="str">
        <f aca="false">IF(OR(K332="",J332=""),"",(J332-K332)*100)</f>
        <v/>
      </c>
      <c r="M332" s="28" t="n">
        <v>2.1665403898083</v>
      </c>
      <c r="N332" s="28" t="n">
        <v>0.395142145636406</v>
      </c>
      <c r="O332" s="28" t="n">
        <f aca="false">SQRT(M332^2+N332^2)</f>
        <v>2.2022794046008</v>
      </c>
      <c r="P332" s="53" t="n">
        <f aca="false">IF(J332="","",MAX(0,J332-1.96*O332/100))</f>
        <v>0.46065697972078</v>
      </c>
      <c r="Q332" s="53" t="n">
        <f aca="false">IF(J332="","",MIN(1,J332+1.96*O332/100))</f>
        <v>0.546986332381131</v>
      </c>
      <c r="R332" s="25" t="str">
        <f aca="false">IF(L332="","",IF(ABS(L332)&lt;=O332,"Yes","No"))</f>
        <v/>
      </c>
      <c r="S332" s="25" t="str">
        <f aca="false">IF(L332="","",IF(ABS(L332)&lt;=1.96*O332,"Yes","No"))</f>
        <v/>
      </c>
      <c r="T332" s="52" t="n">
        <f aca="false">IF(D332="","",ROUND(SQRT(((D332+G332)*O332/100)^2+(J332*(D332+G332)*0.08889)^2),0))</f>
        <v>78</v>
      </c>
      <c r="U332" s="25" t="s">
        <v>702</v>
      </c>
    </row>
    <row r="333" customFormat="false" ht="15" hidden="false" customHeight="false" outlineLevel="0" collapsed="false">
      <c r="A333" s="25" t="s">
        <v>385</v>
      </c>
      <c r="B333" s="25" t="s">
        <v>516</v>
      </c>
      <c r="C333" s="25" t="s">
        <v>520</v>
      </c>
      <c r="D333" s="52" t="n">
        <v>859</v>
      </c>
      <c r="E333" s="52" t="n">
        <v>824</v>
      </c>
      <c r="F333" s="63" t="n">
        <f aca="false">IF(E333="","",D333-E333)</f>
        <v>35</v>
      </c>
      <c r="G333" s="52" t="n">
        <v>788</v>
      </c>
      <c r="H333" s="52" t="n">
        <v>795</v>
      </c>
      <c r="I333" s="63" t="n">
        <f aca="false">IF(H333="","",G333-H333)</f>
        <v>-7</v>
      </c>
      <c r="J333" s="53" t="n">
        <f aca="false">IF(OR(D333="",D333+G333=0),"",D333/(D333+G333))</f>
        <v>0.521554341226472</v>
      </c>
      <c r="K333" s="53" t="n">
        <f aca="false">IF(E333="","",E333/(E333+H333))</f>
        <v>0.508956145768993</v>
      </c>
      <c r="L333" s="64" t="n">
        <f aca="false">IF(OR(K333="",J333=""),"",(J333-K333)*100)</f>
        <v>1.25981954574792</v>
      </c>
      <c r="M333" s="28" t="n">
        <v>2.1665403898083</v>
      </c>
      <c r="N333" s="28" t="n">
        <v>0.395142145636406</v>
      </c>
      <c r="O333" s="28" t="n">
        <f aca="false">SQRT(M333^2+N333^2)</f>
        <v>2.2022794046008</v>
      </c>
      <c r="P333" s="53" t="n">
        <f aca="false">IF(J333="","",MAX(0,J333-1.96*O333/100))</f>
        <v>0.478389664896297</v>
      </c>
      <c r="Q333" s="53" t="n">
        <f aca="false">IF(J333="","",MIN(1,J333+1.96*O333/100))</f>
        <v>0.564719017556648</v>
      </c>
      <c r="R333" s="25" t="str">
        <f aca="false">IF(L333="","",IF(ABS(L333)&lt;=O333,"Yes","No"))</f>
        <v>Yes</v>
      </c>
      <c r="S333" s="25" t="str">
        <f aca="false">IF(L333="","",IF(ABS(L333)&lt;=1.96*O333,"Yes","No"))</f>
        <v>Yes</v>
      </c>
      <c r="T333" s="52" t="n">
        <f aca="false">IF(D333="","",ROUND(SQRT(((D333+G333)*O333/100)^2+(J333*(D333+G333)*0.08889)^2),0))</f>
        <v>85</v>
      </c>
      <c r="U333" s="25"/>
    </row>
    <row r="334" customFormat="false" ht="15" hidden="false" customHeight="false" outlineLevel="0" collapsed="false">
      <c r="A334" s="25" t="s">
        <v>385</v>
      </c>
      <c r="B334" s="25" t="s">
        <v>516</v>
      </c>
      <c r="C334" s="25" t="s">
        <v>521</v>
      </c>
      <c r="D334" s="52" t="n">
        <v>1182</v>
      </c>
      <c r="E334" s="52" t="n">
        <v>1193</v>
      </c>
      <c r="F334" s="63" t="n">
        <f aca="false">IF(E334="","",D334-E334)</f>
        <v>-11</v>
      </c>
      <c r="G334" s="52" t="n">
        <v>1303</v>
      </c>
      <c r="H334" s="52" t="n">
        <v>1334</v>
      </c>
      <c r="I334" s="63" t="n">
        <f aca="false">IF(H334="","",G334-H334)</f>
        <v>-31</v>
      </c>
      <c r="J334" s="53" t="n">
        <f aca="false">IF(OR(D334="",D334+G334=0),"",D334/(D334+G334))</f>
        <v>0.475653923541247</v>
      </c>
      <c r="K334" s="53" t="n">
        <f aca="false">IF(E334="","",E334/(E334+H334))</f>
        <v>0.47210130589632</v>
      </c>
      <c r="L334" s="64" t="n">
        <f aca="false">IF(OR(K334="",J334=""),"",(J334-K334)*100)</f>
        <v>0.35526176449277</v>
      </c>
      <c r="M334" s="28" t="n">
        <v>2.1665403898083</v>
      </c>
      <c r="N334" s="28" t="n">
        <v>0.395142145636406</v>
      </c>
      <c r="O334" s="28" t="n">
        <f aca="false">SQRT(M334^2+N334^2)</f>
        <v>2.2022794046008</v>
      </c>
      <c r="P334" s="53" t="n">
        <f aca="false">IF(J334="","",MAX(0,J334-1.96*O334/100))</f>
        <v>0.432489247211072</v>
      </c>
      <c r="Q334" s="53" t="n">
        <f aca="false">IF(J334="","",MIN(1,J334+1.96*O334/100))</f>
        <v>0.518818599871423</v>
      </c>
      <c r="R334" s="25" t="str">
        <f aca="false">IF(L334="","",IF(ABS(L334)&lt;=O334,"Yes","No"))</f>
        <v>Yes</v>
      </c>
      <c r="S334" s="25" t="str">
        <f aca="false">IF(L334="","",IF(ABS(L334)&lt;=1.96*O334,"Yes","No"))</f>
        <v>Yes</v>
      </c>
      <c r="T334" s="52" t="n">
        <f aca="false">IF(D334="","",ROUND(SQRT(((D334+G334)*O334/100)^2+(J334*(D334+G334)*0.08889)^2),0))</f>
        <v>118</v>
      </c>
      <c r="U334" s="25"/>
    </row>
    <row r="335" customFormat="false" ht="15" hidden="false" customHeight="false" outlineLevel="0" collapsed="false">
      <c r="A335" s="25" t="s">
        <v>385</v>
      </c>
      <c r="B335" s="25" t="s">
        <v>516</v>
      </c>
      <c r="C335" s="25" t="s">
        <v>522</v>
      </c>
      <c r="D335" s="52" t="n">
        <v>742</v>
      </c>
      <c r="E335" s="52" t="n">
        <v>755</v>
      </c>
      <c r="F335" s="63" t="n">
        <f aca="false">IF(E335="","",D335-E335)</f>
        <v>-13</v>
      </c>
      <c r="G335" s="52" t="n">
        <v>813</v>
      </c>
      <c r="H335" s="52" t="n">
        <v>789</v>
      </c>
      <c r="I335" s="63" t="n">
        <f aca="false">IF(H335="","",G335-H335)</f>
        <v>24</v>
      </c>
      <c r="J335" s="53" t="n">
        <f aca="false">IF(OR(D335="",D335+G335=0),"",D335/(D335+G335))</f>
        <v>0.477170418006431</v>
      </c>
      <c r="K335" s="53" t="n">
        <f aca="false">IF(E335="","",E335/(E335+H335))</f>
        <v>0.4889896373057</v>
      </c>
      <c r="L335" s="64" t="n">
        <f aca="false">IF(OR(K335="",J335=""),"",(J335-K335)*100)</f>
        <v>-1.18192192992687</v>
      </c>
      <c r="M335" s="28" t="n">
        <v>2.1665403898083</v>
      </c>
      <c r="N335" s="28" t="n">
        <v>0.395142145636406</v>
      </c>
      <c r="O335" s="28" t="n">
        <f aca="false">SQRT(M335^2+N335^2)</f>
        <v>2.2022794046008</v>
      </c>
      <c r="P335" s="53" t="n">
        <f aca="false">IF(J335="","",MAX(0,J335-1.96*O335/100))</f>
        <v>0.434005741676255</v>
      </c>
      <c r="Q335" s="53" t="n">
        <f aca="false">IF(J335="","",MIN(1,J335+1.96*O335/100))</f>
        <v>0.520335094336607</v>
      </c>
      <c r="R335" s="25" t="str">
        <f aca="false">IF(L335="","",IF(ABS(L335)&lt;=O335,"Yes","No"))</f>
        <v>Yes</v>
      </c>
      <c r="S335" s="25" t="str">
        <f aca="false">IF(L335="","",IF(ABS(L335)&lt;=1.96*O335,"Yes","No"))</f>
        <v>Yes</v>
      </c>
      <c r="T335" s="52" t="n">
        <f aca="false">IF(D335="","",ROUND(SQRT(((D335+G335)*O335/100)^2+(J335*(D335+G335)*0.08889)^2),0))</f>
        <v>74</v>
      </c>
      <c r="U335" s="25"/>
    </row>
    <row r="336" customFormat="false" ht="15" hidden="false" customHeight="false" outlineLevel="0" collapsed="false">
      <c r="A336" s="25" t="s">
        <v>385</v>
      </c>
      <c r="B336" s="25" t="s">
        <v>516</v>
      </c>
      <c r="C336" s="25" t="s">
        <v>523</v>
      </c>
      <c r="D336" s="52" t="n">
        <v>764</v>
      </c>
      <c r="E336" s="52"/>
      <c r="F336" s="63" t="str">
        <f aca="false">IF(E336="","",D336-E336)</f>
        <v/>
      </c>
      <c r="G336" s="52" t="n">
        <v>707</v>
      </c>
      <c r="H336" s="52"/>
      <c r="I336" s="63" t="str">
        <f aca="false">IF(H336="","",G336-H336)</f>
        <v/>
      </c>
      <c r="J336" s="53" t="n">
        <f aca="false">IF(OR(D336="",D336+G336=0),"",D336/(D336+G336))</f>
        <v>0.519374575118967</v>
      </c>
      <c r="K336" s="53" t="str">
        <f aca="false">IF(E336="","",E336/(E336+H336))</f>
        <v/>
      </c>
      <c r="L336" s="64" t="str">
        <f aca="false">IF(OR(K336="",J336=""),"",(J336-K336)*100)</f>
        <v/>
      </c>
      <c r="M336" s="28" t="n">
        <v>2.1665403898083</v>
      </c>
      <c r="N336" s="28" t="n">
        <v>0.395142145636406</v>
      </c>
      <c r="O336" s="28" t="n">
        <f aca="false">SQRT(M336^2+N336^2)</f>
        <v>2.2022794046008</v>
      </c>
      <c r="P336" s="53" t="n">
        <f aca="false">IF(J336="","",MAX(0,J336-1.96*O336/100))</f>
        <v>0.476209898788791</v>
      </c>
      <c r="Q336" s="53" t="n">
        <f aca="false">IF(J336="","",MIN(1,J336+1.96*O336/100))</f>
        <v>0.562539251449142</v>
      </c>
      <c r="R336" s="25" t="str">
        <f aca="false">IF(L336="","",IF(ABS(L336)&lt;=O336,"Yes","No"))</f>
        <v/>
      </c>
      <c r="S336" s="25" t="str">
        <f aca="false">IF(L336="","",IF(ABS(L336)&lt;=1.96*O336,"Yes","No"))</f>
        <v/>
      </c>
      <c r="T336" s="52" t="n">
        <f aca="false">IF(D336="","",ROUND(SQRT(((D336+G336)*O336/100)^2+(J336*(D336+G336)*0.08889)^2),0))</f>
        <v>75</v>
      </c>
      <c r="U336" s="25" t="s">
        <v>702</v>
      </c>
    </row>
    <row r="337" customFormat="false" ht="15" hidden="false" customHeight="false" outlineLevel="0" collapsed="false">
      <c r="A337" s="25" t="s">
        <v>385</v>
      </c>
      <c r="B337" s="25" t="s">
        <v>516</v>
      </c>
      <c r="C337" s="25" t="s">
        <v>524</v>
      </c>
      <c r="D337" s="52" t="n">
        <v>741</v>
      </c>
      <c r="E337" s="52"/>
      <c r="F337" s="63" t="str">
        <f aca="false">IF(E337="","",D337-E337)</f>
        <v/>
      </c>
      <c r="G337" s="52" t="n">
        <v>736</v>
      </c>
      <c r="H337" s="52"/>
      <c r="I337" s="63" t="str">
        <f aca="false">IF(H337="","",G337-H337)</f>
        <v/>
      </c>
      <c r="J337" s="53" t="n">
        <f aca="false">IF(OR(D337="",D337+G337=0),"",D337/(D337+G337))</f>
        <v>0.501692620176032</v>
      </c>
      <c r="K337" s="53" t="str">
        <f aca="false">IF(E337="","",E337/(E337+H337))</f>
        <v/>
      </c>
      <c r="L337" s="64" t="str">
        <f aca="false">IF(OR(K337="",J337=""),"",(J337-K337)*100)</f>
        <v/>
      </c>
      <c r="M337" s="28" t="n">
        <v>2.1665403898083</v>
      </c>
      <c r="N337" s="28" t="n">
        <v>0.395142145636406</v>
      </c>
      <c r="O337" s="28" t="n">
        <f aca="false">SQRT(M337^2+N337^2)</f>
        <v>2.2022794046008</v>
      </c>
      <c r="P337" s="53" t="n">
        <f aca="false">IF(J337="","",MAX(0,J337-1.96*O337/100))</f>
        <v>0.458527943845857</v>
      </c>
      <c r="Q337" s="53" t="n">
        <f aca="false">IF(J337="","",MIN(1,J337+1.96*O337/100))</f>
        <v>0.544857296506208</v>
      </c>
      <c r="R337" s="25" t="str">
        <f aca="false">IF(L337="","",IF(ABS(L337)&lt;=O337,"Yes","No"))</f>
        <v/>
      </c>
      <c r="S337" s="25" t="str">
        <f aca="false">IF(L337="","",IF(ABS(L337)&lt;=1.96*O337,"Yes","No"))</f>
        <v/>
      </c>
      <c r="T337" s="52" t="n">
        <f aca="false">IF(D337="","",ROUND(SQRT(((D337+G337)*O337/100)^2+(J337*(D337+G337)*0.08889)^2),0))</f>
        <v>73</v>
      </c>
      <c r="U337" s="25" t="s">
        <v>702</v>
      </c>
    </row>
    <row r="338" customFormat="false" ht="15" hidden="false" customHeight="false" outlineLevel="0" collapsed="false">
      <c r="A338" s="25" t="s">
        <v>385</v>
      </c>
      <c r="B338" s="25" t="s">
        <v>516</v>
      </c>
      <c r="C338" s="25" t="s">
        <v>525</v>
      </c>
      <c r="D338" s="52" t="n">
        <v>336</v>
      </c>
      <c r="E338" s="52"/>
      <c r="F338" s="63" t="str">
        <f aca="false">IF(E338="","",D338-E338)</f>
        <v/>
      </c>
      <c r="G338" s="52" t="n">
        <v>340</v>
      </c>
      <c r="H338" s="52"/>
      <c r="I338" s="63" t="str">
        <f aca="false">IF(H338="","",G338-H338)</f>
        <v/>
      </c>
      <c r="J338" s="53" t="n">
        <f aca="false">IF(OR(D338="",D338+G338=0),"",D338/(D338+G338))</f>
        <v>0.497041420118343</v>
      </c>
      <c r="K338" s="53" t="str">
        <f aca="false">IF(E338="","",E338/(E338+H338))</f>
        <v/>
      </c>
      <c r="L338" s="64" t="str">
        <f aca="false">IF(OR(K338="",J338=""),"",(J338-K338)*100)</f>
        <v/>
      </c>
      <c r="M338" s="28" t="n">
        <v>3.59869162464536</v>
      </c>
      <c r="N338" s="28" t="n">
        <v>0.395142145636406</v>
      </c>
      <c r="O338" s="28" t="n">
        <f aca="false">SQRT(M338^2+N338^2)</f>
        <v>3.62032025165603</v>
      </c>
      <c r="P338" s="53" t="n">
        <f aca="false">IF(J338="","",MAX(0,J338-1.96*O338/100))</f>
        <v>0.426083143185885</v>
      </c>
      <c r="Q338" s="53" t="n">
        <f aca="false">IF(J338="","",MIN(1,J338+1.96*O338/100))</f>
        <v>0.567999697050801</v>
      </c>
      <c r="R338" s="25" t="str">
        <f aca="false">IF(L338="","",IF(ABS(L338)&lt;=O338,"Yes","No"))</f>
        <v/>
      </c>
      <c r="S338" s="25" t="str">
        <f aca="false">IF(L338="","",IF(ABS(L338)&lt;=1.96*O338,"Yes","No"))</f>
        <v/>
      </c>
      <c r="T338" s="52" t="n">
        <f aca="false">IF(D338="","",ROUND(SQRT(((D338+G338)*O338/100)^2+(J338*(D338+G338)*0.1901)^2),0))</f>
        <v>68</v>
      </c>
      <c r="U338" s="25" t="s">
        <v>702</v>
      </c>
    </row>
    <row r="339" customFormat="false" ht="15" hidden="false" customHeight="false" outlineLevel="0" collapsed="false">
      <c r="A339" s="25" t="s">
        <v>385</v>
      </c>
      <c r="B339" s="25" t="s">
        <v>526</v>
      </c>
      <c r="C339" s="25" t="s">
        <v>527</v>
      </c>
      <c r="D339" s="52" t="n">
        <v>109</v>
      </c>
      <c r="E339" s="52" t="n">
        <v>112</v>
      </c>
      <c r="F339" s="63" t="n">
        <f aca="false">IF(E339="","",D339-E339)</f>
        <v>-3</v>
      </c>
      <c r="G339" s="52" t="n">
        <v>187</v>
      </c>
      <c r="H339" s="52" t="n">
        <v>199</v>
      </c>
      <c r="I339" s="63" t="n">
        <f aca="false">IF(H339="","",G339-H339)</f>
        <v>-12</v>
      </c>
      <c r="J339" s="53" t="n">
        <f aca="false">IF(OR(D339="",D339+G339=0),"",D339/(D339+G339))</f>
        <v>0.368243243243243</v>
      </c>
      <c r="K339" s="53" t="n">
        <f aca="false">IF(E339="","",E339/(E339+H339))</f>
        <v>0.360128617363344</v>
      </c>
      <c r="L339" s="64" t="n">
        <f aca="false">IF(OR(K339="",J339=""),"",(J339-K339)*100)</f>
        <v>0.81146258798992</v>
      </c>
      <c r="M339" s="28" t="n">
        <v>3.59869162464536</v>
      </c>
      <c r="N339" s="28" t="n">
        <v>0.395142145636406</v>
      </c>
      <c r="O339" s="28" t="n">
        <f aca="false">SQRT(M339^2+N339^2)</f>
        <v>3.62032025165603</v>
      </c>
      <c r="P339" s="53" t="n">
        <f aca="false">IF(J339="","",MAX(0,J339-1.96*O339/100))</f>
        <v>0.297284966310785</v>
      </c>
      <c r="Q339" s="53" t="n">
        <f aca="false">IF(J339="","",MIN(1,J339+1.96*O339/100))</f>
        <v>0.439201520175701</v>
      </c>
      <c r="R339" s="25" t="str">
        <f aca="false">IF(L339="","",IF(ABS(L339)&lt;=O339,"Yes","No"))</f>
        <v>Yes</v>
      </c>
      <c r="S339" s="25" t="str">
        <f aca="false">IF(L339="","",IF(ABS(L339)&lt;=1.96*O339,"Yes","No"))</f>
        <v>Yes</v>
      </c>
      <c r="T339" s="52" t="n">
        <f aca="false">IF(D339="","",ROUND(SQRT(((D339+G339)*O339/100)^2+(J339*(D339+G339)*0.1901)^2),0))</f>
        <v>23</v>
      </c>
      <c r="U339" s="25"/>
    </row>
    <row r="340" customFormat="false" ht="15" hidden="false" customHeight="false" outlineLevel="0" collapsed="false">
      <c r="A340" s="25" t="s">
        <v>385</v>
      </c>
      <c r="B340" s="25" t="s">
        <v>526</v>
      </c>
      <c r="C340" s="25" t="s">
        <v>528</v>
      </c>
      <c r="D340" s="52" t="n">
        <v>233</v>
      </c>
      <c r="E340" s="52" t="n">
        <v>259</v>
      </c>
      <c r="F340" s="63" t="n">
        <f aca="false">IF(E340="","",D340-E340)</f>
        <v>-26</v>
      </c>
      <c r="G340" s="52" t="n">
        <v>480</v>
      </c>
      <c r="H340" s="52" t="n">
        <v>480</v>
      </c>
      <c r="I340" s="63" t="n">
        <f aca="false">IF(H340="","",G340-H340)</f>
        <v>0</v>
      </c>
      <c r="J340" s="53" t="n">
        <f aca="false">IF(OR(D340="",D340+G340=0),"",D340/(D340+G340))</f>
        <v>0.326788218793829</v>
      </c>
      <c r="K340" s="53" t="n">
        <f aca="false">IF(E340="","",E340/(E340+H340))</f>
        <v>0.350473612990528</v>
      </c>
      <c r="L340" s="64" t="n">
        <f aca="false">IF(OR(K340="",J340=""),"",(J340-K340)*100)</f>
        <v>-2.36853941966989</v>
      </c>
      <c r="M340" s="28" t="n">
        <v>3.59869162464536</v>
      </c>
      <c r="N340" s="28" t="n">
        <v>0.395142145636406</v>
      </c>
      <c r="O340" s="28" t="n">
        <f aca="false">SQRT(M340^2+N340^2)</f>
        <v>3.62032025165603</v>
      </c>
      <c r="P340" s="53" t="n">
        <f aca="false">IF(J340="","",MAX(0,J340-1.96*O340/100))</f>
        <v>0.255829941861371</v>
      </c>
      <c r="Q340" s="53" t="n">
        <f aca="false">IF(J340="","",MIN(1,J340+1.96*O340/100))</f>
        <v>0.397746495726287</v>
      </c>
      <c r="R340" s="25" t="str">
        <f aca="false">IF(L340="","",IF(ABS(L340)&lt;=O340,"Yes","No"))</f>
        <v>Yes</v>
      </c>
      <c r="S340" s="25" t="str">
        <f aca="false">IF(L340="","",IF(ABS(L340)&lt;=1.96*O340,"Yes","No"))</f>
        <v>Yes</v>
      </c>
      <c r="T340" s="52" t="n">
        <f aca="false">IF(D340="","",ROUND(SQRT(((D340+G340)*O340/100)^2+(J340*(D340+G340)*0.1901)^2),0))</f>
        <v>51</v>
      </c>
      <c r="U340" s="25"/>
    </row>
    <row r="341" customFormat="false" ht="15" hidden="false" customHeight="false" outlineLevel="0" collapsed="false">
      <c r="A341" s="25" t="s">
        <v>385</v>
      </c>
      <c r="B341" s="25" t="s">
        <v>526</v>
      </c>
      <c r="C341" s="25" t="s">
        <v>529</v>
      </c>
      <c r="D341" s="52" t="n">
        <v>196</v>
      </c>
      <c r="E341" s="52" t="n">
        <v>204</v>
      </c>
      <c r="F341" s="63" t="n">
        <f aca="false">IF(E341="","",D341-E341)</f>
        <v>-8</v>
      </c>
      <c r="G341" s="52" t="n">
        <v>300</v>
      </c>
      <c r="H341" s="52" t="n">
        <v>301</v>
      </c>
      <c r="I341" s="63" t="n">
        <f aca="false">IF(H341="","",G341-H341)</f>
        <v>-1</v>
      </c>
      <c r="J341" s="53" t="n">
        <f aca="false">IF(OR(D341="",D341+G341=0),"",D341/(D341+G341))</f>
        <v>0.395161290322581</v>
      </c>
      <c r="K341" s="53" t="n">
        <f aca="false">IF(E341="","",E341/(E341+H341))</f>
        <v>0.403960396039604</v>
      </c>
      <c r="L341" s="64" t="n">
        <f aca="false">IF(OR(K341="",J341=""),"",(J341-K341)*100)</f>
        <v>-0.879910571702336</v>
      </c>
      <c r="M341" s="28" t="n">
        <v>3.59869162464536</v>
      </c>
      <c r="N341" s="28" t="n">
        <v>0.395142145636406</v>
      </c>
      <c r="O341" s="28" t="n">
        <f aca="false">SQRT(M341^2+N341^2)</f>
        <v>3.62032025165603</v>
      </c>
      <c r="P341" s="53" t="n">
        <f aca="false">IF(J341="","",MAX(0,J341-1.96*O341/100))</f>
        <v>0.324203013390123</v>
      </c>
      <c r="Q341" s="53" t="n">
        <f aca="false">IF(J341="","",MIN(1,J341+1.96*O341/100))</f>
        <v>0.466119567255039</v>
      </c>
      <c r="R341" s="25" t="str">
        <f aca="false">IF(L341="","",IF(ABS(L341)&lt;=O341,"Yes","No"))</f>
        <v>Yes</v>
      </c>
      <c r="S341" s="25" t="str">
        <f aca="false">IF(L341="","",IF(ABS(L341)&lt;=1.96*O341,"Yes","No"))</f>
        <v>Yes</v>
      </c>
      <c r="T341" s="52" t="n">
        <f aca="false">IF(D341="","",ROUND(SQRT(((D341+G341)*O341/100)^2+(J341*(D341+G341)*0.1901)^2),0))</f>
        <v>41</v>
      </c>
      <c r="U341" s="25"/>
    </row>
    <row r="342" customFormat="false" ht="15" hidden="false" customHeight="false" outlineLevel="0" collapsed="false">
      <c r="A342" s="25" t="s">
        <v>385</v>
      </c>
      <c r="B342" s="25" t="s">
        <v>526</v>
      </c>
      <c r="C342" s="25" t="s">
        <v>530</v>
      </c>
      <c r="D342" s="52" t="n">
        <v>139</v>
      </c>
      <c r="E342" s="52" t="n">
        <v>128</v>
      </c>
      <c r="F342" s="63" t="n">
        <f aca="false">IF(E342="","",D342-E342)</f>
        <v>11</v>
      </c>
      <c r="G342" s="52" t="n">
        <v>197</v>
      </c>
      <c r="H342" s="52" t="n">
        <v>200</v>
      </c>
      <c r="I342" s="63" t="n">
        <f aca="false">IF(H342="","",G342-H342)</f>
        <v>-3</v>
      </c>
      <c r="J342" s="53" t="n">
        <f aca="false">IF(OR(D342="",D342+G342=0),"",D342/(D342+G342))</f>
        <v>0.413690476190476</v>
      </c>
      <c r="K342" s="53" t="n">
        <f aca="false">IF(E342="","",E342/(E342+H342))</f>
        <v>0.390243902439024</v>
      </c>
      <c r="L342" s="64" t="n">
        <f aca="false">IF(OR(K342="",J342=""),"",(J342-K342)*100)</f>
        <v>2.34465737514518</v>
      </c>
      <c r="M342" s="28" t="n">
        <v>3.59869162464536</v>
      </c>
      <c r="N342" s="28" t="n">
        <v>0.395142145636406</v>
      </c>
      <c r="O342" s="28" t="n">
        <f aca="false">SQRT(M342^2+N342^2)</f>
        <v>3.62032025165603</v>
      </c>
      <c r="P342" s="53" t="n">
        <f aca="false">IF(J342="","",MAX(0,J342-1.96*O342/100))</f>
        <v>0.342732199258018</v>
      </c>
      <c r="Q342" s="53" t="n">
        <f aca="false">IF(J342="","",MIN(1,J342+1.96*O342/100))</f>
        <v>0.484648753122934</v>
      </c>
      <c r="R342" s="25" t="str">
        <f aca="false">IF(L342="","",IF(ABS(L342)&lt;=O342,"Yes","No"))</f>
        <v>Yes</v>
      </c>
      <c r="S342" s="25" t="str">
        <f aca="false">IF(L342="","",IF(ABS(L342)&lt;=1.96*O342,"Yes","No"))</f>
        <v>Yes</v>
      </c>
      <c r="T342" s="52" t="n">
        <f aca="false">IF(D342="","",ROUND(SQRT(((D342+G342)*O342/100)^2+(J342*(D342+G342)*0.1901)^2),0))</f>
        <v>29</v>
      </c>
      <c r="U342" s="25"/>
    </row>
    <row r="343" customFormat="false" ht="15" hidden="false" customHeight="false" outlineLevel="0" collapsed="false">
      <c r="A343" s="25" t="s">
        <v>385</v>
      </c>
      <c r="B343" s="25" t="s">
        <v>531</v>
      </c>
      <c r="C343" s="25" t="s">
        <v>532</v>
      </c>
      <c r="D343" s="52" t="n">
        <v>370</v>
      </c>
      <c r="E343" s="52" t="n">
        <v>412</v>
      </c>
      <c r="F343" s="63" t="n">
        <f aca="false">IF(E343="","",D343-E343)</f>
        <v>-42</v>
      </c>
      <c r="G343" s="52" t="n">
        <v>822</v>
      </c>
      <c r="H343" s="52" t="n">
        <v>767</v>
      </c>
      <c r="I343" s="63" t="n">
        <f aca="false">IF(H343="","",G343-H343)</f>
        <v>55</v>
      </c>
      <c r="J343" s="53" t="n">
        <f aca="false">IF(OR(D343="",D343+G343=0),"",D343/(D343+G343))</f>
        <v>0.310402684563758</v>
      </c>
      <c r="K343" s="53" t="n">
        <f aca="false">IF(E343="","",E343/(E343+H343))</f>
        <v>0.349448685326548</v>
      </c>
      <c r="L343" s="64" t="n">
        <f aca="false">IF(OR(K343="",J343=""),"",(J343-K343)*100)</f>
        <v>-3.90460007627895</v>
      </c>
      <c r="M343" s="28" t="n">
        <v>2.40127504711013</v>
      </c>
      <c r="N343" s="28" t="n">
        <v>0.395142145636406</v>
      </c>
      <c r="O343" s="28" t="n">
        <f aca="false">SQRT(M343^2+N343^2)</f>
        <v>2.43356922382165</v>
      </c>
      <c r="P343" s="53" t="n">
        <f aca="false">IF(J343="","",MAX(0,J343-1.96*O343/100))</f>
        <v>0.262704727776854</v>
      </c>
      <c r="Q343" s="53" t="n">
        <f aca="false">IF(J343="","",MIN(1,J343+1.96*O343/100))</f>
        <v>0.358100641350663</v>
      </c>
      <c r="R343" s="25" t="str">
        <f aca="false">IF(L343="","",IF(ABS(L343)&lt;=O343,"Yes","No"))</f>
        <v>No</v>
      </c>
      <c r="S343" s="25" t="str">
        <f aca="false">IF(L343="","",IF(ABS(L343)&lt;=1.96*O343,"Yes","No"))</f>
        <v>Yes</v>
      </c>
      <c r="T343" s="52" t="n">
        <f aca="false">IF(D343="","",ROUND(SQRT(((D343+G343)*O343/100)^2+(J343*(D343+G343)*0.10931)^2),0))</f>
        <v>50</v>
      </c>
      <c r="U343" s="25"/>
    </row>
    <row r="344" customFormat="false" ht="15" hidden="false" customHeight="false" outlineLevel="0" collapsed="false">
      <c r="A344" s="25" t="s">
        <v>385</v>
      </c>
      <c r="B344" s="25" t="s">
        <v>531</v>
      </c>
      <c r="C344" s="25" t="s">
        <v>533</v>
      </c>
      <c r="D344" s="52" t="n">
        <v>309</v>
      </c>
      <c r="E344" s="52" t="n">
        <v>361</v>
      </c>
      <c r="F344" s="63" t="n">
        <f aca="false">IF(E344="","",D344-E344)</f>
        <v>-52</v>
      </c>
      <c r="G344" s="52" t="n">
        <v>677</v>
      </c>
      <c r="H344" s="52" t="n">
        <v>633</v>
      </c>
      <c r="I344" s="63" t="n">
        <f aca="false">IF(H344="","",G344-H344)</f>
        <v>44</v>
      </c>
      <c r="J344" s="53" t="n">
        <f aca="false">IF(OR(D344="",D344+G344=0),"",D344/(D344+G344))</f>
        <v>0.313387423935091</v>
      </c>
      <c r="K344" s="53" t="n">
        <f aca="false">IF(E344="","",E344/(E344+H344))</f>
        <v>0.36317907444668</v>
      </c>
      <c r="L344" s="64" t="n">
        <f aca="false">IF(OR(K344="",J344=""),"",(J344-K344)*100)</f>
        <v>-4.97916505115888</v>
      </c>
      <c r="M344" s="28" t="n">
        <v>2.40127504711013</v>
      </c>
      <c r="N344" s="28" t="n">
        <v>0.395142145636406</v>
      </c>
      <c r="O344" s="28" t="n">
        <f aca="false">SQRT(M344^2+N344^2)</f>
        <v>2.43356922382165</v>
      </c>
      <c r="P344" s="53" t="n">
        <f aca="false">IF(J344="","",MAX(0,J344-1.96*O344/100))</f>
        <v>0.265689467148187</v>
      </c>
      <c r="Q344" s="53" t="n">
        <f aca="false">IF(J344="","",MIN(1,J344+1.96*O344/100))</f>
        <v>0.361085380721996</v>
      </c>
      <c r="R344" s="25" t="str">
        <f aca="false">IF(L344="","",IF(ABS(L344)&lt;=O344,"Yes","No"))</f>
        <v>No</v>
      </c>
      <c r="S344" s="25" t="str">
        <f aca="false">IF(L344="","",IF(ABS(L344)&lt;=1.96*O344,"Yes","No"))</f>
        <v>No</v>
      </c>
      <c r="T344" s="52" t="n">
        <f aca="false">IF(D344="","",ROUND(SQRT(((D344+G344)*O344/100)^2+(J344*(D344+G344)*0.10931)^2),0))</f>
        <v>41</v>
      </c>
      <c r="U344" s="25"/>
    </row>
    <row r="345" customFormat="false" ht="15" hidden="false" customHeight="false" outlineLevel="0" collapsed="false">
      <c r="A345" s="25" t="s">
        <v>385</v>
      </c>
      <c r="B345" s="25" t="s">
        <v>531</v>
      </c>
      <c r="C345" s="25" t="s">
        <v>534</v>
      </c>
      <c r="D345" s="52" t="n">
        <v>270</v>
      </c>
      <c r="E345" s="52" t="n">
        <v>286</v>
      </c>
      <c r="F345" s="63" t="n">
        <f aca="false">IF(E345="","",D345-E345)</f>
        <v>-16</v>
      </c>
      <c r="G345" s="52" t="n">
        <v>606</v>
      </c>
      <c r="H345" s="52" t="n">
        <v>553</v>
      </c>
      <c r="I345" s="63" t="n">
        <f aca="false">IF(H345="","",G345-H345)</f>
        <v>53</v>
      </c>
      <c r="J345" s="53" t="n">
        <f aca="false">IF(OR(D345="",D345+G345=0),"",D345/(D345+G345))</f>
        <v>0.308219178082192</v>
      </c>
      <c r="K345" s="53" t="n">
        <f aca="false">IF(E345="","",E345/(E345+H345))</f>
        <v>0.34088200238379</v>
      </c>
      <c r="L345" s="64" t="n">
        <f aca="false">IF(OR(K345="",J345=""),"",(J345-K345)*100)</f>
        <v>-3.26628243015985</v>
      </c>
      <c r="M345" s="28" t="n">
        <v>2.40127504711013</v>
      </c>
      <c r="N345" s="28" t="n">
        <v>0.395142145636406</v>
      </c>
      <c r="O345" s="28" t="n">
        <f aca="false">SQRT(M345^2+N345^2)</f>
        <v>2.43356922382165</v>
      </c>
      <c r="P345" s="53" t="n">
        <f aca="false">IF(J345="","",MAX(0,J345-1.96*O345/100))</f>
        <v>0.260521221295288</v>
      </c>
      <c r="Q345" s="53" t="n">
        <f aca="false">IF(J345="","",MIN(1,J345+1.96*O345/100))</f>
        <v>0.355917134869096</v>
      </c>
      <c r="R345" s="25" t="str">
        <f aca="false">IF(L345="","",IF(ABS(L345)&lt;=O345,"Yes","No"))</f>
        <v>No</v>
      </c>
      <c r="S345" s="25" t="str">
        <f aca="false">IF(L345="","",IF(ABS(L345)&lt;=1.96*O345,"Yes","No"))</f>
        <v>Yes</v>
      </c>
      <c r="T345" s="52" t="n">
        <f aca="false">IF(D345="","",ROUND(SQRT(((D345+G345)*O345/100)^2+(J345*(D345+G345)*0.10931)^2),0))</f>
        <v>36</v>
      </c>
      <c r="U345" s="25"/>
    </row>
    <row r="346" customFormat="false" ht="15" hidden="false" customHeight="false" outlineLevel="0" collapsed="false">
      <c r="A346" s="25" t="s">
        <v>385</v>
      </c>
      <c r="B346" s="25" t="s">
        <v>531</v>
      </c>
      <c r="C346" s="25" t="s">
        <v>535</v>
      </c>
      <c r="D346" s="52" t="n">
        <v>279</v>
      </c>
      <c r="E346" s="52" t="n">
        <v>302</v>
      </c>
      <c r="F346" s="63" t="n">
        <f aca="false">IF(E346="","",D346-E346)</f>
        <v>-23</v>
      </c>
      <c r="G346" s="52" t="n">
        <v>617</v>
      </c>
      <c r="H346" s="52" t="n">
        <v>608</v>
      </c>
      <c r="I346" s="63" t="n">
        <f aca="false">IF(H346="","",G346-H346)</f>
        <v>9</v>
      </c>
      <c r="J346" s="53" t="n">
        <f aca="false">IF(OR(D346="",D346+G346=0),"",D346/(D346+G346))</f>
        <v>0.311383928571429</v>
      </c>
      <c r="K346" s="53" t="n">
        <f aca="false">IF(E346="","",E346/(E346+H346))</f>
        <v>0.331868131868132</v>
      </c>
      <c r="L346" s="64" t="n">
        <f aca="false">IF(OR(K346="",J346=""),"",(J346-K346)*100)</f>
        <v>-2.04842032967033</v>
      </c>
      <c r="M346" s="28" t="n">
        <v>2.40127504711013</v>
      </c>
      <c r="N346" s="28" t="n">
        <v>0.395142145636406</v>
      </c>
      <c r="O346" s="28" t="n">
        <f aca="false">SQRT(M346^2+N346^2)</f>
        <v>2.43356922382165</v>
      </c>
      <c r="P346" s="53" t="n">
        <f aca="false">IF(J346="","",MAX(0,J346-1.96*O346/100))</f>
        <v>0.263685971784524</v>
      </c>
      <c r="Q346" s="53" t="n">
        <f aca="false">IF(J346="","",MIN(1,J346+1.96*O346/100))</f>
        <v>0.359081885358333</v>
      </c>
      <c r="R346" s="25" t="str">
        <f aca="false">IF(L346="","",IF(ABS(L346)&lt;=O346,"Yes","No"))</f>
        <v>Yes</v>
      </c>
      <c r="S346" s="25" t="str">
        <f aca="false">IF(L346="","",IF(ABS(L346)&lt;=1.96*O346,"Yes","No"))</f>
        <v>Yes</v>
      </c>
      <c r="T346" s="52" t="n">
        <f aca="false">IF(D346="","",ROUND(SQRT(((D346+G346)*O346/100)^2+(J346*(D346+G346)*0.10931)^2),0))</f>
        <v>37</v>
      </c>
      <c r="U346" s="25"/>
    </row>
    <row r="347" customFormat="false" ht="15" hidden="false" customHeight="false" outlineLevel="0" collapsed="false">
      <c r="A347" s="25" t="s">
        <v>385</v>
      </c>
      <c r="B347" s="25" t="s">
        <v>536</v>
      </c>
      <c r="C347" s="25" t="s">
        <v>537</v>
      </c>
      <c r="D347" s="52" t="n">
        <v>75</v>
      </c>
      <c r="E347" s="52" t="n">
        <v>92</v>
      </c>
      <c r="F347" s="63" t="n">
        <f aca="false">IF(E347="","",D347-E347)</f>
        <v>-17</v>
      </c>
      <c r="G347" s="52" t="n">
        <v>174</v>
      </c>
      <c r="H347" s="52" t="n">
        <v>167</v>
      </c>
      <c r="I347" s="63" t="n">
        <f aca="false">IF(H347="","",G347-H347)</f>
        <v>7</v>
      </c>
      <c r="J347" s="53" t="n">
        <f aca="false">IF(OR(D347="",D347+G347=0),"",D347/(D347+G347))</f>
        <v>0.301204819277108</v>
      </c>
      <c r="K347" s="53" t="n">
        <f aca="false">IF(E347="","",E347/(E347+H347))</f>
        <v>0.355212355212355</v>
      </c>
      <c r="L347" s="64" t="n">
        <f aca="false">IF(OR(K347="",J347=""),"",(J347-K347)*100)</f>
        <v>-5.40075359352468</v>
      </c>
      <c r="M347" s="28" t="n">
        <v>3.59869162464536</v>
      </c>
      <c r="N347" s="28" t="n">
        <v>0.395142145636406</v>
      </c>
      <c r="O347" s="28" t="n">
        <f aca="false">SQRT(M347^2+N347^2)</f>
        <v>3.62032025165603</v>
      </c>
      <c r="P347" s="53" t="n">
        <f aca="false">IF(J347="","",MAX(0,J347-1.96*O347/100))</f>
        <v>0.23024654234465</v>
      </c>
      <c r="Q347" s="53" t="n">
        <f aca="false">IF(J347="","",MIN(1,J347+1.96*O347/100))</f>
        <v>0.372163096209567</v>
      </c>
      <c r="R347" s="25" t="str">
        <f aca="false">IF(L347="","",IF(ABS(L347)&lt;=O347,"Yes","No"))</f>
        <v>No</v>
      </c>
      <c r="S347" s="25" t="str">
        <f aca="false">IF(L347="","",IF(ABS(L347)&lt;=1.96*O347,"Yes","No"))</f>
        <v>Yes</v>
      </c>
      <c r="T347" s="52" t="n">
        <f aca="false">IF(D347="","",ROUND(SQRT(((D347+G347)*O347/100)^2+(J347*(D347+G347)*0.1901)^2),0))</f>
        <v>17</v>
      </c>
      <c r="U347" s="25"/>
    </row>
    <row r="348" customFormat="false" ht="15" hidden="false" customHeight="false" outlineLevel="0" collapsed="false">
      <c r="A348" s="25" t="s">
        <v>385</v>
      </c>
      <c r="B348" s="25" t="s">
        <v>538</v>
      </c>
      <c r="C348" s="25" t="s">
        <v>539</v>
      </c>
      <c r="D348" s="52" t="n">
        <v>334</v>
      </c>
      <c r="E348" s="52" t="n">
        <v>335</v>
      </c>
      <c r="F348" s="63" t="n">
        <f aca="false">IF(E348="","",D348-E348)</f>
        <v>-1</v>
      </c>
      <c r="G348" s="52" t="n">
        <v>598</v>
      </c>
      <c r="H348" s="52" t="n">
        <v>581</v>
      </c>
      <c r="I348" s="63" t="n">
        <f aca="false">IF(H348="","",G348-H348)</f>
        <v>17</v>
      </c>
      <c r="J348" s="53" t="n">
        <f aca="false">IF(OR(D348="",D348+G348=0),"",D348/(D348+G348))</f>
        <v>0.358369098712446</v>
      </c>
      <c r="K348" s="53" t="n">
        <f aca="false">IF(E348="","",E348/(E348+H348))</f>
        <v>0.365720524017467</v>
      </c>
      <c r="L348" s="64" t="n">
        <f aca="false">IF(OR(K348="",J348=""),"",(J348-K348)*100)</f>
        <v>-0.735142530502086</v>
      </c>
      <c r="M348" s="28" t="n">
        <v>2.40127504711013</v>
      </c>
      <c r="N348" s="28" t="n">
        <v>0.395142145636406</v>
      </c>
      <c r="O348" s="28" t="n">
        <f aca="false">SQRT(M348^2+N348^2)</f>
        <v>2.43356922382165</v>
      </c>
      <c r="P348" s="53" t="n">
        <f aca="false">IF(J348="","",MAX(0,J348-1.96*O348/100))</f>
        <v>0.310671141925542</v>
      </c>
      <c r="Q348" s="53" t="n">
        <f aca="false">IF(J348="","",MIN(1,J348+1.96*O348/100))</f>
        <v>0.406067055499351</v>
      </c>
      <c r="R348" s="25" t="str">
        <f aca="false">IF(L348="","",IF(ABS(L348)&lt;=O348,"Yes","No"))</f>
        <v>Yes</v>
      </c>
      <c r="S348" s="25" t="str">
        <f aca="false">IF(L348="","",IF(ABS(L348)&lt;=1.96*O348,"Yes","No"))</f>
        <v>Yes</v>
      </c>
      <c r="T348" s="52" t="n">
        <f aca="false">IF(D348="","",ROUND(SQRT(((D348+G348)*O348/100)^2+(J348*(D348+G348)*0.10931)^2),0))</f>
        <v>43</v>
      </c>
      <c r="U348" s="25"/>
    </row>
    <row r="349" customFormat="false" ht="15" hidden="false" customHeight="false" outlineLevel="0" collapsed="false">
      <c r="A349" s="25" t="s">
        <v>385</v>
      </c>
      <c r="B349" s="25" t="s">
        <v>540</v>
      </c>
      <c r="C349" s="25" t="s">
        <v>541</v>
      </c>
      <c r="D349" s="52" t="n">
        <v>207</v>
      </c>
      <c r="E349" s="52" t="n">
        <v>210</v>
      </c>
      <c r="F349" s="63" t="n">
        <f aca="false">IF(E349="","",D349-E349)</f>
        <v>-3</v>
      </c>
      <c r="G349" s="52" t="n">
        <v>307</v>
      </c>
      <c r="H349" s="52" t="n">
        <v>309</v>
      </c>
      <c r="I349" s="63" t="n">
        <f aca="false">IF(H349="","",G349-H349)</f>
        <v>-2</v>
      </c>
      <c r="J349" s="53" t="n">
        <f aca="false">IF(OR(D349="",D349+G349=0),"",D349/(D349+G349))</f>
        <v>0.40272373540856</v>
      </c>
      <c r="K349" s="53" t="n">
        <f aca="false">IF(E349="","",E349/(E349+H349))</f>
        <v>0.404624277456647</v>
      </c>
      <c r="L349" s="64" t="n">
        <f aca="false">IF(OR(K349="",J349=""),"",(J349-K349)*100)</f>
        <v>-0.19005420480871</v>
      </c>
      <c r="M349" s="28" t="n">
        <v>3.59869162464536</v>
      </c>
      <c r="N349" s="28" t="n">
        <v>0.395142145636406</v>
      </c>
      <c r="O349" s="28" t="n">
        <f aca="false">SQRT(M349^2+N349^2)</f>
        <v>3.62032025165603</v>
      </c>
      <c r="P349" s="53" t="n">
        <f aca="false">IF(J349="","",MAX(0,J349-1.96*O349/100))</f>
        <v>0.331765458476102</v>
      </c>
      <c r="Q349" s="53" t="n">
        <f aca="false">IF(J349="","",MIN(1,J349+1.96*O349/100))</f>
        <v>0.473682012341019</v>
      </c>
      <c r="R349" s="25" t="str">
        <f aca="false">IF(L349="","",IF(ABS(L349)&lt;=O349,"Yes","No"))</f>
        <v>Yes</v>
      </c>
      <c r="S349" s="25" t="str">
        <f aca="false">IF(L349="","",IF(ABS(L349)&lt;=1.96*O349,"Yes","No"))</f>
        <v>Yes</v>
      </c>
      <c r="T349" s="52" t="n">
        <f aca="false">IF(D349="","",ROUND(SQRT(((D349+G349)*O349/100)^2+(J349*(D349+G349)*0.1901)^2),0))</f>
        <v>44</v>
      </c>
      <c r="U349" s="25"/>
    </row>
    <row r="350" customFormat="false" ht="15" hidden="false" customHeight="false" outlineLevel="0" collapsed="false">
      <c r="A350" s="25" t="s">
        <v>385</v>
      </c>
      <c r="B350" s="25" t="s">
        <v>542</v>
      </c>
      <c r="C350" s="25" t="s">
        <v>543</v>
      </c>
      <c r="D350" s="52" t="n">
        <v>321</v>
      </c>
      <c r="E350" s="52" t="n">
        <v>331</v>
      </c>
      <c r="F350" s="63" t="n">
        <f aca="false">IF(E350="","",D350-E350)</f>
        <v>-10</v>
      </c>
      <c r="G350" s="52" t="n">
        <v>451</v>
      </c>
      <c r="H350" s="52" t="n">
        <v>458</v>
      </c>
      <c r="I350" s="63" t="n">
        <f aca="false">IF(H350="","",G350-H350)</f>
        <v>-7</v>
      </c>
      <c r="J350" s="53" t="n">
        <f aca="false">IF(OR(D350="",D350+G350=0),"",D350/(D350+G350))</f>
        <v>0.41580310880829</v>
      </c>
      <c r="K350" s="53" t="n">
        <f aca="false">IF(E350="","",E350/(E350+H350))</f>
        <v>0.419518377693283</v>
      </c>
      <c r="L350" s="64" t="n">
        <f aca="false">IF(OR(K350="",J350=""),"",(J350-K350)*100)</f>
        <v>-0.371526888499252</v>
      </c>
      <c r="M350" s="28" t="n">
        <v>2.40127504711013</v>
      </c>
      <c r="N350" s="28" t="n">
        <v>0.395142145636406</v>
      </c>
      <c r="O350" s="28" t="n">
        <f aca="false">SQRT(M350^2+N350^2)</f>
        <v>2.43356922382165</v>
      </c>
      <c r="P350" s="53" t="n">
        <f aca="false">IF(J350="","",MAX(0,J350-1.96*O350/100))</f>
        <v>0.368105152021386</v>
      </c>
      <c r="Q350" s="53" t="n">
        <f aca="false">IF(J350="","",MIN(1,J350+1.96*O350/100))</f>
        <v>0.463501065595194</v>
      </c>
      <c r="R350" s="25" t="str">
        <f aca="false">IF(L350="","",IF(ABS(L350)&lt;=O350,"Yes","No"))</f>
        <v>Yes</v>
      </c>
      <c r="S350" s="25" t="str">
        <f aca="false">IF(L350="","",IF(ABS(L350)&lt;=1.96*O350,"Yes","No"))</f>
        <v>Yes</v>
      </c>
      <c r="T350" s="52" t="n">
        <f aca="false">IF(D350="","",ROUND(SQRT(((D350+G350)*O350/100)^2+(J350*(D350+G350)*0.10931)^2),0))</f>
        <v>40</v>
      </c>
      <c r="U350" s="25"/>
    </row>
    <row r="351" customFormat="false" ht="15" hidden="false" customHeight="false" outlineLevel="0" collapsed="false">
      <c r="A351" s="25" t="s">
        <v>385</v>
      </c>
      <c r="B351" s="25" t="s">
        <v>544</v>
      </c>
      <c r="C351" s="25" t="s">
        <v>545</v>
      </c>
      <c r="D351" s="52" t="n">
        <v>276</v>
      </c>
      <c r="E351" s="52" t="n">
        <v>307</v>
      </c>
      <c r="F351" s="63" t="n">
        <f aca="false">IF(E351="","",D351-E351)</f>
        <v>-31</v>
      </c>
      <c r="G351" s="52" t="n">
        <v>763</v>
      </c>
      <c r="H351" s="52" t="n">
        <v>746</v>
      </c>
      <c r="I351" s="63" t="n">
        <f aca="false">IF(H351="","",G351-H351)</f>
        <v>17</v>
      </c>
      <c r="J351" s="53" t="n">
        <f aca="false">IF(OR(D351="",D351+G351=0),"",D351/(D351+G351))</f>
        <v>0.265640038498556</v>
      </c>
      <c r="K351" s="53" t="n">
        <f aca="false">IF(E351="","",E351/(E351+H351))</f>
        <v>0.291547958214625</v>
      </c>
      <c r="L351" s="64" t="n">
        <f aca="false">IF(OR(K351="",J351=""),"",(J351-K351)*100)</f>
        <v>-2.59079197160685</v>
      </c>
      <c r="M351" s="28" t="n">
        <v>2.40127504711013</v>
      </c>
      <c r="N351" s="28" t="n">
        <v>0.395142145636406</v>
      </c>
      <c r="O351" s="28" t="n">
        <f aca="false">SQRT(M351^2+N351^2)</f>
        <v>2.43356922382165</v>
      </c>
      <c r="P351" s="53" t="n">
        <f aca="false">IF(J351="","",MAX(0,J351-1.96*O351/100))</f>
        <v>0.217942081711652</v>
      </c>
      <c r="Q351" s="53" t="n">
        <f aca="false">IF(J351="","",MIN(1,J351+1.96*O351/100))</f>
        <v>0.313337995285461</v>
      </c>
      <c r="R351" s="25" t="str">
        <f aca="false">IF(L351="","",IF(ABS(L351)&lt;=O351,"Yes","No"))</f>
        <v>No</v>
      </c>
      <c r="S351" s="25" t="str">
        <f aca="false">IF(L351="","",IF(ABS(L351)&lt;=1.96*O351,"Yes","No"))</f>
        <v>Yes</v>
      </c>
      <c r="T351" s="52" t="n">
        <f aca="false">IF(D351="","",ROUND(SQRT(((D351+G351)*O351/100)^2+(J351*(D351+G351)*0.10931)^2),0))</f>
        <v>39</v>
      </c>
      <c r="U351" s="25"/>
    </row>
    <row r="352" customFormat="false" ht="15" hidden="false" customHeight="false" outlineLevel="0" collapsed="false">
      <c r="A352" s="25" t="s">
        <v>385</v>
      </c>
      <c r="B352" s="25" t="s">
        <v>544</v>
      </c>
      <c r="C352" s="25" t="s">
        <v>546</v>
      </c>
      <c r="D352" s="52" t="n">
        <v>213</v>
      </c>
      <c r="E352" s="52" t="n">
        <v>232</v>
      </c>
      <c r="F352" s="63" t="n">
        <f aca="false">IF(E352="","",D352-E352)</f>
        <v>-19</v>
      </c>
      <c r="G352" s="52" t="n">
        <v>504</v>
      </c>
      <c r="H352" s="52" t="n">
        <v>487</v>
      </c>
      <c r="I352" s="63" t="n">
        <f aca="false">IF(H352="","",G352-H352)</f>
        <v>17</v>
      </c>
      <c r="J352" s="53" t="n">
        <f aca="false">IF(OR(D352="",D352+G352=0),"",D352/(D352+G352))</f>
        <v>0.297071129707113</v>
      </c>
      <c r="K352" s="53" t="n">
        <f aca="false">IF(E352="","",E352/(E352+H352))</f>
        <v>0.322670375521558</v>
      </c>
      <c r="L352" s="64" t="n">
        <f aca="false">IF(OR(K352="",J352=""),"",(J352-K352)*100)</f>
        <v>-2.55992458144447</v>
      </c>
      <c r="M352" s="28" t="n">
        <v>3.59869162464536</v>
      </c>
      <c r="N352" s="28" t="n">
        <v>0.395142145636406</v>
      </c>
      <c r="O352" s="28" t="n">
        <f aca="false">SQRT(M352^2+N352^2)</f>
        <v>3.62032025165603</v>
      </c>
      <c r="P352" s="53" t="n">
        <f aca="false">IF(J352="","",MAX(0,J352-1.96*O352/100))</f>
        <v>0.226112852774655</v>
      </c>
      <c r="Q352" s="53" t="n">
        <f aca="false">IF(J352="","",MIN(1,J352+1.96*O352/100))</f>
        <v>0.368029406639571</v>
      </c>
      <c r="R352" s="25" t="str">
        <f aca="false">IF(L352="","",IF(ABS(L352)&lt;=O352,"Yes","No"))</f>
        <v>Yes</v>
      </c>
      <c r="S352" s="25" t="str">
        <f aca="false">IF(L352="","",IF(ABS(L352)&lt;=1.96*O352,"Yes","No"))</f>
        <v>Yes</v>
      </c>
      <c r="T352" s="52" t="n">
        <f aca="false">IF(D352="","",ROUND(SQRT(((D352+G352)*O352/100)^2+(J352*(D352+G352)*0.1901)^2),0))</f>
        <v>48</v>
      </c>
      <c r="U352" s="25"/>
    </row>
    <row r="353" customFormat="false" ht="15" hidden="false" customHeight="false" outlineLevel="0" collapsed="false">
      <c r="A353" s="25" t="s">
        <v>385</v>
      </c>
      <c r="B353" s="25" t="s">
        <v>544</v>
      </c>
      <c r="C353" s="25" t="s">
        <v>547</v>
      </c>
      <c r="D353" s="52" t="n">
        <v>170</v>
      </c>
      <c r="E353" s="52" t="n">
        <v>178</v>
      </c>
      <c r="F353" s="63" t="n">
        <f aca="false">IF(E353="","",D353-E353)</f>
        <v>-8</v>
      </c>
      <c r="G353" s="52" t="n">
        <v>448</v>
      </c>
      <c r="H353" s="52" t="n">
        <v>480</v>
      </c>
      <c r="I353" s="63" t="n">
        <f aca="false">IF(H353="","",G353-H353)</f>
        <v>-32</v>
      </c>
      <c r="J353" s="53" t="n">
        <f aca="false">IF(OR(D353="",D353+G353=0),"",D353/(D353+G353))</f>
        <v>0.275080906148867</v>
      </c>
      <c r="K353" s="53" t="n">
        <f aca="false">IF(E353="","",E353/(E353+H353))</f>
        <v>0.270516717325228</v>
      </c>
      <c r="L353" s="64" t="n">
        <f aca="false">IF(OR(K353="",J353=""),"",(J353-K353)*100)</f>
        <v>0.456418882363935</v>
      </c>
      <c r="M353" s="28" t="n">
        <v>3.59869162464536</v>
      </c>
      <c r="N353" s="28" t="n">
        <v>0.395142145636406</v>
      </c>
      <c r="O353" s="28" t="n">
        <f aca="false">SQRT(M353^2+N353^2)</f>
        <v>3.62032025165603</v>
      </c>
      <c r="P353" s="53" t="n">
        <f aca="false">IF(J353="","",MAX(0,J353-1.96*O353/100))</f>
        <v>0.204122629216409</v>
      </c>
      <c r="Q353" s="53" t="n">
        <f aca="false">IF(J353="","",MIN(1,J353+1.96*O353/100))</f>
        <v>0.346039183081326</v>
      </c>
      <c r="R353" s="25" t="str">
        <f aca="false">IF(L353="","",IF(ABS(L353)&lt;=O353,"Yes","No"))</f>
        <v>Yes</v>
      </c>
      <c r="S353" s="25" t="str">
        <f aca="false">IF(L353="","",IF(ABS(L353)&lt;=1.96*O353,"Yes","No"))</f>
        <v>Yes</v>
      </c>
      <c r="T353" s="52" t="n">
        <f aca="false">IF(D353="","",ROUND(SQRT(((D353+G353)*O353/100)^2+(J353*(D353+G353)*0.1901)^2),0))</f>
        <v>39</v>
      </c>
      <c r="U353" s="25"/>
    </row>
    <row r="354" customFormat="false" ht="15" hidden="false" customHeight="false" outlineLevel="0" collapsed="false">
      <c r="A354" s="25" t="s">
        <v>385</v>
      </c>
      <c r="B354" s="25" t="s">
        <v>544</v>
      </c>
      <c r="C354" s="25" t="s">
        <v>548</v>
      </c>
      <c r="D354" s="52" t="n">
        <v>179</v>
      </c>
      <c r="E354" s="52" t="n">
        <v>180</v>
      </c>
      <c r="F354" s="63" t="n">
        <f aca="false">IF(E354="","",D354-E354)</f>
        <v>-1</v>
      </c>
      <c r="G354" s="52" t="n">
        <v>421</v>
      </c>
      <c r="H354" s="52" t="n">
        <v>430</v>
      </c>
      <c r="I354" s="63" t="n">
        <f aca="false">IF(H354="","",G354-H354)</f>
        <v>-9</v>
      </c>
      <c r="J354" s="53" t="n">
        <f aca="false">IF(OR(D354="",D354+G354=0),"",D354/(D354+G354))</f>
        <v>0.298333333333333</v>
      </c>
      <c r="K354" s="53" t="n">
        <f aca="false">IF(E354="","",E354/(E354+H354))</f>
        <v>0.295081967213115</v>
      </c>
      <c r="L354" s="64" t="n">
        <f aca="false">IF(OR(K354="",J354=""),"",(J354-K354)*100)</f>
        <v>0.325136612021859</v>
      </c>
      <c r="M354" s="28" t="n">
        <v>3.59869162464536</v>
      </c>
      <c r="N354" s="28" t="n">
        <v>0.395142145636406</v>
      </c>
      <c r="O354" s="28" t="n">
        <f aca="false">SQRT(M354^2+N354^2)</f>
        <v>3.62032025165603</v>
      </c>
      <c r="P354" s="53" t="n">
        <f aca="false">IF(J354="","",MAX(0,J354-1.96*O354/100))</f>
        <v>0.227375056400875</v>
      </c>
      <c r="Q354" s="53" t="n">
        <f aca="false">IF(J354="","",MIN(1,J354+1.96*O354/100))</f>
        <v>0.369291610265792</v>
      </c>
      <c r="R354" s="25" t="str">
        <f aca="false">IF(L354="","",IF(ABS(L354)&lt;=O354,"Yes","No"))</f>
        <v>Yes</v>
      </c>
      <c r="S354" s="25" t="str">
        <f aca="false">IF(L354="","",IF(ABS(L354)&lt;=1.96*O354,"Yes","No"))</f>
        <v>Yes</v>
      </c>
      <c r="T354" s="52" t="n">
        <f aca="false">IF(D354="","",ROUND(SQRT(((D354+G354)*O354/100)^2+(J354*(D354+G354)*0.1901)^2),0))</f>
        <v>40</v>
      </c>
      <c r="U354" s="25"/>
    </row>
    <row r="355" customFormat="false" ht="15" hidden="false" customHeight="false" outlineLevel="0" collapsed="false">
      <c r="A355" s="25" t="s">
        <v>385</v>
      </c>
      <c r="B355" s="25" t="s">
        <v>544</v>
      </c>
      <c r="C355" s="25" t="s">
        <v>549</v>
      </c>
      <c r="D355" s="52" t="n">
        <v>307</v>
      </c>
      <c r="E355" s="52" t="n">
        <v>345</v>
      </c>
      <c r="F355" s="63" t="n">
        <f aca="false">IF(E355="","",D355-E355)</f>
        <v>-38</v>
      </c>
      <c r="G355" s="52" t="n">
        <v>581</v>
      </c>
      <c r="H355" s="52" t="n">
        <v>573</v>
      </c>
      <c r="I355" s="63" t="n">
        <f aca="false">IF(H355="","",G355-H355)</f>
        <v>8</v>
      </c>
      <c r="J355" s="53" t="n">
        <f aca="false">IF(OR(D355="",D355+G355=0),"",D355/(D355+G355))</f>
        <v>0.345720720720721</v>
      </c>
      <c r="K355" s="53" t="n">
        <f aca="false">IF(E355="","",E355/(E355+H355))</f>
        <v>0.375816993464052</v>
      </c>
      <c r="L355" s="64" t="n">
        <f aca="false">IF(OR(K355="",J355=""),"",(J355-K355)*100)</f>
        <v>-3.00962727433315</v>
      </c>
      <c r="M355" s="28" t="n">
        <v>2.40127504711013</v>
      </c>
      <c r="N355" s="28" t="n">
        <v>0.395142145636406</v>
      </c>
      <c r="O355" s="28" t="n">
        <f aca="false">SQRT(M355^2+N355^2)</f>
        <v>2.43356922382165</v>
      </c>
      <c r="P355" s="53" t="n">
        <f aca="false">IF(J355="","",MAX(0,J355-1.96*O355/100))</f>
        <v>0.298022763933817</v>
      </c>
      <c r="Q355" s="53" t="n">
        <f aca="false">IF(J355="","",MIN(1,J355+1.96*O355/100))</f>
        <v>0.393418677507625</v>
      </c>
      <c r="R355" s="25" t="str">
        <f aca="false">IF(L355="","",IF(ABS(L355)&lt;=O355,"Yes","No"))</f>
        <v>No</v>
      </c>
      <c r="S355" s="25" t="str">
        <f aca="false">IF(L355="","",IF(ABS(L355)&lt;=1.96*O355,"Yes","No"))</f>
        <v>Yes</v>
      </c>
      <c r="T355" s="52" t="n">
        <f aca="false">IF(D355="","",ROUND(SQRT(((D355+G355)*O355/100)^2+(J355*(D355+G355)*0.10931)^2),0))</f>
        <v>40</v>
      </c>
      <c r="U355" s="25"/>
    </row>
    <row r="356" customFormat="false" ht="15" hidden="false" customHeight="false" outlineLevel="0" collapsed="false">
      <c r="A356" s="25" t="s">
        <v>385</v>
      </c>
      <c r="B356" s="25" t="s">
        <v>550</v>
      </c>
      <c r="C356" s="25" t="s">
        <v>551</v>
      </c>
      <c r="D356" s="52" t="n">
        <v>1093</v>
      </c>
      <c r="E356" s="52" t="n">
        <v>1084</v>
      </c>
      <c r="F356" s="63" t="n">
        <f aca="false">IF(E356="","",D356-E356)</f>
        <v>9</v>
      </c>
      <c r="G356" s="52" t="n">
        <v>1142</v>
      </c>
      <c r="H356" s="52" t="n">
        <v>1187</v>
      </c>
      <c r="I356" s="63" t="n">
        <f aca="false">IF(H356="","",G356-H356)</f>
        <v>-45</v>
      </c>
      <c r="J356" s="53" t="n">
        <f aca="false">IF(OR(D356="",D356+G356=0),"",D356/(D356+G356))</f>
        <v>0.489038031319911</v>
      </c>
      <c r="K356" s="53" t="n">
        <f aca="false">IF(E356="","",E356/(E356+H356))</f>
        <v>0.477322765301629</v>
      </c>
      <c r="L356" s="64" t="n">
        <f aca="false">IF(OR(K356="",J356=""),"",(J356-K356)*100)</f>
        <v>1.17152660182813</v>
      </c>
      <c r="M356" s="28" t="n">
        <v>2.1665403898083</v>
      </c>
      <c r="N356" s="28" t="n">
        <v>0.395142145636406</v>
      </c>
      <c r="O356" s="28" t="n">
        <f aca="false">SQRT(M356^2+N356^2)</f>
        <v>2.2022794046008</v>
      </c>
      <c r="P356" s="53" t="n">
        <f aca="false">IF(J356="","",MAX(0,J356-1.96*O356/100))</f>
        <v>0.445873354989735</v>
      </c>
      <c r="Q356" s="53" t="n">
        <f aca="false">IF(J356="","",MIN(1,J356+1.96*O356/100))</f>
        <v>0.532202707650086</v>
      </c>
      <c r="R356" s="25" t="str">
        <f aca="false">IF(L356="","",IF(ABS(L356)&lt;=O356,"Yes","No"))</f>
        <v>Yes</v>
      </c>
      <c r="S356" s="25" t="str">
        <f aca="false">IF(L356="","",IF(ABS(L356)&lt;=1.96*O356,"Yes","No"))</f>
        <v>Yes</v>
      </c>
      <c r="T356" s="52" t="n">
        <f aca="false">IF(D356="","",ROUND(SQRT(((D356+G356)*O356/100)^2+(J356*(D356+G356)*0.08889)^2),0))</f>
        <v>109</v>
      </c>
      <c r="U356" s="25"/>
    </row>
    <row r="357" customFormat="false" ht="15" hidden="false" customHeight="false" outlineLevel="0" collapsed="false">
      <c r="A357" s="25" t="s">
        <v>385</v>
      </c>
      <c r="B357" s="25" t="s">
        <v>550</v>
      </c>
      <c r="C357" s="25" t="s">
        <v>552</v>
      </c>
      <c r="D357" s="52" t="n">
        <v>352</v>
      </c>
      <c r="E357" s="52"/>
      <c r="F357" s="63" t="str">
        <f aca="false">IF(E357="","",D357-E357)</f>
        <v/>
      </c>
      <c r="G357" s="52" t="n">
        <v>381</v>
      </c>
      <c r="H357" s="52"/>
      <c r="I357" s="63" t="str">
        <f aca="false">IF(H357="","",G357-H357)</f>
        <v/>
      </c>
      <c r="J357" s="53" t="n">
        <f aca="false">IF(OR(D357="",D357+G357=0),"",D357/(D357+G357))</f>
        <v>0.480218281036835</v>
      </c>
      <c r="K357" s="53" t="str">
        <f aca="false">IF(E357="","",E357/(E357+H357))</f>
        <v/>
      </c>
      <c r="L357" s="64" t="str">
        <f aca="false">IF(OR(K357="",J357=""),"",(J357-K357)*100)</f>
        <v/>
      </c>
      <c r="M357" s="28" t="n">
        <v>3.59869162464536</v>
      </c>
      <c r="N357" s="28" t="n">
        <v>0.395142145636406</v>
      </c>
      <c r="O357" s="28" t="n">
        <f aca="false">SQRT(M357^2+N357^2)</f>
        <v>3.62032025165603</v>
      </c>
      <c r="P357" s="53" t="n">
        <f aca="false">IF(J357="","",MAX(0,J357-1.96*O357/100))</f>
        <v>0.409260004104377</v>
      </c>
      <c r="Q357" s="53" t="n">
        <f aca="false">IF(J357="","",MIN(1,J357+1.96*O357/100))</f>
        <v>0.551176557969293</v>
      </c>
      <c r="R357" s="25" t="str">
        <f aca="false">IF(L357="","",IF(ABS(L357)&lt;=O357,"Yes","No"))</f>
        <v/>
      </c>
      <c r="S357" s="25" t="str">
        <f aca="false">IF(L357="","",IF(ABS(L357)&lt;=1.96*O357,"Yes","No"))</f>
        <v/>
      </c>
      <c r="T357" s="52" t="n">
        <f aca="false">IF(D357="","",ROUND(SQRT(((D357+G357)*O357/100)^2+(J357*(D357+G357)*0.1901)^2),0))</f>
        <v>72</v>
      </c>
      <c r="U357" s="25" t="s">
        <v>702</v>
      </c>
    </row>
    <row r="358" customFormat="false" ht="15" hidden="false" customHeight="false" outlineLevel="0" collapsed="false">
      <c r="A358" s="25" t="s">
        <v>385</v>
      </c>
      <c r="B358" s="25" t="s">
        <v>550</v>
      </c>
      <c r="C358" s="25" t="s">
        <v>553</v>
      </c>
      <c r="D358" s="52" t="n">
        <v>864</v>
      </c>
      <c r="E358" s="52" t="n">
        <v>880</v>
      </c>
      <c r="F358" s="63" t="n">
        <f aca="false">IF(E358="","",D358-E358)</f>
        <v>-16</v>
      </c>
      <c r="G358" s="52" t="n">
        <v>970</v>
      </c>
      <c r="H358" s="52" t="n">
        <v>960</v>
      </c>
      <c r="I358" s="63" t="n">
        <f aca="false">IF(H358="","",G358-H358)</f>
        <v>10</v>
      </c>
      <c r="J358" s="53" t="n">
        <f aca="false">IF(OR(D358="",D358+G358=0),"",D358/(D358+G358))</f>
        <v>0.471101417666303</v>
      </c>
      <c r="K358" s="53" t="n">
        <f aca="false">IF(E358="","",E358/(E358+H358))</f>
        <v>0.478260869565217</v>
      </c>
      <c r="L358" s="64" t="n">
        <f aca="false">IF(OR(K358="",J358=""),"",(J358-K358)*100)</f>
        <v>-0.715945189891426</v>
      </c>
      <c r="M358" s="28" t="n">
        <v>2.1665403898083</v>
      </c>
      <c r="N358" s="28" t="n">
        <v>0.395142145636406</v>
      </c>
      <c r="O358" s="28" t="n">
        <f aca="false">SQRT(M358^2+N358^2)</f>
        <v>2.2022794046008</v>
      </c>
      <c r="P358" s="53" t="n">
        <f aca="false">IF(J358="","",MAX(0,J358-1.96*O358/100))</f>
        <v>0.427936741336127</v>
      </c>
      <c r="Q358" s="53" t="n">
        <f aca="false">IF(J358="","",MIN(1,J358+1.96*O358/100))</f>
        <v>0.514266093996479</v>
      </c>
      <c r="R358" s="25" t="str">
        <f aca="false">IF(L358="","",IF(ABS(L358)&lt;=O358,"Yes","No"))</f>
        <v>Yes</v>
      </c>
      <c r="S358" s="25" t="str">
        <f aca="false">IF(L358="","",IF(ABS(L358)&lt;=1.96*O358,"Yes","No"))</f>
        <v>Yes</v>
      </c>
      <c r="T358" s="52" t="n">
        <f aca="false">IF(D358="","",ROUND(SQRT(((D358+G358)*O358/100)^2+(J358*(D358+G358)*0.08889)^2),0))</f>
        <v>87</v>
      </c>
      <c r="U358" s="25"/>
    </row>
    <row r="359" customFormat="false" ht="15" hidden="false" customHeight="false" outlineLevel="0" collapsed="false">
      <c r="A359" s="25" t="s">
        <v>385</v>
      </c>
      <c r="B359" s="25" t="s">
        <v>550</v>
      </c>
      <c r="C359" s="25" t="s">
        <v>554</v>
      </c>
      <c r="D359" s="52" t="n">
        <v>263</v>
      </c>
      <c r="E359" s="52"/>
      <c r="F359" s="63" t="str">
        <f aca="false">IF(E359="","",D359-E359)</f>
        <v/>
      </c>
      <c r="G359" s="52" t="n">
        <v>290</v>
      </c>
      <c r="H359" s="52"/>
      <c r="I359" s="63" t="str">
        <f aca="false">IF(H359="","",G359-H359)</f>
        <v/>
      </c>
      <c r="J359" s="53" t="n">
        <f aca="false">IF(OR(D359="",D359+G359=0),"",D359/(D359+G359))</f>
        <v>0.475587703435805</v>
      </c>
      <c r="K359" s="53" t="str">
        <f aca="false">IF(E359="","",E359/(E359+H359))</f>
        <v/>
      </c>
      <c r="L359" s="64" t="str">
        <f aca="false">IF(OR(K359="",J359=""),"",(J359-K359)*100)</f>
        <v/>
      </c>
      <c r="M359" s="28" t="n">
        <v>3.59869162464536</v>
      </c>
      <c r="N359" s="28" t="n">
        <v>0.395142145636406</v>
      </c>
      <c r="O359" s="28" t="n">
        <f aca="false">SQRT(M359^2+N359^2)</f>
        <v>3.62032025165603</v>
      </c>
      <c r="P359" s="53" t="n">
        <f aca="false">IF(J359="","",MAX(0,J359-1.96*O359/100))</f>
        <v>0.404629426503347</v>
      </c>
      <c r="Q359" s="53" t="n">
        <f aca="false">IF(J359="","",MIN(1,J359+1.96*O359/100))</f>
        <v>0.546545980368263</v>
      </c>
      <c r="R359" s="25" t="str">
        <f aca="false">IF(L359="","",IF(ABS(L359)&lt;=O359,"Yes","No"))</f>
        <v/>
      </c>
      <c r="S359" s="25" t="str">
        <f aca="false">IF(L359="","",IF(ABS(L359)&lt;=1.96*O359,"Yes","No"))</f>
        <v/>
      </c>
      <c r="T359" s="52" t="n">
        <f aca="false">IF(D359="","",ROUND(SQRT(((D359+G359)*O359/100)^2+(J359*(D359+G359)*0.1901)^2),0))</f>
        <v>54</v>
      </c>
      <c r="U359" s="25" t="s">
        <v>702</v>
      </c>
    </row>
    <row r="360" customFormat="false" ht="15" hidden="false" customHeight="false" outlineLevel="0" collapsed="false">
      <c r="A360" s="25" t="s">
        <v>385</v>
      </c>
      <c r="B360" s="25" t="s">
        <v>555</v>
      </c>
      <c r="C360" s="25" t="s">
        <v>556</v>
      </c>
      <c r="D360" s="52" t="n">
        <v>415</v>
      </c>
      <c r="E360" s="52" t="n">
        <v>416</v>
      </c>
      <c r="F360" s="63" t="n">
        <f aca="false">IF(E360="","",D360-E360)</f>
        <v>-1</v>
      </c>
      <c r="G360" s="52" t="n">
        <v>646</v>
      </c>
      <c r="H360" s="52" t="n">
        <v>658</v>
      </c>
      <c r="I360" s="63" t="n">
        <f aca="false">IF(H360="","",G360-H360)</f>
        <v>-12</v>
      </c>
      <c r="J360" s="53" t="n">
        <f aca="false">IF(OR(D360="",D360+G360=0),"",D360/(D360+G360))</f>
        <v>0.391140433553252</v>
      </c>
      <c r="K360" s="53" t="n">
        <f aca="false">IF(E360="","",E360/(E360+H360))</f>
        <v>0.387337057728119</v>
      </c>
      <c r="L360" s="64" t="n">
        <f aca="false">IF(OR(K360="",J360=""),"",(J360-K360)*100)</f>
        <v>0.380337582513252</v>
      </c>
      <c r="M360" s="28" t="n">
        <v>2.40127504711013</v>
      </c>
      <c r="N360" s="28" t="n">
        <v>0.395142145636406</v>
      </c>
      <c r="O360" s="28" t="n">
        <f aca="false">SQRT(M360^2+N360^2)</f>
        <v>2.43356922382165</v>
      </c>
      <c r="P360" s="53" t="n">
        <f aca="false">IF(J360="","",MAX(0,J360-1.96*O360/100))</f>
        <v>0.343442476766347</v>
      </c>
      <c r="Q360" s="53" t="n">
        <f aca="false">IF(J360="","",MIN(1,J360+1.96*O360/100))</f>
        <v>0.438838390340156</v>
      </c>
      <c r="R360" s="25" t="str">
        <f aca="false">IF(L360="","",IF(ABS(L360)&lt;=O360,"Yes","No"))</f>
        <v>Yes</v>
      </c>
      <c r="S360" s="25" t="str">
        <f aca="false">IF(L360="","",IF(ABS(L360)&lt;=1.96*O360,"Yes","No"))</f>
        <v>Yes</v>
      </c>
      <c r="T360" s="52" t="n">
        <f aca="false">IF(D360="","",ROUND(SQRT(((D360+G360)*O360/100)^2+(J360*(D360+G360)*0.10931)^2),0))</f>
        <v>52</v>
      </c>
      <c r="U360" s="25"/>
    </row>
    <row r="361" customFormat="false" ht="15" hidden="false" customHeight="false" outlineLevel="0" collapsed="false">
      <c r="A361" s="25" t="s">
        <v>385</v>
      </c>
      <c r="B361" s="25" t="s">
        <v>360</v>
      </c>
      <c r="C361" s="25" t="s">
        <v>557</v>
      </c>
      <c r="D361" s="52" t="n">
        <v>507</v>
      </c>
      <c r="E361" s="52" t="n">
        <v>541</v>
      </c>
      <c r="F361" s="63" t="n">
        <f aca="false">IF(E361="","",D361-E361)</f>
        <v>-34</v>
      </c>
      <c r="G361" s="52" t="n">
        <v>1119</v>
      </c>
      <c r="H361" s="52" t="n">
        <v>1106</v>
      </c>
      <c r="I361" s="63" t="n">
        <f aca="false">IF(H361="","",G361-H361)</f>
        <v>13</v>
      </c>
      <c r="J361" s="53" t="n">
        <f aca="false">IF(OR(D361="",D361+G361=0),"",D361/(D361+G361))</f>
        <v>0.311808118081181</v>
      </c>
      <c r="K361" s="53" t="n">
        <f aca="false">IF(E361="","",E361/(E361+H361))</f>
        <v>0.328476017000607</v>
      </c>
      <c r="L361" s="64" t="n">
        <f aca="false">IF(OR(K361="",J361=""),"",(J361-K361)*100)</f>
        <v>-1.66678989194264</v>
      </c>
      <c r="M361" s="28" t="n">
        <v>2.1665403898083</v>
      </c>
      <c r="N361" s="28" t="n">
        <v>0.395142145636406</v>
      </c>
      <c r="O361" s="28" t="n">
        <f aca="false">SQRT(M361^2+N361^2)</f>
        <v>2.2022794046008</v>
      </c>
      <c r="P361" s="53" t="n">
        <f aca="false">IF(J361="","",MAX(0,J361-1.96*O361/100))</f>
        <v>0.268643441751005</v>
      </c>
      <c r="Q361" s="53" t="n">
        <f aca="false">IF(J361="","",MIN(1,J361+1.96*O361/100))</f>
        <v>0.354972794411357</v>
      </c>
      <c r="R361" s="25" t="str">
        <f aca="false">IF(L361="","",IF(ABS(L361)&lt;=O361,"Yes","No"))</f>
        <v>Yes</v>
      </c>
      <c r="S361" s="25" t="str">
        <f aca="false">IF(L361="","",IF(ABS(L361)&lt;=1.96*O361,"Yes","No"))</f>
        <v>Yes</v>
      </c>
      <c r="T361" s="52" t="n">
        <f aca="false">IF(D361="","",ROUND(SQRT(((D361+G361)*O361/100)^2+(J361*(D361+G361)*0.08889)^2),0))</f>
        <v>58</v>
      </c>
      <c r="U361" s="25"/>
    </row>
    <row r="362" customFormat="false" ht="15" hidden="false" customHeight="false" outlineLevel="0" collapsed="false">
      <c r="A362" s="25" t="s">
        <v>385</v>
      </c>
      <c r="B362" s="25" t="s">
        <v>360</v>
      </c>
      <c r="C362" s="25" t="s">
        <v>558</v>
      </c>
      <c r="D362" s="52" t="n">
        <v>568</v>
      </c>
      <c r="E362" s="52" t="n">
        <v>500</v>
      </c>
      <c r="F362" s="63" t="n">
        <f aca="false">IF(E362="","",D362-E362)</f>
        <v>68</v>
      </c>
      <c r="G362" s="52" t="n">
        <v>1229</v>
      </c>
      <c r="H362" s="52" t="n">
        <v>982</v>
      </c>
      <c r="I362" s="63" t="n">
        <f aca="false">IF(H362="","",G362-H362)</f>
        <v>247</v>
      </c>
      <c r="J362" s="53" t="n">
        <f aca="false">IF(OR(D362="",D362+G362=0),"",D362/(D362+G362))</f>
        <v>0.316082359488036</v>
      </c>
      <c r="K362" s="53" t="n">
        <f aca="false">IF(E362="","",E362/(E362+H362))</f>
        <v>0.337381916329285</v>
      </c>
      <c r="L362" s="64" t="n">
        <f aca="false">IF(OR(K362="",J362=""),"",(J362-K362)*100)</f>
        <v>-2.12995568412492</v>
      </c>
      <c r="M362" s="28" t="n">
        <v>2.1665403898083</v>
      </c>
      <c r="N362" s="28" t="n">
        <v>0.395142145636406</v>
      </c>
      <c r="O362" s="28" t="n">
        <f aca="false">SQRT(M362^2+N362^2)</f>
        <v>2.2022794046008</v>
      </c>
      <c r="P362" s="53" t="n">
        <f aca="false">IF(J362="","",MAX(0,J362-1.96*O362/100))</f>
        <v>0.27291768315786</v>
      </c>
      <c r="Q362" s="53" t="n">
        <f aca="false">IF(J362="","",MIN(1,J362+1.96*O362/100))</f>
        <v>0.359247035818211</v>
      </c>
      <c r="R362" s="25" t="str">
        <f aca="false">IF(L362="","",IF(ABS(L362)&lt;=O362,"Yes","No"))</f>
        <v>Yes</v>
      </c>
      <c r="S362" s="25" t="str">
        <f aca="false">IF(L362="","",IF(ABS(L362)&lt;=1.96*O362,"Yes","No"))</f>
        <v>Yes</v>
      </c>
      <c r="T362" s="52" t="n">
        <f aca="false">IF(D362="","",ROUND(SQRT(((D362+G362)*O362/100)^2+(J362*(D362+G362)*0.08889)^2),0))</f>
        <v>64</v>
      </c>
      <c r="U362" s="25"/>
    </row>
    <row r="363" customFormat="false" ht="15" hidden="false" customHeight="false" outlineLevel="0" collapsed="false">
      <c r="A363" s="25" t="s">
        <v>385</v>
      </c>
      <c r="B363" s="25" t="s">
        <v>560</v>
      </c>
      <c r="C363" s="25" t="s">
        <v>560</v>
      </c>
      <c r="D363" s="52" t="n">
        <v>275</v>
      </c>
      <c r="E363" s="52" t="n">
        <v>281</v>
      </c>
      <c r="F363" s="63" t="n">
        <f aca="false">IF(E363="","",D363-E363)</f>
        <v>-6</v>
      </c>
      <c r="G363" s="52" t="n">
        <v>332</v>
      </c>
      <c r="H363" s="52" t="n">
        <v>310</v>
      </c>
      <c r="I363" s="63" t="n">
        <f aca="false">IF(H363="","",G363-H363)</f>
        <v>22</v>
      </c>
      <c r="J363" s="53" t="n">
        <f aca="false">IF(OR(D363="",D363+G363=0),"",D363/(D363+G363))</f>
        <v>0.453047775947282</v>
      </c>
      <c r="K363" s="53" t="n">
        <f aca="false">IF(E363="","",E363/(E363+H363))</f>
        <v>0.475465313028765</v>
      </c>
      <c r="L363" s="64" t="n">
        <f aca="false">IF(OR(K363="",J363=""),"",(J363-K363)*100)</f>
        <v>-2.24175370814831</v>
      </c>
      <c r="M363" s="28" t="n">
        <v>3.59869162464536</v>
      </c>
      <c r="N363" s="28" t="n">
        <v>0.395142145636406</v>
      </c>
      <c r="O363" s="28" t="n">
        <f aca="false">SQRT(M363^2+N363^2)</f>
        <v>3.62032025165603</v>
      </c>
      <c r="P363" s="53" t="n">
        <f aca="false">IF(J363="","",MAX(0,J363-1.96*O363/100))</f>
        <v>0.382089499014824</v>
      </c>
      <c r="Q363" s="53" t="n">
        <f aca="false">IF(J363="","",MIN(1,J363+1.96*O363/100))</f>
        <v>0.52400605287974</v>
      </c>
      <c r="R363" s="25" t="str">
        <f aca="false">IF(L363="","",IF(ABS(L363)&lt;=O363,"Yes","No"))</f>
        <v>Yes</v>
      </c>
      <c r="S363" s="25" t="str">
        <f aca="false">IF(L363="","",IF(ABS(L363)&lt;=1.96*O363,"Yes","No"))</f>
        <v>Yes</v>
      </c>
      <c r="T363" s="52" t="n">
        <f aca="false">IF(D363="","",ROUND(SQRT(((D363+G363)*O363/100)^2+(J363*(D363+G363)*0.1901)^2),0))</f>
        <v>57</v>
      </c>
      <c r="U363" s="25"/>
    </row>
    <row r="364" customFormat="false" ht="15" hidden="false" customHeight="false" outlineLevel="0" collapsed="false">
      <c r="A364" s="25" t="s">
        <v>385</v>
      </c>
      <c r="B364" s="25" t="s">
        <v>561</v>
      </c>
      <c r="C364" s="25" t="s">
        <v>562</v>
      </c>
      <c r="D364" s="52" t="n">
        <v>477</v>
      </c>
      <c r="E364" s="52" t="n">
        <v>514</v>
      </c>
      <c r="F364" s="63" t="n">
        <f aca="false">IF(E364="","",D364-E364)</f>
        <v>-37</v>
      </c>
      <c r="G364" s="52" t="n">
        <v>721</v>
      </c>
      <c r="H364" s="52" t="n">
        <v>713</v>
      </c>
      <c r="I364" s="63" t="n">
        <f aca="false">IF(H364="","",G364-H364)</f>
        <v>8</v>
      </c>
      <c r="J364" s="53" t="n">
        <f aca="false">IF(OR(D364="",D364+G364=0),"",D364/(D364+G364))</f>
        <v>0.398163606010017</v>
      </c>
      <c r="K364" s="53" t="n">
        <f aca="false">IF(E364="","",E364/(E364+H364))</f>
        <v>0.418907905460473</v>
      </c>
      <c r="L364" s="64" t="n">
        <f aca="false">IF(OR(K364="",J364=""),"",(J364-K364)*100)</f>
        <v>-2.0744299450456</v>
      </c>
      <c r="M364" s="28" t="n">
        <v>2.1665403898083</v>
      </c>
      <c r="N364" s="28" t="n">
        <v>0.395142145636406</v>
      </c>
      <c r="O364" s="28" t="n">
        <f aca="false">SQRT(M364^2+N364^2)</f>
        <v>2.2022794046008</v>
      </c>
      <c r="P364" s="53" t="n">
        <f aca="false">IF(J364="","",MAX(0,J364-1.96*O364/100))</f>
        <v>0.354998929679841</v>
      </c>
      <c r="Q364" s="53" t="n">
        <f aca="false">IF(J364="","",MIN(1,J364+1.96*O364/100))</f>
        <v>0.441328282340192</v>
      </c>
      <c r="R364" s="25" t="str">
        <f aca="false">IF(L364="","",IF(ABS(L364)&lt;=O364,"Yes","No"))</f>
        <v>Yes</v>
      </c>
      <c r="S364" s="25" t="str">
        <f aca="false">IF(L364="","",IF(ABS(L364)&lt;=1.96*O364,"Yes","No"))</f>
        <v>Yes</v>
      </c>
      <c r="T364" s="52" t="n">
        <f aca="false">IF(D364="","",ROUND(SQRT(((D364+G364)*O364/100)^2+(J364*(D364+G364)*0.08889)^2),0))</f>
        <v>50</v>
      </c>
      <c r="U364" s="25"/>
    </row>
    <row r="365" customFormat="false" ht="15" hidden="false" customHeight="false" outlineLevel="0" collapsed="false">
      <c r="A365" s="25" t="s">
        <v>385</v>
      </c>
      <c r="B365" s="25" t="s">
        <v>561</v>
      </c>
      <c r="C365" s="25" t="s">
        <v>563</v>
      </c>
      <c r="D365" s="52" t="n">
        <v>403</v>
      </c>
      <c r="E365" s="52" t="n">
        <v>425</v>
      </c>
      <c r="F365" s="63" t="n">
        <f aca="false">IF(E365="","",D365-E365)</f>
        <v>-22</v>
      </c>
      <c r="G365" s="52" t="n">
        <v>682</v>
      </c>
      <c r="H365" s="52" t="n">
        <v>656</v>
      </c>
      <c r="I365" s="63" t="n">
        <f aca="false">IF(H365="","",G365-H365)</f>
        <v>26</v>
      </c>
      <c r="J365" s="53" t="n">
        <f aca="false">IF(OR(D365="",D365+G365=0),"",D365/(D365+G365))</f>
        <v>0.371428571428571</v>
      </c>
      <c r="K365" s="53" t="n">
        <f aca="false">IF(E365="","",E365/(E365+H365))</f>
        <v>0.393154486586494</v>
      </c>
      <c r="L365" s="64" t="n">
        <f aca="false">IF(OR(K365="",J365=""),"",(J365-K365)*100)</f>
        <v>-2.17259151579226</v>
      </c>
      <c r="M365" s="28" t="n">
        <v>2.40127504711013</v>
      </c>
      <c r="N365" s="28" t="n">
        <v>0.395142145636406</v>
      </c>
      <c r="O365" s="28" t="n">
        <f aca="false">SQRT(M365^2+N365^2)</f>
        <v>2.43356922382165</v>
      </c>
      <c r="P365" s="53" t="n">
        <f aca="false">IF(J365="","",MAX(0,J365-1.96*O365/100))</f>
        <v>0.323730614641667</v>
      </c>
      <c r="Q365" s="53" t="n">
        <f aca="false">IF(J365="","",MIN(1,J365+1.96*O365/100))</f>
        <v>0.419126528215476</v>
      </c>
      <c r="R365" s="25" t="str">
        <f aca="false">IF(L365="","",IF(ABS(L365)&lt;=O365,"Yes","No"))</f>
        <v>Yes</v>
      </c>
      <c r="S365" s="25" t="str">
        <f aca="false">IF(L365="","",IF(ABS(L365)&lt;=1.96*O365,"Yes","No"))</f>
        <v>Yes</v>
      </c>
      <c r="T365" s="52" t="n">
        <f aca="false">IF(D365="","",ROUND(SQRT(((D365+G365)*O365/100)^2+(J365*(D365+G365)*0.10931)^2),0))</f>
        <v>51</v>
      </c>
      <c r="U365" s="25"/>
    </row>
    <row r="366" customFormat="false" ht="15" hidden="false" customHeight="false" outlineLevel="0" collapsed="false">
      <c r="A366" s="25" t="s">
        <v>385</v>
      </c>
      <c r="B366" s="25" t="s">
        <v>561</v>
      </c>
      <c r="C366" s="25" t="s">
        <v>564</v>
      </c>
      <c r="D366" s="52" t="n">
        <v>568</v>
      </c>
      <c r="E366" s="52" t="n">
        <v>624</v>
      </c>
      <c r="F366" s="63" t="n">
        <f aca="false">IF(E366="","",D366-E366)</f>
        <v>-56</v>
      </c>
      <c r="G366" s="52" t="n">
        <v>652</v>
      </c>
      <c r="H366" s="52" t="n">
        <v>618</v>
      </c>
      <c r="I366" s="63" t="n">
        <f aca="false">IF(H366="","",G366-H366)</f>
        <v>34</v>
      </c>
      <c r="J366" s="53" t="n">
        <f aca="false">IF(OR(D366="",D366+G366=0),"",D366/(D366+G366))</f>
        <v>0.465573770491803</v>
      </c>
      <c r="K366" s="53" t="n">
        <f aca="false">IF(E366="","",E366/(E366+H366))</f>
        <v>0.502415458937198</v>
      </c>
      <c r="L366" s="64" t="n">
        <f aca="false">IF(OR(K366="",J366=""),"",(J366-K366)*100)</f>
        <v>-3.68416884453948</v>
      </c>
      <c r="M366" s="28" t="n">
        <v>2.1665403898083</v>
      </c>
      <c r="N366" s="28" t="n">
        <v>0.395142145636406</v>
      </c>
      <c r="O366" s="28" t="n">
        <f aca="false">SQRT(M366^2+N366^2)</f>
        <v>2.2022794046008</v>
      </c>
      <c r="P366" s="53" t="n">
        <f aca="false">IF(J366="","",MAX(0,J366-1.96*O366/100))</f>
        <v>0.422409094161628</v>
      </c>
      <c r="Q366" s="53" t="n">
        <f aca="false">IF(J366="","",MIN(1,J366+1.96*O366/100))</f>
        <v>0.508738446821979</v>
      </c>
      <c r="R366" s="25" t="str">
        <f aca="false">IF(L366="","",IF(ABS(L366)&lt;=O366,"Yes","No"))</f>
        <v>No</v>
      </c>
      <c r="S366" s="25" t="str">
        <f aca="false">IF(L366="","",IF(ABS(L366)&lt;=1.96*O366,"Yes","No"))</f>
        <v>Yes</v>
      </c>
      <c r="T366" s="52" t="n">
        <f aca="false">IF(D366="","",ROUND(SQRT(((D366+G366)*O366/100)^2+(J366*(D366+G366)*0.08889)^2),0))</f>
        <v>57</v>
      </c>
      <c r="U366" s="25"/>
    </row>
    <row r="367" customFormat="false" ht="15" hidden="false" customHeight="false" outlineLevel="0" collapsed="false">
      <c r="A367" s="25" t="s">
        <v>385</v>
      </c>
      <c r="B367" s="25" t="s">
        <v>561</v>
      </c>
      <c r="C367" s="25" t="s">
        <v>565</v>
      </c>
      <c r="D367" s="52" t="n">
        <v>287</v>
      </c>
      <c r="E367" s="52" t="n">
        <v>284</v>
      </c>
      <c r="F367" s="63" t="n">
        <f aca="false">IF(E367="","",D367-E367)</f>
        <v>3</v>
      </c>
      <c r="G367" s="52" t="n">
        <v>408</v>
      </c>
      <c r="H367" s="52" t="n">
        <v>414</v>
      </c>
      <c r="I367" s="63" t="n">
        <f aca="false">IF(H367="","",G367-H367)</f>
        <v>-6</v>
      </c>
      <c r="J367" s="53" t="n">
        <f aca="false">IF(OR(D367="",D367+G367=0),"",D367/(D367+G367))</f>
        <v>0.41294964028777</v>
      </c>
      <c r="K367" s="53" t="n">
        <f aca="false">IF(E367="","",E367/(E367+H367))</f>
        <v>0.406876790830946</v>
      </c>
      <c r="L367" s="64" t="n">
        <f aca="false">IF(OR(K367="",J367=""),"",(J367-K367)*100)</f>
        <v>0.607284945682418</v>
      </c>
      <c r="M367" s="28" t="n">
        <v>3.59869162464536</v>
      </c>
      <c r="N367" s="28" t="n">
        <v>0.395142145636406</v>
      </c>
      <c r="O367" s="28" t="n">
        <f aca="false">SQRT(M367^2+N367^2)</f>
        <v>3.62032025165603</v>
      </c>
      <c r="P367" s="53" t="n">
        <f aca="false">IF(J367="","",MAX(0,J367-1.96*O367/100))</f>
        <v>0.341991363355312</v>
      </c>
      <c r="Q367" s="53" t="n">
        <f aca="false">IF(J367="","",MIN(1,J367+1.96*O367/100))</f>
        <v>0.483907917220228</v>
      </c>
      <c r="R367" s="25" t="str">
        <f aca="false">IF(L367="","",IF(ABS(L367)&lt;=O367,"Yes","No"))</f>
        <v>Yes</v>
      </c>
      <c r="S367" s="25" t="str">
        <f aca="false">IF(L367="","",IF(ABS(L367)&lt;=1.96*O367,"Yes","No"))</f>
        <v>Yes</v>
      </c>
      <c r="T367" s="52" t="n">
        <f aca="false">IF(D367="","",ROUND(SQRT(((D367+G367)*O367/100)^2+(J367*(D367+G367)*0.1901)^2),0))</f>
        <v>60</v>
      </c>
      <c r="U367" s="25"/>
    </row>
    <row r="368" customFormat="false" ht="15" hidden="false" customHeight="false" outlineLevel="0" collapsed="false">
      <c r="A368" s="25" t="s">
        <v>385</v>
      </c>
      <c r="B368" s="25" t="s">
        <v>566</v>
      </c>
      <c r="C368" s="25" t="s">
        <v>567</v>
      </c>
      <c r="D368" s="52" t="n">
        <v>643</v>
      </c>
      <c r="E368" s="52" t="n">
        <v>648</v>
      </c>
      <c r="F368" s="63" t="n">
        <f aca="false">IF(E368="","",D368-E368)</f>
        <v>-5</v>
      </c>
      <c r="G368" s="52" t="n">
        <v>439</v>
      </c>
      <c r="H368" s="52" t="n">
        <v>462</v>
      </c>
      <c r="I368" s="63" t="n">
        <f aca="false">IF(H368="","",G368-H368)</f>
        <v>-23</v>
      </c>
      <c r="J368" s="53" t="n">
        <f aca="false">IF(OR(D368="",D368+G368=0),"",D368/(D368+G368))</f>
        <v>0.594269870609982</v>
      </c>
      <c r="K368" s="53" t="n">
        <f aca="false">IF(E368="","",E368/(E368+H368))</f>
        <v>0.583783783783784</v>
      </c>
      <c r="L368" s="64" t="n">
        <f aca="false">IF(OR(K368="",J368=""),"",(J368-K368)*100)</f>
        <v>1.04860868261977</v>
      </c>
      <c r="M368" s="28" t="n">
        <v>2.40127504711013</v>
      </c>
      <c r="N368" s="28" t="n">
        <v>0.395142145636406</v>
      </c>
      <c r="O368" s="28" t="n">
        <f aca="false">SQRT(M368^2+N368^2)</f>
        <v>2.43356922382165</v>
      </c>
      <c r="P368" s="53" t="n">
        <f aca="false">IF(J368="","",MAX(0,J368-1.96*O368/100))</f>
        <v>0.546571913823077</v>
      </c>
      <c r="Q368" s="53" t="n">
        <f aca="false">IF(J368="","",MIN(1,J368+1.96*O368/100))</f>
        <v>0.641967827396886</v>
      </c>
      <c r="R368" s="25" t="str">
        <f aca="false">IF(L368="","",IF(ABS(L368)&lt;=O368,"Yes","No"))</f>
        <v>Yes</v>
      </c>
      <c r="S368" s="25" t="str">
        <f aca="false">IF(L368="","",IF(ABS(L368)&lt;=1.96*O368,"Yes","No"))</f>
        <v>Yes</v>
      </c>
      <c r="T368" s="52" t="n">
        <f aca="false">IF(D368="","",ROUND(SQRT(((D368+G368)*O368/100)^2+(J368*(D368+G368)*0.10931)^2),0))</f>
        <v>75</v>
      </c>
      <c r="U368" s="25"/>
    </row>
    <row r="369" customFormat="false" ht="15" hidden="false" customHeight="false" outlineLevel="0" collapsed="false">
      <c r="A369" s="25" t="s">
        <v>385</v>
      </c>
      <c r="B369" s="25" t="s">
        <v>566</v>
      </c>
      <c r="C369" s="25" t="s">
        <v>568</v>
      </c>
      <c r="D369" s="52" t="n">
        <v>496</v>
      </c>
      <c r="E369" s="52" t="n">
        <v>491</v>
      </c>
      <c r="F369" s="63" t="n">
        <f aca="false">IF(E369="","",D369-E369)</f>
        <v>5</v>
      </c>
      <c r="G369" s="52" t="n">
        <v>387</v>
      </c>
      <c r="H369" s="52" t="n">
        <v>402</v>
      </c>
      <c r="I369" s="63" t="n">
        <f aca="false">IF(H369="","",G369-H369)</f>
        <v>-15</v>
      </c>
      <c r="J369" s="53" t="n">
        <f aca="false">IF(OR(D369="",D369+G369=0),"",D369/(D369+G369))</f>
        <v>0.561721404303511</v>
      </c>
      <c r="K369" s="53" t="n">
        <f aca="false">IF(E369="","",E369/(E369+H369))</f>
        <v>0.5498320268757</v>
      </c>
      <c r="L369" s="64" t="n">
        <f aca="false">IF(OR(K369="",J369=""),"",(J369-K369)*100)</f>
        <v>1.18893774278109</v>
      </c>
      <c r="M369" s="28" t="n">
        <v>2.40127504711013</v>
      </c>
      <c r="N369" s="28" t="n">
        <v>0.395142145636406</v>
      </c>
      <c r="O369" s="28" t="n">
        <f aca="false">SQRT(M369^2+N369^2)</f>
        <v>2.43356922382165</v>
      </c>
      <c r="P369" s="53" t="n">
        <f aca="false">IF(J369="","",MAX(0,J369-1.96*O369/100))</f>
        <v>0.514023447516607</v>
      </c>
      <c r="Q369" s="53" t="n">
        <f aca="false">IF(J369="","",MIN(1,J369+1.96*O369/100))</f>
        <v>0.609419361090415</v>
      </c>
      <c r="R369" s="25" t="str">
        <f aca="false">IF(L369="","",IF(ABS(L369)&lt;=O369,"Yes","No"))</f>
        <v>Yes</v>
      </c>
      <c r="S369" s="25" t="str">
        <f aca="false">IF(L369="","",IF(ABS(L369)&lt;=1.96*O369,"Yes","No"))</f>
        <v>Yes</v>
      </c>
      <c r="T369" s="52" t="n">
        <f aca="false">IF(D369="","",ROUND(SQRT(((D369+G369)*O369/100)^2+(J369*(D369+G369)*0.10931)^2),0))</f>
        <v>58</v>
      </c>
      <c r="U369" s="25"/>
    </row>
    <row r="370" customFormat="false" ht="15" hidden="false" customHeight="false" outlineLevel="0" collapsed="false">
      <c r="A370" s="25" t="s">
        <v>385</v>
      </c>
      <c r="B370" s="25" t="s">
        <v>566</v>
      </c>
      <c r="C370" s="25" t="s">
        <v>569</v>
      </c>
      <c r="D370" s="52" t="n">
        <v>789</v>
      </c>
      <c r="E370" s="52" t="n">
        <v>758</v>
      </c>
      <c r="F370" s="63" t="n">
        <f aca="false">IF(E370="","",D370-E370)</f>
        <v>31</v>
      </c>
      <c r="G370" s="52" t="n">
        <v>651</v>
      </c>
      <c r="H370" s="52" t="n">
        <v>674</v>
      </c>
      <c r="I370" s="63" t="n">
        <f aca="false">IF(H370="","",G370-H370)</f>
        <v>-23</v>
      </c>
      <c r="J370" s="53" t="n">
        <f aca="false">IF(OR(D370="",D370+G370=0),"",D370/(D370+G370))</f>
        <v>0.547916666666667</v>
      </c>
      <c r="K370" s="53" t="n">
        <f aca="false">IF(E370="","",E370/(E370+H370))</f>
        <v>0.529329608938548</v>
      </c>
      <c r="L370" s="64" t="n">
        <f aca="false">IF(OR(K370="",J370=""),"",(J370-K370)*100)</f>
        <v>1.85870577281192</v>
      </c>
      <c r="M370" s="28" t="n">
        <v>2.1665403898083</v>
      </c>
      <c r="N370" s="28" t="n">
        <v>0.395142145636406</v>
      </c>
      <c r="O370" s="28" t="n">
        <f aca="false">SQRT(M370^2+N370^2)</f>
        <v>2.2022794046008</v>
      </c>
      <c r="P370" s="53" t="n">
        <f aca="false">IF(J370="","",MAX(0,J370-1.96*O370/100))</f>
        <v>0.504751990336491</v>
      </c>
      <c r="Q370" s="53" t="n">
        <f aca="false">IF(J370="","",MIN(1,J370+1.96*O370/100))</f>
        <v>0.591081342996843</v>
      </c>
      <c r="R370" s="25" t="str">
        <f aca="false">IF(L370="","",IF(ABS(L370)&lt;=O370,"Yes","No"))</f>
        <v>Yes</v>
      </c>
      <c r="S370" s="25" t="str">
        <f aca="false">IF(L370="","",IF(ABS(L370)&lt;=1.96*O370,"Yes","No"))</f>
        <v>Yes</v>
      </c>
      <c r="T370" s="52" t="n">
        <f aca="false">IF(D370="","",ROUND(SQRT(((D370+G370)*O370/100)^2+(J370*(D370+G370)*0.08889)^2),0))</f>
        <v>77</v>
      </c>
      <c r="U370" s="25"/>
    </row>
    <row r="371" customFormat="false" ht="15" hidden="false" customHeight="false" outlineLevel="0" collapsed="false">
      <c r="A371" s="25" t="s">
        <v>385</v>
      </c>
      <c r="B371" s="25" t="s">
        <v>570</v>
      </c>
      <c r="C371" s="25" t="s">
        <v>570</v>
      </c>
      <c r="D371" s="52" t="n">
        <v>638</v>
      </c>
      <c r="E371" s="52" t="n">
        <v>634</v>
      </c>
      <c r="F371" s="63" t="n">
        <f aca="false">IF(E371="","",D371-E371)</f>
        <v>4</v>
      </c>
      <c r="G371" s="52" t="n">
        <v>888</v>
      </c>
      <c r="H371" s="52" t="n">
        <v>856</v>
      </c>
      <c r="I371" s="63" t="n">
        <f aca="false">IF(H371="","",G371-H371)</f>
        <v>32</v>
      </c>
      <c r="J371" s="53" t="n">
        <f aca="false">IF(OR(D371="",D371+G371=0),"",D371/(D371+G371))</f>
        <v>0.418086500655308</v>
      </c>
      <c r="K371" s="53" t="n">
        <f aca="false">IF(E371="","",E371/(E371+H371))</f>
        <v>0.425503355704698</v>
      </c>
      <c r="L371" s="64" t="n">
        <f aca="false">IF(OR(K371="",J371=""),"",(J371-K371)*100)</f>
        <v>-0.741685504938999</v>
      </c>
      <c r="M371" s="28" t="n">
        <v>2.1665403898083</v>
      </c>
      <c r="N371" s="28" t="n">
        <v>0.395142145636406</v>
      </c>
      <c r="O371" s="28" t="n">
        <f aca="false">SQRT(M371^2+N371^2)</f>
        <v>2.2022794046008</v>
      </c>
      <c r="P371" s="53" t="n">
        <f aca="false">IF(J371="","",MAX(0,J371-1.96*O371/100))</f>
        <v>0.374921824325132</v>
      </c>
      <c r="Q371" s="53" t="n">
        <f aca="false">IF(J371="","",MIN(1,J371+1.96*O371/100))</f>
        <v>0.461251176985484</v>
      </c>
      <c r="R371" s="25" t="str">
        <f aca="false">IF(L371="","",IF(ABS(L371)&lt;=O371,"Yes","No"))</f>
        <v>Yes</v>
      </c>
      <c r="S371" s="25" t="str">
        <f aca="false">IF(L371="","",IF(ABS(L371)&lt;=1.96*O371,"Yes","No"))</f>
        <v>Yes</v>
      </c>
      <c r="T371" s="52" t="n">
        <f aca="false">IF(D371="","",ROUND(SQRT(((D371+G371)*O371/100)^2+(J371*(D371+G371)*0.08889)^2),0))</f>
        <v>66</v>
      </c>
      <c r="U371" s="25"/>
    </row>
    <row r="373" customFormat="false" ht="15" hidden="false" customHeight="false" outlineLevel="0" collapsed="false">
      <c r="A373" s="20" t="s">
        <v>703</v>
      </c>
      <c r="B373" s="65"/>
      <c r="C373" s="65"/>
      <c r="D373" s="66" t="n">
        <f aca="false">SUMIF(E2:E371,"&lt;&gt;",D2:D371)</f>
        <v>181829</v>
      </c>
      <c r="E373" s="66" t="n">
        <f aca="false">SUM(E2:E371)</f>
        <v>183378</v>
      </c>
      <c r="F373" s="67" t="n">
        <f aca="false">D373-E373</f>
        <v>-1549</v>
      </c>
      <c r="G373" s="66" t="n">
        <f aca="false">SUMIF(H2:H371,"&lt;&gt;",G2:G371)</f>
        <v>188757</v>
      </c>
      <c r="H373" s="66" t="n">
        <f aca="false">SUM(H2:H371)</f>
        <v>189309</v>
      </c>
      <c r="I373" s="67" t="n">
        <f aca="false">G373-H373</f>
        <v>-552</v>
      </c>
      <c r="J373" s="68" t="n">
        <f aca="false">D373/(D373+G373)</f>
        <v>0.490652642031809</v>
      </c>
      <c r="K373" s="68" t="n">
        <f aca="false">E373/(E373+H373)</f>
        <v>0.492042920735094</v>
      </c>
      <c r="L373" s="69" t="n">
        <f aca="false">(J373-K373)*100</f>
        <v>-0.139027870328495</v>
      </c>
      <c r="M373" s="70" t="n">
        <v>0</v>
      </c>
      <c r="N373" s="70" t="n">
        <v>0.395142145636406</v>
      </c>
      <c r="O373" s="70" t="n">
        <f aca="false">SQRT(M373^2+N373^2)</f>
        <v>0.395142145636406</v>
      </c>
      <c r="P373" s="68" t="n">
        <f aca="false">J373-1.96*O373/100</f>
        <v>0.482907855977336</v>
      </c>
      <c r="Q373" s="68" t="n">
        <f aca="false">J373+1.96*O373/100</f>
        <v>0.498397428086283</v>
      </c>
      <c r="R373" s="65" t="str">
        <f aca="false">IF(ABS(L373)&lt;=O373,"Yes","No")</f>
        <v>Yes</v>
      </c>
      <c r="S373" s="65" t="str">
        <f aca="false">IF(ABS(L373)&lt;=1.96*O373,"Yes","No")</f>
        <v>Yes</v>
      </c>
      <c r="T373" s="66" t="n">
        <f aca="false">ROUND(SQRT(((D373+G373)*O373/100)^2+(J373*(D373+G373)*0.06248)^2),0)</f>
        <v>11455</v>
      </c>
    </row>
    <row r="374" customFormat="false" ht="15" hidden="false" customHeight="false" outlineLevel="0" collapsed="false">
      <c r="A374" s="20" t="s">
        <v>704</v>
      </c>
      <c r="B374" s="65"/>
      <c r="C374" s="65"/>
      <c r="D374" s="66" t="n">
        <f aca="false">SUM(D2:D371)</f>
        <v>196591</v>
      </c>
      <c r="E374" s="66"/>
      <c r="F374" s="67"/>
      <c r="G374" s="66" t="n">
        <f aca="false">SUM(G2:G371)</f>
        <v>203138</v>
      </c>
      <c r="H374" s="66"/>
      <c r="I374" s="67"/>
      <c r="J374" s="68" t="n">
        <f aca="false">D374/(D374+G374)</f>
        <v>0.491810701750436</v>
      </c>
      <c r="K374" s="68"/>
      <c r="L374" s="69"/>
      <c r="M374" s="70"/>
      <c r="N374" s="70"/>
      <c r="O374" s="70"/>
      <c r="P374" s="68"/>
      <c r="Q374" s="68"/>
      <c r="R374" s="65"/>
      <c r="S374" s="65"/>
      <c r="T374" s="66"/>
    </row>
    <row r="376" customFormat="false" ht="15" hidden="false" customHeight="false" outlineLevel="0" collapsed="false">
      <c r="A376" s="2" t="s">
        <v>705</v>
      </c>
      <c r="F376" s="71" t="n">
        <f aca="false">(SUMIF(F2:F371,"&gt;0")-SUMIF(F2:F371,"&lt;0"))/COUNT(F2:F371)</f>
        <v>29.0906432748538</v>
      </c>
    </row>
    <row r="377" customFormat="false" ht="15" hidden="false" customHeight="false" outlineLevel="0" collapsed="false">
      <c r="A377" s="2" t="s">
        <v>706</v>
      </c>
      <c r="F377" s="71" t="n">
        <f aca="false">(SUMIF(I2:I371,"&gt;0")-SUMIF(I2:I371,"&lt;0"))/COUNT(I2:I371)</f>
        <v>22.8538011695906</v>
      </c>
    </row>
    <row r="378" customFormat="false" ht="15" hidden="false" customHeight="false" outlineLevel="0" collapsed="false">
      <c r="A378" s="2" t="s">
        <v>707</v>
      </c>
      <c r="F378" s="72" t="n">
        <f aca="false">(SUMIF(L2:L371,"&gt;0")-SUMIF(L2:L371,"&lt;0"))/COUNT(L2:L371)</f>
        <v>1.96788984535592</v>
      </c>
    </row>
    <row r="379" customFormat="false" ht="15" hidden="false" customHeight="false" outlineLevel="0" collapsed="false">
      <c r="A379" s="5" t="s">
        <v>708</v>
      </c>
      <c r="F379" s="73" t="n">
        <f aca="false">SQRT(SUMSQ(L2:L371)/COUNT(L2:L371))</f>
        <v>2.72916100428707</v>
      </c>
    </row>
    <row r="380" customFormat="false" ht="15" hidden="false" customHeight="false" outlineLevel="0" collapsed="false">
      <c r="A380" s="5" t="s">
        <v>709</v>
      </c>
      <c r="F380" s="74" t="n">
        <f aca="false">L373</f>
        <v>-0.139027870328495</v>
      </c>
    </row>
    <row r="381" customFormat="false" ht="15" hidden="false" customHeight="false" outlineLevel="0" collapsed="false">
      <c r="A381" s="5" t="s">
        <v>710</v>
      </c>
      <c r="F381" s="73" t="n">
        <f aca="false">SQRT((SUMSQ(L2:L371)-2*L373*SUM(L2:L371)+COUNT(L2:L371)*L373^2)/COUNT(L2:L371))</f>
        <v>2.73826313470653</v>
      </c>
    </row>
    <row r="382" customFormat="false" ht="15" hidden="false" customHeight="false" outlineLevel="0" collapsed="false">
      <c r="A382" s="2" t="s">
        <v>711</v>
      </c>
      <c r="F382" s="75" t="n">
        <f aca="false">D373/E373-1</f>
        <v>-0.00844703290471049</v>
      </c>
    </row>
    <row r="383" customFormat="false" ht="15" hidden="false" customHeight="false" outlineLevel="0" collapsed="false">
      <c r="A383" s="5" t="s">
        <v>712</v>
      </c>
      <c r="F383" s="76" t="n">
        <f aca="false">G373/H373-1</f>
        <v>-0.00291586770834984</v>
      </c>
    </row>
    <row r="384" customFormat="false" ht="15" hidden="false" customHeight="false" outlineLevel="0" collapsed="false">
      <c r="A384" s="2" t="s">
        <v>713</v>
      </c>
      <c r="F384" s="75" t="n">
        <f aca="false">(D373+G373)/(E373+H373)-1</f>
        <v>-0.00563743838663544</v>
      </c>
    </row>
    <row r="385" customFormat="false" ht="15" hidden="false" customHeight="false" outlineLevel="0" collapsed="false">
      <c r="A385" s="2" t="s">
        <v>714</v>
      </c>
      <c r="F385" s="72" t="n">
        <f aca="false">AVERAGE(O2:O371)</f>
        <v>2.75119551749588</v>
      </c>
    </row>
    <row r="386" customFormat="false" ht="15" hidden="false" customHeight="false" outlineLevel="0" collapsed="false">
      <c r="A386" s="5" t="s">
        <v>715</v>
      </c>
      <c r="F386" s="77" t="n">
        <f aca="false">COUNTIF(R2:R371,"Yes")/(COUNTIF(R2:R371,"Yes")+COUNTIF(R2:R371,"No"))</f>
        <v>0.760233918128655</v>
      </c>
    </row>
    <row r="387" customFormat="false" ht="15" hidden="false" customHeight="false" outlineLevel="0" collapsed="false">
      <c r="A387" s="5" t="s">
        <v>716</v>
      </c>
      <c r="F387" s="77" t="n">
        <f aca="false">COUNTIF(S2:S371,"Yes")/(COUNTIF(S2:S371,"Yes")+COUNTIF(S2:S371,"No"))</f>
        <v>0.953216374269006</v>
      </c>
    </row>
    <row r="388" customFormat="false" ht="15" hidden="false" customHeight="false" outlineLevel="0" collapsed="false">
      <c r="A388" s="2" t="s">
        <v>717</v>
      </c>
      <c r="F388" s="78" t="n">
        <f aca="false">COUNTIFS(L2:L371,"&gt;=-3",L2:L371,"&lt;=3")/COUNT(L2:L371)</f>
        <v>0.780701754385965</v>
      </c>
    </row>
    <row r="389" customFormat="false" ht="15" hidden="false" customHeight="false" outlineLevel="0" collapsed="false">
      <c r="A389" s="2" t="s">
        <v>718</v>
      </c>
      <c r="F389" s="79" t="n">
        <f aca="false">COUNT(E2:E371)</f>
        <v>342</v>
      </c>
    </row>
    <row r="390" customFormat="false" ht="15" hidden="false" customHeight="false" outlineLevel="0" collapsed="false">
      <c r="A390" s="2" t="s">
        <v>719</v>
      </c>
      <c r="F390" s="79" t="n">
        <f aca="false">COUNTA(A2:A371)</f>
        <v>370</v>
      </c>
    </row>
    <row r="392" customFormat="false" ht="15" hidden="false" customHeight="false" outlineLevel="0" collapsed="false">
      <c r="U392" s="5" t="s">
        <v>103</v>
      </c>
    </row>
    <row r="393" customFormat="false" ht="28.35" hidden="false" customHeight="false" outlineLevel="0" collapsed="false">
      <c r="U393" s="62" t="s">
        <v>720</v>
      </c>
    </row>
    <row r="394" customFormat="false" ht="28.35" hidden="false" customHeight="false" outlineLevel="0" collapsed="false">
      <c r="U394" s="62" t="s">
        <v>721</v>
      </c>
    </row>
    <row r="395" customFormat="false" ht="55.2" hidden="false" customHeight="false" outlineLevel="0" collapsed="false">
      <c r="U395" s="62" t="s">
        <v>730</v>
      </c>
    </row>
    <row r="396" customFormat="false" ht="28.35" hidden="false" customHeight="false" outlineLevel="0" collapsed="false">
      <c r="U396" s="62" t="s">
        <v>723</v>
      </c>
    </row>
    <row r="397" customFormat="false" ht="41.75" hidden="false" customHeight="false" outlineLevel="0" collapsed="false">
      <c r="U397" s="62" t="s">
        <v>724</v>
      </c>
    </row>
    <row r="398" customFormat="false" ht="41.75" hidden="false" customHeight="false" outlineLevel="0" collapsed="false">
      <c r="U398" s="62" t="s">
        <v>725</v>
      </c>
    </row>
    <row r="399" customFormat="false" ht="28.35" hidden="false" customHeight="false" outlineLevel="0" collapsed="false">
      <c r="U399" s="62" t="s">
        <v>726</v>
      </c>
    </row>
    <row r="400" customFormat="false" ht="28.35" hidden="false" customHeight="false" outlineLevel="0" collapsed="false">
      <c r="U400" s="62" t="s">
        <v>727</v>
      </c>
    </row>
    <row r="401" customFormat="false" ht="28.35" hidden="false" customHeight="false" outlineLevel="0" collapsed="false">
      <c r="U401" s="62" t="s">
        <v>728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0" t="s">
        <v>731</v>
      </c>
    </row>
    <row r="2" customFormat="false" ht="82.05" hidden="false" customHeight="false" outlineLevel="0" collapsed="false">
      <c r="A2" s="62" t="s">
        <v>732</v>
      </c>
    </row>
    <row r="3" customFormat="false" ht="15" hidden="false" customHeight="false" outlineLevel="0" collapsed="false">
      <c r="A3" s="62"/>
    </row>
    <row r="4" customFormat="false" ht="15" hidden="false" customHeight="false" outlineLevel="0" collapsed="false">
      <c r="A4" s="80" t="s">
        <v>733</v>
      </c>
    </row>
    <row r="5" customFormat="false" ht="28.35" hidden="false" customHeight="false" outlineLevel="0" collapsed="false">
      <c r="A5" s="62" t="s">
        <v>734</v>
      </c>
    </row>
    <row r="6" customFormat="false" ht="28.35" hidden="false" customHeight="false" outlineLevel="0" collapsed="false">
      <c r="A6" s="62" t="s">
        <v>735</v>
      </c>
    </row>
    <row r="7" customFormat="false" ht="28.35" hidden="false" customHeight="false" outlineLevel="0" collapsed="false">
      <c r="A7" s="62" t="s">
        <v>736</v>
      </c>
    </row>
    <row r="8" customFormat="false" ht="41.75" hidden="false" customHeight="false" outlineLevel="0" collapsed="false">
      <c r="A8" s="62" t="s">
        <v>737</v>
      </c>
    </row>
    <row r="9" customFormat="false" ht="28.35" hidden="false" customHeight="false" outlineLevel="0" collapsed="false">
      <c r="A9" s="62" t="s">
        <v>738</v>
      </c>
    </row>
    <row r="10" customFormat="false" ht="41.75" hidden="false" customHeight="false" outlineLevel="0" collapsed="false">
      <c r="A10" s="62" t="s">
        <v>739</v>
      </c>
    </row>
    <row r="11" customFormat="false" ht="15" hidden="false" customHeight="false" outlineLevel="0" collapsed="false">
      <c r="A11" s="62"/>
    </row>
    <row r="12" customFormat="false" ht="15" hidden="false" customHeight="false" outlineLevel="0" collapsed="false">
      <c r="A12" s="80" t="s">
        <v>740</v>
      </c>
    </row>
    <row r="13" customFormat="false" ht="28.35" hidden="false" customHeight="false" outlineLevel="0" collapsed="false">
      <c r="A13" s="62" t="s">
        <v>741</v>
      </c>
    </row>
    <row r="14" customFormat="false" ht="55.2" hidden="false" customHeight="false" outlineLevel="0" collapsed="false">
      <c r="A14" s="62" t="s">
        <v>742</v>
      </c>
    </row>
    <row r="15" customFormat="false" ht="15" hidden="false" customHeight="false" outlineLevel="0" collapsed="false">
      <c r="A15" s="62"/>
    </row>
    <row r="16" customFormat="false" ht="15" hidden="false" customHeight="false" outlineLevel="0" collapsed="false">
      <c r="A16" s="80" t="s">
        <v>743</v>
      </c>
    </row>
    <row r="17" customFormat="false" ht="28.35" hidden="false" customHeight="false" outlineLevel="0" collapsed="false">
      <c r="A17" s="62" t="s">
        <v>744</v>
      </c>
    </row>
    <row r="18" customFormat="false" ht="15" hidden="false" customHeight="false" outlineLevel="0" collapsed="false">
      <c r="A18" s="62"/>
    </row>
    <row r="19" customFormat="false" ht="15" hidden="false" customHeight="false" outlineLevel="0" collapsed="false">
      <c r="A19" s="80" t="s">
        <v>745</v>
      </c>
    </row>
    <row r="20" customFormat="false" ht="28.35" hidden="false" customHeight="false" outlineLevel="0" collapsed="false">
      <c r="A20" s="62" t="s">
        <v>746</v>
      </c>
    </row>
    <row r="21" customFormat="false" ht="28.35" hidden="false" customHeight="false" outlineLevel="0" collapsed="false">
      <c r="A21" s="62" t="s">
        <v>747</v>
      </c>
    </row>
    <row r="22" customFormat="false" ht="15" hidden="false" customHeight="false" outlineLevel="0" collapsed="false">
      <c r="A22" s="62" t="s">
        <v>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2026-10-05T22:14:22Z</dcterms:created>
  <dc:creator>openpyxl</dc:creator>
  <dc:description/>
  <dc:language>en-US</dc:language>
  <cp:lastModifiedBy/>
  <dcterms:modified xsi:type="dcterms:W3CDTF">2026-10-05T22:14:24Z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