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Backtest 2024 A" sheetId="9" state="visible" r:id="rId11"/>
    <sheet name="Backtest 2024 B" sheetId="10" state="visible" r:id="rId12"/>
    <sheet name="Backtest 2024 C" sheetId="11" state="visible" r:id="rId13"/>
    <sheet name="Backtest 2022 A" sheetId="12" state="visible" r:id="rId14"/>
    <sheet name="Backtest 2022 B" sheetId="13" state="visible" r:id="rId15"/>
    <sheet name="Backtest 2022 C" sheetId="14" state="visible" r:id="rId16"/>
    <sheet name="Backtest 2020 A" sheetId="15" state="visible" r:id="rId17"/>
    <sheet name="Backtest 2020 B" sheetId="16" state="visible" r:id="rId18"/>
    <sheet name="Backtest 2020 C" sheetId="17" state="visible" r:id="rId19"/>
    <sheet name="Method &amp; Caveats" sheetId="18" state="visible" r:id="rId2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sharedStrings.xml><?xml version="1.0" encoding="utf-8"?>
<sst xmlns="http://schemas.openxmlformats.org/spreadsheetml/2006/main" count="5357" uniqueCount="455">
  <si>
    <t xml:space="preserve">PA-07 2026 House Forecast — Municipal Level: three results-only random-forest forecasts (fixed baseline)</t>
  </si>
  <si>
    <t xml:space="preserve">Candidates: Brooks | Mackenzie   |   The two yellow cells set the district-wide Brooks share and votes cast; all three forecasts update.</t>
  </si>
  <si>
    <t xml:space="preserve">A, B and C weight the same random-forest inputs differently using SHAP (see How Forecasts Are Weighted). Each is backtested on 2024, 2022 and 2020 with its own weights; those misses are the error terms.</t>
  </si>
  <si>
    <t xml:space="preserve">SCENARIO INPUTS (defaults are built from the tables below; type over them to run another scenario)</t>
  </si>
  <si>
    <t xml:space="preserve">District-wide Brooks share of the two-party vote (input)</t>
  </si>
  <si>
    <t xml:space="preserve">← default: feeder-rule baseline (row 21) — 67% 2022 + 33% 2024, adjusted for the registration shift</t>
  </si>
  <si>
    <t xml:space="preserve">Turnout multiplier (input; 1.00 = each place keeps its 2022 turnout rate)</t>
  </si>
  <si>
    <t xml:space="preserve">← votes cast = 2022 turnout rate × 2026 registered voters × this multiplier (row 27)</t>
  </si>
  <si>
    <t xml:space="preserve">HOW THE DEFAULTS ARE BUILT (today’s map applied to every year — all municipalities and precincts, as if the district had always included them)</t>
  </si>
  <si>
    <t xml:space="preserve">Election</t>
  </si>
  <si>
    <t xml:space="preserve">Democratic share</t>
  </si>
  <si>
    <t xml:space="preserve">Democratic votes</t>
  </si>
  <si>
    <t xml:space="preserve">Republican votes</t>
  </si>
  <si>
    <t xml:space="preserve">Registered (state rolls)</t>
  </si>
  <si>
    <t xml:space="preserve">Dem share of two-party registration</t>
  </si>
  <si>
    <t xml:space="preserve">2018 General</t>
  </si>
  <si>
    <t xml:space="preserve">2020 General</t>
  </si>
  <si>
    <t xml:space="preserve">2022 General</t>
  </si>
  <si>
    <t xml:space="preserve">2024 General</t>
  </si>
  <si>
    <t xml:space="preserve">2026 Primary rolls</t>
  </si>
  <si>
    <t xml:space="preserve">Source: certified precinct House returns and Department of State registration (PA07_Precinct_Data.xlsx). 2018/2020 count Carbon (then PA-09) and Polk (then PA-08) as district results and include an estimate for Ross One, so every year covers the same territory as 2026.</t>
  </si>
  <si>
    <t xml:space="preserve">Feeder-weighted Democratic share: 67% × 2022 + 33% × 2024</t>
  </si>
  <si>
    <t xml:space="preserve">Change in Dem share of two-party registration since the feeder elections (pts)</t>
  </si>
  <si>
    <t xml:space="preserve">Registration-to-vote link (k), measured on precinct changes 2018→2020, 2020→2022, 2022→2024</t>
  </si>
  <si>
    <t xml:space="preserve">Within-district slope: precincts whose registration moved 1 pt toward a party moved about this many pts in vote share (national swing removed).</t>
  </si>
  <si>
    <t xml:space="preserve">Feeder-rule baseline for 2026 = row 18 + k × row 19</t>
  </si>
  <si>
    <t xml:space="preserve">For comparison — pure feeder share with no registration adjustment (row 18)</t>
  </si>
  <si>
    <t xml:space="preserve">2022 turnout in today’s district (House votes ÷ registered voters)</t>
  </si>
  <si>
    <t xml:space="preserve">2026 registered voters (state rolls, summed over municipalities)</t>
  </si>
  <si>
    <t xml:space="preserve">District check: 2022 turnout × 2026 registered</t>
  </si>
  <si>
    <t xml:space="preserve">Rule applied municipality by municipality (each place’s own 2022 turnout × its 2026 registered) and summed</t>
  </si>
  <si>
    <t xml:space="preserve">Each place uses its own 2022 turnout rate, so the summed total differs slightly from the district-level check. Registration: Department of State rolls (2026 primary).</t>
  </si>
  <si>
    <t xml:space="preserve">Votes cast used in the forecasts (row 26 × turnout multiplier)</t>
  </si>
  <si>
    <t xml:space="preserve">DISTRICT TOTALS BY FORECAST, WITH ERROR TERMS (live from each forecast tab)</t>
  </si>
  <si>
    <t xml:space="preserve">Forecast</t>
  </si>
  <si>
    <t xml:space="preserve">Weighting</t>
  </si>
  <si>
    <t xml:space="preserve">Brooks votes</t>
  </si>
  <si>
    <t xml:space="preserve">Mackenzie votes</t>
  </si>
  <si>
    <t xml:space="preserve">Total votes</t>
  </si>
  <si>
    <t xml:space="preserve">Brooks share</t>
  </si>
  <si>
    <t xml:space="preserve">Error term, share (± pts)</t>
  </si>
  <si>
    <t xml:space="preserve">Brooks share, 95% range</t>
  </si>
  <si>
    <t xml:space="preserve">Error term, votes cast (±)</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</si>
  <si>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</si>
  <si>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</si>
  <si>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</si>
  <si>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</si>
  <si>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</si>
  <si>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</si>
  <si>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</si>
  <si>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District error terms = root-mean-square of the district-wide misses in the 2020, 2022 and 2024 backtests. Place pattern error terms come from the 2022 and 2024 forward backtests.</t>
  </si>
  <si>
    <t xml:space="preserve">BACKTESTS FOR EVERY YEAR, WITH ERROR TERMS (same weights as the forecasts; live from each backtest tab)</t>
  </si>
  <si>
    <t xml:space="preserve">Backtest</t>
  </si>
  <si>
    <t xml:space="preserve">District Dem share miss (pts)</t>
  </si>
  <si>
    <t xml:space="preserve">Dem votes miss</t>
  </si>
  <si>
    <t xml:space="preserve">Rep votes miss</t>
  </si>
  <si>
    <t xml:space="preserve">Votes cast miss</t>
  </si>
  <si>
    <t xml:space="preserve">Pattern RMS miss per row (pts)</t>
  </si>
  <si>
    <t xml:space="preserve">RMS miss per row (pts)</t>
  </si>
  <si>
    <t xml:space="preserve">Avg error term set beforehand (± pts)</t>
  </si>
  <si>
    <t xml:space="preserve">Actual inside ±1 error term</t>
  </si>
  <si>
    <t xml:space="preserve">Actual inside 95% range</t>
  </si>
  <si>
    <t xml:space="preserve">Rows within 3 pts</t>
  </si>
  <si>
    <t xml:space="preserve">2024 — forward backtest</t>
  </si>
  <si>
    <t xml:space="preserve">2022 — forward backtest</t>
  </si>
  <si>
    <t xml:space="preserve">2020 — hold-out test</t>
  </si>
  <si>
    <t xml:space="preserve">Green = forward backtests (only earlier elections used: 2022 and 2024). 2020 is a hold-out test: its inputs are fed by 2018, but no election before 2020 has its own feeder, so its forest is trained on 2022 and 2024. 2018 is history only. Each year’s error terms come from the other two backtest years.</t>
  </si>
  <si>
    <t xml:space="preserve">FEEDER RULE AND PRECINCT LINES USED IN THIS VERSION</t>
  </si>
  <si>
    <t xml:space="preserve">Feeder rule — which earlier elections feed each election.</t>
  </si>
  <si>
    <t xml:space="preserve">2020 is fed by 2018; 2022 by 2020; 2024 by 2022 (80%) and 2020 (20%); 2026 by 2022 (67%) and 2024 (33%). Every history input to the random forests (past House, top-of-ticket and Senate lean; past turnout by party; electorate make-up; mail use) is the feeder-weighted value, and the district share baseline is the feeder-weighted district result adjusted for the registration shift since those elections. Registration inputs are as of the election itself.</t>
  </si>
  <si>
    <t xml:space="preserve">Precinct lines.</t>
  </si>
  <si>
    <t xml:space="preserve">The municipal model is unaffected by precinct lines; every municipality is the same area in every year (today’s map, Ross One estimated for 2018/2020).</t>
  </si>
  <si>
    <t xml:space="preserve">Backtests.</t>
  </si>
  <si>
    <t xml:space="preserve">2018 is the first year in the data and has no feeder, so it is used only as history. 2024 and 2022 are forward backtests; 2020 is a hold-out test (its inputs are fed by 2018, but its forest is trained on 2022 and 2024).</t>
  </si>
  <si>
    <t xml:space="preserve">Fed by</t>
  </si>
  <si>
    <t xml:space="preserve">Pure feeder share</t>
  </si>
  <si>
    <t xml:space="preserve">Registration adjustment (pts)</t>
  </si>
  <si>
    <t xml:space="preserve">Baseline used</t>
  </si>
  <si>
    <t xml:space="preserve">Actual Dem share</t>
  </si>
  <si>
    <t xml:space="preserve">Baseline miss (pts)</t>
  </si>
  <si>
    <t xml:space="preserve">Turnout rule miss</t>
  </si>
  <si>
    <t xml:space="preserve">Dem votes miss (A)</t>
  </si>
  <si>
    <t xml:space="preserve">Rep votes miss (A)</t>
  </si>
  <si>
    <t xml:space="preserve">2026</t>
  </si>
  <si>
    <t xml:space="preserve">2022 (67%) + 2024 (33%)</t>
  </si>
  <si>
    <t xml:space="preserve">—</t>
  </si>
  <si>
    <t xml:space="preserve">2024 (forward backtest)</t>
  </si>
  <si>
    <t xml:space="preserve">2022 (80%) + 2020 (20%)</t>
  </si>
  <si>
    <t xml:space="preserve">2022 (forward backtest)</t>
  </si>
  <si>
    <t xml:space="preserve">2020 (100%)</t>
  </si>
  <si>
    <t xml:space="preserve">2020 (hold-out test)</t>
  </si>
  <si>
    <t xml:space="preserve">2018 (100%)</t>
  </si>
  <si>
    <t xml:space="preserve">2026 turnout scenario (Forecast A)</t>
  </si>
  <si>
    <t xml:space="preserve">Multiplier</t>
  </si>
  <si>
    <t xml:space="preserve">Votes cast</t>
  </si>
  <si>
    <t xml:space="preserve">Basis</t>
  </si>
  <si>
    <t xml:space="preserve">Lower turnout</t>
  </si>
  <si>
    <t xml:space="preserve">midterm turnout falls back by as much as it rose 2018→2022</t>
  </si>
  <si>
    <t xml:space="preserve">Central (2022 turnout rate)</t>
  </si>
  <si>
    <t xml:space="preserve">each place keeps its 2022 turnout rate (the forecast)</t>
  </si>
  <si>
    <t xml:space="preserve">Higher turnout</t>
  </si>
  <si>
    <t xml:space="preserve">midterm turnout rises again by as much as it did 2018→2022</t>
  </si>
  <si>
    <t xml:space="preserve">Turnout changes both candidates’ vote counts in the same direction but not the Brooks share; the share (and the winner) depends on the district share input in row 6.</t>
  </si>
  <si>
    <t xml:space="preserve">WHY THE WEIGHTS DIFFER BUT THE FORECASTS LOOK THE SAME</t>
  </si>
  <si>
    <t xml:space="preserve">1. District totals are identical by design.</t>
  </si>
  <si>
    <t xml:space="preserve">The district Brooks share is set by the baseline input (row 6) and votes cast by the turnout rule (row 7). Each forecast’s place-level leans are shifted so they add up to exactly that share, and every forecast uses the same votes cast. So A, B and C cannot differ in the district totals — only in how the vote is spread across municipalities.</t>
  </si>
  <si>
    <t xml:space="preserve">2. The place-level forecasts do differ, but only a little.</t>
  </si>
  <si>
    <t xml:space="preserve">Average gap between forecasts: A vs B 0.30 pts (largest 1.0), A vs C 0.64 (largest 2.6), B vs C 0.69 (largest 2.2) — against a 10.3-point spread of leans across municipalities. Correlation between forecasts ≥ 0.999.</t>
  </si>
  <si>
    <t xml:space="preserve">3. The inputs whose weights change all say the same thing.</t>
  </si>
  <si>
    <t xml:space="preserve">Past House, presidential and Senate results, party registration and last election’s Republican share of ballots are all measures of the same underlying partisanship, and are correlated at 0.9+ with each other. Moving weight from one to another (B drops weak inputs; C shifts weight between the results family and the registration family) changes the explanation — the SHAP shares — far more than the answer. Where they disagree is in places whose registration and voting history have drifted apart; those are the rows that move most between A, B and C.</t>
  </si>
  <si>
    <t xml:space="preserve">4. Where it matters.</t>
  </si>
  <si>
    <t xml:space="preserve">The forecasts differ most in close, fast-changing places, which is why the comparison table flags rows where A, B and C disagree on the winner. Those rows plus any row whose 95% range spans 50% are the real toss-ups.</t>
  </si>
  <si>
    <t xml:space="preserve">MUNICIPALITY COMPARISON (Brooks share by forecast, live)</t>
  </si>
  <si>
    <t xml:space="preserve">County</t>
  </si>
  <si>
    <t xml:space="preserve">Municipality</t>
  </si>
  <si>
    <t xml:space="preserve">Area</t>
  </si>
  <si>
    <t xml:space="preserve">Spread (max − min, pts)</t>
  </si>
  <si>
    <t xml:space="preserve">Total error term A (± pts)</t>
  </si>
  <si>
    <t xml:space="preserve">Total error term B (± pts)</t>
  </si>
  <si>
    <t xml:space="preserve">Total error term C (± pts)</t>
  </si>
  <si>
    <t xml:space="preserve">Calls agree?</t>
  </si>
  <si>
    <t xml:space="preserve">PA-07 2026 House Forecast — Municipal-Level Predictions (Forecast A: full random forest)</t>
  </si>
  <si>
    <t xml:space="preserve">Candidates: Brooks | Mackenzie   |   District totals (yellow) are formulas over the municipality rows.</t>
  </si>
  <si>
    <t xml:space="preserve">Only the results are modelled (one random forest). Votes cast in each row = its 2022 turnout rate (House votes ÷ registered voters) × its 2026 registered voters. Brooks votes = votes cast × forecast Brooks share. Error terms combine the place’s own pattern error (2022 and 2024 backtests), the district-wide error and turnout error (2020, 2022 and 2024 backtests).</t>
  </si>
  <si>
    <t xml:space="preserve">Model / scenario</t>
  </si>
  <si>
    <t xml:space="preserve">Random forest on results — Forecast A (Full random forest), municipality model; turnout = 2022 turnout rate × 2026 registered voters</t>
  </si>
  <si>
    <t xml:space="preserve">As-of date</t>
  </si>
  <si>
    <t xml:space="preserve">Prepared by</t>
  </si>
  <si>
    <t xml:space="preserve">Max</t>
  </si>
  <si>
    <t xml:space="preserve">Version</t>
  </si>
  <si>
    <t xml:space="preserve">v9.0 (current map; feeder rule; 27 historical precincts)</t>
  </si>
  <si>
    <t xml:space="preserve">District Brooks share (scenario)</t>
  </si>
  <si>
    <t xml:space="preserve">Uniform shift applied</t>
  </si>
  <si>
    <t xml:space="preserve">Turnout multiplier (1.00 = 2022 turnout)</t>
  </si>
  <si>
    <t xml:space="preserve">DISTRICT TOTALS (auto-sum — do not type over)</t>
  </si>
  <si>
    <t xml:space="preserve">Geography</t>
  </si>
  <si>
    <t xml:space="preserve">(muni)</t>
  </si>
  <si>
    <t xml:space="preserve">(area)</t>
  </si>
  <si>
    <t xml:space="preserve">Mackenzie share</t>
  </si>
  <si>
    <t xml:space="preserve">Notes</t>
  </si>
  <si>
    <t xml:space="preserve">Error term: place pattern (± pts)</t>
  </si>
  <si>
    <t xml:space="preserve">Error term: district-wide (± pts)</t>
  </si>
  <si>
    <t xml:space="preserve">Error term: total (± pts)</t>
  </si>
  <si>
    <t xml:space="preserve">Brooks share, 95% low</t>
  </si>
  <si>
    <t xml:space="preserve">Brooks share, 95% high</t>
  </si>
  <si>
    <t xml:space="preserve">Error term: votes cast (± votes)</t>
  </si>
  <si>
    <t xml:space="preserve">Error term: Brooks votes (± votes)</t>
  </si>
  <si>
    <t xml:space="preserve">PA-07 District</t>
  </si>
  <si>
    <t xml:space="preserve">(all municipalities)</t>
  </si>
  <si>
    <t xml:space="preserve">Headline forecast for the briefing</t>
  </si>
  <si>
    <t xml:space="preserve">Error terms are ±1 standard error: place pattern error by place size (2022 and 2024 forward backtests) plus district-wide and turnout error (2020, 2022 and 2024 backtests). 95% low/high = Brooks share ± 1.96 × total error term.</t>
  </si>
  <si>
    <t xml:space="preserve">MUNICIPALITY DETAIL</t>
  </si>
  <si>
    <t xml:space="preserve">MODEL INPUTS (from the random forest — do not edit)</t>
  </si>
  <si>
    <t xml:space="preserve">Notes / source method</t>
  </si>
  <si>
    <t xml:space="preserve">Model lean vs district (pts)</t>
  </si>
  <si>
    <t xml:space="preserve">Votes cast = 2022 turnout × 2026 registered</t>
  </si>
  <si>
    <t xml:space="preserve">Forecast Brooks share (unrounded)</t>
  </si>
  <si>
    <t xml:space="preserve">2022 turnout (House votes ÷ registered)</t>
  </si>
  <si>
    <t xml:space="preserve">2026 registered voters</t>
  </si>
  <si>
    <t xml:space="preserve">Votes-cast error (% of votes)</t>
  </si>
  <si>
    <t xml:space="preserve">Size group (backtest error band)</t>
  </si>
  <si>
    <t xml:space="preserve">Registration source</t>
  </si>
  <si>
    <t xml:space="preserve">Carbon</t>
  </si>
  <si>
    <t xml:space="preserve">BANKS TOWNSHIP</t>
  </si>
  <si>
    <t xml:space="preserve">(whole municipality)</t>
  </si>
  <si>
    <t xml:space="preserve">random forest (results only)</t>
  </si>
  <si>
    <t xml:space="preserve">Small</t>
  </si>
  <si>
    <t xml:space="preserve">state rolls (municipality)</t>
  </si>
  <si>
    <t xml:space="preserve">BEAVER MEADOWS BOROUGH</t>
  </si>
  <si>
    <t xml:space="preserve">BOWMANSTOWN BOROUGH</t>
  </si>
  <si>
    <t xml:space="preserve">EAST PENN TOWNSHIP</t>
  </si>
  <si>
    <t xml:space="preserve">Medium</t>
  </si>
  <si>
    <t xml:space="preserve">EAST SIDE BOROUGH</t>
  </si>
  <si>
    <t xml:space="preserve">FRANKLIN TOWNSHIP</t>
  </si>
  <si>
    <t xml:space="preserve">JIM THORPE BOROUGH</t>
  </si>
  <si>
    <t xml:space="preserve">KIDDER TOWNSHIP</t>
  </si>
  <si>
    <t xml:space="preserve">LANSFORD BOROUGH</t>
  </si>
  <si>
    <t xml:space="preserve">LAUSANNE TOWNSHIP</t>
  </si>
  <si>
    <t xml:space="preserve">LEHIGH TOWNSHIP</t>
  </si>
  <si>
    <t xml:space="preserve">LEHIGHTON BOROUGH</t>
  </si>
  <si>
    <t xml:space="preserve">LOWER TOWAMENSING TOWNSHIP</t>
  </si>
  <si>
    <t xml:space="preserve">MAHONING TOWNSHIP</t>
  </si>
  <si>
    <t xml:space="preserve">NESQUEHONING BOROUGH</t>
  </si>
  <si>
    <t xml:space="preserve">PACKER TOWNSHIP</t>
  </si>
  <si>
    <t xml:space="preserve">PALMERTON BOROUGH</t>
  </si>
  <si>
    <t xml:space="preserve">PARRYVILLE BOROUGH</t>
  </si>
  <si>
    <t xml:space="preserve">PENN FOREST TOWNSHIP</t>
  </si>
  <si>
    <t xml:space="preserve">Large</t>
  </si>
  <si>
    <t xml:space="preserve">SUMMIT HILL BOROUGH</t>
  </si>
  <si>
    <t xml:space="preserve">TOWAMENSING TOWNSHIP</t>
  </si>
  <si>
    <t xml:space="preserve">WEATHERLY BOROUGH</t>
  </si>
  <si>
    <t xml:space="preserve">WEISSPORT BOROUGH</t>
  </si>
  <si>
    <t xml:space="preserve">Lehigh</t>
  </si>
  <si>
    <t xml:space="preserve">ALBURTIS</t>
  </si>
  <si>
    <t xml:space="preserve">ALLENTOWN</t>
  </si>
  <si>
    <t xml:space="preserve">BETHLEHEM</t>
  </si>
  <si>
    <t xml:space="preserve">CATASAUQUA</t>
  </si>
  <si>
    <t xml:space="preserve">COOPERSBURG</t>
  </si>
  <si>
    <t xml:space="preserve">COPLAY</t>
  </si>
  <si>
    <t xml:space="preserve">EMMAUS</t>
  </si>
  <si>
    <t xml:space="preserve">FOUNTAIN HILL</t>
  </si>
  <si>
    <t xml:space="preserve">HANOVER</t>
  </si>
  <si>
    <t xml:space="preserve">HEIDELBERG</t>
  </si>
  <si>
    <t xml:space="preserve">LOWER MACUNGIE</t>
  </si>
  <si>
    <t xml:space="preserve">LOWER MILFORD</t>
  </si>
  <si>
    <t xml:space="preserve">LOWHILL</t>
  </si>
  <si>
    <t xml:space="preserve">LYNN</t>
  </si>
  <si>
    <t xml:space="preserve">MACUNGIE</t>
  </si>
  <si>
    <t xml:space="preserve">NORTH WHITEHALL</t>
  </si>
  <si>
    <t xml:space="preserve">SALISBURY</t>
  </si>
  <si>
    <t xml:space="preserve">SLATINGTON</t>
  </si>
  <si>
    <t xml:space="preserve">SOUTH WHITEHALL</t>
  </si>
  <si>
    <t xml:space="preserve">UPPER MACUNGIE</t>
  </si>
  <si>
    <t xml:space="preserve">UPPER MILFORD</t>
  </si>
  <si>
    <t xml:space="preserve">UPPER SAUCON</t>
  </si>
  <si>
    <t xml:space="preserve">WASHINGTON</t>
  </si>
  <si>
    <t xml:space="preserve">WEISENBERG</t>
  </si>
  <si>
    <t xml:space="preserve">WHITEHALL</t>
  </si>
  <si>
    <t xml:space="preserve">Monroe</t>
  </si>
  <si>
    <t xml:space="preserve">ELDRED TOWNSHIP</t>
  </si>
  <si>
    <t xml:space="preserve">POLK TOWNSHIP</t>
  </si>
  <si>
    <t xml:space="preserve">ROSS TOWNSHIP</t>
  </si>
  <si>
    <t xml:space="preserve">Northampton</t>
  </si>
  <si>
    <t xml:space="preserve">ALLEN</t>
  </si>
  <si>
    <t xml:space="preserve">BANGOR</t>
  </si>
  <si>
    <t xml:space="preserve">BATH</t>
  </si>
  <si>
    <t xml:space="preserve">BETHLEHEM TOWNSHIP</t>
  </si>
  <si>
    <t xml:space="preserve">BUSHKILL</t>
  </si>
  <si>
    <t xml:space="preserve">CHAPMAN</t>
  </si>
  <si>
    <t xml:space="preserve">EAST ALLEN</t>
  </si>
  <si>
    <t xml:space="preserve">EAST BANGOR</t>
  </si>
  <si>
    <t xml:space="preserve">EASTON</t>
  </si>
  <si>
    <t xml:space="preserve">FORKS</t>
  </si>
  <si>
    <t xml:space="preserve">FREEMANSBURG</t>
  </si>
  <si>
    <t xml:space="preserve">GLENDON</t>
  </si>
  <si>
    <t xml:space="preserve">HELLERTOWN</t>
  </si>
  <si>
    <t xml:space="preserve">LEHIGH</t>
  </si>
  <si>
    <t xml:space="preserve">LOWER MOUNT BETHEL</t>
  </si>
  <si>
    <t xml:space="preserve">LOWER NAZARETH</t>
  </si>
  <si>
    <t xml:space="preserve">LOWER SAUCON</t>
  </si>
  <si>
    <t xml:space="preserve">MOORE</t>
  </si>
  <si>
    <t xml:space="preserve">NAZARETH</t>
  </si>
  <si>
    <t xml:space="preserve">NORTH CATASAUQUA</t>
  </si>
  <si>
    <t xml:space="preserve">NORTHAMPTON</t>
  </si>
  <si>
    <t xml:space="preserve">PALMER</t>
  </si>
  <si>
    <t xml:space="preserve">PEN ARGYL</t>
  </si>
  <si>
    <t xml:space="preserve">PLAINFIELD</t>
  </si>
  <si>
    <t xml:space="preserve">PORTLAND</t>
  </si>
  <si>
    <t xml:space="preserve">ROSETO</t>
  </si>
  <si>
    <t xml:space="preserve">STOCKERTOWN</t>
  </si>
  <si>
    <t xml:space="preserve">TATAMY</t>
  </si>
  <si>
    <t xml:space="preserve">UPPER MOUNT BETHEL</t>
  </si>
  <si>
    <t xml:space="preserve">UPPER NAZARETH</t>
  </si>
  <si>
    <t xml:space="preserve">WALNUTPORT</t>
  </si>
  <si>
    <t xml:space="preserve">WEST EASTON</t>
  </si>
  <si>
    <t xml:space="preserve">WILLIAMS TOWNSHIP</t>
  </si>
  <si>
    <t xml:space="preserve">WILSON</t>
  </si>
  <si>
    <t xml:space="preserve">WIND GAP</t>
  </si>
  <si>
    <t xml:space="preserve">PA-07 2026 House Forecast — Municipal-Level Predictions (Forecast B: shap-selected forest)</t>
  </si>
  <si>
    <t xml:space="preserve">Random forest on results — Forecast B (SHAP-selected forest), municipality model; turnout = 2022 turnout rate × 2026 registered voters</t>
  </si>
  <si>
    <t xml:space="preserve">PA-07 2026 House Forecast — Municipal-Level Predictions (Forecast C: shap family-reweighted forest)</t>
  </si>
  <si>
    <t xml:space="preserve">Random forest on results — Forecast C (SHAP family-reweighted forest), municipality model; turnout = 2022 turnout rate × 2026 registered voters</t>
  </si>
  <si>
    <t xml:space="preserve">How the three municipality-level forecasts weigh their inputs (SHAP) — results-only random forests</t>
  </si>
  <si>
    <t xml:space="preserve">Forecast A — Full random forest.</t>
  </si>
  <si>
    <t xml:space="preserve">All 19 candidate inputs go into one random forest that forecasts the Democratic share. Nothing is weighted by hand; SHAP measures what the forest learned. This is the reference.</t>
  </si>
  <si>
    <t xml:space="preserve">Forecast B — SHAP-selected forest.</t>
  </si>
  <si>
    <t xml:space="preserve">Keeps only inputs whose average |SHAP| beat all 10 random columns in at least 18 of 20 refits and that held at least 2% of Forecast A’s SHAP total (6 of 19 kept), then refits the forest on them. Weight that was spread thinly over weak inputs is concentrated on the strong ones.</t>
  </si>
  <si>
    <t xml:space="preserve">Forecast C — SHAP family-reweighted forest.</t>
  </si>
  <si>
    <t xml:space="preserve">Keeps Forecast A’s forest but multiplies each input family’s SHAP values by a weight fitted to how well that family predicted elections the forest had not seen (leave-one-election-out, fitted within each election). Families under 3% of SHAP stay at ×1; others are limited to ×0.5–×2 because there are only three training elections.</t>
  </si>
  <si>
    <t xml:space="preserve">Each 2024 backtest uses its own forecast’s weighting: A’s full input set, B’s selected inputs, and C’s exact family weights — refit only on 2020 and 2022.</t>
  </si>
  <si>
    <t xml:space="preserve">Turnout.</t>
  </si>
  <si>
    <t xml:space="preserve">Not modelled in any forecast: votes cast = each place’s 2022 turnout rate × its 2026 registered voters (2020 turnout × 2024 registered in the backtest). All differences between A, B and C come from the results model.</t>
  </si>
  <si>
    <t xml:space="preserve">Family share of SHAP value in votes, 2026 forecast rows</t>
  </si>
  <si>
    <t xml:space="preserve">Input family</t>
  </si>
  <si>
    <t xml:space="preserve">Forecast C weight (×)</t>
  </si>
  <si>
    <t xml:space="preserve">Election type</t>
  </si>
  <si>
    <t xml:space="preserve">Historical voter data</t>
  </si>
  <si>
    <t xml:space="preserve">Voter registration data</t>
  </si>
  <si>
    <t xml:space="preserve">Out-of-fold pattern error before → after Forecast C’s re-weighting: 2.61 → 2.47 points.</t>
  </si>
  <si>
    <t xml:space="preserve">Top inputs in each forecast (share of SHAP value in votes)</t>
  </si>
  <si>
    <t xml:space="preserve">#</t>
  </si>
  <si>
    <t xml:space="preserve">Share</t>
  </si>
  <si>
    <t xml:space="preserve">Feeder top-of-ticket lean</t>
  </si>
  <si>
    <t xml:space="preserve">Feeder House lean (district-relative)</t>
  </si>
  <si>
    <t xml:space="preserve">Registration: R %</t>
  </si>
  <si>
    <t xml:space="preserve">Feeder electorate: R % of ballots</t>
  </si>
  <si>
    <t xml:space="preserve">Registration: D %</t>
  </si>
  <si>
    <t xml:space="preserve">Feeder Senate lean</t>
  </si>
  <si>
    <t xml:space="preserve">Registered voters (log)</t>
  </si>
  <si>
    <t xml:space="preserve">Registrants: female % (known sex)</t>
  </si>
  <si>
    <t xml:space="preserve">Registration: unaffiliated/other %</t>
  </si>
  <si>
    <t xml:space="preserve">Registration: change in D−R margin since the feeder elections</t>
  </si>
  <si>
    <t xml:space="preserve">Forecast B — random-column test and selection</t>
  </si>
  <si>
    <t xml:space="preserve">Input</t>
  </si>
  <si>
    <t xml:space="preserve">Beat random columns (of 20)</t>
  </si>
  <si>
    <t xml:space="preserve">Share of SHAP in A</t>
  </si>
  <si>
    <t xml:space="preserve">Kept in B?</t>
  </si>
  <si>
    <t xml:space="preserve">Yes</t>
  </si>
  <si>
    <t xml:space="preserve">No</t>
  </si>
  <si>
    <t xml:space="preserve">Feeder turnout: unaffiliated</t>
  </si>
  <si>
    <t xml:space="preserve">Feeder mail use: D voters</t>
  </si>
  <si>
    <t xml:space="preserve">Feeder turnout (certified, % of registered)</t>
  </si>
  <si>
    <t xml:space="preserve">Registrants: Boomer + Silent %</t>
  </si>
  <si>
    <t xml:space="preserve">Registrants: Millennial + Gen Z %</t>
  </si>
  <si>
    <t xml:space="preserve">Feeder turnout: R registrants</t>
  </si>
  <si>
    <t xml:space="preserve">Feeder ticket-splitting (House − top of ticket)</t>
  </si>
  <si>
    <t xml:space="preserve">Feeder turnout: D registrants</t>
  </si>
  <si>
    <t xml:space="preserve">Midterm year (1/0)</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</si>
  <si>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</si>
  <si>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</si>
  <si>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</si>
  <si>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</si>
  <si>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</si>
  <si>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</si>
  <si>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</si>
  <si>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</si>
  <si>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Status in Forecast B</t>
  </si>
  <si>
    <t xml:space="preserve">Democratic percent of the two-party vote for President/Governor (the top race), district-relative, from the feeder elections</t>
  </si>
  <si>
    <t xml:space="preserve">Democratic percent of the two-party vote</t>
  </si>
  <si>
    <t xml:space="preserve">Beat all 10 random comparison columns in 20 of 20 refits.</t>
  </si>
  <si>
    <t xml:space="preserve">Kept in B</t>
  </si>
  <si>
    <t xml:space="preserve">Democratic percent of the two-party House vote, above or below the district average, from the feeder elections (2026: 67% 2022 + 33% 2024)</t>
  </si>
  <si>
    <t xml:space="preserve">Registered Republicans as a percent of all registered voters, as of the election (voter file)</t>
  </si>
  <si>
    <t xml:space="preserve">Registered Republicans as a percent of everyone who voted, in the feeder elections (voter file)</t>
  </si>
  <si>
    <t xml:space="preserve">Registered Democrats as a percent of all registered voters, as of the election (voter file)</t>
  </si>
  <si>
    <t xml:space="preserve">Democratic percent of the two-party U.S. Senate vote, district-relative, from the feeder elections that had a Senate race</t>
  </si>
  <si>
    <t xml:space="preserve">Number of registered voters, log scale (voter file)</t>
  </si>
  <si>
    <t xml:space="preserve">Dropped from B</t>
  </si>
  <si>
    <t xml:space="preserve">Women as a percent of registered voters whose sex is recorded</t>
  </si>
  <si>
    <t xml:space="preserve">Beat all 10 random comparison columns in 19 of 20 refits.</t>
  </si>
  <si>
    <t xml:space="preserve">Registered voters in neither major party, as a percent of all registered, as of the election (voter file)</t>
  </si>
  <si>
    <t xml:space="preserve">Registered Democrats minus Republicans (percent of registered) now, minus the same in the feeder elections</t>
  </si>
  <si>
    <t xml:space="preserve">Beat all 10 random comparison columns in 12 of 20 refits.</t>
  </si>
  <si>
    <t xml:space="preserve">Percent of registered voters in neither major party who voted, in the feeder elections (voter file)</t>
  </si>
  <si>
    <t xml:space="preserve">Beat all 10 random comparison columns in 9 of 20 refits.</t>
  </si>
  <si>
    <t xml:space="preserve">Percent of Democratic voters who voted by mail, in the feeder elections with mail data (voter file)</t>
  </si>
  <si>
    <t xml:space="preserve">Beat all 10 random comparison columns in 2 of 20 refits.</t>
  </si>
  <si>
    <t xml:space="preserve">Ballots cast as a percent of registered voters (certified), in the feeder elections</t>
  </si>
  <si>
    <t xml:space="preserve">Beat all 10 random comparison columns in 0 of 20 refits.</t>
  </si>
  <si>
    <t xml:space="preserve">House Democratic percent minus top-of-ticket Democratic percent, in the feeder elections</t>
  </si>
  <si>
    <t xml:space="preserve">Registered voters born 1964 or earlier, percent of all registered</t>
  </si>
  <si>
    <t xml:space="preserve">Percent of registered Republicans who voted, in the feeder elections (voter file)</t>
  </si>
  <si>
    <t xml:space="preserve">Registered voters born 1981 or later, percent of all registered</t>
  </si>
  <si>
    <t xml:space="preserve">Beat all 10 random comparison columns in 13 of 20 refits.</t>
  </si>
  <si>
    <t xml:space="preserve">Percent of registered Democrats who voted, in the feeder elections (voter file)</t>
  </si>
  <si>
    <t xml:space="preserve">Election type: 1 for a midterm year, 0 for a presidential year</t>
  </si>
  <si>
    <t xml:space="preserve">Historical voter data, total</t>
  </si>
  <si>
    <t xml:space="preserve">Voter registration data, total</t>
  </si>
  <si>
    <t xml:space="preserve">Election type, total</t>
  </si>
  <si>
    <t xml:space="preserve">All features, total</t>
  </si>
  <si>
    <t xml:space="preserve">How to read this table. Each row is one input that this forecast uses, ranked by SHAP value in votes on the 2026 forecast rows.</t>
  </si>
  <si>
    <t xml:space="preserve">SHAP value: for one place, the number of votes that one input added to or took away from that place’s forecast, measured from the model’s starting value (the average over the places and years it was trained on). Exact TreeSHAP over every tree.</t>
  </si>
  <si>
    <t xml:space="preserve">SHAP value in votes is the average over the 89 municipalities of the votes the input moved, ignoring direction. Brooks votes and Mackenzie votes are counted together (moving 10 votes from Mackenzie to Brooks counts as 20). Votes cast = each place’s 2022 turnout rate × its 2026 registered voters.</t>
  </si>
  <si>
    <t xml:space="preserve">Share of model = the input’s SHAP value in votes ÷ the total for all inputs. Share within its family divides by its family’s total instead.</t>
  </si>
  <si>
    <t xml:space="preserve">What the model forecasts. One random forest forecasts each place’s Democratic percent of the two-party House vote, above or below the district average for that election. Turnout is not forecast: each place’s votes cast = its 2022 turnout rate × its 2026 registered voters. Brooks share = forecast pattern + one uniform shift so the district total equals the scenario (default: registration-adjusted baseline).</t>
  </si>
  <si>
    <t xml:space="preserve">Forecast A weighting: none imposed. Each input’s weight is exactly what the full forest learned; SHAP shows it after the fact.</t>
  </si>
  <si>
    <t xml:space="preserve">Significance test. The full forest was refit 20 times with 10 extra columns of random numbers (5 that change row to row, 5 that keep one value per place). The column counts the refits in which the input’s average |SHAP| on the 2026 rows beat every random column.</t>
  </si>
  <si>
    <t xml:space="preserve">Settings: max_features=0.33, min_samples_leaf=1, 500 trees, trained on 267 municipality-elections (2020, 2022, 2024).</t>
  </si>
  <si>
    <t xml:space="preserve">Forecast B weighting: SHAP-selected. Only inputs that beat all 10 random columns in at least 18 of 20 refits AND held at least 2% of Forecast A’s SHAP total were kept; the forest was refit on those inputs alone, so weight that was spread over weak inputs is concentrated on the strong ones.</t>
  </si>
  <si>
    <t xml:space="preserve">Forecast C weighting: SHAP family re-weighting. Forecast A’s forest is kept, but each input family’s SHAP contribution is multiplied by a weight fitted to out-of-sample accuracy: Election type ×1.00; Historical voter data ×1.02; Voter registration data ×1.25. The forecast is the forest’s starting value plus the re-weighted SHAP values, so the SHAP values here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</si>
  <si>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</si>
  <si>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</si>
  <si>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</si>
  <si>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</si>
  <si>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</si>
  <si>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</si>
  <si>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</si>
  <si>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</si>
  <si>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</si>
  <si>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Error term: place pattern (± pts, from 2022, 2020)</t>
  </si>
  <si>
    <t xml:space="preserve">Error term: district-wide (± pts, from 2022, 2020)</t>
  </si>
  <si>
    <t xml:space="preserve">Predicted share, 95% low</t>
  </si>
  <si>
    <t xml:space="preserve">Predicted share, 95% high</t>
  </si>
  <si>
    <t xml:space="preserve">Actual inside ±1 error term?</t>
  </si>
  <si>
    <t xml:space="preserve">Actual inside 95% range?</t>
  </si>
  <si>
    <t xml:space="preserve">Error term: Democratic votes (± votes)</t>
  </si>
  <si>
    <t xml:space="preserve">Note</t>
  </si>
  <si>
    <t xml:space="preserve">PA-07 District (municipalities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</si>
  <si>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</si>
  <si>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</si>
  <si>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</si>
  <si>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</si>
  <si>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</si>
  <si>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t>
  </si>
  <si>
    <t xml:space="preserve">Pattern RMS miss per row (points) — district-wide miss removed</t>
  </si>
  <si>
    <t xml:space="preserve">Democratic votes miss, district (percent)</t>
  </si>
  <si>
    <t xml:space="preserve">Republican votes miss, district (percent)</t>
  </si>
  <si>
    <t xml:space="preserve">Total votes cast miss, district (percent) — turnout rule</t>
  </si>
  <si>
    <t xml:space="preserve">Average error term per row (± pts, set from the other years)</t>
  </si>
  <si>
    <t xml:space="preserve">Rows where the actual result fell inside ±1 error term (≈68% expected)</t>
  </si>
  <si>
    <t xml:space="preserve">Rows where the actual result fell inside the 95% range (≈95% expected)</t>
  </si>
  <si>
    <t xml:space="preserve">Rows within 3 points on Democratic share</t>
  </si>
  <si>
    <t xml:space="preserve">Rows with a comparable 2024 result</t>
  </si>
  <si>
    <t xml:space="preserve">Rows in the table</t>
  </si>
  <si>
    <t xml:space="preserve">WHERE THE PARTY VOTE ERRORS COME FROM (district row):</t>
  </si>
  <si>
    <t xml:space="preserve">   Turnout part — votes cast miss × actual Democratic share (same direction for both parties)</t>
  </si>
  <si>
    <t xml:space="preserve">   Share part — votes moved to/from the Democrat by the district share miss</t>
  </si>
  <si>
    <t xml:space="preserve">   Republican: turnout part</t>
  </si>
  <si>
    <t xml:space="preserve">   Republican: share part (equal and opposite to the Democratic share part)</t>
  </si>
  <si>
    <t xml:space="preserve">   Democratic votes miss if turnout had been exact (share part only, percent)</t>
  </si>
  <si>
    <t xml:space="preserve">   Republican votes miss if turnout had been exact (share part only, percent)</t>
  </si>
  <si>
    <t xml:space="preserve">What this tab is: forward backtest for 2024 — the forecast method run without 2024’s results and compared with the actual 2024 House results (trained on 2020 and 2022 only).</t>
  </si>
  <si>
    <t xml:space="preserve">A forward backtest uses only elections before the one being forecast, like a real forecast.</t>
  </si>
  <si>
    <t xml:space="preserve">Weights: Forecast A — pure random forest on the 19 inputs that existed for 2024.</t>
  </si>
  <si>
    <t xml:space="preserve">Turnout: each row’s votes cast = 2020 turnout rate × 2024 registered voters.</t>
  </si>
  <si>
    <t xml:space="preserve">District share: feeder rule — Democratic share of the feeder elections, 2022 (80%) + 2020 (20%): 50.6%, + 0.58 × the change in Democratic share of two-party registration since those elections = 49.3%. Actual 2024: 49.4%.</t>
  </si>
  <si>
    <t xml:space="preserve">Error terms on this tab come only from the OTHER backtest years (2022, 2020) — never from 2024 itself — so columns R and S are an honest check of whether the error terms hold up.</t>
  </si>
  <si>
    <t xml:space="preserve">Current map, all years: Carbon (PA-09 in 2018/2020) and Polk (PA-08 in 2018/2020) results are treated as district results; Ross One’s 2018/2020 result is estimated from the whole township.</t>
  </si>
  <si>
    <t xml:space="preserve">Actual votes are the 2024 House results as given. Error = predicted minus actual. Shares are of the two-party vote. Wild was the 2024 PA-07 Democratic candidate and Mackenzie the Republican; Carbon and Polk rows in 2018/2020 had other candidates.</t>
  </si>
  <si>
    <t xml:space="preserve">Rows marked 'No comparable 2024 result' are left out of the district total and the error figures.</t>
  </si>
  <si>
    <t xml:space="preserve">Weights: Forecast B — the SHAP-selected inputs that existed for 2024 (6: Feeder House lean (district-relative); Feeder top-of-ticket lean; Feeder Senate lean; Feeder electorate: R % of ballots; Registration: R %; Registration: D %).</t>
  </si>
  <si>
    <t xml:space="preserve">Weights: Forecast C — the SAME family weights as the 2026 Forecast C (Election type ×1.00; Historical voter data ×1.02; Voter registration data ×1.25), applied to the SHAP values of this year’s Forecast A forest. Those weights were fitted using all training elections, so this test is slightly optimistic for C.</t>
  </si>
  <si>
    <t xml:space="preserve">Predicted Republican (Scheller) votes</t>
  </si>
  <si>
    <t xml:space="preserve">Error term: place pattern (± pts, from 2024, 2020)</t>
  </si>
  <si>
    <t xml:space="preserve">Error term: district-wide (± pts, from 2024, 2020)</t>
  </si>
  <si>
    <t xml:space="preserve">Rows with a comparable 2022 result</t>
  </si>
  <si>
    <t xml:space="preserve">What this tab is: forward backtest for 2022 — the forecast method run without 2022’s results and compared with the actual 2022 House results (trained on 2020 only).</t>
  </si>
  <si>
    <t xml:space="preserve">Weights: Forecast A — pure random forest on the 19 inputs that existed for 2022.</t>
  </si>
  <si>
    <t xml:space="preserve">Turnout: each row’s votes cast = 2018 turnout rate × 2022 registered voters.</t>
  </si>
  <si>
    <t xml:space="preserve">District share: feeder rule — Democratic share of the feeder elections, 2020 (100%): 49.6%, + 0.72 × the change in Democratic share of two-party registration since those elections = 48.9%. Actual 2022: 50.9%.</t>
  </si>
  <si>
    <t xml:space="preserve">Error terms on this tab come only from the OTHER backtest years (2024, 2020) — never from 2022 itself — so columns R and S are an honest check of whether the error terms hold up.</t>
  </si>
  <si>
    <t xml:space="preserve">Actual votes are the 2022 House results as given. Error = predicted minus actual. Shares are of the two-party vote. Wild was the 2022 PA-07 Democratic candidate and Scheller the Republican; Carbon and Polk rows in 2018/2020 had other candidates.</t>
  </si>
  <si>
    <t xml:space="preserve">Rows marked 'No comparable 2022 result' are left out of the district total and the error figures.</t>
  </si>
  <si>
    <t xml:space="preserve">Weights: Forecast B — the SHAP-selected inputs that existed for 2022 (6: Feeder House lean (district-relative); Feeder top-of-ticket lean; Feeder Senate lean; Feeder electorate: R % of ballots; Registration: R %; Registration: D %).</t>
  </si>
  <si>
    <t xml:space="preserve">Error term: place pattern (± pts, from 2024, 2022)</t>
  </si>
  <si>
    <t xml:space="preserve">Error term: district-wide (± pts, from 2024, 2022)</t>
  </si>
  <si>
    <t xml:space="preserve">Actual = PA-09 House race (treated as district result)</t>
  </si>
  <si>
    <t xml:space="preserve">Actual = PA-08 House race (treated as district result)</t>
  </si>
  <si>
    <t xml:space="preserve">Actual = Ross One estimate from whole-township result</t>
  </si>
  <si>
    <t xml:space="preserve">Rows with a comparable 2020 result</t>
  </si>
  <si>
    <t xml:space="preserve">What this tab is: hold-out test for 2020 — the forecast method run without 2020’s results and compared with the actual 2020 House results (trained on 2022 and 2024 (later elections) — no election before 2020 has its own feeder, so no earlier training data exists).</t>
  </si>
  <si>
    <t xml:space="preserve">A hold-out test is the closest check possible for 2020: the data begin in 2018, so the forest is trained on the other elections, using only the inputs that existed for 2020. It is not a true forecast (it learns from later elections) and its inputs are thinner than a real 2026 forecast’s.</t>
  </si>
  <si>
    <t xml:space="preserve">Weights: Forecast A — pure random forest on the 19 inputs that existed for 2020.</t>
  </si>
  <si>
    <t xml:space="preserve">Turnout: each row’s votes cast = 2024 turnout rate × 2020 registered voters (no 2016 data — the next presidential year is used instead).</t>
  </si>
  <si>
    <t xml:space="preserve">District share: feeder rule — Democratic share of the feeder elections, 2018 (100%): 53.3%, + 0.48 × the change in Democratic share of two-party registration since those elections = 52.7%. Actual 2020: 49.6%.</t>
  </si>
  <si>
    <t xml:space="preserve">Error terms on this tab come only from the OTHER backtest years (2024, 2022) — never from 2020 itself — so columns R and S are an honest check of whether the error terms hold up.</t>
  </si>
  <si>
    <t xml:space="preserve">Actual votes are the 2020 House results as given. Error = predicted minus actual. Shares are of the two-party vote. Wild was the 2020 PA-07 Democratic candidate and Scheller the Republican; Carbon and Polk rows in 2018/2020 had other candidates.</t>
  </si>
  <si>
    <t xml:space="preserve">Rows marked 'No comparable 2020 result' are left out of the district total and the error figures.</t>
  </si>
  <si>
    <t xml:space="preserve">Weights: Forecast B — the SHAP-selected inputs that existed for 2020 (6: Feeder House lean (district-relative); Feeder top-of-ticket lean; Feeder Senate lean; Feeder electorate: R % of ballots; Registration: R %; Registration: D %).</t>
  </si>
  <si>
    <t xml:space="preserve">How this version is built (v9.0)</t>
  </si>
  <si>
    <t xml:space="preserve">Current map in every year: all 89 municipalities and every precinct are treated as if PA-07 had always included them. Carbon (PA-09 in 2018/2020) and Polk (PA-08 in 2018/2020) count as district results; Ross One’s 2018/2020 result is estimated from the whole township.</t>
  </si>
  <si>
    <t xml:space="preserve">Feeder rule (as specified): 2020 is fed by 2018; 2022 by 2020; 2024 by 2022 (80%) and 2020 (20%); 2026 by 2022 (67%) and 2024 (33%). Every history input to the random forests is the feeder-weighted value; the district share baseline is the feeder-weighted district result + k × the change in two-party registration since those elections (k measured from precinct-level changes before the target election).</t>
  </si>
  <si>
    <t xml:space="preserve">Precinct lines do not affect the municipal model.</t>
  </si>
  <si>
    <t xml:space="preserve">One random forest per forecast, on the results only (Democratic share of the two-party House vote, district-relative); separate forests for municipalities and precincts. Three weightings: A — pure random forest; B — SHAP-selected forest (inputs that beat random columns in ≥18 of 20 refits and carry ≥2% of SHAP, then refit); C — SHAP family-reweighted forest (A’s SHAP values × family weights fitted out-of-sample, bounded ×0.5–×2).</t>
  </si>
  <si>
    <t xml:space="preserve">Turnout: votes cast = each place’s 2022 turnout rate (House votes ÷ registered voters) × its 2026 registered voters; district total ≈ 306,131. Backtests use the same rule one cycle earlier (2024: 2020 turnout × 2024 registered, -0.5%; 2022: 2018 × 2022, -6.0%; 2020: 2024 × 2020, +0.6%).</t>
  </si>
  <si>
    <t xml:space="preserve">Backtests: 2024 (forward, trained on 2020–2022) and 2022 (forward, trained on 2020); 2020 is a hold-out test (fed by 2018, trained on 2022–2024). Each forecast style is backtested with its own weights. Error terms: each backtest year’s from the other two years; 2026 pattern error from the 2022 and 2024 forward backtests, district and turnout error from all three.</t>
  </si>
  <si>
    <t xml:space="preserve">Data</t>
  </si>
  <si>
    <t xml:space="preserve">Source: PA07_Municipal_Data_without_Demographics.xlsx (Master Data, Muni Consolidated); registration and district baseline from PA07_Precinct_Data.xlsx (Precinct Summary). Forest training rows: 2020, 2022, 2024 for every municipality/precinct with an observed result (2018 provides history only), including Carbon and Polk in 2020 and the Ross One estimate.</t>
  </si>
  <si>
    <t xml:space="preserve">Registration: whole-municipality state rolls; Bethlehem city and Bethlehem Township (one name on the Northampton rolls) and the three Monroe areas use the state rolls of their district precincts.</t>
  </si>
  <si>
    <t xml:space="preserve">Model and error terms</t>
  </si>
  <si>
    <t xml:space="preserve">Random forest (500 trees) forecasting each place’s Democratic share above/below the district average; Brooks share = forecast + a uniform shift to the district input. SHAP: exact TreeSHAP over every tree (implemented in C; matches brute-force Shapley values).</t>
  </si>
  <si>
    <t xml:space="preserve">Caveats</t>
  </si>
  <si>
    <t xml:space="preserve">• The baseline contains no national-environment signal. Midterms under a sitting president often swing against the president’s party; the registration trend in PA-07 points the other way. The default is a starting point — override it for the environment you expect.</t>
  </si>
  <si>
    <t xml:space="preserve">• The feeder weights for 2024 and 2026 were specified, not estimated; the backtests show how they performed. Turnout swings between elections of the same type (e.g. 2018→2022) cannot be predicted from this data and remain the main source of vote-count error.</t>
  </si>
  <si>
    <t xml:space="preserve">• Forecast C’s backtest uses the same family weights as its 2026 forecast, which were fitted with 2024 among the held-out elections, so C’s backtest is slightly optimistic.</t>
  </si>
</sst>
</file>

<file path=xl/styles.xml><?xml version="1.0" encoding="utf-8"?>
<styleSheet xmlns="http://schemas.openxmlformats.org/spreadsheetml/2006/main">
  <numFmts count="16">
    <numFmt numFmtId="164" formatCode="General"/>
    <numFmt numFmtId="165" formatCode="0.0%"/>
    <numFmt numFmtId="166" formatCode="0.00"/>
    <numFmt numFmtId="167" formatCode="#,##0"/>
    <numFmt numFmtId="168" formatCode="0.00%"/>
    <numFmt numFmtId="169" formatCode="\+0.00;\-0.00"/>
    <numFmt numFmtId="170" formatCode="0.000"/>
    <numFmt numFmtId="171" formatCode="\+0.0%;\-0.0%"/>
    <numFmt numFmtId="172" formatCode="0%"/>
    <numFmt numFmtId="173" formatCode="0.0"/>
    <numFmt numFmtId="174" formatCode="yyyy\-mm\-dd"/>
    <numFmt numFmtId="175" formatCode="\+0.0;\-0.0"/>
    <numFmt numFmtId="176" formatCode="\+#,##0;\-#,##0;0"/>
    <numFmt numFmtId="177" formatCode="\+#,##0;\-#,##0"/>
    <numFmt numFmtId="178" formatCode="#,##0.0"/>
    <numFmt numFmtId="179"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1"/>
      <color rgb="FF008000"/>
      <name val="Calibri"/>
      <family val="0"/>
      <charset val="1"/>
    </font>
    <font>
      <sz val="10"/>
      <name val="Arial"/>
      <family val="2"/>
    </font>
    <font>
      <b val="true"/>
      <sz val="11"/>
      <color rgb="FF1F4E79"/>
      <name val="Calibri"/>
      <family val="0"/>
      <charset val="1"/>
    </font>
  </fonts>
  <fills count="9">
    <fill>
      <patternFill patternType="none"/>
    </fill>
    <fill>
      <patternFill patternType="gray125"/>
    </fill>
    <fill>
      <patternFill patternType="solid">
        <fgColor rgb="FFD6E3F0"/>
        <bgColor rgb="FFE2EFDA"/>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E2EFDA"/>
        <bgColor rgb="FFF2F2F2"/>
      </patternFill>
    </fill>
    <fill>
      <patternFill patternType="solid">
        <fgColor rgb="FFF2F2F2"/>
        <bgColor rgb="FFE2EFDA"/>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71" fontId="5" fillId="6"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72" fontId="7" fillId="6" borderId="1" xfId="0" applyFont="true" applyBorder="true" applyAlignment="false" applyProtection="false">
      <alignment horizontal="general" vertical="bottom" textRotation="0" wrapText="false" indent="0" shrinkToFit="false"/>
      <protection locked="true" hidden="false"/>
    </xf>
    <xf numFmtId="172" fontId="5" fillId="6"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5" fontId="5" fillId="7" borderId="0" xfId="0" applyFont="true" applyBorder="false" applyAlignment="false" applyProtection="false">
      <alignment horizontal="general" vertical="bottom" textRotation="0" wrapText="false" indent="0" shrinkToFit="false"/>
      <protection locked="true" hidden="false"/>
    </xf>
    <xf numFmtId="167" fontId="5" fillId="7"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77"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75"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EB9C"/>
        </patternFill>
      </fill>
    </dxf>
    <dxf>
      <fill>
        <patternFill>
          <bgColor rgb="FFC6EFCE"/>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532800</xdr:colOff>
      <xdr:row>10</xdr:row>
      <xdr:rowOff>68760</xdr:rowOff>
    </xdr:to>
    <xdr:pic>
      <xdr:nvPicPr>
        <xdr:cNvPr id="0" name="Image 1" descr="Picture"/>
        <xdr:cNvPicPr/>
      </xdr:nvPicPr>
      <xdr:blipFill>
        <a:blip r:embed="rId1"/>
        <a:stretch/>
      </xdr:blipFill>
      <xdr:spPr>
        <a:xfrm>
          <a:off x="14333400" y="380880"/>
          <a:ext cx="6036120" cy="2575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20"/>
    <col collapsed="false" customWidth="true" hidden="false" outlineLevel="0" max="6" min="4" style="0" width="15"/>
    <col collapsed="false" customWidth="true" hidden="false" outlineLevel="0" max="7" min="7" style="0" width="16"/>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C21</f>
        <v>0.49330922527432</v>
      </c>
      <c r="D6" s="3" t="s">
        <v>5</v>
      </c>
    </row>
    <row r="7" customFormat="false" ht="15" hidden="false" customHeight="false" outlineLevel="0" collapsed="false">
      <c r="A7" s="5" t="s">
        <v>6</v>
      </c>
      <c r="C7" s="7" t="n">
        <v>1</v>
      </c>
      <c r="D7" s="3" t="s">
        <v>7</v>
      </c>
    </row>
    <row r="9" customFormat="false" ht="15" hidden="false" customHeight="false" outlineLevel="0" collapsed="false">
      <c r="A9" s="4" t="s">
        <v>8</v>
      </c>
      <c r="B9" s="4"/>
      <c r="C9" s="4"/>
      <c r="D9" s="4"/>
      <c r="E9" s="4"/>
      <c r="F9" s="4"/>
      <c r="G9" s="4"/>
      <c r="H9" s="4"/>
      <c r="I9" s="4"/>
    </row>
    <row r="10" customFormat="false" ht="31.5" hidden="false" customHeight="true" outlineLevel="0" collapsed="false">
      <c r="A10" s="8" t="s">
        <v>9</v>
      </c>
      <c r="B10" s="8"/>
      <c r="C10" s="8" t="s">
        <v>10</v>
      </c>
      <c r="D10" s="8" t="s">
        <v>11</v>
      </c>
      <c r="E10" s="8" t="s">
        <v>12</v>
      </c>
      <c r="F10" s="8" t="s">
        <v>13</v>
      </c>
      <c r="G10" s="8" t="s">
        <v>14</v>
      </c>
    </row>
    <row r="11" customFormat="false" ht="15" hidden="false" customHeight="false" outlineLevel="0" collapsed="false">
      <c r="A11" s="9" t="s">
        <v>15</v>
      </c>
      <c r="B11" s="9"/>
      <c r="C11" s="10" t="n">
        <f aca="false">D11/(D11+E11)</f>
        <v>0.532712412352854</v>
      </c>
      <c r="D11" s="11" t="n">
        <v>138964.3634785</v>
      </c>
      <c r="E11" s="11" t="n">
        <v>121897.520450072</v>
      </c>
      <c r="F11" s="11" t="n">
        <v>487006</v>
      </c>
      <c r="G11" s="12" t="n">
        <v>0.567547380963682</v>
      </c>
    </row>
    <row r="12" customFormat="false" ht="15" hidden="false" customHeight="false" outlineLevel="0" collapsed="false">
      <c r="A12" s="9" t="s">
        <v>16</v>
      </c>
      <c r="B12" s="9"/>
      <c r="C12" s="10" t="n">
        <f aca="false">D12/(D12+E12)</f>
        <v>0.496045013832947</v>
      </c>
      <c r="D12" s="11" t="n">
        <v>191745.708602983</v>
      </c>
      <c r="E12" s="11" t="n">
        <v>194803.300571329</v>
      </c>
      <c r="F12" s="11" t="n">
        <v>524392</v>
      </c>
      <c r="G12" s="12" t="n">
        <v>0.556119902801681</v>
      </c>
    </row>
    <row r="13" customFormat="false" ht="15" hidden="false" customHeight="false" outlineLevel="0" collapsed="false">
      <c r="A13" s="9" t="s">
        <v>17</v>
      </c>
      <c r="B13" s="9"/>
      <c r="C13" s="10" t="n">
        <f aca="false">D13/(D13+E13)</f>
        <v>0.508784287165594</v>
      </c>
      <c r="D13" s="11" t="n">
        <v>150244</v>
      </c>
      <c r="E13" s="11" t="n">
        <v>145056</v>
      </c>
      <c r="F13" s="11" t="n">
        <v>517457</v>
      </c>
      <c r="G13" s="12" t="n">
        <v>0.546388514068267</v>
      </c>
    </row>
    <row r="14" customFormat="false" ht="15" hidden="false" customHeight="false" outlineLevel="0" collapsed="false">
      <c r="A14" s="9" t="s">
        <v>18</v>
      </c>
      <c r="B14" s="9"/>
      <c r="C14" s="10" t="n">
        <f aca="false">D14/(D14+E14)</f>
        <v>0.49403979796264</v>
      </c>
      <c r="D14" s="11" t="n">
        <v>197775</v>
      </c>
      <c r="E14" s="11" t="n">
        <v>202547</v>
      </c>
      <c r="F14" s="11" t="n">
        <v>542756</v>
      </c>
      <c r="G14" s="12" t="n">
        <v>0.526293179693225</v>
      </c>
    </row>
    <row r="15" customFormat="false" ht="15" hidden="false" customHeight="false" outlineLevel="0" collapsed="false">
      <c r="A15" s="9" t="s">
        <v>19</v>
      </c>
      <c r="B15" s="9"/>
      <c r="C15" s="9"/>
      <c r="D15" s="9"/>
      <c r="E15" s="9"/>
      <c r="F15" s="11" t="n">
        <v>536459</v>
      </c>
      <c r="G15" s="12" t="n">
        <v>0.520563904575044</v>
      </c>
    </row>
    <row r="16" customFormat="false" ht="15" hidden="false" customHeight="false" outlineLevel="0" collapsed="false">
      <c r="A16" s="13" t="s">
        <v>20</v>
      </c>
      <c r="B16" s="13"/>
      <c r="C16" s="13"/>
      <c r="D16" s="13"/>
      <c r="E16" s="13"/>
      <c r="F16" s="13"/>
      <c r="G16" s="13"/>
      <c r="H16" s="13"/>
      <c r="I16" s="13"/>
    </row>
    <row r="18" customFormat="false" ht="15" hidden="false" customHeight="false" outlineLevel="0" collapsed="false">
      <c r="A18" s="2" t="s">
        <v>21</v>
      </c>
      <c r="C18" s="14" t="n">
        <f aca="false">0.67*C13+0.33*C14</f>
        <v>0.50391860572862</v>
      </c>
    </row>
    <row r="19" customFormat="false" ht="15" hidden="false" customHeight="false" outlineLevel="0" collapsed="false">
      <c r="A19" s="2" t="s">
        <v>22</v>
      </c>
      <c r="C19" s="15" t="n">
        <f aca="false">(G15-(0.67*G13+0.33*G14))*100</f>
        <v>-1.91931491494597</v>
      </c>
    </row>
    <row r="20" customFormat="false" ht="15" hidden="false" customHeight="false" outlineLevel="0" collapsed="false">
      <c r="A20" s="2" t="s">
        <v>23</v>
      </c>
      <c r="C20" s="16" t="n">
        <v>0.552769135053475</v>
      </c>
      <c r="D20" s="3" t="s">
        <v>24</v>
      </c>
    </row>
    <row r="21" customFormat="false" ht="15" hidden="false" customHeight="false" outlineLevel="0" collapsed="false">
      <c r="A21" s="5" t="s">
        <v>25</v>
      </c>
      <c r="C21" s="17" t="n">
        <f aca="false">C18+C20*C19/100</f>
        <v>0.49330922527432</v>
      </c>
    </row>
    <row r="22" customFormat="false" ht="15" hidden="false" customHeight="false" outlineLevel="0" collapsed="false">
      <c r="A22" s="2" t="s">
        <v>26</v>
      </c>
      <c r="C22" s="14" t="n">
        <f aca="false">C18</f>
        <v>0.50391860572862</v>
      </c>
    </row>
    <row r="23" customFormat="false" ht="15" hidden="false" customHeight="false" outlineLevel="0" collapsed="false">
      <c r="A23" s="2" t="s">
        <v>27</v>
      </c>
      <c r="C23" s="12" t="n">
        <v>0.567469570934891</v>
      </c>
    </row>
    <row r="24" customFormat="false" ht="15" hidden="false" customHeight="false" outlineLevel="0" collapsed="false">
      <c r="A24" s="2" t="s">
        <v>28</v>
      </c>
      <c r="C24" s="11" t="n">
        <v>539345</v>
      </c>
    </row>
    <row r="25" customFormat="false" ht="15" hidden="false" customHeight="false" outlineLevel="0" collapsed="false">
      <c r="A25" s="2" t="s">
        <v>29</v>
      </c>
      <c r="C25" s="18" t="n">
        <f aca="false">C23*C24</f>
        <v>306061.875735879</v>
      </c>
    </row>
    <row r="26" customFormat="false" ht="15" hidden="false" customHeight="false" outlineLevel="0" collapsed="false">
      <c r="A26" s="2" t="s">
        <v>30</v>
      </c>
      <c r="C26" s="11" t="n">
        <v>306130.810989982</v>
      </c>
      <c r="D26" s="3" t="s">
        <v>31</v>
      </c>
    </row>
    <row r="27" customFormat="false" ht="15" hidden="false" customHeight="false" outlineLevel="0" collapsed="false">
      <c r="A27" s="5" t="s">
        <v>32</v>
      </c>
      <c r="C27" s="19" t="n">
        <f aca="false">C26*C7</f>
        <v>306130.810989982</v>
      </c>
    </row>
    <row r="29" customFormat="false" ht="15" hidden="false" customHeight="false" outlineLevel="0" collapsed="false">
      <c r="A29" s="4" t="s">
        <v>33</v>
      </c>
      <c r="B29" s="4"/>
      <c r="C29" s="4"/>
      <c r="D29" s="4"/>
      <c r="E29" s="4"/>
      <c r="F29" s="4"/>
      <c r="G29" s="4"/>
      <c r="H29" s="4"/>
      <c r="I29" s="4"/>
      <c r="J29" s="4"/>
    </row>
    <row r="30" customFormat="false" ht="45" hidden="false" customHeight="true" outlineLevel="0" collapsed="false">
      <c r="A30" s="8" t="s">
        <v>34</v>
      </c>
      <c r="B30" s="8" t="s">
        <v>35</v>
      </c>
      <c r="C30" s="8" t="s">
        <v>36</v>
      </c>
      <c r="D30" s="8" t="s">
        <v>37</v>
      </c>
      <c r="E30" s="8" t="s">
        <v>38</v>
      </c>
      <c r="F30" s="8" t="s">
        <v>39</v>
      </c>
      <c r="G30" s="8" t="s">
        <v>40</v>
      </c>
      <c r="H30" s="8" t="s">
        <v>41</v>
      </c>
      <c r="I30" s="8" t="s">
        <v>42</v>
      </c>
      <c r="J30" s="8" t="s">
        <v>43</v>
      </c>
    </row>
    <row r="31" customFormat="false" ht="15" hidden="false" customHeight="false" outlineLevel="0" collapsed="false">
      <c r="A31" s="20" t="s">
        <v>44</v>
      </c>
      <c r="B31" s="21" t="s">
        <v>45</v>
      </c>
      <c r="C31" s="22" t="n">
        <f aca="false">'2026 Forecast A'!D8</f>
        <v>151016</v>
      </c>
      <c r="D31" s="22" t="n">
        <f aca="false">'2026 Forecast A'!E8</f>
        <v>155113</v>
      </c>
      <c r="E31" s="22" t="n">
        <f aca="false">'2026 Forecast A'!F8</f>
        <v>306129</v>
      </c>
      <c r="F31" s="23" t="n">
        <f aca="false">'2026 Forecast A'!G8</f>
        <v>0.493308376534076</v>
      </c>
      <c r="G31" s="24" t="n">
        <f aca="false">'2026 Forecast A'!L8</f>
        <v>2.11861454545127</v>
      </c>
      <c r="H31" s="21" t="str">
        <f aca="false">TEXT('2026 Forecast A'!M8,"0.0%")&amp;" – "&amp;TEXT('2026 Forecast A'!N8,"0.0%")</f>
        <v>45.2% – 53.5%</v>
      </c>
      <c r="I31" s="22" t="n">
        <f aca="false">'2026 Forecast A'!O8</f>
        <v>10715</v>
      </c>
      <c r="J31" s="22" t="n">
        <f aca="false">'2026 Forecast A'!P8</f>
        <v>8367</v>
      </c>
    </row>
    <row r="32" customFormat="false" ht="15" hidden="false" customHeight="false" outlineLevel="0" collapsed="false">
      <c r="A32" s="20" t="s">
        <v>46</v>
      </c>
      <c r="B32" s="21" t="s">
        <v>47</v>
      </c>
      <c r="C32" s="22" t="n">
        <f aca="false">'2026 Forecast B'!D8</f>
        <v>151016</v>
      </c>
      <c r="D32" s="22" t="n">
        <f aca="false">'2026 Forecast B'!E8</f>
        <v>155113</v>
      </c>
      <c r="E32" s="22" t="n">
        <f aca="false">'2026 Forecast B'!F8</f>
        <v>306129</v>
      </c>
      <c r="F32" s="23" t="n">
        <f aca="false">'2026 Forecast B'!G8</f>
        <v>0.493308376534076</v>
      </c>
      <c r="G32" s="24" t="n">
        <f aca="false">'2026 Forecast B'!L8</f>
        <v>2.11954916662514</v>
      </c>
      <c r="H32" s="21" t="str">
        <f aca="false">TEXT('2026 Forecast B'!M8,"0.0%")&amp;" – "&amp;TEXT('2026 Forecast B'!N8,"0.0%")</f>
        <v>45.2% – 53.5%</v>
      </c>
      <c r="I32" s="22" t="n">
        <f aca="false">'2026 Forecast B'!O8</f>
        <v>10715</v>
      </c>
      <c r="J32" s="22" t="n">
        <f aca="false">'2026 Forecast B'!P8</f>
        <v>8369</v>
      </c>
    </row>
    <row r="33" customFormat="false" ht="15" hidden="false" customHeight="false" outlineLevel="0" collapsed="false">
      <c r="A33" s="20" t="s">
        <v>48</v>
      </c>
      <c r="B33" s="21" t="s">
        <v>49</v>
      </c>
      <c r="C33" s="22" t="n">
        <f aca="false">'2026 Forecast C'!D8</f>
        <v>151017</v>
      </c>
      <c r="D33" s="22" t="n">
        <f aca="false">'2026 Forecast C'!E8</f>
        <v>155112</v>
      </c>
      <c r="E33" s="22" t="n">
        <f aca="false">'2026 Forecast C'!F8</f>
        <v>306129</v>
      </c>
      <c r="F33" s="23" t="n">
        <f aca="false">'2026 Forecast C'!G8</f>
        <v>0.493311643130837</v>
      </c>
      <c r="G33" s="24" t="n">
        <f aca="false">'2026 Forecast C'!L8</f>
        <v>2.11898216136568</v>
      </c>
      <c r="H33" s="21" t="str">
        <f aca="false">TEXT('2026 Forecast C'!M8,"0.0%")&amp;" – "&amp;TEXT('2026 Forecast C'!N8,"0.0%")</f>
        <v>45.2% – 53.5%</v>
      </c>
      <c r="I33" s="22" t="n">
        <f aca="false">'2026 Forecast C'!O8</f>
        <v>10715</v>
      </c>
      <c r="J33" s="22" t="n">
        <f aca="false">'2026 Forecast C'!P8</f>
        <v>8368</v>
      </c>
    </row>
    <row r="34" customFormat="false" ht="15" hidden="false" customHeight="false" outlineLevel="0" collapsed="false">
      <c r="A34" s="13" t="s">
        <v>50</v>
      </c>
      <c r="B34" s="13"/>
      <c r="C34" s="13"/>
      <c r="D34" s="13"/>
      <c r="E34" s="13"/>
      <c r="F34" s="13"/>
      <c r="G34" s="13"/>
      <c r="H34" s="13"/>
      <c r="I34" s="13"/>
      <c r="J34" s="13"/>
    </row>
    <row r="36" customFormat="false" ht="15" hidden="false" customHeight="false" outlineLevel="0" collapsed="false">
      <c r="A36" s="4" t="s">
        <v>51</v>
      </c>
      <c r="B36" s="4"/>
      <c r="C36" s="4"/>
      <c r="D36" s="4"/>
      <c r="E36" s="4"/>
      <c r="F36" s="4"/>
      <c r="G36" s="4"/>
      <c r="H36" s="4"/>
      <c r="I36" s="4"/>
      <c r="J36" s="4"/>
      <c r="K36" s="4"/>
      <c r="L36" s="4"/>
    </row>
    <row r="37" customFormat="false" ht="60" hidden="false" customHeight="true" outlineLevel="0" collapsed="false">
      <c r="A37" s="8" t="s">
        <v>34</v>
      </c>
      <c r="B37" s="8" t="s">
        <v>52</v>
      </c>
      <c r="C37" s="8" t="s">
        <v>53</v>
      </c>
      <c r="D37" s="8" t="s">
        <v>54</v>
      </c>
      <c r="E37" s="8" t="s">
        <v>55</v>
      </c>
      <c r="F37" s="8" t="s">
        <v>56</v>
      </c>
      <c r="G37" s="8" t="s">
        <v>57</v>
      </c>
      <c r="H37" s="8" t="s">
        <v>58</v>
      </c>
      <c r="I37" s="8" t="s">
        <v>59</v>
      </c>
      <c r="J37" s="8" t="s">
        <v>60</v>
      </c>
      <c r="K37" s="8" t="s">
        <v>61</v>
      </c>
      <c r="L37" s="8" t="s">
        <v>62</v>
      </c>
    </row>
    <row r="38" customFormat="false" ht="15" hidden="false" customHeight="false" outlineLevel="0" collapsed="false">
      <c r="A38" s="25" t="s">
        <v>44</v>
      </c>
      <c r="B38" s="25" t="s">
        <v>63</v>
      </c>
      <c r="C38" s="26" t="n">
        <f aca="false">'Backtest 2024 A'!F99</f>
        <v>-0.152953929556954</v>
      </c>
      <c r="D38" s="27" t="n">
        <f aca="false">'Backtest 2024 A'!F101</f>
        <v>-0.00850590604430279</v>
      </c>
      <c r="E38" s="28" t="n">
        <f aca="false">'Backtest 2024 A'!F102</f>
        <v>-0.00242036840658266</v>
      </c>
      <c r="F38" s="27" t="n">
        <f aca="false">'Backtest 2024 A'!F103</f>
        <v>-0.00543249180539229</v>
      </c>
      <c r="G38" s="29" t="n">
        <f aca="false">'Backtest 2024 A'!F100</f>
        <v>1.64164893764056</v>
      </c>
      <c r="H38" s="29" t="n">
        <f aca="false">'Backtest 2024 A'!F98</f>
        <v>1.68019860535572</v>
      </c>
      <c r="I38" s="29" t="n">
        <f aca="false">'Backtest 2024 A'!F104</f>
        <v>4.16637353990133</v>
      </c>
      <c r="J38" s="30" t="n">
        <f aca="false">'Backtest 2024 A'!F105</f>
        <v>0.98876404494382</v>
      </c>
      <c r="K38" s="30" t="n">
        <f aca="false">'Backtest 2024 A'!F106</f>
        <v>1</v>
      </c>
      <c r="L38" s="31" t="n">
        <f aca="false">'Backtest 2024 A'!F107</f>
        <v>0.898876404494382</v>
      </c>
    </row>
    <row r="39" customFormat="false" ht="15" hidden="false" customHeight="false" outlineLevel="0" collapsed="false">
      <c r="A39" s="25" t="s">
        <v>46</v>
      </c>
      <c r="B39" s="25" t="s">
        <v>63</v>
      </c>
      <c r="C39" s="26" t="n">
        <f aca="false">'Backtest 2024 B'!F99</f>
        <v>-0.152953929556954</v>
      </c>
      <c r="D39" s="27" t="n">
        <f aca="false">'Backtest 2024 B'!F101</f>
        <v>-0.00850590604430279</v>
      </c>
      <c r="E39" s="28" t="n">
        <f aca="false">'Backtest 2024 B'!F102</f>
        <v>-0.00242036840658266</v>
      </c>
      <c r="F39" s="27" t="n">
        <f aca="false">'Backtest 2024 B'!F103</f>
        <v>-0.00543249180539229</v>
      </c>
      <c r="G39" s="29" t="n">
        <f aca="false">'Backtest 2024 B'!F100</f>
        <v>1.77988754636038</v>
      </c>
      <c r="H39" s="29" t="n">
        <f aca="false">'Backtest 2024 B'!F98</f>
        <v>1.80152552673782</v>
      </c>
      <c r="I39" s="29" t="n">
        <f aca="false">'Backtest 2024 B'!F104</f>
        <v>3.99281721709313</v>
      </c>
      <c r="J39" s="30" t="n">
        <f aca="false">'Backtest 2024 B'!F105</f>
        <v>0.97752808988764</v>
      </c>
      <c r="K39" s="30" t="n">
        <f aca="false">'Backtest 2024 B'!F106</f>
        <v>1</v>
      </c>
      <c r="L39" s="31" t="n">
        <f aca="false">'Backtest 2024 B'!F107</f>
        <v>0.910112359550562</v>
      </c>
    </row>
    <row r="40" customFormat="false" ht="15" hidden="false" customHeight="false" outlineLevel="0" collapsed="false">
      <c r="A40" s="25" t="s">
        <v>48</v>
      </c>
      <c r="B40" s="25" t="s">
        <v>63</v>
      </c>
      <c r="C40" s="26" t="n">
        <f aca="false">'Backtest 2024 C'!F99</f>
        <v>-0.153951129916946</v>
      </c>
      <c r="D40" s="27" t="n">
        <f aca="false">'Backtest 2024 C'!F101</f>
        <v>-0.00852594351437186</v>
      </c>
      <c r="E40" s="28" t="n">
        <f aca="false">'Backtest 2024 C'!F102</f>
        <v>-0.00240073052904444</v>
      </c>
      <c r="F40" s="27" t="n">
        <f aca="false">'Backtest 2024 C'!F103</f>
        <v>-0.00543249180539229</v>
      </c>
      <c r="G40" s="29" t="n">
        <f aca="false">'Backtest 2024 C'!F100</f>
        <v>2.24503909969786</v>
      </c>
      <c r="H40" s="29" t="n">
        <f aca="false">'Backtest 2024 C'!F98</f>
        <v>2.32279958191408</v>
      </c>
      <c r="I40" s="29" t="n">
        <f aca="false">'Backtest 2024 C'!F104</f>
        <v>3.80595200778715</v>
      </c>
      <c r="J40" s="30" t="n">
        <f aca="false">'Backtest 2024 C'!F105</f>
        <v>0.887640449438202</v>
      </c>
      <c r="K40" s="30" t="n">
        <f aca="false">'Backtest 2024 C'!F106</f>
        <v>1</v>
      </c>
      <c r="L40" s="31" t="n">
        <f aca="false">'Backtest 2024 C'!F107</f>
        <v>0.797752808988764</v>
      </c>
    </row>
    <row r="41" customFormat="false" ht="15" hidden="false" customHeight="false" outlineLevel="0" collapsed="false">
      <c r="A41" s="25" t="s">
        <v>44</v>
      </c>
      <c r="B41" s="25" t="s">
        <v>64</v>
      </c>
      <c r="C41" s="26" t="n">
        <f aca="false">'Backtest 2022 A'!F99</f>
        <v>-2.08014771184668</v>
      </c>
      <c r="D41" s="27" t="n">
        <f aca="false">'Backtest 2022 A'!F101</f>
        <v>-0.0984514151317354</v>
      </c>
      <c r="E41" s="28" t="n">
        <f aca="false">'Backtest 2022 A'!F102</f>
        <v>-0.0202161798154294</v>
      </c>
      <c r="F41" s="27" t="n">
        <f aca="false">'Backtest 2022 A'!F103</f>
        <v>-0.0601028660350095</v>
      </c>
      <c r="G41" s="29" t="n">
        <f aca="false">'Backtest 2022 A'!F100</f>
        <v>3.68618699268832</v>
      </c>
      <c r="H41" s="29" t="n">
        <f aca="false">'Backtest 2022 A'!F98</f>
        <v>3.45191131417464</v>
      </c>
      <c r="I41" s="29" t="n">
        <f aca="false">'Backtest 2022 A'!F104</f>
        <v>3.12866230355939</v>
      </c>
      <c r="J41" s="30" t="n">
        <f aca="false">'Backtest 2022 A'!F105</f>
        <v>0.752808988764045</v>
      </c>
      <c r="K41" s="30" t="n">
        <f aca="false">'Backtest 2022 A'!F106</f>
        <v>0.932584269662921</v>
      </c>
      <c r="L41" s="31" t="n">
        <f aca="false">'Backtest 2022 A'!F107</f>
        <v>0.730337078651685</v>
      </c>
    </row>
    <row r="42" customFormat="false" ht="15" hidden="false" customHeight="false" outlineLevel="0" collapsed="false">
      <c r="A42" s="25" t="s">
        <v>46</v>
      </c>
      <c r="B42" s="25" t="s">
        <v>64</v>
      </c>
      <c r="C42" s="26" t="n">
        <f aca="false">'Backtest 2022 B'!F99</f>
        <v>-2.0833729749744</v>
      </c>
      <c r="D42" s="27" t="n">
        <f aca="false">'Backtest 2022 B'!F101</f>
        <v>-0.0985108744483497</v>
      </c>
      <c r="E42" s="28" t="n">
        <f aca="false">'Backtest 2022 B'!F102</f>
        <v>-0.0201543356215685</v>
      </c>
      <c r="F42" s="27" t="n">
        <f aca="false">'Backtest 2022 B'!F103</f>
        <v>-0.0601028660350095</v>
      </c>
      <c r="G42" s="29" t="n">
        <f aca="false">'Backtest 2022 B'!F100</f>
        <v>3.27457885618068</v>
      </c>
      <c r="H42" s="29" t="n">
        <f aca="false">'Backtest 2022 B'!F98</f>
        <v>3.11454385228576</v>
      </c>
      <c r="I42" s="29" t="n">
        <f aca="false">'Backtest 2022 B'!F104</f>
        <v>3.19727945047706</v>
      </c>
      <c r="J42" s="30" t="n">
        <f aca="false">'Backtest 2022 B'!F105</f>
        <v>0.719101123595506</v>
      </c>
      <c r="K42" s="30" t="n">
        <f aca="false">'Backtest 2022 B'!F106</f>
        <v>0.943820224719101</v>
      </c>
      <c r="L42" s="31" t="n">
        <f aca="false">'Backtest 2022 B'!F107</f>
        <v>0.719101123595506</v>
      </c>
    </row>
    <row r="43" customFormat="false" ht="15" hidden="false" customHeight="false" outlineLevel="0" collapsed="false">
      <c r="A43" s="25" t="s">
        <v>48</v>
      </c>
      <c r="B43" s="25" t="s">
        <v>64</v>
      </c>
      <c r="C43" s="26" t="n">
        <f aca="false">'Backtest 2022 C'!F99</f>
        <v>-2.08193952469541</v>
      </c>
      <c r="D43" s="27" t="n">
        <f aca="false">'Backtest 2022 C'!F101</f>
        <v>-0.09848444808541</v>
      </c>
      <c r="E43" s="28" t="n">
        <f aca="false">'Backtest 2022 C'!F102</f>
        <v>-0.0201818219299511</v>
      </c>
      <c r="F43" s="27" t="n">
        <f aca="false">'Backtest 2022 C'!F103</f>
        <v>-0.0601028660350095</v>
      </c>
      <c r="G43" s="29" t="n">
        <f aca="false">'Backtest 2022 C'!F100</f>
        <v>3.06808327381911</v>
      </c>
      <c r="H43" s="29" t="n">
        <f aca="false">'Backtest 2022 C'!F98</f>
        <v>3.14493131055275</v>
      </c>
      <c r="I43" s="29" t="n">
        <f aca="false">'Backtest 2022 C'!F104</f>
        <v>3.17591193949819</v>
      </c>
      <c r="J43" s="30" t="n">
        <f aca="false">'Backtest 2022 C'!F105</f>
        <v>0.775280898876405</v>
      </c>
      <c r="K43" s="30" t="n">
        <f aca="false">'Backtest 2022 C'!F106</f>
        <v>0.943820224719101</v>
      </c>
      <c r="L43" s="31" t="n">
        <f aca="false">'Backtest 2022 C'!F107</f>
        <v>0.764044943820225</v>
      </c>
    </row>
    <row r="44" customFormat="false" ht="15" hidden="false" customHeight="false" outlineLevel="0" collapsed="false">
      <c r="A44" s="32" t="s">
        <v>44</v>
      </c>
      <c r="B44" s="32" t="s">
        <v>65</v>
      </c>
      <c r="C44" s="33" t="n">
        <f aca="false">'Backtest 2020 A'!F99</f>
        <v>3.0191628613174</v>
      </c>
      <c r="D44" s="34" t="n">
        <f aca="false">'Backtest 2020 A'!F101</f>
        <v>0.0668789644012946</v>
      </c>
      <c r="E44" s="35" t="n">
        <f aca="false">'Backtest 2020 A'!F102</f>
        <v>-0.0545910533319685</v>
      </c>
      <c r="F44" s="34" t="n">
        <f aca="false">'Backtest 2020 A'!F103</f>
        <v>0.00579143125571102</v>
      </c>
      <c r="G44" s="36" t="n">
        <f aca="false">'Backtest 2020 A'!F100</f>
        <v>2.92864450592652</v>
      </c>
      <c r="H44" s="36" t="n">
        <f aca="false">'Backtest 2020 A'!F98</f>
        <v>5.1538555173643</v>
      </c>
      <c r="I44" s="36" t="n">
        <f aca="false">'Backtest 2020 A'!F104</f>
        <v>3.14063710272521</v>
      </c>
      <c r="J44" s="37" t="n">
        <f aca="false">'Backtest 2020 A'!F105</f>
        <v>0.325842696629214</v>
      </c>
      <c r="K44" s="37" t="n">
        <f aca="false">'Backtest 2020 A'!F106</f>
        <v>0.707865168539326</v>
      </c>
      <c r="L44" s="38" t="n">
        <f aca="false">'Backtest 2020 A'!F107</f>
        <v>0.337078651685393</v>
      </c>
    </row>
    <row r="45" customFormat="false" ht="15" hidden="false" customHeight="false" outlineLevel="0" collapsed="false">
      <c r="A45" s="32" t="s">
        <v>46</v>
      </c>
      <c r="B45" s="32" t="s">
        <v>65</v>
      </c>
      <c r="C45" s="33" t="n">
        <f aca="false">'Backtest 2020 B'!F99</f>
        <v>3.01890694648586</v>
      </c>
      <c r="D45" s="34" t="n">
        <f aca="false">'Backtest 2020 B'!F101</f>
        <v>0.0668737864077671</v>
      </c>
      <c r="E45" s="35" t="n">
        <f aca="false">'Backtest 2020 B'!F102</f>
        <v>-0.0545859351008292</v>
      </c>
      <c r="F45" s="34" t="n">
        <f aca="false">'Backtest 2020 B'!F103</f>
        <v>0.00579143125571102</v>
      </c>
      <c r="G45" s="36" t="n">
        <f aca="false">'Backtest 2020 B'!F100</f>
        <v>2.98317013380414</v>
      </c>
      <c r="H45" s="36" t="n">
        <f aca="false">'Backtest 2020 B'!F98</f>
        <v>5.20355770670178</v>
      </c>
      <c r="I45" s="36" t="n">
        <f aca="false">'Backtest 2020 B'!F104</f>
        <v>2.93053961449958</v>
      </c>
      <c r="J45" s="37" t="n">
        <f aca="false">'Backtest 2020 B'!F105</f>
        <v>0.269662921348315</v>
      </c>
      <c r="K45" s="37" t="n">
        <f aca="false">'Backtest 2020 B'!F106</f>
        <v>0.707865168539326</v>
      </c>
      <c r="L45" s="38" t="n">
        <f aca="false">'Backtest 2020 B'!F107</f>
        <v>0.325842696629214</v>
      </c>
    </row>
    <row r="46" customFormat="false" ht="15" hidden="false" customHeight="false" outlineLevel="0" collapsed="false">
      <c r="A46" s="32" t="s">
        <v>48</v>
      </c>
      <c r="B46" s="32" t="s">
        <v>65</v>
      </c>
      <c r="C46" s="33" t="n">
        <f aca="false">'Backtest 2020 C'!F99</f>
        <v>3.01865103165431</v>
      </c>
      <c r="D46" s="34" t="n">
        <f aca="false">'Backtest 2020 C'!F101</f>
        <v>0.0668686084142396</v>
      </c>
      <c r="E46" s="35" t="n">
        <f aca="false">'Backtest 2020 C'!F102</f>
        <v>-0.0545808168696899</v>
      </c>
      <c r="F46" s="34" t="n">
        <f aca="false">'Backtest 2020 C'!F103</f>
        <v>0.00579143125571102</v>
      </c>
      <c r="G46" s="36" t="n">
        <f aca="false">'Backtest 2020 C'!F100</f>
        <v>2.57208205428727</v>
      </c>
      <c r="H46" s="36" t="n">
        <f aca="false">'Backtest 2020 C'!F98</f>
        <v>4.56090816438336</v>
      </c>
      <c r="I46" s="36" t="n">
        <f aca="false">'Backtest 2020 C'!F104</f>
        <v>3.00324180580439</v>
      </c>
      <c r="J46" s="37" t="n">
        <f aca="false">'Backtest 2020 C'!F105</f>
        <v>0.370786516853933</v>
      </c>
      <c r="K46" s="37" t="n">
        <f aca="false">'Backtest 2020 C'!F106</f>
        <v>0.764044943820225</v>
      </c>
      <c r="L46" s="38" t="n">
        <f aca="false">'Backtest 2020 C'!F107</f>
        <v>0.393258426966292</v>
      </c>
    </row>
    <row r="47" customFormat="false" ht="15" hidden="false" customHeight="false" outlineLevel="0" collapsed="false">
      <c r="A47" s="13" t="s">
        <v>66</v>
      </c>
      <c r="B47" s="13"/>
      <c r="C47" s="13"/>
      <c r="D47" s="13"/>
      <c r="E47" s="13"/>
      <c r="F47" s="13"/>
      <c r="G47" s="13"/>
      <c r="H47" s="13"/>
      <c r="I47" s="13"/>
      <c r="J47" s="13"/>
      <c r="K47" s="13"/>
      <c r="L47" s="13"/>
    </row>
    <row r="49" customFormat="false" ht="15" hidden="false" customHeight="false" outlineLevel="0" collapsed="false">
      <c r="A49" s="4" t="s">
        <v>67</v>
      </c>
      <c r="B49" s="4"/>
      <c r="C49" s="4"/>
      <c r="D49" s="4"/>
      <c r="E49" s="4"/>
      <c r="F49" s="4"/>
      <c r="G49" s="4"/>
      <c r="H49" s="4"/>
      <c r="I49" s="4"/>
      <c r="J49" s="4"/>
      <c r="K49" s="4"/>
      <c r="L49" s="4"/>
    </row>
    <row r="50" customFormat="false" ht="15" hidden="false" customHeight="false" outlineLevel="0" collapsed="false">
      <c r="A50" s="5" t="s">
        <v>68</v>
      </c>
    </row>
    <row r="51" customFormat="false" ht="49.5" hidden="false" customHeight="true" outlineLevel="0" collapsed="false">
      <c r="A51" s="39" t="s">
        <v>69</v>
      </c>
      <c r="B51" s="39"/>
      <c r="C51" s="39"/>
      <c r="D51" s="39"/>
      <c r="E51" s="39"/>
      <c r="F51" s="39"/>
      <c r="G51" s="39"/>
      <c r="H51" s="39"/>
      <c r="I51" s="39"/>
      <c r="J51" s="39"/>
      <c r="K51" s="39"/>
      <c r="L51" s="39"/>
    </row>
    <row r="52" customFormat="false" ht="15" hidden="false" customHeight="false" outlineLevel="0" collapsed="false">
      <c r="A52" s="5" t="s">
        <v>70</v>
      </c>
    </row>
    <row r="53" customFormat="false" ht="49.5" hidden="false" customHeight="true" outlineLevel="0" collapsed="false">
      <c r="A53" s="39" t="s">
        <v>71</v>
      </c>
      <c r="B53" s="39"/>
      <c r="C53" s="39"/>
      <c r="D53" s="39"/>
      <c r="E53" s="39"/>
      <c r="F53" s="39"/>
      <c r="G53" s="39"/>
      <c r="H53" s="39"/>
      <c r="I53" s="39"/>
      <c r="J53" s="39"/>
      <c r="K53" s="39"/>
      <c r="L53" s="39"/>
    </row>
    <row r="54" customFormat="false" ht="15" hidden="false" customHeight="false" outlineLevel="0" collapsed="false">
      <c r="A54" s="5" t="s">
        <v>72</v>
      </c>
    </row>
    <row r="55" customFormat="false" ht="49.5" hidden="false" customHeight="true" outlineLevel="0" collapsed="false">
      <c r="A55" s="39" t="s">
        <v>73</v>
      </c>
      <c r="B55" s="39"/>
      <c r="C55" s="39"/>
      <c r="D55" s="39"/>
      <c r="E55" s="39"/>
      <c r="F55" s="39"/>
      <c r="G55" s="39"/>
      <c r="H55" s="39"/>
      <c r="I55" s="39"/>
      <c r="J55" s="39"/>
      <c r="K55" s="39"/>
      <c r="L55" s="39"/>
    </row>
    <row r="57" customFormat="false" ht="45" hidden="false" customHeight="true" outlineLevel="0" collapsed="false">
      <c r="A57" s="8" t="s">
        <v>9</v>
      </c>
      <c r="B57" s="8" t="s">
        <v>74</v>
      </c>
      <c r="C57" s="8" t="s">
        <v>75</v>
      </c>
      <c r="D57" s="8" t="s">
        <v>76</v>
      </c>
      <c r="E57" s="8" t="s">
        <v>77</v>
      </c>
      <c r="F57" s="8" t="s">
        <v>78</v>
      </c>
      <c r="G57" s="8" t="s">
        <v>79</v>
      </c>
      <c r="H57" s="8" t="s">
        <v>80</v>
      </c>
      <c r="I57" s="8" t="s">
        <v>81</v>
      </c>
      <c r="J57" s="8" t="s">
        <v>82</v>
      </c>
    </row>
    <row r="58" customFormat="false" ht="15" hidden="false" customHeight="false" outlineLevel="0" collapsed="false">
      <c r="A58" s="32" t="s">
        <v>83</v>
      </c>
      <c r="B58" s="32" t="s">
        <v>84</v>
      </c>
      <c r="C58" s="40" t="n">
        <v>0.50391860572862</v>
      </c>
      <c r="D58" s="41" t="n">
        <v>-1.06093804542992</v>
      </c>
      <c r="E58" s="42" t="n">
        <v>0.49330922527432</v>
      </c>
      <c r="F58" s="40" t="s">
        <v>85</v>
      </c>
      <c r="G58" s="33" t="s">
        <v>85</v>
      </c>
      <c r="H58" s="34" t="s">
        <v>85</v>
      </c>
      <c r="I58" s="34" t="s">
        <v>85</v>
      </c>
      <c r="J58" s="34" t="s">
        <v>85</v>
      </c>
    </row>
    <row r="59" customFormat="false" ht="15" hidden="false" customHeight="false" outlineLevel="0" collapsed="false">
      <c r="A59" s="32" t="s">
        <v>86</v>
      </c>
      <c r="B59" s="32" t="s">
        <v>87</v>
      </c>
      <c r="C59" s="40" t="n">
        <v>0.506236432499065</v>
      </c>
      <c r="D59" s="41" t="n">
        <v>-1.28060521671068</v>
      </c>
      <c r="E59" s="42" t="n">
        <v>0.493430380331958</v>
      </c>
      <c r="F59" s="40" t="n">
        <v>0.49403979796264</v>
      </c>
      <c r="G59" s="33" t="n">
        <v>-0.0609417630682063</v>
      </c>
      <c r="H59" s="34" t="n">
        <v>-0.00542797432085174</v>
      </c>
      <c r="I59" s="34" t="n">
        <v>-0.00850590604430279</v>
      </c>
      <c r="J59" s="34" t="n">
        <v>-0.00242036840658266</v>
      </c>
    </row>
    <row r="60" customFormat="false" ht="15" hidden="false" customHeight="false" outlineLevel="0" collapsed="false">
      <c r="A60" s="32" t="s">
        <v>88</v>
      </c>
      <c r="B60" s="32" t="s">
        <v>89</v>
      </c>
      <c r="C60" s="40" t="n">
        <v>0.496045013832947</v>
      </c>
      <c r="D60" s="41" t="n">
        <v>-0.703990283979966</v>
      </c>
      <c r="E60" s="42" t="n">
        <v>0.489005110993147</v>
      </c>
      <c r="F60" s="40" t="n">
        <v>0.508784287165594</v>
      </c>
      <c r="G60" s="33" t="n">
        <v>-1.97791761724474</v>
      </c>
      <c r="H60" s="34" t="n">
        <v>-0.0600981972429879</v>
      </c>
      <c r="I60" s="34" t="n">
        <v>-0.0984514151317354</v>
      </c>
      <c r="J60" s="34" t="n">
        <v>-0.0202161798154295</v>
      </c>
    </row>
    <row r="61" customFormat="false" ht="15" hidden="false" customHeight="false" outlineLevel="0" collapsed="false">
      <c r="A61" s="32" t="s">
        <v>90</v>
      </c>
      <c r="B61" s="32" t="s">
        <v>91</v>
      </c>
      <c r="C61" s="40" t="n">
        <v>0.532712412352854</v>
      </c>
      <c r="D61" s="41" t="n">
        <v>-0.543182595929503</v>
      </c>
      <c r="E61" s="42" t="n">
        <v>0.527280586393559</v>
      </c>
      <c r="F61" s="40" t="n">
        <v>0.496045013832947</v>
      </c>
      <c r="G61" s="33" t="n">
        <v>3.12355725606124</v>
      </c>
      <c r="H61" s="34" t="n">
        <v>0.00578899152183787</v>
      </c>
      <c r="I61" s="34" t="n">
        <v>0.0668780168934191</v>
      </c>
      <c r="J61" s="34" t="n">
        <v>-0.0545908219054487</v>
      </c>
    </row>
    <row r="63" customFormat="false" ht="30" hidden="false" customHeight="true" outlineLevel="0" collapsed="false">
      <c r="A63" s="8" t="s">
        <v>92</v>
      </c>
      <c r="B63" s="8" t="s">
        <v>93</v>
      </c>
      <c r="C63" s="8" t="s">
        <v>94</v>
      </c>
      <c r="D63" s="8" t="s">
        <v>36</v>
      </c>
      <c r="E63" s="8" t="s">
        <v>37</v>
      </c>
      <c r="F63" s="8" t="s">
        <v>95</v>
      </c>
    </row>
    <row r="64" customFormat="false" ht="15" hidden="false" customHeight="false" outlineLevel="0" collapsed="false">
      <c r="A64" s="43" t="s">
        <v>96</v>
      </c>
      <c r="B64" s="44" t="n">
        <v>0.939901802757012</v>
      </c>
      <c r="C64" s="18" t="n">
        <f aca="false">'2026 Forecast A'!F8*B64</f>
        <v>287731.198976201</v>
      </c>
      <c r="D64" s="18" t="n">
        <f aca="false">ROUND(C64*'2026 Forecast A'!G8,0)</f>
        <v>141940</v>
      </c>
      <c r="E64" s="18" t="n">
        <f aca="false">C64-D64</f>
        <v>145791.198976201</v>
      </c>
      <c r="F64" s="45" t="s">
        <v>97</v>
      </c>
    </row>
    <row r="65" customFormat="false" ht="15" hidden="false" customHeight="false" outlineLevel="0" collapsed="false">
      <c r="A65" s="43" t="s">
        <v>98</v>
      </c>
      <c r="B65" s="44" t="n">
        <v>1</v>
      </c>
      <c r="C65" s="18" t="n">
        <f aca="false">'2026 Forecast A'!F8*B65</f>
        <v>306129</v>
      </c>
      <c r="D65" s="18" t="n">
        <f aca="false">ROUND(C65*'2026 Forecast A'!G8,0)</f>
        <v>151016</v>
      </c>
      <c r="E65" s="18" t="n">
        <f aca="false">C65-D65</f>
        <v>155113</v>
      </c>
      <c r="F65" s="45" t="s">
        <v>99</v>
      </c>
    </row>
    <row r="66" customFormat="false" ht="15" hidden="false" customHeight="false" outlineLevel="0" collapsed="false">
      <c r="A66" s="43" t="s">
        <v>100</v>
      </c>
      <c r="B66" s="44" t="n">
        <v>1.06009819724299</v>
      </c>
      <c r="C66" s="18" t="n">
        <f aca="false">'2026 Forecast A'!F8*B66</f>
        <v>324526.801023799</v>
      </c>
      <c r="D66" s="18" t="n">
        <f aca="false">ROUND(C66*'2026 Forecast A'!G8,0)</f>
        <v>160092</v>
      </c>
      <c r="E66" s="18" t="n">
        <f aca="false">C66-D66</f>
        <v>164434.801023799</v>
      </c>
      <c r="F66" s="45" t="s">
        <v>101</v>
      </c>
    </row>
    <row r="67" customFormat="false" ht="15" hidden="false" customHeight="false" outlineLevel="0" collapsed="false">
      <c r="A67" s="13" t="s">
        <v>102</v>
      </c>
      <c r="B67" s="13"/>
      <c r="C67" s="13"/>
      <c r="D67" s="13"/>
      <c r="E67" s="13"/>
      <c r="F67" s="13"/>
      <c r="G67" s="13"/>
      <c r="H67" s="13"/>
      <c r="I67" s="13"/>
      <c r="J67" s="13"/>
      <c r="K67" s="13"/>
      <c r="L67" s="13"/>
    </row>
    <row r="69" customFormat="false" ht="15" hidden="false" customHeight="false" outlineLevel="0" collapsed="false">
      <c r="A69" s="4" t="s">
        <v>103</v>
      </c>
      <c r="B69" s="4"/>
      <c r="C69" s="4"/>
      <c r="D69" s="4"/>
      <c r="E69" s="4"/>
      <c r="F69" s="4"/>
      <c r="G69" s="4"/>
      <c r="H69" s="4"/>
      <c r="I69" s="4"/>
      <c r="J69" s="4"/>
      <c r="K69" s="4"/>
      <c r="L69" s="4"/>
    </row>
    <row r="70" customFormat="false" ht="15" hidden="false" customHeight="false" outlineLevel="0" collapsed="false">
      <c r="A70" s="5" t="s">
        <v>104</v>
      </c>
    </row>
    <row r="71" customFormat="false" ht="48" hidden="false" customHeight="true" outlineLevel="0" collapsed="false">
      <c r="A71" s="39" t="s">
        <v>105</v>
      </c>
      <c r="B71" s="39"/>
      <c r="C71" s="39"/>
      <c r="D71" s="39"/>
      <c r="E71" s="39"/>
      <c r="F71" s="39"/>
      <c r="G71" s="39"/>
      <c r="H71" s="39"/>
      <c r="I71" s="39"/>
      <c r="J71" s="39"/>
      <c r="K71" s="39"/>
      <c r="L71" s="39"/>
    </row>
    <row r="72" customFormat="false" ht="15" hidden="false" customHeight="false" outlineLevel="0" collapsed="false">
      <c r="A72" s="5" t="s">
        <v>106</v>
      </c>
    </row>
    <row r="73" customFormat="false" ht="48" hidden="false" customHeight="true" outlineLevel="0" collapsed="false">
      <c r="A73" s="39" t="s">
        <v>107</v>
      </c>
      <c r="B73" s="39"/>
      <c r="C73" s="39"/>
      <c r="D73" s="39"/>
      <c r="E73" s="39"/>
      <c r="F73" s="39"/>
      <c r="G73" s="39"/>
      <c r="H73" s="39"/>
      <c r="I73" s="39"/>
      <c r="J73" s="39"/>
      <c r="K73" s="39"/>
      <c r="L73" s="39"/>
    </row>
    <row r="74" customFormat="false" ht="15" hidden="false" customHeight="false" outlineLevel="0" collapsed="false">
      <c r="A74" s="5" t="s">
        <v>108</v>
      </c>
    </row>
    <row r="75" customFormat="false" ht="48" hidden="false" customHeight="true" outlineLevel="0" collapsed="false">
      <c r="A75" s="39" t="s">
        <v>109</v>
      </c>
      <c r="B75" s="39"/>
      <c r="C75" s="39"/>
      <c r="D75" s="39"/>
      <c r="E75" s="39"/>
      <c r="F75" s="39"/>
      <c r="G75" s="39"/>
      <c r="H75" s="39"/>
      <c r="I75" s="39"/>
      <c r="J75" s="39"/>
      <c r="K75" s="39"/>
      <c r="L75" s="39"/>
    </row>
    <row r="76" customFormat="false" ht="15" hidden="false" customHeight="false" outlineLevel="0" collapsed="false">
      <c r="A76" s="5" t="s">
        <v>110</v>
      </c>
    </row>
    <row r="77" customFormat="false" ht="48" hidden="false" customHeight="true" outlineLevel="0" collapsed="false">
      <c r="A77" s="39" t="s">
        <v>111</v>
      </c>
      <c r="B77" s="39"/>
      <c r="C77" s="39"/>
      <c r="D77" s="39"/>
      <c r="E77" s="39"/>
      <c r="F77" s="39"/>
      <c r="G77" s="39"/>
      <c r="H77" s="39"/>
      <c r="I77" s="39"/>
      <c r="J77" s="39"/>
      <c r="K77" s="39"/>
      <c r="L77" s="39"/>
    </row>
    <row r="79" customFormat="false" ht="15" hidden="false" customHeight="false" outlineLevel="0" collapsed="false">
      <c r="A79" s="4" t="s">
        <v>112</v>
      </c>
      <c r="B79" s="4"/>
      <c r="C79" s="4"/>
      <c r="D79" s="4"/>
      <c r="E79" s="4"/>
      <c r="F79" s="4"/>
      <c r="G79" s="4"/>
      <c r="H79" s="4"/>
      <c r="I79" s="4"/>
      <c r="J79" s="4"/>
      <c r="K79" s="4"/>
      <c r="L79" s="4"/>
    </row>
    <row r="80" customFormat="false" ht="31.5" hidden="false" customHeight="true" outlineLevel="0" collapsed="false">
      <c r="A80" s="8" t="s">
        <v>113</v>
      </c>
      <c r="B80" s="8" t="s">
        <v>114</v>
      </c>
      <c r="C80" s="8" t="s">
        <v>115</v>
      </c>
      <c r="D80" s="8" t="s">
        <v>44</v>
      </c>
      <c r="E80" s="8" t="s">
        <v>46</v>
      </c>
      <c r="F80" s="8" t="s">
        <v>48</v>
      </c>
      <c r="G80" s="8" t="s">
        <v>116</v>
      </c>
      <c r="H80" s="8" t="s">
        <v>117</v>
      </c>
      <c r="I80" s="8" t="s">
        <v>118</v>
      </c>
      <c r="J80" s="8" t="s">
        <v>119</v>
      </c>
      <c r="K80" s="8" t="s">
        <v>94</v>
      </c>
      <c r="L80" s="8" t="s">
        <v>120</v>
      </c>
    </row>
    <row r="81" customFormat="false" ht="15" hidden="false" customHeight="false" outlineLevel="0" collapsed="false">
      <c r="A81" s="9" t="str">
        <f aca="false">'2026 Forecast A'!A12</f>
        <v>Carbon</v>
      </c>
      <c r="B81" s="9" t="str">
        <f aca="false">'2026 Forecast A'!B12</f>
        <v>BANKS TOWNSHIP</v>
      </c>
      <c r="C81" s="9" t="str">
        <f aca="false">'2026 Forecast A'!C12</f>
        <v>(whole municipality)</v>
      </c>
      <c r="D81" s="10" t="n">
        <f aca="false">'2026 Forecast A'!G12</f>
        <v>0.379120879120879</v>
      </c>
      <c r="E81" s="10" t="n">
        <f aca="false">'2026 Forecast B'!G12</f>
        <v>0.384615384615385</v>
      </c>
      <c r="F81" s="10" t="n">
        <f aca="false">'2026 Forecast C'!G12</f>
        <v>0.376373626373626</v>
      </c>
      <c r="G81" s="46" t="n">
        <f aca="false">(MAX(D81:F81)-MIN(D81:F81))*100</f>
        <v>0.824175824175827</v>
      </c>
      <c r="H81" s="47" t="n">
        <f aca="false">'2026 Forecast A'!L12</f>
        <v>4.23439710805267</v>
      </c>
      <c r="I81" s="47" t="n">
        <f aca="false">'2026 Forecast B'!L12</f>
        <v>4.20108647752001</v>
      </c>
      <c r="J81" s="47" t="n">
        <f aca="false">'2026 Forecast C'!L12</f>
        <v>4.10924388503634</v>
      </c>
      <c r="K81" s="18" t="n">
        <f aca="false">'2026 Forecast A'!F12</f>
        <v>364</v>
      </c>
      <c r="L81" s="48" t="str">
        <f aca="false">IF(OR(AND(D81&gt;0.5,E81&gt;0.5,F81&gt;0.5),AND(D81&lt;0.5,E81&lt;0.5,F81&lt;0.5)),"Yes","No — toss-up")</f>
        <v>Yes</v>
      </c>
    </row>
    <row r="82" customFormat="false" ht="15" hidden="false" customHeight="false" outlineLevel="0" collapsed="false">
      <c r="A82" s="9" t="str">
        <f aca="false">'2026 Forecast A'!A13</f>
        <v>Carbon</v>
      </c>
      <c r="B82" s="9" t="str">
        <f aca="false">'2026 Forecast A'!B13</f>
        <v>BEAVER MEADOWS BOROUGH</v>
      </c>
      <c r="C82" s="9" t="str">
        <f aca="false">'2026 Forecast A'!C13</f>
        <v>(whole municipality)</v>
      </c>
      <c r="D82" s="10" t="n">
        <f aca="false">'2026 Forecast A'!G13</f>
        <v>0.284848484848485</v>
      </c>
      <c r="E82" s="10" t="n">
        <f aca="false">'2026 Forecast B'!G13</f>
        <v>0.284848484848485</v>
      </c>
      <c r="F82" s="10" t="n">
        <f aca="false">'2026 Forecast C'!G13</f>
        <v>0.26969696969697</v>
      </c>
      <c r="G82" s="46" t="n">
        <f aca="false">(MAX(D82:F82)-MIN(D82:F82))*100</f>
        <v>1.51515151515151</v>
      </c>
      <c r="H82" s="47" t="n">
        <f aca="false">'2026 Forecast A'!L13</f>
        <v>4.23439710805267</v>
      </c>
      <c r="I82" s="47" t="n">
        <f aca="false">'2026 Forecast B'!L13</f>
        <v>4.20108647752001</v>
      </c>
      <c r="J82" s="47" t="n">
        <f aca="false">'2026 Forecast C'!L13</f>
        <v>4.10924388503634</v>
      </c>
      <c r="K82" s="18" t="n">
        <f aca="false">'2026 Forecast A'!F13</f>
        <v>330</v>
      </c>
      <c r="L82" s="48" t="str">
        <f aca="false">IF(OR(AND(D82&gt;0.5,E82&gt;0.5,F82&gt;0.5),AND(D82&lt;0.5,E82&lt;0.5,F82&lt;0.5)),"Yes","No — toss-up")</f>
        <v>Yes</v>
      </c>
    </row>
    <row r="83" customFormat="false" ht="15" hidden="false" customHeight="false" outlineLevel="0" collapsed="false">
      <c r="A83" s="9" t="str">
        <f aca="false">'2026 Forecast A'!A14</f>
        <v>Carbon</v>
      </c>
      <c r="B83" s="9" t="str">
        <f aca="false">'2026 Forecast A'!B14</f>
        <v>BOWMANSTOWN BOROUGH</v>
      </c>
      <c r="C83" s="9" t="str">
        <f aca="false">'2026 Forecast A'!C14</f>
        <v>(whole municipality)</v>
      </c>
      <c r="D83" s="10" t="n">
        <f aca="false">'2026 Forecast A'!G14</f>
        <v>0.331460674157303</v>
      </c>
      <c r="E83" s="10" t="n">
        <f aca="false">'2026 Forecast B'!G14</f>
        <v>0.334269662921348</v>
      </c>
      <c r="F83" s="10" t="n">
        <f aca="false">'2026 Forecast C'!G14</f>
        <v>0.317415730337079</v>
      </c>
      <c r="G83" s="46" t="n">
        <f aca="false">(MAX(D83:F83)-MIN(D83:F83))*100</f>
        <v>1.68539325842696</v>
      </c>
      <c r="H83" s="47" t="n">
        <f aca="false">'2026 Forecast A'!L14</f>
        <v>4.23439710805267</v>
      </c>
      <c r="I83" s="47" t="n">
        <f aca="false">'2026 Forecast B'!L14</f>
        <v>4.20108647752001</v>
      </c>
      <c r="J83" s="47" t="n">
        <f aca="false">'2026 Forecast C'!L14</f>
        <v>4.10924388503634</v>
      </c>
      <c r="K83" s="18" t="n">
        <f aca="false">'2026 Forecast A'!F14</f>
        <v>356</v>
      </c>
      <c r="L83" s="48" t="str">
        <f aca="false">IF(OR(AND(D83&gt;0.5,E83&gt;0.5,F83&gt;0.5),AND(D83&lt;0.5,E83&lt;0.5,F83&lt;0.5)),"Yes","No — toss-up")</f>
        <v>Yes</v>
      </c>
    </row>
    <row r="84" customFormat="false" ht="15" hidden="false" customHeight="false" outlineLevel="0" collapsed="false">
      <c r="A84" s="9" t="str">
        <f aca="false">'2026 Forecast A'!A15</f>
        <v>Carbon</v>
      </c>
      <c r="B84" s="9" t="str">
        <f aca="false">'2026 Forecast A'!B15</f>
        <v>EAST PENN TOWNSHIP</v>
      </c>
      <c r="C84" s="9" t="str">
        <f aca="false">'2026 Forecast A'!C15</f>
        <v>(whole municipality)</v>
      </c>
      <c r="D84" s="10" t="n">
        <f aca="false">'2026 Forecast A'!G15</f>
        <v>0.278651685393258</v>
      </c>
      <c r="E84" s="10" t="n">
        <f aca="false">'2026 Forecast B'!G15</f>
        <v>0.274906367041199</v>
      </c>
      <c r="F84" s="10" t="n">
        <f aca="false">'2026 Forecast C'!G15</f>
        <v>0.262921348314607</v>
      </c>
      <c r="G84" s="46" t="n">
        <f aca="false">(MAX(D84:F84)-MIN(D84:F84))*100</f>
        <v>1.57303370786517</v>
      </c>
      <c r="H84" s="47" t="n">
        <f aca="false">'2026 Forecast A'!L15</f>
        <v>2.89547658367171</v>
      </c>
      <c r="I84" s="47" t="n">
        <f aca="false">'2026 Forecast B'!L15</f>
        <v>2.74826999140557</v>
      </c>
      <c r="J84" s="47" t="n">
        <f aca="false">'2026 Forecast C'!L15</f>
        <v>2.81136738013631</v>
      </c>
      <c r="K84" s="18" t="n">
        <f aca="false">'2026 Forecast A'!F15</f>
        <v>1335</v>
      </c>
      <c r="L84" s="48" t="str">
        <f aca="false">IF(OR(AND(D84&gt;0.5,E84&gt;0.5,F84&gt;0.5),AND(D84&lt;0.5,E84&lt;0.5,F84&lt;0.5)),"Yes","No — toss-up")</f>
        <v>Yes</v>
      </c>
    </row>
    <row r="85" customFormat="false" ht="15" hidden="false" customHeight="false" outlineLevel="0" collapsed="false">
      <c r="A85" s="9" t="str">
        <f aca="false">'2026 Forecast A'!A16</f>
        <v>Carbon</v>
      </c>
      <c r="B85" s="9" t="str">
        <f aca="false">'2026 Forecast A'!B16</f>
        <v>EAST SIDE BOROUGH</v>
      </c>
      <c r="C85" s="9" t="str">
        <f aca="false">'2026 Forecast A'!C16</f>
        <v>(whole municipality)</v>
      </c>
      <c r="D85" s="10" t="n">
        <f aca="false">'2026 Forecast A'!G16</f>
        <v>0.344086021505376</v>
      </c>
      <c r="E85" s="10" t="n">
        <f aca="false">'2026 Forecast B'!G16</f>
        <v>0.354838709677419</v>
      </c>
      <c r="F85" s="10" t="n">
        <f aca="false">'2026 Forecast C'!G16</f>
        <v>0.333333333333333</v>
      </c>
      <c r="G85" s="46" t="n">
        <f aca="false">(MAX(D85:F85)-MIN(D85:F85))*100</f>
        <v>2.15053763440861</v>
      </c>
      <c r="H85" s="47" t="n">
        <f aca="false">'2026 Forecast A'!L16</f>
        <v>4.23439710805267</v>
      </c>
      <c r="I85" s="47" t="n">
        <f aca="false">'2026 Forecast B'!L16</f>
        <v>4.20108647752001</v>
      </c>
      <c r="J85" s="47" t="n">
        <f aca="false">'2026 Forecast C'!L16</f>
        <v>4.10924388503634</v>
      </c>
      <c r="K85" s="18" t="n">
        <f aca="false">'2026 Forecast A'!F16</f>
        <v>93</v>
      </c>
      <c r="L85" s="48" t="str">
        <f aca="false">IF(OR(AND(D85&gt;0.5,E85&gt;0.5,F85&gt;0.5),AND(D85&lt;0.5,E85&lt;0.5,F85&lt;0.5)),"Yes","No — toss-up")</f>
        <v>Yes</v>
      </c>
    </row>
    <row r="86" customFormat="false" ht="15" hidden="false" customHeight="false" outlineLevel="0" collapsed="false">
      <c r="A86" s="9" t="str">
        <f aca="false">'2026 Forecast A'!A17</f>
        <v>Carbon</v>
      </c>
      <c r="B86" s="9" t="str">
        <f aca="false">'2026 Forecast A'!B17</f>
        <v>FRANKLIN TOWNSHIP</v>
      </c>
      <c r="C86" s="9" t="str">
        <f aca="false">'2026 Forecast A'!C17</f>
        <v>(whole municipality)</v>
      </c>
      <c r="D86" s="10" t="n">
        <f aca="false">'2026 Forecast A'!G17</f>
        <v>0.285570131180626</v>
      </c>
      <c r="E86" s="10" t="n">
        <f aca="false">'2026 Forecast B'!G17</f>
        <v>0.283047426841574</v>
      </c>
      <c r="F86" s="10" t="n">
        <f aca="false">'2026 Forecast C'!G17</f>
        <v>0.269929364278507</v>
      </c>
      <c r="G86" s="46" t="n">
        <f aca="false">(MAX(D86:F86)-MIN(D86:F86))*100</f>
        <v>1.56407669021191</v>
      </c>
      <c r="H86" s="47" t="n">
        <f aca="false">'2026 Forecast A'!L17</f>
        <v>2.89547658367171</v>
      </c>
      <c r="I86" s="47" t="n">
        <f aca="false">'2026 Forecast B'!L17</f>
        <v>2.74826999140557</v>
      </c>
      <c r="J86" s="47" t="n">
        <f aca="false">'2026 Forecast C'!L17</f>
        <v>2.81136738013631</v>
      </c>
      <c r="K86" s="18" t="n">
        <f aca="false">'2026 Forecast A'!F17</f>
        <v>1982</v>
      </c>
      <c r="L86" s="48" t="str">
        <f aca="false">IF(OR(AND(D86&gt;0.5,E86&gt;0.5,F86&gt;0.5),AND(D86&lt;0.5,E86&lt;0.5,F86&lt;0.5)),"Yes","No — toss-up")</f>
        <v>Yes</v>
      </c>
    </row>
    <row r="87" customFormat="false" ht="15" hidden="false" customHeight="false" outlineLevel="0" collapsed="false">
      <c r="A87" s="9" t="str">
        <f aca="false">'2026 Forecast A'!A18</f>
        <v>Carbon</v>
      </c>
      <c r="B87" s="9" t="str">
        <f aca="false">'2026 Forecast A'!B18</f>
        <v>JIM THORPE BOROUGH</v>
      </c>
      <c r="C87" s="9" t="str">
        <f aca="false">'2026 Forecast A'!C18</f>
        <v>(whole municipality)</v>
      </c>
      <c r="D87" s="10" t="n">
        <f aca="false">'2026 Forecast A'!G18</f>
        <v>0.439753320683112</v>
      </c>
      <c r="E87" s="10" t="n">
        <f aca="false">'2026 Forecast B'!G18</f>
        <v>0.449715370018975</v>
      </c>
      <c r="F87" s="10" t="n">
        <f aca="false">'2026 Forecast C'!G18</f>
        <v>0.43595825426945</v>
      </c>
      <c r="G87" s="46" t="n">
        <f aca="false">(MAX(D87:F87)-MIN(D87:F87))*100</f>
        <v>1.37571157495256</v>
      </c>
      <c r="H87" s="47" t="n">
        <f aca="false">'2026 Forecast A'!L18</f>
        <v>2.89547658367171</v>
      </c>
      <c r="I87" s="47" t="n">
        <f aca="false">'2026 Forecast B'!L18</f>
        <v>2.74826999140557</v>
      </c>
      <c r="J87" s="47" t="n">
        <f aca="false">'2026 Forecast C'!L18</f>
        <v>2.81136738013631</v>
      </c>
      <c r="K87" s="18" t="n">
        <f aca="false">'2026 Forecast A'!F18</f>
        <v>2108</v>
      </c>
      <c r="L87" s="48" t="str">
        <f aca="false">IF(OR(AND(D87&gt;0.5,E87&gt;0.5,F87&gt;0.5),AND(D87&lt;0.5,E87&lt;0.5,F87&lt;0.5)),"Yes","No — toss-up")</f>
        <v>Yes</v>
      </c>
    </row>
    <row r="88" customFormat="false" ht="15" hidden="false" customHeight="false" outlineLevel="0" collapsed="false">
      <c r="A88" s="9" t="str">
        <f aca="false">'2026 Forecast A'!A19</f>
        <v>Carbon</v>
      </c>
      <c r="B88" s="9" t="str">
        <f aca="false">'2026 Forecast A'!B19</f>
        <v>KIDDER TOWNSHIP</v>
      </c>
      <c r="C88" s="9" t="str">
        <f aca="false">'2026 Forecast A'!C19</f>
        <v>(whole municipality)</v>
      </c>
      <c r="D88" s="10" t="n">
        <f aca="false">'2026 Forecast A'!G19</f>
        <v>0.337888198757764</v>
      </c>
      <c r="E88" s="10" t="n">
        <f aca="false">'2026 Forecast B'!G19</f>
        <v>0.340372670807453</v>
      </c>
      <c r="F88" s="10" t="n">
        <f aca="false">'2026 Forecast C'!G19</f>
        <v>0.325465838509317</v>
      </c>
      <c r="G88" s="46" t="n">
        <f aca="false">(MAX(D88:F88)-MIN(D88:F88))*100</f>
        <v>1.49068322981367</v>
      </c>
      <c r="H88" s="47" t="n">
        <f aca="false">'2026 Forecast A'!L19</f>
        <v>4.23439710805267</v>
      </c>
      <c r="I88" s="47" t="n">
        <f aca="false">'2026 Forecast B'!L19</f>
        <v>4.20108647752001</v>
      </c>
      <c r="J88" s="47" t="n">
        <f aca="false">'2026 Forecast C'!L19</f>
        <v>4.10924388503634</v>
      </c>
      <c r="K88" s="18" t="n">
        <f aca="false">'2026 Forecast A'!F19</f>
        <v>805</v>
      </c>
      <c r="L88" s="48" t="str">
        <f aca="false">IF(OR(AND(D88&gt;0.5,E88&gt;0.5,F88&gt;0.5),AND(D88&lt;0.5,E88&lt;0.5,F88&lt;0.5)),"Yes","No — toss-up")</f>
        <v>Yes</v>
      </c>
    </row>
    <row r="89" customFormat="false" ht="15" hidden="false" customHeight="false" outlineLevel="0" collapsed="false">
      <c r="A89" s="9" t="str">
        <f aca="false">'2026 Forecast A'!A20</f>
        <v>Carbon</v>
      </c>
      <c r="B89" s="9" t="str">
        <f aca="false">'2026 Forecast A'!B20</f>
        <v>LANSFORD BOROUGH</v>
      </c>
      <c r="C89" s="9" t="str">
        <f aca="false">'2026 Forecast A'!C20</f>
        <v>(whole municipality)</v>
      </c>
      <c r="D89" s="10" t="n">
        <f aca="false">'2026 Forecast A'!G20</f>
        <v>0.409972299168975</v>
      </c>
      <c r="E89" s="10" t="n">
        <f aca="false">'2026 Forecast B'!G20</f>
        <v>0.41735918744229</v>
      </c>
      <c r="F89" s="10" t="n">
        <f aca="false">'2026 Forecast C'!G20</f>
        <v>0.407202216066482</v>
      </c>
      <c r="G89" s="46" t="n">
        <f aca="false">(MAX(D89:F89)-MIN(D89:F89))*100</f>
        <v>1.0156971375808</v>
      </c>
      <c r="H89" s="47" t="n">
        <f aca="false">'2026 Forecast A'!L20</f>
        <v>4.23439710805267</v>
      </c>
      <c r="I89" s="47" t="n">
        <f aca="false">'2026 Forecast B'!L20</f>
        <v>4.20108647752001</v>
      </c>
      <c r="J89" s="47" t="n">
        <f aca="false">'2026 Forecast C'!L20</f>
        <v>4.10924388503634</v>
      </c>
      <c r="K89" s="18" t="n">
        <f aca="false">'2026 Forecast A'!F20</f>
        <v>1083</v>
      </c>
      <c r="L89" s="48" t="str">
        <f aca="false">IF(OR(AND(D89&gt;0.5,E89&gt;0.5,F89&gt;0.5),AND(D89&lt;0.5,E89&lt;0.5,F89&lt;0.5)),"Yes","No — toss-up")</f>
        <v>Yes</v>
      </c>
    </row>
    <row r="90" customFormat="false" ht="15" hidden="false" customHeight="false" outlineLevel="0" collapsed="false">
      <c r="A90" s="9" t="str">
        <f aca="false">'2026 Forecast A'!A21</f>
        <v>Carbon</v>
      </c>
      <c r="B90" s="9" t="str">
        <f aca="false">'2026 Forecast A'!B21</f>
        <v>LAUSANNE TOWNSHIP</v>
      </c>
      <c r="C90" s="9" t="str">
        <f aca="false">'2026 Forecast A'!C21</f>
        <v>(whole municipality)</v>
      </c>
      <c r="D90" s="10" t="n">
        <f aca="false">'2026 Forecast A'!G21</f>
        <v>0.288135593220339</v>
      </c>
      <c r="E90" s="10" t="n">
        <f aca="false">'2026 Forecast B'!G21</f>
        <v>0.288135593220339</v>
      </c>
      <c r="F90" s="10" t="n">
        <f aca="false">'2026 Forecast C'!G21</f>
        <v>0.271186440677966</v>
      </c>
      <c r="G90" s="46" t="n">
        <f aca="false">(MAX(D90:F90)-MIN(D90:F90))*100</f>
        <v>1.69491525423729</v>
      </c>
      <c r="H90" s="47" t="n">
        <f aca="false">'2026 Forecast A'!L21</f>
        <v>4.23439710805267</v>
      </c>
      <c r="I90" s="47" t="n">
        <f aca="false">'2026 Forecast B'!L21</f>
        <v>4.20108647752001</v>
      </c>
      <c r="J90" s="47" t="n">
        <f aca="false">'2026 Forecast C'!L21</f>
        <v>4.10924388503634</v>
      </c>
      <c r="K90" s="18" t="n">
        <f aca="false">'2026 Forecast A'!F21</f>
        <v>118</v>
      </c>
      <c r="L90" s="48" t="str">
        <f aca="false">IF(OR(AND(D90&gt;0.5,E90&gt;0.5,F90&gt;0.5),AND(D90&lt;0.5,E90&lt;0.5,F90&lt;0.5)),"Yes","No — toss-up")</f>
        <v>Yes</v>
      </c>
    </row>
    <row r="91" customFormat="false" ht="15" hidden="false" customHeight="false" outlineLevel="0" collapsed="false">
      <c r="A91" s="9" t="str">
        <f aca="false">'2026 Forecast A'!A22</f>
        <v>Carbon</v>
      </c>
      <c r="B91" s="9" t="str">
        <f aca="false">'2026 Forecast A'!B22</f>
        <v>LEHIGH TOWNSHIP</v>
      </c>
      <c r="C91" s="9" t="str">
        <f aca="false">'2026 Forecast A'!C22</f>
        <v>(whole municipality)</v>
      </c>
      <c r="D91" s="10" t="n">
        <f aca="false">'2026 Forecast A'!G22</f>
        <v>0.206751054852321</v>
      </c>
      <c r="E91" s="10" t="n">
        <f aca="false">'2026 Forecast B'!G22</f>
        <v>0.210970464135021</v>
      </c>
      <c r="F91" s="10" t="n">
        <f aca="false">'2026 Forecast C'!G22</f>
        <v>0.185654008438819</v>
      </c>
      <c r="G91" s="46" t="n">
        <f aca="false">(MAX(D91:F91)-MIN(D91:F91))*100</f>
        <v>2.53164556962025</v>
      </c>
      <c r="H91" s="47" t="n">
        <f aca="false">'2026 Forecast A'!L22</f>
        <v>4.23439710805267</v>
      </c>
      <c r="I91" s="47" t="n">
        <f aca="false">'2026 Forecast B'!L22</f>
        <v>4.20108647752001</v>
      </c>
      <c r="J91" s="47" t="n">
        <f aca="false">'2026 Forecast C'!L22</f>
        <v>4.10924388503634</v>
      </c>
      <c r="K91" s="18" t="n">
        <f aca="false">'2026 Forecast A'!F22</f>
        <v>237</v>
      </c>
      <c r="L91" s="48" t="str">
        <f aca="false">IF(OR(AND(D91&gt;0.5,E91&gt;0.5,F91&gt;0.5),AND(D91&lt;0.5,E91&lt;0.5,F91&lt;0.5)),"Yes","No — toss-up")</f>
        <v>Yes</v>
      </c>
    </row>
    <row r="92" customFormat="false" ht="15" hidden="false" customHeight="false" outlineLevel="0" collapsed="false">
      <c r="A92" s="9" t="str">
        <f aca="false">'2026 Forecast A'!A23</f>
        <v>Carbon</v>
      </c>
      <c r="B92" s="9" t="str">
        <f aca="false">'2026 Forecast A'!B23</f>
        <v>LEHIGHTON BOROUGH</v>
      </c>
      <c r="C92" s="9" t="str">
        <f aca="false">'2026 Forecast A'!C23</f>
        <v>(whole municipality)</v>
      </c>
      <c r="D92" s="10" t="n">
        <f aca="false">'2026 Forecast A'!G23</f>
        <v>0.398517673888255</v>
      </c>
      <c r="E92" s="10" t="n">
        <f aca="false">'2026 Forecast B'!G23</f>
        <v>0.40193842645382</v>
      </c>
      <c r="F92" s="10" t="n">
        <f aca="false">'2026 Forecast C'!G23</f>
        <v>0.389965792474344</v>
      </c>
      <c r="G92" s="46" t="n">
        <f aca="false">(MAX(D92:F92)-MIN(D92:F92))*100</f>
        <v>1.19726339794755</v>
      </c>
      <c r="H92" s="47" t="n">
        <f aca="false">'2026 Forecast A'!L23</f>
        <v>2.89547658367171</v>
      </c>
      <c r="I92" s="47" t="n">
        <f aca="false">'2026 Forecast B'!L23</f>
        <v>2.74826999140557</v>
      </c>
      <c r="J92" s="47" t="n">
        <f aca="false">'2026 Forecast C'!L23</f>
        <v>2.81136738013631</v>
      </c>
      <c r="K92" s="18" t="n">
        <f aca="false">'2026 Forecast A'!F23</f>
        <v>1754</v>
      </c>
      <c r="L92" s="48" t="str">
        <f aca="false">IF(OR(AND(D92&gt;0.5,E92&gt;0.5,F92&gt;0.5),AND(D92&lt;0.5,E92&lt;0.5,F92&lt;0.5)),"Yes","No — toss-up")</f>
        <v>Yes</v>
      </c>
    </row>
    <row r="93" customFormat="false" ht="15" hidden="false" customHeight="false" outlineLevel="0" collapsed="false">
      <c r="A93" s="9" t="str">
        <f aca="false">'2026 Forecast A'!A24</f>
        <v>Carbon</v>
      </c>
      <c r="B93" s="9" t="str">
        <f aca="false">'2026 Forecast A'!B24</f>
        <v>LOWER TOWAMENSING TOWNSHIP</v>
      </c>
      <c r="C93" s="9" t="str">
        <f aca="false">'2026 Forecast A'!C24</f>
        <v>(whole municipality)</v>
      </c>
      <c r="D93" s="10" t="n">
        <f aca="false">'2026 Forecast A'!G24</f>
        <v>0.296930763740186</v>
      </c>
      <c r="E93" s="10" t="n">
        <f aca="false">'2026 Forecast B'!G24</f>
        <v>0.296930763740186</v>
      </c>
      <c r="F93" s="10" t="n">
        <f aca="false">'2026 Forecast C'!G24</f>
        <v>0.282655246252677</v>
      </c>
      <c r="G93" s="46" t="n">
        <f aca="false">(MAX(D93:F93)-MIN(D93:F93))*100</f>
        <v>1.42755174875089</v>
      </c>
      <c r="H93" s="47" t="n">
        <f aca="false">'2026 Forecast A'!L24</f>
        <v>2.89547658367171</v>
      </c>
      <c r="I93" s="47" t="n">
        <f aca="false">'2026 Forecast B'!L24</f>
        <v>2.74826999140557</v>
      </c>
      <c r="J93" s="47" t="n">
        <f aca="false">'2026 Forecast C'!L24</f>
        <v>2.81136738013631</v>
      </c>
      <c r="K93" s="18" t="n">
        <f aca="false">'2026 Forecast A'!F24</f>
        <v>1401</v>
      </c>
      <c r="L93" s="48" t="str">
        <f aca="false">IF(OR(AND(D93&gt;0.5,E93&gt;0.5,F93&gt;0.5),AND(D93&lt;0.5,E93&lt;0.5,F93&lt;0.5)),"Yes","No — toss-up")</f>
        <v>Yes</v>
      </c>
    </row>
    <row r="94" customFormat="false" ht="15" hidden="false" customHeight="false" outlineLevel="0" collapsed="false">
      <c r="A94" s="9" t="str">
        <f aca="false">'2026 Forecast A'!A25</f>
        <v>Carbon</v>
      </c>
      <c r="B94" s="9" t="str">
        <f aca="false">'2026 Forecast A'!B25</f>
        <v>MAHONING TOWNSHIP</v>
      </c>
      <c r="C94" s="9" t="str">
        <f aca="false">'2026 Forecast A'!C25</f>
        <v>(whole municipality)</v>
      </c>
      <c r="D94" s="10" t="n">
        <f aca="false">'2026 Forecast A'!G25</f>
        <v>0.298189563365282</v>
      </c>
      <c r="E94" s="10" t="n">
        <f aca="false">'2026 Forecast B'!G25</f>
        <v>0.293929712460064</v>
      </c>
      <c r="F94" s="10" t="n">
        <f aca="false">'2026 Forecast C'!G25</f>
        <v>0.28381256656017</v>
      </c>
      <c r="G94" s="46" t="n">
        <f aca="false">(MAX(D94:F94)-MIN(D94:F94))*100</f>
        <v>1.43769968051118</v>
      </c>
      <c r="H94" s="47" t="n">
        <f aca="false">'2026 Forecast A'!L25</f>
        <v>2.89547658367171</v>
      </c>
      <c r="I94" s="47" t="n">
        <f aca="false">'2026 Forecast B'!L25</f>
        <v>2.74826999140557</v>
      </c>
      <c r="J94" s="47" t="n">
        <f aca="false">'2026 Forecast C'!L25</f>
        <v>2.81136738013631</v>
      </c>
      <c r="K94" s="18" t="n">
        <f aca="false">'2026 Forecast A'!F25</f>
        <v>1878</v>
      </c>
      <c r="L94" s="48" t="str">
        <f aca="false">IF(OR(AND(D94&gt;0.5,E94&gt;0.5,F94&gt;0.5),AND(D94&lt;0.5,E94&lt;0.5,F94&lt;0.5)),"Yes","No — toss-up")</f>
        <v>Yes</v>
      </c>
    </row>
    <row r="95" customFormat="false" ht="15" hidden="false" customHeight="false" outlineLevel="0" collapsed="false">
      <c r="A95" s="9" t="str">
        <f aca="false">'2026 Forecast A'!A26</f>
        <v>Carbon</v>
      </c>
      <c r="B95" s="9" t="str">
        <f aca="false">'2026 Forecast A'!B26</f>
        <v>NESQUEHONING BOROUGH</v>
      </c>
      <c r="C95" s="9" t="str">
        <f aca="false">'2026 Forecast A'!C26</f>
        <v>(whole municipality)</v>
      </c>
      <c r="D95" s="10" t="n">
        <f aca="false">'2026 Forecast A'!G26</f>
        <v>0.401976935749588</v>
      </c>
      <c r="E95" s="10" t="n">
        <f aca="false">'2026 Forecast B'!G26</f>
        <v>0.406095551894563</v>
      </c>
      <c r="F95" s="10" t="n">
        <f aca="false">'2026 Forecast C'!G26</f>
        <v>0.395387149917628</v>
      </c>
      <c r="G95" s="46" t="n">
        <f aca="false">(MAX(D95:F95)-MIN(D95:F95))*100</f>
        <v>1.07084019769357</v>
      </c>
      <c r="H95" s="47" t="n">
        <f aca="false">'2026 Forecast A'!L26</f>
        <v>4.23439710805267</v>
      </c>
      <c r="I95" s="47" t="n">
        <f aca="false">'2026 Forecast B'!L26</f>
        <v>4.20108647752001</v>
      </c>
      <c r="J95" s="47" t="n">
        <f aca="false">'2026 Forecast C'!L26</f>
        <v>4.10924388503634</v>
      </c>
      <c r="K95" s="18" t="n">
        <f aca="false">'2026 Forecast A'!F26</f>
        <v>1214</v>
      </c>
      <c r="L95" s="48" t="str">
        <f aca="false">IF(OR(AND(D95&gt;0.5,E95&gt;0.5,F95&gt;0.5),AND(D95&lt;0.5,E95&lt;0.5,F95&lt;0.5)),"Yes","No — toss-up")</f>
        <v>Yes</v>
      </c>
    </row>
    <row r="96" customFormat="false" ht="15" hidden="false" customHeight="false" outlineLevel="0" collapsed="false">
      <c r="A96" s="9" t="str">
        <f aca="false">'2026 Forecast A'!A27</f>
        <v>Carbon</v>
      </c>
      <c r="B96" s="9" t="str">
        <f aca="false">'2026 Forecast A'!B27</f>
        <v>PACKER TOWNSHIP</v>
      </c>
      <c r="C96" s="9" t="str">
        <f aca="false">'2026 Forecast A'!C27</f>
        <v>(whole municipality)</v>
      </c>
      <c r="D96" s="10" t="n">
        <f aca="false">'2026 Forecast A'!G27</f>
        <v>0.20377358490566</v>
      </c>
      <c r="E96" s="10" t="n">
        <f aca="false">'2026 Forecast B'!G27</f>
        <v>0.2</v>
      </c>
      <c r="F96" s="10" t="n">
        <f aca="false">'2026 Forecast C'!G27</f>
        <v>0.177358490566038</v>
      </c>
      <c r="G96" s="46" t="n">
        <f aca="false">(MAX(D96:F96)-MIN(D96:F96))*100</f>
        <v>2.64150943396227</v>
      </c>
      <c r="H96" s="47" t="n">
        <f aca="false">'2026 Forecast A'!L27</f>
        <v>4.23439710805267</v>
      </c>
      <c r="I96" s="47" t="n">
        <f aca="false">'2026 Forecast B'!L27</f>
        <v>4.20108647752001</v>
      </c>
      <c r="J96" s="47" t="n">
        <f aca="false">'2026 Forecast C'!L27</f>
        <v>4.10924388503634</v>
      </c>
      <c r="K96" s="18" t="n">
        <f aca="false">'2026 Forecast A'!F27</f>
        <v>530</v>
      </c>
      <c r="L96" s="48" t="str">
        <f aca="false">IF(OR(AND(D96&gt;0.5,E96&gt;0.5,F96&gt;0.5),AND(D96&lt;0.5,E96&lt;0.5,F96&lt;0.5)),"Yes","No — toss-up")</f>
        <v>Yes</v>
      </c>
    </row>
    <row r="97" customFormat="false" ht="15" hidden="false" customHeight="false" outlineLevel="0" collapsed="false">
      <c r="A97" s="9" t="str">
        <f aca="false">'2026 Forecast A'!A28</f>
        <v>Carbon</v>
      </c>
      <c r="B97" s="9" t="str">
        <f aca="false">'2026 Forecast A'!B28</f>
        <v>PALMERTON BOROUGH</v>
      </c>
      <c r="C97" s="9" t="str">
        <f aca="false">'2026 Forecast A'!C28</f>
        <v>(whole municipality)</v>
      </c>
      <c r="D97" s="10" t="n">
        <f aca="false">'2026 Forecast A'!G28</f>
        <v>0.367152184831743</v>
      </c>
      <c r="E97" s="10" t="n">
        <f aca="false">'2026 Forecast B'!G28</f>
        <v>0.365143144148669</v>
      </c>
      <c r="F97" s="10" t="n">
        <f aca="false">'2026 Forecast C'!G28</f>
        <v>0.358613761928679</v>
      </c>
      <c r="G97" s="46" t="n">
        <f aca="false">(MAX(D97:F97)-MIN(D97:F97))*100</f>
        <v>0.853842290306378</v>
      </c>
      <c r="H97" s="47" t="n">
        <f aca="false">'2026 Forecast A'!L28</f>
        <v>2.89547658367171</v>
      </c>
      <c r="I97" s="47" t="n">
        <f aca="false">'2026 Forecast B'!L28</f>
        <v>2.74826999140557</v>
      </c>
      <c r="J97" s="47" t="n">
        <f aca="false">'2026 Forecast C'!L28</f>
        <v>2.81136738013631</v>
      </c>
      <c r="K97" s="18" t="n">
        <f aca="false">'2026 Forecast A'!F28</f>
        <v>1991</v>
      </c>
      <c r="L97" s="48" t="str">
        <f aca="false">IF(OR(AND(D97&gt;0.5,E97&gt;0.5,F97&gt;0.5),AND(D97&lt;0.5,E97&lt;0.5,F97&lt;0.5)),"Yes","No — toss-up")</f>
        <v>Yes</v>
      </c>
    </row>
    <row r="98" customFormat="false" ht="15" hidden="false" customHeight="false" outlineLevel="0" collapsed="false">
      <c r="A98" s="9" t="str">
        <f aca="false">'2026 Forecast A'!A29</f>
        <v>Carbon</v>
      </c>
      <c r="B98" s="9" t="str">
        <f aca="false">'2026 Forecast A'!B29</f>
        <v>PARRYVILLE BOROUGH</v>
      </c>
      <c r="C98" s="9" t="str">
        <f aca="false">'2026 Forecast A'!C29</f>
        <v>(whole municipality)</v>
      </c>
      <c r="D98" s="10" t="n">
        <f aca="false">'2026 Forecast A'!G29</f>
        <v>0.302702702702703</v>
      </c>
      <c r="E98" s="10" t="n">
        <f aca="false">'2026 Forecast B'!G29</f>
        <v>0.291891891891892</v>
      </c>
      <c r="F98" s="10" t="n">
        <f aca="false">'2026 Forecast C'!G29</f>
        <v>0.286486486486487</v>
      </c>
      <c r="G98" s="46" t="n">
        <f aca="false">(MAX(D98:F98)-MIN(D98:F98))*100</f>
        <v>1.62162162162162</v>
      </c>
      <c r="H98" s="47" t="n">
        <f aca="false">'2026 Forecast A'!L29</f>
        <v>4.23439710805267</v>
      </c>
      <c r="I98" s="47" t="n">
        <f aca="false">'2026 Forecast B'!L29</f>
        <v>4.20108647752001</v>
      </c>
      <c r="J98" s="47" t="n">
        <f aca="false">'2026 Forecast C'!L29</f>
        <v>4.10924388503634</v>
      </c>
      <c r="K98" s="18" t="n">
        <f aca="false">'2026 Forecast A'!F29</f>
        <v>185</v>
      </c>
      <c r="L98" s="48" t="str">
        <f aca="false">IF(OR(AND(D98&gt;0.5,E98&gt;0.5,F98&gt;0.5),AND(D98&lt;0.5,E98&lt;0.5,F98&lt;0.5)),"Yes","No — toss-up")</f>
        <v>Yes</v>
      </c>
    </row>
    <row r="99" customFormat="false" ht="15" hidden="false" customHeight="false" outlineLevel="0" collapsed="false">
      <c r="A99" s="9" t="str">
        <f aca="false">'2026 Forecast A'!A30</f>
        <v>Carbon</v>
      </c>
      <c r="B99" s="9" t="str">
        <f aca="false">'2026 Forecast A'!B30</f>
        <v>PENN FOREST TOWNSHIP</v>
      </c>
      <c r="C99" s="9" t="str">
        <f aca="false">'2026 Forecast A'!C30</f>
        <v>(whole municipality)</v>
      </c>
      <c r="D99" s="10" t="n">
        <f aca="false">'2026 Forecast A'!G30</f>
        <v>0.360912343470483</v>
      </c>
      <c r="E99" s="10" t="n">
        <f aca="false">'2026 Forecast B'!G30</f>
        <v>0.359347048300537</v>
      </c>
      <c r="F99" s="10" t="n">
        <f aca="false">'2026 Forecast C'!G30</f>
        <v>0.350626118067979</v>
      </c>
      <c r="G99" s="46" t="n">
        <f aca="false">(MAX(D99:F99)-MIN(D99:F99))*100</f>
        <v>1.02862254025045</v>
      </c>
      <c r="H99" s="47" t="n">
        <f aca="false">'2026 Forecast A'!L30</f>
        <v>3.349008109096</v>
      </c>
      <c r="I99" s="47" t="n">
        <f aca="false">'2026 Forecast B'!L30</f>
        <v>2.98086653957356</v>
      </c>
      <c r="J99" s="47" t="n">
        <f aca="false">'2026 Forecast C'!L30</f>
        <v>3.19119071644035</v>
      </c>
      <c r="K99" s="18" t="n">
        <f aca="false">'2026 Forecast A'!F30</f>
        <v>4472</v>
      </c>
      <c r="L99" s="48" t="str">
        <f aca="false">IF(OR(AND(D99&gt;0.5,E99&gt;0.5,F99&gt;0.5),AND(D99&lt;0.5,E99&lt;0.5,F99&lt;0.5)),"Yes","No — toss-up")</f>
        <v>Yes</v>
      </c>
    </row>
    <row r="100" customFormat="false" ht="15" hidden="false" customHeight="false" outlineLevel="0" collapsed="false">
      <c r="A100" s="9" t="str">
        <f aca="false">'2026 Forecast A'!A31</f>
        <v>Carbon</v>
      </c>
      <c r="B100" s="9" t="str">
        <f aca="false">'2026 Forecast A'!B31</f>
        <v>SUMMIT HILL BOROUGH</v>
      </c>
      <c r="C100" s="9" t="str">
        <f aca="false">'2026 Forecast A'!C31</f>
        <v>(whole municipality)</v>
      </c>
      <c r="D100" s="10" t="n">
        <f aca="false">'2026 Forecast A'!G31</f>
        <v>0.426140757927301</v>
      </c>
      <c r="E100" s="10" t="n">
        <f aca="false">'2026 Forecast B'!G31</f>
        <v>0.424593967517401</v>
      </c>
      <c r="F100" s="10" t="n">
        <f aca="false">'2026 Forecast C'!G31</f>
        <v>0.423047177107502</v>
      </c>
      <c r="G100" s="46" t="n">
        <f aca="false">(MAX(D100:F100)-MIN(D100:F100))*100</f>
        <v>0.309358081979888</v>
      </c>
      <c r="H100" s="47" t="n">
        <f aca="false">'2026 Forecast A'!L31</f>
        <v>2.89547658367171</v>
      </c>
      <c r="I100" s="47" t="n">
        <f aca="false">'2026 Forecast B'!L31</f>
        <v>2.74826999140557</v>
      </c>
      <c r="J100" s="47" t="n">
        <f aca="false">'2026 Forecast C'!L31</f>
        <v>2.81136738013631</v>
      </c>
      <c r="K100" s="18" t="n">
        <f aca="false">'2026 Forecast A'!F31</f>
        <v>1293</v>
      </c>
      <c r="L100" s="48" t="str">
        <f aca="false">IF(OR(AND(D100&gt;0.5,E100&gt;0.5,F100&gt;0.5),AND(D100&lt;0.5,E100&lt;0.5,F100&lt;0.5)),"Yes","No — toss-up")</f>
        <v>Yes</v>
      </c>
    </row>
    <row r="101" customFormat="false" ht="15" hidden="false" customHeight="false" outlineLevel="0" collapsed="false">
      <c r="A101" s="9" t="str">
        <f aca="false">'2026 Forecast A'!A32</f>
        <v>Carbon</v>
      </c>
      <c r="B101" s="9" t="str">
        <f aca="false">'2026 Forecast A'!B32</f>
        <v>TOWAMENSING TOWNSHIP</v>
      </c>
      <c r="C101" s="9" t="str">
        <f aca="false">'2026 Forecast A'!C32</f>
        <v>(whole municipality)</v>
      </c>
      <c r="D101" s="10" t="n">
        <f aca="false">'2026 Forecast A'!G32</f>
        <v>0.29317980513729</v>
      </c>
      <c r="E101" s="10" t="n">
        <f aca="false">'2026 Forecast B'!G32</f>
        <v>0.29007971656333</v>
      </c>
      <c r="F101" s="10" t="n">
        <f aca="false">'2026 Forecast C'!G32</f>
        <v>0.279007971656333</v>
      </c>
      <c r="G101" s="46" t="n">
        <f aca="false">(MAX(D101:F101)-MIN(D101:F101))*100</f>
        <v>1.41718334809566</v>
      </c>
      <c r="H101" s="47" t="n">
        <f aca="false">'2026 Forecast A'!L32</f>
        <v>2.89547658367171</v>
      </c>
      <c r="I101" s="47" t="n">
        <f aca="false">'2026 Forecast B'!L32</f>
        <v>2.74826999140557</v>
      </c>
      <c r="J101" s="47" t="n">
        <f aca="false">'2026 Forecast C'!L32</f>
        <v>2.81136738013631</v>
      </c>
      <c r="K101" s="18" t="n">
        <f aca="false">'2026 Forecast A'!F32</f>
        <v>2258</v>
      </c>
      <c r="L101" s="48" t="str">
        <f aca="false">IF(OR(AND(D101&gt;0.5,E101&gt;0.5,F101&gt;0.5),AND(D101&lt;0.5,E101&lt;0.5,F101&lt;0.5)),"Yes","No — toss-up")</f>
        <v>Yes</v>
      </c>
    </row>
    <row r="102" customFormat="false" ht="15" hidden="false" customHeight="false" outlineLevel="0" collapsed="false">
      <c r="A102" s="9" t="str">
        <f aca="false">'2026 Forecast A'!A33</f>
        <v>Carbon</v>
      </c>
      <c r="B102" s="9" t="str">
        <f aca="false">'2026 Forecast A'!B33</f>
        <v>WEATHERLY BOROUGH</v>
      </c>
      <c r="C102" s="9" t="str">
        <f aca="false">'2026 Forecast A'!C33</f>
        <v>(whole municipality)</v>
      </c>
      <c r="D102" s="10" t="n">
        <f aca="false">'2026 Forecast A'!G33</f>
        <v>0.294310722100656</v>
      </c>
      <c r="E102" s="10" t="n">
        <f aca="false">'2026 Forecast B'!G33</f>
        <v>0.293216630196937</v>
      </c>
      <c r="F102" s="10" t="n">
        <f aca="false">'2026 Forecast C'!G33</f>
        <v>0.281181619256018</v>
      </c>
      <c r="G102" s="46" t="n">
        <f aca="false">(MAX(D102:F102)-MIN(D102:F102))*100</f>
        <v>1.3129102844639</v>
      </c>
      <c r="H102" s="47" t="n">
        <f aca="false">'2026 Forecast A'!L33</f>
        <v>4.23439710805267</v>
      </c>
      <c r="I102" s="47" t="n">
        <f aca="false">'2026 Forecast B'!L33</f>
        <v>4.20108647752001</v>
      </c>
      <c r="J102" s="47" t="n">
        <f aca="false">'2026 Forecast C'!L33</f>
        <v>4.10924388503634</v>
      </c>
      <c r="K102" s="18" t="n">
        <f aca="false">'2026 Forecast A'!F33</f>
        <v>914</v>
      </c>
      <c r="L102" s="48" t="str">
        <f aca="false">IF(OR(AND(D102&gt;0.5,E102&gt;0.5,F102&gt;0.5),AND(D102&lt;0.5,E102&lt;0.5,F102&lt;0.5)),"Yes","No — toss-up")</f>
        <v>Yes</v>
      </c>
    </row>
    <row r="103" customFormat="false" ht="15" hidden="false" customHeight="false" outlineLevel="0" collapsed="false">
      <c r="A103" s="9" t="str">
        <f aca="false">'2026 Forecast A'!A34</f>
        <v>Carbon</v>
      </c>
      <c r="B103" s="9" t="str">
        <f aca="false">'2026 Forecast A'!B34</f>
        <v>WEISSPORT BOROUGH</v>
      </c>
      <c r="C103" s="9" t="str">
        <f aca="false">'2026 Forecast A'!C34</f>
        <v>(whole municipality)</v>
      </c>
      <c r="D103" s="10" t="n">
        <f aca="false">'2026 Forecast A'!G34</f>
        <v>0.373831775700935</v>
      </c>
      <c r="E103" s="10" t="n">
        <f aca="false">'2026 Forecast B'!G34</f>
        <v>0.373831775700935</v>
      </c>
      <c r="F103" s="10" t="n">
        <f aca="false">'2026 Forecast C'!G34</f>
        <v>0.364485981308411</v>
      </c>
      <c r="G103" s="46" t="n">
        <f aca="false">(MAX(D103:F103)-MIN(D103:F103))*100</f>
        <v>0.934579439252337</v>
      </c>
      <c r="H103" s="47" t="n">
        <f aca="false">'2026 Forecast A'!L34</f>
        <v>4.23439710805267</v>
      </c>
      <c r="I103" s="47" t="n">
        <f aca="false">'2026 Forecast B'!L34</f>
        <v>4.20108647752001</v>
      </c>
      <c r="J103" s="47" t="n">
        <f aca="false">'2026 Forecast C'!L34</f>
        <v>4.10924388503634</v>
      </c>
      <c r="K103" s="18" t="n">
        <f aca="false">'2026 Forecast A'!F34</f>
        <v>107</v>
      </c>
      <c r="L103" s="48" t="str">
        <f aca="false">IF(OR(AND(D103&gt;0.5,E103&gt;0.5,F103&gt;0.5),AND(D103&lt;0.5,E103&lt;0.5,F103&lt;0.5)),"Yes","No — toss-up")</f>
        <v>Yes</v>
      </c>
    </row>
    <row r="104" customFormat="false" ht="15" hidden="false" customHeight="false" outlineLevel="0" collapsed="false">
      <c r="A104" s="9" t="str">
        <f aca="false">'2026 Forecast A'!A35</f>
        <v>Lehigh</v>
      </c>
      <c r="B104" s="9" t="str">
        <f aca="false">'2026 Forecast A'!B35</f>
        <v>ALBURTIS</v>
      </c>
      <c r="C104" s="9" t="str">
        <f aca="false">'2026 Forecast A'!C35</f>
        <v>(whole municipality)</v>
      </c>
      <c r="D104" s="10" t="n">
        <f aca="false">'2026 Forecast A'!G35</f>
        <v>0.459943449575872</v>
      </c>
      <c r="E104" s="10" t="n">
        <f aca="false">'2026 Forecast B'!G35</f>
        <v>0.464655984919887</v>
      </c>
      <c r="F104" s="10" t="n">
        <f aca="false">'2026 Forecast C'!G35</f>
        <v>0.455230914231857</v>
      </c>
      <c r="G104" s="46" t="n">
        <f aca="false">(MAX(D104:F104)-MIN(D104:F104))*100</f>
        <v>0.942507068803017</v>
      </c>
      <c r="H104" s="47" t="n">
        <f aca="false">'2026 Forecast A'!L35</f>
        <v>4.23439710805267</v>
      </c>
      <c r="I104" s="47" t="n">
        <f aca="false">'2026 Forecast B'!L35</f>
        <v>4.20108647752001</v>
      </c>
      <c r="J104" s="47" t="n">
        <f aca="false">'2026 Forecast C'!L35</f>
        <v>4.10924388503634</v>
      </c>
      <c r="K104" s="18" t="n">
        <f aca="false">'2026 Forecast A'!F35</f>
        <v>1061</v>
      </c>
      <c r="L104" s="48" t="str">
        <f aca="false">IF(OR(AND(D104&gt;0.5,E104&gt;0.5,F104&gt;0.5),AND(D104&lt;0.5,E104&lt;0.5,F104&lt;0.5)),"Yes","No — toss-up")</f>
        <v>Yes</v>
      </c>
    </row>
    <row r="105" customFormat="false" ht="15" hidden="false" customHeight="false" outlineLevel="0" collapsed="false">
      <c r="A105" s="9" t="str">
        <f aca="false">'2026 Forecast A'!A36</f>
        <v>Lehigh</v>
      </c>
      <c r="B105" s="9" t="str">
        <f aca="false">'2026 Forecast A'!B36</f>
        <v>ALLENTOWN</v>
      </c>
      <c r="C105" s="9" t="str">
        <f aca="false">'2026 Forecast A'!C36</f>
        <v>(whole municipality)</v>
      </c>
      <c r="D105" s="10" t="n">
        <f aca="false">'2026 Forecast A'!G36</f>
        <v>0.65613053245576</v>
      </c>
      <c r="E105" s="10" t="n">
        <f aca="false">'2026 Forecast B'!G36</f>
        <v>0.659598786111221</v>
      </c>
      <c r="F105" s="10" t="n">
        <f aca="false">'2026 Forecast C'!G36</f>
        <v>0.672368265479053</v>
      </c>
      <c r="G105" s="46" t="n">
        <f aca="false">(MAX(D105:F105)-MIN(D105:F105))*100</f>
        <v>1.62377330232925</v>
      </c>
      <c r="H105" s="47" t="n">
        <f aca="false">'2026 Forecast A'!L36</f>
        <v>3.349008109096</v>
      </c>
      <c r="I105" s="47" t="n">
        <f aca="false">'2026 Forecast B'!L36</f>
        <v>2.98086653957356</v>
      </c>
      <c r="J105" s="47" t="n">
        <f aca="false">'2026 Forecast C'!L36</f>
        <v>3.19119071644035</v>
      </c>
      <c r="K105" s="18" t="n">
        <f aca="false">'2026 Forecast A'!F36</f>
        <v>25373</v>
      </c>
      <c r="L105" s="48" t="str">
        <f aca="false">IF(OR(AND(D105&gt;0.5,E105&gt;0.5,F105&gt;0.5),AND(D105&lt;0.5,E105&lt;0.5,F105&lt;0.5)),"Yes","No — toss-up")</f>
        <v>Yes</v>
      </c>
    </row>
    <row r="106" customFormat="false" ht="15" hidden="false" customHeight="false" outlineLevel="0" collapsed="false">
      <c r="A106" s="9" t="str">
        <f aca="false">'2026 Forecast A'!A37</f>
        <v>Lehigh</v>
      </c>
      <c r="B106" s="9" t="str">
        <f aca="false">'2026 Forecast A'!B37</f>
        <v>BETHLEHEM</v>
      </c>
      <c r="C106" s="9" t="str">
        <f aca="false">'2026 Forecast A'!C37</f>
        <v>(whole municipality)</v>
      </c>
      <c r="D106" s="10" t="n">
        <f aca="false">'2026 Forecast A'!G37</f>
        <v>0.639212736617776</v>
      </c>
      <c r="E106" s="10" t="n">
        <f aca="false">'2026 Forecast B'!G37</f>
        <v>0.638084492917137</v>
      </c>
      <c r="F106" s="10" t="n">
        <f aca="false">'2026 Forecast C'!G37</f>
        <v>0.653503823492541</v>
      </c>
      <c r="G106" s="46" t="n">
        <f aca="false">(MAX(D106:F106)-MIN(D106:F106))*100</f>
        <v>1.54193305754043</v>
      </c>
      <c r="H106" s="47" t="n">
        <f aca="false">'2026 Forecast A'!L37</f>
        <v>3.349008109096</v>
      </c>
      <c r="I106" s="47" t="n">
        <f aca="false">'2026 Forecast B'!L37</f>
        <v>2.98086653957356</v>
      </c>
      <c r="J106" s="47" t="n">
        <f aca="false">'2026 Forecast C'!L37</f>
        <v>3.19119071644035</v>
      </c>
      <c r="K106" s="18" t="n">
        <f aca="false">'2026 Forecast A'!F37</f>
        <v>7977</v>
      </c>
      <c r="L106" s="48" t="str">
        <f aca="false">IF(OR(AND(D106&gt;0.5,E106&gt;0.5,F106&gt;0.5),AND(D106&lt;0.5,E106&lt;0.5,F106&lt;0.5)),"Yes","No — toss-up")</f>
        <v>Yes</v>
      </c>
    </row>
    <row r="107" customFormat="false" ht="15" hidden="false" customHeight="false" outlineLevel="0" collapsed="false">
      <c r="A107" s="9" t="str">
        <f aca="false">'2026 Forecast A'!A38</f>
        <v>Lehigh</v>
      </c>
      <c r="B107" s="9" t="str">
        <f aca="false">'2026 Forecast A'!B38</f>
        <v>CATASAUQUA</v>
      </c>
      <c r="C107" s="9" t="str">
        <f aca="false">'2026 Forecast A'!C38</f>
        <v>(whole municipality)</v>
      </c>
      <c r="D107" s="10" t="n">
        <f aca="false">'2026 Forecast A'!G38</f>
        <v>0.517906336088154</v>
      </c>
      <c r="E107" s="10" t="n">
        <f aca="false">'2026 Forecast B'!G38</f>
        <v>0.519283746556474</v>
      </c>
      <c r="F107" s="10" t="n">
        <f aca="false">'2026 Forecast C'!G38</f>
        <v>0.518824609733701</v>
      </c>
      <c r="G107" s="46" t="n">
        <f aca="false">(MAX(D107:F107)-MIN(D107:F107))*100</f>
        <v>0.137741046831952</v>
      </c>
      <c r="H107" s="47" t="n">
        <f aca="false">'2026 Forecast A'!L38</f>
        <v>2.89547658367171</v>
      </c>
      <c r="I107" s="47" t="n">
        <f aca="false">'2026 Forecast B'!L38</f>
        <v>2.74826999140557</v>
      </c>
      <c r="J107" s="47" t="n">
        <f aca="false">'2026 Forecast C'!L38</f>
        <v>2.81136738013631</v>
      </c>
      <c r="K107" s="18" t="n">
        <f aca="false">'2026 Forecast A'!F38</f>
        <v>2178</v>
      </c>
      <c r="L107" s="48" t="str">
        <f aca="false">IF(OR(AND(D107&gt;0.5,E107&gt;0.5,F107&gt;0.5),AND(D107&lt;0.5,E107&lt;0.5,F107&lt;0.5)),"Yes","No — toss-up")</f>
        <v>Yes</v>
      </c>
    </row>
    <row r="108" customFormat="false" ht="15" hidden="false" customHeight="false" outlineLevel="0" collapsed="false">
      <c r="A108" s="9" t="str">
        <f aca="false">'2026 Forecast A'!A39</f>
        <v>Lehigh</v>
      </c>
      <c r="B108" s="9" t="str">
        <f aca="false">'2026 Forecast A'!B39</f>
        <v>COOPERSBURG</v>
      </c>
      <c r="C108" s="9" t="str">
        <f aca="false">'2026 Forecast A'!C39</f>
        <v>(whole municipality)</v>
      </c>
      <c r="D108" s="10" t="n">
        <f aca="false">'2026 Forecast A'!G39</f>
        <v>0.481102362204724</v>
      </c>
      <c r="E108" s="10" t="n">
        <f aca="false">'2026 Forecast B'!G39</f>
        <v>0.481889763779528</v>
      </c>
      <c r="F108" s="10" t="n">
        <f aca="false">'2026 Forecast C'!G39</f>
        <v>0.477165354330709</v>
      </c>
      <c r="G108" s="46" t="n">
        <f aca="false">(MAX(D108:F108)-MIN(D108:F108))*100</f>
        <v>0.472440944881891</v>
      </c>
      <c r="H108" s="47" t="n">
        <f aca="false">'2026 Forecast A'!L39</f>
        <v>2.89547658367171</v>
      </c>
      <c r="I108" s="47" t="n">
        <f aca="false">'2026 Forecast B'!L39</f>
        <v>2.74826999140557</v>
      </c>
      <c r="J108" s="47" t="n">
        <f aca="false">'2026 Forecast C'!L39</f>
        <v>2.81136738013631</v>
      </c>
      <c r="K108" s="18" t="n">
        <f aca="false">'2026 Forecast A'!F39</f>
        <v>1270</v>
      </c>
      <c r="L108" s="48" t="str">
        <f aca="false">IF(OR(AND(D108&gt;0.5,E108&gt;0.5,F108&gt;0.5),AND(D108&lt;0.5,E108&lt;0.5,F108&lt;0.5)),"Yes","No — toss-up")</f>
        <v>Yes</v>
      </c>
    </row>
    <row r="109" customFormat="false" ht="15" hidden="false" customHeight="false" outlineLevel="0" collapsed="false">
      <c r="A109" s="9" t="str">
        <f aca="false">'2026 Forecast A'!A40</f>
        <v>Lehigh</v>
      </c>
      <c r="B109" s="9" t="str">
        <f aca="false">'2026 Forecast A'!B40</f>
        <v>COPLAY</v>
      </c>
      <c r="C109" s="9" t="str">
        <f aca="false">'2026 Forecast A'!C40</f>
        <v>(whole municipality)</v>
      </c>
      <c r="D109" s="10" t="n">
        <f aca="false">'2026 Forecast A'!G40</f>
        <v>0.513929618768328</v>
      </c>
      <c r="E109" s="10" t="n">
        <f aca="false">'2026 Forecast B'!G40</f>
        <v>0.518328445747801</v>
      </c>
      <c r="F109" s="10" t="n">
        <f aca="false">'2026 Forecast C'!G40</f>
        <v>0.513929618768328</v>
      </c>
      <c r="G109" s="46" t="n">
        <f aca="false">(MAX(D109:F109)-MIN(D109:F109))*100</f>
        <v>0.439882697947214</v>
      </c>
      <c r="H109" s="47" t="n">
        <f aca="false">'2026 Forecast A'!L40</f>
        <v>2.89547658367171</v>
      </c>
      <c r="I109" s="47" t="n">
        <f aca="false">'2026 Forecast B'!L40</f>
        <v>2.74826999140557</v>
      </c>
      <c r="J109" s="47" t="n">
        <f aca="false">'2026 Forecast C'!L40</f>
        <v>2.81136738013631</v>
      </c>
      <c r="K109" s="18" t="n">
        <f aca="false">'2026 Forecast A'!F40</f>
        <v>1364</v>
      </c>
      <c r="L109" s="48" t="str">
        <f aca="false">IF(OR(AND(D109&gt;0.5,E109&gt;0.5,F109&gt;0.5),AND(D109&lt;0.5,E109&lt;0.5,F109&lt;0.5)),"Yes","No — toss-up")</f>
        <v>Yes</v>
      </c>
    </row>
    <row r="110" customFormat="false" ht="15" hidden="false" customHeight="false" outlineLevel="0" collapsed="false">
      <c r="A110" s="9" t="str">
        <f aca="false">'2026 Forecast A'!A41</f>
        <v>Lehigh</v>
      </c>
      <c r="B110" s="9" t="str">
        <f aca="false">'2026 Forecast A'!B41</f>
        <v>EMMAUS</v>
      </c>
      <c r="C110" s="9" t="str">
        <f aca="false">'2026 Forecast A'!C41</f>
        <v>(whole municipality)</v>
      </c>
      <c r="D110" s="10" t="n">
        <f aca="false">'2026 Forecast A'!G41</f>
        <v>0.536748329621381</v>
      </c>
      <c r="E110" s="10" t="n">
        <f aca="false">'2026 Forecast B'!G41</f>
        <v>0.538604305864885</v>
      </c>
      <c r="F110" s="10" t="n">
        <f aca="false">'2026 Forecast C'!G41</f>
        <v>0.539161098737936</v>
      </c>
      <c r="G110" s="46" t="n">
        <f aca="false">(MAX(D110:F110)-MIN(D110:F110))*100</f>
        <v>0.24127691165553</v>
      </c>
      <c r="H110" s="47" t="n">
        <f aca="false">'2026 Forecast A'!L41</f>
        <v>3.349008109096</v>
      </c>
      <c r="I110" s="47" t="n">
        <f aca="false">'2026 Forecast B'!L41</f>
        <v>2.98086653957356</v>
      </c>
      <c r="J110" s="47" t="n">
        <f aca="false">'2026 Forecast C'!L41</f>
        <v>3.19119071644035</v>
      </c>
      <c r="K110" s="18" t="n">
        <f aca="false">'2026 Forecast A'!F41</f>
        <v>5388</v>
      </c>
      <c r="L110" s="48" t="str">
        <f aca="false">IF(OR(AND(D110&gt;0.5,E110&gt;0.5,F110&gt;0.5),AND(D110&lt;0.5,E110&lt;0.5,F110&lt;0.5)),"Yes","No — toss-up")</f>
        <v>Yes</v>
      </c>
    </row>
    <row r="111" customFormat="false" ht="15" hidden="false" customHeight="false" outlineLevel="0" collapsed="false">
      <c r="A111" s="9" t="str">
        <f aca="false">'2026 Forecast A'!A42</f>
        <v>Lehigh</v>
      </c>
      <c r="B111" s="9" t="str">
        <f aca="false">'2026 Forecast A'!B42</f>
        <v>FOUNTAIN HILL</v>
      </c>
      <c r="C111" s="9" t="str">
        <f aca="false">'2026 Forecast A'!C42</f>
        <v>(whole municipality)</v>
      </c>
      <c r="D111" s="10" t="n">
        <f aca="false">'2026 Forecast A'!G42</f>
        <v>0.658566978193147</v>
      </c>
      <c r="E111" s="10" t="n">
        <f aca="false">'2026 Forecast B'!G42</f>
        <v>0.662928348909657</v>
      </c>
      <c r="F111" s="10" t="n">
        <f aca="false">'2026 Forecast C'!G42</f>
        <v>0.674143302180685</v>
      </c>
      <c r="G111" s="46" t="n">
        <f aca="false">(MAX(D111:F111)-MIN(D111:F111))*100</f>
        <v>1.55763239875389</v>
      </c>
      <c r="H111" s="47" t="n">
        <f aca="false">'2026 Forecast A'!L42</f>
        <v>2.89547658367171</v>
      </c>
      <c r="I111" s="47" t="n">
        <f aca="false">'2026 Forecast B'!L42</f>
        <v>2.74826999140557</v>
      </c>
      <c r="J111" s="47" t="n">
        <f aca="false">'2026 Forecast C'!L42</f>
        <v>2.81136738013631</v>
      </c>
      <c r="K111" s="18" t="n">
        <f aca="false">'2026 Forecast A'!F42</f>
        <v>1605</v>
      </c>
      <c r="L111" s="48" t="str">
        <f aca="false">IF(OR(AND(D111&gt;0.5,E111&gt;0.5,F111&gt;0.5),AND(D111&lt;0.5,E111&lt;0.5,F111&lt;0.5)),"Yes","No — toss-up")</f>
        <v>Yes</v>
      </c>
    </row>
    <row r="112" customFormat="false" ht="15" hidden="false" customHeight="false" outlineLevel="0" collapsed="false">
      <c r="A112" s="9" t="str">
        <f aca="false">'2026 Forecast A'!A43</f>
        <v>Lehigh</v>
      </c>
      <c r="B112" s="9" t="str">
        <f aca="false">'2026 Forecast A'!B43</f>
        <v>HANOVER</v>
      </c>
      <c r="C112" s="9" t="str">
        <f aca="false">'2026 Forecast A'!C43</f>
        <v>(whole municipality)</v>
      </c>
      <c r="D112" s="10" t="n">
        <f aca="false">'2026 Forecast A'!G43</f>
        <v>0.541322314049587</v>
      </c>
      <c r="E112" s="10" t="n">
        <f aca="false">'2026 Forecast B'!G43</f>
        <v>0.539256198347108</v>
      </c>
      <c r="F112" s="10" t="n">
        <f aca="false">'2026 Forecast C'!G43</f>
        <v>0.545454545454545</v>
      </c>
      <c r="G112" s="46" t="n">
        <f aca="false">(MAX(D112:F112)-MIN(D112:F112))*100</f>
        <v>0.619834710743794</v>
      </c>
      <c r="H112" s="47" t="n">
        <f aca="false">'2026 Forecast A'!L43</f>
        <v>4.23439710805267</v>
      </c>
      <c r="I112" s="47" t="n">
        <f aca="false">'2026 Forecast B'!L43</f>
        <v>4.20108647752001</v>
      </c>
      <c r="J112" s="47" t="n">
        <f aca="false">'2026 Forecast C'!L43</f>
        <v>4.10924388503634</v>
      </c>
      <c r="K112" s="18" t="n">
        <f aca="false">'2026 Forecast A'!F43</f>
        <v>484</v>
      </c>
      <c r="L112" s="48" t="str">
        <f aca="false">IF(OR(AND(D112&gt;0.5,E112&gt;0.5,F112&gt;0.5),AND(D112&lt;0.5,E112&lt;0.5,F112&lt;0.5)),"Yes","No — toss-up")</f>
        <v>Yes</v>
      </c>
    </row>
    <row r="113" customFormat="false" ht="15" hidden="false" customHeight="false" outlineLevel="0" collapsed="false">
      <c r="A113" s="9" t="str">
        <f aca="false">'2026 Forecast A'!A44</f>
        <v>Lehigh</v>
      </c>
      <c r="B113" s="9" t="str">
        <f aca="false">'2026 Forecast A'!B44</f>
        <v>HEIDELBERG</v>
      </c>
      <c r="C113" s="9" t="str">
        <f aca="false">'2026 Forecast A'!C44</f>
        <v>(whole municipality)</v>
      </c>
      <c r="D113" s="10" t="n">
        <f aca="false">'2026 Forecast A'!G44</f>
        <v>0.316234158117079</v>
      </c>
      <c r="E113" s="10" t="n">
        <f aca="false">'2026 Forecast B'!G44</f>
        <v>0.31864815932408</v>
      </c>
      <c r="F113" s="10" t="n">
        <f aca="false">'2026 Forecast C'!G44</f>
        <v>0.303560651780326</v>
      </c>
      <c r="G113" s="46" t="n">
        <f aca="false">(MAX(D113:F113)-MIN(D113:F113))*100</f>
        <v>1.50875075437538</v>
      </c>
      <c r="H113" s="47" t="n">
        <f aca="false">'2026 Forecast A'!L44</f>
        <v>2.89547658367171</v>
      </c>
      <c r="I113" s="47" t="n">
        <f aca="false">'2026 Forecast B'!L44</f>
        <v>2.74826999140557</v>
      </c>
      <c r="J113" s="47" t="n">
        <f aca="false">'2026 Forecast C'!L44</f>
        <v>2.81136738013631</v>
      </c>
      <c r="K113" s="18" t="n">
        <f aca="false">'2026 Forecast A'!F44</f>
        <v>1657</v>
      </c>
      <c r="L113" s="48" t="str">
        <f aca="false">IF(OR(AND(D113&gt;0.5,E113&gt;0.5,F113&gt;0.5),AND(D113&lt;0.5,E113&lt;0.5,F113&lt;0.5)),"Yes","No — toss-up")</f>
        <v>Yes</v>
      </c>
    </row>
    <row r="114" customFormat="false" ht="15" hidden="false" customHeight="false" outlineLevel="0" collapsed="false">
      <c r="A114" s="9" t="str">
        <f aca="false">'2026 Forecast A'!A45</f>
        <v>Lehigh</v>
      </c>
      <c r="B114" s="9" t="str">
        <f aca="false">'2026 Forecast A'!B45</f>
        <v>LOWER MACUNGIE</v>
      </c>
      <c r="C114" s="9" t="str">
        <f aca="false">'2026 Forecast A'!C45</f>
        <v>(whole municipality)</v>
      </c>
      <c r="D114" s="10" t="n">
        <f aca="false">'2026 Forecast A'!G45</f>
        <v>0.50462197734925</v>
      </c>
      <c r="E114" s="10" t="n">
        <f aca="false">'2026 Forecast B'!G45</f>
        <v>0.501071319253137</v>
      </c>
      <c r="F114" s="10" t="n">
        <f aca="false">'2026 Forecast C'!G45</f>
        <v>0.502846648301194</v>
      </c>
      <c r="G114" s="46" t="n">
        <f aca="false">(MAX(D114:F114)-MIN(D114:F114))*100</f>
        <v>0.355065809611266</v>
      </c>
      <c r="H114" s="47" t="n">
        <f aca="false">'2026 Forecast A'!L45</f>
        <v>3.349008109096</v>
      </c>
      <c r="I114" s="47" t="n">
        <f aca="false">'2026 Forecast B'!L45</f>
        <v>2.98086653957356</v>
      </c>
      <c r="J114" s="47" t="n">
        <f aca="false">'2026 Forecast C'!L45</f>
        <v>3.19119071644035</v>
      </c>
      <c r="K114" s="18" t="n">
        <f aca="false">'2026 Forecast A'!F45</f>
        <v>16335</v>
      </c>
      <c r="L114" s="48" t="str">
        <f aca="false">IF(OR(AND(D114&gt;0.5,E114&gt;0.5,F114&gt;0.5),AND(D114&lt;0.5,E114&lt;0.5,F114&lt;0.5)),"Yes","No — toss-up")</f>
        <v>Yes</v>
      </c>
    </row>
    <row r="115" customFormat="false" ht="15" hidden="false" customHeight="false" outlineLevel="0" collapsed="false">
      <c r="A115" s="9" t="str">
        <f aca="false">'2026 Forecast A'!A46</f>
        <v>Lehigh</v>
      </c>
      <c r="B115" s="9" t="str">
        <f aca="false">'2026 Forecast A'!B46</f>
        <v>LOWER MILFORD</v>
      </c>
      <c r="C115" s="9" t="str">
        <f aca="false">'2026 Forecast A'!C46</f>
        <v>(whole municipality)</v>
      </c>
      <c r="D115" s="10" t="n">
        <f aca="false">'2026 Forecast A'!G46</f>
        <v>0.377949183303085</v>
      </c>
      <c r="E115" s="10" t="n">
        <f aca="false">'2026 Forecast B'!G46</f>
        <v>0.374773139745917</v>
      </c>
      <c r="F115" s="10" t="n">
        <f aca="false">'2026 Forecast C'!G46</f>
        <v>0.367059891107078</v>
      </c>
      <c r="G115" s="46" t="n">
        <f aca="false">(MAX(D115:F115)-MIN(D115:F115))*100</f>
        <v>1.08892921960073</v>
      </c>
      <c r="H115" s="47" t="n">
        <f aca="false">'2026 Forecast A'!L46</f>
        <v>2.89547658367171</v>
      </c>
      <c r="I115" s="47" t="n">
        <f aca="false">'2026 Forecast B'!L46</f>
        <v>2.74826999140557</v>
      </c>
      <c r="J115" s="47" t="n">
        <f aca="false">'2026 Forecast C'!L46</f>
        <v>2.81136738013631</v>
      </c>
      <c r="K115" s="18" t="n">
        <f aca="false">'2026 Forecast A'!F46</f>
        <v>2204</v>
      </c>
      <c r="L115" s="48" t="str">
        <f aca="false">IF(OR(AND(D115&gt;0.5,E115&gt;0.5,F115&gt;0.5),AND(D115&lt;0.5,E115&lt;0.5,F115&lt;0.5)),"Yes","No — toss-up")</f>
        <v>Yes</v>
      </c>
    </row>
    <row r="116" customFormat="false" ht="15" hidden="false" customHeight="false" outlineLevel="0" collapsed="false">
      <c r="A116" s="9" t="str">
        <f aca="false">'2026 Forecast A'!A47</f>
        <v>Lehigh</v>
      </c>
      <c r="B116" s="9" t="str">
        <f aca="false">'2026 Forecast A'!B47</f>
        <v>LOWHILL</v>
      </c>
      <c r="C116" s="9" t="str">
        <f aca="false">'2026 Forecast A'!C47</f>
        <v>(whole municipality)</v>
      </c>
      <c r="D116" s="10" t="n">
        <f aca="false">'2026 Forecast A'!G47</f>
        <v>0.3589329021827</v>
      </c>
      <c r="E116" s="10" t="n">
        <f aca="false">'2026 Forecast B'!G47</f>
        <v>0.358124494745352</v>
      </c>
      <c r="F116" s="10" t="n">
        <f aca="false">'2026 Forecast C'!G47</f>
        <v>0.346806790622474</v>
      </c>
      <c r="G116" s="46" t="n">
        <f aca="false">(MAX(D116:F116)-MIN(D116:F116))*100</f>
        <v>1.21261115602264</v>
      </c>
      <c r="H116" s="47" t="n">
        <f aca="false">'2026 Forecast A'!L47</f>
        <v>4.23439710805267</v>
      </c>
      <c r="I116" s="47" t="n">
        <f aca="false">'2026 Forecast B'!L47</f>
        <v>4.20108647752001</v>
      </c>
      <c r="J116" s="47" t="n">
        <f aca="false">'2026 Forecast C'!L47</f>
        <v>4.10924388503634</v>
      </c>
      <c r="K116" s="18" t="n">
        <f aca="false">'2026 Forecast A'!F47</f>
        <v>1237</v>
      </c>
      <c r="L116" s="48" t="str">
        <f aca="false">IF(OR(AND(D116&gt;0.5,E116&gt;0.5,F116&gt;0.5),AND(D116&lt;0.5,E116&lt;0.5,F116&lt;0.5)),"Yes","No — toss-up")</f>
        <v>Yes</v>
      </c>
    </row>
    <row r="117" customFormat="false" ht="15" hidden="false" customHeight="false" outlineLevel="0" collapsed="false">
      <c r="A117" s="9" t="str">
        <f aca="false">'2026 Forecast A'!A48</f>
        <v>Lehigh</v>
      </c>
      <c r="B117" s="9" t="str">
        <f aca="false">'2026 Forecast A'!B48</f>
        <v>LYNN</v>
      </c>
      <c r="C117" s="9" t="str">
        <f aca="false">'2026 Forecast A'!C48</f>
        <v>(whole municipality)</v>
      </c>
      <c r="D117" s="10" t="n">
        <f aca="false">'2026 Forecast A'!G48</f>
        <v>0.316149635036496</v>
      </c>
      <c r="E117" s="10" t="n">
        <f aca="false">'2026 Forecast B'!G48</f>
        <v>0.312956204379562</v>
      </c>
      <c r="F117" s="10" t="n">
        <f aca="false">'2026 Forecast C'!G48</f>
        <v>0.302919708029197</v>
      </c>
      <c r="G117" s="46" t="n">
        <f aca="false">(MAX(D117:F117)-MIN(D117:F117))*100</f>
        <v>1.32299270072992</v>
      </c>
      <c r="H117" s="47" t="n">
        <f aca="false">'2026 Forecast A'!L48</f>
        <v>2.89547658367171</v>
      </c>
      <c r="I117" s="47" t="n">
        <f aca="false">'2026 Forecast B'!L48</f>
        <v>2.74826999140557</v>
      </c>
      <c r="J117" s="47" t="n">
        <f aca="false">'2026 Forecast C'!L48</f>
        <v>2.81136738013631</v>
      </c>
      <c r="K117" s="18" t="n">
        <f aca="false">'2026 Forecast A'!F48</f>
        <v>2192</v>
      </c>
      <c r="L117" s="48" t="str">
        <f aca="false">IF(OR(AND(D117&gt;0.5,E117&gt;0.5,F117&gt;0.5),AND(D117&lt;0.5,E117&lt;0.5,F117&lt;0.5)),"Yes","No — toss-up")</f>
        <v>Yes</v>
      </c>
    </row>
    <row r="118" customFormat="false" ht="15" hidden="false" customHeight="false" outlineLevel="0" collapsed="false">
      <c r="A118" s="9" t="str">
        <f aca="false">'2026 Forecast A'!A49</f>
        <v>Lehigh</v>
      </c>
      <c r="B118" s="9" t="str">
        <f aca="false">'2026 Forecast A'!B49</f>
        <v>MACUNGIE</v>
      </c>
      <c r="C118" s="9" t="str">
        <f aca="false">'2026 Forecast A'!C49</f>
        <v>(whole municipality)</v>
      </c>
      <c r="D118" s="10" t="n">
        <f aca="false">'2026 Forecast A'!G49</f>
        <v>0.529411764705882</v>
      </c>
      <c r="E118" s="10" t="n">
        <f aca="false">'2026 Forecast B'!G49</f>
        <v>0.527428949107733</v>
      </c>
      <c r="F118" s="10" t="n">
        <f aca="false">'2026 Forecast C'!G49</f>
        <v>0.530072703238599</v>
      </c>
      <c r="G118" s="46" t="n">
        <f aca="false">(MAX(D118:F118)-MIN(D118:F118))*100</f>
        <v>0.264375413086582</v>
      </c>
      <c r="H118" s="47" t="n">
        <f aca="false">'2026 Forecast A'!L49</f>
        <v>2.89547658367171</v>
      </c>
      <c r="I118" s="47" t="n">
        <f aca="false">'2026 Forecast B'!L49</f>
        <v>2.74826999140557</v>
      </c>
      <c r="J118" s="47" t="n">
        <f aca="false">'2026 Forecast C'!L49</f>
        <v>2.81136738013631</v>
      </c>
      <c r="K118" s="18" t="n">
        <f aca="false">'2026 Forecast A'!F49</f>
        <v>1513</v>
      </c>
      <c r="L118" s="48" t="str">
        <f aca="false">IF(OR(AND(D118&gt;0.5,E118&gt;0.5,F118&gt;0.5),AND(D118&lt;0.5,E118&lt;0.5,F118&lt;0.5)),"Yes","No — toss-up")</f>
        <v>Yes</v>
      </c>
    </row>
    <row r="119" customFormat="false" ht="15" hidden="false" customHeight="false" outlineLevel="0" collapsed="false">
      <c r="A119" s="9" t="str">
        <f aca="false">'2026 Forecast A'!A50</f>
        <v>Lehigh</v>
      </c>
      <c r="B119" s="9" t="str">
        <f aca="false">'2026 Forecast A'!B50</f>
        <v>NORTH WHITEHALL</v>
      </c>
      <c r="C119" s="9" t="str">
        <f aca="false">'2026 Forecast A'!C50</f>
        <v>(whole municipality)</v>
      </c>
      <c r="D119" s="10" t="n">
        <f aca="false">'2026 Forecast A'!G50</f>
        <v>0.411168798277827</v>
      </c>
      <c r="E119" s="10" t="n">
        <f aca="false">'2026 Forecast B'!G50</f>
        <v>0.402431303026466</v>
      </c>
      <c r="F119" s="10" t="n">
        <f aca="false">'2026 Forecast C'!G50</f>
        <v>0.404077497783969</v>
      </c>
      <c r="G119" s="46" t="n">
        <f aca="false">(MAX(D119:F119)-MIN(D119:F119))*100</f>
        <v>0.873749525136131</v>
      </c>
      <c r="H119" s="47" t="n">
        <f aca="false">'2026 Forecast A'!L50</f>
        <v>3.349008109096</v>
      </c>
      <c r="I119" s="47" t="n">
        <f aca="false">'2026 Forecast B'!L50</f>
        <v>2.98086653957356</v>
      </c>
      <c r="J119" s="47" t="n">
        <f aca="false">'2026 Forecast C'!L50</f>
        <v>3.19119071644035</v>
      </c>
      <c r="K119" s="18" t="n">
        <f aca="false">'2026 Forecast A'!F50</f>
        <v>7897</v>
      </c>
      <c r="L119" s="48" t="str">
        <f aca="false">IF(OR(AND(D119&gt;0.5,E119&gt;0.5,F119&gt;0.5),AND(D119&lt;0.5,E119&lt;0.5,F119&lt;0.5)),"Yes","No — toss-up")</f>
        <v>Yes</v>
      </c>
    </row>
    <row r="120" customFormat="false" ht="15" hidden="false" customHeight="false" outlineLevel="0" collapsed="false">
      <c r="A120" s="9" t="str">
        <f aca="false">'2026 Forecast A'!A51</f>
        <v>Lehigh</v>
      </c>
      <c r="B120" s="9" t="str">
        <f aca="false">'2026 Forecast A'!B51</f>
        <v>SALISBURY</v>
      </c>
      <c r="C120" s="9" t="str">
        <f aca="false">'2026 Forecast A'!C51</f>
        <v>(whole municipality)</v>
      </c>
      <c r="D120" s="10" t="n">
        <f aca="false">'2026 Forecast A'!G51</f>
        <v>0.495956454121306</v>
      </c>
      <c r="E120" s="10" t="n">
        <f aca="false">'2026 Forecast B'!G51</f>
        <v>0.492223950233281</v>
      </c>
      <c r="F120" s="10" t="n">
        <f aca="false">'2026 Forecast C'!G51</f>
        <v>0.494712286158631</v>
      </c>
      <c r="G120" s="46" t="n">
        <f aca="false">(MAX(D120:F120)-MIN(D120:F120))*100</f>
        <v>0.373250388802493</v>
      </c>
      <c r="H120" s="47" t="n">
        <f aca="false">'2026 Forecast A'!L51</f>
        <v>3.349008109096</v>
      </c>
      <c r="I120" s="47" t="n">
        <f aca="false">'2026 Forecast B'!L51</f>
        <v>2.98086653957356</v>
      </c>
      <c r="J120" s="47" t="n">
        <f aca="false">'2026 Forecast C'!L51</f>
        <v>3.19119071644035</v>
      </c>
      <c r="K120" s="18" t="n">
        <f aca="false">'2026 Forecast A'!F51</f>
        <v>6430</v>
      </c>
      <c r="L120" s="48" t="str">
        <f aca="false">IF(OR(AND(D120&gt;0.5,E120&gt;0.5,F120&gt;0.5),AND(D120&lt;0.5,E120&lt;0.5,F120&lt;0.5)),"Yes","No — toss-up")</f>
        <v>Yes</v>
      </c>
    </row>
    <row r="121" customFormat="false" ht="15" hidden="false" customHeight="false" outlineLevel="0" collapsed="false">
      <c r="A121" s="9" t="str">
        <f aca="false">'2026 Forecast A'!A52</f>
        <v>Lehigh</v>
      </c>
      <c r="B121" s="9" t="str">
        <f aca="false">'2026 Forecast A'!B52</f>
        <v>SLATINGTON</v>
      </c>
      <c r="C121" s="9" t="str">
        <f aca="false">'2026 Forecast A'!C52</f>
        <v>(whole municipality)</v>
      </c>
      <c r="D121" s="10" t="n">
        <f aca="false">'2026 Forecast A'!G52</f>
        <v>0.417985611510791</v>
      </c>
      <c r="E121" s="10" t="n">
        <f aca="false">'2026 Forecast B'!G52</f>
        <v>0.422302158273381</v>
      </c>
      <c r="F121" s="10" t="n">
        <f aca="false">'2026 Forecast C'!G52</f>
        <v>0.413669064748201</v>
      </c>
      <c r="G121" s="46" t="n">
        <f aca="false">(MAX(D121:F121)-MIN(D121:F121))*100</f>
        <v>0.863309352517988</v>
      </c>
      <c r="H121" s="47" t="n">
        <f aca="false">'2026 Forecast A'!L52</f>
        <v>2.89547658367171</v>
      </c>
      <c r="I121" s="47" t="n">
        <f aca="false">'2026 Forecast B'!L52</f>
        <v>2.74826999140557</v>
      </c>
      <c r="J121" s="47" t="n">
        <f aca="false">'2026 Forecast C'!L52</f>
        <v>2.81136738013631</v>
      </c>
      <c r="K121" s="18" t="n">
        <f aca="false">'2026 Forecast A'!F52</f>
        <v>1390</v>
      </c>
      <c r="L121" s="48" t="str">
        <f aca="false">IF(OR(AND(D121&gt;0.5,E121&gt;0.5,F121&gt;0.5),AND(D121&lt;0.5,E121&lt;0.5,F121&lt;0.5)),"Yes","No — toss-up")</f>
        <v>Yes</v>
      </c>
    </row>
    <row r="122" customFormat="false" ht="15" hidden="false" customHeight="false" outlineLevel="0" collapsed="false">
      <c r="A122" s="9" t="str">
        <f aca="false">'2026 Forecast A'!A53</f>
        <v>Lehigh</v>
      </c>
      <c r="B122" s="9" t="str">
        <f aca="false">'2026 Forecast A'!B53</f>
        <v>SOUTH WHITEHALL</v>
      </c>
      <c r="C122" s="9" t="str">
        <f aca="false">'2026 Forecast A'!C53</f>
        <v>(whole municipality)</v>
      </c>
      <c r="D122" s="10" t="n">
        <f aca="false">'2026 Forecast A'!G53</f>
        <v>0.538622925805836</v>
      </c>
      <c r="E122" s="10" t="n">
        <f aca="false">'2026 Forecast B'!G53</f>
        <v>0.538336830059127</v>
      </c>
      <c r="F122" s="10" t="n">
        <f aca="false">'2026 Forecast C'!G53</f>
        <v>0.540911691779516</v>
      </c>
      <c r="G122" s="46" t="n">
        <f aca="false">(MAX(D122:F122)-MIN(D122:F122))*100</f>
        <v>0.257486172038912</v>
      </c>
      <c r="H122" s="47" t="n">
        <f aca="false">'2026 Forecast A'!L53</f>
        <v>3.349008109096</v>
      </c>
      <c r="I122" s="47" t="n">
        <f aca="false">'2026 Forecast B'!L53</f>
        <v>2.98086653957356</v>
      </c>
      <c r="J122" s="47" t="n">
        <f aca="false">'2026 Forecast C'!L53</f>
        <v>3.19119071644035</v>
      </c>
      <c r="K122" s="18" t="n">
        <f aca="false">'2026 Forecast A'!F53</f>
        <v>10486</v>
      </c>
      <c r="L122" s="48" t="str">
        <f aca="false">IF(OR(AND(D122&gt;0.5,E122&gt;0.5,F122&gt;0.5),AND(D122&lt;0.5,E122&lt;0.5,F122&lt;0.5)),"Yes","No — toss-up")</f>
        <v>Yes</v>
      </c>
    </row>
    <row r="123" customFormat="false" ht="15" hidden="false" customHeight="false" outlineLevel="0" collapsed="false">
      <c r="A123" s="9" t="str">
        <f aca="false">'2026 Forecast A'!A54</f>
        <v>Lehigh</v>
      </c>
      <c r="B123" s="9" t="str">
        <f aca="false">'2026 Forecast A'!B54</f>
        <v>UPPER MACUNGIE</v>
      </c>
      <c r="C123" s="9" t="str">
        <f aca="false">'2026 Forecast A'!C54</f>
        <v>(whole municipality)</v>
      </c>
      <c r="D123" s="10" t="n">
        <f aca="false">'2026 Forecast A'!G54</f>
        <v>0.517456359102244</v>
      </c>
      <c r="E123" s="10" t="n">
        <f aca="false">'2026 Forecast B'!G54</f>
        <v>0.515378221113882</v>
      </c>
      <c r="F123" s="10" t="n">
        <f aca="false">'2026 Forecast C'!G54</f>
        <v>0.517955112219451</v>
      </c>
      <c r="G123" s="46" t="n">
        <f aca="false">(MAX(D123:F123)-MIN(D123:F123))*100</f>
        <v>0.257689110556936</v>
      </c>
      <c r="H123" s="47" t="n">
        <f aca="false">'2026 Forecast A'!L54</f>
        <v>3.349008109096</v>
      </c>
      <c r="I123" s="47" t="n">
        <f aca="false">'2026 Forecast B'!L54</f>
        <v>2.98086653957356</v>
      </c>
      <c r="J123" s="47" t="n">
        <f aca="false">'2026 Forecast C'!L54</f>
        <v>3.19119071644035</v>
      </c>
      <c r="K123" s="18" t="n">
        <f aca="false">'2026 Forecast A'!F54</f>
        <v>12030</v>
      </c>
      <c r="L123" s="48" t="str">
        <f aca="false">IF(OR(AND(D123&gt;0.5,E123&gt;0.5,F123&gt;0.5),AND(D123&lt;0.5,E123&lt;0.5,F123&lt;0.5)),"Yes","No — toss-up")</f>
        <v>Yes</v>
      </c>
    </row>
    <row r="124" customFormat="false" ht="15" hidden="false" customHeight="false" outlineLevel="0" collapsed="false">
      <c r="A124" s="9" t="str">
        <f aca="false">'2026 Forecast A'!A55</f>
        <v>Lehigh</v>
      </c>
      <c r="B124" s="9" t="str">
        <f aca="false">'2026 Forecast A'!B55</f>
        <v>UPPER MILFORD</v>
      </c>
      <c r="C124" s="9" t="str">
        <f aca="false">'2026 Forecast A'!C55</f>
        <v>(whole municipality)</v>
      </c>
      <c r="D124" s="10" t="n">
        <f aca="false">'2026 Forecast A'!G55</f>
        <v>0.430862592110967</v>
      </c>
      <c r="E124" s="10" t="n">
        <f aca="false">'2026 Forecast B'!G55</f>
        <v>0.423493714781101</v>
      </c>
      <c r="F124" s="10" t="n">
        <f aca="false">'2026 Forecast C'!G55</f>
        <v>0.423927178153446</v>
      </c>
      <c r="G124" s="46" t="n">
        <f aca="false">(MAX(D124:F124)-MIN(D124:F124))*100</f>
        <v>0.736887732986563</v>
      </c>
      <c r="H124" s="47" t="n">
        <f aca="false">'2026 Forecast A'!L55</f>
        <v>3.349008109096</v>
      </c>
      <c r="I124" s="47" t="n">
        <f aca="false">'2026 Forecast B'!L55</f>
        <v>2.98086653957356</v>
      </c>
      <c r="J124" s="47" t="n">
        <f aca="false">'2026 Forecast C'!L55</f>
        <v>3.19119071644035</v>
      </c>
      <c r="K124" s="18" t="n">
        <f aca="false">'2026 Forecast A'!F55</f>
        <v>4614</v>
      </c>
      <c r="L124" s="48" t="str">
        <f aca="false">IF(OR(AND(D124&gt;0.5,E124&gt;0.5,F124&gt;0.5),AND(D124&lt;0.5,E124&lt;0.5,F124&lt;0.5)),"Yes","No — toss-up")</f>
        <v>Yes</v>
      </c>
    </row>
    <row r="125" customFormat="false" ht="15" hidden="false" customHeight="false" outlineLevel="0" collapsed="false">
      <c r="A125" s="9" t="str">
        <f aca="false">'2026 Forecast A'!A56</f>
        <v>Lehigh</v>
      </c>
      <c r="B125" s="9" t="str">
        <f aca="false">'2026 Forecast A'!B56</f>
        <v>UPPER SAUCON</v>
      </c>
      <c r="C125" s="9" t="str">
        <f aca="false">'2026 Forecast A'!C56</f>
        <v>(whole municipality)</v>
      </c>
      <c r="D125" s="10" t="n">
        <f aca="false">'2026 Forecast A'!G56</f>
        <v>0.487371575342466</v>
      </c>
      <c r="E125" s="10" t="n">
        <f aca="false">'2026 Forecast B'!G56</f>
        <v>0.484696061643836</v>
      </c>
      <c r="F125" s="10" t="n">
        <f aca="false">'2026 Forecast C'!G56</f>
        <v>0.484375</v>
      </c>
      <c r="G125" s="46" t="n">
        <f aca="false">(MAX(D125:F125)-MIN(D125:F125))*100</f>
        <v>0.299657534246578</v>
      </c>
      <c r="H125" s="47" t="n">
        <f aca="false">'2026 Forecast A'!L56</f>
        <v>3.349008109096</v>
      </c>
      <c r="I125" s="47" t="n">
        <f aca="false">'2026 Forecast B'!L56</f>
        <v>2.98086653957356</v>
      </c>
      <c r="J125" s="47" t="n">
        <f aca="false">'2026 Forecast C'!L56</f>
        <v>3.19119071644035</v>
      </c>
      <c r="K125" s="18" t="n">
        <f aca="false">'2026 Forecast A'!F56</f>
        <v>9344</v>
      </c>
      <c r="L125" s="48" t="str">
        <f aca="false">IF(OR(AND(D125&gt;0.5,E125&gt;0.5,F125&gt;0.5),AND(D125&lt;0.5,E125&lt;0.5,F125&lt;0.5)),"Yes","No — toss-up")</f>
        <v>Yes</v>
      </c>
    </row>
    <row r="126" customFormat="false" ht="15" hidden="false" customHeight="false" outlineLevel="0" collapsed="false">
      <c r="A126" s="9" t="str">
        <f aca="false">'2026 Forecast A'!A57</f>
        <v>Lehigh</v>
      </c>
      <c r="B126" s="9" t="str">
        <f aca="false">'2026 Forecast A'!B57</f>
        <v>WASHINGTON</v>
      </c>
      <c r="C126" s="9" t="str">
        <f aca="false">'2026 Forecast A'!C57</f>
        <v>(whole municipality)</v>
      </c>
      <c r="D126" s="10" t="n">
        <f aca="false">'2026 Forecast A'!G57</f>
        <v>0.32935868514341</v>
      </c>
      <c r="E126" s="10" t="n">
        <f aca="false">'2026 Forecast B'!G57</f>
        <v>0.332259104092813</v>
      </c>
      <c r="F126" s="10" t="n">
        <f aca="false">'2026 Forecast C'!G57</f>
        <v>0.316790203029327</v>
      </c>
      <c r="G126" s="46" t="n">
        <f aca="false">(MAX(D126:F126)-MIN(D126:F126))*100</f>
        <v>1.54689010634869</v>
      </c>
      <c r="H126" s="47" t="n">
        <f aca="false">'2026 Forecast A'!L57</f>
        <v>3.349008109096</v>
      </c>
      <c r="I126" s="47" t="n">
        <f aca="false">'2026 Forecast B'!L57</f>
        <v>2.98086653957356</v>
      </c>
      <c r="J126" s="47" t="n">
        <f aca="false">'2026 Forecast C'!L57</f>
        <v>3.19119071644035</v>
      </c>
      <c r="K126" s="18" t="n">
        <f aca="false">'2026 Forecast A'!F57</f>
        <v>3103</v>
      </c>
      <c r="L126" s="48" t="str">
        <f aca="false">IF(OR(AND(D126&gt;0.5,E126&gt;0.5,F126&gt;0.5),AND(D126&lt;0.5,E126&lt;0.5,F126&lt;0.5)),"Yes","No — toss-up")</f>
        <v>Yes</v>
      </c>
    </row>
    <row r="127" customFormat="false" ht="15" hidden="false" customHeight="false" outlineLevel="0" collapsed="false">
      <c r="A127" s="9" t="str">
        <f aca="false">'2026 Forecast A'!A58</f>
        <v>Lehigh</v>
      </c>
      <c r="B127" s="9" t="str">
        <f aca="false">'2026 Forecast A'!B58</f>
        <v>WEISENBERG</v>
      </c>
      <c r="C127" s="9" t="str">
        <f aca="false">'2026 Forecast A'!C58</f>
        <v>(whole municipality)</v>
      </c>
      <c r="D127" s="10" t="n">
        <f aca="false">'2026 Forecast A'!G58</f>
        <v>0.352919708029197</v>
      </c>
      <c r="E127" s="10" t="n">
        <f aca="false">'2026 Forecast B'!G58</f>
        <v>0.35036496350365</v>
      </c>
      <c r="F127" s="10" t="n">
        <f aca="false">'2026 Forecast C'!G58</f>
        <v>0.340875912408759</v>
      </c>
      <c r="G127" s="46" t="n">
        <f aca="false">(MAX(D127:F127)-MIN(D127:F127))*100</f>
        <v>1.20437956204379</v>
      </c>
      <c r="H127" s="47" t="n">
        <f aca="false">'2026 Forecast A'!L58</f>
        <v>2.89547658367171</v>
      </c>
      <c r="I127" s="47" t="n">
        <f aca="false">'2026 Forecast B'!L58</f>
        <v>2.74826999140557</v>
      </c>
      <c r="J127" s="47" t="n">
        <f aca="false">'2026 Forecast C'!L58</f>
        <v>2.81136738013631</v>
      </c>
      <c r="K127" s="18" t="n">
        <f aca="false">'2026 Forecast A'!F58</f>
        <v>2740</v>
      </c>
      <c r="L127" s="48" t="str">
        <f aca="false">IF(OR(AND(D127&gt;0.5,E127&gt;0.5,F127&gt;0.5),AND(D127&lt;0.5,E127&lt;0.5,F127&lt;0.5)),"Yes","No — toss-up")</f>
        <v>Yes</v>
      </c>
    </row>
    <row r="128" customFormat="false" ht="15" hidden="false" customHeight="false" outlineLevel="0" collapsed="false">
      <c r="A128" s="9" t="str">
        <f aca="false">'2026 Forecast A'!A59</f>
        <v>Lehigh</v>
      </c>
      <c r="B128" s="9" t="str">
        <f aca="false">'2026 Forecast A'!B59</f>
        <v>WHITEHALL</v>
      </c>
      <c r="C128" s="9" t="str">
        <f aca="false">'2026 Forecast A'!C59</f>
        <v>(whole municipality)</v>
      </c>
      <c r="D128" s="10" t="n">
        <f aca="false">'2026 Forecast A'!G59</f>
        <v>0.516565118050267</v>
      </c>
      <c r="E128" s="10" t="n">
        <f aca="false">'2026 Forecast B'!G59</f>
        <v>0.517612338156893</v>
      </c>
      <c r="F128" s="10" t="n">
        <f aca="false">'2026 Forecast C'!G59</f>
        <v>0.517421934501142</v>
      </c>
      <c r="G128" s="46" t="n">
        <f aca="false">(MAX(D128:F128)-MIN(D128:F128))*100</f>
        <v>0.104722010662595</v>
      </c>
      <c r="H128" s="47" t="n">
        <f aca="false">'2026 Forecast A'!L59</f>
        <v>3.349008109096</v>
      </c>
      <c r="I128" s="47" t="n">
        <f aca="false">'2026 Forecast B'!L59</f>
        <v>2.98086653957356</v>
      </c>
      <c r="J128" s="47" t="n">
        <f aca="false">'2026 Forecast C'!L59</f>
        <v>3.19119071644035</v>
      </c>
      <c r="K128" s="18" t="n">
        <f aca="false">'2026 Forecast A'!F59</f>
        <v>10504</v>
      </c>
      <c r="L128" s="48" t="str">
        <f aca="false">IF(OR(AND(D128&gt;0.5,E128&gt;0.5,F128&gt;0.5),AND(D128&lt;0.5,E128&lt;0.5,F128&lt;0.5)),"Yes","No — toss-up")</f>
        <v>Yes</v>
      </c>
    </row>
    <row r="129" customFormat="false" ht="15" hidden="false" customHeight="false" outlineLevel="0" collapsed="false">
      <c r="A129" s="9" t="str">
        <f aca="false">'2026 Forecast A'!A60</f>
        <v>Monroe</v>
      </c>
      <c r="B129" s="9" t="str">
        <f aca="false">'2026 Forecast A'!B60</f>
        <v>ELDRED TOWNSHIP</v>
      </c>
      <c r="C129" s="9" t="str">
        <f aca="false">'2026 Forecast A'!C60</f>
        <v>(whole municipality)</v>
      </c>
      <c r="D129" s="10" t="n">
        <f aca="false">'2026 Forecast A'!G60</f>
        <v>0.299837925445705</v>
      </c>
      <c r="E129" s="10" t="n">
        <f aca="false">'2026 Forecast B'!G60</f>
        <v>0.29740680713128</v>
      </c>
      <c r="F129" s="10" t="n">
        <f aca="false">'2026 Forecast C'!G60</f>
        <v>0.286061588330632</v>
      </c>
      <c r="G129" s="46" t="n">
        <f aca="false">(MAX(D129:F129)-MIN(D129:F129))*100</f>
        <v>1.37763371150729</v>
      </c>
      <c r="H129" s="47" t="n">
        <f aca="false">'2026 Forecast A'!L60</f>
        <v>4.23439710805267</v>
      </c>
      <c r="I129" s="47" t="n">
        <f aca="false">'2026 Forecast B'!L60</f>
        <v>4.20108647752001</v>
      </c>
      <c r="J129" s="47" t="n">
        <f aca="false">'2026 Forecast C'!L60</f>
        <v>4.10924388503634</v>
      </c>
      <c r="K129" s="18" t="n">
        <f aca="false">'2026 Forecast A'!F60</f>
        <v>1234</v>
      </c>
      <c r="L129" s="48" t="str">
        <f aca="false">IF(OR(AND(D129&gt;0.5,E129&gt;0.5,F129&gt;0.5),AND(D129&lt;0.5,E129&lt;0.5,F129&lt;0.5)),"Yes","No — toss-up")</f>
        <v>Yes</v>
      </c>
    </row>
    <row r="130" customFormat="false" ht="15" hidden="false" customHeight="false" outlineLevel="0" collapsed="false">
      <c r="A130" s="9" t="str">
        <f aca="false">'2026 Forecast A'!A61</f>
        <v>Monroe</v>
      </c>
      <c r="B130" s="9" t="str">
        <f aca="false">'2026 Forecast A'!B61</f>
        <v>POLK TOWNSHIP</v>
      </c>
      <c r="C130" s="9" t="str">
        <f aca="false">'2026 Forecast A'!C61</f>
        <v>(whole municipality)</v>
      </c>
      <c r="D130" s="10" t="n">
        <f aca="false">'2026 Forecast A'!G61</f>
        <v>0.336825396825397</v>
      </c>
      <c r="E130" s="10" t="n">
        <f aca="false">'2026 Forecast B'!G61</f>
        <v>0.337142857142857</v>
      </c>
      <c r="F130" s="10" t="n">
        <f aca="false">'2026 Forecast C'!G61</f>
        <v>0.325714285714286</v>
      </c>
      <c r="G130" s="46" t="n">
        <f aca="false">(MAX(D130:F130)-MIN(D130:F130))*100</f>
        <v>1.14285714285714</v>
      </c>
      <c r="H130" s="47" t="n">
        <f aca="false">'2026 Forecast A'!L61</f>
        <v>3.349008109096</v>
      </c>
      <c r="I130" s="47" t="n">
        <f aca="false">'2026 Forecast B'!L61</f>
        <v>2.98086653957356</v>
      </c>
      <c r="J130" s="47" t="n">
        <f aca="false">'2026 Forecast C'!L61</f>
        <v>3.19119071644035</v>
      </c>
      <c r="K130" s="18" t="n">
        <f aca="false">'2026 Forecast A'!F61</f>
        <v>3150</v>
      </c>
      <c r="L130" s="48" t="str">
        <f aca="false">IF(OR(AND(D130&gt;0.5,E130&gt;0.5,F130&gt;0.5),AND(D130&lt;0.5,E130&lt;0.5,F130&lt;0.5)),"Yes","No — toss-up")</f>
        <v>Yes</v>
      </c>
    </row>
    <row r="131" customFormat="false" ht="15" hidden="false" customHeight="false" outlineLevel="0" collapsed="false">
      <c r="A131" s="9" t="str">
        <f aca="false">'2026 Forecast A'!A62</f>
        <v>Monroe</v>
      </c>
      <c r="B131" s="9" t="str">
        <f aca="false">'2026 Forecast A'!B62</f>
        <v>ROSS TOWNSHIP</v>
      </c>
      <c r="C131" s="9" t="str">
        <f aca="false">'2026 Forecast A'!C62</f>
        <v>(whole municipality)</v>
      </c>
      <c r="D131" s="10" t="n">
        <f aca="false">'2026 Forecast A'!G62</f>
        <v>0.33731853116994</v>
      </c>
      <c r="E131" s="10" t="n">
        <f aca="false">'2026 Forecast B'!G62</f>
        <v>0.33731853116994</v>
      </c>
      <c r="F131" s="10" t="n">
        <f aca="false">'2026 Forecast C'!G62</f>
        <v>0.324508966695132</v>
      </c>
      <c r="G131" s="46" t="n">
        <f aca="false">(MAX(D131:F131)-MIN(D131:F131))*100</f>
        <v>1.28095644748079</v>
      </c>
      <c r="H131" s="47" t="n">
        <f aca="false">'2026 Forecast A'!L62</f>
        <v>4.23439710805267</v>
      </c>
      <c r="I131" s="47" t="n">
        <f aca="false">'2026 Forecast B'!L62</f>
        <v>4.20108647752001</v>
      </c>
      <c r="J131" s="47" t="n">
        <f aca="false">'2026 Forecast C'!L62</f>
        <v>4.10924388503634</v>
      </c>
      <c r="K131" s="18" t="n">
        <f aca="false">'2026 Forecast A'!F62</f>
        <v>1171</v>
      </c>
      <c r="L131" s="48" t="str">
        <f aca="false">IF(OR(AND(D131&gt;0.5,E131&gt;0.5,F131&gt;0.5),AND(D131&lt;0.5,E131&lt;0.5,F131&lt;0.5)),"Yes","No — toss-up")</f>
        <v>Yes</v>
      </c>
    </row>
    <row r="132" customFormat="false" ht="15" hidden="false" customHeight="false" outlineLevel="0" collapsed="false">
      <c r="A132" s="9" t="str">
        <f aca="false">'2026 Forecast A'!A63</f>
        <v>Northampton</v>
      </c>
      <c r="B132" s="9" t="str">
        <f aca="false">'2026 Forecast A'!B63</f>
        <v>ALLEN</v>
      </c>
      <c r="C132" s="9" t="str">
        <f aca="false">'2026 Forecast A'!C63</f>
        <v>(whole municipality)</v>
      </c>
      <c r="D132" s="10" t="n">
        <f aca="false">'2026 Forecast A'!G63</f>
        <v>0.432951606944958</v>
      </c>
      <c r="E132" s="10" t="n">
        <f aca="false">'2026 Forecast B'!G63</f>
        <v>0.429257480605837</v>
      </c>
      <c r="F132" s="10" t="n">
        <f aca="false">'2026 Forecast C'!G63</f>
        <v>0.429996305873661</v>
      </c>
      <c r="G132" s="46" t="n">
        <f aca="false">(MAX(D132:F132)-MIN(D132:F132))*100</f>
        <v>0.369412633912075</v>
      </c>
      <c r="H132" s="47" t="n">
        <f aca="false">'2026 Forecast A'!L63</f>
        <v>2.89547658367171</v>
      </c>
      <c r="I132" s="47" t="n">
        <f aca="false">'2026 Forecast B'!L63</f>
        <v>2.74826999140557</v>
      </c>
      <c r="J132" s="47" t="n">
        <f aca="false">'2026 Forecast C'!L63</f>
        <v>2.81136738013631</v>
      </c>
      <c r="K132" s="18" t="n">
        <f aca="false">'2026 Forecast A'!F63</f>
        <v>2707</v>
      </c>
      <c r="L132" s="48" t="str">
        <f aca="false">IF(OR(AND(D132&gt;0.5,E132&gt;0.5,F132&gt;0.5),AND(D132&lt;0.5,E132&lt;0.5,F132&lt;0.5)),"Yes","No — toss-up")</f>
        <v>Yes</v>
      </c>
    </row>
    <row r="133" customFormat="false" ht="15" hidden="false" customHeight="false" outlineLevel="0" collapsed="false">
      <c r="A133" s="9" t="str">
        <f aca="false">'2026 Forecast A'!A64</f>
        <v>Northampton</v>
      </c>
      <c r="B133" s="9" t="str">
        <f aca="false">'2026 Forecast A'!B64</f>
        <v>BANGOR</v>
      </c>
      <c r="C133" s="9" t="str">
        <f aca="false">'2026 Forecast A'!C64</f>
        <v>(whole municipality)</v>
      </c>
      <c r="D133" s="10" t="n">
        <f aca="false">'2026 Forecast A'!G64</f>
        <v>0.415284360189574</v>
      </c>
      <c r="E133" s="10" t="n">
        <f aca="false">'2026 Forecast B'!G64</f>
        <v>0.415284360189574</v>
      </c>
      <c r="F133" s="10" t="n">
        <f aca="false">'2026 Forecast C'!G64</f>
        <v>0.409952606635071</v>
      </c>
      <c r="G133" s="46" t="n">
        <f aca="false">(MAX(D133:F133)-MIN(D133:F133))*100</f>
        <v>0.533175355450238</v>
      </c>
      <c r="H133" s="47" t="n">
        <f aca="false">'2026 Forecast A'!L64</f>
        <v>2.89547658367171</v>
      </c>
      <c r="I133" s="47" t="n">
        <f aca="false">'2026 Forecast B'!L64</f>
        <v>2.74826999140557</v>
      </c>
      <c r="J133" s="47" t="n">
        <f aca="false">'2026 Forecast C'!L64</f>
        <v>2.81136738013631</v>
      </c>
      <c r="K133" s="18" t="n">
        <f aca="false">'2026 Forecast A'!F64</f>
        <v>1688</v>
      </c>
      <c r="L133" s="48" t="str">
        <f aca="false">IF(OR(AND(D133&gt;0.5,E133&gt;0.5,F133&gt;0.5),AND(D133&lt;0.5,E133&lt;0.5,F133&lt;0.5)),"Yes","No — toss-up")</f>
        <v>Yes</v>
      </c>
    </row>
    <row r="134" customFormat="false" ht="15" hidden="false" customHeight="false" outlineLevel="0" collapsed="false">
      <c r="A134" s="9" t="str">
        <f aca="false">'2026 Forecast A'!A65</f>
        <v>Northampton</v>
      </c>
      <c r="B134" s="9" t="str">
        <f aca="false">'2026 Forecast A'!B65</f>
        <v>BATH</v>
      </c>
      <c r="C134" s="9" t="str">
        <f aca="false">'2026 Forecast A'!C65</f>
        <v>(whole municipality)</v>
      </c>
      <c r="D134" s="10" t="n">
        <f aca="false">'2026 Forecast A'!G65</f>
        <v>0.464566929133858</v>
      </c>
      <c r="E134" s="10" t="n">
        <f aca="false">'2026 Forecast B'!G65</f>
        <v>0.469488188976378</v>
      </c>
      <c r="F134" s="10" t="n">
        <f aca="false">'2026 Forecast C'!G65</f>
        <v>0.460629921259843</v>
      </c>
      <c r="G134" s="46" t="n">
        <f aca="false">(MAX(D134:F134)-MIN(D134:F134))*100</f>
        <v>0.885826771653542</v>
      </c>
      <c r="H134" s="47" t="n">
        <f aca="false">'2026 Forecast A'!L65</f>
        <v>4.23439710805267</v>
      </c>
      <c r="I134" s="47" t="n">
        <f aca="false">'2026 Forecast B'!L65</f>
        <v>4.20108647752001</v>
      </c>
      <c r="J134" s="47" t="n">
        <f aca="false">'2026 Forecast C'!L65</f>
        <v>4.10924388503634</v>
      </c>
      <c r="K134" s="18" t="n">
        <f aca="false">'2026 Forecast A'!F65</f>
        <v>1016</v>
      </c>
      <c r="L134" s="48" t="str">
        <f aca="false">IF(OR(AND(D134&gt;0.5,E134&gt;0.5,F134&gt;0.5),AND(D134&lt;0.5,E134&lt;0.5,F134&lt;0.5)),"Yes","No — toss-up")</f>
        <v>Yes</v>
      </c>
    </row>
    <row r="135" customFormat="false" ht="15" hidden="false" customHeight="false" outlineLevel="0" collapsed="false">
      <c r="A135" s="9" t="str">
        <f aca="false">'2026 Forecast A'!A66</f>
        <v>Northampton</v>
      </c>
      <c r="B135" s="9" t="str">
        <f aca="false">'2026 Forecast A'!B66</f>
        <v>BETHLEHEM</v>
      </c>
      <c r="C135" s="9" t="str">
        <f aca="false">'2026 Forecast A'!C66</f>
        <v>(whole municipality)</v>
      </c>
      <c r="D135" s="10" t="n">
        <f aca="false">'2026 Forecast A'!G66</f>
        <v>0.663082437275986</v>
      </c>
      <c r="E135" s="10" t="n">
        <f aca="false">'2026 Forecast B'!G66</f>
        <v>0.666719375922412</v>
      </c>
      <c r="F135" s="10" t="n">
        <f aca="false">'2026 Forecast C'!G66</f>
        <v>0.680265654648956</v>
      </c>
      <c r="G135" s="46" t="n">
        <f aca="false">(MAX(D135:F135)-MIN(D135:F135))*100</f>
        <v>1.71832173729707</v>
      </c>
      <c r="H135" s="47" t="n">
        <f aca="false">'2026 Forecast A'!L66</f>
        <v>3.349008109096</v>
      </c>
      <c r="I135" s="47" t="n">
        <f aca="false">'2026 Forecast B'!L66</f>
        <v>2.98086653957356</v>
      </c>
      <c r="J135" s="47" t="n">
        <f aca="false">'2026 Forecast C'!L66</f>
        <v>3.19119071644035</v>
      </c>
      <c r="K135" s="18" t="n">
        <f aca="false">'2026 Forecast A'!F66</f>
        <v>18972</v>
      </c>
      <c r="L135" s="48" t="str">
        <f aca="false">IF(OR(AND(D135&gt;0.5,E135&gt;0.5,F135&gt;0.5),AND(D135&lt;0.5,E135&lt;0.5,F135&lt;0.5)),"Yes","No — toss-up")</f>
        <v>Yes</v>
      </c>
    </row>
    <row r="136" customFormat="false" ht="15" hidden="false" customHeight="false" outlineLevel="0" collapsed="false">
      <c r="A136" s="9" t="str">
        <f aca="false">'2026 Forecast A'!A67</f>
        <v>Northampton</v>
      </c>
      <c r="B136" s="9" t="str">
        <f aca="false">'2026 Forecast A'!B67</f>
        <v>BETHLEHEM TOWNSHIP</v>
      </c>
      <c r="C136" s="9" t="str">
        <f aca="false">'2026 Forecast A'!C67</f>
        <v>(whole municipality)</v>
      </c>
      <c r="D136" s="10" t="n">
        <f aca="false">'2026 Forecast A'!G67</f>
        <v>0.531963291238529</v>
      </c>
      <c r="E136" s="10" t="n">
        <f aca="false">'2026 Forecast B'!G67</f>
        <v>0.534002666875833</v>
      </c>
      <c r="F136" s="10" t="n">
        <f aca="false">'2026 Forecast C'!G67</f>
        <v>0.533767354302298</v>
      </c>
      <c r="G136" s="46" t="n">
        <f aca="false">(MAX(D136:F136)-MIN(D136:F136))*100</f>
        <v>0.203937563730494</v>
      </c>
      <c r="H136" s="47" t="n">
        <f aca="false">'2026 Forecast A'!L67</f>
        <v>3.349008109096</v>
      </c>
      <c r="I136" s="47" t="n">
        <f aca="false">'2026 Forecast B'!L67</f>
        <v>2.98086653957356</v>
      </c>
      <c r="J136" s="47" t="n">
        <f aca="false">'2026 Forecast C'!L67</f>
        <v>3.19119071644035</v>
      </c>
      <c r="K136" s="18" t="n">
        <f aca="false">'2026 Forecast A'!F67</f>
        <v>12749</v>
      </c>
      <c r="L136" s="48" t="str">
        <f aca="false">IF(OR(AND(D136&gt;0.5,E136&gt;0.5,F136&gt;0.5),AND(D136&lt;0.5,E136&lt;0.5,F136&lt;0.5)),"Yes","No — toss-up")</f>
        <v>Yes</v>
      </c>
    </row>
    <row r="137" customFormat="false" ht="15" hidden="false" customHeight="false" outlineLevel="0" collapsed="false">
      <c r="A137" s="9" t="str">
        <f aca="false">'2026 Forecast A'!A68</f>
        <v>Northampton</v>
      </c>
      <c r="B137" s="9" t="str">
        <f aca="false">'2026 Forecast A'!B68</f>
        <v>BUSHKILL</v>
      </c>
      <c r="C137" s="9" t="str">
        <f aca="false">'2026 Forecast A'!C68</f>
        <v>(whole municipality)</v>
      </c>
      <c r="D137" s="10" t="n">
        <f aca="false">'2026 Forecast A'!G68</f>
        <v>0.382093601627854</v>
      </c>
      <c r="E137" s="10" t="n">
        <f aca="false">'2026 Forecast B'!G68</f>
        <v>0.382093601627854</v>
      </c>
      <c r="F137" s="10" t="n">
        <f aca="false">'2026 Forecast C'!G68</f>
        <v>0.371467329866606</v>
      </c>
      <c r="G137" s="46" t="n">
        <f aca="false">(MAX(D137:F137)-MIN(D137:F137))*100</f>
        <v>1.0626271761248</v>
      </c>
      <c r="H137" s="47" t="n">
        <f aca="false">'2026 Forecast A'!L68</f>
        <v>3.349008109096</v>
      </c>
      <c r="I137" s="47" t="n">
        <f aca="false">'2026 Forecast B'!L68</f>
        <v>2.98086653957356</v>
      </c>
      <c r="J137" s="47" t="n">
        <f aca="false">'2026 Forecast C'!L68</f>
        <v>3.19119071644035</v>
      </c>
      <c r="K137" s="18" t="n">
        <f aca="false">'2026 Forecast A'!F68</f>
        <v>4423</v>
      </c>
      <c r="L137" s="48" t="str">
        <f aca="false">IF(OR(AND(D137&gt;0.5,E137&gt;0.5,F137&gt;0.5),AND(D137&lt;0.5,E137&lt;0.5,F137&lt;0.5)),"Yes","No — toss-up")</f>
        <v>Yes</v>
      </c>
    </row>
    <row r="138" customFormat="false" ht="15" hidden="false" customHeight="false" outlineLevel="0" collapsed="false">
      <c r="A138" s="9" t="str">
        <f aca="false">'2026 Forecast A'!A69</f>
        <v>Northampton</v>
      </c>
      <c r="B138" s="9" t="str">
        <f aca="false">'2026 Forecast A'!B69</f>
        <v>CHAPMAN</v>
      </c>
      <c r="C138" s="9" t="str">
        <f aca="false">'2026 Forecast A'!C69</f>
        <v>(whole municipality)</v>
      </c>
      <c r="D138" s="10" t="n">
        <f aca="false">'2026 Forecast A'!G69</f>
        <v>0.350515463917526</v>
      </c>
      <c r="E138" s="10" t="n">
        <f aca="false">'2026 Forecast B'!G69</f>
        <v>0.360824742268041</v>
      </c>
      <c r="F138" s="10" t="n">
        <f aca="false">'2026 Forecast C'!G69</f>
        <v>0.34020618556701</v>
      </c>
      <c r="G138" s="46" t="n">
        <f aca="false">(MAX(D138:F138)-MIN(D138:F138))*100</f>
        <v>2.06185567010309</v>
      </c>
      <c r="H138" s="47" t="n">
        <f aca="false">'2026 Forecast A'!L69</f>
        <v>4.23439710805267</v>
      </c>
      <c r="I138" s="47" t="n">
        <f aca="false">'2026 Forecast B'!L69</f>
        <v>4.20108647752001</v>
      </c>
      <c r="J138" s="47" t="n">
        <f aca="false">'2026 Forecast C'!L69</f>
        <v>4.10924388503634</v>
      </c>
      <c r="K138" s="18" t="n">
        <f aca="false">'2026 Forecast A'!F69</f>
        <v>97</v>
      </c>
      <c r="L138" s="48" t="str">
        <f aca="false">IF(OR(AND(D138&gt;0.5,E138&gt;0.5,F138&gt;0.5),AND(D138&lt;0.5,E138&lt;0.5,F138&lt;0.5)),"Yes","No — toss-up")</f>
        <v>Yes</v>
      </c>
    </row>
    <row r="139" customFormat="false" ht="15" hidden="false" customHeight="false" outlineLevel="0" collapsed="false">
      <c r="A139" s="9" t="str">
        <f aca="false">'2026 Forecast A'!A70</f>
        <v>Northampton</v>
      </c>
      <c r="B139" s="9" t="str">
        <f aca="false">'2026 Forecast A'!B70</f>
        <v>EAST ALLEN</v>
      </c>
      <c r="C139" s="9" t="str">
        <f aca="false">'2026 Forecast A'!C70</f>
        <v>(whole municipality)</v>
      </c>
      <c r="D139" s="10" t="n">
        <f aca="false">'2026 Forecast A'!G70</f>
        <v>0.432033320711852</v>
      </c>
      <c r="E139" s="10" t="n">
        <f aca="false">'2026 Forecast B'!G70</f>
        <v>0.427110942824688</v>
      </c>
      <c r="F139" s="10" t="n">
        <f aca="false">'2026 Forecast C'!G70</f>
        <v>0.427110942824688</v>
      </c>
      <c r="G139" s="46" t="n">
        <f aca="false">(MAX(D139:F139)-MIN(D139:F139))*100</f>
        <v>0.492237788716393</v>
      </c>
      <c r="H139" s="47" t="n">
        <f aca="false">'2026 Forecast A'!L70</f>
        <v>2.89547658367171</v>
      </c>
      <c r="I139" s="47" t="n">
        <f aca="false">'2026 Forecast B'!L70</f>
        <v>2.74826999140557</v>
      </c>
      <c r="J139" s="47" t="n">
        <f aca="false">'2026 Forecast C'!L70</f>
        <v>2.81136738013631</v>
      </c>
      <c r="K139" s="18" t="n">
        <f aca="false">'2026 Forecast A'!F70</f>
        <v>2641</v>
      </c>
      <c r="L139" s="48" t="str">
        <f aca="false">IF(OR(AND(D139&gt;0.5,E139&gt;0.5,F139&gt;0.5),AND(D139&lt;0.5,E139&lt;0.5,F139&lt;0.5)),"Yes","No — toss-up")</f>
        <v>Yes</v>
      </c>
    </row>
    <row r="140" customFormat="false" ht="15" hidden="false" customHeight="false" outlineLevel="0" collapsed="false">
      <c r="A140" s="9" t="str">
        <f aca="false">'2026 Forecast A'!A71</f>
        <v>Northampton</v>
      </c>
      <c r="B140" s="9" t="str">
        <f aca="false">'2026 Forecast A'!B71</f>
        <v>EAST BANGOR</v>
      </c>
      <c r="C140" s="9" t="str">
        <f aca="false">'2026 Forecast A'!C71</f>
        <v>(whole municipality)</v>
      </c>
      <c r="D140" s="10" t="n">
        <f aca="false">'2026 Forecast A'!G71</f>
        <v>0.391666666666667</v>
      </c>
      <c r="E140" s="10" t="n">
        <f aca="false">'2026 Forecast B'!G71</f>
        <v>0.388888888888889</v>
      </c>
      <c r="F140" s="10" t="n">
        <f aca="false">'2026 Forecast C'!G71</f>
        <v>0.383333333333333</v>
      </c>
      <c r="G140" s="46" t="n">
        <f aca="false">(MAX(D140:F140)-MIN(D140:F140))*100</f>
        <v>0.83333333333333</v>
      </c>
      <c r="H140" s="47" t="n">
        <f aca="false">'2026 Forecast A'!L71</f>
        <v>4.23439710805267</v>
      </c>
      <c r="I140" s="47" t="n">
        <f aca="false">'2026 Forecast B'!L71</f>
        <v>4.20108647752001</v>
      </c>
      <c r="J140" s="47" t="n">
        <f aca="false">'2026 Forecast C'!L71</f>
        <v>4.10924388503634</v>
      </c>
      <c r="K140" s="18" t="n">
        <f aca="false">'2026 Forecast A'!F71</f>
        <v>360</v>
      </c>
      <c r="L140" s="48" t="str">
        <f aca="false">IF(OR(AND(D140&gt;0.5,E140&gt;0.5,F140&gt;0.5),AND(D140&lt;0.5,E140&lt;0.5,F140&lt;0.5)),"Yes","No — toss-up")</f>
        <v>Yes</v>
      </c>
    </row>
    <row r="141" customFormat="false" ht="15" hidden="false" customHeight="false" outlineLevel="0" collapsed="false">
      <c r="A141" s="9" t="str">
        <f aca="false">'2026 Forecast A'!A72</f>
        <v>Northampton</v>
      </c>
      <c r="B141" s="9" t="str">
        <f aca="false">'2026 Forecast A'!B72</f>
        <v>EASTON</v>
      </c>
      <c r="C141" s="9" t="str">
        <f aca="false">'2026 Forecast A'!C72</f>
        <v>(whole municipality)</v>
      </c>
      <c r="D141" s="10" t="n">
        <f aca="false">'2026 Forecast A'!G72</f>
        <v>0.693846786350555</v>
      </c>
      <c r="E141" s="10" t="n">
        <f aca="false">'2026 Forecast B'!G72</f>
        <v>0.699054405920241</v>
      </c>
      <c r="F141" s="10" t="n">
        <f aca="false">'2026 Forecast C'!G72</f>
        <v>0.713992051528025</v>
      </c>
      <c r="G141" s="46" t="n">
        <f aca="false">(MAX(D141:F141)-MIN(D141:F141))*100</f>
        <v>2.01452651774702</v>
      </c>
      <c r="H141" s="47" t="n">
        <f aca="false">'2026 Forecast A'!L72</f>
        <v>3.349008109096</v>
      </c>
      <c r="I141" s="47" t="n">
        <f aca="false">'2026 Forecast B'!L72</f>
        <v>2.98086653957356</v>
      </c>
      <c r="J141" s="47" t="n">
        <f aca="false">'2026 Forecast C'!L72</f>
        <v>3.19119071644035</v>
      </c>
      <c r="K141" s="18" t="n">
        <f aca="false">'2026 Forecast A'!F72</f>
        <v>7297</v>
      </c>
      <c r="L141" s="48" t="str">
        <f aca="false">IF(OR(AND(D141&gt;0.5,E141&gt;0.5,F141&gt;0.5),AND(D141&lt;0.5,E141&lt;0.5,F141&lt;0.5)),"Yes","No — toss-up")</f>
        <v>Yes</v>
      </c>
    </row>
    <row r="142" customFormat="false" ht="15" hidden="false" customHeight="false" outlineLevel="0" collapsed="false">
      <c r="A142" s="9" t="str">
        <f aca="false">'2026 Forecast A'!A73</f>
        <v>Northampton</v>
      </c>
      <c r="B142" s="9" t="str">
        <f aca="false">'2026 Forecast A'!B73</f>
        <v>FORKS</v>
      </c>
      <c r="C142" s="9" t="str">
        <f aca="false">'2026 Forecast A'!C73</f>
        <v>(whole municipality)</v>
      </c>
      <c r="D142" s="10" t="n">
        <f aca="false">'2026 Forecast A'!G73</f>
        <v>0.517308868501529</v>
      </c>
      <c r="E142" s="10" t="n">
        <f aca="false">'2026 Forecast B'!G73</f>
        <v>0.516941896024465</v>
      </c>
      <c r="F142" s="10" t="n">
        <f aca="false">'2026 Forecast C'!G73</f>
        <v>0.517920489296636</v>
      </c>
      <c r="G142" s="46" t="n">
        <f aca="false">(MAX(D142:F142)-MIN(D142:F142))*100</f>
        <v>0.0978593272171202</v>
      </c>
      <c r="H142" s="47" t="n">
        <f aca="false">'2026 Forecast A'!L73</f>
        <v>3.349008109096</v>
      </c>
      <c r="I142" s="47" t="n">
        <f aca="false">'2026 Forecast B'!L73</f>
        <v>2.98086653957356</v>
      </c>
      <c r="J142" s="47" t="n">
        <f aca="false">'2026 Forecast C'!L73</f>
        <v>3.19119071644035</v>
      </c>
      <c r="K142" s="18" t="n">
        <f aca="false">'2026 Forecast A'!F73</f>
        <v>8175</v>
      </c>
      <c r="L142" s="48" t="str">
        <f aca="false">IF(OR(AND(D142&gt;0.5,E142&gt;0.5,F142&gt;0.5),AND(D142&lt;0.5,E142&lt;0.5,F142&lt;0.5)),"Yes","No — toss-up")</f>
        <v>Yes</v>
      </c>
    </row>
    <row r="143" customFormat="false" ht="15" hidden="false" customHeight="false" outlineLevel="0" collapsed="false">
      <c r="A143" s="9" t="str">
        <f aca="false">'2026 Forecast A'!A74</f>
        <v>Northampton</v>
      </c>
      <c r="B143" s="9" t="str">
        <f aca="false">'2026 Forecast A'!B74</f>
        <v>FREEMANSBURG</v>
      </c>
      <c r="C143" s="9" t="str">
        <f aca="false">'2026 Forecast A'!C74</f>
        <v>(whole municipality)</v>
      </c>
      <c r="D143" s="10" t="n">
        <f aca="false">'2026 Forecast A'!G74</f>
        <v>0.594327990135635</v>
      </c>
      <c r="E143" s="10" t="n">
        <f aca="false">'2026 Forecast B'!G74</f>
        <v>0.595561035758323</v>
      </c>
      <c r="F143" s="10" t="n">
        <f aca="false">'2026 Forecast C'!G74</f>
        <v>0.602959309494451</v>
      </c>
      <c r="G143" s="46" t="n">
        <f aca="false">(MAX(D143:F143)-MIN(D143:F143))*100</f>
        <v>0.863131935881634</v>
      </c>
      <c r="H143" s="47" t="n">
        <f aca="false">'2026 Forecast A'!L74</f>
        <v>4.23439710805267</v>
      </c>
      <c r="I143" s="47" t="n">
        <f aca="false">'2026 Forecast B'!L74</f>
        <v>4.20108647752001</v>
      </c>
      <c r="J143" s="47" t="n">
        <f aca="false">'2026 Forecast C'!L74</f>
        <v>4.10924388503634</v>
      </c>
      <c r="K143" s="18" t="n">
        <f aca="false">'2026 Forecast A'!F74</f>
        <v>811</v>
      </c>
      <c r="L143" s="48" t="str">
        <f aca="false">IF(OR(AND(D143&gt;0.5,E143&gt;0.5,F143&gt;0.5),AND(D143&lt;0.5,E143&lt;0.5,F143&lt;0.5)),"Yes","No — toss-up")</f>
        <v>Yes</v>
      </c>
    </row>
    <row r="144" customFormat="false" ht="15" hidden="false" customHeight="false" outlineLevel="0" collapsed="false">
      <c r="A144" s="9" t="str">
        <f aca="false">'2026 Forecast A'!A75</f>
        <v>Northampton</v>
      </c>
      <c r="B144" s="9" t="str">
        <f aca="false">'2026 Forecast A'!B75</f>
        <v>GLENDON</v>
      </c>
      <c r="C144" s="9" t="str">
        <f aca="false">'2026 Forecast A'!C75</f>
        <v>(whole municipality)</v>
      </c>
      <c r="D144" s="10" t="n">
        <f aca="false">'2026 Forecast A'!G75</f>
        <v>0.513888888888889</v>
      </c>
      <c r="E144" s="10" t="n">
        <f aca="false">'2026 Forecast B'!G75</f>
        <v>0.513888888888889</v>
      </c>
      <c r="F144" s="10" t="n">
        <f aca="false">'2026 Forecast C'!G75</f>
        <v>0.513888888888889</v>
      </c>
      <c r="G144" s="46" t="n">
        <f aca="false">(MAX(D144:F144)-MIN(D144:F144))*100</f>
        <v>0</v>
      </c>
      <c r="H144" s="47" t="n">
        <f aca="false">'2026 Forecast A'!L75</f>
        <v>4.23439710805267</v>
      </c>
      <c r="I144" s="47" t="n">
        <f aca="false">'2026 Forecast B'!L75</f>
        <v>4.20108647752001</v>
      </c>
      <c r="J144" s="47" t="n">
        <f aca="false">'2026 Forecast C'!L75</f>
        <v>4.10924388503634</v>
      </c>
      <c r="K144" s="18" t="n">
        <f aca="false">'2026 Forecast A'!F75</f>
        <v>144</v>
      </c>
      <c r="L144" s="48" t="str">
        <f aca="false">IF(OR(AND(D144&gt;0.5,E144&gt;0.5,F144&gt;0.5),AND(D144&lt;0.5,E144&lt;0.5,F144&lt;0.5)),"Yes","No — toss-up")</f>
        <v>Yes</v>
      </c>
    </row>
    <row r="145" customFormat="false" ht="15" hidden="false" customHeight="false" outlineLevel="0" collapsed="false">
      <c r="A145" s="9" t="str">
        <f aca="false">'2026 Forecast A'!A76</f>
        <v>Northampton</v>
      </c>
      <c r="B145" s="9" t="str">
        <f aca="false">'2026 Forecast A'!B76</f>
        <v>HANOVER</v>
      </c>
      <c r="C145" s="9" t="str">
        <f aca="false">'2026 Forecast A'!C76</f>
        <v>(whole municipality)</v>
      </c>
      <c r="D145" s="10" t="n">
        <f aca="false">'2026 Forecast A'!G76</f>
        <v>0.541180133893819</v>
      </c>
      <c r="E145" s="10" t="n">
        <f aca="false">'2026 Forecast B'!G76</f>
        <v>0.539623229020707</v>
      </c>
      <c r="F145" s="10" t="n">
        <f aca="false">'2026 Forecast C'!G76</f>
        <v>0.543671181690799</v>
      </c>
      <c r="G145" s="46" t="n">
        <f aca="false">(MAX(D145:F145)-MIN(D145:F145))*100</f>
        <v>0.404795267009184</v>
      </c>
      <c r="H145" s="47" t="n">
        <f aca="false">'2026 Forecast A'!L76</f>
        <v>3.349008109096</v>
      </c>
      <c r="I145" s="47" t="n">
        <f aca="false">'2026 Forecast B'!L76</f>
        <v>2.98086653957356</v>
      </c>
      <c r="J145" s="47" t="n">
        <f aca="false">'2026 Forecast C'!L76</f>
        <v>3.19119071644035</v>
      </c>
      <c r="K145" s="18" t="n">
        <f aca="false">'2026 Forecast A'!F76</f>
        <v>6423</v>
      </c>
      <c r="L145" s="48" t="str">
        <f aca="false">IF(OR(AND(D145&gt;0.5,E145&gt;0.5,F145&gt;0.5),AND(D145&lt;0.5,E145&lt;0.5,F145&lt;0.5)),"Yes","No — toss-up")</f>
        <v>Yes</v>
      </c>
    </row>
    <row r="146" customFormat="false" ht="15" hidden="false" customHeight="false" outlineLevel="0" collapsed="false">
      <c r="A146" s="9" t="str">
        <f aca="false">'2026 Forecast A'!A77</f>
        <v>Northampton</v>
      </c>
      <c r="B146" s="9" t="str">
        <f aca="false">'2026 Forecast A'!B77</f>
        <v>HELLERTOWN</v>
      </c>
      <c r="C146" s="9" t="str">
        <f aca="false">'2026 Forecast A'!C77</f>
        <v>(whole municipality)</v>
      </c>
      <c r="D146" s="10" t="n">
        <f aca="false">'2026 Forecast A'!G77</f>
        <v>0.515981735159817</v>
      </c>
      <c r="E146" s="10" t="n">
        <f aca="false">'2026 Forecast B'!G77</f>
        <v>0.516362252663623</v>
      </c>
      <c r="F146" s="10" t="n">
        <f aca="false">'2026 Forecast C'!G77</f>
        <v>0.515981735159817</v>
      </c>
      <c r="G146" s="46" t="n">
        <f aca="false">(MAX(D146:F146)-MIN(D146:F146))*100</f>
        <v>0.0380517503805189</v>
      </c>
      <c r="H146" s="47" t="n">
        <f aca="false">'2026 Forecast A'!L77</f>
        <v>2.89547658367171</v>
      </c>
      <c r="I146" s="47" t="n">
        <f aca="false">'2026 Forecast B'!L77</f>
        <v>2.74826999140557</v>
      </c>
      <c r="J146" s="47" t="n">
        <f aca="false">'2026 Forecast C'!L77</f>
        <v>2.81136738013631</v>
      </c>
      <c r="K146" s="18" t="n">
        <f aca="false">'2026 Forecast A'!F77</f>
        <v>2628</v>
      </c>
      <c r="L146" s="48" t="str">
        <f aca="false">IF(OR(AND(D146&gt;0.5,E146&gt;0.5,F146&gt;0.5),AND(D146&lt;0.5,E146&lt;0.5,F146&lt;0.5)),"Yes","No — toss-up")</f>
        <v>Yes</v>
      </c>
    </row>
    <row r="147" customFormat="false" ht="15" hidden="false" customHeight="false" outlineLevel="0" collapsed="false">
      <c r="A147" s="9" t="str">
        <f aca="false">'2026 Forecast A'!A78</f>
        <v>Northampton</v>
      </c>
      <c r="B147" s="9" t="str">
        <f aca="false">'2026 Forecast A'!B78</f>
        <v>LEHIGH</v>
      </c>
      <c r="C147" s="9" t="str">
        <f aca="false">'2026 Forecast A'!C78</f>
        <v>(whole municipality)</v>
      </c>
      <c r="D147" s="10" t="n">
        <f aca="false">'2026 Forecast A'!G78</f>
        <v>0.341262408690766</v>
      </c>
      <c r="E147" s="10" t="n">
        <f aca="false">'2026 Forecast B'!G78</f>
        <v>0.335268776924518</v>
      </c>
      <c r="F147" s="10" t="n">
        <f aca="false">'2026 Forecast C'!G78</f>
        <v>0.33002434912905</v>
      </c>
      <c r="G147" s="46" t="n">
        <f aca="false">(MAX(D147:F147)-MIN(D147:F147))*100</f>
        <v>1.12380595617157</v>
      </c>
      <c r="H147" s="47" t="n">
        <f aca="false">'2026 Forecast A'!L78</f>
        <v>3.349008109096</v>
      </c>
      <c r="I147" s="47" t="n">
        <f aca="false">'2026 Forecast B'!L78</f>
        <v>2.98086653957356</v>
      </c>
      <c r="J147" s="47" t="n">
        <f aca="false">'2026 Forecast C'!L78</f>
        <v>3.19119071644035</v>
      </c>
      <c r="K147" s="18" t="n">
        <f aca="false">'2026 Forecast A'!F78</f>
        <v>5339</v>
      </c>
      <c r="L147" s="48" t="str">
        <f aca="false">IF(OR(AND(D147&gt;0.5,E147&gt;0.5,F147&gt;0.5),AND(D147&lt;0.5,E147&lt;0.5,F147&lt;0.5)),"Yes","No — toss-up")</f>
        <v>Yes</v>
      </c>
    </row>
    <row r="148" customFormat="false" ht="15" hidden="false" customHeight="false" outlineLevel="0" collapsed="false">
      <c r="A148" s="9" t="str">
        <f aca="false">'2026 Forecast A'!A79</f>
        <v>Northampton</v>
      </c>
      <c r="B148" s="9" t="str">
        <f aca="false">'2026 Forecast A'!B79</f>
        <v>LOWER MOUNT BETHEL</v>
      </c>
      <c r="C148" s="9" t="str">
        <f aca="false">'2026 Forecast A'!C79</f>
        <v>(whole municipality)</v>
      </c>
      <c r="D148" s="10" t="n">
        <f aca="false">'2026 Forecast A'!G79</f>
        <v>0.338664812239221</v>
      </c>
      <c r="E148" s="10" t="n">
        <f aca="false">'2026 Forecast B'!G79</f>
        <v>0.342141863699583</v>
      </c>
      <c r="F148" s="10" t="n">
        <f aca="false">'2026 Forecast C'!G79</f>
        <v>0.325452016689847</v>
      </c>
      <c r="G148" s="46" t="n">
        <f aca="false">(MAX(D148:F148)-MIN(D148:F148))*100</f>
        <v>1.66898470097357</v>
      </c>
      <c r="H148" s="47" t="n">
        <f aca="false">'2026 Forecast A'!L79</f>
        <v>2.89547658367171</v>
      </c>
      <c r="I148" s="47" t="n">
        <f aca="false">'2026 Forecast B'!L79</f>
        <v>2.74826999140557</v>
      </c>
      <c r="J148" s="47" t="n">
        <f aca="false">'2026 Forecast C'!L79</f>
        <v>2.81136738013631</v>
      </c>
      <c r="K148" s="18" t="n">
        <f aca="false">'2026 Forecast A'!F79</f>
        <v>1438</v>
      </c>
      <c r="L148" s="48" t="str">
        <f aca="false">IF(OR(AND(D148&gt;0.5,E148&gt;0.5,F148&gt;0.5),AND(D148&lt;0.5,E148&lt;0.5,F148&lt;0.5)),"Yes","No — toss-up")</f>
        <v>Yes</v>
      </c>
    </row>
    <row r="149" customFormat="false" ht="15" hidden="false" customHeight="false" outlineLevel="0" collapsed="false">
      <c r="A149" s="9" t="str">
        <f aca="false">'2026 Forecast A'!A80</f>
        <v>Northampton</v>
      </c>
      <c r="B149" s="9" t="str">
        <f aca="false">'2026 Forecast A'!B80</f>
        <v>LOWER NAZARETH</v>
      </c>
      <c r="C149" s="9" t="str">
        <f aca="false">'2026 Forecast A'!C80</f>
        <v>(whole municipality)</v>
      </c>
      <c r="D149" s="10" t="n">
        <f aca="false">'2026 Forecast A'!G80</f>
        <v>0.438205265986029</v>
      </c>
      <c r="E149" s="10" t="n">
        <f aca="false">'2026 Forecast B'!G80</f>
        <v>0.429876410531972</v>
      </c>
      <c r="F149" s="10" t="n">
        <f aca="false">'2026 Forecast C'!G80</f>
        <v>0.434443847393874</v>
      </c>
      <c r="G149" s="46" t="n">
        <f aca="false">(MAX(D149:F149)-MIN(D149:F149))*100</f>
        <v>0.832885545405693</v>
      </c>
      <c r="H149" s="47" t="n">
        <f aca="false">'2026 Forecast A'!L80</f>
        <v>3.349008109096</v>
      </c>
      <c r="I149" s="47" t="n">
        <f aca="false">'2026 Forecast B'!L80</f>
        <v>2.98086653957356</v>
      </c>
      <c r="J149" s="47" t="n">
        <f aca="false">'2026 Forecast C'!L80</f>
        <v>3.19119071644035</v>
      </c>
      <c r="K149" s="18" t="n">
        <f aca="false">'2026 Forecast A'!F80</f>
        <v>3722</v>
      </c>
      <c r="L149" s="48" t="str">
        <f aca="false">IF(OR(AND(D149&gt;0.5,E149&gt;0.5,F149&gt;0.5),AND(D149&lt;0.5,E149&lt;0.5,F149&lt;0.5)),"Yes","No — toss-up")</f>
        <v>Yes</v>
      </c>
    </row>
    <row r="150" customFormat="false" ht="15" hidden="false" customHeight="false" outlineLevel="0" collapsed="false">
      <c r="A150" s="9" t="str">
        <f aca="false">'2026 Forecast A'!A81</f>
        <v>Northampton</v>
      </c>
      <c r="B150" s="9" t="str">
        <f aca="false">'2026 Forecast A'!B81</f>
        <v>LOWER SAUCON</v>
      </c>
      <c r="C150" s="9" t="str">
        <f aca="false">'2026 Forecast A'!C81</f>
        <v>(whole municipality)</v>
      </c>
      <c r="D150" s="10" t="n">
        <f aca="false">'2026 Forecast A'!G81</f>
        <v>0.483288318703579</v>
      </c>
      <c r="E150" s="10" t="n">
        <f aca="false">'2026 Forecast B'!G81</f>
        <v>0.481937879810939</v>
      </c>
      <c r="F150" s="10" t="n">
        <f aca="false">'2026 Forecast C'!G81</f>
        <v>0.479743416610398</v>
      </c>
      <c r="G150" s="46" t="n">
        <f aca="false">(MAX(D150:F150)-MIN(D150:F150))*100</f>
        <v>0.354490209318031</v>
      </c>
      <c r="H150" s="47" t="n">
        <f aca="false">'2026 Forecast A'!L81</f>
        <v>3.349008109096</v>
      </c>
      <c r="I150" s="47" t="n">
        <f aca="false">'2026 Forecast B'!L81</f>
        <v>2.98086653957356</v>
      </c>
      <c r="J150" s="47" t="n">
        <f aca="false">'2026 Forecast C'!L81</f>
        <v>3.19119071644035</v>
      </c>
      <c r="K150" s="18" t="n">
        <f aca="false">'2026 Forecast A'!F81</f>
        <v>5924</v>
      </c>
      <c r="L150" s="48" t="str">
        <f aca="false">IF(OR(AND(D150&gt;0.5,E150&gt;0.5,F150&gt;0.5),AND(D150&lt;0.5,E150&lt;0.5,F150&lt;0.5)),"Yes","No — toss-up")</f>
        <v>Yes</v>
      </c>
    </row>
    <row r="151" customFormat="false" ht="15" hidden="false" customHeight="false" outlineLevel="0" collapsed="false">
      <c r="A151" s="9" t="str">
        <f aca="false">'2026 Forecast A'!A82</f>
        <v>Northampton</v>
      </c>
      <c r="B151" s="9" t="str">
        <f aca="false">'2026 Forecast A'!B82</f>
        <v>MOORE</v>
      </c>
      <c r="C151" s="9" t="str">
        <f aca="false">'2026 Forecast A'!C82</f>
        <v>(whole municipality)</v>
      </c>
      <c r="D151" s="10" t="n">
        <f aca="false">'2026 Forecast A'!G82</f>
        <v>0.333127062706271</v>
      </c>
      <c r="E151" s="10" t="n">
        <f aca="false">'2026 Forecast B'!G82</f>
        <v>0.334364686468647</v>
      </c>
      <c r="F151" s="10" t="n">
        <f aca="false">'2026 Forecast C'!G82</f>
        <v>0.320750825082508</v>
      </c>
      <c r="G151" s="46" t="n">
        <f aca="false">(MAX(D151:F151)-MIN(D151:F151))*100</f>
        <v>1.36138613861386</v>
      </c>
      <c r="H151" s="47" t="n">
        <f aca="false">'2026 Forecast A'!L82</f>
        <v>3.349008109096</v>
      </c>
      <c r="I151" s="47" t="n">
        <f aca="false">'2026 Forecast B'!L82</f>
        <v>2.98086653957356</v>
      </c>
      <c r="J151" s="47" t="n">
        <f aca="false">'2026 Forecast C'!L82</f>
        <v>3.19119071644035</v>
      </c>
      <c r="K151" s="18" t="n">
        <f aca="false">'2026 Forecast A'!F82</f>
        <v>4848</v>
      </c>
      <c r="L151" s="48" t="str">
        <f aca="false">IF(OR(AND(D151&gt;0.5,E151&gt;0.5,F151&gt;0.5),AND(D151&lt;0.5,E151&lt;0.5,F151&lt;0.5)),"Yes","No — toss-up")</f>
        <v>Yes</v>
      </c>
    </row>
    <row r="152" customFormat="false" ht="15" hidden="false" customHeight="false" outlineLevel="0" collapsed="false">
      <c r="A152" s="9" t="str">
        <f aca="false">'2026 Forecast A'!A83</f>
        <v>Northampton</v>
      </c>
      <c r="B152" s="9" t="str">
        <f aca="false">'2026 Forecast A'!B83</f>
        <v>NAZARETH</v>
      </c>
      <c r="C152" s="9" t="str">
        <f aca="false">'2026 Forecast A'!C83</f>
        <v>(whole municipality)</v>
      </c>
      <c r="D152" s="10" t="n">
        <f aca="false">'2026 Forecast A'!G83</f>
        <v>0.495029821073559</v>
      </c>
      <c r="E152" s="10" t="n">
        <f aca="false">'2026 Forecast B'!G83</f>
        <v>0.495029821073559</v>
      </c>
      <c r="F152" s="10" t="n">
        <f aca="false">'2026 Forecast C'!G83</f>
        <v>0.492246520874752</v>
      </c>
      <c r="G152" s="46" t="n">
        <f aca="false">(MAX(D152:F152)-MIN(D152:F152))*100</f>
        <v>0.278330019880713</v>
      </c>
      <c r="H152" s="47" t="n">
        <f aca="false">'2026 Forecast A'!L83</f>
        <v>2.89547658367171</v>
      </c>
      <c r="I152" s="47" t="n">
        <f aca="false">'2026 Forecast B'!L83</f>
        <v>2.74826999140557</v>
      </c>
      <c r="J152" s="47" t="n">
        <f aca="false">'2026 Forecast C'!L83</f>
        <v>2.81136738013631</v>
      </c>
      <c r="K152" s="18" t="n">
        <f aca="false">'2026 Forecast A'!F83</f>
        <v>2515</v>
      </c>
      <c r="L152" s="48" t="str">
        <f aca="false">IF(OR(AND(D152&gt;0.5,E152&gt;0.5,F152&gt;0.5),AND(D152&lt;0.5,E152&lt;0.5,F152&lt;0.5)),"Yes","No — toss-up")</f>
        <v>Yes</v>
      </c>
    </row>
    <row r="153" customFormat="false" ht="15" hidden="false" customHeight="false" outlineLevel="0" collapsed="false">
      <c r="A153" s="9" t="str">
        <f aca="false">'2026 Forecast A'!A84</f>
        <v>Northampton</v>
      </c>
      <c r="B153" s="9" t="str">
        <f aca="false">'2026 Forecast A'!B84</f>
        <v>NORTH CATASAUQUA</v>
      </c>
      <c r="C153" s="9" t="str">
        <f aca="false">'2026 Forecast A'!C84</f>
        <v>(whole municipality)</v>
      </c>
      <c r="D153" s="10" t="n">
        <f aca="false">'2026 Forecast A'!G84</f>
        <v>0.492296918767507</v>
      </c>
      <c r="E153" s="10" t="n">
        <f aca="false">'2026 Forecast B'!G84</f>
        <v>0.500700280112045</v>
      </c>
      <c r="F153" s="10" t="n">
        <f aca="false">'2026 Forecast C'!G84</f>
        <v>0.490196078431373</v>
      </c>
      <c r="G153" s="46" t="n">
        <f aca="false">(MAX(D153:F153)-MIN(D153:F153))*100</f>
        <v>1.05042016806723</v>
      </c>
      <c r="H153" s="47" t="n">
        <f aca="false">'2026 Forecast A'!L84</f>
        <v>2.89547658367171</v>
      </c>
      <c r="I153" s="47" t="n">
        <f aca="false">'2026 Forecast B'!L84</f>
        <v>2.74826999140557</v>
      </c>
      <c r="J153" s="47" t="n">
        <f aca="false">'2026 Forecast C'!L84</f>
        <v>2.81136738013631</v>
      </c>
      <c r="K153" s="18" t="n">
        <f aca="false">'2026 Forecast A'!F84</f>
        <v>1428</v>
      </c>
      <c r="L153" s="48" t="str">
        <f aca="false">IF(OR(AND(D153&gt;0.5,E153&gt;0.5,F153&gt;0.5),AND(D153&lt;0.5,E153&lt;0.5,F153&lt;0.5)),"Yes","No — toss-up")</f>
        <v>No — toss-up</v>
      </c>
    </row>
    <row r="154" customFormat="false" ht="15" hidden="false" customHeight="false" outlineLevel="0" collapsed="false">
      <c r="A154" s="9" t="str">
        <f aca="false">'2026 Forecast A'!A85</f>
        <v>Northampton</v>
      </c>
      <c r="B154" s="9" t="str">
        <f aca="false">'2026 Forecast A'!B85</f>
        <v>NORTHAMPTON</v>
      </c>
      <c r="C154" s="9" t="str">
        <f aca="false">'2026 Forecast A'!C85</f>
        <v>(whole municipality)</v>
      </c>
      <c r="D154" s="10" t="n">
        <f aca="false">'2026 Forecast A'!G85</f>
        <v>0.472142170989433</v>
      </c>
      <c r="E154" s="10" t="n">
        <f aca="false">'2026 Forecast B'!G85</f>
        <v>0.472862632084534</v>
      </c>
      <c r="F154" s="10" t="n">
        <f aca="false">'2026 Forecast C'!G85</f>
        <v>0.468539865513929</v>
      </c>
      <c r="G154" s="46" t="n">
        <f aca="false">(MAX(D154:F154)-MIN(D154:F154))*100</f>
        <v>0.432276657060521</v>
      </c>
      <c r="H154" s="47" t="n">
        <f aca="false">'2026 Forecast A'!L85</f>
        <v>3.349008109096</v>
      </c>
      <c r="I154" s="47" t="n">
        <f aca="false">'2026 Forecast B'!L85</f>
        <v>2.98086653957356</v>
      </c>
      <c r="J154" s="47" t="n">
        <f aca="false">'2026 Forecast C'!L85</f>
        <v>3.19119071644035</v>
      </c>
      <c r="K154" s="18" t="n">
        <f aca="false">'2026 Forecast A'!F85</f>
        <v>4164</v>
      </c>
      <c r="L154" s="48" t="str">
        <f aca="false">IF(OR(AND(D154&gt;0.5,E154&gt;0.5,F154&gt;0.5),AND(D154&lt;0.5,E154&lt;0.5,F154&lt;0.5)),"Yes","No — toss-up")</f>
        <v>Yes</v>
      </c>
    </row>
    <row r="155" customFormat="false" ht="15" hidden="false" customHeight="false" outlineLevel="0" collapsed="false">
      <c r="A155" s="9" t="str">
        <f aca="false">'2026 Forecast A'!A86</f>
        <v>Northampton</v>
      </c>
      <c r="B155" s="9" t="str">
        <f aca="false">'2026 Forecast A'!B86</f>
        <v>PALMER</v>
      </c>
      <c r="C155" s="9" t="str">
        <f aca="false">'2026 Forecast A'!C86</f>
        <v>(whole municipality)</v>
      </c>
      <c r="D155" s="10" t="n">
        <f aca="false">'2026 Forecast A'!G86</f>
        <v>0.514591348409496</v>
      </c>
      <c r="E155" s="10" t="n">
        <f aca="false">'2026 Forecast B'!G86</f>
        <v>0.517687904663601</v>
      </c>
      <c r="F155" s="10" t="n">
        <f aca="false">'2026 Forecast C'!G86</f>
        <v>0.514685183447499</v>
      </c>
      <c r="G155" s="46" t="n">
        <f aca="false">(MAX(D155:F155)-MIN(D155:F155))*100</f>
        <v>0.309655625410532</v>
      </c>
      <c r="H155" s="47" t="n">
        <f aca="false">'2026 Forecast A'!L86</f>
        <v>3.349008109096</v>
      </c>
      <c r="I155" s="47" t="n">
        <f aca="false">'2026 Forecast B'!L86</f>
        <v>2.98086653957356</v>
      </c>
      <c r="J155" s="47" t="n">
        <f aca="false">'2026 Forecast C'!L86</f>
        <v>3.19119071644035</v>
      </c>
      <c r="K155" s="18" t="n">
        <f aca="false">'2026 Forecast A'!F86</f>
        <v>10657</v>
      </c>
      <c r="L155" s="48" t="str">
        <f aca="false">IF(OR(AND(D155&gt;0.5,E155&gt;0.5,F155&gt;0.5),AND(D155&lt;0.5,E155&lt;0.5,F155&lt;0.5)),"Yes","No — toss-up")</f>
        <v>Yes</v>
      </c>
    </row>
    <row r="156" customFormat="false" ht="15" hidden="false" customHeight="false" outlineLevel="0" collapsed="false">
      <c r="A156" s="9" t="str">
        <f aca="false">'2026 Forecast A'!A87</f>
        <v>Northampton</v>
      </c>
      <c r="B156" s="9" t="str">
        <f aca="false">'2026 Forecast A'!B87</f>
        <v>PEN ARGYL</v>
      </c>
      <c r="C156" s="9" t="str">
        <f aca="false">'2026 Forecast A'!C87</f>
        <v>(whole municipality)</v>
      </c>
      <c r="D156" s="10" t="n">
        <f aca="false">'2026 Forecast A'!G87</f>
        <v>0.379588839941263</v>
      </c>
      <c r="E156" s="10" t="n">
        <f aca="false">'2026 Forecast B'!G87</f>
        <v>0.378854625550661</v>
      </c>
      <c r="F156" s="10" t="n">
        <f aca="false">'2026 Forecast C'!G87</f>
        <v>0.370778267254038</v>
      </c>
      <c r="G156" s="46" t="n">
        <f aca="false">(MAX(D156:F156)-MIN(D156:F156))*100</f>
        <v>0.881057268722468</v>
      </c>
      <c r="H156" s="47" t="n">
        <f aca="false">'2026 Forecast A'!L87</f>
        <v>2.89547658367171</v>
      </c>
      <c r="I156" s="47" t="n">
        <f aca="false">'2026 Forecast B'!L87</f>
        <v>2.74826999140557</v>
      </c>
      <c r="J156" s="47" t="n">
        <f aca="false">'2026 Forecast C'!L87</f>
        <v>2.81136738013631</v>
      </c>
      <c r="K156" s="18" t="n">
        <f aca="false">'2026 Forecast A'!F87</f>
        <v>1362</v>
      </c>
      <c r="L156" s="48" t="str">
        <f aca="false">IF(OR(AND(D156&gt;0.5,E156&gt;0.5,F156&gt;0.5),AND(D156&lt;0.5,E156&lt;0.5,F156&lt;0.5)),"Yes","No — toss-up")</f>
        <v>Yes</v>
      </c>
    </row>
    <row r="157" customFormat="false" ht="15" hidden="false" customHeight="false" outlineLevel="0" collapsed="false">
      <c r="A157" s="9" t="str">
        <f aca="false">'2026 Forecast A'!A88</f>
        <v>Northampton</v>
      </c>
      <c r="B157" s="9" t="str">
        <f aca="false">'2026 Forecast A'!B88</f>
        <v>PLAINFIELD</v>
      </c>
      <c r="C157" s="9" t="str">
        <f aca="false">'2026 Forecast A'!C88</f>
        <v>(whole municipality)</v>
      </c>
      <c r="D157" s="10" t="n">
        <f aca="false">'2026 Forecast A'!G88</f>
        <v>0.341557193207305</v>
      </c>
      <c r="E157" s="10" t="n">
        <f aca="false">'2026 Forecast B'!G88</f>
        <v>0.344761294456905</v>
      </c>
      <c r="F157" s="10" t="n">
        <f aca="false">'2026 Forecast C'!G88</f>
        <v>0.330022428708747</v>
      </c>
      <c r="G157" s="46" t="n">
        <f aca="false">(MAX(D157:F157)-MIN(D157:F157))*100</f>
        <v>1.47388657481576</v>
      </c>
      <c r="H157" s="47" t="n">
        <f aca="false">'2026 Forecast A'!L88</f>
        <v>3.349008109096</v>
      </c>
      <c r="I157" s="47" t="n">
        <f aca="false">'2026 Forecast B'!L88</f>
        <v>2.98086653957356</v>
      </c>
      <c r="J157" s="47" t="n">
        <f aca="false">'2026 Forecast C'!L88</f>
        <v>3.19119071644035</v>
      </c>
      <c r="K157" s="18" t="n">
        <f aca="false">'2026 Forecast A'!F88</f>
        <v>3121</v>
      </c>
      <c r="L157" s="48" t="str">
        <f aca="false">IF(OR(AND(D157&gt;0.5,E157&gt;0.5,F157&gt;0.5),AND(D157&lt;0.5,E157&lt;0.5,F157&lt;0.5)),"Yes","No — toss-up")</f>
        <v>Yes</v>
      </c>
    </row>
    <row r="158" customFormat="false" ht="15" hidden="false" customHeight="false" outlineLevel="0" collapsed="false">
      <c r="A158" s="9" t="str">
        <f aca="false">'2026 Forecast A'!A89</f>
        <v>Northampton</v>
      </c>
      <c r="B158" s="9" t="str">
        <f aca="false">'2026 Forecast A'!B89</f>
        <v>PORTLAND</v>
      </c>
      <c r="C158" s="9" t="str">
        <f aca="false">'2026 Forecast A'!C89</f>
        <v>(whole municipality)</v>
      </c>
      <c r="D158" s="10" t="n">
        <f aca="false">'2026 Forecast A'!G89</f>
        <v>0.341836734693878</v>
      </c>
      <c r="E158" s="10" t="n">
        <f aca="false">'2026 Forecast B'!G89</f>
        <v>0.346938775510204</v>
      </c>
      <c r="F158" s="10" t="n">
        <f aca="false">'2026 Forecast C'!G89</f>
        <v>0.331632653061224</v>
      </c>
      <c r="G158" s="46" t="n">
        <f aca="false">(MAX(D158:F158)-MIN(D158:F158))*100</f>
        <v>1.53061224489796</v>
      </c>
      <c r="H158" s="47" t="n">
        <f aca="false">'2026 Forecast A'!L89</f>
        <v>4.23439710805267</v>
      </c>
      <c r="I158" s="47" t="n">
        <f aca="false">'2026 Forecast B'!L89</f>
        <v>4.20108647752001</v>
      </c>
      <c r="J158" s="47" t="n">
        <f aca="false">'2026 Forecast C'!L89</f>
        <v>4.10924388503634</v>
      </c>
      <c r="K158" s="18" t="n">
        <f aca="false">'2026 Forecast A'!F89</f>
        <v>196</v>
      </c>
      <c r="L158" s="48" t="str">
        <f aca="false">IF(OR(AND(D158&gt;0.5,E158&gt;0.5,F158&gt;0.5),AND(D158&lt;0.5,E158&lt;0.5,F158&lt;0.5)),"Yes","No — toss-up")</f>
        <v>Yes</v>
      </c>
    </row>
    <row r="159" customFormat="false" ht="15" hidden="false" customHeight="false" outlineLevel="0" collapsed="false">
      <c r="A159" s="9" t="str">
        <f aca="false">'2026 Forecast A'!A90</f>
        <v>Northampton</v>
      </c>
      <c r="B159" s="9" t="str">
        <f aca="false">'2026 Forecast A'!B90</f>
        <v>ROSETO</v>
      </c>
      <c r="C159" s="9" t="str">
        <f aca="false">'2026 Forecast A'!C90</f>
        <v>(whole municipality)</v>
      </c>
      <c r="D159" s="10" t="n">
        <f aca="false">'2026 Forecast A'!G90</f>
        <v>0.381578947368421</v>
      </c>
      <c r="E159" s="10" t="n">
        <f aca="false">'2026 Forecast B'!G90</f>
        <v>0.384502923976608</v>
      </c>
      <c r="F159" s="10" t="n">
        <f aca="false">'2026 Forecast C'!G90</f>
        <v>0.375730994152047</v>
      </c>
      <c r="G159" s="46" t="n">
        <f aca="false">(MAX(D159:F159)-MIN(D159:F159))*100</f>
        <v>0.877192982456138</v>
      </c>
      <c r="H159" s="47" t="n">
        <f aca="false">'2026 Forecast A'!L90</f>
        <v>4.23439710805267</v>
      </c>
      <c r="I159" s="47" t="n">
        <f aca="false">'2026 Forecast B'!L90</f>
        <v>4.20108647752001</v>
      </c>
      <c r="J159" s="47" t="n">
        <f aca="false">'2026 Forecast C'!L90</f>
        <v>4.10924388503634</v>
      </c>
      <c r="K159" s="18" t="n">
        <f aca="false">'2026 Forecast A'!F90</f>
        <v>684</v>
      </c>
      <c r="L159" s="48" t="str">
        <f aca="false">IF(OR(AND(D159&gt;0.5,E159&gt;0.5,F159&gt;0.5),AND(D159&lt;0.5,E159&lt;0.5,F159&lt;0.5)),"Yes","No — toss-up")</f>
        <v>Yes</v>
      </c>
    </row>
    <row r="160" customFormat="false" ht="15" hidden="false" customHeight="false" outlineLevel="0" collapsed="false">
      <c r="A160" s="9" t="str">
        <f aca="false">'2026 Forecast A'!A91</f>
        <v>Northampton</v>
      </c>
      <c r="B160" s="9" t="str">
        <f aca="false">'2026 Forecast A'!B91</f>
        <v>STOCKERTOWN</v>
      </c>
      <c r="C160" s="9" t="str">
        <f aca="false">'2026 Forecast A'!C91</f>
        <v>(whole municipality)</v>
      </c>
      <c r="D160" s="10" t="n">
        <f aca="false">'2026 Forecast A'!G91</f>
        <v>0.408740359897172</v>
      </c>
      <c r="E160" s="10" t="n">
        <f aca="false">'2026 Forecast B'!G91</f>
        <v>0.411311053984576</v>
      </c>
      <c r="F160" s="10" t="n">
        <f aca="false">'2026 Forecast C'!G91</f>
        <v>0.401028277634961</v>
      </c>
      <c r="G160" s="46" t="n">
        <f aca="false">(MAX(D160:F160)-MIN(D160:F160))*100</f>
        <v>1.02827763496144</v>
      </c>
      <c r="H160" s="47" t="n">
        <f aca="false">'2026 Forecast A'!L91</f>
        <v>4.23439710805267</v>
      </c>
      <c r="I160" s="47" t="n">
        <f aca="false">'2026 Forecast B'!L91</f>
        <v>4.20108647752001</v>
      </c>
      <c r="J160" s="47" t="n">
        <f aca="false">'2026 Forecast C'!L91</f>
        <v>4.10924388503634</v>
      </c>
      <c r="K160" s="18" t="n">
        <f aca="false">'2026 Forecast A'!F91</f>
        <v>389</v>
      </c>
      <c r="L160" s="48" t="str">
        <f aca="false">IF(OR(AND(D160&gt;0.5,E160&gt;0.5,F160&gt;0.5),AND(D160&lt;0.5,E160&lt;0.5,F160&lt;0.5)),"Yes","No — toss-up")</f>
        <v>Yes</v>
      </c>
    </row>
    <row r="161" customFormat="false" ht="15" hidden="false" customHeight="false" outlineLevel="0" collapsed="false">
      <c r="A161" s="9" t="str">
        <f aca="false">'2026 Forecast A'!A92</f>
        <v>Northampton</v>
      </c>
      <c r="B161" s="9" t="str">
        <f aca="false">'2026 Forecast A'!B92</f>
        <v>TATAMY</v>
      </c>
      <c r="C161" s="9" t="str">
        <f aca="false">'2026 Forecast A'!C92</f>
        <v>(whole municipality)</v>
      </c>
      <c r="D161" s="10" t="n">
        <f aca="false">'2026 Forecast A'!G92</f>
        <v>0.42358803986711</v>
      </c>
      <c r="E161" s="10" t="n">
        <f aca="false">'2026 Forecast B'!G92</f>
        <v>0.425249169435216</v>
      </c>
      <c r="F161" s="10" t="n">
        <f aca="false">'2026 Forecast C'!G92</f>
        <v>0.418604651162791</v>
      </c>
      <c r="G161" s="46" t="n">
        <f aca="false">(MAX(D161:F161)-MIN(D161:F161))*100</f>
        <v>0.664451827242524</v>
      </c>
      <c r="H161" s="47" t="n">
        <f aca="false">'2026 Forecast A'!L92</f>
        <v>4.23439710805267</v>
      </c>
      <c r="I161" s="47" t="n">
        <f aca="false">'2026 Forecast B'!L92</f>
        <v>4.20108647752001</v>
      </c>
      <c r="J161" s="47" t="n">
        <f aca="false">'2026 Forecast C'!L92</f>
        <v>4.10924388503634</v>
      </c>
      <c r="K161" s="18" t="n">
        <f aca="false">'2026 Forecast A'!F92</f>
        <v>602</v>
      </c>
      <c r="L161" s="48" t="str">
        <f aca="false">IF(OR(AND(D161&gt;0.5,E161&gt;0.5,F161&gt;0.5),AND(D161&lt;0.5,E161&lt;0.5,F161&lt;0.5)),"Yes","No — toss-up")</f>
        <v>Yes</v>
      </c>
    </row>
    <row r="162" customFormat="false" ht="15" hidden="false" customHeight="false" outlineLevel="0" collapsed="false">
      <c r="A162" s="9" t="str">
        <f aca="false">'2026 Forecast A'!A93</f>
        <v>Northampton</v>
      </c>
      <c r="B162" s="9" t="str">
        <f aca="false">'2026 Forecast A'!B93</f>
        <v>UPPER MOUNT BETHEL</v>
      </c>
      <c r="C162" s="9" t="str">
        <f aca="false">'2026 Forecast A'!C93</f>
        <v>(whole municipality)</v>
      </c>
      <c r="D162" s="10" t="n">
        <f aca="false">'2026 Forecast A'!G93</f>
        <v>0.317863954227591</v>
      </c>
      <c r="E162" s="10" t="n">
        <f aca="false">'2026 Forecast B'!G93</f>
        <v>0.318817546090273</v>
      </c>
      <c r="F162" s="10" t="n">
        <f aca="false">'2026 Forecast C'!G93</f>
        <v>0.304831532104259</v>
      </c>
      <c r="G162" s="46" t="n">
        <f aca="false">(MAX(D162:F162)-MIN(D162:F162))*100</f>
        <v>1.3986013986014</v>
      </c>
      <c r="H162" s="47" t="n">
        <f aca="false">'2026 Forecast A'!L93</f>
        <v>3.349008109096</v>
      </c>
      <c r="I162" s="47" t="n">
        <f aca="false">'2026 Forecast B'!L93</f>
        <v>2.98086653957356</v>
      </c>
      <c r="J162" s="47" t="n">
        <f aca="false">'2026 Forecast C'!L93</f>
        <v>3.19119071644035</v>
      </c>
      <c r="K162" s="18" t="n">
        <f aca="false">'2026 Forecast A'!F93</f>
        <v>3146</v>
      </c>
      <c r="L162" s="48" t="str">
        <f aca="false">IF(OR(AND(D162&gt;0.5,E162&gt;0.5,F162&gt;0.5),AND(D162&lt;0.5,E162&lt;0.5,F162&lt;0.5)),"Yes","No — toss-up")</f>
        <v>Yes</v>
      </c>
    </row>
    <row r="163" customFormat="false" ht="15" hidden="false" customHeight="false" outlineLevel="0" collapsed="false">
      <c r="A163" s="9" t="str">
        <f aca="false">'2026 Forecast A'!A94</f>
        <v>Northampton</v>
      </c>
      <c r="B163" s="9" t="str">
        <f aca="false">'2026 Forecast A'!B94</f>
        <v>UPPER NAZARETH</v>
      </c>
      <c r="C163" s="9" t="str">
        <f aca="false">'2026 Forecast A'!C94</f>
        <v>(whole municipality)</v>
      </c>
      <c r="D163" s="10" t="n">
        <f aca="false">'2026 Forecast A'!G94</f>
        <v>0.480012206286237</v>
      </c>
      <c r="E163" s="10" t="n">
        <f aca="false">'2026 Forecast B'!G94</f>
        <v>0.480317363442173</v>
      </c>
      <c r="F163" s="10" t="n">
        <f aca="false">'2026 Forecast C'!G94</f>
        <v>0.475129691791273</v>
      </c>
      <c r="G163" s="46" t="n">
        <f aca="false">(MAX(D163:F163)-MIN(D163:F163))*100</f>
        <v>0.518767165090023</v>
      </c>
      <c r="H163" s="47" t="n">
        <f aca="false">'2026 Forecast A'!L94</f>
        <v>3.349008109096</v>
      </c>
      <c r="I163" s="47" t="n">
        <f aca="false">'2026 Forecast B'!L94</f>
        <v>2.98086653957356</v>
      </c>
      <c r="J163" s="47" t="n">
        <f aca="false">'2026 Forecast C'!L94</f>
        <v>3.19119071644035</v>
      </c>
      <c r="K163" s="18" t="n">
        <f aca="false">'2026 Forecast A'!F94</f>
        <v>3277</v>
      </c>
      <c r="L163" s="48" t="str">
        <f aca="false">IF(OR(AND(D163&gt;0.5,E163&gt;0.5,F163&gt;0.5),AND(D163&lt;0.5,E163&lt;0.5,F163&lt;0.5)),"Yes","No — toss-up")</f>
        <v>Yes</v>
      </c>
    </row>
    <row r="164" customFormat="false" ht="15" hidden="false" customHeight="false" outlineLevel="0" collapsed="false">
      <c r="A164" s="9" t="str">
        <f aca="false">'2026 Forecast A'!A95</f>
        <v>Northampton</v>
      </c>
      <c r="B164" s="9" t="str">
        <f aca="false">'2026 Forecast A'!B95</f>
        <v>WALNUTPORT</v>
      </c>
      <c r="C164" s="9" t="str">
        <f aca="false">'2026 Forecast A'!C95</f>
        <v>(whole municipality)</v>
      </c>
      <c r="D164" s="10" t="n">
        <f aca="false">'2026 Forecast A'!G95</f>
        <v>0.400788436268068</v>
      </c>
      <c r="E164" s="10" t="n">
        <f aca="false">'2026 Forecast B'!G95</f>
        <v>0.408672798948752</v>
      </c>
      <c r="F164" s="10" t="n">
        <f aca="false">'2026 Forecast C'!G95</f>
        <v>0.391590013140605</v>
      </c>
      <c r="G164" s="46" t="n">
        <f aca="false">(MAX(D164:F164)-MIN(D164:F164))*100</f>
        <v>1.70827858081472</v>
      </c>
      <c r="H164" s="47" t="n">
        <f aca="false">'2026 Forecast A'!L95</f>
        <v>4.23439710805267</v>
      </c>
      <c r="I164" s="47" t="n">
        <f aca="false">'2026 Forecast B'!L95</f>
        <v>4.20108647752001</v>
      </c>
      <c r="J164" s="47" t="n">
        <f aca="false">'2026 Forecast C'!L95</f>
        <v>4.10924388503634</v>
      </c>
      <c r="K164" s="18" t="n">
        <f aca="false">'2026 Forecast A'!F95</f>
        <v>761</v>
      </c>
      <c r="L164" s="48" t="str">
        <f aca="false">IF(OR(AND(D164&gt;0.5,E164&gt;0.5,F164&gt;0.5),AND(D164&lt;0.5,E164&lt;0.5,F164&lt;0.5)),"Yes","No — toss-up")</f>
        <v>Yes</v>
      </c>
    </row>
    <row r="165" customFormat="false" ht="15" hidden="false" customHeight="false" outlineLevel="0" collapsed="false">
      <c r="A165" s="9" t="str">
        <f aca="false">'2026 Forecast A'!A96</f>
        <v>Northampton</v>
      </c>
      <c r="B165" s="9" t="str">
        <f aca="false">'2026 Forecast A'!B96</f>
        <v>WASHINGTON</v>
      </c>
      <c r="C165" s="9" t="str">
        <f aca="false">'2026 Forecast A'!C96</f>
        <v>(whole municipality)</v>
      </c>
      <c r="D165" s="10" t="n">
        <f aca="false">'2026 Forecast A'!G96</f>
        <v>0.337243401759531</v>
      </c>
      <c r="E165" s="10" t="n">
        <f aca="false">'2026 Forecast B'!G96</f>
        <v>0.341851696690406</v>
      </c>
      <c r="F165" s="10" t="n">
        <f aca="false">'2026 Forecast C'!G96</f>
        <v>0.325513196480938</v>
      </c>
      <c r="G165" s="46" t="n">
        <f aca="false">(MAX(D165:F165)-MIN(D165:F165))*100</f>
        <v>1.6338500209468</v>
      </c>
      <c r="H165" s="47" t="n">
        <f aca="false">'2026 Forecast A'!L96</f>
        <v>2.89547658367171</v>
      </c>
      <c r="I165" s="47" t="n">
        <f aca="false">'2026 Forecast B'!L96</f>
        <v>2.74826999140557</v>
      </c>
      <c r="J165" s="47" t="n">
        <f aca="false">'2026 Forecast C'!L96</f>
        <v>2.81136738013631</v>
      </c>
      <c r="K165" s="18" t="n">
        <f aca="false">'2026 Forecast A'!F96</f>
        <v>2387</v>
      </c>
      <c r="L165" s="48" t="str">
        <f aca="false">IF(OR(AND(D165&gt;0.5,E165&gt;0.5,F165&gt;0.5),AND(D165&lt;0.5,E165&lt;0.5,F165&lt;0.5)),"Yes","No — toss-up")</f>
        <v>Yes</v>
      </c>
    </row>
    <row r="166" customFormat="false" ht="15" hidden="false" customHeight="false" outlineLevel="0" collapsed="false">
      <c r="A166" s="9" t="str">
        <f aca="false">'2026 Forecast A'!A97</f>
        <v>Northampton</v>
      </c>
      <c r="B166" s="9" t="str">
        <f aca="false">'2026 Forecast A'!B97</f>
        <v>WEST EASTON</v>
      </c>
      <c r="C166" s="9" t="str">
        <f aca="false">'2026 Forecast A'!C97</f>
        <v>(whole municipality)</v>
      </c>
      <c r="D166" s="10" t="n">
        <f aca="false">'2026 Forecast A'!G97</f>
        <v>0.465753424657534</v>
      </c>
      <c r="E166" s="10" t="n">
        <f aca="false">'2026 Forecast B'!G97</f>
        <v>0.465753424657534</v>
      </c>
      <c r="F166" s="10" t="n">
        <f aca="false">'2026 Forecast C'!G97</f>
        <v>0.463470319634703</v>
      </c>
      <c r="G166" s="46" t="n">
        <f aca="false">(MAX(D166:F166)-MIN(D166:F166))*100</f>
        <v>0.228310502283102</v>
      </c>
      <c r="H166" s="47" t="n">
        <f aca="false">'2026 Forecast A'!L97</f>
        <v>4.23439710805267</v>
      </c>
      <c r="I166" s="47" t="n">
        <f aca="false">'2026 Forecast B'!L97</f>
        <v>4.20108647752001</v>
      </c>
      <c r="J166" s="47" t="n">
        <f aca="false">'2026 Forecast C'!L97</f>
        <v>4.10924388503634</v>
      </c>
      <c r="K166" s="18" t="n">
        <f aca="false">'2026 Forecast A'!F97</f>
        <v>438</v>
      </c>
      <c r="L166" s="48" t="str">
        <f aca="false">IF(OR(AND(D166&gt;0.5,E166&gt;0.5,F166&gt;0.5),AND(D166&lt;0.5,E166&lt;0.5,F166&lt;0.5)),"Yes","No — toss-up")</f>
        <v>Yes</v>
      </c>
    </row>
    <row r="167" customFormat="false" ht="15" hidden="false" customHeight="false" outlineLevel="0" collapsed="false">
      <c r="A167" s="9" t="str">
        <f aca="false">'2026 Forecast A'!A98</f>
        <v>Northampton</v>
      </c>
      <c r="B167" s="9" t="str">
        <f aca="false">'2026 Forecast A'!B98</f>
        <v>WILLIAMS TOWNSHIP</v>
      </c>
      <c r="C167" s="9" t="str">
        <f aca="false">'2026 Forecast A'!C98</f>
        <v>(whole municipality)</v>
      </c>
      <c r="D167" s="10" t="n">
        <f aca="false">'2026 Forecast A'!G98</f>
        <v>0.434640522875817</v>
      </c>
      <c r="E167" s="10" t="n">
        <f aca="false">'2026 Forecast B'!G98</f>
        <v>0.429292929292929</v>
      </c>
      <c r="F167" s="10" t="n">
        <f aca="false">'2026 Forecast C'!G98</f>
        <v>0.431075460487225</v>
      </c>
      <c r="G167" s="46" t="n">
        <f aca="false">(MAX(D167:F167)-MIN(D167:F167))*100</f>
        <v>0.534759358288772</v>
      </c>
      <c r="H167" s="47" t="n">
        <f aca="false">'2026 Forecast A'!L98</f>
        <v>3.349008109096</v>
      </c>
      <c r="I167" s="47" t="n">
        <f aca="false">'2026 Forecast B'!L98</f>
        <v>2.98086653957356</v>
      </c>
      <c r="J167" s="47" t="n">
        <f aca="false">'2026 Forecast C'!L98</f>
        <v>3.19119071644035</v>
      </c>
      <c r="K167" s="18" t="n">
        <f aca="false">'2026 Forecast A'!F98</f>
        <v>3366</v>
      </c>
      <c r="L167" s="48" t="str">
        <f aca="false">IF(OR(AND(D167&gt;0.5,E167&gt;0.5,F167&gt;0.5),AND(D167&lt;0.5,E167&lt;0.5,F167&lt;0.5)),"Yes","No — toss-up")</f>
        <v>Yes</v>
      </c>
    </row>
    <row r="168" customFormat="false" ht="15" hidden="false" customHeight="false" outlineLevel="0" collapsed="false">
      <c r="A168" s="9" t="str">
        <f aca="false">'2026 Forecast A'!A99</f>
        <v>Northampton</v>
      </c>
      <c r="B168" s="9" t="str">
        <f aca="false">'2026 Forecast A'!B99</f>
        <v>WILSON</v>
      </c>
      <c r="C168" s="9" t="str">
        <f aca="false">'2026 Forecast A'!C99</f>
        <v>(whole municipality)</v>
      </c>
      <c r="D168" s="10" t="n">
        <f aca="false">'2026 Forecast A'!G99</f>
        <v>0.557446808510638</v>
      </c>
      <c r="E168" s="10" t="n">
        <f aca="false">'2026 Forecast B'!G99</f>
        <v>0.560851063829787</v>
      </c>
      <c r="F168" s="10" t="n">
        <f aca="false">'2026 Forecast C'!G99</f>
        <v>0.562127659574468</v>
      </c>
      <c r="G168" s="46" t="n">
        <f aca="false">(MAX(D168:F168)-MIN(D168:F168))*100</f>
        <v>0.468085106382976</v>
      </c>
      <c r="H168" s="47" t="n">
        <f aca="false">'2026 Forecast A'!L99</f>
        <v>2.89547658367171</v>
      </c>
      <c r="I168" s="47" t="n">
        <f aca="false">'2026 Forecast B'!L99</f>
        <v>2.74826999140557</v>
      </c>
      <c r="J168" s="47" t="n">
        <f aca="false">'2026 Forecast C'!L99</f>
        <v>2.81136738013631</v>
      </c>
      <c r="K168" s="18" t="n">
        <f aca="false">'2026 Forecast A'!F99</f>
        <v>2350</v>
      </c>
      <c r="L168" s="48" t="str">
        <f aca="false">IF(OR(AND(D168&gt;0.5,E168&gt;0.5,F168&gt;0.5),AND(D168&lt;0.5,E168&lt;0.5,F168&lt;0.5)),"Yes","No — toss-up")</f>
        <v>Yes</v>
      </c>
    </row>
    <row r="169" customFormat="false" ht="15" hidden="false" customHeight="false" outlineLevel="0" collapsed="false">
      <c r="A169" s="9" t="str">
        <f aca="false">'2026 Forecast A'!A100</f>
        <v>Northampton</v>
      </c>
      <c r="B169" s="9" t="str">
        <f aca="false">'2026 Forecast A'!B100</f>
        <v>WIND GAP</v>
      </c>
      <c r="C169" s="9" t="str">
        <f aca="false">'2026 Forecast A'!C100</f>
        <v>(whole municipality)</v>
      </c>
      <c r="D169" s="10" t="n">
        <f aca="false">'2026 Forecast A'!G100</f>
        <v>0.423580786026201</v>
      </c>
      <c r="E169" s="10" t="n">
        <f aca="false">'2026 Forecast B'!G100</f>
        <v>0.42707423580786</v>
      </c>
      <c r="F169" s="10" t="n">
        <f aca="false">'2026 Forecast C'!G100</f>
        <v>0.418340611353712</v>
      </c>
      <c r="G169" s="46" t="n">
        <f aca="false">(MAX(D169:F169)-MIN(D169:F169))*100</f>
        <v>0.873362445414844</v>
      </c>
      <c r="H169" s="47" t="n">
        <f aca="false">'2026 Forecast A'!L100</f>
        <v>4.23439710805267</v>
      </c>
      <c r="I169" s="47" t="n">
        <f aca="false">'2026 Forecast B'!L100</f>
        <v>4.20108647752001</v>
      </c>
      <c r="J169" s="47" t="n">
        <f aca="false">'2026 Forecast C'!L100</f>
        <v>4.10924388503634</v>
      </c>
      <c r="K169" s="18" t="n">
        <f aca="false">'2026 Forecast A'!F100</f>
        <v>1145</v>
      </c>
      <c r="L169" s="48" t="str">
        <f aca="false">IF(OR(AND(D169&gt;0.5,E169&gt;0.5,F169&gt;0.5),AND(D169&lt;0.5,E169&lt;0.5,F169&lt;0.5)),"Yes","No — toss-up")</f>
        <v>Yes</v>
      </c>
    </row>
  </sheetData>
  <mergeCells count="18">
    <mergeCell ref="A5:I5"/>
    <mergeCell ref="A9:I9"/>
    <mergeCell ref="A16:I16"/>
    <mergeCell ref="A29:J29"/>
    <mergeCell ref="A34:J34"/>
    <mergeCell ref="A36:L36"/>
    <mergeCell ref="A47:L47"/>
    <mergeCell ref="A49:L49"/>
    <mergeCell ref="A51:L51"/>
    <mergeCell ref="A53:L53"/>
    <mergeCell ref="A55:L55"/>
    <mergeCell ref="A67:L67"/>
    <mergeCell ref="A69:L69"/>
    <mergeCell ref="A71:L71"/>
    <mergeCell ref="A73:L73"/>
    <mergeCell ref="A75:L75"/>
    <mergeCell ref="A77:L77"/>
    <mergeCell ref="A79:L79"/>
  </mergeCells>
  <conditionalFormatting sqref="D81:F169">
    <cfRule type="colorScale" priority="2">
      <colorScale>
        <cfvo type="num" val="0.25"/>
        <cfvo type="num" val="0.5"/>
        <cfvo type="num" val="0.75"/>
        <color rgb="FFF4B6B6"/>
        <color rgb="FFFFFFFF"/>
        <color rgb="FFB4C7E7"/>
      </colorScale>
    </cfRule>
  </conditionalFormatting>
  <conditionalFormatting sqref="L81:L169">
    <cfRule type="cellIs" priority="3"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121</v>
      </c>
    </row>
    <row r="2" customFormat="false" ht="15" hidden="false" customHeight="false" outlineLevel="0" collapsed="false">
      <c r="A2" s="2" t="s">
        <v>122</v>
      </c>
    </row>
    <row r="3" customFormat="false" ht="15" hidden="false" customHeight="false" outlineLevel="0" collapsed="false">
      <c r="A3" s="13" t="s">
        <v>123</v>
      </c>
      <c r="B3" s="13"/>
      <c r="C3" s="13"/>
      <c r="D3" s="13"/>
      <c r="E3" s="13"/>
      <c r="F3" s="13"/>
      <c r="G3" s="13"/>
      <c r="H3" s="13"/>
      <c r="I3" s="13"/>
    </row>
    <row r="4" customFormat="false" ht="15" hidden="false" customHeight="false" outlineLevel="0" collapsed="false">
      <c r="A4" s="0" t="s">
        <v>124</v>
      </c>
      <c r="B4" s="0" t="s">
        <v>125</v>
      </c>
      <c r="C4" s="0" t="s">
        <v>126</v>
      </c>
      <c r="D4" s="49" t="n">
        <v>46300</v>
      </c>
      <c r="E4" s="50" t="s">
        <v>127</v>
      </c>
      <c r="F4" s="50" t="s">
        <v>128</v>
      </c>
      <c r="G4" s="50" t="s">
        <v>129</v>
      </c>
      <c r="H4" s="50" t="s">
        <v>130</v>
      </c>
    </row>
    <row r="5" customFormat="false" ht="15" hidden="false" customHeight="false" outlineLevel="0" collapsed="false">
      <c r="A5" s="0" t="s">
        <v>131</v>
      </c>
      <c r="B5" s="51" t="n">
        <f aca="false">'Scenario &amp; Comparison'!$C$6</f>
        <v>0.49330922527432</v>
      </c>
      <c r="C5" s="50" t="s">
        <v>132</v>
      </c>
      <c r="D5" s="52" t="n">
        <f aca="false">B5-SUMPRODUCT(R12:R100,S12:S100)/SUM(S12:S100)/100</f>
        <v>0.420708320093949</v>
      </c>
      <c r="E5" s="50" t="s">
        <v>133</v>
      </c>
      <c r="F5" s="53" t="n">
        <f aca="false">'Scenario &amp; Comparison'!$C$7</f>
        <v>1</v>
      </c>
    </row>
    <row r="6" customFormat="false" ht="15" hidden="false" customHeight="false" outlineLevel="0" collapsed="false">
      <c r="A6" s="4" t="s">
        <v>134</v>
      </c>
      <c r="B6" s="4"/>
      <c r="C6" s="4"/>
      <c r="D6" s="4"/>
      <c r="E6" s="4"/>
      <c r="F6" s="4"/>
      <c r="G6" s="4"/>
      <c r="H6" s="4"/>
      <c r="I6" s="4"/>
      <c r="J6" s="4"/>
      <c r="K6" s="4"/>
      <c r="L6" s="4"/>
      <c r="M6" s="4"/>
      <c r="N6" s="4"/>
      <c r="O6" s="4"/>
      <c r="P6" s="4"/>
    </row>
    <row r="7" customFormat="false" ht="45" hidden="false" customHeight="true" outlineLevel="0" collapsed="false">
      <c r="A7" s="8" t="s">
        <v>135</v>
      </c>
      <c r="B7" s="8" t="s">
        <v>136</v>
      </c>
      <c r="C7" s="8" t="s">
        <v>137</v>
      </c>
      <c r="D7" s="8" t="s">
        <v>36</v>
      </c>
      <c r="E7" s="8" t="s">
        <v>37</v>
      </c>
      <c r="F7" s="8" t="s">
        <v>38</v>
      </c>
      <c r="G7" s="8" t="s">
        <v>39</v>
      </c>
      <c r="H7" s="8" t="s">
        <v>138</v>
      </c>
      <c r="I7" s="8" t="s">
        <v>139</v>
      </c>
      <c r="J7" s="8" t="s">
        <v>140</v>
      </c>
      <c r="K7" s="8" t="s">
        <v>141</v>
      </c>
      <c r="L7" s="8" t="s">
        <v>142</v>
      </c>
      <c r="M7" s="8" t="s">
        <v>143</v>
      </c>
      <c r="N7" s="8" t="s">
        <v>144</v>
      </c>
      <c r="O7" s="8" t="s">
        <v>145</v>
      </c>
      <c r="P7" s="8" t="s">
        <v>146</v>
      </c>
    </row>
    <row r="8" customFormat="false" ht="15" hidden="false" customHeight="false" outlineLevel="0" collapsed="false">
      <c r="A8" s="20" t="s">
        <v>147</v>
      </c>
      <c r="B8" s="20" t="s">
        <v>148</v>
      </c>
      <c r="C8" s="20"/>
      <c r="D8" s="54" t="n">
        <f aca="false">SUM(D12:D100)</f>
        <v>151016</v>
      </c>
      <c r="E8" s="54" t="n">
        <f aca="false">SUM(E12:E100)</f>
        <v>155113</v>
      </c>
      <c r="F8" s="54" t="n">
        <f aca="false">D8+E8</f>
        <v>306129</v>
      </c>
      <c r="G8" s="55" t="n">
        <f aca="false">IF(F8=0,"",D8/F8)</f>
        <v>0.493308376534076</v>
      </c>
      <c r="H8" s="55" t="n">
        <f aca="false">IF(F8=0,"",E8/F8)</f>
        <v>0.506691623465924</v>
      </c>
      <c r="I8" s="20" t="s">
        <v>149</v>
      </c>
      <c r="J8" s="56" t="n">
        <v>0</v>
      </c>
      <c r="K8" s="56" t="n">
        <v>2.11861454545127</v>
      </c>
      <c r="L8" s="56" t="n">
        <f aca="false">SQRT(J8^2+K8^2)</f>
        <v>2.11861454545127</v>
      </c>
      <c r="M8" s="55" t="n">
        <f aca="false">G8-1.96*L8/100</f>
        <v>0.451783531443231</v>
      </c>
      <c r="N8" s="55" t="n">
        <f aca="false">G8+1.96*L8/100</f>
        <v>0.53483322162492</v>
      </c>
      <c r="O8" s="54" t="n">
        <f aca="false">ROUND(F8*0.035,0)</f>
        <v>10715</v>
      </c>
      <c r="P8" s="54" t="n">
        <f aca="false">ROUND(SQRT((F8*L8/100)^2+(G8*O8)^2),0)</f>
        <v>8367</v>
      </c>
    </row>
    <row r="9" customFormat="false" ht="15" hidden="false" customHeight="false" outlineLevel="0" collapsed="false">
      <c r="A9" s="13" t="s">
        <v>150</v>
      </c>
      <c r="B9" s="13"/>
      <c r="C9" s="13"/>
      <c r="D9" s="13"/>
      <c r="E9" s="13"/>
      <c r="F9" s="13"/>
      <c r="G9" s="13"/>
      <c r="H9" s="13"/>
      <c r="I9" s="13"/>
      <c r="J9" s="13"/>
      <c r="K9" s="13"/>
      <c r="L9" s="13"/>
      <c r="M9" s="13"/>
      <c r="N9" s="13"/>
      <c r="O9" s="13"/>
      <c r="P9" s="13"/>
    </row>
    <row r="10" customFormat="false" ht="15" hidden="false" customHeight="false" outlineLevel="0" collapsed="false">
      <c r="A10" s="4" t="s">
        <v>151</v>
      </c>
      <c r="B10" s="4"/>
      <c r="C10" s="4"/>
      <c r="D10" s="4"/>
      <c r="E10" s="4"/>
      <c r="F10" s="4"/>
      <c r="G10" s="4"/>
      <c r="H10" s="4"/>
      <c r="I10" s="4"/>
      <c r="J10" s="4"/>
      <c r="K10" s="4"/>
      <c r="L10" s="4"/>
      <c r="M10" s="4"/>
      <c r="N10" s="4"/>
      <c r="O10" s="4"/>
      <c r="P10" s="4"/>
      <c r="R10" s="57" t="s">
        <v>152</v>
      </c>
      <c r="S10" s="58"/>
      <c r="T10" s="58"/>
      <c r="U10" s="58"/>
      <c r="V10" s="58"/>
      <c r="W10" s="58"/>
      <c r="X10" s="58"/>
      <c r="Y10" s="58"/>
    </row>
    <row r="11" customFormat="false" ht="31.5" hidden="false" customHeight="true" outlineLevel="0" collapsed="false">
      <c r="A11" s="8" t="s">
        <v>113</v>
      </c>
      <c r="B11" s="8" t="s">
        <v>114</v>
      </c>
      <c r="C11" s="8" t="s">
        <v>115</v>
      </c>
      <c r="D11" s="8" t="s">
        <v>36</v>
      </c>
      <c r="E11" s="8" t="s">
        <v>37</v>
      </c>
      <c r="F11" s="8" t="s">
        <v>38</v>
      </c>
      <c r="G11" s="8" t="s">
        <v>39</v>
      </c>
      <c r="H11" s="8" t="s">
        <v>138</v>
      </c>
      <c r="I11" s="8" t="s">
        <v>153</v>
      </c>
      <c r="J11" s="8" t="s">
        <v>140</v>
      </c>
      <c r="K11" s="8" t="s">
        <v>141</v>
      </c>
      <c r="L11" s="8" t="s">
        <v>142</v>
      </c>
      <c r="M11" s="8" t="s">
        <v>143</v>
      </c>
      <c r="N11" s="8" t="s">
        <v>144</v>
      </c>
      <c r="O11" s="8" t="s">
        <v>145</v>
      </c>
      <c r="P11" s="8" t="s">
        <v>146</v>
      </c>
      <c r="R11" s="59" t="s">
        <v>154</v>
      </c>
      <c r="S11" s="59" t="s">
        <v>155</v>
      </c>
      <c r="T11" s="59" t="s">
        <v>156</v>
      </c>
      <c r="U11" s="59" t="s">
        <v>157</v>
      </c>
      <c r="V11" s="59" t="s">
        <v>158</v>
      </c>
      <c r="W11" s="59" t="s">
        <v>159</v>
      </c>
      <c r="X11" s="59" t="s">
        <v>160</v>
      </c>
      <c r="Y11" s="59" t="s">
        <v>161</v>
      </c>
    </row>
    <row r="12" customFormat="false" ht="15" hidden="false" customHeight="false" outlineLevel="0" collapsed="false">
      <c r="A12" s="32" t="s">
        <v>162</v>
      </c>
      <c r="B12" s="32" t="s">
        <v>163</v>
      </c>
      <c r="C12" s="32" t="s">
        <v>164</v>
      </c>
      <c r="D12" s="60" t="n">
        <f aca="false">ROUND(S12*T12,0)</f>
        <v>138</v>
      </c>
      <c r="E12" s="60" t="n">
        <f aca="false">ROUND(S12,0)-D12</f>
        <v>226</v>
      </c>
      <c r="F12" s="60" t="n">
        <f aca="false">IF(COUNTA(D12:E12)=0,"",SUM(D12:E12))</f>
        <v>364</v>
      </c>
      <c r="G12" s="40" t="n">
        <f aca="false">IF(OR(F12="",F12=0),"",D12/F12)</f>
        <v>0.379120879120879</v>
      </c>
      <c r="H12" s="40" t="n">
        <f aca="false">IF(OR(F12="",F12=0),"",E12/F12)</f>
        <v>0.620879120879121</v>
      </c>
      <c r="I12" s="32" t="s">
        <v>165</v>
      </c>
      <c r="J12" s="36" t="n">
        <v>3.66627757766473</v>
      </c>
      <c r="K12" s="36" t="n">
        <f aca="false">$K$8</f>
        <v>2.11861454545127</v>
      </c>
      <c r="L12" s="36" t="n">
        <f aca="false">SQRT(J12^2+K12^2)</f>
        <v>4.23439710805267</v>
      </c>
      <c r="M12" s="40" t="n">
        <f aca="false">IF(G12="","",MAX(0,G12-1.96*L12/100))</f>
        <v>0.296126695803047</v>
      </c>
      <c r="N12" s="40" t="n">
        <f aca="false">IF(G12="","",MIN(1,G12+1.96*L12/100))</f>
        <v>0.462115062438711</v>
      </c>
      <c r="O12" s="60" t="n">
        <f aca="false">ROUND(S12*W12,0)</f>
        <v>27</v>
      </c>
      <c r="P12" s="60" t="n">
        <f aca="false">IF(F12="","",ROUND(SQRT((F12*L12/100)^2+(G12*O12)^2),0))</f>
        <v>19</v>
      </c>
      <c r="R12" s="61" t="n">
        <v>-4.0926793738601</v>
      </c>
      <c r="S12" s="62" t="n">
        <f aca="false">U12*V12*$F$5</f>
        <v>364.490963855422</v>
      </c>
      <c r="T12" s="63" t="n">
        <f aca="false">MAX(0,MIN(1,R12/100+$D$5))</f>
        <v>0.379781526355348</v>
      </c>
      <c r="U12" s="63" t="n">
        <v>0.581325301204819</v>
      </c>
      <c r="V12" s="62" t="n">
        <v>627</v>
      </c>
      <c r="W12" s="63" t="n">
        <v>0.0732058935918866</v>
      </c>
      <c r="X12" s="64" t="s">
        <v>166</v>
      </c>
      <c r="Y12" s="64" t="s">
        <v>167</v>
      </c>
    </row>
    <row r="13" customFormat="false" ht="15" hidden="false" customHeight="false" outlineLevel="0" collapsed="false">
      <c r="A13" s="32" t="s">
        <v>162</v>
      </c>
      <c r="B13" s="32" t="s">
        <v>168</v>
      </c>
      <c r="C13" s="32" t="s">
        <v>164</v>
      </c>
      <c r="D13" s="60" t="n">
        <f aca="false">ROUND(S13*T13,0)</f>
        <v>94</v>
      </c>
      <c r="E13" s="60" t="n">
        <f aca="false">ROUND(S13,0)-D13</f>
        <v>236</v>
      </c>
      <c r="F13" s="60" t="n">
        <f aca="false">IF(COUNTA(D13:E13)=0,"",SUM(D13:E13))</f>
        <v>330</v>
      </c>
      <c r="G13" s="40" t="n">
        <f aca="false">IF(OR(F13="",F13=0),"",D13/F13)</f>
        <v>0.284848484848485</v>
      </c>
      <c r="H13" s="40" t="n">
        <f aca="false">IF(OR(F13="",F13=0),"",E13/F13)</f>
        <v>0.715151515151515</v>
      </c>
      <c r="I13" s="32" t="s">
        <v>165</v>
      </c>
      <c r="J13" s="36" t="n">
        <v>3.66627757766473</v>
      </c>
      <c r="K13" s="36" t="n">
        <f aca="false">$K$8</f>
        <v>2.11861454545127</v>
      </c>
      <c r="L13" s="36" t="n">
        <f aca="false">SQRT(J13^2+K13^2)</f>
        <v>4.23439710805267</v>
      </c>
      <c r="M13" s="40" t="n">
        <f aca="false">IF(G13="","",MAX(0,G13-1.96*L13/100))</f>
        <v>0.201854301530653</v>
      </c>
      <c r="N13" s="40" t="n">
        <f aca="false">IF(G13="","",MIN(1,G13+1.96*L13/100))</f>
        <v>0.367842668166317</v>
      </c>
      <c r="O13" s="60" t="n">
        <f aca="false">ROUND(S13*W13,0)</f>
        <v>24</v>
      </c>
      <c r="P13" s="60" t="n">
        <f aca="false">IF(F13="","",ROUND(SQRT((F13*L13/100)^2+(G13*O13)^2),0))</f>
        <v>16</v>
      </c>
      <c r="R13" s="61" t="n">
        <v>-13.4822837410592</v>
      </c>
      <c r="S13" s="62" t="n">
        <f aca="false">U13*V13*$F$5</f>
        <v>330.130136986301</v>
      </c>
      <c r="T13" s="63" t="n">
        <f aca="false">MAX(0,MIN(1,R13/100+$D$5))</f>
        <v>0.285885482683356</v>
      </c>
      <c r="U13" s="63" t="n">
        <v>0.537671232876712</v>
      </c>
      <c r="V13" s="62" t="n">
        <v>614</v>
      </c>
      <c r="W13" s="63" t="n">
        <v>0.0732058935918866</v>
      </c>
      <c r="X13" s="64" t="s">
        <v>166</v>
      </c>
      <c r="Y13" s="64" t="s">
        <v>167</v>
      </c>
    </row>
    <row r="14" customFormat="false" ht="15" hidden="false" customHeight="false" outlineLevel="0" collapsed="false">
      <c r="A14" s="32" t="s">
        <v>162</v>
      </c>
      <c r="B14" s="32" t="s">
        <v>169</v>
      </c>
      <c r="C14" s="32" t="s">
        <v>164</v>
      </c>
      <c r="D14" s="60" t="n">
        <f aca="false">ROUND(S14*T14,0)</f>
        <v>118</v>
      </c>
      <c r="E14" s="60" t="n">
        <f aca="false">ROUND(S14,0)-D14</f>
        <v>238</v>
      </c>
      <c r="F14" s="60" t="n">
        <f aca="false">IF(COUNTA(D14:E14)=0,"",SUM(D14:E14))</f>
        <v>356</v>
      </c>
      <c r="G14" s="40" t="n">
        <f aca="false">IF(OR(F14="",F14=0),"",D14/F14)</f>
        <v>0.331460674157303</v>
      </c>
      <c r="H14" s="40" t="n">
        <f aca="false">IF(OR(F14="",F14=0),"",E14/F14)</f>
        <v>0.668539325842697</v>
      </c>
      <c r="I14" s="32" t="s">
        <v>165</v>
      </c>
      <c r="J14" s="36" t="n">
        <v>3.66627757766473</v>
      </c>
      <c r="K14" s="36" t="n">
        <f aca="false">$K$8</f>
        <v>2.11861454545127</v>
      </c>
      <c r="L14" s="36" t="n">
        <f aca="false">SQRT(J14^2+K14^2)</f>
        <v>4.23439710805267</v>
      </c>
      <c r="M14" s="40" t="n">
        <f aca="false">IF(G14="","",MAX(0,G14-1.96*L14/100))</f>
        <v>0.248466490839471</v>
      </c>
      <c r="N14" s="40" t="n">
        <f aca="false">IF(G14="","",MIN(1,G14+1.96*L14/100))</f>
        <v>0.414454857475136</v>
      </c>
      <c r="O14" s="60" t="n">
        <f aca="false">ROUND(S14*W14,0)</f>
        <v>26</v>
      </c>
      <c r="P14" s="60" t="n">
        <f aca="false">IF(F14="","",ROUND(SQRT((F14*L14/100)^2+(G14*O14)^2),0))</f>
        <v>17</v>
      </c>
      <c r="R14" s="61" t="n">
        <v>-8.85623229310527</v>
      </c>
      <c r="S14" s="62" t="n">
        <f aca="false">U14*V14*$F$5</f>
        <v>355.63436928702</v>
      </c>
      <c r="T14" s="63" t="n">
        <f aca="false">MAX(0,MIN(1,R14/100+$D$5))</f>
        <v>0.332145997162896</v>
      </c>
      <c r="U14" s="63" t="n">
        <v>0.636197440585009</v>
      </c>
      <c r="V14" s="62" t="n">
        <v>559</v>
      </c>
      <c r="W14" s="63" t="n">
        <v>0.0732058935918866</v>
      </c>
      <c r="X14" s="64" t="s">
        <v>166</v>
      </c>
      <c r="Y14" s="64" t="s">
        <v>167</v>
      </c>
    </row>
    <row r="15" customFormat="false" ht="15" hidden="false" customHeight="false" outlineLevel="0" collapsed="false">
      <c r="A15" s="32" t="s">
        <v>162</v>
      </c>
      <c r="B15" s="32" t="s">
        <v>170</v>
      </c>
      <c r="C15" s="32" t="s">
        <v>164</v>
      </c>
      <c r="D15" s="60" t="n">
        <f aca="false">ROUND(S15*T15,0)</f>
        <v>372</v>
      </c>
      <c r="E15" s="60" t="n">
        <f aca="false">ROUND(S15,0)-D15</f>
        <v>963</v>
      </c>
      <c r="F15" s="60" t="n">
        <f aca="false">IF(COUNTA(D15:E15)=0,"",SUM(D15:E15))</f>
        <v>1335</v>
      </c>
      <c r="G15" s="40" t="n">
        <f aca="false">IF(OR(F15="",F15=0),"",D15/F15)</f>
        <v>0.278651685393258</v>
      </c>
      <c r="H15" s="40" t="n">
        <f aca="false">IF(OR(F15="",F15=0),"",E15/F15)</f>
        <v>0.721348314606742</v>
      </c>
      <c r="I15" s="32" t="s">
        <v>165</v>
      </c>
      <c r="J15" s="36" t="n">
        <v>1.97364055856013</v>
      </c>
      <c r="K15" s="36" t="n">
        <f aca="false">$K$8</f>
        <v>2.11861454545127</v>
      </c>
      <c r="L15" s="36" t="n">
        <f aca="false">SQRT(J15^2+K15^2)</f>
        <v>2.89547658367171</v>
      </c>
      <c r="M15" s="40" t="n">
        <f aca="false">IF(G15="","",MAX(0,G15-1.96*L15/100))</f>
        <v>0.221900344353293</v>
      </c>
      <c r="N15" s="40" t="n">
        <f aca="false">IF(G15="","",MIN(1,G15+1.96*L15/100))</f>
        <v>0.335403026433224</v>
      </c>
      <c r="O15" s="60" t="n">
        <f aca="false">ROUND(S15*W15,0)</f>
        <v>73</v>
      </c>
      <c r="P15" s="60" t="n">
        <f aca="false">IF(F15="","",ROUND(SQRT((F15*L15/100)^2+(G15*O15)^2),0))</f>
        <v>44</v>
      </c>
      <c r="R15" s="61" t="n">
        <v>-14.2162125221962</v>
      </c>
      <c r="S15" s="62" t="n">
        <f aca="false">U15*V15*$F$5</f>
        <v>1334.82101558572</v>
      </c>
      <c r="T15" s="63" t="n">
        <f aca="false">MAX(0,MIN(1,R15/100+$D$5))</f>
        <v>0.278546194871987</v>
      </c>
      <c r="U15" s="63" t="n">
        <v>0.652086475615887</v>
      </c>
      <c r="V15" s="62" t="n">
        <v>2047</v>
      </c>
      <c r="W15" s="63" t="n">
        <v>0.0547268472736556</v>
      </c>
      <c r="X15" s="64" t="s">
        <v>171</v>
      </c>
      <c r="Y15" s="64" t="s">
        <v>167</v>
      </c>
    </row>
    <row r="16" customFormat="false" ht="15" hidden="false" customHeight="false" outlineLevel="0" collapsed="false">
      <c r="A16" s="32" t="s">
        <v>162</v>
      </c>
      <c r="B16" s="32" t="s">
        <v>172</v>
      </c>
      <c r="C16" s="32" t="s">
        <v>164</v>
      </c>
      <c r="D16" s="60" t="n">
        <f aca="false">ROUND(S16*T16,0)</f>
        <v>32</v>
      </c>
      <c r="E16" s="60" t="n">
        <f aca="false">ROUND(S16,0)-D16</f>
        <v>61</v>
      </c>
      <c r="F16" s="60" t="n">
        <f aca="false">IF(COUNTA(D16:E16)=0,"",SUM(D16:E16))</f>
        <v>93</v>
      </c>
      <c r="G16" s="40" t="n">
        <f aca="false">IF(OR(F16="",F16=0),"",D16/F16)</f>
        <v>0.344086021505376</v>
      </c>
      <c r="H16" s="40" t="n">
        <f aca="false">IF(OR(F16="",F16=0),"",E16/F16)</f>
        <v>0.655913978494624</v>
      </c>
      <c r="I16" s="32" t="s">
        <v>165</v>
      </c>
      <c r="J16" s="36" t="n">
        <v>3.66627757766473</v>
      </c>
      <c r="K16" s="36" t="n">
        <f aca="false">$K$8</f>
        <v>2.11861454545127</v>
      </c>
      <c r="L16" s="36" t="n">
        <f aca="false">SQRT(J16^2+K16^2)</f>
        <v>4.23439710805267</v>
      </c>
      <c r="M16" s="40" t="n">
        <f aca="false">IF(G16="","",MAX(0,G16-1.96*L16/100))</f>
        <v>0.261091838187544</v>
      </c>
      <c r="N16" s="40" t="n">
        <f aca="false">IF(G16="","",MIN(1,G16+1.96*L16/100))</f>
        <v>0.427080204823209</v>
      </c>
      <c r="O16" s="60" t="n">
        <f aca="false">ROUND(S16*W16,0)</f>
        <v>7</v>
      </c>
      <c r="P16" s="60" t="n">
        <f aca="false">IF(F16="","",ROUND(SQRT((F16*L16/100)^2+(G16*O16)^2),0))</f>
        <v>5</v>
      </c>
      <c r="R16" s="61" t="n">
        <v>-7.50856728856556</v>
      </c>
      <c r="S16" s="62" t="n">
        <f aca="false">U16*V16*$F$5</f>
        <v>93.4268292682927</v>
      </c>
      <c r="T16" s="63" t="n">
        <f aca="false">MAX(0,MIN(1,R16/100+$D$5))</f>
        <v>0.345622647208293</v>
      </c>
      <c r="U16" s="63" t="n">
        <v>0.573170731707317</v>
      </c>
      <c r="V16" s="62" t="n">
        <v>163</v>
      </c>
      <c r="W16" s="63" t="n">
        <v>0.0732058935918866</v>
      </c>
      <c r="X16" s="64" t="s">
        <v>166</v>
      </c>
      <c r="Y16" s="64" t="s">
        <v>167</v>
      </c>
    </row>
    <row r="17" customFormat="false" ht="15" hidden="false" customHeight="false" outlineLevel="0" collapsed="false">
      <c r="A17" s="32" t="s">
        <v>162</v>
      </c>
      <c r="B17" s="32" t="s">
        <v>173</v>
      </c>
      <c r="C17" s="32" t="s">
        <v>164</v>
      </c>
      <c r="D17" s="60" t="n">
        <f aca="false">ROUND(S17*T17,0)</f>
        <v>566</v>
      </c>
      <c r="E17" s="60" t="n">
        <f aca="false">ROUND(S17,0)-D17</f>
        <v>1416</v>
      </c>
      <c r="F17" s="60" t="n">
        <f aca="false">IF(COUNTA(D17:E17)=0,"",SUM(D17:E17))</f>
        <v>1982</v>
      </c>
      <c r="G17" s="40" t="n">
        <f aca="false">IF(OR(F17="",F17=0),"",D17/F17)</f>
        <v>0.285570131180626</v>
      </c>
      <c r="H17" s="40" t="n">
        <f aca="false">IF(OR(F17="",F17=0),"",E17/F17)</f>
        <v>0.714429868819374</v>
      </c>
      <c r="I17" s="32" t="s">
        <v>165</v>
      </c>
      <c r="J17" s="36" t="n">
        <v>1.97364055856013</v>
      </c>
      <c r="K17" s="36" t="n">
        <f aca="false">$K$8</f>
        <v>2.11861454545127</v>
      </c>
      <c r="L17" s="36" t="n">
        <f aca="false">SQRT(J17^2+K17^2)</f>
        <v>2.89547658367171</v>
      </c>
      <c r="M17" s="40" t="n">
        <f aca="false">IF(G17="","",MAX(0,G17-1.96*L17/100))</f>
        <v>0.22881879014066</v>
      </c>
      <c r="N17" s="40" t="n">
        <f aca="false">IF(G17="","",MIN(1,G17+1.96*L17/100))</f>
        <v>0.342321472220591</v>
      </c>
      <c r="O17" s="60" t="n">
        <f aca="false">ROUND(S17*W17,0)</f>
        <v>108</v>
      </c>
      <c r="P17" s="60" t="n">
        <f aca="false">IF(F17="","",ROUND(SQRT((F17*L17/100)^2+(G17*O17)^2),0))</f>
        <v>65</v>
      </c>
      <c r="R17" s="61" t="n">
        <v>-13.5271648358071</v>
      </c>
      <c r="S17" s="62" t="n">
        <f aca="false">U17*V17*$F$5</f>
        <v>1982.00903517264</v>
      </c>
      <c r="T17" s="63" t="n">
        <f aca="false">MAX(0,MIN(1,R17/100+$D$5))</f>
        <v>0.285436671735878</v>
      </c>
      <c r="U17" s="63" t="n">
        <v>0.631816715069377</v>
      </c>
      <c r="V17" s="62" t="n">
        <v>3137</v>
      </c>
      <c r="W17" s="63" t="n">
        <v>0.0547268472736556</v>
      </c>
      <c r="X17" s="64" t="s">
        <v>171</v>
      </c>
      <c r="Y17" s="64" t="s">
        <v>167</v>
      </c>
    </row>
    <row r="18" customFormat="false" ht="15" hidden="false" customHeight="false" outlineLevel="0" collapsed="false">
      <c r="A18" s="32" t="s">
        <v>162</v>
      </c>
      <c r="B18" s="32" t="s">
        <v>174</v>
      </c>
      <c r="C18" s="32" t="s">
        <v>164</v>
      </c>
      <c r="D18" s="60" t="n">
        <f aca="false">ROUND(S18*T18,0)</f>
        <v>927</v>
      </c>
      <c r="E18" s="60" t="n">
        <f aca="false">ROUND(S18,0)-D18</f>
        <v>1181</v>
      </c>
      <c r="F18" s="60" t="n">
        <f aca="false">IF(COUNTA(D18:E18)=0,"",SUM(D18:E18))</f>
        <v>2108</v>
      </c>
      <c r="G18" s="40" t="n">
        <f aca="false">IF(OR(F18="",F18=0),"",D18/F18)</f>
        <v>0.439753320683112</v>
      </c>
      <c r="H18" s="40" t="n">
        <f aca="false">IF(OR(F18="",F18=0),"",E18/F18)</f>
        <v>0.560246679316888</v>
      </c>
      <c r="I18" s="32" t="s">
        <v>165</v>
      </c>
      <c r="J18" s="36" t="n">
        <v>1.97364055856013</v>
      </c>
      <c r="K18" s="36" t="n">
        <f aca="false">$K$8</f>
        <v>2.11861454545127</v>
      </c>
      <c r="L18" s="36" t="n">
        <f aca="false">SQRT(J18^2+K18^2)</f>
        <v>2.89547658367171</v>
      </c>
      <c r="M18" s="40" t="n">
        <f aca="false">IF(G18="","",MAX(0,G18-1.96*L18/100))</f>
        <v>0.383001979643146</v>
      </c>
      <c r="N18" s="40" t="n">
        <f aca="false">IF(G18="","",MIN(1,G18+1.96*L18/100))</f>
        <v>0.496504661723078</v>
      </c>
      <c r="O18" s="60" t="n">
        <f aca="false">ROUND(S18*W18,0)</f>
        <v>115</v>
      </c>
      <c r="P18" s="60" t="n">
        <f aca="false">IF(F18="","",ROUND(SQRT((F18*L18/100)^2+(G18*O18)^2),0))</f>
        <v>79</v>
      </c>
      <c r="R18" s="61" t="n">
        <v>1.91145733092838</v>
      </c>
      <c r="S18" s="62" t="n">
        <f aca="false">U18*V18*$F$5</f>
        <v>2107.72563176895</v>
      </c>
      <c r="T18" s="63" t="n">
        <f aca="false">MAX(0,MIN(1,R18/100+$D$5))</f>
        <v>0.439822893403233</v>
      </c>
      <c r="U18" s="63" t="n">
        <v>0.642599277978339</v>
      </c>
      <c r="V18" s="62" t="n">
        <v>3280</v>
      </c>
      <c r="W18" s="63" t="n">
        <v>0.0547268472736556</v>
      </c>
      <c r="X18" s="64" t="s">
        <v>171</v>
      </c>
      <c r="Y18" s="64" t="s">
        <v>167</v>
      </c>
    </row>
    <row r="19" customFormat="false" ht="15" hidden="false" customHeight="false" outlineLevel="0" collapsed="false">
      <c r="A19" s="32" t="s">
        <v>162</v>
      </c>
      <c r="B19" s="32" t="s">
        <v>175</v>
      </c>
      <c r="C19" s="32" t="s">
        <v>164</v>
      </c>
      <c r="D19" s="60" t="n">
        <f aca="false">ROUND(S19*T19,0)</f>
        <v>272</v>
      </c>
      <c r="E19" s="60" t="n">
        <f aca="false">ROUND(S19,0)-D19</f>
        <v>533</v>
      </c>
      <c r="F19" s="60" t="n">
        <f aca="false">IF(COUNTA(D19:E19)=0,"",SUM(D19:E19))</f>
        <v>805</v>
      </c>
      <c r="G19" s="40" t="n">
        <f aca="false">IF(OR(F19="",F19=0),"",D19/F19)</f>
        <v>0.337888198757764</v>
      </c>
      <c r="H19" s="40" t="n">
        <f aca="false">IF(OR(F19="",F19=0),"",E19/F19)</f>
        <v>0.662111801242236</v>
      </c>
      <c r="I19" s="32" t="s">
        <v>165</v>
      </c>
      <c r="J19" s="36" t="n">
        <v>3.66627757766473</v>
      </c>
      <c r="K19" s="36" t="n">
        <f aca="false">$K$8</f>
        <v>2.11861454545127</v>
      </c>
      <c r="L19" s="36" t="n">
        <f aca="false">SQRT(J19^2+K19^2)</f>
        <v>4.23439710805267</v>
      </c>
      <c r="M19" s="40" t="n">
        <f aca="false">IF(G19="","",MAX(0,G19-1.96*L19/100))</f>
        <v>0.254894015439932</v>
      </c>
      <c r="N19" s="40" t="n">
        <f aca="false">IF(G19="","",MIN(1,G19+1.96*L19/100))</f>
        <v>0.420882382075596</v>
      </c>
      <c r="O19" s="60" t="n">
        <f aca="false">ROUND(S19*W19,0)</f>
        <v>59</v>
      </c>
      <c r="P19" s="60" t="n">
        <f aca="false">IF(F19="","",ROUND(SQRT((F19*L19/100)^2+(G19*O19)^2),0))</f>
        <v>39</v>
      </c>
      <c r="R19" s="61" t="n">
        <v>-8.23459752879801</v>
      </c>
      <c r="S19" s="62" t="n">
        <f aca="false">U19*V19*$F$5</f>
        <v>804.850331125828</v>
      </c>
      <c r="T19" s="63" t="n">
        <f aca="false">MAX(0,MIN(1,R19/100+$D$5))</f>
        <v>0.338362344805969</v>
      </c>
      <c r="U19" s="63" t="n">
        <v>0.554304635761589</v>
      </c>
      <c r="V19" s="62" t="n">
        <v>1452</v>
      </c>
      <c r="W19" s="63" t="n">
        <v>0.0732058935918866</v>
      </c>
      <c r="X19" s="64" t="s">
        <v>166</v>
      </c>
      <c r="Y19" s="64" t="s">
        <v>167</v>
      </c>
    </row>
    <row r="20" customFormat="false" ht="15" hidden="false" customHeight="false" outlineLevel="0" collapsed="false">
      <c r="A20" s="32" t="s">
        <v>162</v>
      </c>
      <c r="B20" s="32" t="s">
        <v>176</v>
      </c>
      <c r="C20" s="32" t="s">
        <v>164</v>
      </c>
      <c r="D20" s="60" t="n">
        <f aca="false">ROUND(S20*T20,0)</f>
        <v>444</v>
      </c>
      <c r="E20" s="60" t="n">
        <f aca="false">ROUND(S20,0)-D20</f>
        <v>639</v>
      </c>
      <c r="F20" s="60" t="n">
        <f aca="false">IF(COUNTA(D20:E20)=0,"",SUM(D20:E20))</f>
        <v>1083</v>
      </c>
      <c r="G20" s="40" t="n">
        <f aca="false">IF(OR(F20="",F20=0),"",D20/F20)</f>
        <v>0.409972299168975</v>
      </c>
      <c r="H20" s="40" t="n">
        <f aca="false">IF(OR(F20="",F20=0),"",E20/F20)</f>
        <v>0.590027700831025</v>
      </c>
      <c r="I20" s="32" t="s">
        <v>165</v>
      </c>
      <c r="J20" s="36" t="n">
        <v>3.66627757766473</v>
      </c>
      <c r="K20" s="36" t="n">
        <f aca="false">$K$8</f>
        <v>2.11861454545127</v>
      </c>
      <c r="L20" s="36" t="n">
        <f aca="false">SQRT(J20^2+K20^2)</f>
        <v>4.23439710805267</v>
      </c>
      <c r="M20" s="40" t="n">
        <f aca="false">IF(G20="","",MAX(0,G20-1.96*L20/100))</f>
        <v>0.326978115851143</v>
      </c>
      <c r="N20" s="40" t="n">
        <f aca="false">IF(G20="","",MIN(1,G20+1.96*L20/100))</f>
        <v>0.492966482486807</v>
      </c>
      <c r="O20" s="60" t="n">
        <f aca="false">ROUND(S20*W20,0)</f>
        <v>79</v>
      </c>
      <c r="P20" s="60" t="n">
        <f aca="false">IF(F20="","",ROUND(SQRT((F20*L20/100)^2+(G20*O20)^2),0))</f>
        <v>56</v>
      </c>
      <c r="R20" s="61" t="n">
        <v>-1.05487461280398</v>
      </c>
      <c r="S20" s="62" t="n">
        <f aca="false">U20*V20*$F$5</f>
        <v>1083.4829443447</v>
      </c>
      <c r="T20" s="63" t="n">
        <f aca="false">MAX(0,MIN(1,R20/100+$D$5))</f>
        <v>0.410159573965909</v>
      </c>
      <c r="U20" s="63" t="n">
        <v>0.448833034111311</v>
      </c>
      <c r="V20" s="62" t="n">
        <v>2414</v>
      </c>
      <c r="W20" s="63" t="n">
        <v>0.0732058935918866</v>
      </c>
      <c r="X20" s="64" t="s">
        <v>166</v>
      </c>
      <c r="Y20" s="64" t="s">
        <v>167</v>
      </c>
    </row>
    <row r="21" customFormat="false" ht="15" hidden="false" customHeight="false" outlineLevel="0" collapsed="false">
      <c r="A21" s="32" t="s">
        <v>162</v>
      </c>
      <c r="B21" s="32" t="s">
        <v>177</v>
      </c>
      <c r="C21" s="32" t="s">
        <v>164</v>
      </c>
      <c r="D21" s="60" t="n">
        <f aca="false">ROUND(S21*T21,0)</f>
        <v>34</v>
      </c>
      <c r="E21" s="60" t="n">
        <f aca="false">ROUND(S21,0)-D21</f>
        <v>84</v>
      </c>
      <c r="F21" s="60" t="n">
        <f aca="false">IF(COUNTA(D21:E21)=0,"",SUM(D21:E21))</f>
        <v>118</v>
      </c>
      <c r="G21" s="40" t="n">
        <f aca="false">IF(OR(F21="",F21=0),"",D21/F21)</f>
        <v>0.288135593220339</v>
      </c>
      <c r="H21" s="40" t="n">
        <f aca="false">IF(OR(F21="",F21=0),"",E21/F21)</f>
        <v>0.711864406779661</v>
      </c>
      <c r="I21" s="32" t="s">
        <v>165</v>
      </c>
      <c r="J21" s="36" t="n">
        <v>3.66627757766473</v>
      </c>
      <c r="K21" s="36" t="n">
        <f aca="false">$K$8</f>
        <v>2.11861454545127</v>
      </c>
      <c r="L21" s="36" t="n">
        <f aca="false">SQRT(J21^2+K21^2)</f>
        <v>4.23439710805267</v>
      </c>
      <c r="M21" s="40" t="n">
        <f aca="false">IF(G21="","",MAX(0,G21-1.96*L21/100))</f>
        <v>0.205141409902507</v>
      </c>
      <c r="N21" s="40" t="n">
        <f aca="false">IF(G21="","",MIN(1,G21+1.96*L21/100))</f>
        <v>0.371129776538171</v>
      </c>
      <c r="O21" s="60" t="n">
        <f aca="false">ROUND(S21*W21,0)</f>
        <v>9</v>
      </c>
      <c r="P21" s="60" t="n">
        <f aca="false">IF(F21="","",ROUND(SQRT((F21*L21/100)^2+(G21*O21)^2),0))</f>
        <v>6</v>
      </c>
      <c r="R21" s="61" t="n">
        <v>-13.2397694854386</v>
      </c>
      <c r="S21" s="62" t="n">
        <f aca="false">U21*V21*$F$5</f>
        <v>118.285714285714</v>
      </c>
      <c r="T21" s="63" t="n">
        <f aca="false">MAX(0,MIN(1,R21/100+$D$5))</f>
        <v>0.288310625239563</v>
      </c>
      <c r="U21" s="63" t="n">
        <v>0.657142857142857</v>
      </c>
      <c r="V21" s="62" t="n">
        <v>180</v>
      </c>
      <c r="W21" s="63" t="n">
        <v>0.0732058935918866</v>
      </c>
      <c r="X21" s="64" t="s">
        <v>166</v>
      </c>
      <c r="Y21" s="64" t="s">
        <v>167</v>
      </c>
    </row>
    <row r="22" customFormat="false" ht="15" hidden="false" customHeight="false" outlineLevel="0" collapsed="false">
      <c r="A22" s="32" t="s">
        <v>162</v>
      </c>
      <c r="B22" s="32" t="s">
        <v>178</v>
      </c>
      <c r="C22" s="32" t="s">
        <v>164</v>
      </c>
      <c r="D22" s="60" t="n">
        <f aca="false">ROUND(S22*T22,0)</f>
        <v>49</v>
      </c>
      <c r="E22" s="60" t="n">
        <f aca="false">ROUND(S22,0)-D22</f>
        <v>188</v>
      </c>
      <c r="F22" s="60" t="n">
        <f aca="false">IF(COUNTA(D22:E22)=0,"",SUM(D22:E22))</f>
        <v>237</v>
      </c>
      <c r="G22" s="40" t="n">
        <f aca="false">IF(OR(F22="",F22=0),"",D22/F22)</f>
        <v>0.206751054852321</v>
      </c>
      <c r="H22" s="40" t="n">
        <f aca="false">IF(OR(F22="",F22=0),"",E22/F22)</f>
        <v>0.793248945147679</v>
      </c>
      <c r="I22" s="32" t="s">
        <v>165</v>
      </c>
      <c r="J22" s="36" t="n">
        <v>3.66627757766473</v>
      </c>
      <c r="K22" s="36" t="n">
        <f aca="false">$K$8</f>
        <v>2.11861454545127</v>
      </c>
      <c r="L22" s="36" t="n">
        <f aca="false">SQRT(J22^2+K22^2)</f>
        <v>4.23439710805267</v>
      </c>
      <c r="M22" s="40" t="n">
        <f aca="false">IF(G22="","",MAX(0,G22-1.96*L22/100))</f>
        <v>0.123756871534488</v>
      </c>
      <c r="N22" s="40" t="n">
        <f aca="false">IF(G22="","",MIN(1,G22+1.96*L22/100))</f>
        <v>0.289745238170153</v>
      </c>
      <c r="O22" s="60" t="n">
        <f aca="false">ROUND(S22*W22,0)</f>
        <v>17</v>
      </c>
      <c r="P22" s="60" t="n">
        <f aca="false">IF(F22="","",ROUND(SQRT((F22*L22/100)^2+(G22*O22)^2),0))</f>
        <v>11</v>
      </c>
      <c r="R22" s="61" t="n">
        <v>-21.202502872143</v>
      </c>
      <c r="S22" s="62" t="n">
        <f aca="false">U22*V22*$F$5</f>
        <v>236.844827586207</v>
      </c>
      <c r="T22" s="63" t="n">
        <f aca="false">MAX(0,MIN(1,R22/100+$D$5))</f>
        <v>0.208683291372519</v>
      </c>
      <c r="U22" s="63" t="n">
        <v>0.692528735632184</v>
      </c>
      <c r="V22" s="62" t="n">
        <v>342</v>
      </c>
      <c r="W22" s="63" t="n">
        <v>0.0732058935918866</v>
      </c>
      <c r="X22" s="64" t="s">
        <v>166</v>
      </c>
      <c r="Y22" s="64" t="s">
        <v>167</v>
      </c>
    </row>
    <row r="23" customFormat="false" ht="15" hidden="false" customHeight="false" outlineLevel="0" collapsed="false">
      <c r="A23" s="32" t="s">
        <v>162</v>
      </c>
      <c r="B23" s="32" t="s">
        <v>179</v>
      </c>
      <c r="C23" s="32" t="s">
        <v>164</v>
      </c>
      <c r="D23" s="60" t="n">
        <f aca="false">ROUND(S23*T23,0)</f>
        <v>699</v>
      </c>
      <c r="E23" s="60" t="n">
        <f aca="false">ROUND(S23,0)-D23</f>
        <v>1055</v>
      </c>
      <c r="F23" s="60" t="n">
        <f aca="false">IF(COUNTA(D23:E23)=0,"",SUM(D23:E23))</f>
        <v>1754</v>
      </c>
      <c r="G23" s="40" t="n">
        <f aca="false">IF(OR(F23="",F23=0),"",D23/F23)</f>
        <v>0.398517673888255</v>
      </c>
      <c r="H23" s="40" t="n">
        <f aca="false">IF(OR(F23="",F23=0),"",E23/F23)</f>
        <v>0.601482326111745</v>
      </c>
      <c r="I23" s="32" t="s">
        <v>165</v>
      </c>
      <c r="J23" s="36" t="n">
        <v>1.97364055856013</v>
      </c>
      <c r="K23" s="36" t="n">
        <f aca="false">$K$8</f>
        <v>2.11861454545127</v>
      </c>
      <c r="L23" s="36" t="n">
        <f aca="false">SQRT(J23^2+K23^2)</f>
        <v>2.89547658367171</v>
      </c>
      <c r="M23" s="40" t="n">
        <f aca="false">IF(G23="","",MAX(0,G23-1.96*L23/100))</f>
        <v>0.34176633284829</v>
      </c>
      <c r="N23" s="40" t="n">
        <f aca="false">IF(G23="","",MIN(1,G23+1.96*L23/100))</f>
        <v>0.455269014928221</v>
      </c>
      <c r="O23" s="60" t="n">
        <f aca="false">ROUND(S23*W23,0)</f>
        <v>96</v>
      </c>
      <c r="P23" s="60" t="n">
        <f aca="false">IF(F23="","",ROUND(SQRT((F23*L23/100)^2+(G23*O23)^2),0))</f>
        <v>64</v>
      </c>
      <c r="R23" s="61" t="n">
        <v>-2.22822737358059</v>
      </c>
      <c r="S23" s="62" t="n">
        <f aca="false">U23*V23*$F$5</f>
        <v>1753.74077578051</v>
      </c>
      <c r="T23" s="63" t="n">
        <f aca="false">MAX(0,MIN(1,R23/100+$D$5))</f>
        <v>0.398426046358143</v>
      </c>
      <c r="U23" s="63" t="n">
        <v>0.525701671397036</v>
      </c>
      <c r="V23" s="62" t="n">
        <v>3336</v>
      </c>
      <c r="W23" s="63" t="n">
        <v>0.0547268472736556</v>
      </c>
      <c r="X23" s="64" t="s">
        <v>171</v>
      </c>
      <c r="Y23" s="64" t="s">
        <v>167</v>
      </c>
    </row>
    <row r="24" customFormat="false" ht="15" hidden="false" customHeight="false" outlineLevel="0" collapsed="false">
      <c r="A24" s="32" t="s">
        <v>162</v>
      </c>
      <c r="B24" s="32" t="s">
        <v>180</v>
      </c>
      <c r="C24" s="32" t="s">
        <v>164</v>
      </c>
      <c r="D24" s="60" t="n">
        <f aca="false">ROUND(S24*T24,0)</f>
        <v>416</v>
      </c>
      <c r="E24" s="60" t="n">
        <f aca="false">ROUND(S24,0)-D24</f>
        <v>985</v>
      </c>
      <c r="F24" s="60" t="n">
        <f aca="false">IF(COUNTA(D24:E24)=0,"",SUM(D24:E24))</f>
        <v>1401</v>
      </c>
      <c r="G24" s="40" t="n">
        <f aca="false">IF(OR(F24="",F24=0),"",D24/F24)</f>
        <v>0.296930763740186</v>
      </c>
      <c r="H24" s="40" t="n">
        <f aca="false">IF(OR(F24="",F24=0),"",E24/F24)</f>
        <v>0.703069236259814</v>
      </c>
      <c r="I24" s="32" t="s">
        <v>165</v>
      </c>
      <c r="J24" s="36" t="n">
        <v>1.97364055856013</v>
      </c>
      <c r="K24" s="36" t="n">
        <f aca="false">$K$8</f>
        <v>2.11861454545127</v>
      </c>
      <c r="L24" s="36" t="n">
        <f aca="false">SQRT(J24^2+K24^2)</f>
        <v>2.89547658367171</v>
      </c>
      <c r="M24" s="40" t="n">
        <f aca="false">IF(G24="","",MAX(0,G24-1.96*L24/100))</f>
        <v>0.24017942270022</v>
      </c>
      <c r="N24" s="40" t="n">
        <f aca="false">IF(G24="","",MIN(1,G24+1.96*L24/100))</f>
        <v>0.353682104780151</v>
      </c>
      <c r="O24" s="60" t="n">
        <f aca="false">ROUND(S24*W24,0)</f>
        <v>77</v>
      </c>
      <c r="P24" s="60" t="n">
        <f aca="false">IF(F24="","",ROUND(SQRT((F24*L24/100)^2+(G24*O24)^2),0))</f>
        <v>47</v>
      </c>
      <c r="R24" s="61" t="n">
        <v>-12.3688813636273</v>
      </c>
      <c r="S24" s="62" t="n">
        <f aca="false">U24*V24*$F$5</f>
        <v>1401.11772917636</v>
      </c>
      <c r="T24" s="63" t="n">
        <f aca="false">MAX(0,MIN(1,R24/100+$D$5))</f>
        <v>0.297019506457676</v>
      </c>
      <c r="U24" s="63" t="n">
        <v>0.626337831549558</v>
      </c>
      <c r="V24" s="62" t="n">
        <v>2237</v>
      </c>
      <c r="W24" s="63" t="n">
        <v>0.0547268472736556</v>
      </c>
      <c r="X24" s="64" t="s">
        <v>171</v>
      </c>
      <c r="Y24" s="64" t="s">
        <v>167</v>
      </c>
    </row>
    <row r="25" customFormat="false" ht="15" hidden="false" customHeight="false" outlineLevel="0" collapsed="false">
      <c r="A25" s="32" t="s">
        <v>162</v>
      </c>
      <c r="B25" s="32" t="s">
        <v>181</v>
      </c>
      <c r="C25" s="32" t="s">
        <v>164</v>
      </c>
      <c r="D25" s="60" t="n">
        <f aca="false">ROUND(S25*T25,0)</f>
        <v>560</v>
      </c>
      <c r="E25" s="60" t="n">
        <f aca="false">ROUND(S25,0)-D25</f>
        <v>1318</v>
      </c>
      <c r="F25" s="60" t="n">
        <f aca="false">IF(COUNTA(D25:E25)=0,"",SUM(D25:E25))</f>
        <v>1878</v>
      </c>
      <c r="G25" s="40" t="n">
        <f aca="false">IF(OR(F25="",F25=0),"",D25/F25)</f>
        <v>0.298189563365282</v>
      </c>
      <c r="H25" s="40" t="n">
        <f aca="false">IF(OR(F25="",F25=0),"",E25/F25)</f>
        <v>0.701810436634718</v>
      </c>
      <c r="I25" s="32" t="s">
        <v>165</v>
      </c>
      <c r="J25" s="36" t="n">
        <v>1.97364055856013</v>
      </c>
      <c r="K25" s="36" t="n">
        <f aca="false">$K$8</f>
        <v>2.11861454545127</v>
      </c>
      <c r="L25" s="36" t="n">
        <f aca="false">SQRT(J25^2+K25^2)</f>
        <v>2.89547658367171</v>
      </c>
      <c r="M25" s="40" t="n">
        <f aca="false">IF(G25="","",MAX(0,G25-1.96*L25/100))</f>
        <v>0.241438222325317</v>
      </c>
      <c r="N25" s="40" t="n">
        <f aca="false">IF(G25="","",MIN(1,G25+1.96*L25/100))</f>
        <v>0.354940904405248</v>
      </c>
      <c r="O25" s="60" t="n">
        <f aca="false">ROUND(S25*W25,0)</f>
        <v>103</v>
      </c>
      <c r="P25" s="60" t="n">
        <f aca="false">IF(F25="","",ROUND(SQRT((F25*L25/100)^2+(G25*O25)^2),0))</f>
        <v>62</v>
      </c>
      <c r="R25" s="61" t="n">
        <v>-12.2840356642787</v>
      </c>
      <c r="S25" s="62" t="n">
        <f aca="false">U25*V25*$F$5</f>
        <v>1878.41828929068</v>
      </c>
      <c r="T25" s="63" t="n">
        <f aca="false">MAX(0,MIN(1,R25/100+$D$5))</f>
        <v>0.297867963451162</v>
      </c>
      <c r="U25" s="63" t="n">
        <v>0.616481223922114</v>
      </c>
      <c r="V25" s="62" t="n">
        <v>3047</v>
      </c>
      <c r="W25" s="63" t="n">
        <v>0.0547268472736556</v>
      </c>
      <c r="X25" s="64" t="s">
        <v>171</v>
      </c>
      <c r="Y25" s="64" t="s">
        <v>167</v>
      </c>
    </row>
    <row r="26" customFormat="false" ht="15" hidden="false" customHeight="false" outlineLevel="0" collapsed="false">
      <c r="A26" s="32" t="s">
        <v>162</v>
      </c>
      <c r="B26" s="32" t="s">
        <v>182</v>
      </c>
      <c r="C26" s="32" t="s">
        <v>164</v>
      </c>
      <c r="D26" s="60" t="n">
        <f aca="false">ROUND(S26*T26,0)</f>
        <v>488</v>
      </c>
      <c r="E26" s="60" t="n">
        <f aca="false">ROUND(S26,0)-D26</f>
        <v>726</v>
      </c>
      <c r="F26" s="60" t="n">
        <f aca="false">IF(COUNTA(D26:E26)=0,"",SUM(D26:E26))</f>
        <v>1214</v>
      </c>
      <c r="G26" s="40" t="n">
        <f aca="false">IF(OR(F26="",F26=0),"",D26/F26)</f>
        <v>0.401976935749588</v>
      </c>
      <c r="H26" s="40" t="n">
        <f aca="false">IF(OR(F26="",F26=0),"",E26/F26)</f>
        <v>0.598023064250412</v>
      </c>
      <c r="I26" s="32" t="s">
        <v>165</v>
      </c>
      <c r="J26" s="36" t="n">
        <v>3.66627757766473</v>
      </c>
      <c r="K26" s="36" t="n">
        <f aca="false">$K$8</f>
        <v>2.11861454545127</v>
      </c>
      <c r="L26" s="36" t="n">
        <f aca="false">SQRT(J26^2+K26^2)</f>
        <v>4.23439710805267</v>
      </c>
      <c r="M26" s="40" t="n">
        <f aca="false">IF(G26="","",MAX(0,G26-1.96*L26/100))</f>
        <v>0.318982752431756</v>
      </c>
      <c r="N26" s="40" t="n">
        <f aca="false">IF(G26="","",MIN(1,G26+1.96*L26/100))</f>
        <v>0.48497111906742</v>
      </c>
      <c r="O26" s="60" t="n">
        <f aca="false">ROUND(S26*W26,0)</f>
        <v>89</v>
      </c>
      <c r="P26" s="60" t="n">
        <f aca="false">IF(F26="","",ROUND(SQRT((F26*L26/100)^2+(G26*O26)^2),0))</f>
        <v>63</v>
      </c>
      <c r="R26" s="61" t="n">
        <v>-1.87540395171882</v>
      </c>
      <c r="S26" s="62" t="n">
        <f aca="false">U26*V26*$F$5</f>
        <v>1214.17865765331</v>
      </c>
      <c r="T26" s="63" t="n">
        <f aca="false">MAX(0,MIN(1,R26/100+$D$5))</f>
        <v>0.401954280576761</v>
      </c>
      <c r="U26" s="63" t="n">
        <v>0.576533075808788</v>
      </c>
      <c r="V26" s="62" t="n">
        <v>2106</v>
      </c>
      <c r="W26" s="63" t="n">
        <v>0.0732058935918866</v>
      </c>
      <c r="X26" s="64" t="s">
        <v>166</v>
      </c>
      <c r="Y26" s="64" t="s">
        <v>167</v>
      </c>
    </row>
    <row r="27" customFormat="false" ht="15" hidden="false" customHeight="false" outlineLevel="0" collapsed="false">
      <c r="A27" s="32" t="s">
        <v>162</v>
      </c>
      <c r="B27" s="32" t="s">
        <v>183</v>
      </c>
      <c r="C27" s="32" t="s">
        <v>164</v>
      </c>
      <c r="D27" s="60" t="n">
        <f aca="false">ROUND(S27*T27,0)</f>
        <v>108</v>
      </c>
      <c r="E27" s="60" t="n">
        <f aca="false">ROUND(S27,0)-D27</f>
        <v>422</v>
      </c>
      <c r="F27" s="60" t="n">
        <f aca="false">IF(COUNTA(D27:E27)=0,"",SUM(D27:E27))</f>
        <v>530</v>
      </c>
      <c r="G27" s="40" t="n">
        <f aca="false">IF(OR(F27="",F27=0),"",D27/F27)</f>
        <v>0.20377358490566</v>
      </c>
      <c r="H27" s="40" t="n">
        <f aca="false">IF(OR(F27="",F27=0),"",E27/F27)</f>
        <v>0.79622641509434</v>
      </c>
      <c r="I27" s="32" t="s">
        <v>165</v>
      </c>
      <c r="J27" s="36" t="n">
        <v>3.66627757766473</v>
      </c>
      <c r="K27" s="36" t="n">
        <f aca="false">$K$8</f>
        <v>2.11861454545127</v>
      </c>
      <c r="L27" s="36" t="n">
        <f aca="false">SQRT(J27^2+K27^2)</f>
        <v>4.23439710805267</v>
      </c>
      <c r="M27" s="40" t="n">
        <f aca="false">IF(G27="","",MAX(0,G27-1.96*L27/100))</f>
        <v>0.120779401587828</v>
      </c>
      <c r="N27" s="40" t="n">
        <f aca="false">IF(G27="","",MIN(1,G27+1.96*L27/100))</f>
        <v>0.286767768223493</v>
      </c>
      <c r="O27" s="60" t="n">
        <f aca="false">ROUND(S27*W27,0)</f>
        <v>39</v>
      </c>
      <c r="P27" s="60" t="n">
        <f aca="false">IF(F27="","",ROUND(SQRT((F27*L27/100)^2+(G27*O27)^2),0))</f>
        <v>24</v>
      </c>
      <c r="R27" s="61" t="n">
        <v>-21.759362105027</v>
      </c>
      <c r="S27" s="62" t="n">
        <f aca="false">U27*V27*$F$5</f>
        <v>530.117647058824</v>
      </c>
      <c r="T27" s="63" t="n">
        <f aca="false">MAX(0,MIN(1,R27/100+$D$5))</f>
        <v>0.203114699043679</v>
      </c>
      <c r="U27" s="63" t="n">
        <v>0.705882352941177</v>
      </c>
      <c r="V27" s="62" t="n">
        <v>751</v>
      </c>
      <c r="W27" s="63" t="n">
        <v>0.0732058935918866</v>
      </c>
      <c r="X27" s="64" t="s">
        <v>166</v>
      </c>
      <c r="Y27" s="64" t="s">
        <v>167</v>
      </c>
    </row>
    <row r="28" customFormat="false" ht="15" hidden="false" customHeight="false" outlineLevel="0" collapsed="false">
      <c r="A28" s="32" t="s">
        <v>162</v>
      </c>
      <c r="B28" s="32" t="s">
        <v>184</v>
      </c>
      <c r="C28" s="32" t="s">
        <v>164</v>
      </c>
      <c r="D28" s="60" t="n">
        <f aca="false">ROUND(S28*T28,0)</f>
        <v>731</v>
      </c>
      <c r="E28" s="60" t="n">
        <f aca="false">ROUND(S28,0)-D28</f>
        <v>1260</v>
      </c>
      <c r="F28" s="60" t="n">
        <f aca="false">IF(COUNTA(D28:E28)=0,"",SUM(D28:E28))</f>
        <v>1991</v>
      </c>
      <c r="G28" s="40" t="n">
        <f aca="false">IF(OR(F28="",F28=0),"",D28/F28)</f>
        <v>0.367152184831743</v>
      </c>
      <c r="H28" s="40" t="n">
        <f aca="false">IF(OR(F28="",F28=0),"",E28/F28)</f>
        <v>0.632847815168257</v>
      </c>
      <c r="I28" s="32" t="s">
        <v>165</v>
      </c>
      <c r="J28" s="36" t="n">
        <v>1.97364055856013</v>
      </c>
      <c r="K28" s="36" t="n">
        <f aca="false">$K$8</f>
        <v>2.11861454545127</v>
      </c>
      <c r="L28" s="36" t="n">
        <f aca="false">SQRT(J28^2+K28^2)</f>
        <v>2.89547658367171</v>
      </c>
      <c r="M28" s="40" t="n">
        <f aca="false">IF(G28="","",MAX(0,G28-1.96*L28/100))</f>
        <v>0.310400843791777</v>
      </c>
      <c r="N28" s="40" t="n">
        <f aca="false">IF(G28="","",MIN(1,G28+1.96*L28/100))</f>
        <v>0.423903525871708</v>
      </c>
      <c r="O28" s="60" t="n">
        <f aca="false">ROUND(S28*W28,0)</f>
        <v>109</v>
      </c>
      <c r="P28" s="60" t="n">
        <f aca="false">IF(F28="","",ROUND(SQRT((F28*L28/100)^2+(G28*O28)^2),0))</f>
        <v>70</v>
      </c>
      <c r="R28" s="61" t="n">
        <v>-5.34494857251777</v>
      </c>
      <c r="S28" s="62" t="n">
        <f aca="false">U28*V28*$F$5</f>
        <v>1991.47057118005</v>
      </c>
      <c r="T28" s="63" t="n">
        <f aca="false">MAX(0,MIN(1,R28/100+$D$5))</f>
        <v>0.367258834368771</v>
      </c>
      <c r="U28" s="63" t="n">
        <v>0.553493766309075</v>
      </c>
      <c r="V28" s="62" t="n">
        <v>3598</v>
      </c>
      <c r="W28" s="63" t="n">
        <v>0.0547268472736556</v>
      </c>
      <c r="X28" s="64" t="s">
        <v>171</v>
      </c>
      <c r="Y28" s="64" t="s">
        <v>167</v>
      </c>
    </row>
    <row r="29" customFormat="false" ht="15" hidden="false" customHeight="false" outlineLevel="0" collapsed="false">
      <c r="A29" s="32" t="s">
        <v>162</v>
      </c>
      <c r="B29" s="32" t="s">
        <v>185</v>
      </c>
      <c r="C29" s="32" t="s">
        <v>164</v>
      </c>
      <c r="D29" s="60" t="n">
        <f aca="false">ROUND(S29*T29,0)</f>
        <v>56</v>
      </c>
      <c r="E29" s="60" t="n">
        <f aca="false">ROUND(S29,0)-D29</f>
        <v>129</v>
      </c>
      <c r="F29" s="60" t="n">
        <f aca="false">IF(COUNTA(D29:E29)=0,"",SUM(D29:E29))</f>
        <v>185</v>
      </c>
      <c r="G29" s="40" t="n">
        <f aca="false">IF(OR(F29="",F29=0),"",D29/F29)</f>
        <v>0.302702702702703</v>
      </c>
      <c r="H29" s="40" t="n">
        <f aca="false">IF(OR(F29="",F29=0),"",E29/F29)</f>
        <v>0.697297297297297</v>
      </c>
      <c r="I29" s="32" t="s">
        <v>165</v>
      </c>
      <c r="J29" s="36" t="n">
        <v>3.66627757766473</v>
      </c>
      <c r="K29" s="36" t="n">
        <f aca="false">$K$8</f>
        <v>2.11861454545127</v>
      </c>
      <c r="L29" s="36" t="n">
        <f aca="false">SQRT(J29^2+K29^2)</f>
        <v>4.23439710805267</v>
      </c>
      <c r="M29" s="40" t="n">
        <f aca="false">IF(G29="","",MAX(0,G29-1.96*L29/100))</f>
        <v>0.21970851938487</v>
      </c>
      <c r="N29" s="40" t="n">
        <f aca="false">IF(G29="","",MIN(1,G29+1.96*L29/100))</f>
        <v>0.385696886020535</v>
      </c>
      <c r="O29" s="60" t="n">
        <f aca="false">ROUND(S29*W29,0)</f>
        <v>14</v>
      </c>
      <c r="P29" s="60" t="n">
        <f aca="false">IF(F29="","",ROUND(SQRT((F29*L29/100)^2+(G29*O29)^2),0))</f>
        <v>9</v>
      </c>
      <c r="R29" s="61" t="n">
        <v>-11.8436832712965</v>
      </c>
      <c r="S29" s="62" t="n">
        <f aca="false">U29*V29*$F$5</f>
        <v>184.547540983607</v>
      </c>
      <c r="T29" s="63" t="n">
        <f aca="false">MAX(0,MIN(1,R29/100+$D$5))</f>
        <v>0.302271487380984</v>
      </c>
      <c r="U29" s="63" t="n">
        <v>0.613114754098361</v>
      </c>
      <c r="V29" s="62" t="n">
        <v>301</v>
      </c>
      <c r="W29" s="63" t="n">
        <v>0.0732058935918866</v>
      </c>
      <c r="X29" s="64" t="s">
        <v>166</v>
      </c>
      <c r="Y29" s="64" t="s">
        <v>167</v>
      </c>
    </row>
    <row r="30" customFormat="false" ht="15" hidden="false" customHeight="false" outlineLevel="0" collapsed="false">
      <c r="A30" s="32" t="s">
        <v>162</v>
      </c>
      <c r="B30" s="32" t="s">
        <v>186</v>
      </c>
      <c r="C30" s="32" t="s">
        <v>164</v>
      </c>
      <c r="D30" s="60" t="n">
        <f aca="false">ROUND(S30*T30,0)</f>
        <v>1614</v>
      </c>
      <c r="E30" s="60" t="n">
        <f aca="false">ROUND(S30,0)-D30</f>
        <v>2858</v>
      </c>
      <c r="F30" s="60" t="n">
        <f aca="false">IF(COUNTA(D30:E30)=0,"",SUM(D30:E30))</f>
        <v>4472</v>
      </c>
      <c r="G30" s="40" t="n">
        <f aca="false">IF(OR(F30="",F30=0),"",D30/F30)</f>
        <v>0.360912343470483</v>
      </c>
      <c r="H30" s="40" t="n">
        <f aca="false">IF(OR(F30="",F30=0),"",E30/F30)</f>
        <v>0.639087656529517</v>
      </c>
      <c r="I30" s="32" t="s">
        <v>165</v>
      </c>
      <c r="J30" s="36" t="n">
        <v>2.59370925945702</v>
      </c>
      <c r="K30" s="36" t="n">
        <f aca="false">$K$8</f>
        <v>2.11861454545127</v>
      </c>
      <c r="L30" s="36" t="n">
        <f aca="false">SQRT(J30^2+K30^2)</f>
        <v>3.349008109096</v>
      </c>
      <c r="M30" s="40" t="n">
        <f aca="false">IF(G30="","",MAX(0,G30-1.96*L30/100))</f>
        <v>0.295271784532201</v>
      </c>
      <c r="N30" s="40" t="n">
        <f aca="false">IF(G30="","",MIN(1,G30+1.96*L30/100))</f>
        <v>0.426552902408765</v>
      </c>
      <c r="O30" s="60" t="n">
        <f aca="false">ROUND(S30*W30,0)</f>
        <v>217</v>
      </c>
      <c r="P30" s="60" t="n">
        <f aca="false">IF(F30="","",ROUND(SQRT((F30*L30/100)^2+(G30*O30)^2),0))</f>
        <v>169</v>
      </c>
      <c r="R30" s="61" t="n">
        <v>-5.97966292418185</v>
      </c>
      <c r="S30" s="62" t="n">
        <f aca="false">U30*V30*$F$5</f>
        <v>4472.46592381446</v>
      </c>
      <c r="T30" s="63" t="n">
        <f aca="false">MAX(0,MIN(1,R30/100+$D$5))</f>
        <v>0.36091169085213</v>
      </c>
      <c r="U30" s="63" t="n">
        <v>0.560248769111169</v>
      </c>
      <c r="V30" s="62" t="n">
        <v>7983</v>
      </c>
      <c r="W30" s="63" t="n">
        <v>0.0485820274397165</v>
      </c>
      <c r="X30" s="64" t="s">
        <v>187</v>
      </c>
      <c r="Y30" s="64" t="s">
        <v>167</v>
      </c>
    </row>
    <row r="31" customFormat="false" ht="15" hidden="false" customHeight="false" outlineLevel="0" collapsed="false">
      <c r="A31" s="32" t="s">
        <v>162</v>
      </c>
      <c r="B31" s="32" t="s">
        <v>188</v>
      </c>
      <c r="C31" s="32" t="s">
        <v>164</v>
      </c>
      <c r="D31" s="60" t="n">
        <f aca="false">ROUND(S31*T31,0)</f>
        <v>551</v>
      </c>
      <c r="E31" s="60" t="n">
        <f aca="false">ROUND(S31,0)-D31</f>
        <v>742</v>
      </c>
      <c r="F31" s="60" t="n">
        <f aca="false">IF(COUNTA(D31:E31)=0,"",SUM(D31:E31))</f>
        <v>1293</v>
      </c>
      <c r="G31" s="40" t="n">
        <f aca="false">IF(OR(F31="",F31=0),"",D31/F31)</f>
        <v>0.426140757927301</v>
      </c>
      <c r="H31" s="40" t="n">
        <f aca="false">IF(OR(F31="",F31=0),"",E31/F31)</f>
        <v>0.573859242072699</v>
      </c>
      <c r="I31" s="32" t="s">
        <v>165</v>
      </c>
      <c r="J31" s="36" t="n">
        <v>1.97364055856013</v>
      </c>
      <c r="K31" s="36" t="n">
        <f aca="false">$K$8</f>
        <v>2.11861454545127</v>
      </c>
      <c r="L31" s="36" t="n">
        <f aca="false">SQRT(J31^2+K31^2)</f>
        <v>2.89547658367171</v>
      </c>
      <c r="M31" s="40" t="n">
        <f aca="false">IF(G31="","",MAX(0,G31-1.96*L31/100))</f>
        <v>0.369389416887335</v>
      </c>
      <c r="N31" s="40" t="n">
        <f aca="false">IF(G31="","",MIN(1,G31+1.96*L31/100))</f>
        <v>0.482892098967266</v>
      </c>
      <c r="O31" s="60" t="n">
        <f aca="false">ROUND(S31*W31,0)</f>
        <v>71</v>
      </c>
      <c r="P31" s="60" t="n">
        <f aca="false">IF(F31="","",ROUND(SQRT((F31*L31/100)^2+(G31*O31)^2),0))</f>
        <v>48</v>
      </c>
      <c r="R31" s="61" t="n">
        <v>0.528539425873328</v>
      </c>
      <c r="S31" s="62" t="n">
        <f aca="false">U31*V31*$F$5</f>
        <v>1293.28908554572</v>
      </c>
      <c r="T31" s="63" t="n">
        <f aca="false">MAX(0,MIN(1,R31/100+$D$5))</f>
        <v>0.425993714352682</v>
      </c>
      <c r="U31" s="63" t="n">
        <v>0.607177974434612</v>
      </c>
      <c r="V31" s="62" t="n">
        <v>2130</v>
      </c>
      <c r="W31" s="63" t="n">
        <v>0.0547268472736556</v>
      </c>
      <c r="X31" s="64" t="s">
        <v>171</v>
      </c>
      <c r="Y31" s="64" t="s">
        <v>167</v>
      </c>
    </row>
    <row r="32" customFormat="false" ht="15" hidden="false" customHeight="false" outlineLevel="0" collapsed="false">
      <c r="A32" s="32" t="s">
        <v>162</v>
      </c>
      <c r="B32" s="32" t="s">
        <v>189</v>
      </c>
      <c r="C32" s="32" t="s">
        <v>164</v>
      </c>
      <c r="D32" s="60" t="n">
        <f aca="false">ROUND(S32*T32,0)</f>
        <v>662</v>
      </c>
      <c r="E32" s="60" t="n">
        <f aca="false">ROUND(S32,0)-D32</f>
        <v>1596</v>
      </c>
      <c r="F32" s="60" t="n">
        <f aca="false">IF(COUNTA(D32:E32)=0,"",SUM(D32:E32))</f>
        <v>2258</v>
      </c>
      <c r="G32" s="40" t="n">
        <f aca="false">IF(OR(F32="",F32=0),"",D32/F32)</f>
        <v>0.29317980513729</v>
      </c>
      <c r="H32" s="40" t="n">
        <f aca="false">IF(OR(F32="",F32=0),"",E32/F32)</f>
        <v>0.70682019486271</v>
      </c>
      <c r="I32" s="32" t="s">
        <v>165</v>
      </c>
      <c r="J32" s="36" t="n">
        <v>1.97364055856013</v>
      </c>
      <c r="K32" s="36" t="n">
        <f aca="false">$K$8</f>
        <v>2.11861454545127</v>
      </c>
      <c r="L32" s="36" t="n">
        <f aca="false">SQRT(J32^2+K32^2)</f>
        <v>2.89547658367171</v>
      </c>
      <c r="M32" s="40" t="n">
        <f aca="false">IF(G32="","",MAX(0,G32-1.96*L32/100))</f>
        <v>0.236428464097324</v>
      </c>
      <c r="N32" s="40" t="n">
        <f aca="false">IF(G32="","",MIN(1,G32+1.96*L32/100))</f>
        <v>0.349931146177255</v>
      </c>
      <c r="O32" s="60" t="n">
        <f aca="false">ROUND(S32*W32,0)</f>
        <v>124</v>
      </c>
      <c r="P32" s="60" t="n">
        <f aca="false">IF(F32="","",ROUND(SQRT((F32*L32/100)^2+(G32*O32)^2),0))</f>
        <v>75</v>
      </c>
      <c r="R32" s="61" t="n">
        <v>-12.7572243670375</v>
      </c>
      <c r="S32" s="62" t="n">
        <f aca="false">U32*V32*$F$5</f>
        <v>2258.11685530743</v>
      </c>
      <c r="T32" s="63" t="n">
        <f aca="false">MAX(0,MIN(1,R32/100+$D$5))</f>
        <v>0.293136076423574</v>
      </c>
      <c r="U32" s="63" t="n">
        <v>0.65188130926889</v>
      </c>
      <c r="V32" s="62" t="n">
        <v>3464</v>
      </c>
      <c r="W32" s="63" t="n">
        <v>0.0547268472736556</v>
      </c>
      <c r="X32" s="64" t="s">
        <v>171</v>
      </c>
      <c r="Y32" s="64" t="s">
        <v>167</v>
      </c>
    </row>
    <row r="33" customFormat="false" ht="15" hidden="false" customHeight="false" outlineLevel="0" collapsed="false">
      <c r="A33" s="32" t="s">
        <v>162</v>
      </c>
      <c r="B33" s="32" t="s">
        <v>190</v>
      </c>
      <c r="C33" s="32" t="s">
        <v>164</v>
      </c>
      <c r="D33" s="60" t="n">
        <f aca="false">ROUND(S33*T33,0)</f>
        <v>269</v>
      </c>
      <c r="E33" s="60" t="n">
        <f aca="false">ROUND(S33,0)-D33</f>
        <v>645</v>
      </c>
      <c r="F33" s="60" t="n">
        <f aca="false">IF(COUNTA(D33:E33)=0,"",SUM(D33:E33))</f>
        <v>914</v>
      </c>
      <c r="G33" s="40" t="n">
        <f aca="false">IF(OR(F33="",F33=0),"",D33/F33)</f>
        <v>0.294310722100656</v>
      </c>
      <c r="H33" s="40" t="n">
        <f aca="false">IF(OR(F33="",F33=0),"",E33/F33)</f>
        <v>0.705689277899344</v>
      </c>
      <c r="I33" s="32" t="s">
        <v>165</v>
      </c>
      <c r="J33" s="36" t="n">
        <v>3.66627757766473</v>
      </c>
      <c r="K33" s="36" t="n">
        <f aca="false">$K$8</f>
        <v>2.11861454545127</v>
      </c>
      <c r="L33" s="36" t="n">
        <f aca="false">SQRT(J33^2+K33^2)</f>
        <v>4.23439710805267</v>
      </c>
      <c r="M33" s="40" t="n">
        <f aca="false">IF(G33="","",MAX(0,G33-1.96*L33/100))</f>
        <v>0.211316538782824</v>
      </c>
      <c r="N33" s="40" t="n">
        <f aca="false">IF(G33="","",MIN(1,G33+1.96*L33/100))</f>
        <v>0.377304905418489</v>
      </c>
      <c r="O33" s="60" t="n">
        <f aca="false">ROUND(S33*W33,0)</f>
        <v>67</v>
      </c>
      <c r="P33" s="60" t="n">
        <f aca="false">IF(F33="","",ROUND(SQRT((F33*L33/100)^2+(G33*O33)^2),0))</f>
        <v>43</v>
      </c>
      <c r="R33" s="61" t="n">
        <v>-12.638703857236</v>
      </c>
      <c r="S33" s="62" t="n">
        <f aca="false">U33*V33*$F$5</f>
        <v>913.771907216495</v>
      </c>
      <c r="T33" s="63" t="n">
        <f aca="false">MAX(0,MIN(1,R33/100+$D$5))</f>
        <v>0.294321281521589</v>
      </c>
      <c r="U33" s="63" t="n">
        <v>0.580541237113402</v>
      </c>
      <c r="V33" s="62" t="n">
        <v>1574</v>
      </c>
      <c r="W33" s="63" t="n">
        <v>0.0732058935918866</v>
      </c>
      <c r="X33" s="64" t="s">
        <v>166</v>
      </c>
      <c r="Y33" s="64" t="s">
        <v>167</v>
      </c>
    </row>
    <row r="34" customFormat="false" ht="15" hidden="false" customHeight="false" outlineLevel="0" collapsed="false">
      <c r="A34" s="32" t="s">
        <v>162</v>
      </c>
      <c r="B34" s="32" t="s">
        <v>191</v>
      </c>
      <c r="C34" s="32" t="s">
        <v>164</v>
      </c>
      <c r="D34" s="60" t="n">
        <f aca="false">ROUND(S34*T34,0)</f>
        <v>40</v>
      </c>
      <c r="E34" s="60" t="n">
        <f aca="false">ROUND(S34,0)-D34</f>
        <v>67</v>
      </c>
      <c r="F34" s="60" t="n">
        <f aca="false">IF(COUNTA(D34:E34)=0,"",SUM(D34:E34))</f>
        <v>107</v>
      </c>
      <c r="G34" s="40" t="n">
        <f aca="false">IF(OR(F34="",F34=0),"",D34/F34)</f>
        <v>0.373831775700935</v>
      </c>
      <c r="H34" s="40" t="n">
        <f aca="false">IF(OR(F34="",F34=0),"",E34/F34)</f>
        <v>0.626168224299065</v>
      </c>
      <c r="I34" s="32" t="s">
        <v>165</v>
      </c>
      <c r="J34" s="36" t="n">
        <v>3.66627757766473</v>
      </c>
      <c r="K34" s="36" t="n">
        <f aca="false">$K$8</f>
        <v>2.11861454545127</v>
      </c>
      <c r="L34" s="36" t="n">
        <f aca="false">SQRT(J34^2+K34^2)</f>
        <v>4.23439710805267</v>
      </c>
      <c r="M34" s="40" t="n">
        <f aca="false">IF(G34="","",MAX(0,G34-1.96*L34/100))</f>
        <v>0.290837592383102</v>
      </c>
      <c r="N34" s="40" t="n">
        <f aca="false">IF(G34="","",MIN(1,G34+1.96*L34/100))</f>
        <v>0.456825959018767</v>
      </c>
      <c r="O34" s="60" t="n">
        <f aca="false">ROUND(S34*W34,0)</f>
        <v>8</v>
      </c>
      <c r="P34" s="60" t="n">
        <f aca="false">IF(F34="","",ROUND(SQRT((F34*L34/100)^2+(G34*O34)^2),0))</f>
        <v>5</v>
      </c>
      <c r="R34" s="61" t="n">
        <v>-4.284732831341</v>
      </c>
      <c r="S34" s="62" t="n">
        <f aca="false">U34*V34*$F$5</f>
        <v>106.666666666667</v>
      </c>
      <c r="T34" s="63" t="n">
        <f aca="false">MAX(0,MIN(1,R34/100+$D$5))</f>
        <v>0.377860991780539</v>
      </c>
      <c r="U34" s="63" t="n">
        <v>0.444444444444444</v>
      </c>
      <c r="V34" s="62" t="n">
        <v>240</v>
      </c>
      <c r="W34" s="63" t="n">
        <v>0.0732058935918866</v>
      </c>
      <c r="X34" s="64" t="s">
        <v>166</v>
      </c>
      <c r="Y34" s="64" t="s">
        <v>167</v>
      </c>
    </row>
    <row r="35" customFormat="false" ht="15" hidden="false" customHeight="false" outlineLevel="0" collapsed="false">
      <c r="A35" s="32" t="s">
        <v>192</v>
      </c>
      <c r="B35" s="32" t="s">
        <v>193</v>
      </c>
      <c r="C35" s="32" t="s">
        <v>164</v>
      </c>
      <c r="D35" s="60" t="n">
        <f aca="false">ROUND(S35*T35,0)</f>
        <v>488</v>
      </c>
      <c r="E35" s="60" t="n">
        <f aca="false">ROUND(S35,0)-D35</f>
        <v>573</v>
      </c>
      <c r="F35" s="60" t="n">
        <f aca="false">IF(COUNTA(D35:E35)=0,"",SUM(D35:E35))</f>
        <v>1061</v>
      </c>
      <c r="G35" s="40" t="n">
        <f aca="false">IF(OR(F35="",F35=0),"",D35/F35)</f>
        <v>0.459943449575872</v>
      </c>
      <c r="H35" s="40" t="n">
        <f aca="false">IF(OR(F35="",F35=0),"",E35/F35)</f>
        <v>0.540056550424128</v>
      </c>
      <c r="I35" s="32" t="s">
        <v>165</v>
      </c>
      <c r="J35" s="36" t="n">
        <v>3.66627757766473</v>
      </c>
      <c r="K35" s="36" t="n">
        <f aca="false">$K$8</f>
        <v>2.11861454545127</v>
      </c>
      <c r="L35" s="36" t="n">
        <f aca="false">SQRT(J35^2+K35^2)</f>
        <v>4.23439710805267</v>
      </c>
      <c r="M35" s="40" t="n">
        <f aca="false">IF(G35="","",MAX(0,G35-1.96*L35/100))</f>
        <v>0.37694926625804</v>
      </c>
      <c r="N35" s="40" t="n">
        <f aca="false">IF(G35="","",MIN(1,G35+1.96*L35/100))</f>
        <v>0.542937632893704</v>
      </c>
      <c r="O35" s="60" t="n">
        <f aca="false">ROUND(S35*W35,0)</f>
        <v>78</v>
      </c>
      <c r="P35" s="60" t="n">
        <f aca="false">IF(F35="","",ROUND(SQRT((F35*L35/100)^2+(G35*O35)^2),0))</f>
        <v>57</v>
      </c>
      <c r="R35" s="61" t="n">
        <v>3.95033118335925</v>
      </c>
      <c r="S35" s="62" t="n">
        <f aca="false">U35*V35*$F$5</f>
        <v>1060.80585424134</v>
      </c>
      <c r="T35" s="63" t="n">
        <f aca="false">MAX(0,MIN(1,R35/100+$D$5))</f>
        <v>0.460211631927541</v>
      </c>
      <c r="U35" s="63" t="n">
        <v>0.605137395459976</v>
      </c>
      <c r="V35" s="62" t="n">
        <v>1753</v>
      </c>
      <c r="W35" s="63" t="n">
        <v>0.0732058935918866</v>
      </c>
      <c r="X35" s="64" t="s">
        <v>166</v>
      </c>
      <c r="Y35" s="64" t="s">
        <v>167</v>
      </c>
    </row>
    <row r="36" customFormat="false" ht="15" hidden="false" customHeight="false" outlineLevel="0" collapsed="false">
      <c r="A36" s="32" t="s">
        <v>192</v>
      </c>
      <c r="B36" s="32" t="s">
        <v>194</v>
      </c>
      <c r="C36" s="32" t="s">
        <v>164</v>
      </c>
      <c r="D36" s="60" t="n">
        <f aca="false">ROUND(S36*T36,0)</f>
        <v>16648</v>
      </c>
      <c r="E36" s="60" t="n">
        <f aca="false">ROUND(S36,0)-D36</f>
        <v>8725</v>
      </c>
      <c r="F36" s="60" t="n">
        <f aca="false">IF(COUNTA(D36:E36)=0,"",SUM(D36:E36))</f>
        <v>25373</v>
      </c>
      <c r="G36" s="40" t="n">
        <f aca="false">IF(OR(F36="",F36=0),"",D36/F36)</f>
        <v>0.65613053245576</v>
      </c>
      <c r="H36" s="40" t="n">
        <f aca="false">IF(OR(F36="",F36=0),"",E36/F36)</f>
        <v>0.34386946754424</v>
      </c>
      <c r="I36" s="32" t="s">
        <v>165</v>
      </c>
      <c r="J36" s="36" t="n">
        <v>2.59370925945702</v>
      </c>
      <c r="K36" s="36" t="n">
        <f aca="false">$K$8</f>
        <v>2.11861454545127</v>
      </c>
      <c r="L36" s="36" t="n">
        <f aca="false">SQRT(J36^2+K36^2)</f>
        <v>3.349008109096</v>
      </c>
      <c r="M36" s="40" t="n">
        <f aca="false">IF(G36="","",MAX(0,G36-1.96*L36/100))</f>
        <v>0.590489973517478</v>
      </c>
      <c r="N36" s="40" t="n">
        <f aca="false">IF(G36="","",MIN(1,G36+1.96*L36/100))</f>
        <v>0.721771091394042</v>
      </c>
      <c r="O36" s="60" t="n">
        <f aca="false">ROUND(S36*W36,0)</f>
        <v>1233</v>
      </c>
      <c r="P36" s="60" t="n">
        <f aca="false">IF(F36="","",ROUND(SQRT((F36*L36/100)^2+(G36*O36)^2),0))</f>
        <v>1173</v>
      </c>
      <c r="R36" s="61" t="n">
        <v>23.5395572614123</v>
      </c>
      <c r="S36" s="62" t="n">
        <f aca="false">U36*V36*$F$5</f>
        <v>25373.374760008</v>
      </c>
      <c r="T36" s="63" t="n">
        <f aca="false">MAX(0,MIN(1,R36/100+$D$5))</f>
        <v>0.656103892708072</v>
      </c>
      <c r="U36" s="63" t="n">
        <v>0.356778519643522</v>
      </c>
      <c r="V36" s="62" t="n">
        <v>71118</v>
      </c>
      <c r="W36" s="63" t="n">
        <v>0.0485820274397165</v>
      </c>
      <c r="X36" s="64" t="s">
        <v>187</v>
      </c>
      <c r="Y36" s="64" t="s">
        <v>167</v>
      </c>
    </row>
    <row r="37" customFormat="false" ht="15" hidden="false" customHeight="false" outlineLevel="0" collapsed="false">
      <c r="A37" s="32" t="s">
        <v>192</v>
      </c>
      <c r="B37" s="32" t="s">
        <v>195</v>
      </c>
      <c r="C37" s="32" t="s">
        <v>164</v>
      </c>
      <c r="D37" s="60" t="n">
        <f aca="false">ROUND(S37*T37,0)</f>
        <v>5099</v>
      </c>
      <c r="E37" s="60" t="n">
        <f aca="false">ROUND(S37,0)-D37</f>
        <v>2878</v>
      </c>
      <c r="F37" s="60" t="n">
        <f aca="false">IF(COUNTA(D37:E37)=0,"",SUM(D37:E37))</f>
        <v>7977</v>
      </c>
      <c r="G37" s="40" t="n">
        <f aca="false">IF(OR(F37="",F37=0),"",D37/F37)</f>
        <v>0.639212736617776</v>
      </c>
      <c r="H37" s="40" t="n">
        <f aca="false">IF(OR(F37="",F37=0),"",E37/F37)</f>
        <v>0.360787263382224</v>
      </c>
      <c r="I37" s="32" t="s">
        <v>165</v>
      </c>
      <c r="J37" s="36" t="n">
        <v>2.59370925945702</v>
      </c>
      <c r="K37" s="36" t="n">
        <f aca="false">$K$8</f>
        <v>2.11861454545127</v>
      </c>
      <c r="L37" s="36" t="n">
        <f aca="false">SQRT(J37^2+K37^2)</f>
        <v>3.349008109096</v>
      </c>
      <c r="M37" s="40" t="n">
        <f aca="false">IF(G37="","",MAX(0,G37-1.96*L37/100))</f>
        <v>0.573572177679494</v>
      </c>
      <c r="N37" s="40" t="n">
        <f aca="false">IF(G37="","",MIN(1,G37+1.96*L37/100))</f>
        <v>0.704853295556058</v>
      </c>
      <c r="O37" s="60" t="n">
        <f aca="false">ROUND(S37*W37,0)</f>
        <v>388</v>
      </c>
      <c r="P37" s="60" t="n">
        <f aca="false">IF(F37="","",ROUND(SQRT((F37*L37/100)^2+(G37*O37)^2),0))</f>
        <v>365</v>
      </c>
      <c r="R37" s="61" t="n">
        <v>21.8498307085811</v>
      </c>
      <c r="S37" s="62" t="n">
        <f aca="false">U37*V37*$F$5</f>
        <v>7976.55329986175</v>
      </c>
      <c r="T37" s="63" t="n">
        <f aca="false">MAX(0,MIN(1,R37/100+$D$5))</f>
        <v>0.63920662717976</v>
      </c>
      <c r="U37" s="63" t="n">
        <v>0.574183220548643</v>
      </c>
      <c r="V37" s="62" t="n">
        <v>13892</v>
      </c>
      <c r="W37" s="63" t="n">
        <v>0.0485820274397165</v>
      </c>
      <c r="X37" s="64" t="s">
        <v>187</v>
      </c>
      <c r="Y37" s="64" t="s">
        <v>167</v>
      </c>
    </row>
    <row r="38" customFormat="false" ht="15" hidden="false" customHeight="false" outlineLevel="0" collapsed="false">
      <c r="A38" s="32" t="s">
        <v>192</v>
      </c>
      <c r="B38" s="32" t="s">
        <v>196</v>
      </c>
      <c r="C38" s="32" t="s">
        <v>164</v>
      </c>
      <c r="D38" s="60" t="n">
        <f aca="false">ROUND(S38*T38,0)</f>
        <v>1128</v>
      </c>
      <c r="E38" s="60" t="n">
        <f aca="false">ROUND(S38,0)-D38</f>
        <v>1050</v>
      </c>
      <c r="F38" s="60" t="n">
        <f aca="false">IF(COUNTA(D38:E38)=0,"",SUM(D38:E38))</f>
        <v>2178</v>
      </c>
      <c r="G38" s="40" t="n">
        <f aca="false">IF(OR(F38="",F38=0),"",D38/F38)</f>
        <v>0.517906336088154</v>
      </c>
      <c r="H38" s="40" t="n">
        <f aca="false">IF(OR(F38="",F38=0),"",E38/F38)</f>
        <v>0.482093663911846</v>
      </c>
      <c r="I38" s="32" t="s">
        <v>165</v>
      </c>
      <c r="J38" s="36" t="n">
        <v>1.97364055856013</v>
      </c>
      <c r="K38" s="36" t="n">
        <f aca="false">$K$8</f>
        <v>2.11861454545127</v>
      </c>
      <c r="L38" s="36" t="n">
        <f aca="false">SQRT(J38^2+K38^2)</f>
        <v>2.89547658367171</v>
      </c>
      <c r="M38" s="40" t="n">
        <f aca="false">IF(G38="","",MAX(0,G38-1.96*L38/100))</f>
        <v>0.461154995048189</v>
      </c>
      <c r="N38" s="40" t="n">
        <f aca="false">IF(G38="","",MIN(1,G38+1.96*L38/100))</f>
        <v>0.57465767712812</v>
      </c>
      <c r="O38" s="60" t="n">
        <f aca="false">ROUND(S38*W38,0)</f>
        <v>119</v>
      </c>
      <c r="P38" s="60" t="n">
        <f aca="false">IF(F38="","",ROUND(SQRT((F38*L38/100)^2+(G38*O38)^2),0))</f>
        <v>88</v>
      </c>
      <c r="R38" s="61" t="n">
        <v>9.73433502483935</v>
      </c>
      <c r="S38" s="62" t="n">
        <f aca="false">U38*V38*$F$5</f>
        <v>2177.82706204834</v>
      </c>
      <c r="T38" s="63" t="n">
        <f aca="false">MAX(0,MIN(1,R38/100+$D$5))</f>
        <v>0.518051670342342</v>
      </c>
      <c r="U38" s="63" t="n">
        <v>0.525791178669325</v>
      </c>
      <c r="V38" s="62" t="n">
        <v>4142</v>
      </c>
      <c r="W38" s="63" t="n">
        <v>0.0547268472736556</v>
      </c>
      <c r="X38" s="64" t="s">
        <v>171</v>
      </c>
      <c r="Y38" s="64" t="s">
        <v>167</v>
      </c>
    </row>
    <row r="39" customFormat="false" ht="15" hidden="false" customHeight="false" outlineLevel="0" collapsed="false">
      <c r="A39" s="32" t="s">
        <v>192</v>
      </c>
      <c r="B39" s="32" t="s">
        <v>197</v>
      </c>
      <c r="C39" s="32" t="s">
        <v>164</v>
      </c>
      <c r="D39" s="60" t="n">
        <f aca="false">ROUND(S39*T39,0)</f>
        <v>611</v>
      </c>
      <c r="E39" s="60" t="n">
        <f aca="false">ROUND(S39,0)-D39</f>
        <v>659</v>
      </c>
      <c r="F39" s="60" t="n">
        <f aca="false">IF(COUNTA(D39:E39)=0,"",SUM(D39:E39))</f>
        <v>1270</v>
      </c>
      <c r="G39" s="40" t="n">
        <f aca="false">IF(OR(F39="",F39=0),"",D39/F39)</f>
        <v>0.481102362204724</v>
      </c>
      <c r="H39" s="40" t="n">
        <f aca="false">IF(OR(F39="",F39=0),"",E39/F39)</f>
        <v>0.518897637795276</v>
      </c>
      <c r="I39" s="32" t="s">
        <v>165</v>
      </c>
      <c r="J39" s="36" t="n">
        <v>1.97364055856013</v>
      </c>
      <c r="K39" s="36" t="n">
        <f aca="false">$K$8</f>
        <v>2.11861454545127</v>
      </c>
      <c r="L39" s="36" t="n">
        <f aca="false">SQRT(J39^2+K39^2)</f>
        <v>2.89547658367171</v>
      </c>
      <c r="M39" s="40" t="n">
        <f aca="false">IF(G39="","",MAX(0,G39-1.96*L39/100))</f>
        <v>0.424351021164759</v>
      </c>
      <c r="N39" s="40" t="n">
        <f aca="false">IF(G39="","",MIN(1,G39+1.96*L39/100))</f>
        <v>0.53785370324469</v>
      </c>
      <c r="O39" s="60" t="n">
        <f aca="false">ROUND(S39*W39,0)</f>
        <v>70</v>
      </c>
      <c r="P39" s="60" t="n">
        <f aca="false">IF(F39="","",ROUND(SQRT((F39*L39/100)^2+(G39*O39)^2),0))</f>
        <v>50</v>
      </c>
      <c r="R39" s="61" t="n">
        <v>5.99156136472466</v>
      </c>
      <c r="S39" s="62" t="n">
        <f aca="false">U39*V39*$F$5</f>
        <v>1270.44031093837</v>
      </c>
      <c r="T39" s="63" t="n">
        <f aca="false">MAX(0,MIN(1,R39/100+$D$5))</f>
        <v>0.480623933741196</v>
      </c>
      <c r="U39" s="63" t="n">
        <v>0.676846196557468</v>
      </c>
      <c r="V39" s="62" t="n">
        <v>1877</v>
      </c>
      <c r="W39" s="63" t="n">
        <v>0.0547268472736556</v>
      </c>
      <c r="X39" s="64" t="s">
        <v>171</v>
      </c>
      <c r="Y39" s="64" t="s">
        <v>167</v>
      </c>
    </row>
    <row r="40" customFormat="false" ht="15" hidden="false" customHeight="false" outlineLevel="0" collapsed="false">
      <c r="A40" s="32" t="s">
        <v>192</v>
      </c>
      <c r="B40" s="32" t="s">
        <v>198</v>
      </c>
      <c r="C40" s="32" t="s">
        <v>164</v>
      </c>
      <c r="D40" s="60" t="n">
        <f aca="false">ROUND(S40*T40,0)</f>
        <v>701</v>
      </c>
      <c r="E40" s="60" t="n">
        <f aca="false">ROUND(S40,0)-D40</f>
        <v>663</v>
      </c>
      <c r="F40" s="60" t="n">
        <f aca="false">IF(COUNTA(D40:E40)=0,"",SUM(D40:E40))</f>
        <v>1364</v>
      </c>
      <c r="G40" s="40" t="n">
        <f aca="false">IF(OR(F40="",F40=0),"",D40/F40)</f>
        <v>0.513929618768328</v>
      </c>
      <c r="H40" s="40" t="n">
        <f aca="false">IF(OR(F40="",F40=0),"",E40/F40)</f>
        <v>0.486070381231672</v>
      </c>
      <c r="I40" s="32" t="s">
        <v>165</v>
      </c>
      <c r="J40" s="36" t="n">
        <v>1.97364055856013</v>
      </c>
      <c r="K40" s="36" t="n">
        <f aca="false">$K$8</f>
        <v>2.11861454545127</v>
      </c>
      <c r="L40" s="36" t="n">
        <f aca="false">SQRT(J40^2+K40^2)</f>
        <v>2.89547658367171</v>
      </c>
      <c r="M40" s="40" t="n">
        <f aca="false">IF(G40="","",MAX(0,G40-1.96*L40/100))</f>
        <v>0.457178277728363</v>
      </c>
      <c r="N40" s="40" t="n">
        <f aca="false">IF(G40="","",MIN(1,G40+1.96*L40/100))</f>
        <v>0.570680959808294</v>
      </c>
      <c r="O40" s="60" t="n">
        <f aca="false">ROUND(S40*W40,0)</f>
        <v>75</v>
      </c>
      <c r="P40" s="60" t="n">
        <f aca="false">IF(F40="","",ROUND(SQRT((F40*L40/100)^2+(G40*O40)^2),0))</f>
        <v>55</v>
      </c>
      <c r="R40" s="61" t="n">
        <v>9.30580048771608</v>
      </c>
      <c r="S40" s="62" t="n">
        <f aca="false">U40*V40*$F$5</f>
        <v>1363.93435943866</v>
      </c>
      <c r="T40" s="63" t="n">
        <f aca="false">MAX(0,MIN(1,R40/100+$D$5))</f>
        <v>0.51376632497111</v>
      </c>
      <c r="U40" s="63" t="n">
        <v>0.587143503847895</v>
      </c>
      <c r="V40" s="62" t="n">
        <v>2323</v>
      </c>
      <c r="W40" s="63" t="n">
        <v>0.0547268472736556</v>
      </c>
      <c r="X40" s="64" t="s">
        <v>171</v>
      </c>
      <c r="Y40" s="64" t="s">
        <v>167</v>
      </c>
    </row>
    <row r="41" customFormat="false" ht="15" hidden="false" customHeight="false" outlineLevel="0" collapsed="false">
      <c r="A41" s="32" t="s">
        <v>192</v>
      </c>
      <c r="B41" s="32" t="s">
        <v>199</v>
      </c>
      <c r="C41" s="32" t="s">
        <v>164</v>
      </c>
      <c r="D41" s="60" t="n">
        <f aca="false">ROUND(S41*T41,0)</f>
        <v>2892</v>
      </c>
      <c r="E41" s="60" t="n">
        <f aca="false">ROUND(S41,0)-D41</f>
        <v>2496</v>
      </c>
      <c r="F41" s="60" t="n">
        <f aca="false">IF(COUNTA(D41:E41)=0,"",SUM(D41:E41))</f>
        <v>5388</v>
      </c>
      <c r="G41" s="40" t="n">
        <f aca="false">IF(OR(F41="",F41=0),"",D41/F41)</f>
        <v>0.536748329621381</v>
      </c>
      <c r="H41" s="40" t="n">
        <f aca="false">IF(OR(F41="",F41=0),"",E41/F41)</f>
        <v>0.463251670378619</v>
      </c>
      <c r="I41" s="32" t="s">
        <v>165</v>
      </c>
      <c r="J41" s="36" t="n">
        <v>2.59370925945702</v>
      </c>
      <c r="K41" s="36" t="n">
        <f aca="false">$K$8</f>
        <v>2.11861454545127</v>
      </c>
      <c r="L41" s="36" t="n">
        <f aca="false">SQRT(J41^2+K41^2)</f>
        <v>3.349008109096</v>
      </c>
      <c r="M41" s="40" t="n">
        <f aca="false">IF(G41="","",MAX(0,G41-1.96*L41/100))</f>
        <v>0.471107770683099</v>
      </c>
      <c r="N41" s="40" t="n">
        <f aca="false">IF(G41="","",MIN(1,G41+1.96*L41/100))</f>
        <v>0.602388888559663</v>
      </c>
      <c r="O41" s="60" t="n">
        <f aca="false">ROUND(S41*W41,0)</f>
        <v>262</v>
      </c>
      <c r="P41" s="60" t="n">
        <f aca="false">IF(F41="","",ROUND(SQRT((F41*L41/100)^2+(G41*O41)^2),0))</f>
        <v>229</v>
      </c>
      <c r="R41" s="61" t="n">
        <v>11.5976391327564</v>
      </c>
      <c r="S41" s="62" t="n">
        <f aca="false">U41*V41*$F$5</f>
        <v>5388.18679314119</v>
      </c>
      <c r="T41" s="63" t="n">
        <f aca="false">MAX(0,MIN(1,R41/100+$D$5))</f>
        <v>0.536684711421513</v>
      </c>
      <c r="U41" s="63" t="n">
        <v>0.618265839717865</v>
      </c>
      <c r="V41" s="62" t="n">
        <v>8715</v>
      </c>
      <c r="W41" s="63" t="n">
        <v>0.0485820274397165</v>
      </c>
      <c r="X41" s="64" t="s">
        <v>187</v>
      </c>
      <c r="Y41" s="64" t="s">
        <v>167</v>
      </c>
    </row>
    <row r="42" customFormat="false" ht="15" hidden="false" customHeight="false" outlineLevel="0" collapsed="false">
      <c r="A42" s="32" t="s">
        <v>192</v>
      </c>
      <c r="B42" s="32" t="s">
        <v>200</v>
      </c>
      <c r="C42" s="32" t="s">
        <v>164</v>
      </c>
      <c r="D42" s="60" t="n">
        <f aca="false">ROUND(S42*T42,0)</f>
        <v>1057</v>
      </c>
      <c r="E42" s="60" t="n">
        <f aca="false">ROUND(S42,0)-D42</f>
        <v>548</v>
      </c>
      <c r="F42" s="60" t="n">
        <f aca="false">IF(COUNTA(D42:E42)=0,"",SUM(D42:E42))</f>
        <v>1605</v>
      </c>
      <c r="G42" s="40" t="n">
        <f aca="false">IF(OR(F42="",F42=0),"",D42/F42)</f>
        <v>0.658566978193147</v>
      </c>
      <c r="H42" s="40" t="n">
        <f aca="false">IF(OR(F42="",F42=0),"",E42/F42)</f>
        <v>0.341433021806854</v>
      </c>
      <c r="I42" s="32" t="s">
        <v>165</v>
      </c>
      <c r="J42" s="36" t="n">
        <v>1.97364055856013</v>
      </c>
      <c r="K42" s="36" t="n">
        <f aca="false">$K$8</f>
        <v>2.11861454545127</v>
      </c>
      <c r="L42" s="36" t="n">
        <f aca="false">SQRT(J42^2+K42^2)</f>
        <v>2.89547658367171</v>
      </c>
      <c r="M42" s="40" t="n">
        <f aca="false">IF(G42="","",MAX(0,G42-1.96*L42/100))</f>
        <v>0.601815637153181</v>
      </c>
      <c r="N42" s="40" t="n">
        <f aca="false">IF(G42="","",MIN(1,G42+1.96*L42/100))</f>
        <v>0.715318319233112</v>
      </c>
      <c r="O42" s="60" t="n">
        <f aca="false">ROUND(S42*W42,0)</f>
        <v>88</v>
      </c>
      <c r="P42" s="60" t="n">
        <f aca="false">IF(F42="","",ROUND(SQRT((F42*L42/100)^2+(G42*O42)^2),0))</f>
        <v>74</v>
      </c>
      <c r="R42" s="61" t="n">
        <v>23.7471655689334</v>
      </c>
      <c r="S42" s="62" t="n">
        <f aca="false">U42*V42*$F$5</f>
        <v>1605.4392182842</v>
      </c>
      <c r="T42" s="63" t="n">
        <f aca="false">MAX(0,MIN(1,R42/100+$D$5))</f>
        <v>0.658179975783283</v>
      </c>
      <c r="U42" s="63" t="n">
        <v>0.513083802583637</v>
      </c>
      <c r="V42" s="62" t="n">
        <v>3129</v>
      </c>
      <c r="W42" s="63" t="n">
        <v>0.0547268472736556</v>
      </c>
      <c r="X42" s="64" t="s">
        <v>171</v>
      </c>
      <c r="Y42" s="64" t="s">
        <v>167</v>
      </c>
    </row>
    <row r="43" customFormat="false" ht="15" hidden="false" customHeight="false" outlineLevel="0" collapsed="false">
      <c r="A43" s="32" t="s">
        <v>192</v>
      </c>
      <c r="B43" s="32" t="s">
        <v>201</v>
      </c>
      <c r="C43" s="32" t="s">
        <v>164</v>
      </c>
      <c r="D43" s="60" t="n">
        <f aca="false">ROUND(S43*T43,0)</f>
        <v>262</v>
      </c>
      <c r="E43" s="60" t="n">
        <f aca="false">ROUND(S43,0)-D43</f>
        <v>222</v>
      </c>
      <c r="F43" s="60" t="n">
        <f aca="false">IF(COUNTA(D43:E43)=0,"",SUM(D43:E43))</f>
        <v>484</v>
      </c>
      <c r="G43" s="40" t="n">
        <f aca="false">IF(OR(F43="",F43=0),"",D43/F43)</f>
        <v>0.541322314049587</v>
      </c>
      <c r="H43" s="40" t="n">
        <f aca="false">IF(OR(F43="",F43=0),"",E43/F43)</f>
        <v>0.458677685950413</v>
      </c>
      <c r="I43" s="32" t="s">
        <v>165</v>
      </c>
      <c r="J43" s="36" t="n">
        <v>3.66627757766473</v>
      </c>
      <c r="K43" s="36" t="n">
        <f aca="false">$K$8</f>
        <v>2.11861454545127</v>
      </c>
      <c r="L43" s="36" t="n">
        <f aca="false">SQRT(J43^2+K43^2)</f>
        <v>4.23439710805267</v>
      </c>
      <c r="M43" s="40" t="n">
        <f aca="false">IF(G43="","",MAX(0,G43-1.96*L43/100))</f>
        <v>0.458328130731754</v>
      </c>
      <c r="N43" s="40" t="n">
        <f aca="false">IF(G43="","",MIN(1,G43+1.96*L43/100))</f>
        <v>0.624316497367419</v>
      </c>
      <c r="O43" s="60" t="n">
        <f aca="false">ROUND(S43*W43,0)</f>
        <v>35</v>
      </c>
      <c r="P43" s="60" t="n">
        <f aca="false">IF(F43="","",ROUND(SQRT((F43*L43/100)^2+(G43*O43)^2),0))</f>
        <v>28</v>
      </c>
      <c r="R43" s="61" t="n">
        <v>12.1696179248664</v>
      </c>
      <c r="S43" s="62" t="n">
        <f aca="false">U43*V43*$F$5</f>
        <v>483.913480885312</v>
      </c>
      <c r="T43" s="63" t="n">
        <f aca="false">MAX(0,MIN(1,R43/100+$D$5))</f>
        <v>0.542404499342612</v>
      </c>
      <c r="U43" s="63" t="n">
        <v>0.469818913480885</v>
      </c>
      <c r="V43" s="62" t="n">
        <v>1030</v>
      </c>
      <c r="W43" s="63" t="n">
        <v>0.0732058935918866</v>
      </c>
      <c r="X43" s="64" t="s">
        <v>166</v>
      </c>
      <c r="Y43" s="64" t="s">
        <v>167</v>
      </c>
    </row>
    <row r="44" customFormat="false" ht="15" hidden="false" customHeight="false" outlineLevel="0" collapsed="false">
      <c r="A44" s="32" t="s">
        <v>192</v>
      </c>
      <c r="B44" s="32" t="s">
        <v>202</v>
      </c>
      <c r="C44" s="32" t="s">
        <v>164</v>
      </c>
      <c r="D44" s="60" t="n">
        <f aca="false">ROUND(S44*T44,0)</f>
        <v>524</v>
      </c>
      <c r="E44" s="60" t="n">
        <f aca="false">ROUND(S44,0)-D44</f>
        <v>1133</v>
      </c>
      <c r="F44" s="60" t="n">
        <f aca="false">IF(COUNTA(D44:E44)=0,"",SUM(D44:E44))</f>
        <v>1657</v>
      </c>
      <c r="G44" s="40" t="n">
        <f aca="false">IF(OR(F44="",F44=0),"",D44/F44)</f>
        <v>0.316234158117079</v>
      </c>
      <c r="H44" s="40" t="n">
        <f aca="false">IF(OR(F44="",F44=0),"",E44/F44)</f>
        <v>0.683765841882921</v>
      </c>
      <c r="I44" s="32" t="s">
        <v>165</v>
      </c>
      <c r="J44" s="36" t="n">
        <v>1.97364055856013</v>
      </c>
      <c r="K44" s="36" t="n">
        <f aca="false">$K$8</f>
        <v>2.11861454545127</v>
      </c>
      <c r="L44" s="36" t="n">
        <f aca="false">SQRT(J44^2+K44^2)</f>
        <v>2.89547658367171</v>
      </c>
      <c r="M44" s="40" t="n">
        <f aca="false">IF(G44="","",MAX(0,G44-1.96*L44/100))</f>
        <v>0.259482817077113</v>
      </c>
      <c r="N44" s="40" t="n">
        <f aca="false">IF(G44="","",MIN(1,G44+1.96*L44/100))</f>
        <v>0.372985499157045</v>
      </c>
      <c r="O44" s="60" t="n">
        <f aca="false">ROUND(S44*W44,0)</f>
        <v>91</v>
      </c>
      <c r="P44" s="60" t="n">
        <f aca="false">IF(F44="","",ROUND(SQRT((F44*L44/100)^2+(G44*O44)^2),0))</f>
        <v>56</v>
      </c>
      <c r="R44" s="61" t="n">
        <v>-10.4208047299659</v>
      </c>
      <c r="S44" s="62" t="n">
        <f aca="false">U44*V44*$F$5</f>
        <v>1656.73758865248</v>
      </c>
      <c r="T44" s="63" t="n">
        <f aca="false">MAX(0,MIN(1,R44/100+$D$5))</f>
        <v>0.31650027279429</v>
      </c>
      <c r="U44" s="63" t="n">
        <v>0.66750104297038</v>
      </c>
      <c r="V44" s="62" t="n">
        <v>2482</v>
      </c>
      <c r="W44" s="63" t="n">
        <v>0.0547268472736556</v>
      </c>
      <c r="X44" s="64" t="s">
        <v>171</v>
      </c>
      <c r="Y44" s="64" t="s">
        <v>167</v>
      </c>
    </row>
    <row r="45" customFormat="false" ht="15" hidden="false" customHeight="false" outlineLevel="0" collapsed="false">
      <c r="A45" s="32" t="s">
        <v>192</v>
      </c>
      <c r="B45" s="32" t="s">
        <v>203</v>
      </c>
      <c r="C45" s="32" t="s">
        <v>164</v>
      </c>
      <c r="D45" s="60" t="n">
        <f aca="false">ROUND(S45*T45,0)</f>
        <v>8243</v>
      </c>
      <c r="E45" s="60" t="n">
        <f aca="false">ROUND(S45,0)-D45</f>
        <v>8092</v>
      </c>
      <c r="F45" s="60" t="n">
        <f aca="false">IF(COUNTA(D45:E45)=0,"",SUM(D45:E45))</f>
        <v>16335</v>
      </c>
      <c r="G45" s="40" t="n">
        <f aca="false">IF(OR(F45="",F45=0),"",D45/F45)</f>
        <v>0.50462197734925</v>
      </c>
      <c r="H45" s="40" t="n">
        <f aca="false">IF(OR(F45="",F45=0),"",E45/F45)</f>
        <v>0.49537802265075</v>
      </c>
      <c r="I45" s="32" t="s">
        <v>165</v>
      </c>
      <c r="J45" s="36" t="n">
        <v>2.59370925945702</v>
      </c>
      <c r="K45" s="36" t="n">
        <f aca="false">$K$8</f>
        <v>2.11861454545127</v>
      </c>
      <c r="L45" s="36" t="n">
        <f aca="false">SQRT(J45^2+K45^2)</f>
        <v>3.349008109096</v>
      </c>
      <c r="M45" s="40" t="n">
        <f aca="false">IF(G45="","",MAX(0,G45-1.96*L45/100))</f>
        <v>0.438981418410968</v>
      </c>
      <c r="N45" s="40" t="n">
        <f aca="false">IF(G45="","",MIN(1,G45+1.96*L45/100))</f>
        <v>0.570262536287532</v>
      </c>
      <c r="O45" s="60" t="n">
        <f aca="false">ROUND(S45*W45,0)</f>
        <v>794</v>
      </c>
      <c r="P45" s="60" t="n">
        <f aca="false">IF(F45="","",ROUND(SQRT((F45*L45/100)^2+(G45*O45)^2),0))</f>
        <v>678</v>
      </c>
      <c r="R45" s="61" t="n">
        <v>8.39356462813135</v>
      </c>
      <c r="S45" s="62" t="n">
        <f aca="false">U45*V45*$F$5</f>
        <v>16334.7109624891</v>
      </c>
      <c r="T45" s="63" t="n">
        <f aca="false">MAX(0,MIN(1,R45/100+$D$5))</f>
        <v>0.504643966375262</v>
      </c>
      <c r="U45" s="63" t="n">
        <v>0.662692643210236</v>
      </c>
      <c r="V45" s="62" t="n">
        <v>24649</v>
      </c>
      <c r="W45" s="63" t="n">
        <v>0.0485820274397165</v>
      </c>
      <c r="X45" s="64" t="s">
        <v>187</v>
      </c>
      <c r="Y45" s="64" t="s">
        <v>167</v>
      </c>
    </row>
    <row r="46" customFormat="false" ht="15" hidden="false" customHeight="false" outlineLevel="0" collapsed="false">
      <c r="A46" s="32" t="s">
        <v>192</v>
      </c>
      <c r="B46" s="32" t="s">
        <v>204</v>
      </c>
      <c r="C46" s="32" t="s">
        <v>164</v>
      </c>
      <c r="D46" s="60" t="n">
        <f aca="false">ROUND(S46*T46,0)</f>
        <v>833</v>
      </c>
      <c r="E46" s="60" t="n">
        <f aca="false">ROUND(S46,0)-D46</f>
        <v>1371</v>
      </c>
      <c r="F46" s="60" t="n">
        <f aca="false">IF(COUNTA(D46:E46)=0,"",SUM(D46:E46))</f>
        <v>2204</v>
      </c>
      <c r="G46" s="40" t="n">
        <f aca="false">IF(OR(F46="",F46=0),"",D46/F46)</f>
        <v>0.377949183303085</v>
      </c>
      <c r="H46" s="40" t="n">
        <f aca="false">IF(OR(F46="",F46=0),"",E46/F46)</f>
        <v>0.622050816696915</v>
      </c>
      <c r="I46" s="32" t="s">
        <v>165</v>
      </c>
      <c r="J46" s="36" t="n">
        <v>1.97364055856013</v>
      </c>
      <c r="K46" s="36" t="n">
        <f aca="false">$K$8</f>
        <v>2.11861454545127</v>
      </c>
      <c r="L46" s="36" t="n">
        <f aca="false">SQRT(J46^2+K46^2)</f>
        <v>2.89547658367171</v>
      </c>
      <c r="M46" s="40" t="n">
        <f aca="false">IF(G46="","",MAX(0,G46-1.96*L46/100))</f>
        <v>0.32119784226312</v>
      </c>
      <c r="N46" s="40" t="n">
        <f aca="false">IF(G46="","",MIN(1,G46+1.96*L46/100))</f>
        <v>0.434700524343051</v>
      </c>
      <c r="O46" s="60" t="n">
        <f aca="false">ROUND(S46*W46,0)</f>
        <v>121</v>
      </c>
      <c r="P46" s="60" t="n">
        <f aca="false">IF(F46="","",ROUND(SQRT((F46*L46/100)^2+(G46*O46)^2),0))</f>
        <v>79</v>
      </c>
      <c r="R46" s="61" t="n">
        <v>-4.28687990459487</v>
      </c>
      <c r="S46" s="62" t="n">
        <f aca="false">U46*V46*$F$5</f>
        <v>2204.10505319149</v>
      </c>
      <c r="T46" s="63" t="n">
        <f aca="false">MAX(0,MIN(1,R46/100+$D$5))</f>
        <v>0.377839521048</v>
      </c>
      <c r="U46" s="63" t="n">
        <v>0.718417553191489</v>
      </c>
      <c r="V46" s="62" t="n">
        <v>3068</v>
      </c>
      <c r="W46" s="63" t="n">
        <v>0.0547268472736556</v>
      </c>
      <c r="X46" s="64" t="s">
        <v>171</v>
      </c>
      <c r="Y46" s="64" t="s">
        <v>167</v>
      </c>
    </row>
    <row r="47" customFormat="false" ht="15" hidden="false" customHeight="false" outlineLevel="0" collapsed="false">
      <c r="A47" s="32" t="s">
        <v>192</v>
      </c>
      <c r="B47" s="32" t="s">
        <v>205</v>
      </c>
      <c r="C47" s="32" t="s">
        <v>164</v>
      </c>
      <c r="D47" s="60" t="n">
        <f aca="false">ROUND(S47*T47,0)</f>
        <v>444</v>
      </c>
      <c r="E47" s="60" t="n">
        <f aca="false">ROUND(S47,0)-D47</f>
        <v>793</v>
      </c>
      <c r="F47" s="60" t="n">
        <f aca="false">IF(COUNTA(D47:E47)=0,"",SUM(D47:E47))</f>
        <v>1237</v>
      </c>
      <c r="G47" s="40" t="n">
        <f aca="false">IF(OR(F47="",F47=0),"",D47/F47)</f>
        <v>0.3589329021827</v>
      </c>
      <c r="H47" s="40" t="n">
        <f aca="false">IF(OR(F47="",F47=0),"",E47/F47)</f>
        <v>0.6410670978173</v>
      </c>
      <c r="I47" s="32" t="s">
        <v>165</v>
      </c>
      <c r="J47" s="36" t="n">
        <v>3.66627757766473</v>
      </c>
      <c r="K47" s="36" t="n">
        <f aca="false">$K$8</f>
        <v>2.11861454545127</v>
      </c>
      <c r="L47" s="36" t="n">
        <f aca="false">SQRT(J47^2+K47^2)</f>
        <v>4.23439710805267</v>
      </c>
      <c r="M47" s="40" t="n">
        <f aca="false">IF(G47="","",MAX(0,G47-1.96*L47/100))</f>
        <v>0.275938718864868</v>
      </c>
      <c r="N47" s="40" t="n">
        <f aca="false">IF(G47="","",MIN(1,G47+1.96*L47/100))</f>
        <v>0.441927085500532</v>
      </c>
      <c r="O47" s="60" t="n">
        <f aca="false">ROUND(S47*W47,0)</f>
        <v>91</v>
      </c>
      <c r="P47" s="60" t="n">
        <f aca="false">IF(F47="","",ROUND(SQRT((F47*L47/100)^2+(G47*O47)^2),0))</f>
        <v>62</v>
      </c>
      <c r="R47" s="61" t="n">
        <v>-6.20575974704792</v>
      </c>
      <c r="S47" s="62" t="n">
        <f aca="false">U47*V47*$F$5</f>
        <v>1236.97340124505</v>
      </c>
      <c r="T47" s="63" t="n">
        <f aca="false">MAX(0,MIN(1,R47/100+$D$5))</f>
        <v>0.35865072262347</v>
      </c>
      <c r="U47" s="63" t="n">
        <v>0.688737973967176</v>
      </c>
      <c r="V47" s="62" t="n">
        <v>1796</v>
      </c>
      <c r="W47" s="63" t="n">
        <v>0.0732058935918866</v>
      </c>
      <c r="X47" s="64" t="s">
        <v>166</v>
      </c>
      <c r="Y47" s="64" t="s">
        <v>167</v>
      </c>
    </row>
    <row r="48" customFormat="false" ht="15" hidden="false" customHeight="false" outlineLevel="0" collapsed="false">
      <c r="A48" s="32" t="s">
        <v>192</v>
      </c>
      <c r="B48" s="32" t="s">
        <v>206</v>
      </c>
      <c r="C48" s="32" t="s">
        <v>164</v>
      </c>
      <c r="D48" s="60" t="n">
        <f aca="false">ROUND(S48*T48,0)</f>
        <v>693</v>
      </c>
      <c r="E48" s="60" t="n">
        <f aca="false">ROUND(S48,0)-D48</f>
        <v>1499</v>
      </c>
      <c r="F48" s="60" t="n">
        <f aca="false">IF(COUNTA(D48:E48)=0,"",SUM(D48:E48))</f>
        <v>2192</v>
      </c>
      <c r="G48" s="40" t="n">
        <f aca="false">IF(OR(F48="",F48=0),"",D48/F48)</f>
        <v>0.316149635036496</v>
      </c>
      <c r="H48" s="40" t="n">
        <f aca="false">IF(OR(F48="",F48=0),"",E48/F48)</f>
        <v>0.683850364963504</v>
      </c>
      <c r="I48" s="32" t="s">
        <v>165</v>
      </c>
      <c r="J48" s="36" t="n">
        <v>1.97364055856013</v>
      </c>
      <c r="K48" s="36" t="n">
        <f aca="false">$K$8</f>
        <v>2.11861454545127</v>
      </c>
      <c r="L48" s="36" t="n">
        <f aca="false">SQRT(J48^2+K48^2)</f>
        <v>2.89547658367171</v>
      </c>
      <c r="M48" s="40" t="n">
        <f aca="false">IF(G48="","",MAX(0,G48-1.96*L48/100))</f>
        <v>0.259398293996531</v>
      </c>
      <c r="N48" s="40" t="n">
        <f aca="false">IF(G48="","",MIN(1,G48+1.96*L48/100))</f>
        <v>0.372900976076462</v>
      </c>
      <c r="O48" s="60" t="n">
        <f aca="false">ROUND(S48*W48,0)</f>
        <v>120</v>
      </c>
      <c r="P48" s="60" t="n">
        <f aca="false">IF(F48="","",ROUND(SQRT((F48*L48/100)^2+(G48*O48)^2),0))</f>
        <v>74</v>
      </c>
      <c r="R48" s="61" t="n">
        <v>-10.4413901423681</v>
      </c>
      <c r="S48" s="62" t="n">
        <f aca="false">U48*V48*$F$5</f>
        <v>2191.88036117382</v>
      </c>
      <c r="T48" s="63" t="n">
        <f aca="false">MAX(0,MIN(1,R48/100+$D$5))</f>
        <v>0.316294418670268</v>
      </c>
      <c r="U48" s="63" t="n">
        <v>0.694292163818123</v>
      </c>
      <c r="V48" s="62" t="n">
        <v>3157</v>
      </c>
      <c r="W48" s="63" t="n">
        <v>0.0547268472736556</v>
      </c>
      <c r="X48" s="64" t="s">
        <v>171</v>
      </c>
      <c r="Y48" s="64" t="s">
        <v>167</v>
      </c>
    </row>
    <row r="49" customFormat="false" ht="15" hidden="false" customHeight="false" outlineLevel="0" collapsed="false">
      <c r="A49" s="32" t="s">
        <v>192</v>
      </c>
      <c r="B49" s="32" t="s">
        <v>207</v>
      </c>
      <c r="C49" s="32" t="s">
        <v>164</v>
      </c>
      <c r="D49" s="60" t="n">
        <f aca="false">ROUND(S49*T49,0)</f>
        <v>801</v>
      </c>
      <c r="E49" s="60" t="n">
        <f aca="false">ROUND(S49,0)-D49</f>
        <v>712</v>
      </c>
      <c r="F49" s="60" t="n">
        <f aca="false">IF(COUNTA(D49:E49)=0,"",SUM(D49:E49))</f>
        <v>1513</v>
      </c>
      <c r="G49" s="40" t="n">
        <f aca="false">IF(OR(F49="",F49=0),"",D49/F49)</f>
        <v>0.529411764705882</v>
      </c>
      <c r="H49" s="40" t="n">
        <f aca="false">IF(OR(F49="",F49=0),"",E49/F49)</f>
        <v>0.470588235294118</v>
      </c>
      <c r="I49" s="32" t="s">
        <v>165</v>
      </c>
      <c r="J49" s="36" t="n">
        <v>1.97364055856013</v>
      </c>
      <c r="K49" s="36" t="n">
        <f aca="false">$K$8</f>
        <v>2.11861454545127</v>
      </c>
      <c r="L49" s="36" t="n">
        <f aca="false">SQRT(J49^2+K49^2)</f>
        <v>2.89547658367171</v>
      </c>
      <c r="M49" s="40" t="n">
        <f aca="false">IF(G49="","",MAX(0,G49-1.96*L49/100))</f>
        <v>0.472660423665917</v>
      </c>
      <c r="N49" s="40" t="n">
        <f aca="false">IF(G49="","",MIN(1,G49+1.96*L49/100))</f>
        <v>0.586163105745848</v>
      </c>
      <c r="O49" s="60" t="n">
        <f aca="false">ROUND(S49*W49,0)</f>
        <v>83</v>
      </c>
      <c r="P49" s="60" t="n">
        <f aca="false">IF(F49="","",ROUND(SQRT((F49*L49/100)^2+(G49*O49)^2),0))</f>
        <v>62</v>
      </c>
      <c r="R49" s="61" t="n">
        <v>10.8899370458841</v>
      </c>
      <c r="S49" s="62" t="n">
        <f aca="false">U49*V49*$F$5</f>
        <v>1512.74151436031</v>
      </c>
      <c r="T49" s="63" t="n">
        <f aca="false">MAX(0,MIN(1,R49/100+$D$5))</f>
        <v>0.52960769055279</v>
      </c>
      <c r="U49" s="63" t="n">
        <v>0.616187989556136</v>
      </c>
      <c r="V49" s="62" t="n">
        <v>2455</v>
      </c>
      <c r="W49" s="63" t="n">
        <v>0.0547268472736556</v>
      </c>
      <c r="X49" s="64" t="s">
        <v>171</v>
      </c>
      <c r="Y49" s="64" t="s">
        <v>167</v>
      </c>
    </row>
    <row r="50" customFormat="false" ht="15" hidden="false" customHeight="false" outlineLevel="0" collapsed="false">
      <c r="A50" s="32" t="s">
        <v>192</v>
      </c>
      <c r="B50" s="32" t="s">
        <v>208</v>
      </c>
      <c r="C50" s="32" t="s">
        <v>164</v>
      </c>
      <c r="D50" s="60" t="n">
        <f aca="false">ROUND(S50*T50,0)</f>
        <v>3247</v>
      </c>
      <c r="E50" s="60" t="n">
        <f aca="false">ROUND(S50,0)-D50</f>
        <v>4650</v>
      </c>
      <c r="F50" s="60" t="n">
        <f aca="false">IF(COUNTA(D50:E50)=0,"",SUM(D50:E50))</f>
        <v>7897</v>
      </c>
      <c r="G50" s="40" t="n">
        <f aca="false">IF(OR(F50="",F50=0),"",D50/F50)</f>
        <v>0.411168798277827</v>
      </c>
      <c r="H50" s="40" t="n">
        <f aca="false">IF(OR(F50="",F50=0),"",E50/F50)</f>
        <v>0.588831201722173</v>
      </c>
      <c r="I50" s="32" t="s">
        <v>165</v>
      </c>
      <c r="J50" s="36" t="n">
        <v>2.59370925945702</v>
      </c>
      <c r="K50" s="36" t="n">
        <f aca="false">$K$8</f>
        <v>2.11861454545127</v>
      </c>
      <c r="L50" s="36" t="n">
        <f aca="false">SQRT(J50^2+K50^2)</f>
        <v>3.349008109096</v>
      </c>
      <c r="M50" s="40" t="n">
        <f aca="false">IF(G50="","",MAX(0,G50-1.96*L50/100))</f>
        <v>0.345528239339545</v>
      </c>
      <c r="N50" s="40" t="n">
        <f aca="false">IF(G50="","",MIN(1,G50+1.96*L50/100))</f>
        <v>0.476809357216109</v>
      </c>
      <c r="O50" s="60" t="n">
        <f aca="false">ROUND(S50*W50,0)</f>
        <v>384</v>
      </c>
      <c r="P50" s="60" t="n">
        <f aca="false">IF(F50="","",ROUND(SQRT((F50*L50/100)^2+(G50*O50)^2),0))</f>
        <v>308</v>
      </c>
      <c r="R50" s="61" t="n">
        <v>-0.956054907494445</v>
      </c>
      <c r="S50" s="62" t="n">
        <f aca="false">U50*V50*$F$5</f>
        <v>7896.5113304721</v>
      </c>
      <c r="T50" s="63" t="n">
        <f aca="false">MAX(0,MIN(1,R50/100+$D$5))</f>
        <v>0.411147771019004</v>
      </c>
      <c r="U50" s="63" t="n">
        <v>0.662403433476395</v>
      </c>
      <c r="V50" s="62" t="n">
        <v>11921</v>
      </c>
      <c r="W50" s="63" t="n">
        <v>0.0485820274397165</v>
      </c>
      <c r="X50" s="64" t="s">
        <v>187</v>
      </c>
      <c r="Y50" s="64" t="s">
        <v>167</v>
      </c>
    </row>
    <row r="51" customFormat="false" ht="15" hidden="false" customHeight="false" outlineLevel="0" collapsed="false">
      <c r="A51" s="32" t="s">
        <v>192</v>
      </c>
      <c r="B51" s="32" t="s">
        <v>209</v>
      </c>
      <c r="C51" s="32" t="s">
        <v>164</v>
      </c>
      <c r="D51" s="60" t="n">
        <f aca="false">ROUND(S51*T51,0)</f>
        <v>3189</v>
      </c>
      <c r="E51" s="60" t="n">
        <f aca="false">ROUND(S51,0)-D51</f>
        <v>3241</v>
      </c>
      <c r="F51" s="60" t="n">
        <f aca="false">IF(COUNTA(D51:E51)=0,"",SUM(D51:E51))</f>
        <v>6430</v>
      </c>
      <c r="G51" s="40" t="n">
        <f aca="false">IF(OR(F51="",F51=0),"",D51/F51)</f>
        <v>0.495956454121306</v>
      </c>
      <c r="H51" s="40" t="n">
        <f aca="false">IF(OR(F51="",F51=0),"",E51/F51)</f>
        <v>0.504043545878694</v>
      </c>
      <c r="I51" s="32" t="s">
        <v>165</v>
      </c>
      <c r="J51" s="36" t="n">
        <v>2.59370925945702</v>
      </c>
      <c r="K51" s="36" t="n">
        <f aca="false">$K$8</f>
        <v>2.11861454545127</v>
      </c>
      <c r="L51" s="36" t="n">
        <f aca="false">SQRT(J51^2+K51^2)</f>
        <v>3.349008109096</v>
      </c>
      <c r="M51" s="40" t="n">
        <f aca="false">IF(G51="","",MAX(0,G51-1.96*L51/100))</f>
        <v>0.430315895183025</v>
      </c>
      <c r="N51" s="40" t="n">
        <f aca="false">IF(G51="","",MIN(1,G51+1.96*L51/100))</f>
        <v>0.561597013059588</v>
      </c>
      <c r="O51" s="60" t="n">
        <f aca="false">ROUND(S51*W51,0)</f>
        <v>312</v>
      </c>
      <c r="P51" s="60" t="n">
        <f aca="false">IF(F51="","",ROUND(SQRT((F51*L51/100)^2+(G51*O51)^2),0))</f>
        <v>265</v>
      </c>
      <c r="R51" s="61" t="n">
        <v>7.53235179197681</v>
      </c>
      <c r="S51" s="62" t="n">
        <f aca="false">U51*V51*$F$5</f>
        <v>6429.9709076009</v>
      </c>
      <c r="T51" s="63" t="n">
        <f aca="false">MAX(0,MIN(1,R51/100+$D$5))</f>
        <v>0.496031838013717</v>
      </c>
      <c r="U51" s="63" t="n">
        <v>0.652325343167384</v>
      </c>
      <c r="V51" s="62" t="n">
        <v>9857</v>
      </c>
      <c r="W51" s="63" t="n">
        <v>0.0485820274397165</v>
      </c>
      <c r="X51" s="64" t="s">
        <v>187</v>
      </c>
      <c r="Y51" s="64" t="s">
        <v>167</v>
      </c>
    </row>
    <row r="52" customFormat="false" ht="15" hidden="false" customHeight="false" outlineLevel="0" collapsed="false">
      <c r="A52" s="32" t="s">
        <v>192</v>
      </c>
      <c r="B52" s="32" t="s">
        <v>210</v>
      </c>
      <c r="C52" s="32" t="s">
        <v>164</v>
      </c>
      <c r="D52" s="60" t="n">
        <f aca="false">ROUND(S52*T52,0)</f>
        <v>581</v>
      </c>
      <c r="E52" s="60" t="n">
        <f aca="false">ROUND(S52,0)-D52</f>
        <v>809</v>
      </c>
      <c r="F52" s="60" t="n">
        <f aca="false">IF(COUNTA(D52:E52)=0,"",SUM(D52:E52))</f>
        <v>1390</v>
      </c>
      <c r="G52" s="40" t="n">
        <f aca="false">IF(OR(F52="",F52=0),"",D52/F52)</f>
        <v>0.417985611510791</v>
      </c>
      <c r="H52" s="40" t="n">
        <f aca="false">IF(OR(F52="",F52=0),"",E52/F52)</f>
        <v>0.582014388489209</v>
      </c>
      <c r="I52" s="32" t="s">
        <v>165</v>
      </c>
      <c r="J52" s="36" t="n">
        <v>1.97364055856013</v>
      </c>
      <c r="K52" s="36" t="n">
        <f aca="false">$K$8</f>
        <v>2.11861454545127</v>
      </c>
      <c r="L52" s="36" t="n">
        <f aca="false">SQRT(J52^2+K52^2)</f>
        <v>2.89547658367171</v>
      </c>
      <c r="M52" s="40" t="n">
        <f aca="false">IF(G52="","",MAX(0,G52-1.96*L52/100))</f>
        <v>0.361234270470826</v>
      </c>
      <c r="N52" s="40" t="n">
        <f aca="false">IF(G52="","",MIN(1,G52+1.96*L52/100))</f>
        <v>0.474736952550757</v>
      </c>
      <c r="O52" s="60" t="n">
        <f aca="false">ROUND(S52*W52,0)</f>
        <v>76</v>
      </c>
      <c r="P52" s="60" t="n">
        <f aca="false">IF(F52="","",ROUND(SQRT((F52*L52/100)^2+(G52*O52)^2),0))</f>
        <v>51</v>
      </c>
      <c r="R52" s="61" t="n">
        <v>-0.241951004918393</v>
      </c>
      <c r="S52" s="62" t="n">
        <f aca="false">U52*V52*$F$5</f>
        <v>1390.15942028986</v>
      </c>
      <c r="T52" s="63" t="n">
        <f aca="false">MAX(0,MIN(1,R52/100+$D$5))</f>
        <v>0.418288810044765</v>
      </c>
      <c r="U52" s="63" t="n">
        <v>0.529181355268312</v>
      </c>
      <c r="V52" s="62" t="n">
        <v>2627</v>
      </c>
      <c r="W52" s="63" t="n">
        <v>0.0547268472736556</v>
      </c>
      <c r="X52" s="64" t="s">
        <v>171</v>
      </c>
      <c r="Y52" s="64" t="s">
        <v>167</v>
      </c>
    </row>
    <row r="53" customFormat="false" ht="15" hidden="false" customHeight="false" outlineLevel="0" collapsed="false">
      <c r="A53" s="32" t="s">
        <v>192</v>
      </c>
      <c r="B53" s="32" t="s">
        <v>211</v>
      </c>
      <c r="C53" s="32" t="s">
        <v>164</v>
      </c>
      <c r="D53" s="60" t="n">
        <f aca="false">ROUND(S53*T53,0)</f>
        <v>5648</v>
      </c>
      <c r="E53" s="60" t="n">
        <f aca="false">ROUND(S53,0)-D53</f>
        <v>4838</v>
      </c>
      <c r="F53" s="60" t="n">
        <f aca="false">IF(COUNTA(D53:E53)=0,"",SUM(D53:E53))</f>
        <v>10486</v>
      </c>
      <c r="G53" s="40" t="n">
        <f aca="false">IF(OR(F53="",F53=0),"",D53/F53)</f>
        <v>0.538622925805836</v>
      </c>
      <c r="H53" s="40" t="n">
        <f aca="false">IF(OR(F53="",F53=0),"",E53/F53)</f>
        <v>0.461377074194164</v>
      </c>
      <c r="I53" s="32" t="s">
        <v>165</v>
      </c>
      <c r="J53" s="36" t="n">
        <v>2.59370925945702</v>
      </c>
      <c r="K53" s="36" t="n">
        <f aca="false">$K$8</f>
        <v>2.11861454545127</v>
      </c>
      <c r="L53" s="36" t="n">
        <f aca="false">SQRT(J53^2+K53^2)</f>
        <v>3.349008109096</v>
      </c>
      <c r="M53" s="40" t="n">
        <f aca="false">IF(G53="","",MAX(0,G53-1.96*L53/100))</f>
        <v>0.472982366867555</v>
      </c>
      <c r="N53" s="40" t="n">
        <f aca="false">IF(G53="","",MIN(1,G53+1.96*L53/100))</f>
        <v>0.604263484744118</v>
      </c>
      <c r="O53" s="60" t="n">
        <f aca="false">ROUND(S53*W53,0)</f>
        <v>509</v>
      </c>
      <c r="P53" s="60" t="n">
        <f aca="false">IF(F53="","",ROUND(SQRT((F53*L53/100)^2+(G53*O53)^2),0))</f>
        <v>446</v>
      </c>
      <c r="R53" s="61" t="n">
        <v>11.7914425345334</v>
      </c>
      <c r="S53" s="62" t="n">
        <f aca="false">U53*V53*$F$5</f>
        <v>10486.1559171025</v>
      </c>
      <c r="T53" s="63" t="n">
        <f aca="false">MAX(0,MIN(1,R53/100+$D$5))</f>
        <v>0.538622745439283</v>
      </c>
      <c r="U53" s="63" t="n">
        <v>0.653302343598683</v>
      </c>
      <c r="V53" s="62" t="n">
        <v>16051</v>
      </c>
      <c r="W53" s="63" t="n">
        <v>0.0485820274397165</v>
      </c>
      <c r="X53" s="64" t="s">
        <v>187</v>
      </c>
      <c r="Y53" s="64" t="s">
        <v>167</v>
      </c>
    </row>
    <row r="54" customFormat="false" ht="15" hidden="false" customHeight="false" outlineLevel="0" collapsed="false">
      <c r="A54" s="32" t="s">
        <v>192</v>
      </c>
      <c r="B54" s="32" t="s">
        <v>212</v>
      </c>
      <c r="C54" s="32" t="s">
        <v>164</v>
      </c>
      <c r="D54" s="60" t="n">
        <f aca="false">ROUND(S54*T54,0)</f>
        <v>6225</v>
      </c>
      <c r="E54" s="60" t="n">
        <f aca="false">ROUND(S54,0)-D54</f>
        <v>5805</v>
      </c>
      <c r="F54" s="60" t="n">
        <f aca="false">IF(COUNTA(D54:E54)=0,"",SUM(D54:E54))</f>
        <v>12030</v>
      </c>
      <c r="G54" s="40" t="n">
        <f aca="false">IF(OR(F54="",F54=0),"",D54/F54)</f>
        <v>0.517456359102244</v>
      </c>
      <c r="H54" s="40" t="n">
        <f aca="false">IF(OR(F54="",F54=0),"",E54/F54)</f>
        <v>0.482543640897756</v>
      </c>
      <c r="I54" s="32" t="s">
        <v>165</v>
      </c>
      <c r="J54" s="36" t="n">
        <v>2.59370925945702</v>
      </c>
      <c r="K54" s="36" t="n">
        <f aca="false">$K$8</f>
        <v>2.11861454545127</v>
      </c>
      <c r="L54" s="36" t="n">
        <f aca="false">SQRT(J54^2+K54^2)</f>
        <v>3.349008109096</v>
      </c>
      <c r="M54" s="40" t="n">
        <f aca="false">IF(G54="","",MAX(0,G54-1.96*L54/100))</f>
        <v>0.451815800163963</v>
      </c>
      <c r="N54" s="40" t="n">
        <f aca="false">IF(G54="","",MIN(1,G54+1.96*L54/100))</f>
        <v>0.583096918040526</v>
      </c>
      <c r="O54" s="60" t="n">
        <f aca="false">ROUND(S54*W54,0)</f>
        <v>584</v>
      </c>
      <c r="P54" s="60" t="n">
        <f aca="false">IF(F54="","",ROUND(SQRT((F54*L54/100)^2+(G54*O54)^2),0))</f>
        <v>504</v>
      </c>
      <c r="R54" s="61" t="n">
        <v>9.67339275687507</v>
      </c>
      <c r="S54" s="62" t="n">
        <f aca="false">U54*V54*$F$5</f>
        <v>12030.3346699902</v>
      </c>
      <c r="T54" s="63" t="n">
        <f aca="false">MAX(0,MIN(1,R54/100+$D$5))</f>
        <v>0.5174422476627</v>
      </c>
      <c r="U54" s="63" t="n">
        <v>0.610490950471443</v>
      </c>
      <c r="V54" s="62" t="n">
        <v>19706</v>
      </c>
      <c r="W54" s="63" t="n">
        <v>0.0485820274397165</v>
      </c>
      <c r="X54" s="64" t="s">
        <v>187</v>
      </c>
      <c r="Y54" s="64" t="s">
        <v>167</v>
      </c>
    </row>
    <row r="55" customFormat="false" ht="15" hidden="false" customHeight="false" outlineLevel="0" collapsed="false">
      <c r="A55" s="32" t="s">
        <v>192</v>
      </c>
      <c r="B55" s="32" t="s">
        <v>213</v>
      </c>
      <c r="C55" s="32" t="s">
        <v>164</v>
      </c>
      <c r="D55" s="60" t="n">
        <f aca="false">ROUND(S55*T55,0)</f>
        <v>1988</v>
      </c>
      <c r="E55" s="60" t="n">
        <f aca="false">ROUND(S55,0)-D55</f>
        <v>2626</v>
      </c>
      <c r="F55" s="60" t="n">
        <f aca="false">IF(COUNTA(D55:E55)=0,"",SUM(D55:E55))</f>
        <v>4614</v>
      </c>
      <c r="G55" s="40" t="n">
        <f aca="false">IF(OR(F55="",F55=0),"",D55/F55)</f>
        <v>0.430862592110967</v>
      </c>
      <c r="H55" s="40" t="n">
        <f aca="false">IF(OR(F55="",F55=0),"",E55/F55)</f>
        <v>0.569137407889033</v>
      </c>
      <c r="I55" s="32" t="s">
        <v>165</v>
      </c>
      <c r="J55" s="36" t="n">
        <v>2.59370925945702</v>
      </c>
      <c r="K55" s="36" t="n">
        <f aca="false">$K$8</f>
        <v>2.11861454545127</v>
      </c>
      <c r="L55" s="36" t="n">
        <f aca="false">SQRT(J55^2+K55^2)</f>
        <v>3.349008109096</v>
      </c>
      <c r="M55" s="40" t="n">
        <f aca="false">IF(G55="","",MAX(0,G55-1.96*L55/100))</f>
        <v>0.365222033172685</v>
      </c>
      <c r="N55" s="40" t="n">
        <f aca="false">IF(G55="","",MIN(1,G55+1.96*L55/100))</f>
        <v>0.496503151049248</v>
      </c>
      <c r="O55" s="60" t="n">
        <f aca="false">ROUND(S55*W55,0)</f>
        <v>224</v>
      </c>
      <c r="P55" s="60" t="n">
        <f aca="false">IF(F55="","",ROUND(SQRT((F55*L55/100)^2+(G55*O55)^2),0))</f>
        <v>182</v>
      </c>
      <c r="R55" s="61" t="n">
        <v>1.01212996124777</v>
      </c>
      <c r="S55" s="62" t="n">
        <f aca="false">U55*V55*$F$5</f>
        <v>4613.50991276765</v>
      </c>
      <c r="T55" s="63" t="n">
        <f aca="false">MAX(0,MIN(1,R55/100+$D$5))</f>
        <v>0.430829619706427</v>
      </c>
      <c r="U55" s="63" t="n">
        <v>0.71086439333862</v>
      </c>
      <c r="V55" s="62" t="n">
        <v>6490</v>
      </c>
      <c r="W55" s="63" t="n">
        <v>0.0485820274397165</v>
      </c>
      <c r="X55" s="64" t="s">
        <v>187</v>
      </c>
      <c r="Y55" s="64" t="s">
        <v>167</v>
      </c>
    </row>
    <row r="56" customFormat="false" ht="15" hidden="false" customHeight="false" outlineLevel="0" collapsed="false">
      <c r="A56" s="32" t="s">
        <v>192</v>
      </c>
      <c r="B56" s="32" t="s">
        <v>214</v>
      </c>
      <c r="C56" s="32" t="s">
        <v>164</v>
      </c>
      <c r="D56" s="60" t="n">
        <f aca="false">ROUND(S56*T56,0)</f>
        <v>4554</v>
      </c>
      <c r="E56" s="60" t="n">
        <f aca="false">ROUND(S56,0)-D56</f>
        <v>4790</v>
      </c>
      <c r="F56" s="60" t="n">
        <f aca="false">IF(COUNTA(D56:E56)=0,"",SUM(D56:E56))</f>
        <v>9344</v>
      </c>
      <c r="G56" s="40" t="n">
        <f aca="false">IF(OR(F56="",F56=0),"",D56/F56)</f>
        <v>0.487371575342466</v>
      </c>
      <c r="H56" s="40" t="n">
        <f aca="false">IF(OR(F56="",F56=0),"",E56/F56)</f>
        <v>0.512628424657534</v>
      </c>
      <c r="I56" s="32" t="s">
        <v>165</v>
      </c>
      <c r="J56" s="36" t="n">
        <v>2.59370925945702</v>
      </c>
      <c r="K56" s="36" t="n">
        <f aca="false">$K$8</f>
        <v>2.11861454545127</v>
      </c>
      <c r="L56" s="36" t="n">
        <f aca="false">SQRT(J56^2+K56^2)</f>
        <v>3.349008109096</v>
      </c>
      <c r="M56" s="40" t="n">
        <f aca="false">IF(G56="","",MAX(0,G56-1.96*L56/100))</f>
        <v>0.421731016404184</v>
      </c>
      <c r="N56" s="40" t="n">
        <f aca="false">IF(G56="","",MIN(1,G56+1.96*L56/100))</f>
        <v>0.553012134280748</v>
      </c>
      <c r="O56" s="60" t="n">
        <f aca="false">ROUND(S56*W56,0)</f>
        <v>454</v>
      </c>
      <c r="P56" s="60" t="n">
        <f aca="false">IF(F56="","",ROUND(SQRT((F56*L56/100)^2+(G56*O56)^2),0))</f>
        <v>383</v>
      </c>
      <c r="R56" s="61" t="n">
        <v>6.67139635645724</v>
      </c>
      <c r="S56" s="62" t="n">
        <f aca="false">U56*V56*$F$5</f>
        <v>9343.93860561915</v>
      </c>
      <c r="T56" s="63" t="n">
        <f aca="false">MAX(0,MIN(1,R56/100+$D$5))</f>
        <v>0.487422283658521</v>
      </c>
      <c r="U56" s="63" t="n">
        <v>0.702393340270552</v>
      </c>
      <c r="V56" s="62" t="n">
        <v>13303</v>
      </c>
      <c r="W56" s="63" t="n">
        <v>0.0485820274397165</v>
      </c>
      <c r="X56" s="64" t="s">
        <v>187</v>
      </c>
      <c r="Y56" s="64" t="s">
        <v>167</v>
      </c>
    </row>
    <row r="57" customFormat="false" ht="15" hidden="false" customHeight="false" outlineLevel="0" collapsed="false">
      <c r="A57" s="32" t="s">
        <v>192</v>
      </c>
      <c r="B57" s="32" t="s">
        <v>215</v>
      </c>
      <c r="C57" s="32" t="s">
        <v>164</v>
      </c>
      <c r="D57" s="60" t="n">
        <f aca="false">ROUND(S57*T57,0)</f>
        <v>1022</v>
      </c>
      <c r="E57" s="60" t="n">
        <f aca="false">ROUND(S57,0)-D57</f>
        <v>2081</v>
      </c>
      <c r="F57" s="60" t="n">
        <f aca="false">IF(COUNTA(D57:E57)=0,"",SUM(D57:E57))</f>
        <v>3103</v>
      </c>
      <c r="G57" s="40" t="n">
        <f aca="false">IF(OR(F57="",F57=0),"",D57/F57)</f>
        <v>0.32935868514341</v>
      </c>
      <c r="H57" s="40" t="n">
        <f aca="false">IF(OR(F57="",F57=0),"",E57/F57)</f>
        <v>0.67064131485659</v>
      </c>
      <c r="I57" s="32" t="s">
        <v>165</v>
      </c>
      <c r="J57" s="36" t="n">
        <v>2.59370925945702</v>
      </c>
      <c r="K57" s="36" t="n">
        <f aca="false">$K$8</f>
        <v>2.11861454545127</v>
      </c>
      <c r="L57" s="36" t="n">
        <f aca="false">SQRT(J57^2+K57^2)</f>
        <v>3.349008109096</v>
      </c>
      <c r="M57" s="40" t="n">
        <f aca="false">IF(G57="","",MAX(0,G57-1.96*L57/100))</f>
        <v>0.263718126205128</v>
      </c>
      <c r="N57" s="40" t="n">
        <f aca="false">IF(G57="","",MIN(1,G57+1.96*L57/100))</f>
        <v>0.394999244081691</v>
      </c>
      <c r="O57" s="60" t="n">
        <f aca="false">ROUND(S57*W57,0)</f>
        <v>151</v>
      </c>
      <c r="P57" s="60" t="n">
        <f aca="false">IF(F57="","",ROUND(SQRT((F57*L57/100)^2+(G57*O57)^2),0))</f>
        <v>115</v>
      </c>
      <c r="R57" s="61" t="n">
        <v>-9.14594189907065</v>
      </c>
      <c r="S57" s="62" t="n">
        <f aca="false">U57*V57*$F$5</f>
        <v>3102.86358754028</v>
      </c>
      <c r="T57" s="63" t="n">
        <f aca="false">MAX(0,MIN(1,R57/100+$D$5))</f>
        <v>0.329248901103242</v>
      </c>
      <c r="U57" s="63" t="n">
        <v>0.645757250268529</v>
      </c>
      <c r="V57" s="62" t="n">
        <v>4805</v>
      </c>
      <c r="W57" s="63" t="n">
        <v>0.0485820274397165</v>
      </c>
      <c r="X57" s="64" t="s">
        <v>187</v>
      </c>
      <c r="Y57" s="64" t="s">
        <v>167</v>
      </c>
    </row>
    <row r="58" customFormat="false" ht="15" hidden="false" customHeight="false" outlineLevel="0" collapsed="false">
      <c r="A58" s="32" t="s">
        <v>192</v>
      </c>
      <c r="B58" s="32" t="s">
        <v>216</v>
      </c>
      <c r="C58" s="32" t="s">
        <v>164</v>
      </c>
      <c r="D58" s="60" t="n">
        <f aca="false">ROUND(S58*T58,0)</f>
        <v>967</v>
      </c>
      <c r="E58" s="60" t="n">
        <f aca="false">ROUND(S58,0)-D58</f>
        <v>1773</v>
      </c>
      <c r="F58" s="60" t="n">
        <f aca="false">IF(COUNTA(D58:E58)=0,"",SUM(D58:E58))</f>
        <v>2740</v>
      </c>
      <c r="G58" s="40" t="n">
        <f aca="false">IF(OR(F58="",F58=0),"",D58/F58)</f>
        <v>0.352919708029197</v>
      </c>
      <c r="H58" s="40" t="n">
        <f aca="false">IF(OR(F58="",F58=0),"",E58/F58)</f>
        <v>0.647080291970803</v>
      </c>
      <c r="I58" s="32" t="s">
        <v>165</v>
      </c>
      <c r="J58" s="36" t="n">
        <v>1.97364055856013</v>
      </c>
      <c r="K58" s="36" t="n">
        <f aca="false">$K$8</f>
        <v>2.11861454545127</v>
      </c>
      <c r="L58" s="36" t="n">
        <f aca="false">SQRT(J58^2+K58^2)</f>
        <v>2.89547658367171</v>
      </c>
      <c r="M58" s="40" t="n">
        <f aca="false">IF(G58="","",MAX(0,G58-1.96*L58/100))</f>
        <v>0.296168366989232</v>
      </c>
      <c r="N58" s="40" t="n">
        <f aca="false">IF(G58="","",MIN(1,G58+1.96*L58/100))</f>
        <v>0.409671049069163</v>
      </c>
      <c r="O58" s="60" t="n">
        <f aca="false">ROUND(S58*W58,0)</f>
        <v>150</v>
      </c>
      <c r="P58" s="60" t="n">
        <f aca="false">IF(F58="","",ROUND(SQRT((F58*L58/100)^2+(G58*O58)^2),0))</f>
        <v>95</v>
      </c>
      <c r="R58" s="61" t="n">
        <v>-6.77382083288146</v>
      </c>
      <c r="S58" s="62" t="n">
        <f aca="false">U58*V58*$F$5</f>
        <v>2739.5017118778</v>
      </c>
      <c r="T58" s="63" t="n">
        <f aca="false">MAX(0,MIN(1,R58/100+$D$5))</f>
        <v>0.352970111765134</v>
      </c>
      <c r="U58" s="63" t="n">
        <v>0.708980774295496</v>
      </c>
      <c r="V58" s="62" t="n">
        <v>3864</v>
      </c>
      <c r="W58" s="63" t="n">
        <v>0.0547268472736556</v>
      </c>
      <c r="X58" s="64" t="s">
        <v>171</v>
      </c>
      <c r="Y58" s="64" t="s">
        <v>167</v>
      </c>
    </row>
    <row r="59" customFormat="false" ht="15" hidden="false" customHeight="false" outlineLevel="0" collapsed="false">
      <c r="A59" s="32" t="s">
        <v>192</v>
      </c>
      <c r="B59" s="32" t="s">
        <v>217</v>
      </c>
      <c r="C59" s="32" t="s">
        <v>164</v>
      </c>
      <c r="D59" s="60" t="n">
        <f aca="false">ROUND(S59*T59,0)</f>
        <v>5426</v>
      </c>
      <c r="E59" s="60" t="n">
        <f aca="false">ROUND(S59,0)-D59</f>
        <v>5078</v>
      </c>
      <c r="F59" s="60" t="n">
        <f aca="false">IF(COUNTA(D59:E59)=0,"",SUM(D59:E59))</f>
        <v>10504</v>
      </c>
      <c r="G59" s="40" t="n">
        <f aca="false">IF(OR(F59="",F59=0),"",D59/F59)</f>
        <v>0.516565118050267</v>
      </c>
      <c r="H59" s="40" t="n">
        <f aca="false">IF(OR(F59="",F59=0),"",E59/F59)</f>
        <v>0.483434881949733</v>
      </c>
      <c r="I59" s="32" t="s">
        <v>165</v>
      </c>
      <c r="J59" s="36" t="n">
        <v>2.59370925945702</v>
      </c>
      <c r="K59" s="36" t="n">
        <f aca="false">$K$8</f>
        <v>2.11861454545127</v>
      </c>
      <c r="L59" s="36" t="n">
        <f aca="false">SQRT(J59^2+K59^2)</f>
        <v>3.349008109096</v>
      </c>
      <c r="M59" s="40" t="n">
        <f aca="false">IF(G59="","",MAX(0,G59-1.96*L59/100))</f>
        <v>0.450924559111985</v>
      </c>
      <c r="N59" s="40" t="n">
        <f aca="false">IF(G59="","",MIN(1,G59+1.96*L59/100))</f>
        <v>0.582205676988548</v>
      </c>
      <c r="O59" s="60" t="n">
        <f aca="false">ROUND(S59*W59,0)</f>
        <v>510</v>
      </c>
      <c r="P59" s="60" t="n">
        <f aca="false">IF(F59="","",ROUND(SQRT((F59*L59/100)^2+(G59*O59)^2),0))</f>
        <v>439</v>
      </c>
      <c r="R59" s="61" t="n">
        <v>9.58385938564524</v>
      </c>
      <c r="S59" s="62" t="n">
        <f aca="false">U59*V59*$F$5</f>
        <v>10504.2978562557</v>
      </c>
      <c r="T59" s="63" t="n">
        <f aca="false">MAX(0,MIN(1,R59/100+$D$5))</f>
        <v>0.516546913950401</v>
      </c>
      <c r="U59" s="63" t="n">
        <v>0.555753550407689</v>
      </c>
      <c r="V59" s="62" t="n">
        <v>18901</v>
      </c>
      <c r="W59" s="63" t="n">
        <v>0.0485820274397165</v>
      </c>
      <c r="X59" s="64" t="s">
        <v>187</v>
      </c>
      <c r="Y59" s="64" t="s">
        <v>167</v>
      </c>
    </row>
    <row r="60" customFormat="false" ht="15" hidden="false" customHeight="false" outlineLevel="0" collapsed="false">
      <c r="A60" s="32" t="s">
        <v>218</v>
      </c>
      <c r="B60" s="32" t="s">
        <v>219</v>
      </c>
      <c r="C60" s="32" t="s">
        <v>164</v>
      </c>
      <c r="D60" s="60" t="n">
        <f aca="false">ROUND(S60*T60,0)</f>
        <v>370</v>
      </c>
      <c r="E60" s="60" t="n">
        <f aca="false">ROUND(S60,0)-D60</f>
        <v>864</v>
      </c>
      <c r="F60" s="60" t="n">
        <f aca="false">IF(COUNTA(D60:E60)=0,"",SUM(D60:E60))</f>
        <v>1234</v>
      </c>
      <c r="G60" s="40" t="n">
        <f aca="false">IF(OR(F60="",F60=0),"",D60/F60)</f>
        <v>0.299837925445705</v>
      </c>
      <c r="H60" s="40" t="n">
        <f aca="false">IF(OR(F60="",F60=0),"",E60/F60)</f>
        <v>0.700162074554295</v>
      </c>
      <c r="I60" s="32" t="s">
        <v>165</v>
      </c>
      <c r="J60" s="36" t="n">
        <v>3.66627757766473</v>
      </c>
      <c r="K60" s="36" t="n">
        <f aca="false">$K$8</f>
        <v>2.11861454545127</v>
      </c>
      <c r="L60" s="36" t="n">
        <f aca="false">SQRT(J60^2+K60^2)</f>
        <v>4.23439710805267</v>
      </c>
      <c r="M60" s="40" t="n">
        <f aca="false">IF(G60="","",MAX(0,G60-1.96*L60/100))</f>
        <v>0.216843742127873</v>
      </c>
      <c r="N60" s="40" t="n">
        <f aca="false">IF(G60="","",MIN(1,G60+1.96*L60/100))</f>
        <v>0.382832108763537</v>
      </c>
      <c r="O60" s="60" t="n">
        <f aca="false">ROUND(S60*W60,0)</f>
        <v>90</v>
      </c>
      <c r="P60" s="60" t="n">
        <f aca="false">IF(F60="","",ROUND(SQRT((F60*L60/100)^2+(G60*O60)^2),0))</f>
        <v>59</v>
      </c>
      <c r="R60" s="61" t="n">
        <v>-12.1260656215083</v>
      </c>
      <c r="S60" s="62" t="n">
        <f aca="false">U60*V60*$F$5</f>
        <v>1234.45226917058</v>
      </c>
      <c r="T60" s="63" t="n">
        <f aca="false">MAX(0,MIN(1,R60/100+$D$5))</f>
        <v>0.299447663878866</v>
      </c>
      <c r="U60" s="63" t="n">
        <v>0.618153364632238</v>
      </c>
      <c r="V60" s="62" t="n">
        <v>1997</v>
      </c>
      <c r="W60" s="63" t="n">
        <v>0.0732058935918866</v>
      </c>
      <c r="X60" s="64" t="s">
        <v>166</v>
      </c>
      <c r="Y60" s="64" t="s">
        <v>167</v>
      </c>
    </row>
    <row r="61" customFormat="false" ht="15" hidden="false" customHeight="false" outlineLevel="0" collapsed="false">
      <c r="A61" s="32" t="s">
        <v>218</v>
      </c>
      <c r="B61" s="32" t="s">
        <v>220</v>
      </c>
      <c r="C61" s="32" t="s">
        <v>164</v>
      </c>
      <c r="D61" s="60" t="n">
        <f aca="false">ROUND(S61*T61,0)</f>
        <v>1061</v>
      </c>
      <c r="E61" s="60" t="n">
        <f aca="false">ROUND(S61,0)-D61</f>
        <v>2089</v>
      </c>
      <c r="F61" s="60" t="n">
        <f aca="false">IF(COUNTA(D61:E61)=0,"",SUM(D61:E61))</f>
        <v>3150</v>
      </c>
      <c r="G61" s="40" t="n">
        <f aca="false">IF(OR(F61="",F61=0),"",D61/F61)</f>
        <v>0.336825396825397</v>
      </c>
      <c r="H61" s="40" t="n">
        <f aca="false">IF(OR(F61="",F61=0),"",E61/F61)</f>
        <v>0.663174603174603</v>
      </c>
      <c r="I61" s="32" t="s">
        <v>165</v>
      </c>
      <c r="J61" s="36" t="n">
        <v>2.59370925945702</v>
      </c>
      <c r="K61" s="36" t="n">
        <f aca="false">$K$8</f>
        <v>2.11861454545127</v>
      </c>
      <c r="L61" s="36" t="n">
        <f aca="false">SQRT(J61^2+K61^2)</f>
        <v>3.349008109096</v>
      </c>
      <c r="M61" s="40" t="n">
        <f aca="false">IF(G61="","",MAX(0,G61-1.96*L61/100))</f>
        <v>0.271184837887115</v>
      </c>
      <c r="N61" s="40" t="n">
        <f aca="false">IF(G61="","",MIN(1,G61+1.96*L61/100))</f>
        <v>0.402465955763679</v>
      </c>
      <c r="O61" s="60" t="n">
        <f aca="false">ROUND(S61*W61,0)</f>
        <v>153</v>
      </c>
      <c r="P61" s="60" t="n">
        <f aca="false">IF(F61="","",ROUND(SQRT((F61*L61/100)^2+(G61*O61)^2),0))</f>
        <v>117</v>
      </c>
      <c r="R61" s="61" t="n">
        <v>-8.40394668525674</v>
      </c>
      <c r="S61" s="62" t="n">
        <f aca="false">U61*V61*$F$5</f>
        <v>3150.44851429639</v>
      </c>
      <c r="T61" s="63" t="n">
        <f aca="false">MAX(0,MIN(1,R61/100+$D$5))</f>
        <v>0.336668853241382</v>
      </c>
      <c r="U61" s="63" t="n">
        <v>0.56157727527565</v>
      </c>
      <c r="V61" s="62" t="n">
        <v>5610</v>
      </c>
      <c r="W61" s="63" t="n">
        <v>0.0485820274397165</v>
      </c>
      <c r="X61" s="64" t="s">
        <v>187</v>
      </c>
      <c r="Y61" s="64" t="s">
        <v>167</v>
      </c>
    </row>
    <row r="62" customFormat="false" ht="15" hidden="false" customHeight="false" outlineLevel="0" collapsed="false">
      <c r="A62" s="32" t="s">
        <v>218</v>
      </c>
      <c r="B62" s="32" t="s">
        <v>221</v>
      </c>
      <c r="C62" s="32" t="s">
        <v>164</v>
      </c>
      <c r="D62" s="60" t="n">
        <f aca="false">ROUND(S62*T62,0)</f>
        <v>395</v>
      </c>
      <c r="E62" s="60" t="n">
        <f aca="false">ROUND(S62,0)-D62</f>
        <v>776</v>
      </c>
      <c r="F62" s="60" t="n">
        <f aca="false">IF(COUNTA(D62:E62)=0,"",SUM(D62:E62))</f>
        <v>1171</v>
      </c>
      <c r="G62" s="40" t="n">
        <f aca="false">IF(OR(F62="",F62=0),"",D62/F62)</f>
        <v>0.33731853116994</v>
      </c>
      <c r="H62" s="40" t="n">
        <f aca="false">IF(OR(F62="",F62=0),"",E62/F62)</f>
        <v>0.66268146883006</v>
      </c>
      <c r="I62" s="32" t="s">
        <v>165</v>
      </c>
      <c r="J62" s="36" t="n">
        <v>3.66627757766473</v>
      </c>
      <c r="K62" s="36" t="n">
        <f aca="false">$K$8</f>
        <v>2.11861454545127</v>
      </c>
      <c r="L62" s="36" t="n">
        <f aca="false">SQRT(J62^2+K62^2)</f>
        <v>4.23439710805267</v>
      </c>
      <c r="M62" s="40" t="n">
        <f aca="false">IF(G62="","",MAX(0,G62-1.96*L62/100))</f>
        <v>0.254324347852108</v>
      </c>
      <c r="N62" s="40" t="n">
        <f aca="false">IF(G62="","",MIN(1,G62+1.96*L62/100))</f>
        <v>0.420312714487773</v>
      </c>
      <c r="O62" s="60" t="n">
        <f aca="false">ROUND(S62*W62,0)</f>
        <v>86</v>
      </c>
      <c r="P62" s="60" t="n">
        <f aca="false">IF(F62="","",ROUND(SQRT((F62*L62/100)^2+(G62*O62)^2),0))</f>
        <v>57</v>
      </c>
      <c r="R62" s="61" t="n">
        <v>-8.33109324689111</v>
      </c>
      <c r="S62" s="62" t="n">
        <f aca="false">U62*V62*$F$5</f>
        <v>1170.82273494654</v>
      </c>
      <c r="T62" s="63" t="n">
        <f aca="false">MAX(0,MIN(1,R62/100+$D$5))</f>
        <v>0.337397387625038</v>
      </c>
      <c r="U62" s="63" t="n">
        <v>0.625773776027012</v>
      </c>
      <c r="V62" s="62" t="n">
        <v>1871</v>
      </c>
      <c r="W62" s="63" t="n">
        <v>0.0732058935918866</v>
      </c>
      <c r="X62" s="64" t="s">
        <v>166</v>
      </c>
      <c r="Y62" s="64" t="s">
        <v>167</v>
      </c>
    </row>
    <row r="63" customFormat="false" ht="15" hidden="false" customHeight="false" outlineLevel="0" collapsed="false">
      <c r="A63" s="32" t="s">
        <v>222</v>
      </c>
      <c r="B63" s="32" t="s">
        <v>223</v>
      </c>
      <c r="C63" s="32" t="s">
        <v>164</v>
      </c>
      <c r="D63" s="60" t="n">
        <f aca="false">ROUND(S63*T63,0)</f>
        <v>1172</v>
      </c>
      <c r="E63" s="60" t="n">
        <f aca="false">ROUND(S63,0)-D63</f>
        <v>1535</v>
      </c>
      <c r="F63" s="60" t="n">
        <f aca="false">IF(COUNTA(D63:E63)=0,"",SUM(D63:E63))</f>
        <v>2707</v>
      </c>
      <c r="G63" s="40" t="n">
        <f aca="false">IF(OR(F63="",F63=0),"",D63/F63)</f>
        <v>0.432951606944958</v>
      </c>
      <c r="H63" s="40" t="n">
        <f aca="false">IF(OR(F63="",F63=0),"",E63/F63)</f>
        <v>0.567048393055043</v>
      </c>
      <c r="I63" s="32" t="s">
        <v>165</v>
      </c>
      <c r="J63" s="36" t="n">
        <v>1.97364055856013</v>
      </c>
      <c r="K63" s="36" t="n">
        <f aca="false">$K$8</f>
        <v>2.11861454545127</v>
      </c>
      <c r="L63" s="36" t="n">
        <f aca="false">SQRT(J63^2+K63^2)</f>
        <v>2.89547658367171</v>
      </c>
      <c r="M63" s="40" t="n">
        <f aca="false">IF(G63="","",MAX(0,G63-1.96*L63/100))</f>
        <v>0.376200265904992</v>
      </c>
      <c r="N63" s="40" t="n">
        <f aca="false">IF(G63="","",MIN(1,G63+1.96*L63/100))</f>
        <v>0.489702947984923</v>
      </c>
      <c r="O63" s="60" t="n">
        <f aca="false">ROUND(S63*W63,0)</f>
        <v>148</v>
      </c>
      <c r="P63" s="60" t="n">
        <f aca="false">IF(F63="","",ROUND(SQRT((F63*L63/100)^2+(G63*O63)^2),0))</f>
        <v>101</v>
      </c>
      <c r="R63" s="61" t="n">
        <v>1.21265878559419</v>
      </c>
      <c r="S63" s="62" t="n">
        <f aca="false">U63*V63*$F$5</f>
        <v>2707.41725054361</v>
      </c>
      <c r="T63" s="63" t="n">
        <f aca="false">MAX(0,MIN(1,R63/100+$D$5))</f>
        <v>0.432834907949891</v>
      </c>
      <c r="U63" s="63" t="n">
        <v>0.628171055810582</v>
      </c>
      <c r="V63" s="62" t="n">
        <v>4310</v>
      </c>
      <c r="W63" s="63" t="n">
        <v>0.0547268472736556</v>
      </c>
      <c r="X63" s="64" t="s">
        <v>171</v>
      </c>
      <c r="Y63" s="64" t="s">
        <v>167</v>
      </c>
    </row>
    <row r="64" customFormat="false" ht="15" hidden="false" customHeight="false" outlineLevel="0" collapsed="false">
      <c r="A64" s="32" t="s">
        <v>222</v>
      </c>
      <c r="B64" s="32" t="s">
        <v>224</v>
      </c>
      <c r="C64" s="32" t="s">
        <v>164</v>
      </c>
      <c r="D64" s="60" t="n">
        <f aca="false">ROUND(S64*T64,0)</f>
        <v>701</v>
      </c>
      <c r="E64" s="60" t="n">
        <f aca="false">ROUND(S64,0)-D64</f>
        <v>987</v>
      </c>
      <c r="F64" s="60" t="n">
        <f aca="false">IF(COUNTA(D64:E64)=0,"",SUM(D64:E64))</f>
        <v>1688</v>
      </c>
      <c r="G64" s="40" t="n">
        <f aca="false">IF(OR(F64="",F64=0),"",D64/F64)</f>
        <v>0.415284360189574</v>
      </c>
      <c r="H64" s="40" t="n">
        <f aca="false">IF(OR(F64="",F64=0),"",E64/F64)</f>
        <v>0.584715639810427</v>
      </c>
      <c r="I64" s="32" t="s">
        <v>165</v>
      </c>
      <c r="J64" s="36" t="n">
        <v>1.97364055856013</v>
      </c>
      <c r="K64" s="36" t="n">
        <f aca="false">$K$8</f>
        <v>2.11861454545127</v>
      </c>
      <c r="L64" s="36" t="n">
        <f aca="false">SQRT(J64^2+K64^2)</f>
        <v>2.89547658367171</v>
      </c>
      <c r="M64" s="40" t="n">
        <f aca="false">IF(G64="","",MAX(0,G64-1.96*L64/100))</f>
        <v>0.358533019149608</v>
      </c>
      <c r="N64" s="40" t="n">
        <f aca="false">IF(G64="","",MIN(1,G64+1.96*L64/100))</f>
        <v>0.472035701229539</v>
      </c>
      <c r="O64" s="60" t="n">
        <f aca="false">ROUND(S64*W64,0)</f>
        <v>92</v>
      </c>
      <c r="P64" s="60" t="n">
        <f aca="false">IF(F64="","",ROUND(SQRT((F64*L64/100)^2+(G64*O64)^2),0))</f>
        <v>62</v>
      </c>
      <c r="R64" s="61" t="n">
        <v>-0.551425139880019</v>
      </c>
      <c r="S64" s="62" t="n">
        <f aca="false">U64*V64*$F$5</f>
        <v>1687.9765578635</v>
      </c>
      <c r="T64" s="63" t="n">
        <f aca="false">MAX(0,MIN(1,R64/100+$D$5))</f>
        <v>0.415194068695149</v>
      </c>
      <c r="U64" s="63" t="n">
        <v>0.491691394658754</v>
      </c>
      <c r="V64" s="62" t="n">
        <v>3433</v>
      </c>
      <c r="W64" s="63" t="n">
        <v>0.0547268472736556</v>
      </c>
      <c r="X64" s="64" t="s">
        <v>171</v>
      </c>
      <c r="Y64" s="64" t="s">
        <v>167</v>
      </c>
    </row>
    <row r="65" customFormat="false" ht="15" hidden="false" customHeight="false" outlineLevel="0" collapsed="false">
      <c r="A65" s="32" t="s">
        <v>222</v>
      </c>
      <c r="B65" s="32" t="s">
        <v>225</v>
      </c>
      <c r="C65" s="32" t="s">
        <v>164</v>
      </c>
      <c r="D65" s="60" t="n">
        <f aca="false">ROUND(S65*T65,0)</f>
        <v>472</v>
      </c>
      <c r="E65" s="60" t="n">
        <f aca="false">ROUND(S65,0)-D65</f>
        <v>544</v>
      </c>
      <c r="F65" s="60" t="n">
        <f aca="false">IF(COUNTA(D65:E65)=0,"",SUM(D65:E65))</f>
        <v>1016</v>
      </c>
      <c r="G65" s="40" t="n">
        <f aca="false">IF(OR(F65="",F65=0),"",D65/F65)</f>
        <v>0.464566929133858</v>
      </c>
      <c r="H65" s="40" t="n">
        <f aca="false">IF(OR(F65="",F65=0),"",E65/F65)</f>
        <v>0.535433070866142</v>
      </c>
      <c r="I65" s="32" t="s">
        <v>165</v>
      </c>
      <c r="J65" s="36" t="n">
        <v>3.66627757766473</v>
      </c>
      <c r="K65" s="36" t="n">
        <f aca="false">$K$8</f>
        <v>2.11861454545127</v>
      </c>
      <c r="L65" s="36" t="n">
        <f aca="false">SQRT(J65^2+K65^2)</f>
        <v>4.23439710805267</v>
      </c>
      <c r="M65" s="40" t="n">
        <f aca="false">IF(G65="","",MAX(0,G65-1.96*L65/100))</f>
        <v>0.381572745816026</v>
      </c>
      <c r="N65" s="40" t="n">
        <f aca="false">IF(G65="","",MIN(1,G65+1.96*L65/100))</f>
        <v>0.547561112451691</v>
      </c>
      <c r="O65" s="60" t="n">
        <f aca="false">ROUND(S65*W65,0)</f>
        <v>74</v>
      </c>
      <c r="P65" s="60" t="n">
        <f aca="false">IF(F65="","",ROUND(SQRT((F65*L65/100)^2+(G65*O65)^2),0))</f>
        <v>55</v>
      </c>
      <c r="R65" s="61" t="n">
        <v>4.38535930908782</v>
      </c>
      <c r="S65" s="62" t="n">
        <f aca="false">U65*V65*$F$5</f>
        <v>1015.97556912826</v>
      </c>
      <c r="T65" s="63" t="n">
        <f aca="false">MAX(0,MIN(1,R65/100+$D$5))</f>
        <v>0.464561913184827</v>
      </c>
      <c r="U65" s="63" t="n">
        <v>0.529705719044975</v>
      </c>
      <c r="V65" s="62" t="n">
        <v>1918</v>
      </c>
      <c r="W65" s="63" t="n">
        <v>0.0732058935918866</v>
      </c>
      <c r="X65" s="64" t="s">
        <v>166</v>
      </c>
      <c r="Y65" s="64" t="s">
        <v>167</v>
      </c>
    </row>
    <row r="66" customFormat="false" ht="15" hidden="false" customHeight="false" outlineLevel="0" collapsed="false">
      <c r="A66" s="32" t="s">
        <v>222</v>
      </c>
      <c r="B66" s="32" t="s">
        <v>195</v>
      </c>
      <c r="C66" s="32" t="s">
        <v>164</v>
      </c>
      <c r="D66" s="60" t="n">
        <f aca="false">ROUND(S66*T66,0)</f>
        <v>12580</v>
      </c>
      <c r="E66" s="60" t="n">
        <f aca="false">ROUND(S66,0)-D66</f>
        <v>6392</v>
      </c>
      <c r="F66" s="60" t="n">
        <f aca="false">IF(COUNTA(D66:E66)=0,"",SUM(D66:E66))</f>
        <v>18972</v>
      </c>
      <c r="G66" s="40" t="n">
        <f aca="false">IF(OR(F66="",F66=0),"",D66/F66)</f>
        <v>0.663082437275986</v>
      </c>
      <c r="H66" s="40" t="n">
        <f aca="false">IF(OR(F66="",F66=0),"",E66/F66)</f>
        <v>0.336917562724014</v>
      </c>
      <c r="I66" s="32" t="s">
        <v>165</v>
      </c>
      <c r="J66" s="36" t="n">
        <v>2.59370925945702</v>
      </c>
      <c r="K66" s="36" t="n">
        <f aca="false">$K$8</f>
        <v>2.11861454545127</v>
      </c>
      <c r="L66" s="36" t="n">
        <f aca="false">SQRT(J66^2+K66^2)</f>
        <v>3.349008109096</v>
      </c>
      <c r="M66" s="40" t="n">
        <f aca="false">IF(G66="","",MAX(0,G66-1.96*L66/100))</f>
        <v>0.597441878337704</v>
      </c>
      <c r="N66" s="40" t="n">
        <f aca="false">IF(G66="","",MIN(1,G66+1.96*L66/100))</f>
        <v>0.728722996214267</v>
      </c>
      <c r="O66" s="60" t="n">
        <f aca="false">ROUND(S66*W66,0)</f>
        <v>922</v>
      </c>
      <c r="P66" s="60" t="n">
        <f aca="false">IF(F66="","",ROUND(SQRT((F66*L66/100)^2+(G66*O66)^2),0))</f>
        <v>882</v>
      </c>
      <c r="R66" s="61" t="n">
        <v>24.233708663059</v>
      </c>
      <c r="S66" s="62" t="n">
        <f aca="false">U66*V66*$F$5</f>
        <v>18972.4050126369</v>
      </c>
      <c r="T66" s="63" t="n">
        <f aca="false">MAX(0,MIN(1,R66/100+$D$5))</f>
        <v>0.663045406724539</v>
      </c>
      <c r="U66" s="63" t="n">
        <v>0.476358466722831</v>
      </c>
      <c r="V66" s="62" t="n">
        <v>39828</v>
      </c>
      <c r="W66" s="63" t="n">
        <v>0.0485820274397165</v>
      </c>
      <c r="X66" s="64" t="s">
        <v>187</v>
      </c>
      <c r="Y66" s="64" t="s">
        <v>167</v>
      </c>
    </row>
    <row r="67" customFormat="false" ht="15" hidden="false" customHeight="false" outlineLevel="0" collapsed="false">
      <c r="A67" s="32" t="s">
        <v>222</v>
      </c>
      <c r="B67" s="32" t="s">
        <v>226</v>
      </c>
      <c r="C67" s="32" t="s">
        <v>164</v>
      </c>
      <c r="D67" s="60" t="n">
        <f aca="false">ROUND(S67*T67,0)</f>
        <v>6782</v>
      </c>
      <c r="E67" s="60" t="n">
        <f aca="false">ROUND(S67,0)-D67</f>
        <v>5967</v>
      </c>
      <c r="F67" s="60" t="n">
        <f aca="false">IF(COUNTA(D67:E67)=0,"",SUM(D67:E67))</f>
        <v>12749</v>
      </c>
      <c r="G67" s="40" t="n">
        <f aca="false">IF(OR(F67="",F67=0),"",D67/F67)</f>
        <v>0.531963291238529</v>
      </c>
      <c r="H67" s="40" t="n">
        <f aca="false">IF(OR(F67="",F67=0),"",E67/F67)</f>
        <v>0.468036708761471</v>
      </c>
      <c r="I67" s="32" t="s">
        <v>165</v>
      </c>
      <c r="J67" s="36" t="n">
        <v>2.59370925945702</v>
      </c>
      <c r="K67" s="36" t="n">
        <f aca="false">$K$8</f>
        <v>2.11861454545127</v>
      </c>
      <c r="L67" s="36" t="n">
        <f aca="false">SQRT(J67^2+K67^2)</f>
        <v>3.349008109096</v>
      </c>
      <c r="M67" s="40" t="n">
        <f aca="false">IF(G67="","",MAX(0,G67-1.96*L67/100))</f>
        <v>0.466322732300247</v>
      </c>
      <c r="N67" s="40" t="n">
        <f aca="false">IF(G67="","",MIN(1,G67+1.96*L67/100))</f>
        <v>0.59760385017681</v>
      </c>
      <c r="O67" s="60" t="n">
        <f aca="false">ROUND(S67*W67,0)</f>
        <v>619</v>
      </c>
      <c r="P67" s="60" t="n">
        <f aca="false">IF(F67="","",ROUND(SQRT((F67*L67/100)^2+(G67*O67)^2),0))</f>
        <v>539</v>
      </c>
      <c r="R67" s="61" t="n">
        <v>11.1269678592408</v>
      </c>
      <c r="S67" s="62" t="n">
        <f aca="false">U67*V67*$F$5</f>
        <v>12748.560475162</v>
      </c>
      <c r="T67" s="63" t="n">
        <f aca="false">MAX(0,MIN(1,R67/100+$D$5))</f>
        <v>0.531977998686357</v>
      </c>
      <c r="U67" s="63" t="n">
        <v>0.629589632829374</v>
      </c>
      <c r="V67" s="62" t="n">
        <v>20249</v>
      </c>
      <c r="W67" s="63" t="n">
        <v>0.0485820274397165</v>
      </c>
      <c r="X67" s="64" t="s">
        <v>187</v>
      </c>
      <c r="Y67" s="64" t="s">
        <v>167</v>
      </c>
    </row>
    <row r="68" customFormat="false" ht="15" hidden="false" customHeight="false" outlineLevel="0" collapsed="false">
      <c r="A68" s="32" t="s">
        <v>222</v>
      </c>
      <c r="B68" s="32" t="s">
        <v>227</v>
      </c>
      <c r="C68" s="32" t="s">
        <v>164</v>
      </c>
      <c r="D68" s="60" t="n">
        <f aca="false">ROUND(S68*T68,0)</f>
        <v>1690</v>
      </c>
      <c r="E68" s="60" t="n">
        <f aca="false">ROUND(S68,0)-D68</f>
        <v>2733</v>
      </c>
      <c r="F68" s="60" t="n">
        <f aca="false">IF(COUNTA(D68:E68)=0,"",SUM(D68:E68))</f>
        <v>4423</v>
      </c>
      <c r="G68" s="40" t="n">
        <f aca="false">IF(OR(F68="",F68=0),"",D68/F68)</f>
        <v>0.382093601627854</v>
      </c>
      <c r="H68" s="40" t="n">
        <f aca="false">IF(OR(F68="",F68=0),"",E68/F68)</f>
        <v>0.617906398372146</v>
      </c>
      <c r="I68" s="32" t="s">
        <v>165</v>
      </c>
      <c r="J68" s="36" t="n">
        <v>2.59370925945702</v>
      </c>
      <c r="K68" s="36" t="n">
        <f aca="false">$K$8</f>
        <v>2.11861454545127</v>
      </c>
      <c r="L68" s="36" t="n">
        <f aca="false">SQRT(J68^2+K68^2)</f>
        <v>3.349008109096</v>
      </c>
      <c r="M68" s="40" t="n">
        <f aca="false">IF(G68="","",MAX(0,G68-1.96*L68/100))</f>
        <v>0.316453042689573</v>
      </c>
      <c r="N68" s="40" t="n">
        <f aca="false">IF(G68="","",MIN(1,G68+1.96*L68/100))</f>
        <v>0.447734160566136</v>
      </c>
      <c r="O68" s="60" t="n">
        <f aca="false">ROUND(S68*W68,0)</f>
        <v>215</v>
      </c>
      <c r="P68" s="60" t="n">
        <f aca="false">IF(F68="","",ROUND(SQRT((F68*L68/100)^2+(G68*O68)^2),0))</f>
        <v>169</v>
      </c>
      <c r="R68" s="61" t="n">
        <v>-3.86267745951666</v>
      </c>
      <c r="S68" s="62" t="n">
        <f aca="false">U68*V68*$F$5</f>
        <v>4422.68236877524</v>
      </c>
      <c r="T68" s="63" t="n">
        <f aca="false">MAX(0,MIN(1,R68/100+$D$5))</f>
        <v>0.382081545498782</v>
      </c>
      <c r="U68" s="63" t="n">
        <v>0.657843577089876</v>
      </c>
      <c r="V68" s="62" t="n">
        <v>6723</v>
      </c>
      <c r="W68" s="63" t="n">
        <v>0.0485820274397165</v>
      </c>
      <c r="X68" s="64" t="s">
        <v>187</v>
      </c>
      <c r="Y68" s="64" t="s">
        <v>167</v>
      </c>
    </row>
    <row r="69" customFormat="false" ht="15" hidden="false" customHeight="false" outlineLevel="0" collapsed="false">
      <c r="A69" s="32" t="s">
        <v>222</v>
      </c>
      <c r="B69" s="32" t="s">
        <v>228</v>
      </c>
      <c r="C69" s="32" t="s">
        <v>164</v>
      </c>
      <c r="D69" s="60" t="n">
        <f aca="false">ROUND(S69*T69,0)</f>
        <v>34</v>
      </c>
      <c r="E69" s="60" t="n">
        <f aca="false">ROUND(S69,0)-D69</f>
        <v>63</v>
      </c>
      <c r="F69" s="60" t="n">
        <f aca="false">IF(COUNTA(D69:E69)=0,"",SUM(D69:E69))</f>
        <v>97</v>
      </c>
      <c r="G69" s="40" t="n">
        <f aca="false">IF(OR(F69="",F69=0),"",D69/F69)</f>
        <v>0.350515463917526</v>
      </c>
      <c r="H69" s="40" t="n">
        <f aca="false">IF(OR(F69="",F69=0),"",E69/F69)</f>
        <v>0.649484536082474</v>
      </c>
      <c r="I69" s="32" t="s">
        <v>165</v>
      </c>
      <c r="J69" s="36" t="n">
        <v>3.66627757766473</v>
      </c>
      <c r="K69" s="36" t="n">
        <f aca="false">$K$8</f>
        <v>2.11861454545127</v>
      </c>
      <c r="L69" s="36" t="n">
        <f aca="false">SQRT(J69^2+K69^2)</f>
        <v>4.23439710805267</v>
      </c>
      <c r="M69" s="40" t="n">
        <f aca="false">IF(G69="","",MAX(0,G69-1.96*L69/100))</f>
        <v>0.267521280599693</v>
      </c>
      <c r="N69" s="40" t="n">
        <f aca="false">IF(G69="","",MIN(1,G69+1.96*L69/100))</f>
        <v>0.433509647235358</v>
      </c>
      <c r="O69" s="60" t="n">
        <f aca="false">ROUND(S69*W69,0)</f>
        <v>7</v>
      </c>
      <c r="P69" s="60" t="n">
        <f aca="false">IF(F69="","",ROUND(SQRT((F69*L69/100)^2+(G69*O69)^2),0))</f>
        <v>5</v>
      </c>
      <c r="R69" s="61" t="n">
        <v>-6.62572323279019</v>
      </c>
      <c r="S69" s="62" t="n">
        <f aca="false">U69*V69*$F$5</f>
        <v>97.2992700729927</v>
      </c>
      <c r="T69" s="63" t="n">
        <f aca="false">MAX(0,MIN(1,R69/100+$D$5))</f>
        <v>0.354451087766047</v>
      </c>
      <c r="U69" s="63" t="n">
        <v>0.627737226277372</v>
      </c>
      <c r="V69" s="62" t="n">
        <v>155</v>
      </c>
      <c r="W69" s="63" t="n">
        <v>0.0732058935918866</v>
      </c>
      <c r="X69" s="64" t="s">
        <v>166</v>
      </c>
      <c r="Y69" s="64" t="s">
        <v>167</v>
      </c>
    </row>
    <row r="70" customFormat="false" ht="15" hidden="false" customHeight="false" outlineLevel="0" collapsed="false">
      <c r="A70" s="32" t="s">
        <v>222</v>
      </c>
      <c r="B70" s="32" t="s">
        <v>229</v>
      </c>
      <c r="C70" s="32" t="s">
        <v>164</v>
      </c>
      <c r="D70" s="60" t="n">
        <f aca="false">ROUND(S70*T70,0)</f>
        <v>1141</v>
      </c>
      <c r="E70" s="60" t="n">
        <f aca="false">ROUND(S70,0)-D70</f>
        <v>1500</v>
      </c>
      <c r="F70" s="60" t="n">
        <f aca="false">IF(COUNTA(D70:E70)=0,"",SUM(D70:E70))</f>
        <v>2641</v>
      </c>
      <c r="G70" s="40" t="n">
        <f aca="false">IF(OR(F70="",F70=0),"",D70/F70)</f>
        <v>0.432033320711852</v>
      </c>
      <c r="H70" s="40" t="n">
        <f aca="false">IF(OR(F70="",F70=0),"",E70/F70)</f>
        <v>0.567966679288149</v>
      </c>
      <c r="I70" s="32" t="s">
        <v>165</v>
      </c>
      <c r="J70" s="36" t="n">
        <v>1.97364055856013</v>
      </c>
      <c r="K70" s="36" t="n">
        <f aca="false">$K$8</f>
        <v>2.11861454545127</v>
      </c>
      <c r="L70" s="36" t="n">
        <f aca="false">SQRT(J70^2+K70^2)</f>
        <v>2.89547658367171</v>
      </c>
      <c r="M70" s="40" t="n">
        <f aca="false">IF(G70="","",MAX(0,G70-1.96*L70/100))</f>
        <v>0.375281979671886</v>
      </c>
      <c r="N70" s="40" t="n">
        <f aca="false">IF(G70="","",MIN(1,G70+1.96*L70/100))</f>
        <v>0.488784661751817</v>
      </c>
      <c r="O70" s="60" t="n">
        <f aca="false">ROUND(S70*W70,0)</f>
        <v>145</v>
      </c>
      <c r="P70" s="60" t="n">
        <f aca="false">IF(F70="","",ROUND(SQRT((F70*L70/100)^2+(G70*O70)^2),0))</f>
        <v>99</v>
      </c>
      <c r="R70" s="61" t="n">
        <v>1.15242752166496</v>
      </c>
      <c r="S70" s="62" t="n">
        <f aca="false">U70*V70*$F$5</f>
        <v>2640.91189093663</v>
      </c>
      <c r="T70" s="63" t="n">
        <f aca="false">MAX(0,MIN(1,R70/100+$D$5))</f>
        <v>0.432232595310599</v>
      </c>
      <c r="U70" s="63" t="n">
        <v>0.635445594546832</v>
      </c>
      <c r="V70" s="62" t="n">
        <v>4156</v>
      </c>
      <c r="W70" s="63" t="n">
        <v>0.0547268472736556</v>
      </c>
      <c r="X70" s="64" t="s">
        <v>171</v>
      </c>
      <c r="Y70" s="64" t="s">
        <v>167</v>
      </c>
    </row>
    <row r="71" customFormat="false" ht="15" hidden="false" customHeight="false" outlineLevel="0" collapsed="false">
      <c r="A71" s="32" t="s">
        <v>222</v>
      </c>
      <c r="B71" s="32" t="s">
        <v>230</v>
      </c>
      <c r="C71" s="32" t="s">
        <v>164</v>
      </c>
      <c r="D71" s="60" t="n">
        <f aca="false">ROUND(S71*T71,0)</f>
        <v>141</v>
      </c>
      <c r="E71" s="60" t="n">
        <f aca="false">ROUND(S71,0)-D71</f>
        <v>219</v>
      </c>
      <c r="F71" s="60" t="n">
        <f aca="false">IF(COUNTA(D71:E71)=0,"",SUM(D71:E71))</f>
        <v>360</v>
      </c>
      <c r="G71" s="40" t="n">
        <f aca="false">IF(OR(F71="",F71=0),"",D71/F71)</f>
        <v>0.391666666666667</v>
      </c>
      <c r="H71" s="40" t="n">
        <f aca="false">IF(OR(F71="",F71=0),"",E71/F71)</f>
        <v>0.608333333333333</v>
      </c>
      <c r="I71" s="32" t="s">
        <v>165</v>
      </c>
      <c r="J71" s="36" t="n">
        <v>3.66627757766473</v>
      </c>
      <c r="K71" s="36" t="n">
        <f aca="false">$K$8</f>
        <v>2.11861454545127</v>
      </c>
      <c r="L71" s="36" t="n">
        <f aca="false">SQRT(J71^2+K71^2)</f>
        <v>4.23439710805267</v>
      </c>
      <c r="M71" s="40" t="n">
        <f aca="false">IF(G71="","",MAX(0,G71-1.96*L71/100))</f>
        <v>0.308672483348834</v>
      </c>
      <c r="N71" s="40" t="n">
        <f aca="false">IF(G71="","",MIN(1,G71+1.96*L71/100))</f>
        <v>0.474660849984499</v>
      </c>
      <c r="O71" s="60" t="n">
        <f aca="false">ROUND(S71*W71,0)</f>
        <v>26</v>
      </c>
      <c r="P71" s="60" t="n">
        <f aca="false">IF(F71="","",ROUND(SQRT((F71*L71/100)^2+(G71*O71)^2),0))</f>
        <v>18</v>
      </c>
      <c r="R71" s="61" t="n">
        <v>-2.97020090557899</v>
      </c>
      <c r="S71" s="62" t="n">
        <f aca="false">U71*V71*$F$5</f>
        <v>360.236842105263</v>
      </c>
      <c r="T71" s="63" t="n">
        <f aca="false">MAX(0,MIN(1,R71/100+$D$5))</f>
        <v>0.391006311038159</v>
      </c>
      <c r="U71" s="63" t="n">
        <v>0.513157894736842</v>
      </c>
      <c r="V71" s="62" t="n">
        <v>702</v>
      </c>
      <c r="W71" s="63" t="n">
        <v>0.0732058935918866</v>
      </c>
      <c r="X71" s="64" t="s">
        <v>166</v>
      </c>
      <c r="Y71" s="64" t="s">
        <v>167</v>
      </c>
    </row>
    <row r="72" customFormat="false" ht="15" hidden="false" customHeight="false" outlineLevel="0" collapsed="false">
      <c r="A72" s="32" t="s">
        <v>222</v>
      </c>
      <c r="B72" s="32" t="s">
        <v>231</v>
      </c>
      <c r="C72" s="32" t="s">
        <v>164</v>
      </c>
      <c r="D72" s="60" t="n">
        <f aca="false">ROUND(S72*T72,0)</f>
        <v>5063</v>
      </c>
      <c r="E72" s="60" t="n">
        <f aca="false">ROUND(S72,0)-D72</f>
        <v>2234</v>
      </c>
      <c r="F72" s="60" t="n">
        <f aca="false">IF(COUNTA(D72:E72)=0,"",SUM(D72:E72))</f>
        <v>7297</v>
      </c>
      <c r="G72" s="40" t="n">
        <f aca="false">IF(OR(F72="",F72=0),"",D72/F72)</f>
        <v>0.693846786350555</v>
      </c>
      <c r="H72" s="40" t="n">
        <f aca="false">IF(OR(F72="",F72=0),"",E72/F72)</f>
        <v>0.306153213649445</v>
      </c>
      <c r="I72" s="32" t="s">
        <v>165</v>
      </c>
      <c r="J72" s="36" t="n">
        <v>2.59370925945702</v>
      </c>
      <c r="K72" s="36" t="n">
        <f aca="false">$K$8</f>
        <v>2.11861454545127</v>
      </c>
      <c r="L72" s="36" t="n">
        <f aca="false">SQRT(J72^2+K72^2)</f>
        <v>3.349008109096</v>
      </c>
      <c r="M72" s="40" t="n">
        <f aca="false">IF(G72="","",MAX(0,G72-1.96*L72/100))</f>
        <v>0.628206227412273</v>
      </c>
      <c r="N72" s="40" t="n">
        <f aca="false">IF(G72="","",MIN(1,G72+1.96*L72/100))</f>
        <v>0.759487345288837</v>
      </c>
      <c r="O72" s="60" t="n">
        <f aca="false">ROUND(S72*W72,0)</f>
        <v>355</v>
      </c>
      <c r="P72" s="60" t="n">
        <f aca="false">IF(F72="","",ROUND(SQRT((F72*L72/100)^2+(G72*O72)^2),0))</f>
        <v>347</v>
      </c>
      <c r="R72" s="61" t="n">
        <v>27.3098403379266</v>
      </c>
      <c r="S72" s="62" t="n">
        <f aca="false">U72*V72*$F$5</f>
        <v>7297.15979682392</v>
      </c>
      <c r="T72" s="63" t="n">
        <f aca="false">MAX(0,MIN(1,R72/100+$D$5))</f>
        <v>0.693806723473215</v>
      </c>
      <c r="U72" s="63" t="n">
        <v>0.414117234936945</v>
      </c>
      <c r="V72" s="62" t="n">
        <v>17621</v>
      </c>
      <c r="W72" s="63" t="n">
        <v>0.0485820274397165</v>
      </c>
      <c r="X72" s="64" t="s">
        <v>187</v>
      </c>
      <c r="Y72" s="64" t="s">
        <v>167</v>
      </c>
    </row>
    <row r="73" customFormat="false" ht="15" hidden="false" customHeight="false" outlineLevel="0" collapsed="false">
      <c r="A73" s="32" t="s">
        <v>222</v>
      </c>
      <c r="B73" s="32" t="s">
        <v>232</v>
      </c>
      <c r="C73" s="32" t="s">
        <v>164</v>
      </c>
      <c r="D73" s="60" t="n">
        <f aca="false">ROUND(S73*T73,0)</f>
        <v>4229</v>
      </c>
      <c r="E73" s="60" t="n">
        <f aca="false">ROUND(S73,0)-D73</f>
        <v>3946</v>
      </c>
      <c r="F73" s="60" t="n">
        <f aca="false">IF(COUNTA(D73:E73)=0,"",SUM(D73:E73))</f>
        <v>8175</v>
      </c>
      <c r="G73" s="40" t="n">
        <f aca="false">IF(OR(F73="",F73=0),"",D73/F73)</f>
        <v>0.517308868501529</v>
      </c>
      <c r="H73" s="40" t="n">
        <f aca="false">IF(OR(F73="",F73=0),"",E73/F73)</f>
        <v>0.482691131498471</v>
      </c>
      <c r="I73" s="32" t="s">
        <v>165</v>
      </c>
      <c r="J73" s="36" t="n">
        <v>2.59370925945702</v>
      </c>
      <c r="K73" s="36" t="n">
        <f aca="false">$K$8</f>
        <v>2.11861454545127</v>
      </c>
      <c r="L73" s="36" t="n">
        <f aca="false">SQRT(J73^2+K73^2)</f>
        <v>3.349008109096</v>
      </c>
      <c r="M73" s="40" t="n">
        <f aca="false">IF(G73="","",MAX(0,G73-1.96*L73/100))</f>
        <v>0.451668309563247</v>
      </c>
      <c r="N73" s="40" t="n">
        <f aca="false">IF(G73="","",MIN(1,G73+1.96*L73/100))</f>
        <v>0.582949427439811</v>
      </c>
      <c r="O73" s="60" t="n">
        <f aca="false">ROUND(S73*W73,0)</f>
        <v>397</v>
      </c>
      <c r="P73" s="60" t="n">
        <f aca="false">IF(F73="","",ROUND(SQRT((F73*L73/100)^2+(G73*O73)^2),0))</f>
        <v>342</v>
      </c>
      <c r="R73" s="61" t="n">
        <v>9.66460233086953</v>
      </c>
      <c r="S73" s="62" t="n">
        <f aca="false">U73*V73*$F$5</f>
        <v>8175.00272606901</v>
      </c>
      <c r="T73" s="63" t="n">
        <f aca="false">MAX(0,MIN(1,R73/100+$D$5))</f>
        <v>0.517354343402644</v>
      </c>
      <c r="U73" s="63" t="n">
        <v>0.618428226497391</v>
      </c>
      <c r="V73" s="62" t="n">
        <v>13219</v>
      </c>
      <c r="W73" s="63" t="n">
        <v>0.0485820274397165</v>
      </c>
      <c r="X73" s="64" t="s">
        <v>187</v>
      </c>
      <c r="Y73" s="64" t="s">
        <v>167</v>
      </c>
    </row>
    <row r="74" customFormat="false" ht="15" hidden="false" customHeight="false" outlineLevel="0" collapsed="false">
      <c r="A74" s="32" t="s">
        <v>222</v>
      </c>
      <c r="B74" s="32" t="s">
        <v>233</v>
      </c>
      <c r="C74" s="32" t="s">
        <v>164</v>
      </c>
      <c r="D74" s="60" t="n">
        <f aca="false">ROUND(S74*T74,0)</f>
        <v>482</v>
      </c>
      <c r="E74" s="60" t="n">
        <f aca="false">ROUND(S74,0)-D74</f>
        <v>329</v>
      </c>
      <c r="F74" s="60" t="n">
        <f aca="false">IF(COUNTA(D74:E74)=0,"",SUM(D74:E74))</f>
        <v>811</v>
      </c>
      <c r="G74" s="40" t="n">
        <f aca="false">IF(OR(F74="",F74=0),"",D74/F74)</f>
        <v>0.594327990135635</v>
      </c>
      <c r="H74" s="40" t="n">
        <f aca="false">IF(OR(F74="",F74=0),"",E74/F74)</f>
        <v>0.405672009864365</v>
      </c>
      <c r="I74" s="32" t="s">
        <v>165</v>
      </c>
      <c r="J74" s="36" t="n">
        <v>3.66627757766473</v>
      </c>
      <c r="K74" s="36" t="n">
        <f aca="false">$K$8</f>
        <v>2.11861454545127</v>
      </c>
      <c r="L74" s="36" t="n">
        <f aca="false">SQRT(J74^2+K74^2)</f>
        <v>4.23439710805267</v>
      </c>
      <c r="M74" s="40" t="n">
        <f aca="false">IF(G74="","",MAX(0,G74-1.96*L74/100))</f>
        <v>0.511333806817803</v>
      </c>
      <c r="N74" s="40" t="n">
        <f aca="false">IF(G74="","",MIN(1,G74+1.96*L74/100))</f>
        <v>0.677322173453467</v>
      </c>
      <c r="O74" s="60" t="n">
        <f aca="false">ROUND(S74*W74,0)</f>
        <v>59</v>
      </c>
      <c r="P74" s="60" t="n">
        <f aca="false">IF(F74="","",ROUND(SQRT((F74*L74/100)^2+(G74*O74)^2),0))</f>
        <v>49</v>
      </c>
      <c r="R74" s="61" t="n">
        <v>17.3557351602063</v>
      </c>
      <c r="S74" s="62" t="n">
        <f aca="false">U74*V74*$F$5</f>
        <v>811.272251308901</v>
      </c>
      <c r="T74" s="63" t="n">
        <f aca="false">MAX(0,MIN(1,R74/100+$D$5))</f>
        <v>0.594265671696012</v>
      </c>
      <c r="U74" s="63" t="n">
        <v>0.424083769633508</v>
      </c>
      <c r="V74" s="62" t="n">
        <v>1913</v>
      </c>
      <c r="W74" s="63" t="n">
        <v>0.0732058935918866</v>
      </c>
      <c r="X74" s="64" t="s">
        <v>166</v>
      </c>
      <c r="Y74" s="64" t="s">
        <v>167</v>
      </c>
    </row>
    <row r="75" customFormat="false" ht="15" hidden="false" customHeight="false" outlineLevel="0" collapsed="false">
      <c r="A75" s="32" t="s">
        <v>222</v>
      </c>
      <c r="B75" s="32" t="s">
        <v>234</v>
      </c>
      <c r="C75" s="32" t="s">
        <v>164</v>
      </c>
      <c r="D75" s="60" t="n">
        <f aca="false">ROUND(S75*T75,0)</f>
        <v>74</v>
      </c>
      <c r="E75" s="60" t="n">
        <f aca="false">ROUND(S75,0)-D75</f>
        <v>70</v>
      </c>
      <c r="F75" s="60" t="n">
        <f aca="false">IF(COUNTA(D75:E75)=0,"",SUM(D75:E75))</f>
        <v>144</v>
      </c>
      <c r="G75" s="40" t="n">
        <f aca="false">IF(OR(F75="",F75=0),"",D75/F75)</f>
        <v>0.513888888888889</v>
      </c>
      <c r="H75" s="40" t="n">
        <f aca="false">IF(OR(F75="",F75=0),"",E75/F75)</f>
        <v>0.486111111111111</v>
      </c>
      <c r="I75" s="32" t="s">
        <v>165</v>
      </c>
      <c r="J75" s="36" t="n">
        <v>3.66627757766473</v>
      </c>
      <c r="K75" s="36" t="n">
        <f aca="false">$K$8</f>
        <v>2.11861454545127</v>
      </c>
      <c r="L75" s="36" t="n">
        <f aca="false">SQRT(J75^2+K75^2)</f>
        <v>4.23439710805267</v>
      </c>
      <c r="M75" s="40" t="n">
        <f aca="false">IF(G75="","",MAX(0,G75-1.96*L75/100))</f>
        <v>0.430894705571057</v>
      </c>
      <c r="N75" s="40" t="n">
        <f aca="false">IF(G75="","",MIN(1,G75+1.96*L75/100))</f>
        <v>0.596883072206721</v>
      </c>
      <c r="O75" s="60" t="n">
        <f aca="false">ROUND(S75*W75,0)</f>
        <v>11</v>
      </c>
      <c r="P75" s="60" t="n">
        <f aca="false">IF(F75="","",ROUND(SQRT((F75*L75/100)^2+(G75*O75)^2),0))</f>
        <v>8</v>
      </c>
      <c r="R75" s="61" t="n">
        <v>9.49324485394028</v>
      </c>
      <c r="S75" s="62" t="n">
        <f aca="false">U75*V75*$F$5</f>
        <v>143.630597014925</v>
      </c>
      <c r="T75" s="63" t="n">
        <f aca="false">MAX(0,MIN(1,R75/100+$D$5))</f>
        <v>0.515640768633352</v>
      </c>
      <c r="U75" s="63" t="n">
        <v>0.526119402985075</v>
      </c>
      <c r="V75" s="62" t="n">
        <v>273</v>
      </c>
      <c r="W75" s="63" t="n">
        <v>0.0732058935918866</v>
      </c>
      <c r="X75" s="64" t="s">
        <v>166</v>
      </c>
      <c r="Y75" s="64" t="s">
        <v>167</v>
      </c>
    </row>
    <row r="76" customFormat="false" ht="15" hidden="false" customHeight="false" outlineLevel="0" collapsed="false">
      <c r="A76" s="32" t="s">
        <v>222</v>
      </c>
      <c r="B76" s="32" t="s">
        <v>201</v>
      </c>
      <c r="C76" s="32" t="s">
        <v>164</v>
      </c>
      <c r="D76" s="60" t="n">
        <f aca="false">ROUND(S76*T76,0)</f>
        <v>3476</v>
      </c>
      <c r="E76" s="60" t="n">
        <f aca="false">ROUND(S76,0)-D76</f>
        <v>2947</v>
      </c>
      <c r="F76" s="60" t="n">
        <f aca="false">IF(COUNTA(D76:E76)=0,"",SUM(D76:E76))</f>
        <v>6423</v>
      </c>
      <c r="G76" s="40" t="n">
        <f aca="false">IF(OR(F76="",F76=0),"",D76/F76)</f>
        <v>0.541180133893819</v>
      </c>
      <c r="H76" s="40" t="n">
        <f aca="false">IF(OR(F76="",F76=0),"",E76/F76)</f>
        <v>0.458819866106181</v>
      </c>
      <c r="I76" s="32" t="s">
        <v>165</v>
      </c>
      <c r="J76" s="36" t="n">
        <v>2.59370925945702</v>
      </c>
      <c r="K76" s="36" t="n">
        <f aca="false">$K$8</f>
        <v>2.11861454545127</v>
      </c>
      <c r="L76" s="36" t="n">
        <f aca="false">SQRT(J76^2+K76^2)</f>
        <v>3.349008109096</v>
      </c>
      <c r="M76" s="40" t="n">
        <f aca="false">IF(G76="","",MAX(0,G76-1.96*L76/100))</f>
        <v>0.475539574955537</v>
      </c>
      <c r="N76" s="40" t="n">
        <f aca="false">IF(G76="","",MIN(1,G76+1.96*L76/100))</f>
        <v>0.606820692832101</v>
      </c>
      <c r="O76" s="60" t="n">
        <f aca="false">ROUND(S76*W76,0)</f>
        <v>312</v>
      </c>
      <c r="P76" s="60" t="n">
        <f aca="false">IF(F76="","",ROUND(SQRT((F76*L76/100)^2+(G76*O76)^2),0))</f>
        <v>273</v>
      </c>
      <c r="R76" s="61" t="n">
        <v>12.0453669176072</v>
      </c>
      <c r="S76" s="62" t="n">
        <f aca="false">U76*V76*$F$5</f>
        <v>6422.70106427379</v>
      </c>
      <c r="T76" s="63" t="n">
        <f aca="false">MAX(0,MIN(1,R76/100+$D$5))</f>
        <v>0.541161989270021</v>
      </c>
      <c r="U76" s="63" t="n">
        <v>0.673309682804674</v>
      </c>
      <c r="V76" s="62" t="n">
        <v>9539</v>
      </c>
      <c r="W76" s="63" t="n">
        <v>0.0485820274397165</v>
      </c>
      <c r="X76" s="64" t="s">
        <v>187</v>
      </c>
      <c r="Y76" s="64" t="s">
        <v>167</v>
      </c>
    </row>
    <row r="77" customFormat="false" ht="15" hidden="false" customHeight="false" outlineLevel="0" collapsed="false">
      <c r="A77" s="32" t="s">
        <v>222</v>
      </c>
      <c r="B77" s="32" t="s">
        <v>235</v>
      </c>
      <c r="C77" s="32" t="s">
        <v>164</v>
      </c>
      <c r="D77" s="60" t="n">
        <f aca="false">ROUND(S77*T77,0)</f>
        <v>1356</v>
      </c>
      <c r="E77" s="60" t="n">
        <f aca="false">ROUND(S77,0)-D77</f>
        <v>1272</v>
      </c>
      <c r="F77" s="60" t="n">
        <f aca="false">IF(COUNTA(D77:E77)=0,"",SUM(D77:E77))</f>
        <v>2628</v>
      </c>
      <c r="G77" s="40" t="n">
        <f aca="false">IF(OR(F77="",F77=0),"",D77/F77)</f>
        <v>0.515981735159817</v>
      </c>
      <c r="H77" s="40" t="n">
        <f aca="false">IF(OR(F77="",F77=0),"",E77/F77)</f>
        <v>0.484018264840183</v>
      </c>
      <c r="I77" s="32" t="s">
        <v>165</v>
      </c>
      <c r="J77" s="36" t="n">
        <v>1.97364055856013</v>
      </c>
      <c r="K77" s="36" t="n">
        <f aca="false">$K$8</f>
        <v>2.11861454545127</v>
      </c>
      <c r="L77" s="36" t="n">
        <f aca="false">SQRT(J77^2+K77^2)</f>
        <v>2.89547658367171</v>
      </c>
      <c r="M77" s="40" t="n">
        <f aca="false">IF(G77="","",MAX(0,G77-1.96*L77/100))</f>
        <v>0.459230394119852</v>
      </c>
      <c r="N77" s="40" t="n">
        <f aca="false">IF(G77="","",MIN(1,G77+1.96*L77/100))</f>
        <v>0.572733076199783</v>
      </c>
      <c r="O77" s="60" t="n">
        <f aca="false">ROUND(S77*W77,0)</f>
        <v>144</v>
      </c>
      <c r="P77" s="60" t="n">
        <f aca="false">IF(F77="","",ROUND(SQRT((F77*L77/100)^2+(G77*O77)^2),0))</f>
        <v>106</v>
      </c>
      <c r="R77" s="61" t="n">
        <v>9.51033960565707</v>
      </c>
      <c r="S77" s="62" t="n">
        <f aca="false">U77*V77*$F$5</f>
        <v>2628.02463970246</v>
      </c>
      <c r="T77" s="63" t="n">
        <f aca="false">MAX(0,MIN(1,R77/100+$D$5))</f>
        <v>0.51581171615052</v>
      </c>
      <c r="U77" s="63" t="n">
        <v>0.598093909809391</v>
      </c>
      <c r="V77" s="62" t="n">
        <v>4394</v>
      </c>
      <c r="W77" s="63" t="n">
        <v>0.0547268472736556</v>
      </c>
      <c r="X77" s="64" t="s">
        <v>171</v>
      </c>
      <c r="Y77" s="64" t="s">
        <v>167</v>
      </c>
    </row>
    <row r="78" customFormat="false" ht="15" hidden="false" customHeight="false" outlineLevel="0" collapsed="false">
      <c r="A78" s="32" t="s">
        <v>222</v>
      </c>
      <c r="B78" s="32" t="s">
        <v>236</v>
      </c>
      <c r="C78" s="32" t="s">
        <v>164</v>
      </c>
      <c r="D78" s="60" t="n">
        <f aca="false">ROUND(S78*T78,0)</f>
        <v>1822</v>
      </c>
      <c r="E78" s="60" t="n">
        <f aca="false">ROUND(S78,0)-D78</f>
        <v>3517</v>
      </c>
      <c r="F78" s="60" t="n">
        <f aca="false">IF(COUNTA(D78:E78)=0,"",SUM(D78:E78))</f>
        <v>5339</v>
      </c>
      <c r="G78" s="40" t="n">
        <f aca="false">IF(OR(F78="",F78=0),"",D78/F78)</f>
        <v>0.341262408690766</v>
      </c>
      <c r="H78" s="40" t="n">
        <f aca="false">IF(OR(F78="",F78=0),"",E78/F78)</f>
        <v>0.658737591309234</v>
      </c>
      <c r="I78" s="32" t="s">
        <v>165</v>
      </c>
      <c r="J78" s="36" t="n">
        <v>2.59370925945702</v>
      </c>
      <c r="K78" s="36" t="n">
        <f aca="false">$K$8</f>
        <v>2.11861454545127</v>
      </c>
      <c r="L78" s="36" t="n">
        <f aca="false">SQRT(J78^2+K78^2)</f>
        <v>3.349008109096</v>
      </c>
      <c r="M78" s="40" t="n">
        <f aca="false">IF(G78="","",MAX(0,G78-1.96*L78/100))</f>
        <v>0.275621849752484</v>
      </c>
      <c r="N78" s="40" t="n">
        <f aca="false">IF(G78="","",MIN(1,G78+1.96*L78/100))</f>
        <v>0.406902967629048</v>
      </c>
      <c r="O78" s="60" t="n">
        <f aca="false">ROUND(S78*W78,0)</f>
        <v>259</v>
      </c>
      <c r="P78" s="60" t="n">
        <f aca="false">IF(F78="","",ROUND(SQRT((F78*L78/100)^2+(G78*O78)^2),0))</f>
        <v>199</v>
      </c>
      <c r="R78" s="61" t="n">
        <v>-7.9379997517616</v>
      </c>
      <c r="S78" s="62" t="n">
        <f aca="false">U78*V78*$F$5</f>
        <v>5339.13569131833</v>
      </c>
      <c r="T78" s="63" t="n">
        <f aca="false">MAX(0,MIN(1,R78/100+$D$5))</f>
        <v>0.341328322576333</v>
      </c>
      <c r="U78" s="63" t="n">
        <v>0.656720257234727</v>
      </c>
      <c r="V78" s="62" t="n">
        <v>8130</v>
      </c>
      <c r="W78" s="63" t="n">
        <v>0.0485820274397165</v>
      </c>
      <c r="X78" s="64" t="s">
        <v>187</v>
      </c>
      <c r="Y78" s="64" t="s">
        <v>167</v>
      </c>
    </row>
    <row r="79" customFormat="false" ht="15" hidden="false" customHeight="false" outlineLevel="0" collapsed="false">
      <c r="A79" s="32" t="s">
        <v>222</v>
      </c>
      <c r="B79" s="32" t="s">
        <v>237</v>
      </c>
      <c r="C79" s="32" t="s">
        <v>164</v>
      </c>
      <c r="D79" s="60" t="n">
        <f aca="false">ROUND(S79*T79,0)</f>
        <v>487</v>
      </c>
      <c r="E79" s="60" t="n">
        <f aca="false">ROUND(S79,0)-D79</f>
        <v>951</v>
      </c>
      <c r="F79" s="60" t="n">
        <f aca="false">IF(COUNTA(D79:E79)=0,"",SUM(D79:E79))</f>
        <v>1438</v>
      </c>
      <c r="G79" s="40" t="n">
        <f aca="false">IF(OR(F79="",F79=0),"",D79/F79)</f>
        <v>0.338664812239221</v>
      </c>
      <c r="H79" s="40" t="n">
        <f aca="false">IF(OR(F79="",F79=0),"",E79/F79)</f>
        <v>0.661335187760779</v>
      </c>
      <c r="I79" s="32" t="s">
        <v>165</v>
      </c>
      <c r="J79" s="36" t="n">
        <v>1.97364055856013</v>
      </c>
      <c r="K79" s="36" t="n">
        <f aca="false">$K$8</f>
        <v>2.11861454545127</v>
      </c>
      <c r="L79" s="36" t="n">
        <f aca="false">SQRT(J79^2+K79^2)</f>
        <v>2.89547658367171</v>
      </c>
      <c r="M79" s="40" t="n">
        <f aca="false">IF(G79="","",MAX(0,G79-1.96*L79/100))</f>
        <v>0.281913471199256</v>
      </c>
      <c r="N79" s="40" t="n">
        <f aca="false">IF(G79="","",MIN(1,G79+1.96*L79/100))</f>
        <v>0.395416153279187</v>
      </c>
      <c r="O79" s="60" t="n">
        <f aca="false">ROUND(S79*W79,0)</f>
        <v>79</v>
      </c>
      <c r="P79" s="60" t="n">
        <f aca="false">IF(F79="","",ROUND(SQRT((F79*L79/100)^2+(G79*O79)^2),0))</f>
        <v>49</v>
      </c>
      <c r="R79" s="61" t="n">
        <v>-8.19138641771189</v>
      </c>
      <c r="S79" s="62" t="n">
        <f aca="false">U79*V79*$F$5</f>
        <v>1437.5</v>
      </c>
      <c r="T79" s="63" t="n">
        <f aca="false">MAX(0,MIN(1,R79/100+$D$5))</f>
        <v>0.33879445591683</v>
      </c>
      <c r="U79" s="63" t="n">
        <v>0.625</v>
      </c>
      <c r="V79" s="62" t="n">
        <v>2300</v>
      </c>
      <c r="W79" s="63" t="n">
        <v>0.0547268472736556</v>
      </c>
      <c r="X79" s="64" t="s">
        <v>171</v>
      </c>
      <c r="Y79" s="64" t="s">
        <v>167</v>
      </c>
    </row>
    <row r="80" customFormat="false" ht="15" hidden="false" customHeight="false" outlineLevel="0" collapsed="false">
      <c r="A80" s="32" t="s">
        <v>222</v>
      </c>
      <c r="B80" s="32" t="s">
        <v>238</v>
      </c>
      <c r="C80" s="32" t="s">
        <v>164</v>
      </c>
      <c r="D80" s="60" t="n">
        <f aca="false">ROUND(S80*T80,0)</f>
        <v>1631</v>
      </c>
      <c r="E80" s="60" t="n">
        <f aca="false">ROUND(S80,0)-D80</f>
        <v>2091</v>
      </c>
      <c r="F80" s="60" t="n">
        <f aca="false">IF(COUNTA(D80:E80)=0,"",SUM(D80:E80))</f>
        <v>3722</v>
      </c>
      <c r="G80" s="40" t="n">
        <f aca="false">IF(OR(F80="",F80=0),"",D80/F80)</f>
        <v>0.438205265986029</v>
      </c>
      <c r="H80" s="40" t="n">
        <f aca="false">IF(OR(F80="",F80=0),"",E80/F80)</f>
        <v>0.561794734013971</v>
      </c>
      <c r="I80" s="32" t="s">
        <v>165</v>
      </c>
      <c r="J80" s="36" t="n">
        <v>2.59370925945702</v>
      </c>
      <c r="K80" s="36" t="n">
        <f aca="false">$K$8</f>
        <v>2.11861454545127</v>
      </c>
      <c r="L80" s="36" t="n">
        <f aca="false">SQRT(J80^2+K80^2)</f>
        <v>3.349008109096</v>
      </c>
      <c r="M80" s="40" t="n">
        <f aca="false">IF(G80="","",MAX(0,G80-1.96*L80/100))</f>
        <v>0.372564707047747</v>
      </c>
      <c r="N80" s="40" t="n">
        <f aca="false">IF(G80="","",MIN(1,G80+1.96*L80/100))</f>
        <v>0.503845824924311</v>
      </c>
      <c r="O80" s="60" t="n">
        <f aca="false">ROUND(S80*W80,0)</f>
        <v>181</v>
      </c>
      <c r="P80" s="60" t="n">
        <f aca="false">IF(F80="","",ROUND(SQRT((F80*L80/100)^2+(G80*O80)^2),0))</f>
        <v>148</v>
      </c>
      <c r="R80" s="61" t="n">
        <v>1.7562368646513</v>
      </c>
      <c r="S80" s="62" t="n">
        <f aca="false">U80*V80*$F$5</f>
        <v>3721.57991120977</v>
      </c>
      <c r="T80" s="63" t="n">
        <f aca="false">MAX(0,MIN(1,R80/100+$D$5))</f>
        <v>0.438270688740462</v>
      </c>
      <c r="U80" s="63" t="n">
        <v>0.684239733629301</v>
      </c>
      <c r="V80" s="62" t="n">
        <v>5439</v>
      </c>
      <c r="W80" s="63" t="n">
        <v>0.0485820274397165</v>
      </c>
      <c r="X80" s="64" t="s">
        <v>187</v>
      </c>
      <c r="Y80" s="64" t="s">
        <v>167</v>
      </c>
    </row>
    <row r="81" customFormat="false" ht="15" hidden="false" customHeight="false" outlineLevel="0" collapsed="false">
      <c r="A81" s="32" t="s">
        <v>222</v>
      </c>
      <c r="B81" s="32" t="s">
        <v>239</v>
      </c>
      <c r="C81" s="32" t="s">
        <v>164</v>
      </c>
      <c r="D81" s="60" t="n">
        <f aca="false">ROUND(S81*T81,0)</f>
        <v>2863</v>
      </c>
      <c r="E81" s="60" t="n">
        <f aca="false">ROUND(S81,0)-D81</f>
        <v>3061</v>
      </c>
      <c r="F81" s="60" t="n">
        <f aca="false">IF(COUNTA(D81:E81)=0,"",SUM(D81:E81))</f>
        <v>5924</v>
      </c>
      <c r="G81" s="40" t="n">
        <f aca="false">IF(OR(F81="",F81=0),"",D81/F81)</f>
        <v>0.483288318703579</v>
      </c>
      <c r="H81" s="40" t="n">
        <f aca="false">IF(OR(F81="",F81=0),"",E81/F81)</f>
        <v>0.516711681296421</v>
      </c>
      <c r="I81" s="32" t="s">
        <v>165</v>
      </c>
      <c r="J81" s="36" t="n">
        <v>2.59370925945702</v>
      </c>
      <c r="K81" s="36" t="n">
        <f aca="false">$K$8</f>
        <v>2.11861454545127</v>
      </c>
      <c r="L81" s="36" t="n">
        <f aca="false">SQRT(J81^2+K81^2)</f>
        <v>3.349008109096</v>
      </c>
      <c r="M81" s="40" t="n">
        <f aca="false">IF(G81="","",MAX(0,G81-1.96*L81/100))</f>
        <v>0.417647759765297</v>
      </c>
      <c r="N81" s="40" t="n">
        <f aca="false">IF(G81="","",MIN(1,G81+1.96*L81/100))</f>
        <v>0.54892887764186</v>
      </c>
      <c r="O81" s="60" t="n">
        <f aca="false">ROUND(S81*W81,0)</f>
        <v>288</v>
      </c>
      <c r="P81" s="60" t="n">
        <f aca="false">IF(F81="","",ROUND(SQRT((F81*L81/100)^2+(G81*O81)^2),0))</f>
        <v>242</v>
      </c>
      <c r="R81" s="61" t="n">
        <v>6.2480145528277</v>
      </c>
      <c r="S81" s="62" t="n">
        <f aca="false">U81*V81*$F$5</f>
        <v>5924.29823361823</v>
      </c>
      <c r="T81" s="63" t="n">
        <f aca="false">MAX(0,MIN(1,R81/100+$D$5))</f>
        <v>0.483188465622226</v>
      </c>
      <c r="U81" s="63" t="n">
        <v>0.675441595441595</v>
      </c>
      <c r="V81" s="62" t="n">
        <v>8771</v>
      </c>
      <c r="W81" s="63" t="n">
        <v>0.0485820274397165</v>
      </c>
      <c r="X81" s="64" t="s">
        <v>187</v>
      </c>
      <c r="Y81" s="64" t="s">
        <v>167</v>
      </c>
    </row>
    <row r="82" customFormat="false" ht="15" hidden="false" customHeight="false" outlineLevel="0" collapsed="false">
      <c r="A82" s="32" t="s">
        <v>222</v>
      </c>
      <c r="B82" s="32" t="s">
        <v>240</v>
      </c>
      <c r="C82" s="32" t="s">
        <v>164</v>
      </c>
      <c r="D82" s="60" t="n">
        <f aca="false">ROUND(S82*T82,0)</f>
        <v>1615</v>
      </c>
      <c r="E82" s="60" t="n">
        <f aca="false">ROUND(S82,0)-D82</f>
        <v>3233</v>
      </c>
      <c r="F82" s="60" t="n">
        <f aca="false">IF(COUNTA(D82:E82)=0,"",SUM(D82:E82))</f>
        <v>4848</v>
      </c>
      <c r="G82" s="40" t="n">
        <f aca="false">IF(OR(F82="",F82=0),"",D82/F82)</f>
        <v>0.333127062706271</v>
      </c>
      <c r="H82" s="40" t="n">
        <f aca="false">IF(OR(F82="",F82=0),"",E82/F82)</f>
        <v>0.666872937293729</v>
      </c>
      <c r="I82" s="32" t="s">
        <v>165</v>
      </c>
      <c r="J82" s="36" t="n">
        <v>2.59370925945702</v>
      </c>
      <c r="K82" s="36" t="n">
        <f aca="false">$K$8</f>
        <v>2.11861454545127</v>
      </c>
      <c r="L82" s="36" t="n">
        <f aca="false">SQRT(J82^2+K82^2)</f>
        <v>3.349008109096</v>
      </c>
      <c r="M82" s="40" t="n">
        <f aca="false">IF(G82="","",MAX(0,G82-1.96*L82/100))</f>
        <v>0.267486503767989</v>
      </c>
      <c r="N82" s="40" t="n">
        <f aca="false">IF(G82="","",MIN(1,G82+1.96*L82/100))</f>
        <v>0.398767621644552</v>
      </c>
      <c r="O82" s="60" t="n">
        <f aca="false">ROUND(S82*W82,0)</f>
        <v>236</v>
      </c>
      <c r="P82" s="60" t="n">
        <f aca="false">IF(F82="","",ROUND(SQRT((F82*L82/100)^2+(G82*O82)^2),0))</f>
        <v>180</v>
      </c>
      <c r="R82" s="61" t="n">
        <v>-8.76063177077343</v>
      </c>
      <c r="S82" s="62" t="n">
        <f aca="false">U82*V82*$F$5</f>
        <v>4848.29721362229</v>
      </c>
      <c r="T82" s="63" t="n">
        <f aca="false">MAX(0,MIN(1,R82/100+$D$5))</f>
        <v>0.333102002386215</v>
      </c>
      <c r="U82" s="63" t="n">
        <v>0.668730650154799</v>
      </c>
      <c r="V82" s="62" t="n">
        <v>7250</v>
      </c>
      <c r="W82" s="63" t="n">
        <v>0.0485820274397165</v>
      </c>
      <c r="X82" s="64" t="s">
        <v>187</v>
      </c>
      <c r="Y82" s="64" t="s">
        <v>167</v>
      </c>
    </row>
    <row r="83" customFormat="false" ht="15" hidden="false" customHeight="false" outlineLevel="0" collapsed="false">
      <c r="A83" s="32" t="s">
        <v>222</v>
      </c>
      <c r="B83" s="32" t="s">
        <v>241</v>
      </c>
      <c r="C83" s="32" t="s">
        <v>164</v>
      </c>
      <c r="D83" s="60" t="n">
        <f aca="false">ROUND(S83*T83,0)</f>
        <v>1245</v>
      </c>
      <c r="E83" s="60" t="n">
        <f aca="false">ROUND(S83,0)-D83</f>
        <v>1270</v>
      </c>
      <c r="F83" s="60" t="n">
        <f aca="false">IF(COUNTA(D83:E83)=0,"",SUM(D83:E83))</f>
        <v>2515</v>
      </c>
      <c r="G83" s="40" t="n">
        <f aca="false">IF(OR(F83="",F83=0),"",D83/F83)</f>
        <v>0.495029821073559</v>
      </c>
      <c r="H83" s="40" t="n">
        <f aca="false">IF(OR(F83="",F83=0),"",E83/F83)</f>
        <v>0.504970178926441</v>
      </c>
      <c r="I83" s="32" t="s">
        <v>165</v>
      </c>
      <c r="J83" s="36" t="n">
        <v>1.97364055856013</v>
      </c>
      <c r="K83" s="36" t="n">
        <f aca="false">$K$8</f>
        <v>2.11861454545127</v>
      </c>
      <c r="L83" s="36" t="n">
        <f aca="false">SQRT(J83^2+K83^2)</f>
        <v>2.89547658367171</v>
      </c>
      <c r="M83" s="40" t="n">
        <f aca="false">IF(G83="","",MAX(0,G83-1.96*L83/100))</f>
        <v>0.438278480033593</v>
      </c>
      <c r="N83" s="40" t="n">
        <f aca="false">IF(G83="","",MIN(1,G83+1.96*L83/100))</f>
        <v>0.551781162113524</v>
      </c>
      <c r="O83" s="60" t="n">
        <f aca="false">ROUND(S83*W83,0)</f>
        <v>138</v>
      </c>
      <c r="P83" s="60" t="n">
        <f aca="false">IF(F83="","",ROUND(SQRT((F83*L83/100)^2+(G83*O83)^2),0))</f>
        <v>100</v>
      </c>
      <c r="R83" s="61" t="n">
        <v>7.45077218671849</v>
      </c>
      <c r="S83" s="62" t="n">
        <f aca="false">U83*V83*$F$5</f>
        <v>2514.75925477861</v>
      </c>
      <c r="T83" s="63" t="n">
        <f aca="false">MAX(0,MIN(1,R83/100+$D$5))</f>
        <v>0.495216041961134</v>
      </c>
      <c r="U83" s="63" t="n">
        <v>0.595209291071861</v>
      </c>
      <c r="V83" s="62" t="n">
        <v>4225</v>
      </c>
      <c r="W83" s="63" t="n">
        <v>0.0547268472736556</v>
      </c>
      <c r="X83" s="64" t="s">
        <v>171</v>
      </c>
      <c r="Y83" s="64" t="s">
        <v>167</v>
      </c>
    </row>
    <row r="84" customFormat="false" ht="15" hidden="false" customHeight="false" outlineLevel="0" collapsed="false">
      <c r="A84" s="32" t="s">
        <v>222</v>
      </c>
      <c r="B84" s="32" t="s">
        <v>242</v>
      </c>
      <c r="C84" s="32" t="s">
        <v>164</v>
      </c>
      <c r="D84" s="60" t="n">
        <f aca="false">ROUND(S84*T84,0)</f>
        <v>703</v>
      </c>
      <c r="E84" s="60" t="n">
        <f aca="false">ROUND(S84,0)-D84</f>
        <v>725</v>
      </c>
      <c r="F84" s="60" t="n">
        <f aca="false">IF(COUNTA(D84:E84)=0,"",SUM(D84:E84))</f>
        <v>1428</v>
      </c>
      <c r="G84" s="40" t="n">
        <f aca="false">IF(OR(F84="",F84=0),"",D84/F84)</f>
        <v>0.492296918767507</v>
      </c>
      <c r="H84" s="40" t="n">
        <f aca="false">IF(OR(F84="",F84=0),"",E84/F84)</f>
        <v>0.507703081232493</v>
      </c>
      <c r="I84" s="32" t="s">
        <v>165</v>
      </c>
      <c r="J84" s="36" t="n">
        <v>1.97364055856013</v>
      </c>
      <c r="K84" s="36" t="n">
        <f aca="false">$K$8</f>
        <v>2.11861454545127</v>
      </c>
      <c r="L84" s="36" t="n">
        <f aca="false">SQRT(J84^2+K84^2)</f>
        <v>2.89547658367171</v>
      </c>
      <c r="M84" s="40" t="n">
        <f aca="false">IF(G84="","",MAX(0,G84-1.96*L84/100))</f>
        <v>0.435545577727541</v>
      </c>
      <c r="N84" s="40" t="n">
        <f aca="false">IF(G84="","",MIN(1,G84+1.96*L84/100))</f>
        <v>0.549048259807473</v>
      </c>
      <c r="O84" s="60" t="n">
        <f aca="false">ROUND(S84*W84,0)</f>
        <v>78</v>
      </c>
      <c r="P84" s="60" t="n">
        <f aca="false">IF(F84="","",ROUND(SQRT((F84*L84/100)^2+(G84*O84)^2),0))</f>
        <v>56</v>
      </c>
      <c r="R84" s="61" t="n">
        <v>7.1561491877859</v>
      </c>
      <c r="S84" s="62" t="n">
        <f aca="false">U84*V84*$F$5</f>
        <v>1427.54656265236</v>
      </c>
      <c r="T84" s="63" t="n">
        <f aca="false">MAX(0,MIN(1,R84/100+$D$5))</f>
        <v>0.492269811971808</v>
      </c>
      <c r="U84" s="63" t="n">
        <v>0.623110677718186</v>
      </c>
      <c r="V84" s="62" t="n">
        <v>2291</v>
      </c>
      <c r="W84" s="63" t="n">
        <v>0.0547268472736556</v>
      </c>
      <c r="X84" s="64" t="s">
        <v>171</v>
      </c>
      <c r="Y84" s="64" t="s">
        <v>167</v>
      </c>
    </row>
    <row r="85" customFormat="false" ht="15" hidden="false" customHeight="false" outlineLevel="0" collapsed="false">
      <c r="A85" s="32" t="s">
        <v>222</v>
      </c>
      <c r="B85" s="32" t="s">
        <v>243</v>
      </c>
      <c r="C85" s="32" t="s">
        <v>164</v>
      </c>
      <c r="D85" s="60" t="n">
        <f aca="false">ROUND(S85*T85,0)</f>
        <v>1966</v>
      </c>
      <c r="E85" s="60" t="n">
        <f aca="false">ROUND(S85,0)-D85</f>
        <v>2198</v>
      </c>
      <c r="F85" s="60" t="n">
        <f aca="false">IF(COUNTA(D85:E85)=0,"",SUM(D85:E85))</f>
        <v>4164</v>
      </c>
      <c r="G85" s="40" t="n">
        <f aca="false">IF(OR(F85="",F85=0),"",D85/F85)</f>
        <v>0.472142170989433</v>
      </c>
      <c r="H85" s="40" t="n">
        <f aca="false">IF(OR(F85="",F85=0),"",E85/F85)</f>
        <v>0.527857829010567</v>
      </c>
      <c r="I85" s="32" t="s">
        <v>165</v>
      </c>
      <c r="J85" s="36" t="n">
        <v>2.59370925945702</v>
      </c>
      <c r="K85" s="36" t="n">
        <f aca="false">$K$8</f>
        <v>2.11861454545127</v>
      </c>
      <c r="L85" s="36" t="n">
        <f aca="false">SQRT(J85^2+K85^2)</f>
        <v>3.349008109096</v>
      </c>
      <c r="M85" s="40" t="n">
        <f aca="false">IF(G85="","",MAX(0,G85-1.96*L85/100))</f>
        <v>0.406501612051152</v>
      </c>
      <c r="N85" s="40" t="n">
        <f aca="false">IF(G85="","",MIN(1,G85+1.96*L85/100))</f>
        <v>0.537782729927715</v>
      </c>
      <c r="O85" s="60" t="n">
        <f aca="false">ROUND(S85*W85,0)</f>
        <v>202</v>
      </c>
      <c r="P85" s="60" t="n">
        <f aca="false">IF(F85="","",ROUND(SQRT((F85*L85/100)^2+(G85*O85)^2),0))</f>
        <v>169</v>
      </c>
      <c r="R85" s="61" t="n">
        <v>5.13564328728975</v>
      </c>
      <c r="S85" s="62" t="n">
        <f aca="false">U85*V85*$F$5</f>
        <v>4163.88109359178</v>
      </c>
      <c r="T85" s="63" t="n">
        <f aca="false">MAX(0,MIN(1,R85/100+$D$5))</f>
        <v>0.472064752966846</v>
      </c>
      <c r="U85" s="63" t="n">
        <v>0.568060176479097</v>
      </c>
      <c r="V85" s="62" t="n">
        <v>7330</v>
      </c>
      <c r="W85" s="63" t="n">
        <v>0.0485820274397165</v>
      </c>
      <c r="X85" s="64" t="s">
        <v>187</v>
      </c>
      <c r="Y85" s="64" t="s">
        <v>167</v>
      </c>
    </row>
    <row r="86" customFormat="false" ht="15" hidden="false" customHeight="false" outlineLevel="0" collapsed="false">
      <c r="A86" s="32" t="s">
        <v>222</v>
      </c>
      <c r="B86" s="32" t="s">
        <v>244</v>
      </c>
      <c r="C86" s="32" t="s">
        <v>164</v>
      </c>
      <c r="D86" s="60" t="n">
        <f aca="false">ROUND(S86*T86,0)</f>
        <v>5484</v>
      </c>
      <c r="E86" s="60" t="n">
        <f aca="false">ROUND(S86,0)-D86</f>
        <v>5173</v>
      </c>
      <c r="F86" s="60" t="n">
        <f aca="false">IF(COUNTA(D86:E86)=0,"",SUM(D86:E86))</f>
        <v>10657</v>
      </c>
      <c r="G86" s="40" t="n">
        <f aca="false">IF(OR(F86="",F86=0),"",D86/F86)</f>
        <v>0.514591348409496</v>
      </c>
      <c r="H86" s="40" t="n">
        <f aca="false">IF(OR(F86="",F86=0),"",E86/F86)</f>
        <v>0.485408651590504</v>
      </c>
      <c r="I86" s="32" t="s">
        <v>165</v>
      </c>
      <c r="J86" s="36" t="n">
        <v>2.59370925945702</v>
      </c>
      <c r="K86" s="36" t="n">
        <f aca="false">$K$8</f>
        <v>2.11861454545127</v>
      </c>
      <c r="L86" s="36" t="n">
        <f aca="false">SQRT(J86^2+K86^2)</f>
        <v>3.349008109096</v>
      </c>
      <c r="M86" s="40" t="n">
        <f aca="false">IF(G86="","",MAX(0,G86-1.96*L86/100))</f>
        <v>0.448950789471214</v>
      </c>
      <c r="N86" s="40" t="n">
        <f aca="false">IF(G86="","",MIN(1,G86+1.96*L86/100))</f>
        <v>0.580231907347778</v>
      </c>
      <c r="O86" s="60" t="n">
        <f aca="false">ROUND(S86*W86,0)</f>
        <v>518</v>
      </c>
      <c r="P86" s="60" t="n">
        <f aca="false">IF(F86="","",ROUND(SQRT((F86*L86/100)^2+(G86*O86)^2),0))</f>
        <v>445</v>
      </c>
      <c r="R86" s="61" t="n">
        <v>9.39530866864715</v>
      </c>
      <c r="S86" s="62" t="n">
        <f aca="false">U86*V86*$F$5</f>
        <v>10656.5050635134</v>
      </c>
      <c r="T86" s="63" t="n">
        <f aca="false">MAX(0,MIN(1,R86/100+$D$5))</f>
        <v>0.51466140678042</v>
      </c>
      <c r="U86" s="63" t="n">
        <v>0.603699584382134</v>
      </c>
      <c r="V86" s="62" t="n">
        <v>17652</v>
      </c>
      <c r="W86" s="63" t="n">
        <v>0.0485820274397165</v>
      </c>
      <c r="X86" s="64" t="s">
        <v>187</v>
      </c>
      <c r="Y86" s="64" t="s">
        <v>167</v>
      </c>
    </row>
    <row r="87" customFormat="false" ht="15" hidden="false" customHeight="false" outlineLevel="0" collapsed="false">
      <c r="A87" s="32" t="s">
        <v>222</v>
      </c>
      <c r="B87" s="32" t="s">
        <v>245</v>
      </c>
      <c r="C87" s="32" t="s">
        <v>164</v>
      </c>
      <c r="D87" s="60" t="n">
        <f aca="false">ROUND(S87*T87,0)</f>
        <v>517</v>
      </c>
      <c r="E87" s="60" t="n">
        <f aca="false">ROUND(S87,0)-D87</f>
        <v>845</v>
      </c>
      <c r="F87" s="60" t="n">
        <f aca="false">IF(COUNTA(D87:E87)=0,"",SUM(D87:E87))</f>
        <v>1362</v>
      </c>
      <c r="G87" s="40" t="n">
        <f aca="false">IF(OR(F87="",F87=0),"",D87/F87)</f>
        <v>0.379588839941263</v>
      </c>
      <c r="H87" s="40" t="n">
        <f aca="false">IF(OR(F87="",F87=0),"",E87/F87)</f>
        <v>0.620411160058737</v>
      </c>
      <c r="I87" s="32" t="s">
        <v>165</v>
      </c>
      <c r="J87" s="36" t="n">
        <v>1.97364055856013</v>
      </c>
      <c r="K87" s="36" t="n">
        <f aca="false">$K$8</f>
        <v>2.11861454545127</v>
      </c>
      <c r="L87" s="36" t="n">
        <f aca="false">SQRT(J87^2+K87^2)</f>
        <v>2.89547658367171</v>
      </c>
      <c r="M87" s="40" t="n">
        <f aca="false">IF(G87="","",MAX(0,G87-1.96*L87/100))</f>
        <v>0.322837498901297</v>
      </c>
      <c r="N87" s="40" t="n">
        <f aca="false">IF(G87="","",MIN(1,G87+1.96*L87/100))</f>
        <v>0.436340180981228</v>
      </c>
      <c r="O87" s="60" t="n">
        <f aca="false">ROUND(S87*W87,0)</f>
        <v>75</v>
      </c>
      <c r="P87" s="60" t="n">
        <f aca="false">IF(F87="","",ROUND(SQRT((F87*L87/100)^2+(G87*O87)^2),0))</f>
        <v>49</v>
      </c>
      <c r="R87" s="61" t="n">
        <v>-4.09249984417642</v>
      </c>
      <c r="S87" s="62" t="n">
        <f aca="false">U87*V87*$F$5</f>
        <v>1362.06750324535</v>
      </c>
      <c r="T87" s="63" t="n">
        <f aca="false">MAX(0,MIN(1,R87/100+$D$5))</f>
        <v>0.379783321652185</v>
      </c>
      <c r="U87" s="63" t="n">
        <v>0.55776720034617</v>
      </c>
      <c r="V87" s="62" t="n">
        <v>2442</v>
      </c>
      <c r="W87" s="63" t="n">
        <v>0.0547268472736556</v>
      </c>
      <c r="X87" s="64" t="s">
        <v>171</v>
      </c>
      <c r="Y87" s="64" t="s">
        <v>167</v>
      </c>
    </row>
    <row r="88" customFormat="false" ht="15" hidden="false" customHeight="false" outlineLevel="0" collapsed="false">
      <c r="A88" s="32" t="s">
        <v>222</v>
      </c>
      <c r="B88" s="32" t="s">
        <v>246</v>
      </c>
      <c r="C88" s="32" t="s">
        <v>164</v>
      </c>
      <c r="D88" s="60" t="n">
        <f aca="false">ROUND(S88*T88,0)</f>
        <v>1066</v>
      </c>
      <c r="E88" s="60" t="n">
        <f aca="false">ROUND(S88,0)-D88</f>
        <v>2055</v>
      </c>
      <c r="F88" s="60" t="n">
        <f aca="false">IF(COUNTA(D88:E88)=0,"",SUM(D88:E88))</f>
        <v>3121</v>
      </c>
      <c r="G88" s="40" t="n">
        <f aca="false">IF(OR(F88="",F88=0),"",D88/F88)</f>
        <v>0.341557193207305</v>
      </c>
      <c r="H88" s="40" t="n">
        <f aca="false">IF(OR(F88="",F88=0),"",E88/F88)</f>
        <v>0.658442806792695</v>
      </c>
      <c r="I88" s="32" t="s">
        <v>165</v>
      </c>
      <c r="J88" s="36" t="n">
        <v>2.59370925945702</v>
      </c>
      <c r="K88" s="36" t="n">
        <f aca="false">$K$8</f>
        <v>2.11861454545127</v>
      </c>
      <c r="L88" s="36" t="n">
        <f aca="false">SQRT(J88^2+K88^2)</f>
        <v>3.349008109096</v>
      </c>
      <c r="M88" s="40" t="n">
        <f aca="false">IF(G88="","",MAX(0,G88-1.96*L88/100))</f>
        <v>0.275916634269024</v>
      </c>
      <c r="N88" s="40" t="n">
        <f aca="false">IF(G88="","",MIN(1,G88+1.96*L88/100))</f>
        <v>0.407197752145587</v>
      </c>
      <c r="O88" s="60" t="n">
        <f aca="false">ROUND(S88*W88,0)</f>
        <v>152</v>
      </c>
      <c r="P88" s="60" t="n">
        <f aca="false">IF(F88="","",ROUND(SQRT((F88*L88/100)^2+(G88*O88)^2),0))</f>
        <v>117</v>
      </c>
      <c r="R88" s="61" t="n">
        <v>-7.9059054143312</v>
      </c>
      <c r="S88" s="62" t="n">
        <f aca="false">U88*V88*$F$5</f>
        <v>3121.34219409283</v>
      </c>
      <c r="T88" s="63" t="n">
        <f aca="false">MAX(0,MIN(1,R88/100+$D$5))</f>
        <v>0.341649265950637</v>
      </c>
      <c r="U88" s="63" t="n">
        <v>0.648523206751055</v>
      </c>
      <c r="V88" s="62" t="n">
        <v>4813</v>
      </c>
      <c r="W88" s="63" t="n">
        <v>0.0485820274397165</v>
      </c>
      <c r="X88" s="64" t="s">
        <v>187</v>
      </c>
      <c r="Y88" s="64" t="s">
        <v>167</v>
      </c>
    </row>
    <row r="89" customFormat="false" ht="15" hidden="false" customHeight="false" outlineLevel="0" collapsed="false">
      <c r="A89" s="32" t="s">
        <v>222</v>
      </c>
      <c r="B89" s="32" t="s">
        <v>247</v>
      </c>
      <c r="C89" s="32" t="s">
        <v>164</v>
      </c>
      <c r="D89" s="60" t="n">
        <f aca="false">ROUND(S89*T89,0)</f>
        <v>67</v>
      </c>
      <c r="E89" s="60" t="n">
        <f aca="false">ROUND(S89,0)-D89</f>
        <v>129</v>
      </c>
      <c r="F89" s="60" t="n">
        <f aca="false">IF(COUNTA(D89:E89)=0,"",SUM(D89:E89))</f>
        <v>196</v>
      </c>
      <c r="G89" s="40" t="n">
        <f aca="false">IF(OR(F89="",F89=0),"",D89/F89)</f>
        <v>0.341836734693878</v>
      </c>
      <c r="H89" s="40" t="n">
        <f aca="false">IF(OR(F89="",F89=0),"",E89/F89)</f>
        <v>0.658163265306123</v>
      </c>
      <c r="I89" s="32" t="s">
        <v>165</v>
      </c>
      <c r="J89" s="36" t="n">
        <v>3.66627757766473</v>
      </c>
      <c r="K89" s="36" t="n">
        <f aca="false">$K$8</f>
        <v>2.11861454545127</v>
      </c>
      <c r="L89" s="36" t="n">
        <f aca="false">SQRT(J89^2+K89^2)</f>
        <v>4.23439710805267</v>
      </c>
      <c r="M89" s="40" t="n">
        <f aca="false">IF(G89="","",MAX(0,G89-1.96*L89/100))</f>
        <v>0.258842551376045</v>
      </c>
      <c r="N89" s="40" t="n">
        <f aca="false">IF(G89="","",MIN(1,G89+1.96*L89/100))</f>
        <v>0.42483091801171</v>
      </c>
      <c r="O89" s="60" t="n">
        <f aca="false">ROUND(S89*W89,0)</f>
        <v>14</v>
      </c>
      <c r="P89" s="60" t="n">
        <f aca="false">IF(F89="","",ROUND(SQRT((F89*L89/100)^2+(G89*O89)^2),0))</f>
        <v>10</v>
      </c>
      <c r="R89" s="61" t="n">
        <v>-7.65467569572958</v>
      </c>
      <c r="S89" s="62" t="n">
        <f aca="false">U89*V89*$F$5</f>
        <v>196.10298102981</v>
      </c>
      <c r="T89" s="63" t="n">
        <f aca="false">MAX(0,MIN(1,R89/100+$D$5))</f>
        <v>0.344161563136653</v>
      </c>
      <c r="U89" s="63" t="n">
        <v>0.525745257452575</v>
      </c>
      <c r="V89" s="62" t="n">
        <v>373</v>
      </c>
      <c r="W89" s="63" t="n">
        <v>0.0732058935918866</v>
      </c>
      <c r="X89" s="64" t="s">
        <v>166</v>
      </c>
      <c r="Y89" s="64" t="s">
        <v>167</v>
      </c>
    </row>
    <row r="90" customFormat="false" ht="15" hidden="false" customHeight="false" outlineLevel="0" collapsed="false">
      <c r="A90" s="32" t="s">
        <v>222</v>
      </c>
      <c r="B90" s="32" t="s">
        <v>248</v>
      </c>
      <c r="C90" s="32" t="s">
        <v>164</v>
      </c>
      <c r="D90" s="60" t="n">
        <f aca="false">ROUND(S90*T90,0)</f>
        <v>261</v>
      </c>
      <c r="E90" s="60" t="n">
        <f aca="false">ROUND(S90,0)-D90</f>
        <v>423</v>
      </c>
      <c r="F90" s="60" t="n">
        <f aca="false">IF(COUNTA(D90:E90)=0,"",SUM(D90:E90))</f>
        <v>684</v>
      </c>
      <c r="G90" s="40" t="n">
        <f aca="false">IF(OR(F90="",F90=0),"",D90/F90)</f>
        <v>0.381578947368421</v>
      </c>
      <c r="H90" s="40" t="n">
        <f aca="false">IF(OR(F90="",F90=0),"",E90/F90)</f>
        <v>0.618421052631579</v>
      </c>
      <c r="I90" s="32" t="s">
        <v>165</v>
      </c>
      <c r="J90" s="36" t="n">
        <v>3.66627757766473</v>
      </c>
      <c r="K90" s="36" t="n">
        <f aca="false">$K$8</f>
        <v>2.11861454545127</v>
      </c>
      <c r="L90" s="36" t="n">
        <f aca="false">SQRT(J90^2+K90^2)</f>
        <v>4.23439710805267</v>
      </c>
      <c r="M90" s="40" t="n">
        <f aca="false">IF(G90="","",MAX(0,G90-1.96*L90/100))</f>
        <v>0.298584764050589</v>
      </c>
      <c r="N90" s="40" t="n">
        <f aca="false">IF(G90="","",MIN(1,G90+1.96*L90/100))</f>
        <v>0.464573130686253</v>
      </c>
      <c r="O90" s="60" t="n">
        <f aca="false">ROUND(S90*W90,0)</f>
        <v>50</v>
      </c>
      <c r="P90" s="60" t="n">
        <f aca="false">IF(F90="","",ROUND(SQRT((F90*L90/100)^2+(G90*O90)^2),0))</f>
        <v>35</v>
      </c>
      <c r="R90" s="61" t="n">
        <v>-3.95934039590182</v>
      </c>
      <c r="S90" s="62" t="n">
        <f aca="false">U90*V90*$F$5</f>
        <v>683.952941176471</v>
      </c>
      <c r="T90" s="63" t="n">
        <f aca="false">MAX(0,MIN(1,R90/100+$D$5))</f>
        <v>0.381114916134931</v>
      </c>
      <c r="U90" s="63" t="n">
        <v>0.568067226890756</v>
      </c>
      <c r="V90" s="62" t="n">
        <v>1204</v>
      </c>
      <c r="W90" s="63" t="n">
        <v>0.0732058935918866</v>
      </c>
      <c r="X90" s="64" t="s">
        <v>166</v>
      </c>
      <c r="Y90" s="64" t="s">
        <v>167</v>
      </c>
    </row>
    <row r="91" customFormat="false" ht="15" hidden="false" customHeight="false" outlineLevel="0" collapsed="false">
      <c r="A91" s="32" t="s">
        <v>222</v>
      </c>
      <c r="B91" s="32" t="s">
        <v>249</v>
      </c>
      <c r="C91" s="32" t="s">
        <v>164</v>
      </c>
      <c r="D91" s="60" t="n">
        <f aca="false">ROUND(S91*T91,0)</f>
        <v>159</v>
      </c>
      <c r="E91" s="60" t="n">
        <f aca="false">ROUND(S91,0)-D91</f>
        <v>230</v>
      </c>
      <c r="F91" s="60" t="n">
        <f aca="false">IF(COUNTA(D91:E91)=0,"",SUM(D91:E91))</f>
        <v>389</v>
      </c>
      <c r="G91" s="40" t="n">
        <f aca="false">IF(OR(F91="",F91=0),"",D91/F91)</f>
        <v>0.408740359897172</v>
      </c>
      <c r="H91" s="40" t="n">
        <f aca="false">IF(OR(F91="",F91=0),"",E91/F91)</f>
        <v>0.591259640102828</v>
      </c>
      <c r="I91" s="32" t="s">
        <v>165</v>
      </c>
      <c r="J91" s="36" t="n">
        <v>3.66627757766473</v>
      </c>
      <c r="K91" s="36" t="n">
        <f aca="false">$K$8</f>
        <v>2.11861454545127</v>
      </c>
      <c r="L91" s="36" t="n">
        <f aca="false">SQRT(J91^2+K91^2)</f>
        <v>4.23439710805267</v>
      </c>
      <c r="M91" s="40" t="n">
        <f aca="false">IF(G91="","",MAX(0,G91-1.96*L91/100))</f>
        <v>0.32574617657934</v>
      </c>
      <c r="N91" s="40" t="n">
        <f aca="false">IF(G91="","",MIN(1,G91+1.96*L91/100))</f>
        <v>0.491734543215005</v>
      </c>
      <c r="O91" s="60" t="n">
        <f aca="false">ROUND(S91*W91,0)</f>
        <v>28</v>
      </c>
      <c r="P91" s="60" t="n">
        <f aca="false">IF(F91="","",ROUND(SQRT((F91*L91/100)^2+(G91*O91)^2),0))</f>
        <v>20</v>
      </c>
      <c r="R91" s="61" t="n">
        <v>-1.25141002393367</v>
      </c>
      <c r="S91" s="62" t="n">
        <f aca="false">U91*V91*$F$5</f>
        <v>388.819749216301</v>
      </c>
      <c r="T91" s="63" t="n">
        <f aca="false">MAX(0,MIN(1,R91/100+$D$5))</f>
        <v>0.408194219854612</v>
      </c>
      <c r="U91" s="63" t="n">
        <v>0.606583072100314</v>
      </c>
      <c r="V91" s="62" t="n">
        <v>641</v>
      </c>
      <c r="W91" s="63" t="n">
        <v>0.0732058935918866</v>
      </c>
      <c r="X91" s="64" t="s">
        <v>166</v>
      </c>
      <c r="Y91" s="64" t="s">
        <v>167</v>
      </c>
    </row>
    <row r="92" customFormat="false" ht="15" hidden="false" customHeight="false" outlineLevel="0" collapsed="false">
      <c r="A92" s="32" t="s">
        <v>222</v>
      </c>
      <c r="B92" s="32" t="s">
        <v>250</v>
      </c>
      <c r="C92" s="32" t="s">
        <v>164</v>
      </c>
      <c r="D92" s="60" t="n">
        <f aca="false">ROUND(S92*T92,0)</f>
        <v>255</v>
      </c>
      <c r="E92" s="60" t="n">
        <f aca="false">ROUND(S92,0)-D92</f>
        <v>347</v>
      </c>
      <c r="F92" s="60" t="n">
        <f aca="false">IF(COUNTA(D92:E92)=0,"",SUM(D92:E92))</f>
        <v>602</v>
      </c>
      <c r="G92" s="40" t="n">
        <f aca="false">IF(OR(F92="",F92=0),"",D92/F92)</f>
        <v>0.42358803986711</v>
      </c>
      <c r="H92" s="40" t="n">
        <f aca="false">IF(OR(F92="",F92=0),"",E92/F92)</f>
        <v>0.57641196013289</v>
      </c>
      <c r="I92" s="32" t="s">
        <v>165</v>
      </c>
      <c r="J92" s="36" t="n">
        <v>3.66627757766473</v>
      </c>
      <c r="K92" s="36" t="n">
        <f aca="false">$K$8</f>
        <v>2.11861454545127</v>
      </c>
      <c r="L92" s="36" t="n">
        <f aca="false">SQRT(J92^2+K92^2)</f>
        <v>4.23439710805267</v>
      </c>
      <c r="M92" s="40" t="n">
        <f aca="false">IF(G92="","",MAX(0,G92-1.96*L92/100))</f>
        <v>0.340593856549277</v>
      </c>
      <c r="N92" s="40" t="n">
        <f aca="false">IF(G92="","",MIN(1,G92+1.96*L92/100))</f>
        <v>0.506582223184942</v>
      </c>
      <c r="O92" s="60" t="n">
        <f aca="false">ROUND(S92*W92,0)</f>
        <v>44</v>
      </c>
      <c r="P92" s="60" t="n">
        <f aca="false">IF(F92="","",ROUND(SQRT((F92*L92/100)^2+(G92*O92)^2),0))</f>
        <v>32</v>
      </c>
      <c r="R92" s="61" t="n">
        <v>0.356062246422369</v>
      </c>
      <c r="S92" s="62" t="n">
        <f aca="false">U92*V92*$F$5</f>
        <v>602.07868852459</v>
      </c>
      <c r="T92" s="63" t="n">
        <f aca="false">MAX(0,MIN(1,R92/100+$D$5))</f>
        <v>0.424268942558173</v>
      </c>
      <c r="U92" s="63" t="n">
        <v>0.613114754098361</v>
      </c>
      <c r="V92" s="62" t="n">
        <v>982</v>
      </c>
      <c r="W92" s="63" t="n">
        <v>0.0732058935918866</v>
      </c>
      <c r="X92" s="64" t="s">
        <v>166</v>
      </c>
      <c r="Y92" s="64" t="s">
        <v>167</v>
      </c>
    </row>
    <row r="93" customFormat="false" ht="15" hidden="false" customHeight="false" outlineLevel="0" collapsed="false">
      <c r="A93" s="32" t="s">
        <v>222</v>
      </c>
      <c r="B93" s="32" t="s">
        <v>251</v>
      </c>
      <c r="C93" s="32" t="s">
        <v>164</v>
      </c>
      <c r="D93" s="60" t="n">
        <f aca="false">ROUND(S93*T93,0)</f>
        <v>1000</v>
      </c>
      <c r="E93" s="60" t="n">
        <f aca="false">ROUND(S93,0)-D93</f>
        <v>2146</v>
      </c>
      <c r="F93" s="60" t="n">
        <f aca="false">IF(COUNTA(D93:E93)=0,"",SUM(D93:E93))</f>
        <v>3146</v>
      </c>
      <c r="G93" s="40" t="n">
        <f aca="false">IF(OR(F93="",F93=0),"",D93/F93)</f>
        <v>0.317863954227591</v>
      </c>
      <c r="H93" s="40" t="n">
        <f aca="false">IF(OR(F93="",F93=0),"",E93/F93)</f>
        <v>0.682136045772409</v>
      </c>
      <c r="I93" s="32" t="s">
        <v>165</v>
      </c>
      <c r="J93" s="36" t="n">
        <v>2.59370925945702</v>
      </c>
      <c r="K93" s="36" t="n">
        <f aca="false">$K$8</f>
        <v>2.11861454545127</v>
      </c>
      <c r="L93" s="36" t="n">
        <f aca="false">SQRT(J93^2+K93^2)</f>
        <v>3.349008109096</v>
      </c>
      <c r="M93" s="40" t="n">
        <f aca="false">IF(G93="","",MAX(0,G93-1.96*L93/100))</f>
        <v>0.252223395289309</v>
      </c>
      <c r="N93" s="40" t="n">
        <f aca="false">IF(G93="","",MIN(1,G93+1.96*L93/100))</f>
        <v>0.383504513165872</v>
      </c>
      <c r="O93" s="60" t="n">
        <f aca="false">ROUND(S93*W93,0)</f>
        <v>153</v>
      </c>
      <c r="P93" s="60" t="n">
        <f aca="false">IF(F93="","",ROUND(SQRT((F93*L93/100)^2+(G93*O93)^2),0))</f>
        <v>116</v>
      </c>
      <c r="R93" s="61" t="n">
        <v>-10.2835783939638</v>
      </c>
      <c r="S93" s="62" t="n">
        <f aca="false">U93*V93*$F$5</f>
        <v>3146.26275765459</v>
      </c>
      <c r="T93" s="63" t="n">
        <f aca="false">MAX(0,MIN(1,R93/100+$D$5))</f>
        <v>0.317872536154311</v>
      </c>
      <c r="U93" s="63" t="n">
        <v>0.625375225135081</v>
      </c>
      <c r="V93" s="62" t="n">
        <v>5031</v>
      </c>
      <c r="W93" s="63" t="n">
        <v>0.0485820274397165</v>
      </c>
      <c r="X93" s="64" t="s">
        <v>187</v>
      </c>
      <c r="Y93" s="64" t="s">
        <v>167</v>
      </c>
    </row>
    <row r="94" customFormat="false" ht="15" hidden="false" customHeight="false" outlineLevel="0" collapsed="false">
      <c r="A94" s="32" t="s">
        <v>222</v>
      </c>
      <c r="B94" s="32" t="s">
        <v>252</v>
      </c>
      <c r="C94" s="32" t="s">
        <v>164</v>
      </c>
      <c r="D94" s="60" t="n">
        <f aca="false">ROUND(S94*T94,0)</f>
        <v>1573</v>
      </c>
      <c r="E94" s="60" t="n">
        <f aca="false">ROUND(S94,0)-D94</f>
        <v>1704</v>
      </c>
      <c r="F94" s="60" t="n">
        <f aca="false">IF(COUNTA(D94:E94)=0,"",SUM(D94:E94))</f>
        <v>3277</v>
      </c>
      <c r="G94" s="40" t="n">
        <f aca="false">IF(OR(F94="",F94=0),"",D94/F94)</f>
        <v>0.480012206286237</v>
      </c>
      <c r="H94" s="40" t="n">
        <f aca="false">IF(OR(F94="",F94=0),"",E94/F94)</f>
        <v>0.519987793713763</v>
      </c>
      <c r="I94" s="32" t="s">
        <v>165</v>
      </c>
      <c r="J94" s="36" t="n">
        <v>2.59370925945702</v>
      </c>
      <c r="K94" s="36" t="n">
        <f aca="false">$K$8</f>
        <v>2.11861454545127</v>
      </c>
      <c r="L94" s="36" t="n">
        <f aca="false">SQRT(J94^2+K94^2)</f>
        <v>3.349008109096</v>
      </c>
      <c r="M94" s="40" t="n">
        <f aca="false">IF(G94="","",MAX(0,G94-1.96*L94/100))</f>
        <v>0.414371647347956</v>
      </c>
      <c r="N94" s="40" t="n">
        <f aca="false">IF(G94="","",MIN(1,G94+1.96*L94/100))</f>
        <v>0.545652765224519</v>
      </c>
      <c r="O94" s="60" t="n">
        <f aca="false">ROUND(S94*W94,0)</f>
        <v>159</v>
      </c>
      <c r="P94" s="60" t="n">
        <f aca="false">IF(F94="","",ROUND(SQRT((F94*L94/100)^2+(G94*O94)^2),0))</f>
        <v>134</v>
      </c>
      <c r="R94" s="61" t="n">
        <v>5.93378643909121</v>
      </c>
      <c r="S94" s="62" t="n">
        <f aca="false">U94*V94*$F$5</f>
        <v>3277.36336396324</v>
      </c>
      <c r="T94" s="63" t="n">
        <f aca="false">MAX(0,MIN(1,R94/100+$D$5))</f>
        <v>0.480046184484861</v>
      </c>
      <c r="U94" s="63" t="n">
        <v>0.631841789852177</v>
      </c>
      <c r="V94" s="62" t="n">
        <v>5187</v>
      </c>
      <c r="W94" s="63" t="n">
        <v>0.0485820274397165</v>
      </c>
      <c r="X94" s="64" t="s">
        <v>187</v>
      </c>
      <c r="Y94" s="64" t="s">
        <v>167</v>
      </c>
    </row>
    <row r="95" customFormat="false" ht="15" hidden="false" customHeight="false" outlineLevel="0" collapsed="false">
      <c r="A95" s="32" t="s">
        <v>222</v>
      </c>
      <c r="B95" s="32" t="s">
        <v>253</v>
      </c>
      <c r="C95" s="32" t="s">
        <v>164</v>
      </c>
      <c r="D95" s="60" t="n">
        <f aca="false">ROUND(S95*T95,0)</f>
        <v>305</v>
      </c>
      <c r="E95" s="60" t="n">
        <f aca="false">ROUND(S95,0)-D95</f>
        <v>456</v>
      </c>
      <c r="F95" s="60" t="n">
        <f aca="false">IF(COUNTA(D95:E95)=0,"",SUM(D95:E95))</f>
        <v>761</v>
      </c>
      <c r="G95" s="40" t="n">
        <f aca="false">IF(OR(F95="",F95=0),"",D95/F95)</f>
        <v>0.400788436268068</v>
      </c>
      <c r="H95" s="40" t="n">
        <f aca="false">IF(OR(F95="",F95=0),"",E95/F95)</f>
        <v>0.599211563731932</v>
      </c>
      <c r="I95" s="32" t="s">
        <v>165</v>
      </c>
      <c r="J95" s="36" t="n">
        <v>3.66627757766473</v>
      </c>
      <c r="K95" s="36" t="n">
        <f aca="false">$K$8</f>
        <v>2.11861454545127</v>
      </c>
      <c r="L95" s="36" t="n">
        <f aca="false">SQRT(J95^2+K95^2)</f>
        <v>4.23439710805267</v>
      </c>
      <c r="M95" s="40" t="n">
        <f aca="false">IF(G95="","",MAX(0,G95-1.96*L95/100))</f>
        <v>0.317794252950236</v>
      </c>
      <c r="N95" s="40" t="n">
        <f aca="false">IF(G95="","",MIN(1,G95+1.96*L95/100))</f>
        <v>0.483782619585901</v>
      </c>
      <c r="O95" s="60" t="n">
        <f aca="false">ROUND(S95*W95,0)</f>
        <v>56</v>
      </c>
      <c r="P95" s="60" t="n">
        <f aca="false">IF(F95="","",ROUND(SQRT((F95*L95/100)^2+(G95*O95)^2),0))</f>
        <v>39</v>
      </c>
      <c r="R95" s="61" t="n">
        <v>-2.05704524993412</v>
      </c>
      <c r="S95" s="62" t="n">
        <f aca="false">U95*V95*$F$5</f>
        <v>761.429837518464</v>
      </c>
      <c r="T95" s="63" t="n">
        <f aca="false">MAX(0,MIN(1,R95/100+$D$5))</f>
        <v>0.400137867594608</v>
      </c>
      <c r="U95" s="63" t="n">
        <v>0.534711964549483</v>
      </c>
      <c r="V95" s="62" t="n">
        <v>1424</v>
      </c>
      <c r="W95" s="63" t="n">
        <v>0.0732058935918866</v>
      </c>
      <c r="X95" s="64" t="s">
        <v>166</v>
      </c>
      <c r="Y95" s="64" t="s">
        <v>167</v>
      </c>
    </row>
    <row r="96" customFormat="false" ht="15" hidden="false" customHeight="false" outlineLevel="0" collapsed="false">
      <c r="A96" s="32" t="s">
        <v>222</v>
      </c>
      <c r="B96" s="32" t="s">
        <v>215</v>
      </c>
      <c r="C96" s="32" t="s">
        <v>164</v>
      </c>
      <c r="D96" s="60" t="n">
        <f aca="false">ROUND(S96*T96,0)</f>
        <v>805</v>
      </c>
      <c r="E96" s="60" t="n">
        <f aca="false">ROUND(S96,0)-D96</f>
        <v>1582</v>
      </c>
      <c r="F96" s="60" t="n">
        <f aca="false">IF(COUNTA(D96:E96)=0,"",SUM(D96:E96))</f>
        <v>2387</v>
      </c>
      <c r="G96" s="40" t="n">
        <f aca="false">IF(OR(F96="",F96=0),"",D96/F96)</f>
        <v>0.337243401759531</v>
      </c>
      <c r="H96" s="40" t="n">
        <f aca="false">IF(OR(F96="",F96=0),"",E96/F96)</f>
        <v>0.662756598240469</v>
      </c>
      <c r="I96" s="32" t="s">
        <v>165</v>
      </c>
      <c r="J96" s="36" t="n">
        <v>1.97364055856013</v>
      </c>
      <c r="K96" s="36" t="n">
        <f aca="false">$K$8</f>
        <v>2.11861454545127</v>
      </c>
      <c r="L96" s="36" t="n">
        <f aca="false">SQRT(J96^2+K96^2)</f>
        <v>2.89547658367171</v>
      </c>
      <c r="M96" s="40" t="n">
        <f aca="false">IF(G96="","",MAX(0,G96-1.96*L96/100))</f>
        <v>0.280492060719565</v>
      </c>
      <c r="N96" s="40" t="n">
        <f aca="false">IF(G96="","",MIN(1,G96+1.96*L96/100))</f>
        <v>0.393994742799496</v>
      </c>
      <c r="O96" s="60" t="n">
        <f aca="false">ROUND(S96*W96,0)</f>
        <v>131</v>
      </c>
      <c r="P96" s="60" t="n">
        <f aca="false">IF(F96="","",ROUND(SQRT((F96*L96/100)^2+(G96*O96)^2),0))</f>
        <v>82</v>
      </c>
      <c r="R96" s="61" t="n">
        <v>-8.32467036491221</v>
      </c>
      <c r="S96" s="62" t="n">
        <f aca="false">U96*V96*$F$5</f>
        <v>2386.68081761006</v>
      </c>
      <c r="T96" s="63" t="n">
        <f aca="false">MAX(0,MIN(1,R96/100+$D$5))</f>
        <v>0.337461616444827</v>
      </c>
      <c r="U96" s="63" t="n">
        <v>0.62185534591195</v>
      </c>
      <c r="V96" s="62" t="n">
        <v>3838</v>
      </c>
      <c r="W96" s="63" t="n">
        <v>0.0547268472736556</v>
      </c>
      <c r="X96" s="64" t="s">
        <v>171</v>
      </c>
      <c r="Y96" s="64" t="s">
        <v>167</v>
      </c>
    </row>
    <row r="97" customFormat="false" ht="15" hidden="false" customHeight="false" outlineLevel="0" collapsed="false">
      <c r="A97" s="32" t="s">
        <v>222</v>
      </c>
      <c r="B97" s="32" t="s">
        <v>254</v>
      </c>
      <c r="C97" s="32" t="s">
        <v>164</v>
      </c>
      <c r="D97" s="60" t="n">
        <f aca="false">ROUND(S97*T97,0)</f>
        <v>204</v>
      </c>
      <c r="E97" s="60" t="n">
        <f aca="false">ROUND(S97,0)-D97</f>
        <v>234</v>
      </c>
      <c r="F97" s="60" t="n">
        <f aca="false">IF(COUNTA(D97:E97)=0,"",SUM(D97:E97))</f>
        <v>438</v>
      </c>
      <c r="G97" s="40" t="n">
        <f aca="false">IF(OR(F97="",F97=0),"",D97/F97)</f>
        <v>0.465753424657534</v>
      </c>
      <c r="H97" s="40" t="n">
        <f aca="false">IF(OR(F97="",F97=0),"",E97/F97)</f>
        <v>0.534246575342466</v>
      </c>
      <c r="I97" s="32" t="s">
        <v>165</v>
      </c>
      <c r="J97" s="36" t="n">
        <v>3.66627757766473</v>
      </c>
      <c r="K97" s="36" t="n">
        <f aca="false">$K$8</f>
        <v>2.11861454545127</v>
      </c>
      <c r="L97" s="36" t="n">
        <f aca="false">SQRT(J97^2+K97^2)</f>
        <v>4.23439710805267</v>
      </c>
      <c r="M97" s="40" t="n">
        <f aca="false">IF(G97="","",MAX(0,G97-1.96*L97/100))</f>
        <v>0.382759241339702</v>
      </c>
      <c r="N97" s="40" t="n">
        <f aca="false">IF(G97="","",MIN(1,G97+1.96*L97/100))</f>
        <v>0.548747607975367</v>
      </c>
      <c r="O97" s="60" t="n">
        <f aca="false">ROUND(S97*W97,0)</f>
        <v>32</v>
      </c>
      <c r="P97" s="60" t="n">
        <f aca="false">IF(F97="","",ROUND(SQRT((F97*L97/100)^2+(G97*O97)^2),0))</f>
        <v>24</v>
      </c>
      <c r="R97" s="61" t="n">
        <v>4.38100409770313</v>
      </c>
      <c r="S97" s="62" t="n">
        <f aca="false">U97*V97*$F$5</f>
        <v>438.292134831461</v>
      </c>
      <c r="T97" s="63" t="n">
        <f aca="false">MAX(0,MIN(1,R97/100+$D$5))</f>
        <v>0.46451836107098</v>
      </c>
      <c r="U97" s="63" t="n">
        <v>0.51685393258427</v>
      </c>
      <c r="V97" s="62" t="n">
        <v>848</v>
      </c>
      <c r="W97" s="63" t="n">
        <v>0.0732058935918866</v>
      </c>
      <c r="X97" s="64" t="s">
        <v>166</v>
      </c>
      <c r="Y97" s="64" t="s">
        <v>167</v>
      </c>
    </row>
    <row r="98" customFormat="false" ht="15" hidden="false" customHeight="false" outlineLevel="0" collapsed="false">
      <c r="A98" s="32" t="s">
        <v>222</v>
      </c>
      <c r="B98" s="32" t="s">
        <v>255</v>
      </c>
      <c r="C98" s="32" t="s">
        <v>164</v>
      </c>
      <c r="D98" s="60" t="n">
        <f aca="false">ROUND(S98*T98,0)</f>
        <v>1463</v>
      </c>
      <c r="E98" s="60" t="n">
        <f aca="false">ROUND(S98,0)-D98</f>
        <v>1903</v>
      </c>
      <c r="F98" s="60" t="n">
        <f aca="false">IF(COUNTA(D98:E98)=0,"",SUM(D98:E98))</f>
        <v>3366</v>
      </c>
      <c r="G98" s="40" t="n">
        <f aca="false">IF(OR(F98="",F98=0),"",D98/F98)</f>
        <v>0.434640522875817</v>
      </c>
      <c r="H98" s="40" t="n">
        <f aca="false">IF(OR(F98="",F98=0),"",E98/F98)</f>
        <v>0.565359477124183</v>
      </c>
      <c r="I98" s="32" t="s">
        <v>165</v>
      </c>
      <c r="J98" s="36" t="n">
        <v>2.59370925945702</v>
      </c>
      <c r="K98" s="36" t="n">
        <f aca="false">$K$8</f>
        <v>2.11861454545127</v>
      </c>
      <c r="L98" s="36" t="n">
        <f aca="false">SQRT(J98^2+K98^2)</f>
        <v>3.349008109096</v>
      </c>
      <c r="M98" s="40" t="n">
        <f aca="false">IF(G98="","",MAX(0,G98-1.96*L98/100))</f>
        <v>0.368999963937535</v>
      </c>
      <c r="N98" s="40" t="n">
        <f aca="false">IF(G98="","",MIN(1,G98+1.96*L98/100))</f>
        <v>0.500281081814099</v>
      </c>
      <c r="O98" s="60" t="n">
        <f aca="false">ROUND(S98*W98,0)</f>
        <v>164</v>
      </c>
      <c r="P98" s="60" t="n">
        <f aca="false">IF(F98="","",ROUND(SQRT((F98*L98/100)^2+(G98*O98)^2),0))</f>
        <v>133</v>
      </c>
      <c r="R98" s="61" t="n">
        <v>1.39538276621299</v>
      </c>
      <c r="S98" s="62" t="n">
        <f aca="false">U98*V98*$F$5</f>
        <v>3365.72741078208</v>
      </c>
      <c r="T98" s="63" t="n">
        <f aca="false">MAX(0,MIN(1,R98/100+$D$5))</f>
        <v>0.434662147756079</v>
      </c>
      <c r="U98" s="63" t="n">
        <v>0.629460895975702</v>
      </c>
      <c r="V98" s="62" t="n">
        <v>5347</v>
      </c>
      <c r="W98" s="63" t="n">
        <v>0.0485820274397165</v>
      </c>
      <c r="X98" s="64" t="s">
        <v>187</v>
      </c>
      <c r="Y98" s="64" t="s">
        <v>167</v>
      </c>
    </row>
    <row r="99" customFormat="false" ht="15" hidden="false" customHeight="false" outlineLevel="0" collapsed="false">
      <c r="A99" s="32" t="s">
        <v>222</v>
      </c>
      <c r="B99" s="32" t="s">
        <v>256</v>
      </c>
      <c r="C99" s="32" t="s">
        <v>164</v>
      </c>
      <c r="D99" s="60" t="n">
        <f aca="false">ROUND(S99*T99,0)</f>
        <v>1310</v>
      </c>
      <c r="E99" s="60" t="n">
        <f aca="false">ROUND(S99,0)-D99</f>
        <v>1040</v>
      </c>
      <c r="F99" s="60" t="n">
        <f aca="false">IF(COUNTA(D99:E99)=0,"",SUM(D99:E99))</f>
        <v>2350</v>
      </c>
      <c r="G99" s="40" t="n">
        <f aca="false">IF(OR(F99="",F99=0),"",D99/F99)</f>
        <v>0.557446808510638</v>
      </c>
      <c r="H99" s="40" t="n">
        <f aca="false">IF(OR(F99="",F99=0),"",E99/F99)</f>
        <v>0.442553191489362</v>
      </c>
      <c r="I99" s="32" t="s">
        <v>165</v>
      </c>
      <c r="J99" s="36" t="n">
        <v>1.97364055856013</v>
      </c>
      <c r="K99" s="36" t="n">
        <f aca="false">$K$8</f>
        <v>2.11861454545127</v>
      </c>
      <c r="L99" s="36" t="n">
        <f aca="false">SQRT(J99^2+K99^2)</f>
        <v>2.89547658367171</v>
      </c>
      <c r="M99" s="40" t="n">
        <f aca="false">IF(G99="","",MAX(0,G99-1.96*L99/100))</f>
        <v>0.500695467470673</v>
      </c>
      <c r="N99" s="40" t="n">
        <f aca="false">IF(G99="","",MIN(1,G99+1.96*L99/100))</f>
        <v>0.614198149550604</v>
      </c>
      <c r="O99" s="60" t="n">
        <f aca="false">ROUND(S99*W99,0)</f>
        <v>129</v>
      </c>
      <c r="P99" s="60" t="n">
        <f aca="false">IF(F99="","",ROUND(SQRT((F99*L99/100)^2+(G99*O99)^2),0))</f>
        <v>99</v>
      </c>
      <c r="R99" s="61" t="n">
        <v>13.6757045461957</v>
      </c>
      <c r="S99" s="62" t="n">
        <f aca="false">U99*V99*$F$5</f>
        <v>2350.25573902537</v>
      </c>
      <c r="T99" s="63" t="n">
        <f aca="false">MAX(0,MIN(1,R99/100+$D$5))</f>
        <v>0.557465365555906</v>
      </c>
      <c r="U99" s="63" t="n">
        <v>0.461739830849779</v>
      </c>
      <c r="V99" s="62" t="n">
        <v>5090</v>
      </c>
      <c r="W99" s="63" t="n">
        <v>0.0547268472736556</v>
      </c>
      <c r="X99" s="64" t="s">
        <v>171</v>
      </c>
      <c r="Y99" s="64" t="s">
        <v>167</v>
      </c>
    </row>
    <row r="100" customFormat="false" ht="15" hidden="false" customHeight="false" outlineLevel="0" collapsed="false">
      <c r="A100" s="32" t="s">
        <v>222</v>
      </c>
      <c r="B100" s="32" t="s">
        <v>257</v>
      </c>
      <c r="C100" s="32" t="s">
        <v>164</v>
      </c>
      <c r="D100" s="60" t="n">
        <f aca="false">ROUND(S100*T100,0)</f>
        <v>485</v>
      </c>
      <c r="E100" s="60" t="n">
        <f aca="false">ROUND(S100,0)-D100</f>
        <v>660</v>
      </c>
      <c r="F100" s="60" t="n">
        <f aca="false">IF(COUNTA(D100:E100)=0,"",SUM(D100:E100))</f>
        <v>1145</v>
      </c>
      <c r="G100" s="40" t="n">
        <f aca="false">IF(OR(F100="",F100=0),"",D100/F100)</f>
        <v>0.423580786026201</v>
      </c>
      <c r="H100" s="40" t="n">
        <f aca="false">IF(OR(F100="",F100=0),"",E100/F100)</f>
        <v>0.576419213973799</v>
      </c>
      <c r="I100" s="32" t="s">
        <v>165</v>
      </c>
      <c r="J100" s="36" t="n">
        <v>3.66627757766473</v>
      </c>
      <c r="K100" s="36" t="n">
        <f aca="false">$K$8</f>
        <v>2.11861454545127</v>
      </c>
      <c r="L100" s="36" t="n">
        <f aca="false">SQRT(J100^2+K100^2)</f>
        <v>4.23439710805267</v>
      </c>
      <c r="M100" s="40" t="n">
        <f aca="false">IF(G100="","",MAX(0,G100-1.96*L100/100))</f>
        <v>0.340586602708369</v>
      </c>
      <c r="N100" s="40" t="n">
        <f aca="false">IF(G100="","",MIN(1,G100+1.96*L100/100))</f>
        <v>0.506574969344033</v>
      </c>
      <c r="O100" s="60" t="n">
        <f aca="false">ROUND(S100*W100,0)</f>
        <v>84</v>
      </c>
      <c r="P100" s="60" t="n">
        <f aca="false">IF(F100="","",ROUND(SQRT((F100*L100/100)^2+(G100*O100)^2),0))</f>
        <v>60</v>
      </c>
      <c r="R100" s="61" t="n">
        <v>0.231708967929374</v>
      </c>
      <c r="S100" s="62" t="n">
        <f aca="false">U100*V100*$F$5</f>
        <v>1145.48062775871</v>
      </c>
      <c r="T100" s="63" t="n">
        <f aca="false">MAX(0,MIN(1,R100/100+$D$5))</f>
        <v>0.423025409773243</v>
      </c>
      <c r="U100" s="63" t="n">
        <v>0.537027954879843</v>
      </c>
      <c r="V100" s="62" t="n">
        <v>2133</v>
      </c>
      <c r="W100" s="63" t="n">
        <v>0.0732058935918866</v>
      </c>
      <c r="X100" s="64" t="s">
        <v>166</v>
      </c>
      <c r="Y100" s="64" t="s">
        <v>167</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258</v>
      </c>
    </row>
    <row r="2" customFormat="false" ht="15" hidden="false" customHeight="false" outlineLevel="0" collapsed="false">
      <c r="A2" s="2" t="s">
        <v>122</v>
      </c>
    </row>
    <row r="3" customFormat="false" ht="15" hidden="false" customHeight="false" outlineLevel="0" collapsed="false">
      <c r="A3" s="13" t="s">
        <v>123</v>
      </c>
      <c r="B3" s="13"/>
      <c r="C3" s="13"/>
      <c r="D3" s="13"/>
      <c r="E3" s="13"/>
      <c r="F3" s="13"/>
      <c r="G3" s="13"/>
      <c r="H3" s="13"/>
      <c r="I3" s="13"/>
    </row>
    <row r="4" customFormat="false" ht="15" hidden="false" customHeight="false" outlineLevel="0" collapsed="false">
      <c r="A4" s="0" t="s">
        <v>124</v>
      </c>
      <c r="B4" s="0" t="s">
        <v>259</v>
      </c>
      <c r="C4" s="0" t="s">
        <v>126</v>
      </c>
      <c r="D4" s="49" t="n">
        <v>46300</v>
      </c>
      <c r="E4" s="50" t="s">
        <v>127</v>
      </c>
      <c r="F4" s="50" t="s">
        <v>128</v>
      </c>
      <c r="G4" s="50" t="s">
        <v>129</v>
      </c>
      <c r="H4" s="50" t="s">
        <v>130</v>
      </c>
    </row>
    <row r="5" customFormat="false" ht="15" hidden="false" customHeight="false" outlineLevel="0" collapsed="false">
      <c r="A5" s="0" t="s">
        <v>131</v>
      </c>
      <c r="B5" s="51" t="n">
        <f aca="false">'Scenario &amp; Comparison'!$C$6</f>
        <v>0.49330922527432</v>
      </c>
      <c r="C5" s="50" t="s">
        <v>132</v>
      </c>
      <c r="D5" s="52" t="n">
        <f aca="false">B5-SUMPRODUCT(R12:R100,S12:S100)/SUM(S12:S100)/100</f>
        <v>0.42179830507636</v>
      </c>
      <c r="E5" s="50" t="s">
        <v>133</v>
      </c>
      <c r="F5" s="53" t="n">
        <f aca="false">'Scenario &amp; Comparison'!$C$7</f>
        <v>1</v>
      </c>
    </row>
    <row r="6" customFormat="false" ht="15" hidden="false" customHeight="false" outlineLevel="0" collapsed="false">
      <c r="A6" s="4" t="s">
        <v>134</v>
      </c>
      <c r="B6" s="4"/>
      <c r="C6" s="4"/>
      <c r="D6" s="4"/>
      <c r="E6" s="4"/>
      <c r="F6" s="4"/>
      <c r="G6" s="4"/>
      <c r="H6" s="4"/>
      <c r="I6" s="4"/>
      <c r="J6" s="4"/>
      <c r="K6" s="4"/>
      <c r="L6" s="4"/>
      <c r="M6" s="4"/>
      <c r="N6" s="4"/>
      <c r="O6" s="4"/>
      <c r="P6" s="4"/>
    </row>
    <row r="7" customFormat="false" ht="45" hidden="false" customHeight="true" outlineLevel="0" collapsed="false">
      <c r="A7" s="8" t="s">
        <v>135</v>
      </c>
      <c r="B7" s="8" t="s">
        <v>136</v>
      </c>
      <c r="C7" s="8" t="s">
        <v>137</v>
      </c>
      <c r="D7" s="8" t="s">
        <v>36</v>
      </c>
      <c r="E7" s="8" t="s">
        <v>37</v>
      </c>
      <c r="F7" s="8" t="s">
        <v>38</v>
      </c>
      <c r="G7" s="8" t="s">
        <v>39</v>
      </c>
      <c r="H7" s="8" t="s">
        <v>138</v>
      </c>
      <c r="I7" s="8" t="s">
        <v>139</v>
      </c>
      <c r="J7" s="8" t="s">
        <v>140</v>
      </c>
      <c r="K7" s="8" t="s">
        <v>141</v>
      </c>
      <c r="L7" s="8" t="s">
        <v>142</v>
      </c>
      <c r="M7" s="8" t="s">
        <v>143</v>
      </c>
      <c r="N7" s="8" t="s">
        <v>144</v>
      </c>
      <c r="O7" s="8" t="s">
        <v>145</v>
      </c>
      <c r="P7" s="8" t="s">
        <v>146</v>
      </c>
    </row>
    <row r="8" customFormat="false" ht="15" hidden="false" customHeight="false" outlineLevel="0" collapsed="false">
      <c r="A8" s="20" t="s">
        <v>147</v>
      </c>
      <c r="B8" s="20" t="s">
        <v>148</v>
      </c>
      <c r="C8" s="20"/>
      <c r="D8" s="54" t="n">
        <f aca="false">SUM(D12:D100)</f>
        <v>151016</v>
      </c>
      <c r="E8" s="54" t="n">
        <f aca="false">SUM(E12:E100)</f>
        <v>155113</v>
      </c>
      <c r="F8" s="54" t="n">
        <f aca="false">D8+E8</f>
        <v>306129</v>
      </c>
      <c r="G8" s="55" t="n">
        <f aca="false">IF(F8=0,"",D8/F8)</f>
        <v>0.493308376534076</v>
      </c>
      <c r="H8" s="55" t="n">
        <f aca="false">IF(F8=0,"",E8/F8)</f>
        <v>0.506691623465924</v>
      </c>
      <c r="I8" s="20" t="s">
        <v>149</v>
      </c>
      <c r="J8" s="56" t="n">
        <v>0</v>
      </c>
      <c r="K8" s="56" t="n">
        <v>2.11954916662514</v>
      </c>
      <c r="L8" s="56" t="n">
        <f aca="false">SQRT(J8^2+K8^2)</f>
        <v>2.11954916662514</v>
      </c>
      <c r="M8" s="55" t="n">
        <f aca="false">G8-1.96*L8/100</f>
        <v>0.451765212868223</v>
      </c>
      <c r="N8" s="55" t="n">
        <f aca="false">G8+1.96*L8/100</f>
        <v>0.534851540199928</v>
      </c>
      <c r="O8" s="54" t="n">
        <f aca="false">ROUND(F8*0.035,0)</f>
        <v>10715</v>
      </c>
      <c r="P8" s="54" t="n">
        <f aca="false">ROUND(SQRT((F8*L8/100)^2+(G8*O8)^2),0)</f>
        <v>8369</v>
      </c>
    </row>
    <row r="9" customFormat="false" ht="15" hidden="false" customHeight="false" outlineLevel="0" collapsed="false">
      <c r="A9" s="13" t="s">
        <v>150</v>
      </c>
      <c r="B9" s="13"/>
      <c r="C9" s="13"/>
      <c r="D9" s="13"/>
      <c r="E9" s="13"/>
      <c r="F9" s="13"/>
      <c r="G9" s="13"/>
      <c r="H9" s="13"/>
      <c r="I9" s="13"/>
      <c r="J9" s="13"/>
      <c r="K9" s="13"/>
      <c r="L9" s="13"/>
      <c r="M9" s="13"/>
      <c r="N9" s="13"/>
      <c r="O9" s="13"/>
      <c r="P9" s="13"/>
    </row>
    <row r="10" customFormat="false" ht="15" hidden="false" customHeight="false" outlineLevel="0" collapsed="false">
      <c r="A10" s="4" t="s">
        <v>151</v>
      </c>
      <c r="B10" s="4"/>
      <c r="C10" s="4"/>
      <c r="D10" s="4"/>
      <c r="E10" s="4"/>
      <c r="F10" s="4"/>
      <c r="G10" s="4"/>
      <c r="H10" s="4"/>
      <c r="I10" s="4"/>
      <c r="J10" s="4"/>
      <c r="K10" s="4"/>
      <c r="L10" s="4"/>
      <c r="M10" s="4"/>
      <c r="N10" s="4"/>
      <c r="O10" s="4"/>
      <c r="P10" s="4"/>
      <c r="R10" s="57" t="s">
        <v>152</v>
      </c>
      <c r="S10" s="58"/>
      <c r="T10" s="58"/>
      <c r="U10" s="58"/>
      <c r="V10" s="58"/>
      <c r="W10" s="58"/>
      <c r="X10" s="58"/>
      <c r="Y10" s="58"/>
    </row>
    <row r="11" customFormat="false" ht="31.5" hidden="false" customHeight="true" outlineLevel="0" collapsed="false">
      <c r="A11" s="8" t="s">
        <v>113</v>
      </c>
      <c r="B11" s="8" t="s">
        <v>114</v>
      </c>
      <c r="C11" s="8" t="s">
        <v>115</v>
      </c>
      <c r="D11" s="8" t="s">
        <v>36</v>
      </c>
      <c r="E11" s="8" t="s">
        <v>37</v>
      </c>
      <c r="F11" s="8" t="s">
        <v>38</v>
      </c>
      <c r="G11" s="8" t="s">
        <v>39</v>
      </c>
      <c r="H11" s="8" t="s">
        <v>138</v>
      </c>
      <c r="I11" s="8" t="s">
        <v>153</v>
      </c>
      <c r="J11" s="8" t="s">
        <v>140</v>
      </c>
      <c r="K11" s="8" t="s">
        <v>141</v>
      </c>
      <c r="L11" s="8" t="s">
        <v>142</v>
      </c>
      <c r="M11" s="8" t="s">
        <v>143</v>
      </c>
      <c r="N11" s="8" t="s">
        <v>144</v>
      </c>
      <c r="O11" s="8" t="s">
        <v>145</v>
      </c>
      <c r="P11" s="8" t="s">
        <v>146</v>
      </c>
      <c r="R11" s="59" t="s">
        <v>154</v>
      </c>
      <c r="S11" s="59" t="s">
        <v>155</v>
      </c>
      <c r="T11" s="59" t="s">
        <v>156</v>
      </c>
      <c r="U11" s="59" t="s">
        <v>157</v>
      </c>
      <c r="V11" s="59" t="s">
        <v>158</v>
      </c>
      <c r="W11" s="59" t="s">
        <v>159</v>
      </c>
      <c r="X11" s="59" t="s">
        <v>160</v>
      </c>
      <c r="Y11" s="59" t="s">
        <v>161</v>
      </c>
    </row>
    <row r="12" customFormat="false" ht="15" hidden="false" customHeight="false" outlineLevel="0" collapsed="false">
      <c r="A12" s="32" t="s">
        <v>162</v>
      </c>
      <c r="B12" s="32" t="s">
        <v>163</v>
      </c>
      <c r="C12" s="32" t="s">
        <v>164</v>
      </c>
      <c r="D12" s="60" t="n">
        <f aca="false">ROUND(S12*T12,0)</f>
        <v>140</v>
      </c>
      <c r="E12" s="60" t="n">
        <f aca="false">ROUND(S12,0)-D12</f>
        <v>224</v>
      </c>
      <c r="F12" s="60" t="n">
        <f aca="false">IF(COUNTA(D12:E12)=0,"",SUM(D12:E12))</f>
        <v>364</v>
      </c>
      <c r="G12" s="40" t="n">
        <f aca="false">IF(OR(F12="",F12=0),"",D12/F12)</f>
        <v>0.384615384615385</v>
      </c>
      <c r="H12" s="40" t="n">
        <f aca="false">IF(OR(F12="",F12=0),"",E12/F12)</f>
        <v>0.615384615384615</v>
      </c>
      <c r="I12" s="32" t="s">
        <v>165</v>
      </c>
      <c r="J12" s="36" t="n">
        <v>3.62720814427021</v>
      </c>
      <c r="K12" s="36" t="n">
        <f aca="false">$K$8</f>
        <v>2.11954916662514</v>
      </c>
      <c r="L12" s="36" t="n">
        <f aca="false">SQRT(J12^2+K12^2)</f>
        <v>4.20108647752001</v>
      </c>
      <c r="M12" s="40" t="n">
        <f aca="false">IF(G12="","",MAX(0,G12-1.96*L12/100))</f>
        <v>0.302274089655993</v>
      </c>
      <c r="N12" s="40" t="n">
        <f aca="false">IF(G12="","",MIN(1,G12+1.96*L12/100))</f>
        <v>0.466956679574777</v>
      </c>
      <c r="O12" s="60" t="n">
        <f aca="false">ROUND(S12*W12,0)</f>
        <v>27</v>
      </c>
      <c r="P12" s="60" t="n">
        <f aca="false">IF(F12="","",ROUND(SQRT((F12*L12/100)^2+(G12*O12)^2),0))</f>
        <v>18</v>
      </c>
      <c r="R12" s="61" t="n">
        <v>-3.66110097685347</v>
      </c>
      <c r="S12" s="62" t="n">
        <f aca="false">U12*V12*$F$5</f>
        <v>364.490963855422</v>
      </c>
      <c r="T12" s="63" t="n">
        <f aca="false">MAX(0,MIN(1,R12/100+$D$5))</f>
        <v>0.385187295307825</v>
      </c>
      <c r="U12" s="63" t="n">
        <v>0.581325301204819</v>
      </c>
      <c r="V12" s="62" t="n">
        <v>627</v>
      </c>
      <c r="W12" s="63" t="n">
        <v>0.0732058935918866</v>
      </c>
      <c r="X12" s="64" t="s">
        <v>166</v>
      </c>
      <c r="Y12" s="64" t="s">
        <v>167</v>
      </c>
    </row>
    <row r="13" customFormat="false" ht="15" hidden="false" customHeight="false" outlineLevel="0" collapsed="false">
      <c r="A13" s="32" t="s">
        <v>162</v>
      </c>
      <c r="B13" s="32" t="s">
        <v>168</v>
      </c>
      <c r="C13" s="32" t="s">
        <v>164</v>
      </c>
      <c r="D13" s="60" t="n">
        <f aca="false">ROUND(S13*T13,0)</f>
        <v>94</v>
      </c>
      <c r="E13" s="60" t="n">
        <f aca="false">ROUND(S13,0)-D13</f>
        <v>236</v>
      </c>
      <c r="F13" s="60" t="n">
        <f aca="false">IF(COUNTA(D13:E13)=0,"",SUM(D13:E13))</f>
        <v>330</v>
      </c>
      <c r="G13" s="40" t="n">
        <f aca="false">IF(OR(F13="",F13=0),"",D13/F13)</f>
        <v>0.284848484848485</v>
      </c>
      <c r="H13" s="40" t="n">
        <f aca="false">IF(OR(F13="",F13=0),"",E13/F13)</f>
        <v>0.715151515151515</v>
      </c>
      <c r="I13" s="32" t="s">
        <v>165</v>
      </c>
      <c r="J13" s="36" t="n">
        <v>3.62720814427021</v>
      </c>
      <c r="K13" s="36" t="n">
        <f aca="false">$K$8</f>
        <v>2.11954916662514</v>
      </c>
      <c r="L13" s="36" t="n">
        <f aca="false">SQRT(J13^2+K13^2)</f>
        <v>4.20108647752001</v>
      </c>
      <c r="M13" s="40" t="n">
        <f aca="false">IF(G13="","",MAX(0,G13-1.96*L13/100))</f>
        <v>0.202507189889093</v>
      </c>
      <c r="N13" s="40" t="n">
        <f aca="false">IF(G13="","",MIN(1,G13+1.96*L13/100))</f>
        <v>0.367189779807877</v>
      </c>
      <c r="O13" s="60" t="n">
        <f aca="false">ROUND(S13*W13,0)</f>
        <v>24</v>
      </c>
      <c r="P13" s="60" t="n">
        <f aca="false">IF(F13="","",ROUND(SQRT((F13*L13/100)^2+(G13*O13)^2),0))</f>
        <v>15</v>
      </c>
      <c r="R13" s="61" t="n">
        <v>-13.6084977301013</v>
      </c>
      <c r="S13" s="62" t="n">
        <f aca="false">U13*V13*$F$5</f>
        <v>330.130136986301</v>
      </c>
      <c r="T13" s="63" t="n">
        <f aca="false">MAX(0,MIN(1,R13/100+$D$5))</f>
        <v>0.285713327775346</v>
      </c>
      <c r="U13" s="63" t="n">
        <v>0.537671232876712</v>
      </c>
      <c r="V13" s="62" t="n">
        <v>614</v>
      </c>
      <c r="W13" s="63" t="n">
        <v>0.0732058935918866</v>
      </c>
      <c r="X13" s="64" t="s">
        <v>166</v>
      </c>
      <c r="Y13" s="64" t="s">
        <v>167</v>
      </c>
    </row>
    <row r="14" customFormat="false" ht="15" hidden="false" customHeight="false" outlineLevel="0" collapsed="false">
      <c r="A14" s="32" t="s">
        <v>162</v>
      </c>
      <c r="B14" s="32" t="s">
        <v>169</v>
      </c>
      <c r="C14" s="32" t="s">
        <v>164</v>
      </c>
      <c r="D14" s="60" t="n">
        <f aca="false">ROUND(S14*T14,0)</f>
        <v>119</v>
      </c>
      <c r="E14" s="60" t="n">
        <f aca="false">ROUND(S14,0)-D14</f>
        <v>237</v>
      </c>
      <c r="F14" s="60" t="n">
        <f aca="false">IF(COUNTA(D14:E14)=0,"",SUM(D14:E14))</f>
        <v>356</v>
      </c>
      <c r="G14" s="40" t="n">
        <f aca="false">IF(OR(F14="",F14=0),"",D14/F14)</f>
        <v>0.334269662921348</v>
      </c>
      <c r="H14" s="40" t="n">
        <f aca="false">IF(OR(F14="",F14=0),"",E14/F14)</f>
        <v>0.665730337078652</v>
      </c>
      <c r="I14" s="32" t="s">
        <v>165</v>
      </c>
      <c r="J14" s="36" t="n">
        <v>3.62720814427021</v>
      </c>
      <c r="K14" s="36" t="n">
        <f aca="false">$K$8</f>
        <v>2.11954916662514</v>
      </c>
      <c r="L14" s="36" t="n">
        <f aca="false">SQRT(J14^2+K14^2)</f>
        <v>4.20108647752001</v>
      </c>
      <c r="M14" s="40" t="n">
        <f aca="false">IF(G14="","",MAX(0,G14-1.96*L14/100))</f>
        <v>0.251928367961956</v>
      </c>
      <c r="N14" s="40" t="n">
        <f aca="false">IF(G14="","",MIN(1,G14+1.96*L14/100))</f>
        <v>0.41661095788074</v>
      </c>
      <c r="O14" s="60" t="n">
        <f aca="false">ROUND(S14*W14,0)</f>
        <v>26</v>
      </c>
      <c r="P14" s="60" t="n">
        <f aca="false">IF(F14="","",ROUND(SQRT((F14*L14/100)^2+(G14*O14)^2),0))</f>
        <v>17</v>
      </c>
      <c r="R14" s="61" t="n">
        <v>-8.68019780903963</v>
      </c>
      <c r="S14" s="62" t="n">
        <f aca="false">U14*V14*$F$5</f>
        <v>355.63436928702</v>
      </c>
      <c r="T14" s="63" t="n">
        <f aca="false">MAX(0,MIN(1,R14/100+$D$5))</f>
        <v>0.334996326985963</v>
      </c>
      <c r="U14" s="63" t="n">
        <v>0.636197440585009</v>
      </c>
      <c r="V14" s="62" t="n">
        <v>559</v>
      </c>
      <c r="W14" s="63" t="n">
        <v>0.0732058935918866</v>
      </c>
      <c r="X14" s="64" t="s">
        <v>166</v>
      </c>
      <c r="Y14" s="64" t="s">
        <v>167</v>
      </c>
    </row>
    <row r="15" customFormat="false" ht="15" hidden="false" customHeight="false" outlineLevel="0" collapsed="false">
      <c r="A15" s="32" t="s">
        <v>162</v>
      </c>
      <c r="B15" s="32" t="s">
        <v>170</v>
      </c>
      <c r="C15" s="32" t="s">
        <v>164</v>
      </c>
      <c r="D15" s="60" t="n">
        <f aca="false">ROUND(S15*T15,0)</f>
        <v>367</v>
      </c>
      <c r="E15" s="60" t="n">
        <f aca="false">ROUND(S15,0)-D15</f>
        <v>968</v>
      </c>
      <c r="F15" s="60" t="n">
        <f aca="false">IF(COUNTA(D15:E15)=0,"",SUM(D15:E15))</f>
        <v>1335</v>
      </c>
      <c r="G15" s="40" t="n">
        <f aca="false">IF(OR(F15="",F15=0),"",D15/F15)</f>
        <v>0.274906367041199</v>
      </c>
      <c r="H15" s="40" t="n">
        <f aca="false">IF(OR(F15="",F15=0),"",E15/F15)</f>
        <v>0.725093632958802</v>
      </c>
      <c r="I15" s="32" t="s">
        <v>165</v>
      </c>
      <c r="J15" s="36" t="n">
        <v>1.74942827115577</v>
      </c>
      <c r="K15" s="36" t="n">
        <f aca="false">$K$8</f>
        <v>2.11954916662514</v>
      </c>
      <c r="L15" s="36" t="n">
        <f aca="false">SQRT(J15^2+K15^2)</f>
        <v>2.74826999140557</v>
      </c>
      <c r="M15" s="40" t="n">
        <f aca="false">IF(G15="","",MAX(0,G15-1.96*L15/100))</f>
        <v>0.221040275209649</v>
      </c>
      <c r="N15" s="40" t="n">
        <f aca="false">IF(G15="","",MIN(1,G15+1.96*L15/100))</f>
        <v>0.328772458872748</v>
      </c>
      <c r="O15" s="60" t="n">
        <f aca="false">ROUND(S15*W15,0)</f>
        <v>73</v>
      </c>
      <c r="P15" s="60" t="n">
        <f aca="false">IF(F15="","",ROUND(SQRT((F15*L15/100)^2+(G15*O15)^2),0))</f>
        <v>42</v>
      </c>
      <c r="R15" s="61" t="n">
        <v>-14.705800421738</v>
      </c>
      <c r="S15" s="62" t="n">
        <f aca="false">U15*V15*$F$5</f>
        <v>1334.82101558572</v>
      </c>
      <c r="T15" s="63" t="n">
        <f aca="false">MAX(0,MIN(1,R15/100+$D$5))</f>
        <v>0.274740300858979</v>
      </c>
      <c r="U15" s="63" t="n">
        <v>0.652086475615887</v>
      </c>
      <c r="V15" s="62" t="n">
        <v>2047</v>
      </c>
      <c r="W15" s="63" t="n">
        <v>0.0547268472736556</v>
      </c>
      <c r="X15" s="64" t="s">
        <v>171</v>
      </c>
      <c r="Y15" s="64" t="s">
        <v>167</v>
      </c>
    </row>
    <row r="16" customFormat="false" ht="15" hidden="false" customHeight="false" outlineLevel="0" collapsed="false">
      <c r="A16" s="32" t="s">
        <v>162</v>
      </c>
      <c r="B16" s="32" t="s">
        <v>172</v>
      </c>
      <c r="C16" s="32" t="s">
        <v>164</v>
      </c>
      <c r="D16" s="60" t="n">
        <f aca="false">ROUND(S16*T16,0)</f>
        <v>33</v>
      </c>
      <c r="E16" s="60" t="n">
        <f aca="false">ROUND(S16,0)-D16</f>
        <v>60</v>
      </c>
      <c r="F16" s="60" t="n">
        <f aca="false">IF(COUNTA(D16:E16)=0,"",SUM(D16:E16))</f>
        <v>93</v>
      </c>
      <c r="G16" s="40" t="n">
        <f aca="false">IF(OR(F16="",F16=0),"",D16/F16)</f>
        <v>0.354838709677419</v>
      </c>
      <c r="H16" s="40" t="n">
        <f aca="false">IF(OR(F16="",F16=0),"",E16/F16)</f>
        <v>0.645161290322581</v>
      </c>
      <c r="I16" s="32" t="s">
        <v>165</v>
      </c>
      <c r="J16" s="36" t="n">
        <v>3.62720814427021</v>
      </c>
      <c r="K16" s="36" t="n">
        <f aca="false">$K$8</f>
        <v>2.11954916662514</v>
      </c>
      <c r="L16" s="36" t="n">
        <f aca="false">SQRT(J16^2+K16^2)</f>
        <v>4.20108647752001</v>
      </c>
      <c r="M16" s="40" t="n">
        <f aca="false">IF(G16="","",MAX(0,G16-1.96*L16/100))</f>
        <v>0.272497414718027</v>
      </c>
      <c r="N16" s="40" t="n">
        <f aca="false">IF(G16="","",MIN(1,G16+1.96*L16/100))</f>
        <v>0.437180004636811</v>
      </c>
      <c r="O16" s="60" t="n">
        <f aca="false">ROUND(S16*W16,0)</f>
        <v>7</v>
      </c>
      <c r="P16" s="60" t="n">
        <f aca="false">IF(F16="","",ROUND(SQRT((F16*L16/100)^2+(G16*O16)^2),0))</f>
        <v>5</v>
      </c>
      <c r="R16" s="61" t="n">
        <v>-6.75380198843564</v>
      </c>
      <c r="S16" s="62" t="n">
        <f aca="false">U16*V16*$F$5</f>
        <v>93.4268292682927</v>
      </c>
      <c r="T16" s="63" t="n">
        <f aca="false">MAX(0,MIN(1,R16/100+$D$5))</f>
        <v>0.354260285192003</v>
      </c>
      <c r="U16" s="63" t="n">
        <v>0.573170731707317</v>
      </c>
      <c r="V16" s="62" t="n">
        <v>163</v>
      </c>
      <c r="W16" s="63" t="n">
        <v>0.0732058935918866</v>
      </c>
      <c r="X16" s="64" t="s">
        <v>166</v>
      </c>
      <c r="Y16" s="64" t="s">
        <v>167</v>
      </c>
    </row>
    <row r="17" customFormat="false" ht="15" hidden="false" customHeight="false" outlineLevel="0" collapsed="false">
      <c r="A17" s="32" t="s">
        <v>162</v>
      </c>
      <c r="B17" s="32" t="s">
        <v>173</v>
      </c>
      <c r="C17" s="32" t="s">
        <v>164</v>
      </c>
      <c r="D17" s="60" t="n">
        <f aca="false">ROUND(S17*T17,0)</f>
        <v>561</v>
      </c>
      <c r="E17" s="60" t="n">
        <f aca="false">ROUND(S17,0)-D17</f>
        <v>1421</v>
      </c>
      <c r="F17" s="60" t="n">
        <f aca="false">IF(COUNTA(D17:E17)=0,"",SUM(D17:E17))</f>
        <v>1982</v>
      </c>
      <c r="G17" s="40" t="n">
        <f aca="false">IF(OR(F17="",F17=0),"",D17/F17)</f>
        <v>0.283047426841574</v>
      </c>
      <c r="H17" s="40" t="n">
        <f aca="false">IF(OR(F17="",F17=0),"",E17/F17)</f>
        <v>0.716952573158426</v>
      </c>
      <c r="I17" s="32" t="s">
        <v>165</v>
      </c>
      <c r="J17" s="36" t="n">
        <v>1.74942827115577</v>
      </c>
      <c r="K17" s="36" t="n">
        <f aca="false">$K$8</f>
        <v>2.11954916662514</v>
      </c>
      <c r="L17" s="36" t="n">
        <f aca="false">SQRT(J17^2+K17^2)</f>
        <v>2.74826999140557</v>
      </c>
      <c r="M17" s="40" t="n">
        <f aca="false">IF(G17="","",MAX(0,G17-1.96*L17/100))</f>
        <v>0.229181335010025</v>
      </c>
      <c r="N17" s="40" t="n">
        <f aca="false">IF(G17="","",MIN(1,G17+1.96*L17/100))</f>
        <v>0.336913518673123</v>
      </c>
      <c r="O17" s="60" t="n">
        <f aca="false">ROUND(S17*W17,0)</f>
        <v>108</v>
      </c>
      <c r="P17" s="60" t="n">
        <f aca="false">IF(F17="","",ROUND(SQRT((F17*L17/100)^2+(G17*O17)^2),0))</f>
        <v>62</v>
      </c>
      <c r="R17" s="61" t="n">
        <v>-13.8710523625963</v>
      </c>
      <c r="S17" s="62" t="n">
        <f aca="false">U17*V17*$F$5</f>
        <v>1982.00903517264</v>
      </c>
      <c r="T17" s="63" t="n">
        <f aca="false">MAX(0,MIN(1,R17/100+$D$5))</f>
        <v>0.283087781450397</v>
      </c>
      <c r="U17" s="63" t="n">
        <v>0.631816715069377</v>
      </c>
      <c r="V17" s="62" t="n">
        <v>3137</v>
      </c>
      <c r="W17" s="63" t="n">
        <v>0.0547268472736556</v>
      </c>
      <c r="X17" s="64" t="s">
        <v>171</v>
      </c>
      <c r="Y17" s="64" t="s">
        <v>167</v>
      </c>
    </row>
    <row r="18" customFormat="false" ht="15" hidden="false" customHeight="false" outlineLevel="0" collapsed="false">
      <c r="A18" s="32" t="s">
        <v>162</v>
      </c>
      <c r="B18" s="32" t="s">
        <v>174</v>
      </c>
      <c r="C18" s="32" t="s">
        <v>164</v>
      </c>
      <c r="D18" s="60" t="n">
        <f aca="false">ROUND(S18*T18,0)</f>
        <v>948</v>
      </c>
      <c r="E18" s="60" t="n">
        <f aca="false">ROUND(S18,0)-D18</f>
        <v>1160</v>
      </c>
      <c r="F18" s="60" t="n">
        <f aca="false">IF(COUNTA(D18:E18)=0,"",SUM(D18:E18))</f>
        <v>2108</v>
      </c>
      <c r="G18" s="40" t="n">
        <f aca="false">IF(OR(F18="",F18=0),"",D18/F18)</f>
        <v>0.449715370018975</v>
      </c>
      <c r="H18" s="40" t="n">
        <f aca="false">IF(OR(F18="",F18=0),"",E18/F18)</f>
        <v>0.550284629981025</v>
      </c>
      <c r="I18" s="32" t="s">
        <v>165</v>
      </c>
      <c r="J18" s="36" t="n">
        <v>1.74942827115577</v>
      </c>
      <c r="K18" s="36" t="n">
        <f aca="false">$K$8</f>
        <v>2.11954916662514</v>
      </c>
      <c r="L18" s="36" t="n">
        <f aca="false">SQRT(J18^2+K18^2)</f>
        <v>2.74826999140557</v>
      </c>
      <c r="M18" s="40" t="n">
        <f aca="false">IF(G18="","",MAX(0,G18-1.96*L18/100))</f>
        <v>0.395849278187426</v>
      </c>
      <c r="N18" s="40" t="n">
        <f aca="false">IF(G18="","",MIN(1,G18+1.96*L18/100))</f>
        <v>0.503581461850525</v>
      </c>
      <c r="O18" s="60" t="n">
        <f aca="false">ROUND(S18*W18,0)</f>
        <v>115</v>
      </c>
      <c r="P18" s="60" t="n">
        <f aca="false">IF(F18="","",ROUND(SQRT((F18*L18/100)^2+(G18*O18)^2),0))</f>
        <v>78</v>
      </c>
      <c r="R18" s="61" t="n">
        <v>2.80159144287536</v>
      </c>
      <c r="S18" s="62" t="n">
        <f aca="false">U18*V18*$F$5</f>
        <v>2107.72563176895</v>
      </c>
      <c r="T18" s="63" t="n">
        <f aca="false">MAX(0,MIN(1,R18/100+$D$5))</f>
        <v>0.449814219505113</v>
      </c>
      <c r="U18" s="63" t="n">
        <v>0.642599277978339</v>
      </c>
      <c r="V18" s="62" t="n">
        <v>3280</v>
      </c>
      <c r="W18" s="63" t="n">
        <v>0.0547268472736556</v>
      </c>
      <c r="X18" s="64" t="s">
        <v>171</v>
      </c>
      <c r="Y18" s="64" t="s">
        <v>167</v>
      </c>
    </row>
    <row r="19" customFormat="false" ht="15" hidden="false" customHeight="false" outlineLevel="0" collapsed="false">
      <c r="A19" s="32" t="s">
        <v>162</v>
      </c>
      <c r="B19" s="32" t="s">
        <v>175</v>
      </c>
      <c r="C19" s="32" t="s">
        <v>164</v>
      </c>
      <c r="D19" s="60" t="n">
        <f aca="false">ROUND(S19*T19,0)</f>
        <v>274</v>
      </c>
      <c r="E19" s="60" t="n">
        <f aca="false">ROUND(S19,0)-D19</f>
        <v>531</v>
      </c>
      <c r="F19" s="60" t="n">
        <f aca="false">IF(COUNTA(D19:E19)=0,"",SUM(D19:E19))</f>
        <v>805</v>
      </c>
      <c r="G19" s="40" t="n">
        <f aca="false">IF(OR(F19="",F19=0),"",D19/F19)</f>
        <v>0.340372670807453</v>
      </c>
      <c r="H19" s="40" t="n">
        <f aca="false">IF(OR(F19="",F19=0),"",E19/F19)</f>
        <v>0.659627329192547</v>
      </c>
      <c r="I19" s="32" t="s">
        <v>165</v>
      </c>
      <c r="J19" s="36" t="n">
        <v>3.62720814427021</v>
      </c>
      <c r="K19" s="36" t="n">
        <f aca="false">$K$8</f>
        <v>2.11954916662514</v>
      </c>
      <c r="L19" s="36" t="n">
        <f aca="false">SQRT(J19^2+K19^2)</f>
        <v>4.20108647752001</v>
      </c>
      <c r="M19" s="40" t="n">
        <f aca="false">IF(G19="","",MAX(0,G19-1.96*L19/100))</f>
        <v>0.258031375848061</v>
      </c>
      <c r="N19" s="40" t="n">
        <f aca="false">IF(G19="","",MIN(1,G19+1.96*L19/100))</f>
        <v>0.422713965766846</v>
      </c>
      <c r="O19" s="60" t="n">
        <f aca="false">ROUND(S19*W19,0)</f>
        <v>59</v>
      </c>
      <c r="P19" s="60" t="n">
        <f aca="false">IF(F19="","",ROUND(SQRT((F19*L19/100)^2+(G19*O19)^2),0))</f>
        <v>39</v>
      </c>
      <c r="R19" s="61" t="n">
        <v>-8.16450927275263</v>
      </c>
      <c r="S19" s="62" t="n">
        <f aca="false">U19*V19*$F$5</f>
        <v>804.850331125828</v>
      </c>
      <c r="T19" s="63" t="n">
        <f aca="false">MAX(0,MIN(1,R19/100+$D$5))</f>
        <v>0.340153212348833</v>
      </c>
      <c r="U19" s="63" t="n">
        <v>0.554304635761589</v>
      </c>
      <c r="V19" s="62" t="n">
        <v>1452</v>
      </c>
      <c r="W19" s="63" t="n">
        <v>0.0732058935918866</v>
      </c>
      <c r="X19" s="64" t="s">
        <v>166</v>
      </c>
      <c r="Y19" s="64" t="s">
        <v>167</v>
      </c>
    </row>
    <row r="20" customFormat="false" ht="15" hidden="false" customHeight="false" outlineLevel="0" collapsed="false">
      <c r="A20" s="32" t="s">
        <v>162</v>
      </c>
      <c r="B20" s="32" t="s">
        <v>176</v>
      </c>
      <c r="C20" s="32" t="s">
        <v>164</v>
      </c>
      <c r="D20" s="60" t="n">
        <f aca="false">ROUND(S20*T20,0)</f>
        <v>452</v>
      </c>
      <c r="E20" s="60" t="n">
        <f aca="false">ROUND(S20,0)-D20</f>
        <v>631</v>
      </c>
      <c r="F20" s="60" t="n">
        <f aca="false">IF(COUNTA(D20:E20)=0,"",SUM(D20:E20))</f>
        <v>1083</v>
      </c>
      <c r="G20" s="40" t="n">
        <f aca="false">IF(OR(F20="",F20=0),"",D20/F20)</f>
        <v>0.41735918744229</v>
      </c>
      <c r="H20" s="40" t="n">
        <f aca="false">IF(OR(F20="",F20=0),"",E20/F20)</f>
        <v>0.58264081255771</v>
      </c>
      <c r="I20" s="32" t="s">
        <v>165</v>
      </c>
      <c r="J20" s="36" t="n">
        <v>3.62720814427021</v>
      </c>
      <c r="K20" s="36" t="n">
        <f aca="false">$K$8</f>
        <v>2.11954916662514</v>
      </c>
      <c r="L20" s="36" t="n">
        <f aca="false">SQRT(J20^2+K20^2)</f>
        <v>4.20108647752001</v>
      </c>
      <c r="M20" s="40" t="n">
        <f aca="false">IF(G20="","",MAX(0,G20-1.96*L20/100))</f>
        <v>0.335017892482898</v>
      </c>
      <c r="N20" s="40" t="n">
        <f aca="false">IF(G20="","",MIN(1,G20+1.96*L20/100))</f>
        <v>0.499700482401682</v>
      </c>
      <c r="O20" s="60" t="n">
        <f aca="false">ROUND(S20*W20,0)</f>
        <v>79</v>
      </c>
      <c r="P20" s="60" t="n">
        <f aca="false">IF(F20="","",ROUND(SQRT((F20*L20/100)^2+(G20*O20)^2),0))</f>
        <v>56</v>
      </c>
      <c r="R20" s="61" t="n">
        <v>-0.506288911245722</v>
      </c>
      <c r="S20" s="62" t="n">
        <f aca="false">U20*V20*$F$5</f>
        <v>1083.4829443447</v>
      </c>
      <c r="T20" s="63" t="n">
        <f aca="false">MAX(0,MIN(1,R20/100+$D$5))</f>
        <v>0.416735415963902</v>
      </c>
      <c r="U20" s="63" t="n">
        <v>0.448833034111311</v>
      </c>
      <c r="V20" s="62" t="n">
        <v>2414</v>
      </c>
      <c r="W20" s="63" t="n">
        <v>0.0732058935918866</v>
      </c>
      <c r="X20" s="64" t="s">
        <v>166</v>
      </c>
      <c r="Y20" s="64" t="s">
        <v>167</v>
      </c>
    </row>
    <row r="21" customFormat="false" ht="15" hidden="false" customHeight="false" outlineLevel="0" collapsed="false">
      <c r="A21" s="32" t="s">
        <v>162</v>
      </c>
      <c r="B21" s="32" t="s">
        <v>177</v>
      </c>
      <c r="C21" s="32" t="s">
        <v>164</v>
      </c>
      <c r="D21" s="60" t="n">
        <f aca="false">ROUND(S21*T21,0)</f>
        <v>34</v>
      </c>
      <c r="E21" s="60" t="n">
        <f aca="false">ROUND(S21,0)-D21</f>
        <v>84</v>
      </c>
      <c r="F21" s="60" t="n">
        <f aca="false">IF(COUNTA(D21:E21)=0,"",SUM(D21:E21))</f>
        <v>118</v>
      </c>
      <c r="G21" s="40" t="n">
        <f aca="false">IF(OR(F21="",F21=0),"",D21/F21)</f>
        <v>0.288135593220339</v>
      </c>
      <c r="H21" s="40" t="n">
        <f aca="false">IF(OR(F21="",F21=0),"",E21/F21)</f>
        <v>0.711864406779661</v>
      </c>
      <c r="I21" s="32" t="s">
        <v>165</v>
      </c>
      <c r="J21" s="36" t="n">
        <v>3.62720814427021</v>
      </c>
      <c r="K21" s="36" t="n">
        <f aca="false">$K$8</f>
        <v>2.11954916662514</v>
      </c>
      <c r="L21" s="36" t="n">
        <f aca="false">SQRT(J21^2+K21^2)</f>
        <v>4.20108647752001</v>
      </c>
      <c r="M21" s="40" t="n">
        <f aca="false">IF(G21="","",MAX(0,G21-1.96*L21/100))</f>
        <v>0.205794298260947</v>
      </c>
      <c r="N21" s="40" t="n">
        <f aca="false">IF(G21="","",MIN(1,G21+1.96*L21/100))</f>
        <v>0.370476888179731</v>
      </c>
      <c r="O21" s="60" t="n">
        <f aca="false">ROUND(S21*W21,0)</f>
        <v>9</v>
      </c>
      <c r="P21" s="60" t="n">
        <f aca="false">IF(F21="","",ROUND(SQRT((F21*L21/100)^2+(G21*O21)^2),0))</f>
        <v>6</v>
      </c>
      <c r="R21" s="61" t="n">
        <v>-13.2964979726452</v>
      </c>
      <c r="S21" s="62" t="n">
        <f aca="false">U21*V21*$F$5</f>
        <v>118.285714285714</v>
      </c>
      <c r="T21" s="63" t="n">
        <f aca="false">MAX(0,MIN(1,R21/100+$D$5))</f>
        <v>0.288833325349907</v>
      </c>
      <c r="U21" s="63" t="n">
        <v>0.657142857142857</v>
      </c>
      <c r="V21" s="62" t="n">
        <v>180</v>
      </c>
      <c r="W21" s="63" t="n">
        <v>0.0732058935918866</v>
      </c>
      <c r="X21" s="64" t="s">
        <v>166</v>
      </c>
      <c r="Y21" s="64" t="s">
        <v>167</v>
      </c>
    </row>
    <row r="22" customFormat="false" ht="15" hidden="false" customHeight="false" outlineLevel="0" collapsed="false">
      <c r="A22" s="32" t="s">
        <v>162</v>
      </c>
      <c r="B22" s="32" t="s">
        <v>178</v>
      </c>
      <c r="C22" s="32" t="s">
        <v>164</v>
      </c>
      <c r="D22" s="60" t="n">
        <f aca="false">ROUND(S22*T22,0)</f>
        <v>50</v>
      </c>
      <c r="E22" s="60" t="n">
        <f aca="false">ROUND(S22,0)-D22</f>
        <v>187</v>
      </c>
      <c r="F22" s="60" t="n">
        <f aca="false">IF(COUNTA(D22:E22)=0,"",SUM(D22:E22))</f>
        <v>237</v>
      </c>
      <c r="G22" s="40" t="n">
        <f aca="false">IF(OR(F22="",F22=0),"",D22/F22)</f>
        <v>0.210970464135021</v>
      </c>
      <c r="H22" s="40" t="n">
        <f aca="false">IF(OR(F22="",F22=0),"",E22/F22)</f>
        <v>0.789029535864979</v>
      </c>
      <c r="I22" s="32" t="s">
        <v>165</v>
      </c>
      <c r="J22" s="36" t="n">
        <v>3.62720814427021</v>
      </c>
      <c r="K22" s="36" t="n">
        <f aca="false">$K$8</f>
        <v>2.11954916662514</v>
      </c>
      <c r="L22" s="36" t="n">
        <f aca="false">SQRT(J22^2+K22^2)</f>
        <v>4.20108647752001</v>
      </c>
      <c r="M22" s="40" t="n">
        <f aca="false">IF(G22="","",MAX(0,G22-1.96*L22/100))</f>
        <v>0.128629169175629</v>
      </c>
      <c r="N22" s="40" t="n">
        <f aca="false">IF(G22="","",MIN(1,G22+1.96*L22/100))</f>
        <v>0.293311759094413</v>
      </c>
      <c r="O22" s="60" t="n">
        <f aca="false">ROUND(S22*W22,0)</f>
        <v>17</v>
      </c>
      <c r="P22" s="60" t="n">
        <f aca="false">IF(F22="","",ROUND(SQRT((F22*L22/100)^2+(G22*O22)^2),0))</f>
        <v>11</v>
      </c>
      <c r="R22" s="61" t="n">
        <v>-21.1895448066149</v>
      </c>
      <c r="S22" s="62" t="n">
        <f aca="false">U22*V22*$F$5</f>
        <v>236.844827586207</v>
      </c>
      <c r="T22" s="63" t="n">
        <f aca="false">MAX(0,MIN(1,R22/100+$D$5))</f>
        <v>0.209902857010211</v>
      </c>
      <c r="U22" s="63" t="n">
        <v>0.692528735632184</v>
      </c>
      <c r="V22" s="62" t="n">
        <v>342</v>
      </c>
      <c r="W22" s="63" t="n">
        <v>0.0732058935918866</v>
      </c>
      <c r="X22" s="64" t="s">
        <v>166</v>
      </c>
      <c r="Y22" s="64" t="s">
        <v>167</v>
      </c>
    </row>
    <row r="23" customFormat="false" ht="15" hidden="false" customHeight="false" outlineLevel="0" collapsed="false">
      <c r="A23" s="32" t="s">
        <v>162</v>
      </c>
      <c r="B23" s="32" t="s">
        <v>179</v>
      </c>
      <c r="C23" s="32" t="s">
        <v>164</v>
      </c>
      <c r="D23" s="60" t="n">
        <f aca="false">ROUND(S23*T23,0)</f>
        <v>705</v>
      </c>
      <c r="E23" s="60" t="n">
        <f aca="false">ROUND(S23,0)-D23</f>
        <v>1049</v>
      </c>
      <c r="F23" s="60" t="n">
        <f aca="false">IF(COUNTA(D23:E23)=0,"",SUM(D23:E23))</f>
        <v>1754</v>
      </c>
      <c r="G23" s="40" t="n">
        <f aca="false">IF(OR(F23="",F23=0),"",D23/F23)</f>
        <v>0.40193842645382</v>
      </c>
      <c r="H23" s="40" t="n">
        <f aca="false">IF(OR(F23="",F23=0),"",E23/F23)</f>
        <v>0.59806157354618</v>
      </c>
      <c r="I23" s="32" t="s">
        <v>165</v>
      </c>
      <c r="J23" s="36" t="n">
        <v>1.74942827115577</v>
      </c>
      <c r="K23" s="36" t="n">
        <f aca="false">$K$8</f>
        <v>2.11954916662514</v>
      </c>
      <c r="L23" s="36" t="n">
        <f aca="false">SQRT(J23^2+K23^2)</f>
        <v>2.74826999140557</v>
      </c>
      <c r="M23" s="40" t="n">
        <f aca="false">IF(G23="","",MAX(0,G23-1.96*L23/100))</f>
        <v>0.348072334622271</v>
      </c>
      <c r="N23" s="40" t="n">
        <f aca="false">IF(G23="","",MIN(1,G23+1.96*L23/100))</f>
        <v>0.455804518285369</v>
      </c>
      <c r="O23" s="60" t="n">
        <f aca="false">ROUND(S23*W23,0)</f>
        <v>96</v>
      </c>
      <c r="P23" s="60" t="n">
        <f aca="false">IF(F23="","",ROUND(SQRT((F23*L23/100)^2+(G23*O23)^2),0))</f>
        <v>62</v>
      </c>
      <c r="R23" s="61" t="n">
        <v>-1.96753311070201</v>
      </c>
      <c r="S23" s="62" t="n">
        <f aca="false">U23*V23*$F$5</f>
        <v>1753.74077578051</v>
      </c>
      <c r="T23" s="63" t="n">
        <f aca="false">MAX(0,MIN(1,R23/100+$D$5))</f>
        <v>0.40212297396934</v>
      </c>
      <c r="U23" s="63" t="n">
        <v>0.525701671397036</v>
      </c>
      <c r="V23" s="62" t="n">
        <v>3336</v>
      </c>
      <c r="W23" s="63" t="n">
        <v>0.0547268472736556</v>
      </c>
      <c r="X23" s="64" t="s">
        <v>171</v>
      </c>
      <c r="Y23" s="64" t="s">
        <v>167</v>
      </c>
    </row>
    <row r="24" customFormat="false" ht="15" hidden="false" customHeight="false" outlineLevel="0" collapsed="false">
      <c r="A24" s="32" t="s">
        <v>162</v>
      </c>
      <c r="B24" s="32" t="s">
        <v>180</v>
      </c>
      <c r="C24" s="32" t="s">
        <v>164</v>
      </c>
      <c r="D24" s="60" t="n">
        <f aca="false">ROUND(S24*T24,0)</f>
        <v>416</v>
      </c>
      <c r="E24" s="60" t="n">
        <f aca="false">ROUND(S24,0)-D24</f>
        <v>985</v>
      </c>
      <c r="F24" s="60" t="n">
        <f aca="false">IF(COUNTA(D24:E24)=0,"",SUM(D24:E24))</f>
        <v>1401</v>
      </c>
      <c r="G24" s="40" t="n">
        <f aca="false">IF(OR(F24="",F24=0),"",D24/F24)</f>
        <v>0.296930763740186</v>
      </c>
      <c r="H24" s="40" t="n">
        <f aca="false">IF(OR(F24="",F24=0),"",E24/F24)</f>
        <v>0.703069236259814</v>
      </c>
      <c r="I24" s="32" t="s">
        <v>165</v>
      </c>
      <c r="J24" s="36" t="n">
        <v>1.74942827115577</v>
      </c>
      <c r="K24" s="36" t="n">
        <f aca="false">$K$8</f>
        <v>2.11954916662514</v>
      </c>
      <c r="L24" s="36" t="n">
        <f aca="false">SQRT(J24^2+K24^2)</f>
        <v>2.74826999140557</v>
      </c>
      <c r="M24" s="40" t="n">
        <f aca="false">IF(G24="","",MAX(0,G24-1.96*L24/100))</f>
        <v>0.243064671908636</v>
      </c>
      <c r="N24" s="40" t="n">
        <f aca="false">IF(G24="","",MIN(1,G24+1.96*L24/100))</f>
        <v>0.350796855571735</v>
      </c>
      <c r="O24" s="60" t="n">
        <f aca="false">ROUND(S24*W24,0)</f>
        <v>77</v>
      </c>
      <c r="P24" s="60" t="n">
        <f aca="false">IF(F24="","",ROUND(SQRT((F24*L24/100)^2+(G24*O24)^2),0))</f>
        <v>45</v>
      </c>
      <c r="R24" s="61" t="n">
        <v>-12.4836181399214</v>
      </c>
      <c r="S24" s="62" t="n">
        <f aca="false">U24*V24*$F$5</f>
        <v>1401.11772917636</v>
      </c>
      <c r="T24" s="63" t="n">
        <f aca="false">MAX(0,MIN(1,R24/100+$D$5))</f>
        <v>0.296962123677146</v>
      </c>
      <c r="U24" s="63" t="n">
        <v>0.626337831549558</v>
      </c>
      <c r="V24" s="62" t="n">
        <v>2237</v>
      </c>
      <c r="W24" s="63" t="n">
        <v>0.0547268472736556</v>
      </c>
      <c r="X24" s="64" t="s">
        <v>171</v>
      </c>
      <c r="Y24" s="64" t="s">
        <v>167</v>
      </c>
    </row>
    <row r="25" customFormat="false" ht="15" hidden="false" customHeight="false" outlineLevel="0" collapsed="false">
      <c r="A25" s="32" t="s">
        <v>162</v>
      </c>
      <c r="B25" s="32" t="s">
        <v>181</v>
      </c>
      <c r="C25" s="32" t="s">
        <v>164</v>
      </c>
      <c r="D25" s="60" t="n">
        <f aca="false">ROUND(S25*T25,0)</f>
        <v>552</v>
      </c>
      <c r="E25" s="60" t="n">
        <f aca="false">ROUND(S25,0)-D25</f>
        <v>1326</v>
      </c>
      <c r="F25" s="60" t="n">
        <f aca="false">IF(COUNTA(D25:E25)=0,"",SUM(D25:E25))</f>
        <v>1878</v>
      </c>
      <c r="G25" s="40" t="n">
        <f aca="false">IF(OR(F25="",F25=0),"",D25/F25)</f>
        <v>0.293929712460064</v>
      </c>
      <c r="H25" s="40" t="n">
        <f aca="false">IF(OR(F25="",F25=0),"",E25/F25)</f>
        <v>0.706070287539936</v>
      </c>
      <c r="I25" s="32" t="s">
        <v>165</v>
      </c>
      <c r="J25" s="36" t="n">
        <v>1.74942827115577</v>
      </c>
      <c r="K25" s="36" t="n">
        <f aca="false">$K$8</f>
        <v>2.11954916662514</v>
      </c>
      <c r="L25" s="36" t="n">
        <f aca="false">SQRT(J25^2+K25^2)</f>
        <v>2.74826999140557</v>
      </c>
      <c r="M25" s="40" t="n">
        <f aca="false">IF(G25="","",MAX(0,G25-1.96*L25/100))</f>
        <v>0.240063620628515</v>
      </c>
      <c r="N25" s="40" t="n">
        <f aca="false">IF(G25="","",MIN(1,G25+1.96*L25/100))</f>
        <v>0.347795804291613</v>
      </c>
      <c r="O25" s="60" t="n">
        <f aca="false">ROUND(S25*W25,0)</f>
        <v>103</v>
      </c>
      <c r="P25" s="60" t="n">
        <f aca="false">IF(F25="","",ROUND(SQRT((F25*L25/100)^2+(G25*O25)^2),0))</f>
        <v>60</v>
      </c>
      <c r="R25" s="61" t="n">
        <v>-12.7921567753393</v>
      </c>
      <c r="S25" s="62" t="n">
        <f aca="false">U25*V25*$F$5</f>
        <v>1878.41828929068</v>
      </c>
      <c r="T25" s="63" t="n">
        <f aca="false">MAX(0,MIN(1,R25/100+$D$5))</f>
        <v>0.293876737322967</v>
      </c>
      <c r="U25" s="63" t="n">
        <v>0.616481223922114</v>
      </c>
      <c r="V25" s="62" t="n">
        <v>3047</v>
      </c>
      <c r="W25" s="63" t="n">
        <v>0.0547268472736556</v>
      </c>
      <c r="X25" s="64" t="s">
        <v>171</v>
      </c>
      <c r="Y25" s="64" t="s">
        <v>167</v>
      </c>
    </row>
    <row r="26" customFormat="false" ht="15" hidden="false" customHeight="false" outlineLevel="0" collapsed="false">
      <c r="A26" s="32" t="s">
        <v>162</v>
      </c>
      <c r="B26" s="32" t="s">
        <v>182</v>
      </c>
      <c r="C26" s="32" t="s">
        <v>164</v>
      </c>
      <c r="D26" s="60" t="n">
        <f aca="false">ROUND(S26*T26,0)</f>
        <v>493</v>
      </c>
      <c r="E26" s="60" t="n">
        <f aca="false">ROUND(S26,0)-D26</f>
        <v>721</v>
      </c>
      <c r="F26" s="60" t="n">
        <f aca="false">IF(COUNTA(D26:E26)=0,"",SUM(D26:E26))</f>
        <v>1214</v>
      </c>
      <c r="G26" s="40" t="n">
        <f aca="false">IF(OR(F26="",F26=0),"",D26/F26)</f>
        <v>0.406095551894563</v>
      </c>
      <c r="H26" s="40" t="n">
        <f aca="false">IF(OR(F26="",F26=0),"",E26/F26)</f>
        <v>0.593904448105437</v>
      </c>
      <c r="I26" s="32" t="s">
        <v>165</v>
      </c>
      <c r="J26" s="36" t="n">
        <v>3.62720814427021</v>
      </c>
      <c r="K26" s="36" t="n">
        <f aca="false">$K$8</f>
        <v>2.11954916662514</v>
      </c>
      <c r="L26" s="36" t="n">
        <f aca="false">SQRT(J26^2+K26^2)</f>
        <v>4.20108647752001</v>
      </c>
      <c r="M26" s="40" t="n">
        <f aca="false">IF(G26="","",MAX(0,G26-1.96*L26/100))</f>
        <v>0.323754256935171</v>
      </c>
      <c r="N26" s="40" t="n">
        <f aca="false">IF(G26="","",MIN(1,G26+1.96*L26/100))</f>
        <v>0.488436846853956</v>
      </c>
      <c r="O26" s="60" t="n">
        <f aca="false">ROUND(S26*W26,0)</f>
        <v>89</v>
      </c>
      <c r="P26" s="60" t="n">
        <f aca="false">IF(F26="","",ROUND(SQRT((F26*L26/100)^2+(G26*O26)^2),0))</f>
        <v>63</v>
      </c>
      <c r="R26" s="61" t="n">
        <v>-1.59696396720113</v>
      </c>
      <c r="S26" s="62" t="n">
        <f aca="false">U26*V26*$F$5</f>
        <v>1214.17865765331</v>
      </c>
      <c r="T26" s="63" t="n">
        <f aca="false">MAX(0,MIN(1,R26/100+$D$5))</f>
        <v>0.405828665404348</v>
      </c>
      <c r="U26" s="63" t="n">
        <v>0.576533075808788</v>
      </c>
      <c r="V26" s="62" t="n">
        <v>2106</v>
      </c>
      <c r="W26" s="63" t="n">
        <v>0.0732058935918866</v>
      </c>
      <c r="X26" s="64" t="s">
        <v>166</v>
      </c>
      <c r="Y26" s="64" t="s">
        <v>167</v>
      </c>
    </row>
    <row r="27" customFormat="false" ht="15" hidden="false" customHeight="false" outlineLevel="0" collapsed="false">
      <c r="A27" s="32" t="s">
        <v>162</v>
      </c>
      <c r="B27" s="32" t="s">
        <v>183</v>
      </c>
      <c r="C27" s="32" t="s">
        <v>164</v>
      </c>
      <c r="D27" s="60" t="n">
        <f aca="false">ROUND(S27*T27,0)</f>
        <v>106</v>
      </c>
      <c r="E27" s="60" t="n">
        <f aca="false">ROUND(S27,0)-D27</f>
        <v>424</v>
      </c>
      <c r="F27" s="60" t="n">
        <f aca="false">IF(COUNTA(D27:E27)=0,"",SUM(D27:E27))</f>
        <v>530</v>
      </c>
      <c r="G27" s="40" t="n">
        <f aca="false">IF(OR(F27="",F27=0),"",D27/F27)</f>
        <v>0.2</v>
      </c>
      <c r="H27" s="40" t="n">
        <f aca="false">IF(OR(F27="",F27=0),"",E27/F27)</f>
        <v>0.8</v>
      </c>
      <c r="I27" s="32" t="s">
        <v>165</v>
      </c>
      <c r="J27" s="36" t="n">
        <v>3.62720814427021</v>
      </c>
      <c r="K27" s="36" t="n">
        <f aca="false">$K$8</f>
        <v>2.11954916662514</v>
      </c>
      <c r="L27" s="36" t="n">
        <f aca="false">SQRT(J27^2+K27^2)</f>
        <v>4.20108647752001</v>
      </c>
      <c r="M27" s="40" t="n">
        <f aca="false">IF(G27="","",MAX(0,G27-1.96*L27/100))</f>
        <v>0.117658705040608</v>
      </c>
      <c r="N27" s="40" t="n">
        <f aca="false">IF(G27="","",MIN(1,G27+1.96*L27/100))</f>
        <v>0.282341294959392</v>
      </c>
      <c r="O27" s="60" t="n">
        <f aca="false">ROUND(S27*W27,0)</f>
        <v>39</v>
      </c>
      <c r="P27" s="60" t="n">
        <f aca="false">IF(F27="","",ROUND(SQRT((F27*L27/100)^2+(G27*O27)^2),0))</f>
        <v>24</v>
      </c>
      <c r="R27" s="61" t="n">
        <v>-22.134910473493</v>
      </c>
      <c r="S27" s="62" t="n">
        <f aca="false">U27*V27*$F$5</f>
        <v>530.117647058824</v>
      </c>
      <c r="T27" s="63" t="n">
        <f aca="false">MAX(0,MIN(1,R27/100+$D$5))</f>
        <v>0.20044920034143</v>
      </c>
      <c r="U27" s="63" t="n">
        <v>0.705882352941177</v>
      </c>
      <c r="V27" s="62" t="n">
        <v>751</v>
      </c>
      <c r="W27" s="63" t="n">
        <v>0.0732058935918866</v>
      </c>
      <c r="X27" s="64" t="s">
        <v>166</v>
      </c>
      <c r="Y27" s="64" t="s">
        <v>167</v>
      </c>
    </row>
    <row r="28" customFormat="false" ht="15" hidden="false" customHeight="false" outlineLevel="0" collapsed="false">
      <c r="A28" s="32" t="s">
        <v>162</v>
      </c>
      <c r="B28" s="32" t="s">
        <v>184</v>
      </c>
      <c r="C28" s="32" t="s">
        <v>164</v>
      </c>
      <c r="D28" s="60" t="n">
        <f aca="false">ROUND(S28*T28,0)</f>
        <v>727</v>
      </c>
      <c r="E28" s="60" t="n">
        <f aca="false">ROUND(S28,0)-D28</f>
        <v>1264</v>
      </c>
      <c r="F28" s="60" t="n">
        <f aca="false">IF(COUNTA(D28:E28)=0,"",SUM(D28:E28))</f>
        <v>1991</v>
      </c>
      <c r="G28" s="40" t="n">
        <f aca="false">IF(OR(F28="",F28=0),"",D28/F28)</f>
        <v>0.365143144148669</v>
      </c>
      <c r="H28" s="40" t="n">
        <f aca="false">IF(OR(F28="",F28=0),"",E28/F28)</f>
        <v>0.634856855851331</v>
      </c>
      <c r="I28" s="32" t="s">
        <v>165</v>
      </c>
      <c r="J28" s="36" t="n">
        <v>1.74942827115577</v>
      </c>
      <c r="K28" s="36" t="n">
        <f aca="false">$K$8</f>
        <v>2.11954916662514</v>
      </c>
      <c r="L28" s="36" t="n">
        <f aca="false">SQRT(J28^2+K28^2)</f>
        <v>2.74826999140557</v>
      </c>
      <c r="M28" s="40" t="n">
        <f aca="false">IF(G28="","",MAX(0,G28-1.96*L28/100))</f>
        <v>0.31127705231712</v>
      </c>
      <c r="N28" s="40" t="n">
        <f aca="false">IF(G28="","",MIN(1,G28+1.96*L28/100))</f>
        <v>0.419009235980218</v>
      </c>
      <c r="O28" s="60" t="n">
        <f aca="false">ROUND(S28*W28,0)</f>
        <v>109</v>
      </c>
      <c r="P28" s="60" t="n">
        <f aca="false">IF(F28="","",ROUND(SQRT((F28*L28/100)^2+(G28*O28)^2),0))</f>
        <v>68</v>
      </c>
      <c r="R28" s="61" t="n">
        <v>-5.69141330077832</v>
      </c>
      <c r="S28" s="62" t="n">
        <f aca="false">U28*V28*$F$5</f>
        <v>1991.47057118005</v>
      </c>
      <c r="T28" s="63" t="n">
        <f aca="false">MAX(0,MIN(1,R28/100+$D$5))</f>
        <v>0.364884172068577</v>
      </c>
      <c r="U28" s="63" t="n">
        <v>0.553493766309075</v>
      </c>
      <c r="V28" s="62" t="n">
        <v>3598</v>
      </c>
      <c r="W28" s="63" t="n">
        <v>0.0547268472736556</v>
      </c>
      <c r="X28" s="64" t="s">
        <v>171</v>
      </c>
      <c r="Y28" s="64" t="s">
        <v>167</v>
      </c>
    </row>
    <row r="29" customFormat="false" ht="15" hidden="false" customHeight="false" outlineLevel="0" collapsed="false">
      <c r="A29" s="32" t="s">
        <v>162</v>
      </c>
      <c r="B29" s="32" t="s">
        <v>185</v>
      </c>
      <c r="C29" s="32" t="s">
        <v>164</v>
      </c>
      <c r="D29" s="60" t="n">
        <f aca="false">ROUND(S29*T29,0)</f>
        <v>54</v>
      </c>
      <c r="E29" s="60" t="n">
        <f aca="false">ROUND(S29,0)-D29</f>
        <v>131</v>
      </c>
      <c r="F29" s="60" t="n">
        <f aca="false">IF(COUNTA(D29:E29)=0,"",SUM(D29:E29))</f>
        <v>185</v>
      </c>
      <c r="G29" s="40" t="n">
        <f aca="false">IF(OR(F29="",F29=0),"",D29/F29)</f>
        <v>0.291891891891892</v>
      </c>
      <c r="H29" s="40" t="n">
        <f aca="false">IF(OR(F29="",F29=0),"",E29/F29)</f>
        <v>0.708108108108108</v>
      </c>
      <c r="I29" s="32" t="s">
        <v>165</v>
      </c>
      <c r="J29" s="36" t="n">
        <v>3.62720814427021</v>
      </c>
      <c r="K29" s="36" t="n">
        <f aca="false">$K$8</f>
        <v>2.11954916662514</v>
      </c>
      <c r="L29" s="36" t="n">
        <f aca="false">SQRT(J29^2+K29^2)</f>
        <v>4.20108647752001</v>
      </c>
      <c r="M29" s="40" t="n">
        <f aca="false">IF(G29="","",MAX(0,G29-1.96*L29/100))</f>
        <v>0.2095505969325</v>
      </c>
      <c r="N29" s="40" t="n">
        <f aca="false">IF(G29="","",MIN(1,G29+1.96*L29/100))</f>
        <v>0.374233186851284</v>
      </c>
      <c r="O29" s="60" t="n">
        <f aca="false">ROUND(S29*W29,0)</f>
        <v>14</v>
      </c>
      <c r="P29" s="60" t="n">
        <f aca="false">IF(F29="","",ROUND(SQRT((F29*L29/100)^2+(G29*O29)^2),0))</f>
        <v>9</v>
      </c>
      <c r="R29" s="61" t="n">
        <v>-12.6508937595255</v>
      </c>
      <c r="S29" s="62" t="n">
        <f aca="false">U29*V29*$F$5</f>
        <v>184.547540983607</v>
      </c>
      <c r="T29" s="63" t="n">
        <f aca="false">MAX(0,MIN(1,R29/100+$D$5))</f>
        <v>0.295289367481105</v>
      </c>
      <c r="U29" s="63" t="n">
        <v>0.613114754098361</v>
      </c>
      <c r="V29" s="62" t="n">
        <v>301</v>
      </c>
      <c r="W29" s="63" t="n">
        <v>0.0732058935918866</v>
      </c>
      <c r="X29" s="64" t="s">
        <v>166</v>
      </c>
      <c r="Y29" s="64" t="s">
        <v>167</v>
      </c>
    </row>
    <row r="30" customFormat="false" ht="15" hidden="false" customHeight="false" outlineLevel="0" collapsed="false">
      <c r="A30" s="32" t="s">
        <v>162</v>
      </c>
      <c r="B30" s="32" t="s">
        <v>186</v>
      </c>
      <c r="C30" s="32" t="s">
        <v>164</v>
      </c>
      <c r="D30" s="60" t="n">
        <f aca="false">ROUND(S30*T30,0)</f>
        <v>1607</v>
      </c>
      <c r="E30" s="60" t="n">
        <f aca="false">ROUND(S30,0)-D30</f>
        <v>2865</v>
      </c>
      <c r="F30" s="60" t="n">
        <f aca="false">IF(COUNTA(D30:E30)=0,"",SUM(D30:E30))</f>
        <v>4472</v>
      </c>
      <c r="G30" s="40" t="n">
        <f aca="false">IF(OR(F30="",F30=0),"",D30/F30)</f>
        <v>0.359347048300537</v>
      </c>
      <c r="H30" s="40" t="n">
        <f aca="false">IF(OR(F30="",F30=0),"",E30/F30)</f>
        <v>0.640652951699463</v>
      </c>
      <c r="I30" s="32" t="s">
        <v>165</v>
      </c>
      <c r="J30" s="36" t="n">
        <v>2.09596675951885</v>
      </c>
      <c r="K30" s="36" t="n">
        <f aca="false">$K$8</f>
        <v>2.11954916662514</v>
      </c>
      <c r="L30" s="36" t="n">
        <f aca="false">SQRT(J30^2+K30^2)</f>
        <v>2.98086653957356</v>
      </c>
      <c r="M30" s="40" t="n">
        <f aca="false">IF(G30="","",MAX(0,G30-1.96*L30/100))</f>
        <v>0.300922064124895</v>
      </c>
      <c r="N30" s="40" t="n">
        <f aca="false">IF(G30="","",MIN(1,G30+1.96*L30/100))</f>
        <v>0.417772032476178</v>
      </c>
      <c r="O30" s="60" t="n">
        <f aca="false">ROUND(S30*W30,0)</f>
        <v>217</v>
      </c>
      <c r="P30" s="60" t="n">
        <f aca="false">IF(F30="","",ROUND(SQRT((F30*L30/100)^2+(G30*O30)^2),0))</f>
        <v>154</v>
      </c>
      <c r="R30" s="61" t="n">
        <v>-6.25714814471082</v>
      </c>
      <c r="S30" s="62" t="n">
        <f aca="false">U30*V30*$F$5</f>
        <v>4472.46592381446</v>
      </c>
      <c r="T30" s="63" t="n">
        <f aca="false">MAX(0,MIN(1,R30/100+$D$5))</f>
        <v>0.359226823629251</v>
      </c>
      <c r="U30" s="63" t="n">
        <v>0.560248769111169</v>
      </c>
      <c r="V30" s="62" t="n">
        <v>7983</v>
      </c>
      <c r="W30" s="63" t="n">
        <v>0.0485820274397165</v>
      </c>
      <c r="X30" s="64" t="s">
        <v>187</v>
      </c>
      <c r="Y30" s="64" t="s">
        <v>167</v>
      </c>
    </row>
    <row r="31" customFormat="false" ht="15" hidden="false" customHeight="false" outlineLevel="0" collapsed="false">
      <c r="A31" s="32" t="s">
        <v>162</v>
      </c>
      <c r="B31" s="32" t="s">
        <v>188</v>
      </c>
      <c r="C31" s="32" t="s">
        <v>164</v>
      </c>
      <c r="D31" s="60" t="n">
        <f aca="false">ROUND(S31*T31,0)</f>
        <v>549</v>
      </c>
      <c r="E31" s="60" t="n">
        <f aca="false">ROUND(S31,0)-D31</f>
        <v>744</v>
      </c>
      <c r="F31" s="60" t="n">
        <f aca="false">IF(COUNTA(D31:E31)=0,"",SUM(D31:E31))</f>
        <v>1293</v>
      </c>
      <c r="G31" s="40" t="n">
        <f aca="false">IF(OR(F31="",F31=0),"",D31/F31)</f>
        <v>0.424593967517401</v>
      </c>
      <c r="H31" s="40" t="n">
        <f aca="false">IF(OR(F31="",F31=0),"",E31/F31)</f>
        <v>0.575406032482599</v>
      </c>
      <c r="I31" s="32" t="s">
        <v>165</v>
      </c>
      <c r="J31" s="36" t="n">
        <v>1.74942827115577</v>
      </c>
      <c r="K31" s="36" t="n">
        <f aca="false">$K$8</f>
        <v>2.11954916662514</v>
      </c>
      <c r="L31" s="36" t="n">
        <f aca="false">SQRT(J31^2+K31^2)</f>
        <v>2.74826999140557</v>
      </c>
      <c r="M31" s="40" t="n">
        <f aca="false">IF(G31="","",MAX(0,G31-1.96*L31/100))</f>
        <v>0.370727875685852</v>
      </c>
      <c r="N31" s="40" t="n">
        <f aca="false">IF(G31="","",MIN(1,G31+1.96*L31/100))</f>
        <v>0.478460059348951</v>
      </c>
      <c r="O31" s="60" t="n">
        <f aca="false">ROUND(S31*W31,0)</f>
        <v>71</v>
      </c>
      <c r="P31" s="60" t="n">
        <f aca="false">IF(F31="","",ROUND(SQRT((F31*L31/100)^2+(G31*O31)^2),0))</f>
        <v>47</v>
      </c>
      <c r="R31" s="61" t="n">
        <v>0.257011242709919</v>
      </c>
      <c r="S31" s="62" t="n">
        <f aca="false">U31*V31*$F$5</f>
        <v>1293.28908554572</v>
      </c>
      <c r="T31" s="63" t="n">
        <f aca="false">MAX(0,MIN(1,R31/100+$D$5))</f>
        <v>0.424368417503459</v>
      </c>
      <c r="U31" s="63" t="n">
        <v>0.607177974434612</v>
      </c>
      <c r="V31" s="62" t="n">
        <v>2130</v>
      </c>
      <c r="W31" s="63" t="n">
        <v>0.0547268472736556</v>
      </c>
      <c r="X31" s="64" t="s">
        <v>171</v>
      </c>
      <c r="Y31" s="64" t="s">
        <v>167</v>
      </c>
    </row>
    <row r="32" customFormat="false" ht="15" hidden="false" customHeight="false" outlineLevel="0" collapsed="false">
      <c r="A32" s="32" t="s">
        <v>162</v>
      </c>
      <c r="B32" s="32" t="s">
        <v>189</v>
      </c>
      <c r="C32" s="32" t="s">
        <v>164</v>
      </c>
      <c r="D32" s="60" t="n">
        <f aca="false">ROUND(S32*T32,0)</f>
        <v>655</v>
      </c>
      <c r="E32" s="60" t="n">
        <f aca="false">ROUND(S32,0)-D32</f>
        <v>1603</v>
      </c>
      <c r="F32" s="60" t="n">
        <f aca="false">IF(COUNTA(D32:E32)=0,"",SUM(D32:E32))</f>
        <v>2258</v>
      </c>
      <c r="G32" s="40" t="n">
        <f aca="false">IF(OR(F32="",F32=0),"",D32/F32)</f>
        <v>0.29007971656333</v>
      </c>
      <c r="H32" s="40" t="n">
        <f aca="false">IF(OR(F32="",F32=0),"",E32/F32)</f>
        <v>0.70992028343667</v>
      </c>
      <c r="I32" s="32" t="s">
        <v>165</v>
      </c>
      <c r="J32" s="36" t="n">
        <v>1.74942827115577</v>
      </c>
      <c r="K32" s="36" t="n">
        <f aca="false">$K$8</f>
        <v>2.11954916662514</v>
      </c>
      <c r="L32" s="36" t="n">
        <f aca="false">SQRT(J32^2+K32^2)</f>
        <v>2.74826999140557</v>
      </c>
      <c r="M32" s="40" t="n">
        <f aca="false">IF(G32="","",MAX(0,G32-1.96*L32/100))</f>
        <v>0.236213624731781</v>
      </c>
      <c r="N32" s="40" t="n">
        <f aca="false">IF(G32="","",MIN(1,G32+1.96*L32/100))</f>
        <v>0.34394580839488</v>
      </c>
      <c r="O32" s="60" t="n">
        <f aca="false">ROUND(S32*W32,0)</f>
        <v>124</v>
      </c>
      <c r="P32" s="60" t="n">
        <f aca="false">IF(F32="","",ROUND(SQRT((F32*L32/100)^2+(G32*O32)^2),0))</f>
        <v>72</v>
      </c>
      <c r="R32" s="61" t="n">
        <v>-13.156797389696</v>
      </c>
      <c r="S32" s="62" t="n">
        <f aca="false">U32*V32*$F$5</f>
        <v>2258.11685530743</v>
      </c>
      <c r="T32" s="63" t="n">
        <f aca="false">MAX(0,MIN(1,R32/100+$D$5))</f>
        <v>0.290230331179399</v>
      </c>
      <c r="U32" s="63" t="n">
        <v>0.65188130926889</v>
      </c>
      <c r="V32" s="62" t="n">
        <v>3464</v>
      </c>
      <c r="W32" s="63" t="n">
        <v>0.0547268472736556</v>
      </c>
      <c r="X32" s="64" t="s">
        <v>171</v>
      </c>
      <c r="Y32" s="64" t="s">
        <v>167</v>
      </c>
    </row>
    <row r="33" customFormat="false" ht="15" hidden="false" customHeight="false" outlineLevel="0" collapsed="false">
      <c r="A33" s="32" t="s">
        <v>162</v>
      </c>
      <c r="B33" s="32" t="s">
        <v>190</v>
      </c>
      <c r="C33" s="32" t="s">
        <v>164</v>
      </c>
      <c r="D33" s="60" t="n">
        <f aca="false">ROUND(S33*T33,0)</f>
        <v>268</v>
      </c>
      <c r="E33" s="60" t="n">
        <f aca="false">ROUND(S33,0)-D33</f>
        <v>646</v>
      </c>
      <c r="F33" s="60" t="n">
        <f aca="false">IF(COUNTA(D33:E33)=0,"",SUM(D33:E33))</f>
        <v>914</v>
      </c>
      <c r="G33" s="40" t="n">
        <f aca="false">IF(OR(F33="",F33=0),"",D33/F33)</f>
        <v>0.293216630196937</v>
      </c>
      <c r="H33" s="40" t="n">
        <f aca="false">IF(OR(F33="",F33=0),"",E33/F33)</f>
        <v>0.706783369803063</v>
      </c>
      <c r="I33" s="32" t="s">
        <v>165</v>
      </c>
      <c r="J33" s="36" t="n">
        <v>3.62720814427021</v>
      </c>
      <c r="K33" s="36" t="n">
        <f aca="false">$K$8</f>
        <v>2.11954916662514</v>
      </c>
      <c r="L33" s="36" t="n">
        <f aca="false">SQRT(J33^2+K33^2)</f>
        <v>4.20108647752001</v>
      </c>
      <c r="M33" s="40" t="n">
        <f aca="false">IF(G33="","",MAX(0,G33-1.96*L33/100))</f>
        <v>0.210875335237544</v>
      </c>
      <c r="N33" s="40" t="n">
        <f aca="false">IF(G33="","",MIN(1,G33+1.96*L33/100))</f>
        <v>0.375557925156329</v>
      </c>
      <c r="O33" s="60" t="n">
        <f aca="false">ROUND(S33*W33,0)</f>
        <v>67</v>
      </c>
      <c r="P33" s="60" t="n">
        <f aca="false">IF(F33="","",ROUND(SQRT((F33*L33/100)^2+(G33*O33)^2),0))</f>
        <v>43</v>
      </c>
      <c r="R33" s="61" t="n">
        <v>-12.8689526886986</v>
      </c>
      <c r="S33" s="62" t="n">
        <f aca="false">U33*V33*$F$5</f>
        <v>913.771907216495</v>
      </c>
      <c r="T33" s="63" t="n">
        <f aca="false">MAX(0,MIN(1,R33/100+$D$5))</f>
        <v>0.293108778189374</v>
      </c>
      <c r="U33" s="63" t="n">
        <v>0.580541237113402</v>
      </c>
      <c r="V33" s="62" t="n">
        <v>1574</v>
      </c>
      <c r="W33" s="63" t="n">
        <v>0.0732058935918866</v>
      </c>
      <c r="X33" s="64" t="s">
        <v>166</v>
      </c>
      <c r="Y33" s="64" t="s">
        <v>167</v>
      </c>
    </row>
    <row r="34" customFormat="false" ht="15" hidden="false" customHeight="false" outlineLevel="0" collapsed="false">
      <c r="A34" s="32" t="s">
        <v>162</v>
      </c>
      <c r="B34" s="32" t="s">
        <v>191</v>
      </c>
      <c r="C34" s="32" t="s">
        <v>164</v>
      </c>
      <c r="D34" s="60" t="n">
        <f aca="false">ROUND(S34*T34,0)</f>
        <v>40</v>
      </c>
      <c r="E34" s="60" t="n">
        <f aca="false">ROUND(S34,0)-D34</f>
        <v>67</v>
      </c>
      <c r="F34" s="60" t="n">
        <f aca="false">IF(COUNTA(D34:E34)=0,"",SUM(D34:E34))</f>
        <v>107</v>
      </c>
      <c r="G34" s="40" t="n">
        <f aca="false">IF(OR(F34="",F34=0),"",D34/F34)</f>
        <v>0.373831775700935</v>
      </c>
      <c r="H34" s="40" t="n">
        <f aca="false">IF(OR(F34="",F34=0),"",E34/F34)</f>
        <v>0.626168224299065</v>
      </c>
      <c r="I34" s="32" t="s">
        <v>165</v>
      </c>
      <c r="J34" s="36" t="n">
        <v>3.62720814427021</v>
      </c>
      <c r="K34" s="36" t="n">
        <f aca="false">$K$8</f>
        <v>2.11954916662514</v>
      </c>
      <c r="L34" s="36" t="n">
        <f aca="false">SQRT(J34^2+K34^2)</f>
        <v>4.20108647752001</v>
      </c>
      <c r="M34" s="40" t="n">
        <f aca="false">IF(G34="","",MAX(0,G34-1.96*L34/100))</f>
        <v>0.291490480741543</v>
      </c>
      <c r="N34" s="40" t="n">
        <f aca="false">IF(G34="","",MIN(1,G34+1.96*L34/100))</f>
        <v>0.456173070660327</v>
      </c>
      <c r="O34" s="60" t="n">
        <f aca="false">ROUND(S34*W34,0)</f>
        <v>8</v>
      </c>
      <c r="P34" s="60" t="n">
        <f aca="false">IF(F34="","",ROUND(SQRT((F34*L34/100)^2+(G34*O34)^2),0))</f>
        <v>5</v>
      </c>
      <c r="R34" s="61" t="n">
        <v>-4.22576014117192</v>
      </c>
      <c r="S34" s="62" t="n">
        <f aca="false">U34*V34*$F$5</f>
        <v>106.666666666667</v>
      </c>
      <c r="T34" s="63" t="n">
        <f aca="false">MAX(0,MIN(1,R34/100+$D$5))</f>
        <v>0.37954070366464</v>
      </c>
      <c r="U34" s="63" t="n">
        <v>0.444444444444444</v>
      </c>
      <c r="V34" s="62" t="n">
        <v>240</v>
      </c>
      <c r="W34" s="63" t="n">
        <v>0.0732058935918866</v>
      </c>
      <c r="X34" s="64" t="s">
        <v>166</v>
      </c>
      <c r="Y34" s="64" t="s">
        <v>167</v>
      </c>
    </row>
    <row r="35" customFormat="false" ht="15" hidden="false" customHeight="false" outlineLevel="0" collapsed="false">
      <c r="A35" s="32" t="s">
        <v>192</v>
      </c>
      <c r="B35" s="32" t="s">
        <v>193</v>
      </c>
      <c r="C35" s="32" t="s">
        <v>164</v>
      </c>
      <c r="D35" s="60" t="n">
        <f aca="false">ROUND(S35*T35,0)</f>
        <v>493</v>
      </c>
      <c r="E35" s="60" t="n">
        <f aca="false">ROUND(S35,0)-D35</f>
        <v>568</v>
      </c>
      <c r="F35" s="60" t="n">
        <f aca="false">IF(COUNTA(D35:E35)=0,"",SUM(D35:E35))</f>
        <v>1061</v>
      </c>
      <c r="G35" s="40" t="n">
        <f aca="false">IF(OR(F35="",F35=0),"",D35/F35)</f>
        <v>0.464655984919887</v>
      </c>
      <c r="H35" s="40" t="n">
        <f aca="false">IF(OR(F35="",F35=0),"",E35/F35)</f>
        <v>0.535344015080113</v>
      </c>
      <c r="I35" s="32" t="s">
        <v>165</v>
      </c>
      <c r="J35" s="36" t="n">
        <v>3.62720814427021</v>
      </c>
      <c r="K35" s="36" t="n">
        <f aca="false">$K$8</f>
        <v>2.11954916662514</v>
      </c>
      <c r="L35" s="36" t="n">
        <f aca="false">SQRT(J35^2+K35^2)</f>
        <v>4.20108647752001</v>
      </c>
      <c r="M35" s="40" t="n">
        <f aca="false">IF(G35="","",MAX(0,G35-1.96*L35/100))</f>
        <v>0.382314689960495</v>
      </c>
      <c r="N35" s="40" t="n">
        <f aca="false">IF(G35="","",MIN(1,G35+1.96*L35/100))</f>
        <v>0.546997279879279</v>
      </c>
      <c r="O35" s="60" t="n">
        <f aca="false">ROUND(S35*W35,0)</f>
        <v>78</v>
      </c>
      <c r="P35" s="60" t="n">
        <f aca="false">IF(F35="","",ROUND(SQRT((F35*L35/100)^2+(G35*O35)^2),0))</f>
        <v>57</v>
      </c>
      <c r="R35" s="61" t="n">
        <v>4.27736930276228</v>
      </c>
      <c r="S35" s="62" t="n">
        <f aca="false">U35*V35*$F$5</f>
        <v>1060.80585424134</v>
      </c>
      <c r="T35" s="63" t="n">
        <f aca="false">MAX(0,MIN(1,R35/100+$D$5))</f>
        <v>0.464571998103982</v>
      </c>
      <c r="U35" s="63" t="n">
        <v>0.605137395459976</v>
      </c>
      <c r="V35" s="62" t="n">
        <v>1753</v>
      </c>
      <c r="W35" s="63" t="n">
        <v>0.0732058935918866</v>
      </c>
      <c r="X35" s="64" t="s">
        <v>166</v>
      </c>
      <c r="Y35" s="64" t="s">
        <v>167</v>
      </c>
    </row>
    <row r="36" customFormat="false" ht="15" hidden="false" customHeight="false" outlineLevel="0" collapsed="false">
      <c r="A36" s="32" t="s">
        <v>192</v>
      </c>
      <c r="B36" s="32" t="s">
        <v>194</v>
      </c>
      <c r="C36" s="32" t="s">
        <v>164</v>
      </c>
      <c r="D36" s="60" t="n">
        <f aca="false">ROUND(S36*T36,0)</f>
        <v>16736</v>
      </c>
      <c r="E36" s="60" t="n">
        <f aca="false">ROUND(S36,0)-D36</f>
        <v>8637</v>
      </c>
      <c r="F36" s="60" t="n">
        <f aca="false">IF(COUNTA(D36:E36)=0,"",SUM(D36:E36))</f>
        <v>25373</v>
      </c>
      <c r="G36" s="40" t="n">
        <f aca="false">IF(OR(F36="",F36=0),"",D36/F36)</f>
        <v>0.659598786111221</v>
      </c>
      <c r="H36" s="40" t="n">
        <f aca="false">IF(OR(F36="",F36=0),"",E36/F36)</f>
        <v>0.340401213888779</v>
      </c>
      <c r="I36" s="32" t="s">
        <v>165</v>
      </c>
      <c r="J36" s="36" t="n">
        <v>2.09596675951885</v>
      </c>
      <c r="K36" s="36" t="n">
        <f aca="false">$K$8</f>
        <v>2.11954916662514</v>
      </c>
      <c r="L36" s="36" t="n">
        <f aca="false">SQRT(J36^2+K36^2)</f>
        <v>2.98086653957356</v>
      </c>
      <c r="M36" s="40" t="n">
        <f aca="false">IF(G36="","",MAX(0,G36-1.96*L36/100))</f>
        <v>0.601173801935579</v>
      </c>
      <c r="N36" s="40" t="n">
        <f aca="false">IF(G36="","",MIN(1,G36+1.96*L36/100))</f>
        <v>0.718023770286862</v>
      </c>
      <c r="O36" s="60" t="n">
        <f aca="false">ROUND(S36*W36,0)</f>
        <v>1233</v>
      </c>
      <c r="P36" s="60" t="n">
        <f aca="false">IF(F36="","",ROUND(SQRT((F36*L36/100)^2+(G36*O36)^2),0))</f>
        <v>1111</v>
      </c>
      <c r="R36" s="61" t="n">
        <v>23.7783565158432</v>
      </c>
      <c r="S36" s="62" t="n">
        <f aca="false">U36*V36*$F$5</f>
        <v>25373.374760008</v>
      </c>
      <c r="T36" s="63" t="n">
        <f aca="false">MAX(0,MIN(1,R36/100+$D$5))</f>
        <v>0.659581870234792</v>
      </c>
      <c r="U36" s="63" t="n">
        <v>0.356778519643522</v>
      </c>
      <c r="V36" s="62" t="n">
        <v>71118</v>
      </c>
      <c r="W36" s="63" t="n">
        <v>0.0485820274397165</v>
      </c>
      <c r="X36" s="64" t="s">
        <v>187</v>
      </c>
      <c r="Y36" s="64" t="s">
        <v>167</v>
      </c>
    </row>
    <row r="37" customFormat="false" ht="15" hidden="false" customHeight="false" outlineLevel="0" collapsed="false">
      <c r="A37" s="32" t="s">
        <v>192</v>
      </c>
      <c r="B37" s="32" t="s">
        <v>195</v>
      </c>
      <c r="C37" s="32" t="s">
        <v>164</v>
      </c>
      <c r="D37" s="60" t="n">
        <f aca="false">ROUND(S37*T37,0)</f>
        <v>5090</v>
      </c>
      <c r="E37" s="60" t="n">
        <f aca="false">ROUND(S37,0)-D37</f>
        <v>2887</v>
      </c>
      <c r="F37" s="60" t="n">
        <f aca="false">IF(COUNTA(D37:E37)=0,"",SUM(D37:E37))</f>
        <v>7977</v>
      </c>
      <c r="G37" s="40" t="n">
        <f aca="false">IF(OR(F37="",F37=0),"",D37/F37)</f>
        <v>0.638084492917137</v>
      </c>
      <c r="H37" s="40" t="n">
        <f aca="false">IF(OR(F37="",F37=0),"",E37/F37)</f>
        <v>0.361915507082863</v>
      </c>
      <c r="I37" s="32" t="s">
        <v>165</v>
      </c>
      <c r="J37" s="36" t="n">
        <v>2.09596675951885</v>
      </c>
      <c r="K37" s="36" t="n">
        <f aca="false">$K$8</f>
        <v>2.11954916662514</v>
      </c>
      <c r="L37" s="36" t="n">
        <f aca="false">SQRT(J37^2+K37^2)</f>
        <v>2.98086653957356</v>
      </c>
      <c r="M37" s="40" t="n">
        <f aca="false">IF(G37="","",MAX(0,G37-1.96*L37/100))</f>
        <v>0.579659508741495</v>
      </c>
      <c r="N37" s="40" t="n">
        <f aca="false">IF(G37="","",MIN(1,G37+1.96*L37/100))</f>
        <v>0.696509477092779</v>
      </c>
      <c r="O37" s="60" t="n">
        <f aca="false">ROUND(S37*W37,0)</f>
        <v>388</v>
      </c>
      <c r="P37" s="60" t="n">
        <f aca="false">IF(F37="","",ROUND(SQRT((F37*L37/100)^2+(G37*O37)^2),0))</f>
        <v>343</v>
      </c>
      <c r="R37" s="61" t="n">
        <v>21.6379982597969</v>
      </c>
      <c r="S37" s="62" t="n">
        <f aca="false">U37*V37*$F$5</f>
        <v>7976.55329986175</v>
      </c>
      <c r="T37" s="63" t="n">
        <f aca="false">MAX(0,MIN(1,R37/100+$D$5))</f>
        <v>0.638178287674329</v>
      </c>
      <c r="U37" s="63" t="n">
        <v>0.574183220548643</v>
      </c>
      <c r="V37" s="62" t="n">
        <v>13892</v>
      </c>
      <c r="W37" s="63" t="n">
        <v>0.0485820274397165</v>
      </c>
      <c r="X37" s="64" t="s">
        <v>187</v>
      </c>
      <c r="Y37" s="64" t="s">
        <v>167</v>
      </c>
    </row>
    <row r="38" customFormat="false" ht="15" hidden="false" customHeight="false" outlineLevel="0" collapsed="false">
      <c r="A38" s="32" t="s">
        <v>192</v>
      </c>
      <c r="B38" s="32" t="s">
        <v>196</v>
      </c>
      <c r="C38" s="32" t="s">
        <v>164</v>
      </c>
      <c r="D38" s="60" t="n">
        <f aca="false">ROUND(S38*T38,0)</f>
        <v>1131</v>
      </c>
      <c r="E38" s="60" t="n">
        <f aca="false">ROUND(S38,0)-D38</f>
        <v>1047</v>
      </c>
      <c r="F38" s="60" t="n">
        <f aca="false">IF(COUNTA(D38:E38)=0,"",SUM(D38:E38))</f>
        <v>2178</v>
      </c>
      <c r="G38" s="40" t="n">
        <f aca="false">IF(OR(F38="",F38=0),"",D38/F38)</f>
        <v>0.519283746556474</v>
      </c>
      <c r="H38" s="40" t="n">
        <f aca="false">IF(OR(F38="",F38=0),"",E38/F38)</f>
        <v>0.480716253443526</v>
      </c>
      <c r="I38" s="32" t="s">
        <v>165</v>
      </c>
      <c r="J38" s="36" t="n">
        <v>1.74942827115577</v>
      </c>
      <c r="K38" s="36" t="n">
        <f aca="false">$K$8</f>
        <v>2.11954916662514</v>
      </c>
      <c r="L38" s="36" t="n">
        <f aca="false">SQRT(J38^2+K38^2)</f>
        <v>2.74826999140557</v>
      </c>
      <c r="M38" s="40" t="n">
        <f aca="false">IF(G38="","",MAX(0,G38-1.96*L38/100))</f>
        <v>0.465417654724925</v>
      </c>
      <c r="N38" s="40" t="n">
        <f aca="false">IF(G38="","",MIN(1,G38+1.96*L38/100))</f>
        <v>0.573149838388023</v>
      </c>
      <c r="O38" s="60" t="n">
        <f aca="false">ROUND(S38*W38,0)</f>
        <v>119</v>
      </c>
      <c r="P38" s="60" t="n">
        <f aca="false">IF(F38="","",ROUND(SQRT((F38*L38/100)^2+(G38*O38)^2),0))</f>
        <v>86</v>
      </c>
      <c r="R38" s="61" t="n">
        <v>9.76912241201229</v>
      </c>
      <c r="S38" s="62" t="n">
        <f aca="false">U38*V38*$F$5</f>
        <v>2177.82706204834</v>
      </c>
      <c r="T38" s="63" t="n">
        <f aca="false">MAX(0,MIN(1,R38/100+$D$5))</f>
        <v>0.519489529196483</v>
      </c>
      <c r="U38" s="63" t="n">
        <v>0.525791178669325</v>
      </c>
      <c r="V38" s="62" t="n">
        <v>4142</v>
      </c>
      <c r="W38" s="63" t="n">
        <v>0.0547268472736556</v>
      </c>
      <c r="X38" s="64" t="s">
        <v>171</v>
      </c>
      <c r="Y38" s="64" t="s">
        <v>167</v>
      </c>
    </row>
    <row r="39" customFormat="false" ht="15" hidden="false" customHeight="false" outlineLevel="0" collapsed="false">
      <c r="A39" s="32" t="s">
        <v>192</v>
      </c>
      <c r="B39" s="32" t="s">
        <v>197</v>
      </c>
      <c r="C39" s="32" t="s">
        <v>164</v>
      </c>
      <c r="D39" s="60" t="n">
        <f aca="false">ROUND(S39*T39,0)</f>
        <v>612</v>
      </c>
      <c r="E39" s="60" t="n">
        <f aca="false">ROUND(S39,0)-D39</f>
        <v>658</v>
      </c>
      <c r="F39" s="60" t="n">
        <f aca="false">IF(COUNTA(D39:E39)=0,"",SUM(D39:E39))</f>
        <v>1270</v>
      </c>
      <c r="G39" s="40" t="n">
        <f aca="false">IF(OR(F39="",F39=0),"",D39/F39)</f>
        <v>0.481889763779528</v>
      </c>
      <c r="H39" s="40" t="n">
        <f aca="false">IF(OR(F39="",F39=0),"",E39/F39)</f>
        <v>0.518110236220473</v>
      </c>
      <c r="I39" s="32" t="s">
        <v>165</v>
      </c>
      <c r="J39" s="36" t="n">
        <v>1.74942827115577</v>
      </c>
      <c r="K39" s="36" t="n">
        <f aca="false">$K$8</f>
        <v>2.11954916662514</v>
      </c>
      <c r="L39" s="36" t="n">
        <f aca="false">SQRT(J39^2+K39^2)</f>
        <v>2.74826999140557</v>
      </c>
      <c r="M39" s="40" t="n">
        <f aca="false">IF(G39="","",MAX(0,G39-1.96*L39/100))</f>
        <v>0.428023671947978</v>
      </c>
      <c r="N39" s="40" t="n">
        <f aca="false">IF(G39="","",MIN(1,G39+1.96*L39/100))</f>
        <v>0.535755855611077</v>
      </c>
      <c r="O39" s="60" t="n">
        <f aca="false">ROUND(S39*W39,0)</f>
        <v>70</v>
      </c>
      <c r="P39" s="60" t="n">
        <f aca="false">IF(F39="","",ROUND(SQRT((F39*L39/100)^2+(G39*O39)^2),0))</f>
        <v>49</v>
      </c>
      <c r="R39" s="61" t="n">
        <v>6.03168597346477</v>
      </c>
      <c r="S39" s="62" t="n">
        <f aca="false">U39*V39*$F$5</f>
        <v>1270.44031093837</v>
      </c>
      <c r="T39" s="63" t="n">
        <f aca="false">MAX(0,MIN(1,R39/100+$D$5))</f>
        <v>0.482115164811007</v>
      </c>
      <c r="U39" s="63" t="n">
        <v>0.676846196557468</v>
      </c>
      <c r="V39" s="62" t="n">
        <v>1877</v>
      </c>
      <c r="W39" s="63" t="n">
        <v>0.0547268472736556</v>
      </c>
      <c r="X39" s="64" t="s">
        <v>171</v>
      </c>
      <c r="Y39" s="64" t="s">
        <v>167</v>
      </c>
    </row>
    <row r="40" customFormat="false" ht="15" hidden="false" customHeight="false" outlineLevel="0" collapsed="false">
      <c r="A40" s="32" t="s">
        <v>192</v>
      </c>
      <c r="B40" s="32" t="s">
        <v>198</v>
      </c>
      <c r="C40" s="32" t="s">
        <v>164</v>
      </c>
      <c r="D40" s="60" t="n">
        <f aca="false">ROUND(S40*T40,0)</f>
        <v>707</v>
      </c>
      <c r="E40" s="60" t="n">
        <f aca="false">ROUND(S40,0)-D40</f>
        <v>657</v>
      </c>
      <c r="F40" s="60" t="n">
        <f aca="false">IF(COUNTA(D40:E40)=0,"",SUM(D40:E40))</f>
        <v>1364</v>
      </c>
      <c r="G40" s="40" t="n">
        <f aca="false">IF(OR(F40="",F40=0),"",D40/F40)</f>
        <v>0.518328445747801</v>
      </c>
      <c r="H40" s="40" t="n">
        <f aca="false">IF(OR(F40="",F40=0),"",E40/F40)</f>
        <v>0.481671554252199</v>
      </c>
      <c r="I40" s="32" t="s">
        <v>165</v>
      </c>
      <c r="J40" s="36" t="n">
        <v>1.74942827115577</v>
      </c>
      <c r="K40" s="36" t="n">
        <f aca="false">$K$8</f>
        <v>2.11954916662514</v>
      </c>
      <c r="L40" s="36" t="n">
        <f aca="false">SQRT(J40^2+K40^2)</f>
        <v>2.74826999140557</v>
      </c>
      <c r="M40" s="40" t="n">
        <f aca="false">IF(G40="","",MAX(0,G40-1.96*L40/100))</f>
        <v>0.464462353916251</v>
      </c>
      <c r="N40" s="40" t="n">
        <f aca="false">IF(G40="","",MIN(1,G40+1.96*L40/100))</f>
        <v>0.57219453757935</v>
      </c>
      <c r="O40" s="60" t="n">
        <f aca="false">ROUND(S40*W40,0)</f>
        <v>75</v>
      </c>
      <c r="P40" s="60" t="n">
        <f aca="false">IF(F40="","",ROUND(SQRT((F40*L40/100)^2+(G40*O40)^2),0))</f>
        <v>54</v>
      </c>
      <c r="R40" s="61" t="n">
        <v>9.68249753870853</v>
      </c>
      <c r="S40" s="62" t="n">
        <f aca="false">U40*V40*$F$5</f>
        <v>1363.93435943866</v>
      </c>
      <c r="T40" s="63" t="n">
        <f aca="false">MAX(0,MIN(1,R40/100+$D$5))</f>
        <v>0.518623280463445</v>
      </c>
      <c r="U40" s="63" t="n">
        <v>0.587143503847895</v>
      </c>
      <c r="V40" s="62" t="n">
        <v>2323</v>
      </c>
      <c r="W40" s="63" t="n">
        <v>0.0547268472736556</v>
      </c>
      <c r="X40" s="64" t="s">
        <v>171</v>
      </c>
      <c r="Y40" s="64" t="s">
        <v>167</v>
      </c>
    </row>
    <row r="41" customFormat="false" ht="15" hidden="false" customHeight="false" outlineLevel="0" collapsed="false">
      <c r="A41" s="32" t="s">
        <v>192</v>
      </c>
      <c r="B41" s="32" t="s">
        <v>199</v>
      </c>
      <c r="C41" s="32" t="s">
        <v>164</v>
      </c>
      <c r="D41" s="60" t="n">
        <f aca="false">ROUND(S41*T41,0)</f>
        <v>2902</v>
      </c>
      <c r="E41" s="60" t="n">
        <f aca="false">ROUND(S41,0)-D41</f>
        <v>2486</v>
      </c>
      <c r="F41" s="60" t="n">
        <f aca="false">IF(COUNTA(D41:E41)=0,"",SUM(D41:E41))</f>
        <v>5388</v>
      </c>
      <c r="G41" s="40" t="n">
        <f aca="false">IF(OR(F41="",F41=0),"",D41/F41)</f>
        <v>0.538604305864885</v>
      </c>
      <c r="H41" s="40" t="n">
        <f aca="false">IF(OR(F41="",F41=0),"",E41/F41)</f>
        <v>0.461395694135115</v>
      </c>
      <c r="I41" s="32" t="s">
        <v>165</v>
      </c>
      <c r="J41" s="36" t="n">
        <v>2.09596675951885</v>
      </c>
      <c r="K41" s="36" t="n">
        <f aca="false">$K$8</f>
        <v>2.11954916662514</v>
      </c>
      <c r="L41" s="36" t="n">
        <f aca="false">SQRT(J41^2+K41^2)</f>
        <v>2.98086653957356</v>
      </c>
      <c r="M41" s="40" t="n">
        <f aca="false">IF(G41="","",MAX(0,G41-1.96*L41/100))</f>
        <v>0.480179321689243</v>
      </c>
      <c r="N41" s="40" t="n">
        <f aca="false">IF(G41="","",MIN(1,G41+1.96*L41/100))</f>
        <v>0.597029290040527</v>
      </c>
      <c r="O41" s="60" t="n">
        <f aca="false">ROUND(S41*W41,0)</f>
        <v>262</v>
      </c>
      <c r="P41" s="60" t="n">
        <f aca="false">IF(F41="","",ROUND(SQRT((F41*L41/100)^2+(G41*O41)^2),0))</f>
        <v>214</v>
      </c>
      <c r="R41" s="61" t="n">
        <v>11.6779472009556</v>
      </c>
      <c r="S41" s="62" t="n">
        <f aca="false">U41*V41*$F$5</f>
        <v>5388.18679314119</v>
      </c>
      <c r="T41" s="63" t="n">
        <f aca="false">MAX(0,MIN(1,R41/100+$D$5))</f>
        <v>0.538577777085916</v>
      </c>
      <c r="U41" s="63" t="n">
        <v>0.618265839717865</v>
      </c>
      <c r="V41" s="62" t="n">
        <v>8715</v>
      </c>
      <c r="W41" s="63" t="n">
        <v>0.0485820274397165</v>
      </c>
      <c r="X41" s="64" t="s">
        <v>187</v>
      </c>
      <c r="Y41" s="64" t="s">
        <v>167</v>
      </c>
    </row>
    <row r="42" customFormat="false" ht="15" hidden="false" customHeight="false" outlineLevel="0" collapsed="false">
      <c r="A42" s="32" t="s">
        <v>192</v>
      </c>
      <c r="B42" s="32" t="s">
        <v>200</v>
      </c>
      <c r="C42" s="32" t="s">
        <v>164</v>
      </c>
      <c r="D42" s="60" t="n">
        <f aca="false">ROUND(S42*T42,0)</f>
        <v>1064</v>
      </c>
      <c r="E42" s="60" t="n">
        <f aca="false">ROUND(S42,0)-D42</f>
        <v>541</v>
      </c>
      <c r="F42" s="60" t="n">
        <f aca="false">IF(COUNTA(D42:E42)=0,"",SUM(D42:E42))</f>
        <v>1605</v>
      </c>
      <c r="G42" s="40" t="n">
        <f aca="false">IF(OR(F42="",F42=0),"",D42/F42)</f>
        <v>0.662928348909657</v>
      </c>
      <c r="H42" s="40" t="n">
        <f aca="false">IF(OR(F42="",F42=0),"",E42/F42)</f>
        <v>0.337071651090343</v>
      </c>
      <c r="I42" s="32" t="s">
        <v>165</v>
      </c>
      <c r="J42" s="36" t="n">
        <v>1.74942827115577</v>
      </c>
      <c r="K42" s="36" t="n">
        <f aca="false">$K$8</f>
        <v>2.11954916662514</v>
      </c>
      <c r="L42" s="36" t="n">
        <f aca="false">SQRT(J42^2+K42^2)</f>
        <v>2.74826999140557</v>
      </c>
      <c r="M42" s="40" t="n">
        <f aca="false">IF(G42="","",MAX(0,G42-1.96*L42/100))</f>
        <v>0.609062257078108</v>
      </c>
      <c r="N42" s="40" t="n">
        <f aca="false">IF(G42="","",MIN(1,G42+1.96*L42/100))</f>
        <v>0.716794440741207</v>
      </c>
      <c r="O42" s="60" t="n">
        <f aca="false">ROUND(S42*W42,0)</f>
        <v>88</v>
      </c>
      <c r="P42" s="60" t="n">
        <f aca="false">IF(F42="","",ROUND(SQRT((F42*L42/100)^2+(G42*O42)^2),0))</f>
        <v>73</v>
      </c>
      <c r="R42" s="61" t="n">
        <v>24.1219856945313</v>
      </c>
      <c r="S42" s="62" t="n">
        <f aca="false">U42*V42*$F$5</f>
        <v>1605.4392182842</v>
      </c>
      <c r="T42" s="63" t="n">
        <f aca="false">MAX(0,MIN(1,R42/100+$D$5))</f>
        <v>0.663018162021673</v>
      </c>
      <c r="U42" s="63" t="n">
        <v>0.513083802583637</v>
      </c>
      <c r="V42" s="62" t="n">
        <v>3129</v>
      </c>
      <c r="W42" s="63" t="n">
        <v>0.0547268472736556</v>
      </c>
      <c r="X42" s="64" t="s">
        <v>171</v>
      </c>
      <c r="Y42" s="64" t="s">
        <v>167</v>
      </c>
    </row>
    <row r="43" customFormat="false" ht="15" hidden="false" customHeight="false" outlineLevel="0" collapsed="false">
      <c r="A43" s="32" t="s">
        <v>192</v>
      </c>
      <c r="B43" s="32" t="s">
        <v>201</v>
      </c>
      <c r="C43" s="32" t="s">
        <v>164</v>
      </c>
      <c r="D43" s="60" t="n">
        <f aca="false">ROUND(S43*T43,0)</f>
        <v>261</v>
      </c>
      <c r="E43" s="60" t="n">
        <f aca="false">ROUND(S43,0)-D43</f>
        <v>223</v>
      </c>
      <c r="F43" s="60" t="n">
        <f aca="false">IF(COUNTA(D43:E43)=0,"",SUM(D43:E43))</f>
        <v>484</v>
      </c>
      <c r="G43" s="40" t="n">
        <f aca="false">IF(OR(F43="",F43=0),"",D43/F43)</f>
        <v>0.539256198347108</v>
      </c>
      <c r="H43" s="40" t="n">
        <f aca="false">IF(OR(F43="",F43=0),"",E43/F43)</f>
        <v>0.460743801652893</v>
      </c>
      <c r="I43" s="32" t="s">
        <v>165</v>
      </c>
      <c r="J43" s="36" t="n">
        <v>3.62720814427021</v>
      </c>
      <c r="K43" s="36" t="n">
        <f aca="false">$K$8</f>
        <v>2.11954916662514</v>
      </c>
      <c r="L43" s="36" t="n">
        <f aca="false">SQRT(J43^2+K43^2)</f>
        <v>4.20108647752001</v>
      </c>
      <c r="M43" s="40" t="n">
        <f aca="false">IF(G43="","",MAX(0,G43-1.96*L43/100))</f>
        <v>0.456914903387715</v>
      </c>
      <c r="N43" s="40" t="n">
        <f aca="false">IF(G43="","",MIN(1,G43+1.96*L43/100))</f>
        <v>0.6215974933065</v>
      </c>
      <c r="O43" s="60" t="n">
        <f aca="false">ROUND(S43*W43,0)</f>
        <v>35</v>
      </c>
      <c r="P43" s="60" t="n">
        <f aca="false">IF(F43="","",ROUND(SQRT((F43*L43/100)^2+(G43*O43)^2),0))</f>
        <v>28</v>
      </c>
      <c r="R43" s="61" t="n">
        <v>11.816536610344</v>
      </c>
      <c r="S43" s="62" t="n">
        <f aca="false">U43*V43*$F$5</f>
        <v>483.913480885312</v>
      </c>
      <c r="T43" s="63" t="n">
        <f aca="false">MAX(0,MIN(1,R43/100+$D$5))</f>
        <v>0.5399636711798</v>
      </c>
      <c r="U43" s="63" t="n">
        <v>0.469818913480885</v>
      </c>
      <c r="V43" s="62" t="n">
        <v>1030</v>
      </c>
      <c r="W43" s="63" t="n">
        <v>0.0732058935918866</v>
      </c>
      <c r="X43" s="64" t="s">
        <v>166</v>
      </c>
      <c r="Y43" s="64" t="s">
        <v>167</v>
      </c>
    </row>
    <row r="44" customFormat="false" ht="15" hidden="false" customHeight="false" outlineLevel="0" collapsed="false">
      <c r="A44" s="32" t="s">
        <v>192</v>
      </c>
      <c r="B44" s="32" t="s">
        <v>202</v>
      </c>
      <c r="C44" s="32" t="s">
        <v>164</v>
      </c>
      <c r="D44" s="60" t="n">
        <f aca="false">ROUND(S44*T44,0)</f>
        <v>528</v>
      </c>
      <c r="E44" s="60" t="n">
        <f aca="false">ROUND(S44,0)-D44</f>
        <v>1129</v>
      </c>
      <c r="F44" s="60" t="n">
        <f aca="false">IF(COUNTA(D44:E44)=0,"",SUM(D44:E44))</f>
        <v>1657</v>
      </c>
      <c r="G44" s="40" t="n">
        <f aca="false">IF(OR(F44="",F44=0),"",D44/F44)</f>
        <v>0.31864815932408</v>
      </c>
      <c r="H44" s="40" t="n">
        <f aca="false">IF(OR(F44="",F44=0),"",E44/F44)</f>
        <v>0.68135184067592</v>
      </c>
      <c r="I44" s="32" t="s">
        <v>165</v>
      </c>
      <c r="J44" s="36" t="n">
        <v>1.74942827115577</v>
      </c>
      <c r="K44" s="36" t="n">
        <f aca="false">$K$8</f>
        <v>2.11954916662514</v>
      </c>
      <c r="L44" s="36" t="n">
        <f aca="false">SQRT(J44^2+K44^2)</f>
        <v>2.74826999140557</v>
      </c>
      <c r="M44" s="40" t="n">
        <f aca="false">IF(G44="","",MAX(0,G44-1.96*L44/100))</f>
        <v>0.26478206749253</v>
      </c>
      <c r="N44" s="40" t="n">
        <f aca="false">IF(G44="","",MIN(1,G44+1.96*L44/100))</f>
        <v>0.372514251155629</v>
      </c>
      <c r="O44" s="60" t="n">
        <f aca="false">ROUND(S44*W44,0)</f>
        <v>91</v>
      </c>
      <c r="P44" s="60" t="n">
        <f aca="false">IF(F44="","",ROUND(SQRT((F44*L44/100)^2+(G44*O44)^2),0))</f>
        <v>54</v>
      </c>
      <c r="R44" s="61" t="n">
        <v>-10.3395152443868</v>
      </c>
      <c r="S44" s="62" t="n">
        <f aca="false">U44*V44*$F$5</f>
        <v>1656.73758865248</v>
      </c>
      <c r="T44" s="63" t="n">
        <f aca="false">MAX(0,MIN(1,R44/100+$D$5))</f>
        <v>0.318403152632491</v>
      </c>
      <c r="U44" s="63" t="n">
        <v>0.66750104297038</v>
      </c>
      <c r="V44" s="62" t="n">
        <v>2482</v>
      </c>
      <c r="W44" s="63" t="n">
        <v>0.0547268472736556</v>
      </c>
      <c r="X44" s="64" t="s">
        <v>171</v>
      </c>
      <c r="Y44" s="64" t="s">
        <v>167</v>
      </c>
    </row>
    <row r="45" customFormat="false" ht="15" hidden="false" customHeight="false" outlineLevel="0" collapsed="false">
      <c r="A45" s="32" t="s">
        <v>192</v>
      </c>
      <c r="B45" s="32" t="s">
        <v>203</v>
      </c>
      <c r="C45" s="32" t="s">
        <v>164</v>
      </c>
      <c r="D45" s="60" t="n">
        <f aca="false">ROUND(S45*T45,0)</f>
        <v>8185</v>
      </c>
      <c r="E45" s="60" t="n">
        <f aca="false">ROUND(S45,0)-D45</f>
        <v>8150</v>
      </c>
      <c r="F45" s="60" t="n">
        <f aca="false">IF(COUNTA(D45:E45)=0,"",SUM(D45:E45))</f>
        <v>16335</v>
      </c>
      <c r="G45" s="40" t="n">
        <f aca="false">IF(OR(F45="",F45=0),"",D45/F45)</f>
        <v>0.501071319253137</v>
      </c>
      <c r="H45" s="40" t="n">
        <f aca="false">IF(OR(F45="",F45=0),"",E45/F45)</f>
        <v>0.498928680746863</v>
      </c>
      <c r="I45" s="32" t="s">
        <v>165</v>
      </c>
      <c r="J45" s="36" t="n">
        <v>2.09596675951885</v>
      </c>
      <c r="K45" s="36" t="n">
        <f aca="false">$K$8</f>
        <v>2.11954916662514</v>
      </c>
      <c r="L45" s="36" t="n">
        <f aca="false">SQRT(J45^2+K45^2)</f>
        <v>2.98086653957356</v>
      </c>
      <c r="M45" s="40" t="n">
        <f aca="false">IF(G45="","",MAX(0,G45-1.96*L45/100))</f>
        <v>0.442646335077496</v>
      </c>
      <c r="N45" s="40" t="n">
        <f aca="false">IF(G45="","",MIN(1,G45+1.96*L45/100))</f>
        <v>0.559496303428779</v>
      </c>
      <c r="O45" s="60" t="n">
        <f aca="false">ROUND(S45*W45,0)</f>
        <v>794</v>
      </c>
      <c r="P45" s="60" t="n">
        <f aca="false">IF(F45="","",ROUND(SQRT((F45*L45/100)^2+(G45*O45)^2),0))</f>
        <v>629</v>
      </c>
      <c r="R45" s="61" t="n">
        <v>7.93100806732574</v>
      </c>
      <c r="S45" s="62" t="n">
        <f aca="false">U45*V45*$F$5</f>
        <v>16334.7109624891</v>
      </c>
      <c r="T45" s="63" t="n">
        <f aca="false">MAX(0,MIN(1,R45/100+$D$5))</f>
        <v>0.501108385749617</v>
      </c>
      <c r="U45" s="63" t="n">
        <v>0.662692643210236</v>
      </c>
      <c r="V45" s="62" t="n">
        <v>24649</v>
      </c>
      <c r="W45" s="63" t="n">
        <v>0.0485820274397165</v>
      </c>
      <c r="X45" s="64" t="s">
        <v>187</v>
      </c>
      <c r="Y45" s="64" t="s">
        <v>167</v>
      </c>
    </row>
    <row r="46" customFormat="false" ht="15" hidden="false" customHeight="false" outlineLevel="0" collapsed="false">
      <c r="A46" s="32" t="s">
        <v>192</v>
      </c>
      <c r="B46" s="32" t="s">
        <v>204</v>
      </c>
      <c r="C46" s="32" t="s">
        <v>164</v>
      </c>
      <c r="D46" s="60" t="n">
        <f aca="false">ROUND(S46*T46,0)</f>
        <v>826</v>
      </c>
      <c r="E46" s="60" t="n">
        <f aca="false">ROUND(S46,0)-D46</f>
        <v>1378</v>
      </c>
      <c r="F46" s="60" t="n">
        <f aca="false">IF(COUNTA(D46:E46)=0,"",SUM(D46:E46))</f>
        <v>2204</v>
      </c>
      <c r="G46" s="40" t="n">
        <f aca="false">IF(OR(F46="",F46=0),"",D46/F46)</f>
        <v>0.374773139745917</v>
      </c>
      <c r="H46" s="40" t="n">
        <f aca="false">IF(OR(F46="",F46=0),"",E46/F46)</f>
        <v>0.625226860254084</v>
      </c>
      <c r="I46" s="32" t="s">
        <v>165</v>
      </c>
      <c r="J46" s="36" t="n">
        <v>1.74942827115577</v>
      </c>
      <c r="K46" s="36" t="n">
        <f aca="false">$K$8</f>
        <v>2.11954916662514</v>
      </c>
      <c r="L46" s="36" t="n">
        <f aca="false">SQRT(J46^2+K46^2)</f>
        <v>2.74826999140557</v>
      </c>
      <c r="M46" s="40" t="n">
        <f aca="false">IF(G46="","",MAX(0,G46-1.96*L46/100))</f>
        <v>0.320907047914367</v>
      </c>
      <c r="N46" s="40" t="n">
        <f aca="false">IF(G46="","",MIN(1,G46+1.96*L46/100))</f>
        <v>0.428639231577466</v>
      </c>
      <c r="O46" s="60" t="n">
        <f aca="false">ROUND(S46*W46,0)</f>
        <v>121</v>
      </c>
      <c r="P46" s="60" t="n">
        <f aca="false">IF(F46="","",ROUND(SQRT((F46*L46/100)^2+(G46*O46)^2),0))</f>
        <v>76</v>
      </c>
      <c r="R46" s="61" t="n">
        <v>-4.72530585976602</v>
      </c>
      <c r="S46" s="62" t="n">
        <f aca="false">U46*V46*$F$5</f>
        <v>2204.10505319149</v>
      </c>
      <c r="T46" s="63" t="n">
        <f aca="false">MAX(0,MIN(1,R46/100+$D$5))</f>
        <v>0.374545246478699</v>
      </c>
      <c r="U46" s="63" t="n">
        <v>0.718417553191489</v>
      </c>
      <c r="V46" s="62" t="n">
        <v>3068</v>
      </c>
      <c r="W46" s="63" t="n">
        <v>0.0547268472736556</v>
      </c>
      <c r="X46" s="64" t="s">
        <v>171</v>
      </c>
      <c r="Y46" s="64" t="s">
        <v>167</v>
      </c>
    </row>
    <row r="47" customFormat="false" ht="15" hidden="false" customHeight="false" outlineLevel="0" collapsed="false">
      <c r="A47" s="32" t="s">
        <v>192</v>
      </c>
      <c r="B47" s="32" t="s">
        <v>205</v>
      </c>
      <c r="C47" s="32" t="s">
        <v>164</v>
      </c>
      <c r="D47" s="60" t="n">
        <f aca="false">ROUND(S47*T47,0)</f>
        <v>443</v>
      </c>
      <c r="E47" s="60" t="n">
        <f aca="false">ROUND(S47,0)-D47</f>
        <v>794</v>
      </c>
      <c r="F47" s="60" t="n">
        <f aca="false">IF(COUNTA(D47:E47)=0,"",SUM(D47:E47))</f>
        <v>1237</v>
      </c>
      <c r="G47" s="40" t="n">
        <f aca="false">IF(OR(F47="",F47=0),"",D47/F47)</f>
        <v>0.358124494745352</v>
      </c>
      <c r="H47" s="40" t="n">
        <f aca="false">IF(OR(F47="",F47=0),"",E47/F47)</f>
        <v>0.641875505254648</v>
      </c>
      <c r="I47" s="32" t="s">
        <v>165</v>
      </c>
      <c r="J47" s="36" t="n">
        <v>3.62720814427021</v>
      </c>
      <c r="K47" s="36" t="n">
        <f aca="false">$K$8</f>
        <v>2.11954916662514</v>
      </c>
      <c r="L47" s="36" t="n">
        <f aca="false">SQRT(J47^2+K47^2)</f>
        <v>4.20108647752001</v>
      </c>
      <c r="M47" s="40" t="n">
        <f aca="false">IF(G47="","",MAX(0,G47-1.96*L47/100))</f>
        <v>0.27578319978596</v>
      </c>
      <c r="N47" s="40" t="n">
        <f aca="false">IF(G47="","",MIN(1,G47+1.96*L47/100))</f>
        <v>0.440465789704744</v>
      </c>
      <c r="O47" s="60" t="n">
        <f aca="false">ROUND(S47*W47,0)</f>
        <v>91</v>
      </c>
      <c r="P47" s="60" t="n">
        <f aca="false">IF(F47="","",ROUND(SQRT((F47*L47/100)^2+(G47*O47)^2),0))</f>
        <v>61</v>
      </c>
      <c r="R47" s="61" t="n">
        <v>-6.35846269290452</v>
      </c>
      <c r="S47" s="62" t="n">
        <f aca="false">U47*V47*$F$5</f>
        <v>1236.97340124505</v>
      </c>
      <c r="T47" s="63" t="n">
        <f aca="false">MAX(0,MIN(1,R47/100+$D$5))</f>
        <v>0.358213678147315</v>
      </c>
      <c r="U47" s="63" t="n">
        <v>0.688737973967176</v>
      </c>
      <c r="V47" s="62" t="n">
        <v>1796</v>
      </c>
      <c r="W47" s="63" t="n">
        <v>0.0732058935918866</v>
      </c>
      <c r="X47" s="64" t="s">
        <v>166</v>
      </c>
      <c r="Y47" s="64" t="s">
        <v>167</v>
      </c>
    </row>
    <row r="48" customFormat="false" ht="15" hidden="false" customHeight="false" outlineLevel="0" collapsed="false">
      <c r="A48" s="32" t="s">
        <v>192</v>
      </c>
      <c r="B48" s="32" t="s">
        <v>206</v>
      </c>
      <c r="C48" s="32" t="s">
        <v>164</v>
      </c>
      <c r="D48" s="60" t="n">
        <f aca="false">ROUND(S48*T48,0)</f>
        <v>686</v>
      </c>
      <c r="E48" s="60" t="n">
        <f aca="false">ROUND(S48,0)-D48</f>
        <v>1506</v>
      </c>
      <c r="F48" s="60" t="n">
        <f aca="false">IF(COUNTA(D48:E48)=0,"",SUM(D48:E48))</f>
        <v>2192</v>
      </c>
      <c r="G48" s="40" t="n">
        <f aca="false">IF(OR(F48="",F48=0),"",D48/F48)</f>
        <v>0.312956204379562</v>
      </c>
      <c r="H48" s="40" t="n">
        <f aca="false">IF(OR(F48="",F48=0),"",E48/F48)</f>
        <v>0.687043795620438</v>
      </c>
      <c r="I48" s="32" t="s">
        <v>165</v>
      </c>
      <c r="J48" s="36" t="n">
        <v>1.74942827115577</v>
      </c>
      <c r="K48" s="36" t="n">
        <f aca="false">$K$8</f>
        <v>2.11954916662514</v>
      </c>
      <c r="L48" s="36" t="n">
        <f aca="false">SQRT(J48^2+K48^2)</f>
        <v>2.74826999140557</v>
      </c>
      <c r="M48" s="40" t="n">
        <f aca="false">IF(G48="","",MAX(0,G48-1.96*L48/100))</f>
        <v>0.259090112548013</v>
      </c>
      <c r="N48" s="40" t="n">
        <f aca="false">IF(G48="","",MIN(1,G48+1.96*L48/100))</f>
        <v>0.366822296211111</v>
      </c>
      <c r="O48" s="60" t="n">
        <f aca="false">ROUND(S48*W48,0)</f>
        <v>120</v>
      </c>
      <c r="P48" s="60" t="n">
        <f aca="false">IF(F48="","",ROUND(SQRT((F48*L48/100)^2+(G48*O48)^2),0))</f>
        <v>71</v>
      </c>
      <c r="R48" s="61" t="n">
        <v>-10.869511072945</v>
      </c>
      <c r="S48" s="62" t="n">
        <f aca="false">U48*V48*$F$5</f>
        <v>2191.88036117382</v>
      </c>
      <c r="T48" s="63" t="n">
        <f aca="false">MAX(0,MIN(1,R48/100+$D$5))</f>
        <v>0.313103194346909</v>
      </c>
      <c r="U48" s="63" t="n">
        <v>0.694292163818123</v>
      </c>
      <c r="V48" s="62" t="n">
        <v>3157</v>
      </c>
      <c r="W48" s="63" t="n">
        <v>0.0547268472736556</v>
      </c>
      <c r="X48" s="64" t="s">
        <v>171</v>
      </c>
      <c r="Y48" s="64" t="s">
        <v>167</v>
      </c>
    </row>
    <row r="49" customFormat="false" ht="15" hidden="false" customHeight="false" outlineLevel="0" collapsed="false">
      <c r="A49" s="32" t="s">
        <v>192</v>
      </c>
      <c r="B49" s="32" t="s">
        <v>207</v>
      </c>
      <c r="C49" s="32" t="s">
        <v>164</v>
      </c>
      <c r="D49" s="60" t="n">
        <f aca="false">ROUND(S49*T49,0)</f>
        <v>798</v>
      </c>
      <c r="E49" s="60" t="n">
        <f aca="false">ROUND(S49,0)-D49</f>
        <v>715</v>
      </c>
      <c r="F49" s="60" t="n">
        <f aca="false">IF(COUNTA(D49:E49)=0,"",SUM(D49:E49))</f>
        <v>1513</v>
      </c>
      <c r="G49" s="40" t="n">
        <f aca="false">IF(OR(F49="",F49=0),"",D49/F49)</f>
        <v>0.527428949107733</v>
      </c>
      <c r="H49" s="40" t="n">
        <f aca="false">IF(OR(F49="",F49=0),"",E49/F49)</f>
        <v>0.472571050892267</v>
      </c>
      <c r="I49" s="32" t="s">
        <v>165</v>
      </c>
      <c r="J49" s="36" t="n">
        <v>1.74942827115577</v>
      </c>
      <c r="K49" s="36" t="n">
        <f aca="false">$K$8</f>
        <v>2.11954916662514</v>
      </c>
      <c r="L49" s="36" t="n">
        <f aca="false">SQRT(J49^2+K49^2)</f>
        <v>2.74826999140557</v>
      </c>
      <c r="M49" s="40" t="n">
        <f aca="false">IF(G49="","",MAX(0,G49-1.96*L49/100))</f>
        <v>0.473562857276184</v>
      </c>
      <c r="N49" s="40" t="n">
        <f aca="false">IF(G49="","",MIN(1,G49+1.96*L49/100))</f>
        <v>0.581295040939282</v>
      </c>
      <c r="O49" s="60" t="n">
        <f aca="false">ROUND(S49*W49,0)</f>
        <v>83</v>
      </c>
      <c r="P49" s="60" t="n">
        <f aca="false">IF(F49="","",ROUND(SQRT((F49*L49/100)^2+(G49*O49)^2),0))</f>
        <v>60</v>
      </c>
      <c r="R49" s="61" t="n">
        <v>10.5468327827461</v>
      </c>
      <c r="S49" s="62" t="n">
        <f aca="false">U49*V49*$F$5</f>
        <v>1512.74151436031</v>
      </c>
      <c r="T49" s="63" t="n">
        <f aca="false">MAX(0,MIN(1,R49/100+$D$5))</f>
        <v>0.52726663290382</v>
      </c>
      <c r="U49" s="63" t="n">
        <v>0.616187989556136</v>
      </c>
      <c r="V49" s="62" t="n">
        <v>2455</v>
      </c>
      <c r="W49" s="63" t="n">
        <v>0.0547268472736556</v>
      </c>
      <c r="X49" s="64" t="s">
        <v>171</v>
      </c>
      <c r="Y49" s="64" t="s">
        <v>167</v>
      </c>
    </row>
    <row r="50" customFormat="false" ht="15" hidden="false" customHeight="false" outlineLevel="0" collapsed="false">
      <c r="A50" s="32" t="s">
        <v>192</v>
      </c>
      <c r="B50" s="32" t="s">
        <v>208</v>
      </c>
      <c r="C50" s="32" t="s">
        <v>164</v>
      </c>
      <c r="D50" s="60" t="n">
        <f aca="false">ROUND(S50*T50,0)</f>
        <v>3178</v>
      </c>
      <c r="E50" s="60" t="n">
        <f aca="false">ROUND(S50,0)-D50</f>
        <v>4719</v>
      </c>
      <c r="F50" s="60" t="n">
        <f aca="false">IF(COUNTA(D50:E50)=0,"",SUM(D50:E50))</f>
        <v>7897</v>
      </c>
      <c r="G50" s="40" t="n">
        <f aca="false">IF(OR(F50="",F50=0),"",D50/F50)</f>
        <v>0.402431303026466</v>
      </c>
      <c r="H50" s="40" t="n">
        <f aca="false">IF(OR(F50="",F50=0),"",E50/F50)</f>
        <v>0.597568696973534</v>
      </c>
      <c r="I50" s="32" t="s">
        <v>165</v>
      </c>
      <c r="J50" s="36" t="n">
        <v>2.09596675951885</v>
      </c>
      <c r="K50" s="36" t="n">
        <f aca="false">$K$8</f>
        <v>2.11954916662514</v>
      </c>
      <c r="L50" s="36" t="n">
        <f aca="false">SQRT(J50^2+K50^2)</f>
        <v>2.98086653957356</v>
      </c>
      <c r="M50" s="40" t="n">
        <f aca="false">IF(G50="","",MAX(0,G50-1.96*L50/100))</f>
        <v>0.344006318850824</v>
      </c>
      <c r="N50" s="40" t="n">
        <f aca="false">IF(G50="","",MIN(1,G50+1.96*L50/100))</f>
        <v>0.460856287202108</v>
      </c>
      <c r="O50" s="60" t="n">
        <f aca="false">ROUND(S50*W50,0)</f>
        <v>384</v>
      </c>
      <c r="P50" s="60" t="n">
        <f aca="false">IF(F50="","",ROUND(SQRT((F50*L50/100)^2+(G50*O50)^2),0))</f>
        <v>282</v>
      </c>
      <c r="R50" s="61" t="n">
        <v>-1.93594620438936</v>
      </c>
      <c r="S50" s="62" t="n">
        <f aca="false">U50*V50*$F$5</f>
        <v>7896.5113304721</v>
      </c>
      <c r="T50" s="63" t="n">
        <f aca="false">MAX(0,MIN(1,R50/100+$D$5))</f>
        <v>0.402438843032466</v>
      </c>
      <c r="U50" s="63" t="n">
        <v>0.662403433476395</v>
      </c>
      <c r="V50" s="62" t="n">
        <v>11921</v>
      </c>
      <c r="W50" s="63" t="n">
        <v>0.0485820274397165</v>
      </c>
      <c r="X50" s="64" t="s">
        <v>187</v>
      </c>
      <c r="Y50" s="64" t="s">
        <v>167</v>
      </c>
    </row>
    <row r="51" customFormat="false" ht="15" hidden="false" customHeight="false" outlineLevel="0" collapsed="false">
      <c r="A51" s="32" t="s">
        <v>192</v>
      </c>
      <c r="B51" s="32" t="s">
        <v>209</v>
      </c>
      <c r="C51" s="32" t="s">
        <v>164</v>
      </c>
      <c r="D51" s="60" t="n">
        <f aca="false">ROUND(S51*T51,0)</f>
        <v>3165</v>
      </c>
      <c r="E51" s="60" t="n">
        <f aca="false">ROUND(S51,0)-D51</f>
        <v>3265</v>
      </c>
      <c r="F51" s="60" t="n">
        <f aca="false">IF(COUNTA(D51:E51)=0,"",SUM(D51:E51))</f>
        <v>6430</v>
      </c>
      <c r="G51" s="40" t="n">
        <f aca="false">IF(OR(F51="",F51=0),"",D51/F51)</f>
        <v>0.492223950233281</v>
      </c>
      <c r="H51" s="40" t="n">
        <f aca="false">IF(OR(F51="",F51=0),"",E51/F51)</f>
        <v>0.507776049766719</v>
      </c>
      <c r="I51" s="32" t="s">
        <v>165</v>
      </c>
      <c r="J51" s="36" t="n">
        <v>2.09596675951885</v>
      </c>
      <c r="K51" s="36" t="n">
        <f aca="false">$K$8</f>
        <v>2.11954916662514</v>
      </c>
      <c r="L51" s="36" t="n">
        <f aca="false">SQRT(J51^2+K51^2)</f>
        <v>2.98086653957356</v>
      </c>
      <c r="M51" s="40" t="n">
        <f aca="false">IF(G51="","",MAX(0,G51-1.96*L51/100))</f>
        <v>0.43379896605764</v>
      </c>
      <c r="N51" s="40" t="n">
        <f aca="false">IF(G51="","",MIN(1,G51+1.96*L51/100))</f>
        <v>0.550648934408923</v>
      </c>
      <c r="O51" s="60" t="n">
        <f aca="false">ROUND(S51*W51,0)</f>
        <v>312</v>
      </c>
      <c r="P51" s="60" t="n">
        <f aca="false">IF(F51="","",ROUND(SQRT((F51*L51/100)^2+(G51*O51)^2),0))</f>
        <v>246</v>
      </c>
      <c r="R51" s="61" t="n">
        <v>7.05008067041005</v>
      </c>
      <c r="S51" s="62" t="n">
        <f aca="false">U51*V51*$F$5</f>
        <v>6429.9709076009</v>
      </c>
      <c r="T51" s="63" t="n">
        <f aca="false">MAX(0,MIN(1,R51/100+$D$5))</f>
        <v>0.49229911178046</v>
      </c>
      <c r="U51" s="63" t="n">
        <v>0.652325343167384</v>
      </c>
      <c r="V51" s="62" t="n">
        <v>9857</v>
      </c>
      <c r="W51" s="63" t="n">
        <v>0.0485820274397165</v>
      </c>
      <c r="X51" s="64" t="s">
        <v>187</v>
      </c>
      <c r="Y51" s="64" t="s">
        <v>167</v>
      </c>
    </row>
    <row r="52" customFormat="false" ht="15" hidden="false" customHeight="false" outlineLevel="0" collapsed="false">
      <c r="A52" s="32" t="s">
        <v>192</v>
      </c>
      <c r="B52" s="32" t="s">
        <v>210</v>
      </c>
      <c r="C52" s="32" t="s">
        <v>164</v>
      </c>
      <c r="D52" s="60" t="n">
        <f aca="false">ROUND(S52*T52,0)</f>
        <v>587</v>
      </c>
      <c r="E52" s="60" t="n">
        <f aca="false">ROUND(S52,0)-D52</f>
        <v>803</v>
      </c>
      <c r="F52" s="60" t="n">
        <f aca="false">IF(COUNTA(D52:E52)=0,"",SUM(D52:E52))</f>
        <v>1390</v>
      </c>
      <c r="G52" s="40" t="n">
        <f aca="false">IF(OR(F52="",F52=0),"",D52/F52)</f>
        <v>0.422302158273381</v>
      </c>
      <c r="H52" s="40" t="n">
        <f aca="false">IF(OR(F52="",F52=0),"",E52/F52)</f>
        <v>0.577697841726619</v>
      </c>
      <c r="I52" s="32" t="s">
        <v>165</v>
      </c>
      <c r="J52" s="36" t="n">
        <v>1.74942827115577</v>
      </c>
      <c r="K52" s="36" t="n">
        <f aca="false">$K$8</f>
        <v>2.11954916662514</v>
      </c>
      <c r="L52" s="36" t="n">
        <f aca="false">SQRT(J52^2+K52^2)</f>
        <v>2.74826999140557</v>
      </c>
      <c r="M52" s="40" t="n">
        <f aca="false">IF(G52="","",MAX(0,G52-1.96*L52/100))</f>
        <v>0.368436066441832</v>
      </c>
      <c r="N52" s="40" t="n">
        <f aca="false">IF(G52="","",MIN(1,G52+1.96*L52/100))</f>
        <v>0.47616825010493</v>
      </c>
      <c r="O52" s="60" t="n">
        <f aca="false">ROUND(S52*W52,0)</f>
        <v>76</v>
      </c>
      <c r="P52" s="60" t="n">
        <f aca="false">IF(F52="","",ROUND(SQRT((F52*L52/100)^2+(G52*O52)^2),0))</f>
        <v>50</v>
      </c>
      <c r="R52" s="61" t="n">
        <v>0.0692190665261895</v>
      </c>
      <c r="S52" s="62" t="n">
        <f aca="false">U52*V52*$F$5</f>
        <v>1390.15942028986</v>
      </c>
      <c r="T52" s="63" t="n">
        <f aca="false">MAX(0,MIN(1,R52/100+$D$5))</f>
        <v>0.422490495741622</v>
      </c>
      <c r="U52" s="63" t="n">
        <v>0.529181355268312</v>
      </c>
      <c r="V52" s="62" t="n">
        <v>2627</v>
      </c>
      <c r="W52" s="63" t="n">
        <v>0.0547268472736556</v>
      </c>
      <c r="X52" s="64" t="s">
        <v>171</v>
      </c>
      <c r="Y52" s="64" t="s">
        <v>167</v>
      </c>
    </row>
    <row r="53" customFormat="false" ht="15" hidden="false" customHeight="false" outlineLevel="0" collapsed="false">
      <c r="A53" s="32" t="s">
        <v>192</v>
      </c>
      <c r="B53" s="32" t="s">
        <v>211</v>
      </c>
      <c r="C53" s="32" t="s">
        <v>164</v>
      </c>
      <c r="D53" s="60" t="n">
        <f aca="false">ROUND(S53*T53,0)</f>
        <v>5645</v>
      </c>
      <c r="E53" s="60" t="n">
        <f aca="false">ROUND(S53,0)-D53</f>
        <v>4841</v>
      </c>
      <c r="F53" s="60" t="n">
        <f aca="false">IF(COUNTA(D53:E53)=0,"",SUM(D53:E53))</f>
        <v>10486</v>
      </c>
      <c r="G53" s="40" t="n">
        <f aca="false">IF(OR(F53="",F53=0),"",D53/F53)</f>
        <v>0.538336830059127</v>
      </c>
      <c r="H53" s="40" t="n">
        <f aca="false">IF(OR(F53="",F53=0),"",E53/F53)</f>
        <v>0.461663169940874</v>
      </c>
      <c r="I53" s="32" t="s">
        <v>165</v>
      </c>
      <c r="J53" s="36" t="n">
        <v>2.09596675951885</v>
      </c>
      <c r="K53" s="36" t="n">
        <f aca="false">$K$8</f>
        <v>2.11954916662514</v>
      </c>
      <c r="L53" s="36" t="n">
        <f aca="false">SQRT(J53^2+K53^2)</f>
        <v>2.98086653957356</v>
      </c>
      <c r="M53" s="40" t="n">
        <f aca="false">IF(G53="","",MAX(0,G53-1.96*L53/100))</f>
        <v>0.479911845883485</v>
      </c>
      <c r="N53" s="40" t="n">
        <f aca="false">IF(G53="","",MIN(1,G53+1.96*L53/100))</f>
        <v>0.596761814234768</v>
      </c>
      <c r="O53" s="60" t="n">
        <f aca="false">ROUND(S53*W53,0)</f>
        <v>509</v>
      </c>
      <c r="P53" s="60" t="n">
        <f aca="false">IF(F53="","",ROUND(SQRT((F53*L53/100)^2+(G53*O53)^2),0))</f>
        <v>416</v>
      </c>
      <c r="R53" s="61" t="n">
        <v>11.6489816936516</v>
      </c>
      <c r="S53" s="62" t="n">
        <f aca="false">U53*V53*$F$5</f>
        <v>10486.1559171025</v>
      </c>
      <c r="T53" s="63" t="n">
        <f aca="false">MAX(0,MIN(1,R53/100+$D$5))</f>
        <v>0.538288122012876</v>
      </c>
      <c r="U53" s="63" t="n">
        <v>0.653302343598683</v>
      </c>
      <c r="V53" s="62" t="n">
        <v>16051</v>
      </c>
      <c r="W53" s="63" t="n">
        <v>0.0485820274397165</v>
      </c>
      <c r="X53" s="64" t="s">
        <v>187</v>
      </c>
      <c r="Y53" s="64" t="s">
        <v>167</v>
      </c>
    </row>
    <row r="54" customFormat="false" ht="15" hidden="false" customHeight="false" outlineLevel="0" collapsed="false">
      <c r="A54" s="32" t="s">
        <v>192</v>
      </c>
      <c r="B54" s="32" t="s">
        <v>212</v>
      </c>
      <c r="C54" s="32" t="s">
        <v>164</v>
      </c>
      <c r="D54" s="60" t="n">
        <f aca="false">ROUND(S54*T54,0)</f>
        <v>6200</v>
      </c>
      <c r="E54" s="60" t="n">
        <f aca="false">ROUND(S54,0)-D54</f>
        <v>5830</v>
      </c>
      <c r="F54" s="60" t="n">
        <f aca="false">IF(COUNTA(D54:E54)=0,"",SUM(D54:E54))</f>
        <v>12030</v>
      </c>
      <c r="G54" s="40" t="n">
        <f aca="false">IF(OR(F54="",F54=0),"",D54/F54)</f>
        <v>0.515378221113882</v>
      </c>
      <c r="H54" s="40" t="n">
        <f aca="false">IF(OR(F54="",F54=0),"",E54/F54)</f>
        <v>0.484621778886118</v>
      </c>
      <c r="I54" s="32" t="s">
        <v>165</v>
      </c>
      <c r="J54" s="36" t="n">
        <v>2.09596675951885</v>
      </c>
      <c r="K54" s="36" t="n">
        <f aca="false">$K$8</f>
        <v>2.11954916662514</v>
      </c>
      <c r="L54" s="36" t="n">
        <f aca="false">SQRT(J54^2+K54^2)</f>
        <v>2.98086653957356</v>
      </c>
      <c r="M54" s="40" t="n">
        <f aca="false">IF(G54="","",MAX(0,G54-1.96*L54/100))</f>
        <v>0.45695323693824</v>
      </c>
      <c r="N54" s="40" t="n">
        <f aca="false">IF(G54="","",MIN(1,G54+1.96*L54/100))</f>
        <v>0.573803205289524</v>
      </c>
      <c r="O54" s="60" t="n">
        <f aca="false">ROUND(S54*W54,0)</f>
        <v>584</v>
      </c>
      <c r="P54" s="60" t="n">
        <f aca="false">IF(F54="","",ROUND(SQRT((F54*L54/100)^2+(G54*O54)^2),0))</f>
        <v>468</v>
      </c>
      <c r="R54" s="61" t="n">
        <v>9.35824332054153</v>
      </c>
      <c r="S54" s="62" t="n">
        <f aca="false">U54*V54*$F$5</f>
        <v>12030.3346699902</v>
      </c>
      <c r="T54" s="63" t="n">
        <f aca="false">MAX(0,MIN(1,R54/100+$D$5))</f>
        <v>0.515380738281775</v>
      </c>
      <c r="U54" s="63" t="n">
        <v>0.610490950471443</v>
      </c>
      <c r="V54" s="62" t="n">
        <v>19706</v>
      </c>
      <c r="W54" s="63" t="n">
        <v>0.0485820274397165</v>
      </c>
      <c r="X54" s="64" t="s">
        <v>187</v>
      </c>
      <c r="Y54" s="64" t="s">
        <v>167</v>
      </c>
    </row>
    <row r="55" customFormat="false" ht="15" hidden="false" customHeight="false" outlineLevel="0" collapsed="false">
      <c r="A55" s="32" t="s">
        <v>192</v>
      </c>
      <c r="B55" s="32" t="s">
        <v>213</v>
      </c>
      <c r="C55" s="32" t="s">
        <v>164</v>
      </c>
      <c r="D55" s="60" t="n">
        <f aca="false">ROUND(S55*T55,0)</f>
        <v>1954</v>
      </c>
      <c r="E55" s="60" t="n">
        <f aca="false">ROUND(S55,0)-D55</f>
        <v>2660</v>
      </c>
      <c r="F55" s="60" t="n">
        <f aca="false">IF(COUNTA(D55:E55)=0,"",SUM(D55:E55))</f>
        <v>4614</v>
      </c>
      <c r="G55" s="40" t="n">
        <f aca="false">IF(OR(F55="",F55=0),"",D55/F55)</f>
        <v>0.423493714781101</v>
      </c>
      <c r="H55" s="40" t="n">
        <f aca="false">IF(OR(F55="",F55=0),"",E55/F55)</f>
        <v>0.576506285218899</v>
      </c>
      <c r="I55" s="32" t="s">
        <v>165</v>
      </c>
      <c r="J55" s="36" t="n">
        <v>2.09596675951885</v>
      </c>
      <c r="K55" s="36" t="n">
        <f aca="false">$K$8</f>
        <v>2.11954916662514</v>
      </c>
      <c r="L55" s="36" t="n">
        <f aca="false">SQRT(J55^2+K55^2)</f>
        <v>2.98086653957356</v>
      </c>
      <c r="M55" s="40" t="n">
        <f aca="false">IF(G55="","",MAX(0,G55-1.96*L55/100))</f>
        <v>0.365068730605459</v>
      </c>
      <c r="N55" s="40" t="n">
        <f aca="false">IF(G55="","",MIN(1,G55+1.96*L55/100))</f>
        <v>0.481918698956743</v>
      </c>
      <c r="O55" s="60" t="n">
        <f aca="false">ROUND(S55*W55,0)</f>
        <v>224</v>
      </c>
      <c r="P55" s="60" t="n">
        <f aca="false">IF(F55="","",ROUND(SQRT((F55*L55/100)^2+(G55*O55)^2),0))</f>
        <v>167</v>
      </c>
      <c r="R55" s="61" t="n">
        <v>0.169024901330418</v>
      </c>
      <c r="S55" s="62" t="n">
        <f aca="false">U55*V55*$F$5</f>
        <v>4613.50991276765</v>
      </c>
      <c r="T55" s="63" t="n">
        <f aca="false">MAX(0,MIN(1,R55/100+$D$5))</f>
        <v>0.423488554089664</v>
      </c>
      <c r="U55" s="63" t="n">
        <v>0.71086439333862</v>
      </c>
      <c r="V55" s="62" t="n">
        <v>6490</v>
      </c>
      <c r="W55" s="63" t="n">
        <v>0.0485820274397165</v>
      </c>
      <c r="X55" s="64" t="s">
        <v>187</v>
      </c>
      <c r="Y55" s="64" t="s">
        <v>167</v>
      </c>
    </row>
    <row r="56" customFormat="false" ht="15" hidden="false" customHeight="false" outlineLevel="0" collapsed="false">
      <c r="A56" s="32" t="s">
        <v>192</v>
      </c>
      <c r="B56" s="32" t="s">
        <v>214</v>
      </c>
      <c r="C56" s="32" t="s">
        <v>164</v>
      </c>
      <c r="D56" s="60" t="n">
        <f aca="false">ROUND(S56*T56,0)</f>
        <v>4529</v>
      </c>
      <c r="E56" s="60" t="n">
        <f aca="false">ROUND(S56,0)-D56</f>
        <v>4815</v>
      </c>
      <c r="F56" s="60" t="n">
        <f aca="false">IF(COUNTA(D56:E56)=0,"",SUM(D56:E56))</f>
        <v>9344</v>
      </c>
      <c r="G56" s="40" t="n">
        <f aca="false">IF(OR(F56="",F56=0),"",D56/F56)</f>
        <v>0.484696061643836</v>
      </c>
      <c r="H56" s="40" t="n">
        <f aca="false">IF(OR(F56="",F56=0),"",E56/F56)</f>
        <v>0.515303938356164</v>
      </c>
      <c r="I56" s="32" t="s">
        <v>165</v>
      </c>
      <c r="J56" s="36" t="n">
        <v>2.09596675951885</v>
      </c>
      <c r="K56" s="36" t="n">
        <f aca="false">$K$8</f>
        <v>2.11954916662514</v>
      </c>
      <c r="L56" s="36" t="n">
        <f aca="false">SQRT(J56^2+K56^2)</f>
        <v>2.98086653957356</v>
      </c>
      <c r="M56" s="40" t="n">
        <f aca="false">IF(G56="","",MAX(0,G56-1.96*L56/100))</f>
        <v>0.426271077468194</v>
      </c>
      <c r="N56" s="40" t="n">
        <f aca="false">IF(G56="","",MIN(1,G56+1.96*L56/100))</f>
        <v>0.543121045819477</v>
      </c>
      <c r="O56" s="60" t="n">
        <f aca="false">ROUND(S56*W56,0)</f>
        <v>454</v>
      </c>
      <c r="P56" s="60" t="n">
        <f aca="false">IF(F56="","",ROUND(SQRT((F56*L56/100)^2+(G56*O56)^2),0))</f>
        <v>355</v>
      </c>
      <c r="R56" s="61" t="n">
        <v>6.29241481247728</v>
      </c>
      <c r="S56" s="62" t="n">
        <f aca="false">U56*V56*$F$5</f>
        <v>9343.93860561915</v>
      </c>
      <c r="T56" s="63" t="n">
        <f aca="false">MAX(0,MIN(1,R56/100+$D$5))</f>
        <v>0.484722453201132</v>
      </c>
      <c r="U56" s="63" t="n">
        <v>0.702393340270552</v>
      </c>
      <c r="V56" s="62" t="n">
        <v>13303</v>
      </c>
      <c r="W56" s="63" t="n">
        <v>0.0485820274397165</v>
      </c>
      <c r="X56" s="64" t="s">
        <v>187</v>
      </c>
      <c r="Y56" s="64" t="s">
        <v>167</v>
      </c>
    </row>
    <row r="57" customFormat="false" ht="15" hidden="false" customHeight="false" outlineLevel="0" collapsed="false">
      <c r="A57" s="32" t="s">
        <v>192</v>
      </c>
      <c r="B57" s="32" t="s">
        <v>215</v>
      </c>
      <c r="C57" s="32" t="s">
        <v>164</v>
      </c>
      <c r="D57" s="60" t="n">
        <f aca="false">ROUND(S57*T57,0)</f>
        <v>1031</v>
      </c>
      <c r="E57" s="60" t="n">
        <f aca="false">ROUND(S57,0)-D57</f>
        <v>2072</v>
      </c>
      <c r="F57" s="60" t="n">
        <f aca="false">IF(COUNTA(D57:E57)=0,"",SUM(D57:E57))</f>
        <v>3103</v>
      </c>
      <c r="G57" s="40" t="n">
        <f aca="false">IF(OR(F57="",F57=0),"",D57/F57)</f>
        <v>0.332259104092813</v>
      </c>
      <c r="H57" s="40" t="n">
        <f aca="false">IF(OR(F57="",F57=0),"",E57/F57)</f>
        <v>0.667740895907187</v>
      </c>
      <c r="I57" s="32" t="s">
        <v>165</v>
      </c>
      <c r="J57" s="36" t="n">
        <v>2.09596675951885</v>
      </c>
      <c r="K57" s="36" t="n">
        <f aca="false">$K$8</f>
        <v>2.11954916662514</v>
      </c>
      <c r="L57" s="36" t="n">
        <f aca="false">SQRT(J57^2+K57^2)</f>
        <v>2.98086653957356</v>
      </c>
      <c r="M57" s="40" t="n">
        <f aca="false">IF(G57="","",MAX(0,G57-1.96*L57/100))</f>
        <v>0.273834119917172</v>
      </c>
      <c r="N57" s="40" t="n">
        <f aca="false">IF(G57="","",MIN(1,G57+1.96*L57/100))</f>
        <v>0.390684088268455</v>
      </c>
      <c r="O57" s="60" t="n">
        <f aca="false">ROUND(S57*W57,0)</f>
        <v>151</v>
      </c>
      <c r="P57" s="60" t="n">
        <f aca="false">IF(F57="","",ROUND(SQRT((F57*L57/100)^2+(G57*O57)^2),0))</f>
        <v>105</v>
      </c>
      <c r="R57" s="61" t="n">
        <v>-8.94096833612375</v>
      </c>
      <c r="S57" s="62" t="n">
        <f aca="false">U57*V57*$F$5</f>
        <v>3102.86358754028</v>
      </c>
      <c r="T57" s="63" t="n">
        <f aca="false">MAX(0,MIN(1,R57/100+$D$5))</f>
        <v>0.332388621715122</v>
      </c>
      <c r="U57" s="63" t="n">
        <v>0.645757250268529</v>
      </c>
      <c r="V57" s="62" t="n">
        <v>4805</v>
      </c>
      <c r="W57" s="63" t="n">
        <v>0.0485820274397165</v>
      </c>
      <c r="X57" s="64" t="s">
        <v>187</v>
      </c>
      <c r="Y57" s="64" t="s">
        <v>167</v>
      </c>
    </row>
    <row r="58" customFormat="false" ht="15" hidden="false" customHeight="false" outlineLevel="0" collapsed="false">
      <c r="A58" s="32" t="s">
        <v>192</v>
      </c>
      <c r="B58" s="32" t="s">
        <v>216</v>
      </c>
      <c r="C58" s="32" t="s">
        <v>164</v>
      </c>
      <c r="D58" s="60" t="n">
        <f aca="false">ROUND(S58*T58,0)</f>
        <v>960</v>
      </c>
      <c r="E58" s="60" t="n">
        <f aca="false">ROUND(S58,0)-D58</f>
        <v>1780</v>
      </c>
      <c r="F58" s="60" t="n">
        <f aca="false">IF(COUNTA(D58:E58)=0,"",SUM(D58:E58))</f>
        <v>2740</v>
      </c>
      <c r="G58" s="40" t="n">
        <f aca="false">IF(OR(F58="",F58=0),"",D58/F58)</f>
        <v>0.35036496350365</v>
      </c>
      <c r="H58" s="40" t="n">
        <f aca="false">IF(OR(F58="",F58=0),"",E58/F58)</f>
        <v>0.64963503649635</v>
      </c>
      <c r="I58" s="32" t="s">
        <v>165</v>
      </c>
      <c r="J58" s="36" t="n">
        <v>1.74942827115577</v>
      </c>
      <c r="K58" s="36" t="n">
        <f aca="false">$K$8</f>
        <v>2.11954916662514</v>
      </c>
      <c r="L58" s="36" t="n">
        <f aca="false">SQRT(J58^2+K58^2)</f>
        <v>2.74826999140557</v>
      </c>
      <c r="M58" s="40" t="n">
        <f aca="false">IF(G58="","",MAX(0,G58-1.96*L58/100))</f>
        <v>0.296498871672101</v>
      </c>
      <c r="N58" s="40" t="n">
        <f aca="false">IF(G58="","",MIN(1,G58+1.96*L58/100))</f>
        <v>0.404231055335199</v>
      </c>
      <c r="O58" s="60" t="n">
        <f aca="false">ROUND(S58*W58,0)</f>
        <v>150</v>
      </c>
      <c r="P58" s="60" t="n">
        <f aca="false">IF(F58="","",ROUND(SQRT((F58*L58/100)^2+(G58*O58)^2),0))</f>
        <v>92</v>
      </c>
      <c r="R58" s="61" t="n">
        <v>-7.15021239812062</v>
      </c>
      <c r="S58" s="62" t="n">
        <f aca="false">U58*V58*$F$5</f>
        <v>2739.5017118778</v>
      </c>
      <c r="T58" s="63" t="n">
        <f aca="false">MAX(0,MIN(1,R58/100+$D$5))</f>
        <v>0.350296181095154</v>
      </c>
      <c r="U58" s="63" t="n">
        <v>0.708980774295496</v>
      </c>
      <c r="V58" s="62" t="n">
        <v>3864</v>
      </c>
      <c r="W58" s="63" t="n">
        <v>0.0547268472736556</v>
      </c>
      <c r="X58" s="64" t="s">
        <v>171</v>
      </c>
      <c r="Y58" s="64" t="s">
        <v>167</v>
      </c>
    </row>
    <row r="59" customFormat="false" ht="15" hidden="false" customHeight="false" outlineLevel="0" collapsed="false">
      <c r="A59" s="32" t="s">
        <v>192</v>
      </c>
      <c r="B59" s="32" t="s">
        <v>217</v>
      </c>
      <c r="C59" s="32" t="s">
        <v>164</v>
      </c>
      <c r="D59" s="60" t="n">
        <f aca="false">ROUND(S59*T59,0)</f>
        <v>5437</v>
      </c>
      <c r="E59" s="60" t="n">
        <f aca="false">ROUND(S59,0)-D59</f>
        <v>5067</v>
      </c>
      <c r="F59" s="60" t="n">
        <f aca="false">IF(COUNTA(D59:E59)=0,"",SUM(D59:E59))</f>
        <v>10504</v>
      </c>
      <c r="G59" s="40" t="n">
        <f aca="false">IF(OR(F59="",F59=0),"",D59/F59)</f>
        <v>0.517612338156893</v>
      </c>
      <c r="H59" s="40" t="n">
        <f aca="false">IF(OR(F59="",F59=0),"",E59/F59)</f>
        <v>0.482387661843107</v>
      </c>
      <c r="I59" s="32" t="s">
        <v>165</v>
      </c>
      <c r="J59" s="36" t="n">
        <v>2.09596675951885</v>
      </c>
      <c r="K59" s="36" t="n">
        <f aca="false">$K$8</f>
        <v>2.11954916662514</v>
      </c>
      <c r="L59" s="36" t="n">
        <f aca="false">SQRT(J59^2+K59^2)</f>
        <v>2.98086653957356</v>
      </c>
      <c r="M59" s="40" t="n">
        <f aca="false">IF(G59="","",MAX(0,G59-1.96*L59/100))</f>
        <v>0.459187353981251</v>
      </c>
      <c r="N59" s="40" t="n">
        <f aca="false">IF(G59="","",MIN(1,G59+1.96*L59/100))</f>
        <v>0.576037322332534</v>
      </c>
      <c r="O59" s="60" t="n">
        <f aca="false">ROUND(S59*W59,0)</f>
        <v>510</v>
      </c>
      <c r="P59" s="60" t="n">
        <f aca="false">IF(F59="","",ROUND(SQRT((F59*L59/100)^2+(G59*O59)^2),0))</f>
        <v>410</v>
      </c>
      <c r="R59" s="61" t="n">
        <v>9.57841252438131</v>
      </c>
      <c r="S59" s="62" t="n">
        <f aca="false">U59*V59*$F$5</f>
        <v>10504.2978562557</v>
      </c>
      <c r="T59" s="63" t="n">
        <f aca="false">MAX(0,MIN(1,R59/100+$D$5))</f>
        <v>0.517582430320173</v>
      </c>
      <c r="U59" s="63" t="n">
        <v>0.555753550407689</v>
      </c>
      <c r="V59" s="62" t="n">
        <v>18901</v>
      </c>
      <c r="W59" s="63" t="n">
        <v>0.0485820274397165</v>
      </c>
      <c r="X59" s="64" t="s">
        <v>187</v>
      </c>
      <c r="Y59" s="64" t="s">
        <v>167</v>
      </c>
    </row>
    <row r="60" customFormat="false" ht="15" hidden="false" customHeight="false" outlineLevel="0" collapsed="false">
      <c r="A60" s="32" t="s">
        <v>218</v>
      </c>
      <c r="B60" s="32" t="s">
        <v>219</v>
      </c>
      <c r="C60" s="32" t="s">
        <v>164</v>
      </c>
      <c r="D60" s="60" t="n">
        <f aca="false">ROUND(S60*T60,0)</f>
        <v>367</v>
      </c>
      <c r="E60" s="60" t="n">
        <f aca="false">ROUND(S60,0)-D60</f>
        <v>867</v>
      </c>
      <c r="F60" s="60" t="n">
        <f aca="false">IF(COUNTA(D60:E60)=0,"",SUM(D60:E60))</f>
        <v>1234</v>
      </c>
      <c r="G60" s="40" t="n">
        <f aca="false">IF(OR(F60="",F60=0),"",D60/F60)</f>
        <v>0.29740680713128</v>
      </c>
      <c r="H60" s="40" t="n">
        <f aca="false">IF(OR(F60="",F60=0),"",E60/F60)</f>
        <v>0.70259319286872</v>
      </c>
      <c r="I60" s="32" t="s">
        <v>165</v>
      </c>
      <c r="J60" s="36" t="n">
        <v>3.62720814427021</v>
      </c>
      <c r="K60" s="36" t="n">
        <f aca="false">$K$8</f>
        <v>2.11954916662514</v>
      </c>
      <c r="L60" s="36" t="n">
        <f aca="false">SQRT(J60^2+K60^2)</f>
        <v>4.20108647752001</v>
      </c>
      <c r="M60" s="40" t="n">
        <f aca="false">IF(G60="","",MAX(0,G60-1.96*L60/100))</f>
        <v>0.215065512171888</v>
      </c>
      <c r="N60" s="40" t="n">
        <f aca="false">IF(G60="","",MIN(1,G60+1.96*L60/100))</f>
        <v>0.379748102090672</v>
      </c>
      <c r="O60" s="60" t="n">
        <f aca="false">ROUND(S60*W60,0)</f>
        <v>90</v>
      </c>
      <c r="P60" s="60" t="n">
        <f aca="false">IF(F60="","",ROUND(SQRT((F60*L60/100)^2+(G60*O60)^2),0))</f>
        <v>58</v>
      </c>
      <c r="R60" s="61" t="n">
        <v>-12.4819385607817</v>
      </c>
      <c r="S60" s="62" t="n">
        <f aca="false">U60*V60*$F$5</f>
        <v>1234.45226917058</v>
      </c>
      <c r="T60" s="63" t="n">
        <f aca="false">MAX(0,MIN(1,R60/100+$D$5))</f>
        <v>0.296978919468542</v>
      </c>
      <c r="U60" s="63" t="n">
        <v>0.618153364632238</v>
      </c>
      <c r="V60" s="62" t="n">
        <v>1997</v>
      </c>
      <c r="W60" s="63" t="n">
        <v>0.0732058935918866</v>
      </c>
      <c r="X60" s="64" t="s">
        <v>166</v>
      </c>
      <c r="Y60" s="64" t="s">
        <v>167</v>
      </c>
    </row>
    <row r="61" customFormat="false" ht="15" hidden="false" customHeight="false" outlineLevel="0" collapsed="false">
      <c r="A61" s="32" t="s">
        <v>218</v>
      </c>
      <c r="B61" s="32" t="s">
        <v>220</v>
      </c>
      <c r="C61" s="32" t="s">
        <v>164</v>
      </c>
      <c r="D61" s="60" t="n">
        <f aca="false">ROUND(S61*T61,0)</f>
        <v>1062</v>
      </c>
      <c r="E61" s="60" t="n">
        <f aca="false">ROUND(S61,0)-D61</f>
        <v>2088</v>
      </c>
      <c r="F61" s="60" t="n">
        <f aca="false">IF(COUNTA(D61:E61)=0,"",SUM(D61:E61))</f>
        <v>3150</v>
      </c>
      <c r="G61" s="40" t="n">
        <f aca="false">IF(OR(F61="",F61=0),"",D61/F61)</f>
        <v>0.337142857142857</v>
      </c>
      <c r="H61" s="40" t="n">
        <f aca="false">IF(OR(F61="",F61=0),"",E61/F61)</f>
        <v>0.662857142857143</v>
      </c>
      <c r="I61" s="32" t="s">
        <v>165</v>
      </c>
      <c r="J61" s="36" t="n">
        <v>2.09596675951885</v>
      </c>
      <c r="K61" s="36" t="n">
        <f aca="false">$K$8</f>
        <v>2.11954916662514</v>
      </c>
      <c r="L61" s="36" t="n">
        <f aca="false">SQRT(J61^2+K61^2)</f>
        <v>2.98086653957356</v>
      </c>
      <c r="M61" s="40" t="n">
        <f aca="false">IF(G61="","",MAX(0,G61-1.96*L61/100))</f>
        <v>0.278717872967215</v>
      </c>
      <c r="N61" s="40" t="n">
        <f aca="false">IF(G61="","",MIN(1,G61+1.96*L61/100))</f>
        <v>0.395567841318499</v>
      </c>
      <c r="O61" s="60" t="n">
        <f aca="false">ROUND(S61*W61,0)</f>
        <v>153</v>
      </c>
      <c r="P61" s="60" t="n">
        <f aca="false">IF(F61="","",ROUND(SQRT((F61*L61/100)^2+(G61*O61)^2),0))</f>
        <v>107</v>
      </c>
      <c r="R61" s="61" t="n">
        <v>-8.46436658928687</v>
      </c>
      <c r="S61" s="62" t="n">
        <f aca="false">U61*V61*$F$5</f>
        <v>3150.44851429639</v>
      </c>
      <c r="T61" s="63" t="n">
        <f aca="false">MAX(0,MIN(1,R61/100+$D$5))</f>
        <v>0.337154639183491</v>
      </c>
      <c r="U61" s="63" t="n">
        <v>0.56157727527565</v>
      </c>
      <c r="V61" s="62" t="n">
        <v>5610</v>
      </c>
      <c r="W61" s="63" t="n">
        <v>0.0485820274397165</v>
      </c>
      <c r="X61" s="64" t="s">
        <v>187</v>
      </c>
      <c r="Y61" s="64" t="s">
        <v>167</v>
      </c>
    </row>
    <row r="62" customFormat="false" ht="15" hidden="false" customHeight="false" outlineLevel="0" collapsed="false">
      <c r="A62" s="32" t="s">
        <v>218</v>
      </c>
      <c r="B62" s="32" t="s">
        <v>221</v>
      </c>
      <c r="C62" s="32" t="s">
        <v>164</v>
      </c>
      <c r="D62" s="60" t="n">
        <f aca="false">ROUND(S62*T62,0)</f>
        <v>395</v>
      </c>
      <c r="E62" s="60" t="n">
        <f aca="false">ROUND(S62,0)-D62</f>
        <v>776</v>
      </c>
      <c r="F62" s="60" t="n">
        <f aca="false">IF(COUNTA(D62:E62)=0,"",SUM(D62:E62))</f>
        <v>1171</v>
      </c>
      <c r="G62" s="40" t="n">
        <f aca="false">IF(OR(F62="",F62=0),"",D62/F62)</f>
        <v>0.33731853116994</v>
      </c>
      <c r="H62" s="40" t="n">
        <f aca="false">IF(OR(F62="",F62=0),"",E62/F62)</f>
        <v>0.66268146883006</v>
      </c>
      <c r="I62" s="32" t="s">
        <v>165</v>
      </c>
      <c r="J62" s="36" t="n">
        <v>3.62720814427021</v>
      </c>
      <c r="K62" s="36" t="n">
        <f aca="false">$K$8</f>
        <v>2.11954916662514</v>
      </c>
      <c r="L62" s="36" t="n">
        <f aca="false">SQRT(J62^2+K62^2)</f>
        <v>4.20108647752001</v>
      </c>
      <c r="M62" s="40" t="n">
        <f aca="false">IF(G62="","",MAX(0,G62-1.96*L62/100))</f>
        <v>0.254977236210548</v>
      </c>
      <c r="N62" s="40" t="n">
        <f aca="false">IF(G62="","",MIN(1,G62+1.96*L62/100))</f>
        <v>0.419659826129332</v>
      </c>
      <c r="O62" s="60" t="n">
        <f aca="false">ROUND(S62*W62,0)</f>
        <v>86</v>
      </c>
      <c r="P62" s="60" t="n">
        <f aca="false">IF(F62="","",ROUND(SQRT((F62*L62/100)^2+(G62*O62)^2),0))</f>
        <v>57</v>
      </c>
      <c r="R62" s="61" t="n">
        <v>-8.4101196190016</v>
      </c>
      <c r="S62" s="62" t="n">
        <f aca="false">U62*V62*$F$5</f>
        <v>1170.82273494654</v>
      </c>
      <c r="T62" s="63" t="n">
        <f aca="false">MAX(0,MIN(1,R62/100+$D$5))</f>
        <v>0.337697108886344</v>
      </c>
      <c r="U62" s="63" t="n">
        <v>0.625773776027012</v>
      </c>
      <c r="V62" s="62" t="n">
        <v>1871</v>
      </c>
      <c r="W62" s="63" t="n">
        <v>0.0732058935918866</v>
      </c>
      <c r="X62" s="64" t="s">
        <v>166</v>
      </c>
      <c r="Y62" s="64" t="s">
        <v>167</v>
      </c>
    </row>
    <row r="63" customFormat="false" ht="15" hidden="false" customHeight="false" outlineLevel="0" collapsed="false">
      <c r="A63" s="32" t="s">
        <v>222</v>
      </c>
      <c r="B63" s="32" t="s">
        <v>223</v>
      </c>
      <c r="C63" s="32" t="s">
        <v>164</v>
      </c>
      <c r="D63" s="60" t="n">
        <f aca="false">ROUND(S63*T63,0)</f>
        <v>1162</v>
      </c>
      <c r="E63" s="60" t="n">
        <f aca="false">ROUND(S63,0)-D63</f>
        <v>1545</v>
      </c>
      <c r="F63" s="60" t="n">
        <f aca="false">IF(COUNTA(D63:E63)=0,"",SUM(D63:E63))</f>
        <v>2707</v>
      </c>
      <c r="G63" s="40" t="n">
        <f aca="false">IF(OR(F63="",F63=0),"",D63/F63)</f>
        <v>0.429257480605837</v>
      </c>
      <c r="H63" s="40" t="n">
        <f aca="false">IF(OR(F63="",F63=0),"",E63/F63)</f>
        <v>0.570742519394163</v>
      </c>
      <c r="I63" s="32" t="s">
        <v>165</v>
      </c>
      <c r="J63" s="36" t="n">
        <v>1.74942827115577</v>
      </c>
      <c r="K63" s="36" t="n">
        <f aca="false">$K$8</f>
        <v>2.11954916662514</v>
      </c>
      <c r="L63" s="36" t="n">
        <f aca="false">SQRT(J63^2+K63^2)</f>
        <v>2.74826999140557</v>
      </c>
      <c r="M63" s="40" t="n">
        <f aca="false">IF(G63="","",MAX(0,G63-1.96*L63/100))</f>
        <v>0.375391388774288</v>
      </c>
      <c r="N63" s="40" t="n">
        <f aca="false">IF(G63="","",MIN(1,G63+1.96*L63/100))</f>
        <v>0.483123572437386</v>
      </c>
      <c r="O63" s="60" t="n">
        <f aca="false">ROUND(S63*W63,0)</f>
        <v>148</v>
      </c>
      <c r="P63" s="60" t="n">
        <f aca="false">IF(F63="","",ROUND(SQRT((F63*L63/100)^2+(G63*O63)^2),0))</f>
        <v>98</v>
      </c>
      <c r="R63" s="61" t="n">
        <v>0.737480207229025</v>
      </c>
      <c r="S63" s="62" t="n">
        <f aca="false">U63*V63*$F$5</f>
        <v>2707.41725054361</v>
      </c>
      <c r="T63" s="63" t="n">
        <f aca="false">MAX(0,MIN(1,R63/100+$D$5))</f>
        <v>0.42917310714865</v>
      </c>
      <c r="U63" s="63" t="n">
        <v>0.628171055810582</v>
      </c>
      <c r="V63" s="62" t="n">
        <v>4310</v>
      </c>
      <c r="W63" s="63" t="n">
        <v>0.0547268472736556</v>
      </c>
      <c r="X63" s="64" t="s">
        <v>171</v>
      </c>
      <c r="Y63" s="64" t="s">
        <v>167</v>
      </c>
    </row>
    <row r="64" customFormat="false" ht="15" hidden="false" customHeight="false" outlineLevel="0" collapsed="false">
      <c r="A64" s="32" t="s">
        <v>222</v>
      </c>
      <c r="B64" s="32" t="s">
        <v>224</v>
      </c>
      <c r="C64" s="32" t="s">
        <v>164</v>
      </c>
      <c r="D64" s="60" t="n">
        <f aca="false">ROUND(S64*T64,0)</f>
        <v>701</v>
      </c>
      <c r="E64" s="60" t="n">
        <f aca="false">ROUND(S64,0)-D64</f>
        <v>987</v>
      </c>
      <c r="F64" s="60" t="n">
        <f aca="false">IF(COUNTA(D64:E64)=0,"",SUM(D64:E64))</f>
        <v>1688</v>
      </c>
      <c r="G64" s="40" t="n">
        <f aca="false">IF(OR(F64="",F64=0),"",D64/F64)</f>
        <v>0.415284360189574</v>
      </c>
      <c r="H64" s="40" t="n">
        <f aca="false">IF(OR(F64="",F64=0),"",E64/F64)</f>
        <v>0.584715639810427</v>
      </c>
      <c r="I64" s="32" t="s">
        <v>165</v>
      </c>
      <c r="J64" s="36" t="n">
        <v>1.74942827115577</v>
      </c>
      <c r="K64" s="36" t="n">
        <f aca="false">$K$8</f>
        <v>2.11954916662514</v>
      </c>
      <c r="L64" s="36" t="n">
        <f aca="false">SQRT(J64^2+K64^2)</f>
        <v>2.74826999140557</v>
      </c>
      <c r="M64" s="40" t="n">
        <f aca="false">IF(G64="","",MAX(0,G64-1.96*L64/100))</f>
        <v>0.361418268358024</v>
      </c>
      <c r="N64" s="40" t="n">
        <f aca="false">IF(G64="","",MIN(1,G64+1.96*L64/100))</f>
        <v>0.469150452021123</v>
      </c>
      <c r="O64" s="60" t="n">
        <f aca="false">ROUND(S64*W64,0)</f>
        <v>92</v>
      </c>
      <c r="P64" s="60" t="n">
        <f aca="false">IF(F64="","",ROUND(SQRT((F64*L64/100)^2+(G64*O64)^2),0))</f>
        <v>60</v>
      </c>
      <c r="R64" s="61" t="n">
        <v>-0.666837598940299</v>
      </c>
      <c r="S64" s="62" t="n">
        <f aca="false">U64*V64*$F$5</f>
        <v>1687.9765578635</v>
      </c>
      <c r="T64" s="63" t="n">
        <f aca="false">MAX(0,MIN(1,R64/100+$D$5))</f>
        <v>0.415129929086957</v>
      </c>
      <c r="U64" s="63" t="n">
        <v>0.491691394658754</v>
      </c>
      <c r="V64" s="62" t="n">
        <v>3433</v>
      </c>
      <c r="W64" s="63" t="n">
        <v>0.0547268472736556</v>
      </c>
      <c r="X64" s="64" t="s">
        <v>171</v>
      </c>
      <c r="Y64" s="64" t="s">
        <v>167</v>
      </c>
    </row>
    <row r="65" customFormat="false" ht="15" hidden="false" customHeight="false" outlineLevel="0" collapsed="false">
      <c r="A65" s="32" t="s">
        <v>222</v>
      </c>
      <c r="B65" s="32" t="s">
        <v>225</v>
      </c>
      <c r="C65" s="32" t="s">
        <v>164</v>
      </c>
      <c r="D65" s="60" t="n">
        <f aca="false">ROUND(S65*T65,0)</f>
        <v>477</v>
      </c>
      <c r="E65" s="60" t="n">
        <f aca="false">ROUND(S65,0)-D65</f>
        <v>539</v>
      </c>
      <c r="F65" s="60" t="n">
        <f aca="false">IF(COUNTA(D65:E65)=0,"",SUM(D65:E65))</f>
        <v>1016</v>
      </c>
      <c r="G65" s="40" t="n">
        <f aca="false">IF(OR(F65="",F65=0),"",D65/F65)</f>
        <v>0.469488188976378</v>
      </c>
      <c r="H65" s="40" t="n">
        <f aca="false">IF(OR(F65="",F65=0),"",E65/F65)</f>
        <v>0.530511811023622</v>
      </c>
      <c r="I65" s="32" t="s">
        <v>165</v>
      </c>
      <c r="J65" s="36" t="n">
        <v>3.62720814427021</v>
      </c>
      <c r="K65" s="36" t="n">
        <f aca="false">$K$8</f>
        <v>2.11954916662514</v>
      </c>
      <c r="L65" s="36" t="n">
        <f aca="false">SQRT(J65^2+K65^2)</f>
        <v>4.20108647752001</v>
      </c>
      <c r="M65" s="40" t="n">
        <f aca="false">IF(G65="","",MAX(0,G65-1.96*L65/100))</f>
        <v>0.387146894016986</v>
      </c>
      <c r="N65" s="40" t="n">
        <f aca="false">IF(G65="","",MIN(1,G65+1.96*L65/100))</f>
        <v>0.55182948393577</v>
      </c>
      <c r="O65" s="60" t="n">
        <f aca="false">ROUND(S65*W65,0)</f>
        <v>74</v>
      </c>
      <c r="P65" s="60" t="n">
        <f aca="false">IF(F65="","",ROUND(SQRT((F65*L65/100)^2+(G65*O65)^2),0))</f>
        <v>55</v>
      </c>
      <c r="R65" s="61" t="n">
        <v>4.77621764363165</v>
      </c>
      <c r="S65" s="62" t="n">
        <f aca="false">U65*V65*$F$5</f>
        <v>1015.97556912826</v>
      </c>
      <c r="T65" s="63" t="n">
        <f aca="false">MAX(0,MIN(1,R65/100+$D$5))</f>
        <v>0.469560481512676</v>
      </c>
      <c r="U65" s="63" t="n">
        <v>0.529705719044975</v>
      </c>
      <c r="V65" s="62" t="n">
        <v>1918</v>
      </c>
      <c r="W65" s="63" t="n">
        <v>0.0732058935918866</v>
      </c>
      <c r="X65" s="64" t="s">
        <v>166</v>
      </c>
      <c r="Y65" s="64" t="s">
        <v>167</v>
      </c>
    </row>
    <row r="66" customFormat="false" ht="15" hidden="false" customHeight="false" outlineLevel="0" collapsed="false">
      <c r="A66" s="32" t="s">
        <v>222</v>
      </c>
      <c r="B66" s="32" t="s">
        <v>195</v>
      </c>
      <c r="C66" s="32" t="s">
        <v>164</v>
      </c>
      <c r="D66" s="60" t="n">
        <f aca="false">ROUND(S66*T66,0)</f>
        <v>12649</v>
      </c>
      <c r="E66" s="60" t="n">
        <f aca="false">ROUND(S66,0)-D66</f>
        <v>6323</v>
      </c>
      <c r="F66" s="60" t="n">
        <f aca="false">IF(COUNTA(D66:E66)=0,"",SUM(D66:E66))</f>
        <v>18972</v>
      </c>
      <c r="G66" s="40" t="n">
        <f aca="false">IF(OR(F66="",F66=0),"",D66/F66)</f>
        <v>0.666719375922412</v>
      </c>
      <c r="H66" s="40" t="n">
        <f aca="false">IF(OR(F66="",F66=0),"",E66/F66)</f>
        <v>0.333280624077588</v>
      </c>
      <c r="I66" s="32" t="s">
        <v>165</v>
      </c>
      <c r="J66" s="36" t="n">
        <v>2.09596675951885</v>
      </c>
      <c r="K66" s="36" t="n">
        <f aca="false">$K$8</f>
        <v>2.11954916662514</v>
      </c>
      <c r="L66" s="36" t="n">
        <f aca="false">SQRT(J66^2+K66^2)</f>
        <v>2.98086653957356</v>
      </c>
      <c r="M66" s="40" t="n">
        <f aca="false">IF(G66="","",MAX(0,G66-1.96*L66/100))</f>
        <v>0.60829439174677</v>
      </c>
      <c r="N66" s="40" t="n">
        <f aca="false">IF(G66="","",MIN(1,G66+1.96*L66/100))</f>
        <v>0.725144360098054</v>
      </c>
      <c r="O66" s="60" t="n">
        <f aca="false">ROUND(S66*W66,0)</f>
        <v>922</v>
      </c>
      <c r="P66" s="60" t="n">
        <f aca="false">IF(F66="","",ROUND(SQRT((F66*L66/100)^2+(G66*O66)^2),0))</f>
        <v>835</v>
      </c>
      <c r="R66" s="61" t="n">
        <v>24.4932869805144</v>
      </c>
      <c r="S66" s="62" t="n">
        <f aca="false">U66*V66*$F$5</f>
        <v>18972.4050126369</v>
      </c>
      <c r="T66" s="63" t="n">
        <f aca="false">MAX(0,MIN(1,R66/100+$D$5))</f>
        <v>0.666731174881504</v>
      </c>
      <c r="U66" s="63" t="n">
        <v>0.476358466722831</v>
      </c>
      <c r="V66" s="62" t="n">
        <v>39828</v>
      </c>
      <c r="W66" s="63" t="n">
        <v>0.0485820274397165</v>
      </c>
      <c r="X66" s="64" t="s">
        <v>187</v>
      </c>
      <c r="Y66" s="64" t="s">
        <v>167</v>
      </c>
    </row>
    <row r="67" customFormat="false" ht="15" hidden="false" customHeight="false" outlineLevel="0" collapsed="false">
      <c r="A67" s="32" t="s">
        <v>222</v>
      </c>
      <c r="B67" s="32" t="s">
        <v>226</v>
      </c>
      <c r="C67" s="32" t="s">
        <v>164</v>
      </c>
      <c r="D67" s="60" t="n">
        <f aca="false">ROUND(S67*T67,0)</f>
        <v>6808</v>
      </c>
      <c r="E67" s="60" t="n">
        <f aca="false">ROUND(S67,0)-D67</f>
        <v>5941</v>
      </c>
      <c r="F67" s="60" t="n">
        <f aca="false">IF(COUNTA(D67:E67)=0,"",SUM(D67:E67))</f>
        <v>12749</v>
      </c>
      <c r="G67" s="40" t="n">
        <f aca="false">IF(OR(F67="",F67=0),"",D67/F67)</f>
        <v>0.534002666875833</v>
      </c>
      <c r="H67" s="40" t="n">
        <f aca="false">IF(OR(F67="",F67=0),"",E67/F67)</f>
        <v>0.465997333124167</v>
      </c>
      <c r="I67" s="32" t="s">
        <v>165</v>
      </c>
      <c r="J67" s="36" t="n">
        <v>2.09596675951885</v>
      </c>
      <c r="K67" s="36" t="n">
        <f aca="false">$K$8</f>
        <v>2.11954916662514</v>
      </c>
      <c r="L67" s="36" t="n">
        <f aca="false">SQRT(J67^2+K67^2)</f>
        <v>2.98086653957356</v>
      </c>
      <c r="M67" s="40" t="n">
        <f aca="false">IF(G67="","",MAX(0,G67-1.96*L67/100))</f>
        <v>0.475577682700192</v>
      </c>
      <c r="N67" s="40" t="n">
        <f aca="false">IF(G67="","",MIN(1,G67+1.96*L67/100))</f>
        <v>0.592427651051475</v>
      </c>
      <c r="O67" s="60" t="n">
        <f aca="false">ROUND(S67*W67,0)</f>
        <v>619</v>
      </c>
      <c r="P67" s="60" t="n">
        <f aca="false">IF(F67="","",ROUND(SQRT((F67*L67/100)^2+(G67*O67)^2),0))</f>
        <v>504</v>
      </c>
      <c r="R67" s="61" t="n">
        <v>11.2229543216687</v>
      </c>
      <c r="S67" s="62" t="n">
        <f aca="false">U67*V67*$F$5</f>
        <v>12748.560475162</v>
      </c>
      <c r="T67" s="63" t="n">
        <f aca="false">MAX(0,MIN(1,R67/100+$D$5))</f>
        <v>0.534027848293046</v>
      </c>
      <c r="U67" s="63" t="n">
        <v>0.629589632829374</v>
      </c>
      <c r="V67" s="62" t="n">
        <v>20249</v>
      </c>
      <c r="W67" s="63" t="n">
        <v>0.0485820274397165</v>
      </c>
      <c r="X67" s="64" t="s">
        <v>187</v>
      </c>
      <c r="Y67" s="64" t="s">
        <v>167</v>
      </c>
    </row>
    <row r="68" customFormat="false" ht="15" hidden="false" customHeight="false" outlineLevel="0" collapsed="false">
      <c r="A68" s="32" t="s">
        <v>222</v>
      </c>
      <c r="B68" s="32" t="s">
        <v>227</v>
      </c>
      <c r="C68" s="32" t="s">
        <v>164</v>
      </c>
      <c r="D68" s="60" t="n">
        <f aca="false">ROUND(S68*T68,0)</f>
        <v>1690</v>
      </c>
      <c r="E68" s="60" t="n">
        <f aca="false">ROUND(S68,0)-D68</f>
        <v>2733</v>
      </c>
      <c r="F68" s="60" t="n">
        <f aca="false">IF(COUNTA(D68:E68)=0,"",SUM(D68:E68))</f>
        <v>4423</v>
      </c>
      <c r="G68" s="40" t="n">
        <f aca="false">IF(OR(F68="",F68=0),"",D68/F68)</f>
        <v>0.382093601627854</v>
      </c>
      <c r="H68" s="40" t="n">
        <f aca="false">IF(OR(F68="",F68=0),"",E68/F68)</f>
        <v>0.617906398372146</v>
      </c>
      <c r="I68" s="32" t="s">
        <v>165</v>
      </c>
      <c r="J68" s="36" t="n">
        <v>2.09596675951885</v>
      </c>
      <c r="K68" s="36" t="n">
        <f aca="false">$K$8</f>
        <v>2.11954916662514</v>
      </c>
      <c r="L68" s="36" t="n">
        <f aca="false">SQRT(J68^2+K68^2)</f>
        <v>2.98086653957356</v>
      </c>
      <c r="M68" s="40" t="n">
        <f aca="false">IF(G68="","",MAX(0,G68-1.96*L68/100))</f>
        <v>0.323668617452213</v>
      </c>
      <c r="N68" s="40" t="n">
        <f aca="false">IF(G68="","",MIN(1,G68+1.96*L68/100))</f>
        <v>0.440518585803496</v>
      </c>
      <c r="O68" s="60" t="n">
        <f aca="false">ROUND(S68*W68,0)</f>
        <v>215</v>
      </c>
      <c r="P68" s="60" t="n">
        <f aca="false">IF(F68="","",ROUND(SQRT((F68*L68/100)^2+(G68*O68)^2),0))</f>
        <v>155</v>
      </c>
      <c r="R68" s="61" t="n">
        <v>-3.97635392167406</v>
      </c>
      <c r="S68" s="62" t="n">
        <f aca="false">U68*V68*$F$5</f>
        <v>4422.68236877524</v>
      </c>
      <c r="T68" s="63" t="n">
        <f aca="false">MAX(0,MIN(1,R68/100+$D$5))</f>
        <v>0.382034765859619</v>
      </c>
      <c r="U68" s="63" t="n">
        <v>0.657843577089876</v>
      </c>
      <c r="V68" s="62" t="n">
        <v>6723</v>
      </c>
      <c r="W68" s="63" t="n">
        <v>0.0485820274397165</v>
      </c>
      <c r="X68" s="64" t="s">
        <v>187</v>
      </c>
      <c r="Y68" s="64" t="s">
        <v>167</v>
      </c>
    </row>
    <row r="69" customFormat="false" ht="15" hidden="false" customHeight="false" outlineLevel="0" collapsed="false">
      <c r="A69" s="32" t="s">
        <v>222</v>
      </c>
      <c r="B69" s="32" t="s">
        <v>228</v>
      </c>
      <c r="C69" s="32" t="s">
        <v>164</v>
      </c>
      <c r="D69" s="60" t="n">
        <f aca="false">ROUND(S69*T69,0)</f>
        <v>35</v>
      </c>
      <c r="E69" s="60" t="n">
        <f aca="false">ROUND(S69,0)-D69</f>
        <v>62</v>
      </c>
      <c r="F69" s="60" t="n">
        <f aca="false">IF(COUNTA(D69:E69)=0,"",SUM(D69:E69))</f>
        <v>97</v>
      </c>
      <c r="G69" s="40" t="n">
        <f aca="false">IF(OR(F69="",F69=0),"",D69/F69)</f>
        <v>0.360824742268041</v>
      </c>
      <c r="H69" s="40" t="n">
        <f aca="false">IF(OR(F69="",F69=0),"",E69/F69)</f>
        <v>0.639175257731959</v>
      </c>
      <c r="I69" s="32" t="s">
        <v>165</v>
      </c>
      <c r="J69" s="36" t="n">
        <v>3.62720814427021</v>
      </c>
      <c r="K69" s="36" t="n">
        <f aca="false">$K$8</f>
        <v>2.11954916662514</v>
      </c>
      <c r="L69" s="36" t="n">
        <f aca="false">SQRT(J69^2+K69^2)</f>
        <v>4.20108647752001</v>
      </c>
      <c r="M69" s="40" t="n">
        <f aca="false">IF(G69="","",MAX(0,G69-1.96*L69/100))</f>
        <v>0.278483447308649</v>
      </c>
      <c r="N69" s="40" t="n">
        <f aca="false">IF(G69="","",MIN(1,G69+1.96*L69/100))</f>
        <v>0.443166037227433</v>
      </c>
      <c r="O69" s="60" t="n">
        <f aca="false">ROUND(S69*W69,0)</f>
        <v>7</v>
      </c>
      <c r="P69" s="60" t="n">
        <f aca="false">IF(F69="","",ROUND(SQRT((F69*L69/100)^2+(G69*O69)^2),0))</f>
        <v>5</v>
      </c>
      <c r="R69" s="61" t="n">
        <v>-6.28381407877446</v>
      </c>
      <c r="S69" s="62" t="n">
        <f aca="false">U69*V69*$F$5</f>
        <v>97.2992700729927</v>
      </c>
      <c r="T69" s="63" t="n">
        <f aca="false">MAX(0,MIN(1,R69/100+$D$5))</f>
        <v>0.358960164288615</v>
      </c>
      <c r="U69" s="63" t="n">
        <v>0.627737226277372</v>
      </c>
      <c r="V69" s="62" t="n">
        <v>155</v>
      </c>
      <c r="W69" s="63" t="n">
        <v>0.0732058935918866</v>
      </c>
      <c r="X69" s="64" t="s">
        <v>166</v>
      </c>
      <c r="Y69" s="64" t="s">
        <v>167</v>
      </c>
    </row>
    <row r="70" customFormat="false" ht="15" hidden="false" customHeight="false" outlineLevel="0" collapsed="false">
      <c r="A70" s="32" t="s">
        <v>222</v>
      </c>
      <c r="B70" s="32" t="s">
        <v>229</v>
      </c>
      <c r="C70" s="32" t="s">
        <v>164</v>
      </c>
      <c r="D70" s="60" t="n">
        <f aca="false">ROUND(S70*T70,0)</f>
        <v>1128</v>
      </c>
      <c r="E70" s="60" t="n">
        <f aca="false">ROUND(S70,0)-D70</f>
        <v>1513</v>
      </c>
      <c r="F70" s="60" t="n">
        <f aca="false">IF(COUNTA(D70:E70)=0,"",SUM(D70:E70))</f>
        <v>2641</v>
      </c>
      <c r="G70" s="40" t="n">
        <f aca="false">IF(OR(F70="",F70=0),"",D70/F70)</f>
        <v>0.427110942824688</v>
      </c>
      <c r="H70" s="40" t="n">
        <f aca="false">IF(OR(F70="",F70=0),"",E70/F70)</f>
        <v>0.572889057175312</v>
      </c>
      <c r="I70" s="32" t="s">
        <v>165</v>
      </c>
      <c r="J70" s="36" t="n">
        <v>1.74942827115577</v>
      </c>
      <c r="K70" s="36" t="n">
        <f aca="false">$K$8</f>
        <v>2.11954916662514</v>
      </c>
      <c r="L70" s="36" t="n">
        <f aca="false">SQRT(J70^2+K70^2)</f>
        <v>2.74826999140557</v>
      </c>
      <c r="M70" s="40" t="n">
        <f aca="false">IF(G70="","",MAX(0,G70-1.96*L70/100))</f>
        <v>0.373244850993139</v>
      </c>
      <c r="N70" s="40" t="n">
        <f aca="false">IF(G70="","",MIN(1,G70+1.96*L70/100))</f>
        <v>0.480977034656237</v>
      </c>
      <c r="O70" s="60" t="n">
        <f aca="false">ROUND(S70*W70,0)</f>
        <v>145</v>
      </c>
      <c r="P70" s="60" t="n">
        <f aca="false">IF(F70="","",ROUND(SQRT((F70*L70/100)^2+(G70*O70)^2),0))</f>
        <v>95</v>
      </c>
      <c r="R70" s="61" t="n">
        <v>0.527395257900768</v>
      </c>
      <c r="S70" s="62" t="n">
        <f aca="false">U70*V70*$F$5</f>
        <v>2640.91189093663</v>
      </c>
      <c r="T70" s="63" t="n">
        <f aca="false">MAX(0,MIN(1,R70/100+$D$5))</f>
        <v>0.427072257655367</v>
      </c>
      <c r="U70" s="63" t="n">
        <v>0.635445594546832</v>
      </c>
      <c r="V70" s="62" t="n">
        <v>4156</v>
      </c>
      <c r="W70" s="63" t="n">
        <v>0.0547268472736556</v>
      </c>
      <c r="X70" s="64" t="s">
        <v>171</v>
      </c>
      <c r="Y70" s="64" t="s">
        <v>167</v>
      </c>
    </row>
    <row r="71" customFormat="false" ht="15" hidden="false" customHeight="false" outlineLevel="0" collapsed="false">
      <c r="A71" s="32" t="s">
        <v>222</v>
      </c>
      <c r="B71" s="32" t="s">
        <v>230</v>
      </c>
      <c r="C71" s="32" t="s">
        <v>164</v>
      </c>
      <c r="D71" s="60" t="n">
        <f aca="false">ROUND(S71*T71,0)</f>
        <v>140</v>
      </c>
      <c r="E71" s="60" t="n">
        <f aca="false">ROUND(S71,0)-D71</f>
        <v>220</v>
      </c>
      <c r="F71" s="60" t="n">
        <f aca="false">IF(COUNTA(D71:E71)=0,"",SUM(D71:E71))</f>
        <v>360</v>
      </c>
      <c r="G71" s="40" t="n">
        <f aca="false">IF(OR(F71="",F71=0),"",D71/F71)</f>
        <v>0.388888888888889</v>
      </c>
      <c r="H71" s="40" t="n">
        <f aca="false">IF(OR(F71="",F71=0),"",E71/F71)</f>
        <v>0.611111111111111</v>
      </c>
      <c r="I71" s="32" t="s">
        <v>165</v>
      </c>
      <c r="J71" s="36" t="n">
        <v>3.62720814427021</v>
      </c>
      <c r="K71" s="36" t="n">
        <f aca="false">$K$8</f>
        <v>2.11954916662514</v>
      </c>
      <c r="L71" s="36" t="n">
        <f aca="false">SQRT(J71^2+K71^2)</f>
        <v>4.20108647752001</v>
      </c>
      <c r="M71" s="40" t="n">
        <f aca="false">IF(G71="","",MAX(0,G71-1.96*L71/100))</f>
        <v>0.306547593929497</v>
      </c>
      <c r="N71" s="40" t="n">
        <f aca="false">IF(G71="","",MIN(1,G71+1.96*L71/100))</f>
        <v>0.471230183848281</v>
      </c>
      <c r="O71" s="60" t="n">
        <f aca="false">ROUND(S71*W71,0)</f>
        <v>26</v>
      </c>
      <c r="P71" s="60" t="n">
        <f aca="false">IF(F71="","",ROUND(SQRT((F71*L71/100)^2+(G71*O71)^2),0))</f>
        <v>18</v>
      </c>
      <c r="R71" s="61" t="n">
        <v>-3.4510038128222</v>
      </c>
      <c r="S71" s="62" t="n">
        <f aca="false">U71*V71*$F$5</f>
        <v>360.236842105263</v>
      </c>
      <c r="T71" s="63" t="n">
        <f aca="false">MAX(0,MIN(1,R71/100+$D$5))</f>
        <v>0.387288266948138</v>
      </c>
      <c r="U71" s="63" t="n">
        <v>0.513157894736842</v>
      </c>
      <c r="V71" s="62" t="n">
        <v>702</v>
      </c>
      <c r="W71" s="63" t="n">
        <v>0.0732058935918866</v>
      </c>
      <c r="X71" s="64" t="s">
        <v>166</v>
      </c>
      <c r="Y71" s="64" t="s">
        <v>167</v>
      </c>
    </row>
    <row r="72" customFormat="false" ht="15" hidden="false" customHeight="false" outlineLevel="0" collapsed="false">
      <c r="A72" s="32" t="s">
        <v>222</v>
      </c>
      <c r="B72" s="32" t="s">
        <v>231</v>
      </c>
      <c r="C72" s="32" t="s">
        <v>164</v>
      </c>
      <c r="D72" s="60" t="n">
        <f aca="false">ROUND(S72*T72,0)</f>
        <v>5101</v>
      </c>
      <c r="E72" s="60" t="n">
        <f aca="false">ROUND(S72,0)-D72</f>
        <v>2196</v>
      </c>
      <c r="F72" s="60" t="n">
        <f aca="false">IF(COUNTA(D72:E72)=0,"",SUM(D72:E72))</f>
        <v>7297</v>
      </c>
      <c r="G72" s="40" t="n">
        <f aca="false">IF(OR(F72="",F72=0),"",D72/F72)</f>
        <v>0.699054405920241</v>
      </c>
      <c r="H72" s="40" t="n">
        <f aca="false">IF(OR(F72="",F72=0),"",E72/F72)</f>
        <v>0.300945594079759</v>
      </c>
      <c r="I72" s="32" t="s">
        <v>165</v>
      </c>
      <c r="J72" s="36" t="n">
        <v>2.09596675951885</v>
      </c>
      <c r="K72" s="36" t="n">
        <f aca="false">$K$8</f>
        <v>2.11954916662514</v>
      </c>
      <c r="L72" s="36" t="n">
        <f aca="false">SQRT(J72^2+K72^2)</f>
        <v>2.98086653957356</v>
      </c>
      <c r="M72" s="40" t="n">
        <f aca="false">IF(G72="","",MAX(0,G72-1.96*L72/100))</f>
        <v>0.640629421744599</v>
      </c>
      <c r="N72" s="40" t="n">
        <f aca="false">IF(G72="","",MIN(1,G72+1.96*L72/100))</f>
        <v>0.757479390095883</v>
      </c>
      <c r="O72" s="60" t="n">
        <f aca="false">ROUND(S72*W72,0)</f>
        <v>355</v>
      </c>
      <c r="P72" s="60" t="n">
        <f aca="false">IF(F72="","",ROUND(SQRT((F72*L72/100)^2+(G72*O72)^2),0))</f>
        <v>330</v>
      </c>
      <c r="R72" s="61" t="n">
        <v>27.727753634666</v>
      </c>
      <c r="S72" s="62" t="n">
        <f aca="false">U72*V72*$F$5</f>
        <v>7297.15979682392</v>
      </c>
      <c r="T72" s="63" t="n">
        <f aca="false">MAX(0,MIN(1,R72/100+$D$5))</f>
        <v>0.69907584142302</v>
      </c>
      <c r="U72" s="63" t="n">
        <v>0.414117234936945</v>
      </c>
      <c r="V72" s="62" t="n">
        <v>17621</v>
      </c>
      <c r="W72" s="63" t="n">
        <v>0.0485820274397165</v>
      </c>
      <c r="X72" s="64" t="s">
        <v>187</v>
      </c>
      <c r="Y72" s="64" t="s">
        <v>167</v>
      </c>
    </row>
    <row r="73" customFormat="false" ht="15" hidden="false" customHeight="false" outlineLevel="0" collapsed="false">
      <c r="A73" s="32" t="s">
        <v>222</v>
      </c>
      <c r="B73" s="32" t="s">
        <v>232</v>
      </c>
      <c r="C73" s="32" t="s">
        <v>164</v>
      </c>
      <c r="D73" s="60" t="n">
        <f aca="false">ROUND(S73*T73,0)</f>
        <v>4226</v>
      </c>
      <c r="E73" s="60" t="n">
        <f aca="false">ROUND(S73,0)-D73</f>
        <v>3949</v>
      </c>
      <c r="F73" s="60" t="n">
        <f aca="false">IF(COUNTA(D73:E73)=0,"",SUM(D73:E73))</f>
        <v>8175</v>
      </c>
      <c r="G73" s="40" t="n">
        <f aca="false">IF(OR(F73="",F73=0),"",D73/F73)</f>
        <v>0.516941896024465</v>
      </c>
      <c r="H73" s="40" t="n">
        <f aca="false">IF(OR(F73="",F73=0),"",E73/F73)</f>
        <v>0.483058103975535</v>
      </c>
      <c r="I73" s="32" t="s">
        <v>165</v>
      </c>
      <c r="J73" s="36" t="n">
        <v>2.09596675951885</v>
      </c>
      <c r="K73" s="36" t="n">
        <f aca="false">$K$8</f>
        <v>2.11954916662514</v>
      </c>
      <c r="L73" s="36" t="n">
        <f aca="false">SQRT(J73^2+K73^2)</f>
        <v>2.98086653957356</v>
      </c>
      <c r="M73" s="40" t="n">
        <f aca="false">IF(G73="","",MAX(0,G73-1.96*L73/100))</f>
        <v>0.458516911848823</v>
      </c>
      <c r="N73" s="40" t="n">
        <f aca="false">IF(G73="","",MIN(1,G73+1.96*L73/100))</f>
        <v>0.575366880200107</v>
      </c>
      <c r="O73" s="60" t="n">
        <f aca="false">ROUND(S73*W73,0)</f>
        <v>397</v>
      </c>
      <c r="P73" s="60" t="n">
        <f aca="false">IF(F73="","",ROUND(SQRT((F73*L73/100)^2+(G73*O73)^2),0))</f>
        <v>319</v>
      </c>
      <c r="R73" s="61" t="n">
        <v>9.51863912101254</v>
      </c>
      <c r="S73" s="62" t="n">
        <f aca="false">U73*V73*$F$5</f>
        <v>8175.00272606901</v>
      </c>
      <c r="T73" s="63" t="n">
        <f aca="false">MAX(0,MIN(1,R73/100+$D$5))</f>
        <v>0.516984696286485</v>
      </c>
      <c r="U73" s="63" t="n">
        <v>0.618428226497391</v>
      </c>
      <c r="V73" s="62" t="n">
        <v>13219</v>
      </c>
      <c r="W73" s="63" t="n">
        <v>0.0485820274397165</v>
      </c>
      <c r="X73" s="64" t="s">
        <v>187</v>
      </c>
      <c r="Y73" s="64" t="s">
        <v>167</v>
      </c>
    </row>
    <row r="74" customFormat="false" ht="15" hidden="false" customHeight="false" outlineLevel="0" collapsed="false">
      <c r="A74" s="32" t="s">
        <v>222</v>
      </c>
      <c r="B74" s="32" t="s">
        <v>233</v>
      </c>
      <c r="C74" s="32" t="s">
        <v>164</v>
      </c>
      <c r="D74" s="60" t="n">
        <f aca="false">ROUND(S74*T74,0)</f>
        <v>483</v>
      </c>
      <c r="E74" s="60" t="n">
        <f aca="false">ROUND(S74,0)-D74</f>
        <v>328</v>
      </c>
      <c r="F74" s="60" t="n">
        <f aca="false">IF(COUNTA(D74:E74)=0,"",SUM(D74:E74))</f>
        <v>811</v>
      </c>
      <c r="G74" s="40" t="n">
        <f aca="false">IF(OR(F74="",F74=0),"",D74/F74)</f>
        <v>0.595561035758323</v>
      </c>
      <c r="H74" s="40" t="n">
        <f aca="false">IF(OR(F74="",F74=0),"",E74/F74)</f>
        <v>0.404438964241677</v>
      </c>
      <c r="I74" s="32" t="s">
        <v>165</v>
      </c>
      <c r="J74" s="36" t="n">
        <v>3.62720814427021</v>
      </c>
      <c r="K74" s="36" t="n">
        <f aca="false">$K$8</f>
        <v>2.11954916662514</v>
      </c>
      <c r="L74" s="36" t="n">
        <f aca="false">SQRT(J74^2+K74^2)</f>
        <v>4.20108647752001</v>
      </c>
      <c r="M74" s="40" t="n">
        <f aca="false">IF(G74="","",MAX(0,G74-1.96*L74/100))</f>
        <v>0.513219740798931</v>
      </c>
      <c r="N74" s="40" t="n">
        <f aca="false">IF(G74="","",MIN(1,G74+1.96*L74/100))</f>
        <v>0.677902330717715</v>
      </c>
      <c r="O74" s="60" t="n">
        <f aca="false">ROUND(S74*W74,0)</f>
        <v>59</v>
      </c>
      <c r="P74" s="60" t="n">
        <f aca="false">IF(F74="","",ROUND(SQRT((F74*L74/100)^2+(G74*O74)^2),0))</f>
        <v>49</v>
      </c>
      <c r="R74" s="61" t="n">
        <v>17.3772269678229</v>
      </c>
      <c r="S74" s="62" t="n">
        <f aca="false">U74*V74*$F$5</f>
        <v>811.272251308901</v>
      </c>
      <c r="T74" s="63" t="n">
        <f aca="false">MAX(0,MIN(1,R74/100+$D$5))</f>
        <v>0.595570574754589</v>
      </c>
      <c r="U74" s="63" t="n">
        <v>0.424083769633508</v>
      </c>
      <c r="V74" s="62" t="n">
        <v>1913</v>
      </c>
      <c r="W74" s="63" t="n">
        <v>0.0732058935918866</v>
      </c>
      <c r="X74" s="64" t="s">
        <v>166</v>
      </c>
      <c r="Y74" s="64" t="s">
        <v>167</v>
      </c>
    </row>
    <row r="75" customFormat="false" ht="15" hidden="false" customHeight="false" outlineLevel="0" collapsed="false">
      <c r="A75" s="32" t="s">
        <v>222</v>
      </c>
      <c r="B75" s="32" t="s">
        <v>234</v>
      </c>
      <c r="C75" s="32" t="s">
        <v>164</v>
      </c>
      <c r="D75" s="60" t="n">
        <f aca="false">ROUND(S75*T75,0)</f>
        <v>74</v>
      </c>
      <c r="E75" s="60" t="n">
        <f aca="false">ROUND(S75,0)-D75</f>
        <v>70</v>
      </c>
      <c r="F75" s="60" t="n">
        <f aca="false">IF(COUNTA(D75:E75)=0,"",SUM(D75:E75))</f>
        <v>144</v>
      </c>
      <c r="G75" s="40" t="n">
        <f aca="false">IF(OR(F75="",F75=0),"",D75/F75)</f>
        <v>0.513888888888889</v>
      </c>
      <c r="H75" s="40" t="n">
        <f aca="false">IF(OR(F75="",F75=0),"",E75/F75)</f>
        <v>0.486111111111111</v>
      </c>
      <c r="I75" s="32" t="s">
        <v>165</v>
      </c>
      <c r="J75" s="36" t="n">
        <v>3.62720814427021</v>
      </c>
      <c r="K75" s="36" t="n">
        <f aca="false">$K$8</f>
        <v>2.11954916662514</v>
      </c>
      <c r="L75" s="36" t="n">
        <f aca="false">SQRT(J75^2+K75^2)</f>
        <v>4.20108647752001</v>
      </c>
      <c r="M75" s="40" t="n">
        <f aca="false">IF(G75="","",MAX(0,G75-1.96*L75/100))</f>
        <v>0.431547593929497</v>
      </c>
      <c r="N75" s="40" t="n">
        <f aca="false">IF(G75="","",MIN(1,G75+1.96*L75/100))</f>
        <v>0.596230183848281</v>
      </c>
      <c r="O75" s="60" t="n">
        <f aca="false">ROUND(S75*W75,0)</f>
        <v>11</v>
      </c>
      <c r="P75" s="60" t="n">
        <f aca="false">IF(F75="","",ROUND(SQRT((F75*L75/100)^2+(G75*O75)^2),0))</f>
        <v>8</v>
      </c>
      <c r="R75" s="61" t="n">
        <v>9.33320512952345</v>
      </c>
      <c r="S75" s="62" t="n">
        <f aca="false">U75*V75*$F$5</f>
        <v>143.630597014925</v>
      </c>
      <c r="T75" s="63" t="n">
        <f aca="false">MAX(0,MIN(1,R75/100+$D$5))</f>
        <v>0.515130356371594</v>
      </c>
      <c r="U75" s="63" t="n">
        <v>0.526119402985075</v>
      </c>
      <c r="V75" s="62" t="n">
        <v>273</v>
      </c>
      <c r="W75" s="63" t="n">
        <v>0.0732058935918866</v>
      </c>
      <c r="X75" s="64" t="s">
        <v>166</v>
      </c>
      <c r="Y75" s="64" t="s">
        <v>167</v>
      </c>
    </row>
    <row r="76" customFormat="false" ht="15" hidden="false" customHeight="false" outlineLevel="0" collapsed="false">
      <c r="A76" s="32" t="s">
        <v>222</v>
      </c>
      <c r="B76" s="32" t="s">
        <v>201</v>
      </c>
      <c r="C76" s="32" t="s">
        <v>164</v>
      </c>
      <c r="D76" s="60" t="n">
        <f aca="false">ROUND(S76*T76,0)</f>
        <v>3466</v>
      </c>
      <c r="E76" s="60" t="n">
        <f aca="false">ROUND(S76,0)-D76</f>
        <v>2957</v>
      </c>
      <c r="F76" s="60" t="n">
        <f aca="false">IF(COUNTA(D76:E76)=0,"",SUM(D76:E76))</f>
        <v>6423</v>
      </c>
      <c r="G76" s="40" t="n">
        <f aca="false">IF(OR(F76="",F76=0),"",D76/F76)</f>
        <v>0.539623229020707</v>
      </c>
      <c r="H76" s="40" t="n">
        <f aca="false">IF(OR(F76="",F76=0),"",E76/F76)</f>
        <v>0.460376770979293</v>
      </c>
      <c r="I76" s="32" t="s">
        <v>165</v>
      </c>
      <c r="J76" s="36" t="n">
        <v>2.09596675951885</v>
      </c>
      <c r="K76" s="36" t="n">
        <f aca="false">$K$8</f>
        <v>2.11954916662514</v>
      </c>
      <c r="L76" s="36" t="n">
        <f aca="false">SQRT(J76^2+K76^2)</f>
        <v>2.98086653957356</v>
      </c>
      <c r="M76" s="40" t="n">
        <f aca="false">IF(G76="","",MAX(0,G76-1.96*L76/100))</f>
        <v>0.481198244845065</v>
      </c>
      <c r="N76" s="40" t="n">
        <f aca="false">IF(G76="","",MIN(1,G76+1.96*L76/100))</f>
        <v>0.598048213196349</v>
      </c>
      <c r="O76" s="60" t="n">
        <f aca="false">ROUND(S76*W76,0)</f>
        <v>312</v>
      </c>
      <c r="P76" s="60" t="n">
        <f aca="false">IF(F76="","",ROUND(SQRT((F76*L76/100)^2+(G76*O76)^2),0))</f>
        <v>255</v>
      </c>
      <c r="R76" s="61" t="n">
        <v>11.7775774468222</v>
      </c>
      <c r="S76" s="62" t="n">
        <f aca="false">U76*V76*$F$5</f>
        <v>6422.70106427379</v>
      </c>
      <c r="T76" s="63" t="n">
        <f aca="false">MAX(0,MIN(1,R76/100+$D$5))</f>
        <v>0.539574079544582</v>
      </c>
      <c r="U76" s="63" t="n">
        <v>0.673309682804674</v>
      </c>
      <c r="V76" s="62" t="n">
        <v>9539</v>
      </c>
      <c r="W76" s="63" t="n">
        <v>0.0485820274397165</v>
      </c>
      <c r="X76" s="64" t="s">
        <v>187</v>
      </c>
      <c r="Y76" s="64" t="s">
        <v>167</v>
      </c>
    </row>
    <row r="77" customFormat="false" ht="15" hidden="false" customHeight="false" outlineLevel="0" collapsed="false">
      <c r="A77" s="32" t="s">
        <v>222</v>
      </c>
      <c r="B77" s="32" t="s">
        <v>235</v>
      </c>
      <c r="C77" s="32" t="s">
        <v>164</v>
      </c>
      <c r="D77" s="60" t="n">
        <f aca="false">ROUND(S77*T77,0)</f>
        <v>1357</v>
      </c>
      <c r="E77" s="60" t="n">
        <f aca="false">ROUND(S77,0)-D77</f>
        <v>1271</v>
      </c>
      <c r="F77" s="60" t="n">
        <f aca="false">IF(COUNTA(D77:E77)=0,"",SUM(D77:E77))</f>
        <v>2628</v>
      </c>
      <c r="G77" s="40" t="n">
        <f aca="false">IF(OR(F77="",F77=0),"",D77/F77)</f>
        <v>0.516362252663623</v>
      </c>
      <c r="H77" s="40" t="n">
        <f aca="false">IF(OR(F77="",F77=0),"",E77/F77)</f>
        <v>0.483637747336378</v>
      </c>
      <c r="I77" s="32" t="s">
        <v>165</v>
      </c>
      <c r="J77" s="36" t="n">
        <v>1.74942827115577</v>
      </c>
      <c r="K77" s="36" t="n">
        <f aca="false">$K$8</f>
        <v>2.11954916662514</v>
      </c>
      <c r="L77" s="36" t="n">
        <f aca="false">SQRT(J77^2+K77^2)</f>
        <v>2.74826999140557</v>
      </c>
      <c r="M77" s="40" t="n">
        <f aca="false">IF(G77="","",MAX(0,G77-1.96*L77/100))</f>
        <v>0.462496160832073</v>
      </c>
      <c r="N77" s="40" t="n">
        <f aca="false">IF(G77="","",MIN(1,G77+1.96*L77/100))</f>
        <v>0.570228344495172</v>
      </c>
      <c r="O77" s="60" t="n">
        <f aca="false">ROUND(S77*W77,0)</f>
        <v>144</v>
      </c>
      <c r="P77" s="60" t="n">
        <f aca="false">IF(F77="","",ROUND(SQRT((F77*L77/100)^2+(G77*O77)^2),0))</f>
        <v>104</v>
      </c>
      <c r="R77" s="61" t="n">
        <v>9.45467612941054</v>
      </c>
      <c r="S77" s="62" t="n">
        <f aca="false">U77*V77*$F$5</f>
        <v>2628.02463970246</v>
      </c>
      <c r="T77" s="63" t="n">
        <f aca="false">MAX(0,MIN(1,R77/100+$D$5))</f>
        <v>0.516345066370465</v>
      </c>
      <c r="U77" s="63" t="n">
        <v>0.598093909809391</v>
      </c>
      <c r="V77" s="62" t="n">
        <v>4394</v>
      </c>
      <c r="W77" s="63" t="n">
        <v>0.0547268472736556</v>
      </c>
      <c r="X77" s="64" t="s">
        <v>171</v>
      </c>
      <c r="Y77" s="64" t="s">
        <v>167</v>
      </c>
    </row>
    <row r="78" customFormat="false" ht="15" hidden="false" customHeight="false" outlineLevel="0" collapsed="false">
      <c r="A78" s="32" t="s">
        <v>222</v>
      </c>
      <c r="B78" s="32" t="s">
        <v>236</v>
      </c>
      <c r="C78" s="32" t="s">
        <v>164</v>
      </c>
      <c r="D78" s="60" t="n">
        <f aca="false">ROUND(S78*T78,0)</f>
        <v>1790</v>
      </c>
      <c r="E78" s="60" t="n">
        <f aca="false">ROUND(S78,0)-D78</f>
        <v>3549</v>
      </c>
      <c r="F78" s="60" t="n">
        <f aca="false">IF(COUNTA(D78:E78)=0,"",SUM(D78:E78))</f>
        <v>5339</v>
      </c>
      <c r="G78" s="40" t="n">
        <f aca="false">IF(OR(F78="",F78=0),"",D78/F78)</f>
        <v>0.335268776924518</v>
      </c>
      <c r="H78" s="40" t="n">
        <f aca="false">IF(OR(F78="",F78=0),"",E78/F78)</f>
        <v>0.664731223075482</v>
      </c>
      <c r="I78" s="32" t="s">
        <v>165</v>
      </c>
      <c r="J78" s="36" t="n">
        <v>2.09596675951885</v>
      </c>
      <c r="K78" s="36" t="n">
        <f aca="false">$K$8</f>
        <v>2.11954916662514</v>
      </c>
      <c r="L78" s="36" t="n">
        <f aca="false">SQRT(J78^2+K78^2)</f>
        <v>2.98086653957356</v>
      </c>
      <c r="M78" s="40" t="n">
        <f aca="false">IF(G78="","",MAX(0,G78-1.96*L78/100))</f>
        <v>0.276843792748876</v>
      </c>
      <c r="N78" s="40" t="n">
        <f aca="false">IF(G78="","",MIN(1,G78+1.96*L78/100))</f>
        <v>0.393693761100159</v>
      </c>
      <c r="O78" s="60" t="n">
        <f aca="false">ROUND(S78*W78,0)</f>
        <v>259</v>
      </c>
      <c r="P78" s="60" t="n">
        <f aca="false">IF(F78="","",ROUND(SQRT((F78*L78/100)^2+(G78*O78)^2),0))</f>
        <v>181</v>
      </c>
      <c r="R78" s="61" t="n">
        <v>-8.64561387288921</v>
      </c>
      <c r="S78" s="62" t="n">
        <f aca="false">U78*V78*$F$5</f>
        <v>5339.13569131833</v>
      </c>
      <c r="T78" s="63" t="n">
        <f aca="false">MAX(0,MIN(1,R78/100+$D$5))</f>
        <v>0.335342166347468</v>
      </c>
      <c r="U78" s="63" t="n">
        <v>0.656720257234727</v>
      </c>
      <c r="V78" s="62" t="n">
        <v>8130</v>
      </c>
      <c r="W78" s="63" t="n">
        <v>0.0485820274397165</v>
      </c>
      <c r="X78" s="64" t="s">
        <v>187</v>
      </c>
      <c r="Y78" s="64" t="s">
        <v>167</v>
      </c>
    </row>
    <row r="79" customFormat="false" ht="15" hidden="false" customHeight="false" outlineLevel="0" collapsed="false">
      <c r="A79" s="32" t="s">
        <v>222</v>
      </c>
      <c r="B79" s="32" t="s">
        <v>237</v>
      </c>
      <c r="C79" s="32" t="s">
        <v>164</v>
      </c>
      <c r="D79" s="60" t="n">
        <f aca="false">ROUND(S79*T79,0)</f>
        <v>492</v>
      </c>
      <c r="E79" s="60" t="n">
        <f aca="false">ROUND(S79,0)-D79</f>
        <v>946</v>
      </c>
      <c r="F79" s="60" t="n">
        <f aca="false">IF(COUNTA(D79:E79)=0,"",SUM(D79:E79))</f>
        <v>1438</v>
      </c>
      <c r="G79" s="40" t="n">
        <f aca="false">IF(OR(F79="",F79=0),"",D79/F79)</f>
        <v>0.342141863699583</v>
      </c>
      <c r="H79" s="40" t="n">
        <f aca="false">IF(OR(F79="",F79=0),"",E79/F79)</f>
        <v>0.657858136300417</v>
      </c>
      <c r="I79" s="32" t="s">
        <v>165</v>
      </c>
      <c r="J79" s="36" t="n">
        <v>1.74942827115577</v>
      </c>
      <c r="K79" s="36" t="n">
        <f aca="false">$K$8</f>
        <v>2.11954916662514</v>
      </c>
      <c r="L79" s="36" t="n">
        <f aca="false">SQRT(J79^2+K79^2)</f>
        <v>2.74826999140557</v>
      </c>
      <c r="M79" s="40" t="n">
        <f aca="false">IF(G79="","",MAX(0,G79-1.96*L79/100))</f>
        <v>0.288275771868034</v>
      </c>
      <c r="N79" s="40" t="n">
        <f aca="false">IF(G79="","",MIN(1,G79+1.96*L79/100))</f>
        <v>0.396007955531132</v>
      </c>
      <c r="O79" s="60" t="n">
        <f aca="false">ROUND(S79*W79,0)</f>
        <v>79</v>
      </c>
      <c r="P79" s="60" t="n">
        <f aca="false">IF(F79="","",ROUND(SQRT((F79*L79/100)^2+(G79*O79)^2),0))</f>
        <v>48</v>
      </c>
      <c r="R79" s="61" t="n">
        <v>-7.96730618690882</v>
      </c>
      <c r="S79" s="62" t="n">
        <f aca="false">U79*V79*$F$5</f>
        <v>1437.5</v>
      </c>
      <c r="T79" s="63" t="n">
        <f aca="false">MAX(0,MIN(1,R79/100+$D$5))</f>
        <v>0.342125243207271</v>
      </c>
      <c r="U79" s="63" t="n">
        <v>0.625</v>
      </c>
      <c r="V79" s="62" t="n">
        <v>2300</v>
      </c>
      <c r="W79" s="63" t="n">
        <v>0.0547268472736556</v>
      </c>
      <c r="X79" s="64" t="s">
        <v>171</v>
      </c>
      <c r="Y79" s="64" t="s">
        <v>167</v>
      </c>
    </row>
    <row r="80" customFormat="false" ht="15" hidden="false" customHeight="false" outlineLevel="0" collapsed="false">
      <c r="A80" s="32" t="s">
        <v>222</v>
      </c>
      <c r="B80" s="32" t="s">
        <v>238</v>
      </c>
      <c r="C80" s="32" t="s">
        <v>164</v>
      </c>
      <c r="D80" s="60" t="n">
        <f aca="false">ROUND(S80*T80,0)</f>
        <v>1600</v>
      </c>
      <c r="E80" s="60" t="n">
        <f aca="false">ROUND(S80,0)-D80</f>
        <v>2122</v>
      </c>
      <c r="F80" s="60" t="n">
        <f aca="false">IF(COUNTA(D80:E80)=0,"",SUM(D80:E80))</f>
        <v>3722</v>
      </c>
      <c r="G80" s="40" t="n">
        <f aca="false">IF(OR(F80="",F80=0),"",D80/F80)</f>
        <v>0.429876410531972</v>
      </c>
      <c r="H80" s="40" t="n">
        <f aca="false">IF(OR(F80="",F80=0),"",E80/F80)</f>
        <v>0.570123589468028</v>
      </c>
      <c r="I80" s="32" t="s">
        <v>165</v>
      </c>
      <c r="J80" s="36" t="n">
        <v>2.09596675951885</v>
      </c>
      <c r="K80" s="36" t="n">
        <f aca="false">$K$8</f>
        <v>2.11954916662514</v>
      </c>
      <c r="L80" s="36" t="n">
        <f aca="false">SQRT(J80^2+K80^2)</f>
        <v>2.98086653957356</v>
      </c>
      <c r="M80" s="40" t="n">
        <f aca="false">IF(G80="","",MAX(0,G80-1.96*L80/100))</f>
        <v>0.37145142635633</v>
      </c>
      <c r="N80" s="40" t="n">
        <f aca="false">IF(G80="","",MIN(1,G80+1.96*L80/100))</f>
        <v>0.488301394707614</v>
      </c>
      <c r="O80" s="60" t="n">
        <f aca="false">ROUND(S80*W80,0)</f>
        <v>181</v>
      </c>
      <c r="P80" s="60" t="n">
        <f aca="false">IF(F80="","",ROUND(SQRT((F80*L80/100)^2+(G80*O80)^2),0))</f>
        <v>136</v>
      </c>
      <c r="R80" s="61" t="n">
        <v>0.80491617630439</v>
      </c>
      <c r="S80" s="62" t="n">
        <f aca="false">U80*V80*$F$5</f>
        <v>3721.57991120977</v>
      </c>
      <c r="T80" s="63" t="n">
        <f aca="false">MAX(0,MIN(1,R80/100+$D$5))</f>
        <v>0.429847466839404</v>
      </c>
      <c r="U80" s="63" t="n">
        <v>0.684239733629301</v>
      </c>
      <c r="V80" s="62" t="n">
        <v>5439</v>
      </c>
      <c r="W80" s="63" t="n">
        <v>0.0485820274397165</v>
      </c>
      <c r="X80" s="64" t="s">
        <v>187</v>
      </c>
      <c r="Y80" s="64" t="s">
        <v>167</v>
      </c>
    </row>
    <row r="81" customFormat="false" ht="15" hidden="false" customHeight="false" outlineLevel="0" collapsed="false">
      <c r="A81" s="32" t="s">
        <v>222</v>
      </c>
      <c r="B81" s="32" t="s">
        <v>239</v>
      </c>
      <c r="C81" s="32" t="s">
        <v>164</v>
      </c>
      <c r="D81" s="60" t="n">
        <f aca="false">ROUND(S81*T81,0)</f>
        <v>2855</v>
      </c>
      <c r="E81" s="60" t="n">
        <f aca="false">ROUND(S81,0)-D81</f>
        <v>3069</v>
      </c>
      <c r="F81" s="60" t="n">
        <f aca="false">IF(COUNTA(D81:E81)=0,"",SUM(D81:E81))</f>
        <v>5924</v>
      </c>
      <c r="G81" s="40" t="n">
        <f aca="false">IF(OR(F81="",F81=0),"",D81/F81)</f>
        <v>0.481937879810939</v>
      </c>
      <c r="H81" s="40" t="n">
        <f aca="false">IF(OR(F81="",F81=0),"",E81/F81)</f>
        <v>0.518062120189061</v>
      </c>
      <c r="I81" s="32" t="s">
        <v>165</v>
      </c>
      <c r="J81" s="36" t="n">
        <v>2.09596675951885</v>
      </c>
      <c r="K81" s="36" t="n">
        <f aca="false">$K$8</f>
        <v>2.11954916662514</v>
      </c>
      <c r="L81" s="36" t="n">
        <f aca="false">SQRT(J81^2+K81^2)</f>
        <v>2.98086653957356</v>
      </c>
      <c r="M81" s="40" t="n">
        <f aca="false">IF(G81="","",MAX(0,G81-1.96*L81/100))</f>
        <v>0.423512895635297</v>
      </c>
      <c r="N81" s="40" t="n">
        <f aca="false">IF(G81="","",MIN(1,G81+1.96*L81/100))</f>
        <v>0.54036286398658</v>
      </c>
      <c r="O81" s="60" t="n">
        <f aca="false">ROUND(S81*W81,0)</f>
        <v>288</v>
      </c>
      <c r="P81" s="60" t="n">
        <f aca="false">IF(F81="","",ROUND(SQRT((F81*L81/100)^2+(G81*O81)^2),0))</f>
        <v>225</v>
      </c>
      <c r="R81" s="61" t="n">
        <v>6.0103935991533</v>
      </c>
      <c r="S81" s="62" t="n">
        <f aca="false">U81*V81*$F$5</f>
        <v>5924.29823361823</v>
      </c>
      <c r="T81" s="63" t="n">
        <f aca="false">MAX(0,MIN(1,R81/100+$D$5))</f>
        <v>0.481902241067893</v>
      </c>
      <c r="U81" s="63" t="n">
        <v>0.675441595441595</v>
      </c>
      <c r="V81" s="62" t="n">
        <v>8771</v>
      </c>
      <c r="W81" s="63" t="n">
        <v>0.0485820274397165</v>
      </c>
      <c r="X81" s="64" t="s">
        <v>187</v>
      </c>
      <c r="Y81" s="64" t="s">
        <v>167</v>
      </c>
    </row>
    <row r="82" customFormat="false" ht="15" hidden="false" customHeight="false" outlineLevel="0" collapsed="false">
      <c r="A82" s="32" t="s">
        <v>222</v>
      </c>
      <c r="B82" s="32" t="s">
        <v>240</v>
      </c>
      <c r="C82" s="32" t="s">
        <v>164</v>
      </c>
      <c r="D82" s="60" t="n">
        <f aca="false">ROUND(S82*T82,0)</f>
        <v>1621</v>
      </c>
      <c r="E82" s="60" t="n">
        <f aca="false">ROUND(S82,0)-D82</f>
        <v>3227</v>
      </c>
      <c r="F82" s="60" t="n">
        <f aca="false">IF(COUNTA(D82:E82)=0,"",SUM(D82:E82))</f>
        <v>4848</v>
      </c>
      <c r="G82" s="40" t="n">
        <f aca="false">IF(OR(F82="",F82=0),"",D82/F82)</f>
        <v>0.334364686468647</v>
      </c>
      <c r="H82" s="40" t="n">
        <f aca="false">IF(OR(F82="",F82=0),"",E82/F82)</f>
        <v>0.665635313531353</v>
      </c>
      <c r="I82" s="32" t="s">
        <v>165</v>
      </c>
      <c r="J82" s="36" t="n">
        <v>2.09596675951885</v>
      </c>
      <c r="K82" s="36" t="n">
        <f aca="false">$K$8</f>
        <v>2.11954916662514</v>
      </c>
      <c r="L82" s="36" t="n">
        <f aca="false">SQRT(J82^2+K82^2)</f>
        <v>2.98086653957356</v>
      </c>
      <c r="M82" s="40" t="n">
        <f aca="false">IF(G82="","",MAX(0,G82-1.96*L82/100))</f>
        <v>0.275939702293005</v>
      </c>
      <c r="N82" s="40" t="n">
        <f aca="false">IF(G82="","",MIN(1,G82+1.96*L82/100))</f>
        <v>0.392789670644289</v>
      </c>
      <c r="O82" s="60" t="n">
        <f aca="false">ROUND(S82*W82,0)</f>
        <v>236</v>
      </c>
      <c r="P82" s="60" t="n">
        <f aca="false">IF(F82="","",ROUND(SQRT((F82*L82/100)^2+(G82*O82)^2),0))</f>
        <v>165</v>
      </c>
      <c r="R82" s="61" t="n">
        <v>-8.74823574683737</v>
      </c>
      <c r="S82" s="62" t="n">
        <f aca="false">U82*V82*$F$5</f>
        <v>4848.29721362229</v>
      </c>
      <c r="T82" s="63" t="n">
        <f aca="false">MAX(0,MIN(1,R82/100+$D$5))</f>
        <v>0.334315947607986</v>
      </c>
      <c r="U82" s="63" t="n">
        <v>0.668730650154799</v>
      </c>
      <c r="V82" s="62" t="n">
        <v>7250</v>
      </c>
      <c r="W82" s="63" t="n">
        <v>0.0485820274397165</v>
      </c>
      <c r="X82" s="64" t="s">
        <v>187</v>
      </c>
      <c r="Y82" s="64" t="s">
        <v>167</v>
      </c>
    </row>
    <row r="83" customFormat="false" ht="15" hidden="false" customHeight="false" outlineLevel="0" collapsed="false">
      <c r="A83" s="32" t="s">
        <v>222</v>
      </c>
      <c r="B83" s="32" t="s">
        <v>241</v>
      </c>
      <c r="C83" s="32" t="s">
        <v>164</v>
      </c>
      <c r="D83" s="60" t="n">
        <f aca="false">ROUND(S83*T83,0)</f>
        <v>1245</v>
      </c>
      <c r="E83" s="60" t="n">
        <f aca="false">ROUND(S83,0)-D83</f>
        <v>1270</v>
      </c>
      <c r="F83" s="60" t="n">
        <f aca="false">IF(COUNTA(D83:E83)=0,"",SUM(D83:E83))</f>
        <v>2515</v>
      </c>
      <c r="G83" s="40" t="n">
        <f aca="false">IF(OR(F83="",F83=0),"",D83/F83)</f>
        <v>0.495029821073559</v>
      </c>
      <c r="H83" s="40" t="n">
        <f aca="false">IF(OR(F83="",F83=0),"",E83/F83)</f>
        <v>0.504970178926441</v>
      </c>
      <c r="I83" s="32" t="s">
        <v>165</v>
      </c>
      <c r="J83" s="36" t="n">
        <v>1.74942827115577</v>
      </c>
      <c r="K83" s="36" t="n">
        <f aca="false">$K$8</f>
        <v>2.11954916662514</v>
      </c>
      <c r="L83" s="36" t="n">
        <f aca="false">SQRT(J83^2+K83^2)</f>
        <v>2.74826999140557</v>
      </c>
      <c r="M83" s="40" t="n">
        <f aca="false">IF(G83="","",MAX(0,G83-1.96*L83/100))</f>
        <v>0.44116372924201</v>
      </c>
      <c r="N83" s="40" t="n">
        <f aca="false">IF(G83="","",MIN(1,G83+1.96*L83/100))</f>
        <v>0.548895912905108</v>
      </c>
      <c r="O83" s="60" t="n">
        <f aca="false">ROUND(S83*W83,0)</f>
        <v>138</v>
      </c>
      <c r="P83" s="60" t="n">
        <f aca="false">IF(F83="","",ROUND(SQRT((F83*L83/100)^2+(G83*O83)^2),0))</f>
        <v>97</v>
      </c>
      <c r="R83" s="61" t="n">
        <v>7.310060748632</v>
      </c>
      <c r="S83" s="62" t="n">
        <f aca="false">U83*V83*$F$5</f>
        <v>2514.75925477861</v>
      </c>
      <c r="T83" s="63" t="n">
        <f aca="false">MAX(0,MIN(1,R83/100+$D$5))</f>
        <v>0.49489891256268</v>
      </c>
      <c r="U83" s="63" t="n">
        <v>0.595209291071861</v>
      </c>
      <c r="V83" s="62" t="n">
        <v>4225</v>
      </c>
      <c r="W83" s="63" t="n">
        <v>0.0547268472736556</v>
      </c>
      <c r="X83" s="64" t="s">
        <v>171</v>
      </c>
      <c r="Y83" s="64" t="s">
        <v>167</v>
      </c>
    </row>
    <row r="84" customFormat="false" ht="15" hidden="false" customHeight="false" outlineLevel="0" collapsed="false">
      <c r="A84" s="32" t="s">
        <v>222</v>
      </c>
      <c r="B84" s="32" t="s">
        <v>242</v>
      </c>
      <c r="C84" s="32" t="s">
        <v>164</v>
      </c>
      <c r="D84" s="60" t="n">
        <f aca="false">ROUND(S84*T84,0)</f>
        <v>715</v>
      </c>
      <c r="E84" s="60" t="n">
        <f aca="false">ROUND(S84,0)-D84</f>
        <v>713</v>
      </c>
      <c r="F84" s="60" t="n">
        <f aca="false">IF(COUNTA(D84:E84)=0,"",SUM(D84:E84))</f>
        <v>1428</v>
      </c>
      <c r="G84" s="40" t="n">
        <f aca="false">IF(OR(F84="",F84=0),"",D84/F84)</f>
        <v>0.500700280112045</v>
      </c>
      <c r="H84" s="40" t="n">
        <f aca="false">IF(OR(F84="",F84=0),"",E84/F84)</f>
        <v>0.499299719887955</v>
      </c>
      <c r="I84" s="32" t="s">
        <v>165</v>
      </c>
      <c r="J84" s="36" t="n">
        <v>1.74942827115577</v>
      </c>
      <c r="K84" s="36" t="n">
        <f aca="false">$K$8</f>
        <v>2.11954916662514</v>
      </c>
      <c r="L84" s="36" t="n">
        <f aca="false">SQRT(J84^2+K84^2)</f>
        <v>2.74826999140557</v>
      </c>
      <c r="M84" s="40" t="n">
        <f aca="false">IF(G84="","",MAX(0,G84-1.96*L84/100))</f>
        <v>0.446834188280496</v>
      </c>
      <c r="N84" s="40" t="n">
        <f aca="false">IF(G84="","",MIN(1,G84+1.96*L84/100))</f>
        <v>0.554566371943594</v>
      </c>
      <c r="O84" s="60" t="n">
        <f aca="false">ROUND(S84*W84,0)</f>
        <v>78</v>
      </c>
      <c r="P84" s="60" t="n">
        <f aca="false">IF(F84="","",ROUND(SQRT((F84*L84/100)^2+(G84*O84)^2),0))</f>
        <v>55</v>
      </c>
      <c r="R84" s="61" t="n">
        <v>7.91934829763334</v>
      </c>
      <c r="S84" s="62" t="n">
        <f aca="false">U84*V84*$F$5</f>
        <v>1427.54656265236</v>
      </c>
      <c r="T84" s="63" t="n">
        <f aca="false">MAX(0,MIN(1,R84/100+$D$5))</f>
        <v>0.500991788052693</v>
      </c>
      <c r="U84" s="63" t="n">
        <v>0.623110677718186</v>
      </c>
      <c r="V84" s="62" t="n">
        <v>2291</v>
      </c>
      <c r="W84" s="63" t="n">
        <v>0.0547268472736556</v>
      </c>
      <c r="X84" s="64" t="s">
        <v>171</v>
      </c>
      <c r="Y84" s="64" t="s">
        <v>167</v>
      </c>
    </row>
    <row r="85" customFormat="false" ht="15" hidden="false" customHeight="false" outlineLevel="0" collapsed="false">
      <c r="A85" s="32" t="s">
        <v>222</v>
      </c>
      <c r="B85" s="32" t="s">
        <v>243</v>
      </c>
      <c r="C85" s="32" t="s">
        <v>164</v>
      </c>
      <c r="D85" s="60" t="n">
        <f aca="false">ROUND(S85*T85,0)</f>
        <v>1969</v>
      </c>
      <c r="E85" s="60" t="n">
        <f aca="false">ROUND(S85,0)-D85</f>
        <v>2195</v>
      </c>
      <c r="F85" s="60" t="n">
        <f aca="false">IF(COUNTA(D85:E85)=0,"",SUM(D85:E85))</f>
        <v>4164</v>
      </c>
      <c r="G85" s="40" t="n">
        <f aca="false">IF(OR(F85="",F85=0),"",D85/F85)</f>
        <v>0.472862632084534</v>
      </c>
      <c r="H85" s="40" t="n">
        <f aca="false">IF(OR(F85="",F85=0),"",E85/F85)</f>
        <v>0.527137367915466</v>
      </c>
      <c r="I85" s="32" t="s">
        <v>165</v>
      </c>
      <c r="J85" s="36" t="n">
        <v>2.09596675951885</v>
      </c>
      <c r="K85" s="36" t="n">
        <f aca="false">$K$8</f>
        <v>2.11954916662514</v>
      </c>
      <c r="L85" s="36" t="n">
        <f aca="false">SQRT(J85^2+K85^2)</f>
        <v>2.98086653957356</v>
      </c>
      <c r="M85" s="40" t="n">
        <f aca="false">IF(G85="","",MAX(0,G85-1.96*L85/100))</f>
        <v>0.414437647908892</v>
      </c>
      <c r="N85" s="40" t="n">
        <f aca="false">IF(G85="","",MIN(1,G85+1.96*L85/100))</f>
        <v>0.531287616260176</v>
      </c>
      <c r="O85" s="60" t="n">
        <f aca="false">ROUND(S85*W85,0)</f>
        <v>202</v>
      </c>
      <c r="P85" s="60" t="n">
        <f aca="false">IF(F85="","",ROUND(SQRT((F85*L85/100)^2+(G85*O85)^2),0))</f>
        <v>157</v>
      </c>
      <c r="R85" s="61" t="n">
        <v>5.11025365341922</v>
      </c>
      <c r="S85" s="62" t="n">
        <f aca="false">U85*V85*$F$5</f>
        <v>4163.88109359178</v>
      </c>
      <c r="T85" s="63" t="n">
        <f aca="false">MAX(0,MIN(1,R85/100+$D$5))</f>
        <v>0.472900841610552</v>
      </c>
      <c r="U85" s="63" t="n">
        <v>0.568060176479097</v>
      </c>
      <c r="V85" s="62" t="n">
        <v>7330</v>
      </c>
      <c r="W85" s="63" t="n">
        <v>0.0485820274397165</v>
      </c>
      <c r="X85" s="64" t="s">
        <v>187</v>
      </c>
      <c r="Y85" s="64" t="s">
        <v>167</v>
      </c>
    </row>
    <row r="86" customFormat="false" ht="15" hidden="false" customHeight="false" outlineLevel="0" collapsed="false">
      <c r="A86" s="32" t="s">
        <v>222</v>
      </c>
      <c r="B86" s="32" t="s">
        <v>244</v>
      </c>
      <c r="C86" s="32" t="s">
        <v>164</v>
      </c>
      <c r="D86" s="60" t="n">
        <f aca="false">ROUND(S86*T86,0)</f>
        <v>5517</v>
      </c>
      <c r="E86" s="60" t="n">
        <f aca="false">ROUND(S86,0)-D86</f>
        <v>5140</v>
      </c>
      <c r="F86" s="60" t="n">
        <f aca="false">IF(COUNTA(D86:E86)=0,"",SUM(D86:E86))</f>
        <v>10657</v>
      </c>
      <c r="G86" s="40" t="n">
        <f aca="false">IF(OR(F86="",F86=0),"",D86/F86)</f>
        <v>0.517687904663601</v>
      </c>
      <c r="H86" s="40" t="n">
        <f aca="false">IF(OR(F86="",F86=0),"",E86/F86)</f>
        <v>0.482312095336399</v>
      </c>
      <c r="I86" s="32" t="s">
        <v>165</v>
      </c>
      <c r="J86" s="36" t="n">
        <v>2.09596675951885</v>
      </c>
      <c r="K86" s="36" t="n">
        <f aca="false">$K$8</f>
        <v>2.11954916662514</v>
      </c>
      <c r="L86" s="36" t="n">
        <f aca="false">SQRT(J86^2+K86^2)</f>
        <v>2.98086653957356</v>
      </c>
      <c r="M86" s="40" t="n">
        <f aca="false">IF(G86="","",MAX(0,G86-1.96*L86/100))</f>
        <v>0.45926292048796</v>
      </c>
      <c r="N86" s="40" t="n">
        <f aca="false">IF(G86="","",MIN(1,G86+1.96*L86/100))</f>
        <v>0.576112888839243</v>
      </c>
      <c r="O86" s="60" t="n">
        <f aca="false">ROUND(S86*W86,0)</f>
        <v>518</v>
      </c>
      <c r="P86" s="60" t="n">
        <f aca="false">IF(F86="","",ROUND(SQRT((F86*L86/100)^2+(G86*O86)^2),0))</f>
        <v>416</v>
      </c>
      <c r="R86" s="61" t="n">
        <v>9.59244691708903</v>
      </c>
      <c r="S86" s="62" t="n">
        <f aca="false">U86*V86*$F$5</f>
        <v>10656.5050635134</v>
      </c>
      <c r="T86" s="63" t="n">
        <f aca="false">MAX(0,MIN(1,R86/100+$D$5))</f>
        <v>0.51772277424725</v>
      </c>
      <c r="U86" s="63" t="n">
        <v>0.603699584382134</v>
      </c>
      <c r="V86" s="62" t="n">
        <v>17652</v>
      </c>
      <c r="W86" s="63" t="n">
        <v>0.0485820274397165</v>
      </c>
      <c r="X86" s="64" t="s">
        <v>187</v>
      </c>
      <c r="Y86" s="64" t="s">
        <v>167</v>
      </c>
    </row>
    <row r="87" customFormat="false" ht="15" hidden="false" customHeight="false" outlineLevel="0" collapsed="false">
      <c r="A87" s="32" t="s">
        <v>222</v>
      </c>
      <c r="B87" s="32" t="s">
        <v>245</v>
      </c>
      <c r="C87" s="32" t="s">
        <v>164</v>
      </c>
      <c r="D87" s="60" t="n">
        <f aca="false">ROUND(S87*T87,0)</f>
        <v>516</v>
      </c>
      <c r="E87" s="60" t="n">
        <f aca="false">ROUND(S87,0)-D87</f>
        <v>846</v>
      </c>
      <c r="F87" s="60" t="n">
        <f aca="false">IF(COUNTA(D87:E87)=0,"",SUM(D87:E87))</f>
        <v>1362</v>
      </c>
      <c r="G87" s="40" t="n">
        <f aca="false">IF(OR(F87="",F87=0),"",D87/F87)</f>
        <v>0.378854625550661</v>
      </c>
      <c r="H87" s="40" t="n">
        <f aca="false">IF(OR(F87="",F87=0),"",E87/F87)</f>
        <v>0.621145374449339</v>
      </c>
      <c r="I87" s="32" t="s">
        <v>165</v>
      </c>
      <c r="J87" s="36" t="n">
        <v>1.74942827115577</v>
      </c>
      <c r="K87" s="36" t="n">
        <f aca="false">$K$8</f>
        <v>2.11954916662514</v>
      </c>
      <c r="L87" s="36" t="n">
        <f aca="false">SQRT(J87^2+K87^2)</f>
        <v>2.74826999140557</v>
      </c>
      <c r="M87" s="40" t="n">
        <f aca="false">IF(G87="","",MAX(0,G87-1.96*L87/100))</f>
        <v>0.324988533719112</v>
      </c>
      <c r="N87" s="40" t="n">
        <f aca="false">IF(G87="","",MIN(1,G87+1.96*L87/100))</f>
        <v>0.43272071738221</v>
      </c>
      <c r="O87" s="60" t="n">
        <f aca="false">ROUND(S87*W87,0)</f>
        <v>75</v>
      </c>
      <c r="P87" s="60" t="n">
        <f aca="false">IF(F87="","",ROUND(SQRT((F87*L87/100)^2+(G87*O87)^2),0))</f>
        <v>47</v>
      </c>
      <c r="R87" s="61" t="n">
        <v>-4.31499668016236</v>
      </c>
      <c r="S87" s="62" t="n">
        <f aca="false">U87*V87*$F$5</f>
        <v>1362.06750324535</v>
      </c>
      <c r="T87" s="63" t="n">
        <f aca="false">MAX(0,MIN(1,R87/100+$D$5))</f>
        <v>0.378648338274736</v>
      </c>
      <c r="U87" s="63" t="n">
        <v>0.55776720034617</v>
      </c>
      <c r="V87" s="62" t="n">
        <v>2442</v>
      </c>
      <c r="W87" s="63" t="n">
        <v>0.0547268472736556</v>
      </c>
      <c r="X87" s="64" t="s">
        <v>171</v>
      </c>
      <c r="Y87" s="64" t="s">
        <v>167</v>
      </c>
    </row>
    <row r="88" customFormat="false" ht="15" hidden="false" customHeight="false" outlineLevel="0" collapsed="false">
      <c r="A88" s="32" t="s">
        <v>222</v>
      </c>
      <c r="B88" s="32" t="s">
        <v>246</v>
      </c>
      <c r="C88" s="32" t="s">
        <v>164</v>
      </c>
      <c r="D88" s="60" t="n">
        <f aca="false">ROUND(S88*T88,0)</f>
        <v>1076</v>
      </c>
      <c r="E88" s="60" t="n">
        <f aca="false">ROUND(S88,0)-D88</f>
        <v>2045</v>
      </c>
      <c r="F88" s="60" t="n">
        <f aca="false">IF(COUNTA(D88:E88)=0,"",SUM(D88:E88))</f>
        <v>3121</v>
      </c>
      <c r="G88" s="40" t="n">
        <f aca="false">IF(OR(F88="",F88=0),"",D88/F88)</f>
        <v>0.344761294456905</v>
      </c>
      <c r="H88" s="40" t="n">
        <f aca="false">IF(OR(F88="",F88=0),"",E88/F88)</f>
        <v>0.655238705543095</v>
      </c>
      <c r="I88" s="32" t="s">
        <v>165</v>
      </c>
      <c r="J88" s="36" t="n">
        <v>2.09596675951885</v>
      </c>
      <c r="K88" s="36" t="n">
        <f aca="false">$K$8</f>
        <v>2.11954916662514</v>
      </c>
      <c r="L88" s="36" t="n">
        <f aca="false">SQRT(J88^2+K88^2)</f>
        <v>2.98086653957356</v>
      </c>
      <c r="M88" s="40" t="n">
        <f aca="false">IF(G88="","",MAX(0,G88-1.96*L88/100))</f>
        <v>0.286336310281263</v>
      </c>
      <c r="N88" s="40" t="n">
        <f aca="false">IF(G88="","",MIN(1,G88+1.96*L88/100))</f>
        <v>0.403186278632547</v>
      </c>
      <c r="O88" s="60" t="n">
        <f aca="false">ROUND(S88*W88,0)</f>
        <v>152</v>
      </c>
      <c r="P88" s="60" t="n">
        <f aca="false">IF(F88="","",ROUND(SQRT((F88*L88/100)^2+(G88*O88)^2),0))</f>
        <v>107</v>
      </c>
      <c r="R88" s="61" t="n">
        <v>-7.70564563919929</v>
      </c>
      <c r="S88" s="62" t="n">
        <f aca="false">U88*V88*$F$5</f>
        <v>3121.34219409283</v>
      </c>
      <c r="T88" s="63" t="n">
        <f aca="false">MAX(0,MIN(1,R88/100+$D$5))</f>
        <v>0.344741848684367</v>
      </c>
      <c r="U88" s="63" t="n">
        <v>0.648523206751055</v>
      </c>
      <c r="V88" s="62" t="n">
        <v>4813</v>
      </c>
      <c r="W88" s="63" t="n">
        <v>0.0485820274397165</v>
      </c>
      <c r="X88" s="64" t="s">
        <v>187</v>
      </c>
      <c r="Y88" s="64" t="s">
        <v>167</v>
      </c>
    </row>
    <row r="89" customFormat="false" ht="15" hidden="false" customHeight="false" outlineLevel="0" collapsed="false">
      <c r="A89" s="32" t="s">
        <v>222</v>
      </c>
      <c r="B89" s="32" t="s">
        <v>247</v>
      </c>
      <c r="C89" s="32" t="s">
        <v>164</v>
      </c>
      <c r="D89" s="60" t="n">
        <f aca="false">ROUND(S89*T89,0)</f>
        <v>68</v>
      </c>
      <c r="E89" s="60" t="n">
        <f aca="false">ROUND(S89,0)-D89</f>
        <v>128</v>
      </c>
      <c r="F89" s="60" t="n">
        <f aca="false">IF(COUNTA(D89:E89)=0,"",SUM(D89:E89))</f>
        <v>196</v>
      </c>
      <c r="G89" s="40" t="n">
        <f aca="false">IF(OR(F89="",F89=0),"",D89/F89)</f>
        <v>0.346938775510204</v>
      </c>
      <c r="H89" s="40" t="n">
        <f aca="false">IF(OR(F89="",F89=0),"",E89/F89)</f>
        <v>0.653061224489796</v>
      </c>
      <c r="I89" s="32" t="s">
        <v>165</v>
      </c>
      <c r="J89" s="36" t="n">
        <v>3.62720814427021</v>
      </c>
      <c r="K89" s="36" t="n">
        <f aca="false">$K$8</f>
        <v>2.11954916662514</v>
      </c>
      <c r="L89" s="36" t="n">
        <f aca="false">SQRT(J89^2+K89^2)</f>
        <v>4.20108647752001</v>
      </c>
      <c r="M89" s="40" t="n">
        <f aca="false">IF(G89="","",MAX(0,G89-1.96*L89/100))</f>
        <v>0.264597480550812</v>
      </c>
      <c r="N89" s="40" t="n">
        <f aca="false">IF(G89="","",MIN(1,G89+1.96*L89/100))</f>
        <v>0.429280070469596</v>
      </c>
      <c r="O89" s="60" t="n">
        <f aca="false">ROUND(S89*W89,0)</f>
        <v>14</v>
      </c>
      <c r="P89" s="60" t="n">
        <f aca="false">IF(F89="","",ROUND(SQRT((F89*L89/100)^2+(G89*O89)^2),0))</f>
        <v>10</v>
      </c>
      <c r="R89" s="61" t="n">
        <v>-7.75783457089483</v>
      </c>
      <c r="S89" s="62" t="n">
        <f aca="false">U89*V89*$F$5</f>
        <v>196.10298102981</v>
      </c>
      <c r="T89" s="63" t="n">
        <f aca="false">MAX(0,MIN(1,R89/100+$D$5))</f>
        <v>0.344219959367411</v>
      </c>
      <c r="U89" s="63" t="n">
        <v>0.525745257452575</v>
      </c>
      <c r="V89" s="62" t="n">
        <v>373</v>
      </c>
      <c r="W89" s="63" t="n">
        <v>0.0732058935918866</v>
      </c>
      <c r="X89" s="64" t="s">
        <v>166</v>
      </c>
      <c r="Y89" s="64" t="s">
        <v>167</v>
      </c>
    </row>
    <row r="90" customFormat="false" ht="15" hidden="false" customHeight="false" outlineLevel="0" collapsed="false">
      <c r="A90" s="32" t="s">
        <v>222</v>
      </c>
      <c r="B90" s="32" t="s">
        <v>248</v>
      </c>
      <c r="C90" s="32" t="s">
        <v>164</v>
      </c>
      <c r="D90" s="60" t="n">
        <f aca="false">ROUND(S90*T90,0)</f>
        <v>263</v>
      </c>
      <c r="E90" s="60" t="n">
        <f aca="false">ROUND(S90,0)-D90</f>
        <v>421</v>
      </c>
      <c r="F90" s="60" t="n">
        <f aca="false">IF(COUNTA(D90:E90)=0,"",SUM(D90:E90))</f>
        <v>684</v>
      </c>
      <c r="G90" s="40" t="n">
        <f aca="false">IF(OR(F90="",F90=0),"",D90/F90)</f>
        <v>0.384502923976608</v>
      </c>
      <c r="H90" s="40" t="n">
        <f aca="false">IF(OR(F90="",F90=0),"",E90/F90)</f>
        <v>0.615497076023392</v>
      </c>
      <c r="I90" s="32" t="s">
        <v>165</v>
      </c>
      <c r="J90" s="36" t="n">
        <v>3.62720814427021</v>
      </c>
      <c r="K90" s="36" t="n">
        <f aca="false">$K$8</f>
        <v>2.11954916662514</v>
      </c>
      <c r="L90" s="36" t="n">
        <f aca="false">SQRT(J90^2+K90^2)</f>
        <v>4.20108647752001</v>
      </c>
      <c r="M90" s="40" t="n">
        <f aca="false">IF(G90="","",MAX(0,G90-1.96*L90/100))</f>
        <v>0.302161629017216</v>
      </c>
      <c r="N90" s="40" t="n">
        <f aca="false">IF(G90="","",MIN(1,G90+1.96*L90/100))</f>
        <v>0.466844218936</v>
      </c>
      <c r="O90" s="60" t="n">
        <f aca="false">ROUND(S90*W90,0)</f>
        <v>50</v>
      </c>
      <c r="P90" s="60" t="n">
        <f aca="false">IF(F90="","",ROUND(SQRT((F90*L90/100)^2+(G90*O90)^2),0))</f>
        <v>35</v>
      </c>
      <c r="R90" s="61" t="n">
        <v>-3.70261540403673</v>
      </c>
      <c r="S90" s="62" t="n">
        <f aca="false">U90*V90*$F$5</f>
        <v>683.952941176471</v>
      </c>
      <c r="T90" s="63" t="n">
        <f aca="false">MAX(0,MIN(1,R90/100+$D$5))</f>
        <v>0.384772151035992</v>
      </c>
      <c r="U90" s="63" t="n">
        <v>0.568067226890756</v>
      </c>
      <c r="V90" s="62" t="n">
        <v>1204</v>
      </c>
      <c r="W90" s="63" t="n">
        <v>0.0732058935918866</v>
      </c>
      <c r="X90" s="64" t="s">
        <v>166</v>
      </c>
      <c r="Y90" s="64" t="s">
        <v>167</v>
      </c>
    </row>
    <row r="91" customFormat="false" ht="15" hidden="false" customHeight="false" outlineLevel="0" collapsed="false">
      <c r="A91" s="32" t="s">
        <v>222</v>
      </c>
      <c r="B91" s="32" t="s">
        <v>249</v>
      </c>
      <c r="C91" s="32" t="s">
        <v>164</v>
      </c>
      <c r="D91" s="60" t="n">
        <f aca="false">ROUND(S91*T91,0)</f>
        <v>160</v>
      </c>
      <c r="E91" s="60" t="n">
        <f aca="false">ROUND(S91,0)-D91</f>
        <v>229</v>
      </c>
      <c r="F91" s="60" t="n">
        <f aca="false">IF(COUNTA(D91:E91)=0,"",SUM(D91:E91))</f>
        <v>389</v>
      </c>
      <c r="G91" s="40" t="n">
        <f aca="false">IF(OR(F91="",F91=0),"",D91/F91)</f>
        <v>0.411311053984576</v>
      </c>
      <c r="H91" s="40" t="n">
        <f aca="false">IF(OR(F91="",F91=0),"",E91/F91)</f>
        <v>0.588688946015424</v>
      </c>
      <c r="I91" s="32" t="s">
        <v>165</v>
      </c>
      <c r="J91" s="36" t="n">
        <v>3.62720814427021</v>
      </c>
      <c r="K91" s="36" t="n">
        <f aca="false">$K$8</f>
        <v>2.11954916662514</v>
      </c>
      <c r="L91" s="36" t="n">
        <f aca="false">SQRT(J91^2+K91^2)</f>
        <v>4.20108647752001</v>
      </c>
      <c r="M91" s="40" t="n">
        <f aca="false">IF(G91="","",MAX(0,G91-1.96*L91/100))</f>
        <v>0.328969759025184</v>
      </c>
      <c r="N91" s="40" t="n">
        <f aca="false">IF(G91="","",MIN(1,G91+1.96*L91/100))</f>
        <v>0.493652348943968</v>
      </c>
      <c r="O91" s="60" t="n">
        <f aca="false">ROUND(S91*W91,0)</f>
        <v>28</v>
      </c>
      <c r="P91" s="60" t="n">
        <f aca="false">IF(F91="","",ROUND(SQRT((F91*L91/100)^2+(G91*O91)^2),0))</f>
        <v>20</v>
      </c>
      <c r="R91" s="61" t="n">
        <v>-0.910009500689438</v>
      </c>
      <c r="S91" s="62" t="n">
        <f aca="false">U91*V91*$F$5</f>
        <v>388.819749216301</v>
      </c>
      <c r="T91" s="63" t="n">
        <f aca="false">MAX(0,MIN(1,R91/100+$D$5))</f>
        <v>0.412698210069465</v>
      </c>
      <c r="U91" s="63" t="n">
        <v>0.606583072100314</v>
      </c>
      <c r="V91" s="62" t="n">
        <v>641</v>
      </c>
      <c r="W91" s="63" t="n">
        <v>0.0732058935918866</v>
      </c>
      <c r="X91" s="64" t="s">
        <v>166</v>
      </c>
      <c r="Y91" s="64" t="s">
        <v>167</v>
      </c>
    </row>
    <row r="92" customFormat="false" ht="15" hidden="false" customHeight="false" outlineLevel="0" collapsed="false">
      <c r="A92" s="32" t="s">
        <v>222</v>
      </c>
      <c r="B92" s="32" t="s">
        <v>250</v>
      </c>
      <c r="C92" s="32" t="s">
        <v>164</v>
      </c>
      <c r="D92" s="60" t="n">
        <f aca="false">ROUND(S92*T92,0)</f>
        <v>256</v>
      </c>
      <c r="E92" s="60" t="n">
        <f aca="false">ROUND(S92,0)-D92</f>
        <v>346</v>
      </c>
      <c r="F92" s="60" t="n">
        <f aca="false">IF(COUNTA(D92:E92)=0,"",SUM(D92:E92))</f>
        <v>602</v>
      </c>
      <c r="G92" s="40" t="n">
        <f aca="false">IF(OR(F92="",F92=0),"",D92/F92)</f>
        <v>0.425249169435216</v>
      </c>
      <c r="H92" s="40" t="n">
        <f aca="false">IF(OR(F92="",F92=0),"",E92/F92)</f>
        <v>0.574750830564784</v>
      </c>
      <c r="I92" s="32" t="s">
        <v>165</v>
      </c>
      <c r="J92" s="36" t="n">
        <v>3.62720814427021</v>
      </c>
      <c r="K92" s="36" t="n">
        <f aca="false">$K$8</f>
        <v>2.11954916662514</v>
      </c>
      <c r="L92" s="36" t="n">
        <f aca="false">SQRT(J92^2+K92^2)</f>
        <v>4.20108647752001</v>
      </c>
      <c r="M92" s="40" t="n">
        <f aca="false">IF(G92="","",MAX(0,G92-1.96*L92/100))</f>
        <v>0.342907874475824</v>
      </c>
      <c r="N92" s="40" t="n">
        <f aca="false">IF(G92="","",MIN(1,G92+1.96*L92/100))</f>
        <v>0.507590464394608</v>
      </c>
      <c r="O92" s="60" t="n">
        <f aca="false">ROUND(S92*W92,0)</f>
        <v>44</v>
      </c>
      <c r="P92" s="60" t="n">
        <f aca="false">IF(F92="","",ROUND(SQRT((F92*L92/100)^2+(G92*O92)^2),0))</f>
        <v>31</v>
      </c>
      <c r="R92" s="61" t="n">
        <v>0.358257765213086</v>
      </c>
      <c r="S92" s="62" t="n">
        <f aca="false">U92*V92*$F$5</f>
        <v>602.07868852459</v>
      </c>
      <c r="T92" s="63" t="n">
        <f aca="false">MAX(0,MIN(1,R92/100+$D$5))</f>
        <v>0.425380882728491</v>
      </c>
      <c r="U92" s="63" t="n">
        <v>0.613114754098361</v>
      </c>
      <c r="V92" s="62" t="n">
        <v>982</v>
      </c>
      <c r="W92" s="63" t="n">
        <v>0.0732058935918866</v>
      </c>
      <c r="X92" s="64" t="s">
        <v>166</v>
      </c>
      <c r="Y92" s="64" t="s">
        <v>167</v>
      </c>
    </row>
    <row r="93" customFormat="false" ht="15" hidden="false" customHeight="false" outlineLevel="0" collapsed="false">
      <c r="A93" s="32" t="s">
        <v>222</v>
      </c>
      <c r="B93" s="32" t="s">
        <v>251</v>
      </c>
      <c r="C93" s="32" t="s">
        <v>164</v>
      </c>
      <c r="D93" s="60" t="n">
        <f aca="false">ROUND(S93*T93,0)</f>
        <v>1003</v>
      </c>
      <c r="E93" s="60" t="n">
        <f aca="false">ROUND(S93,0)-D93</f>
        <v>2143</v>
      </c>
      <c r="F93" s="60" t="n">
        <f aca="false">IF(COUNTA(D93:E93)=0,"",SUM(D93:E93))</f>
        <v>3146</v>
      </c>
      <c r="G93" s="40" t="n">
        <f aca="false">IF(OR(F93="",F93=0),"",D93/F93)</f>
        <v>0.318817546090273</v>
      </c>
      <c r="H93" s="40" t="n">
        <f aca="false">IF(OR(F93="",F93=0),"",E93/F93)</f>
        <v>0.681182453909727</v>
      </c>
      <c r="I93" s="32" t="s">
        <v>165</v>
      </c>
      <c r="J93" s="36" t="n">
        <v>2.09596675951885</v>
      </c>
      <c r="K93" s="36" t="n">
        <f aca="false">$K$8</f>
        <v>2.11954916662514</v>
      </c>
      <c r="L93" s="36" t="n">
        <f aca="false">SQRT(J93^2+K93^2)</f>
        <v>2.98086653957356</v>
      </c>
      <c r="M93" s="40" t="n">
        <f aca="false">IF(G93="","",MAX(0,G93-1.96*L93/100))</f>
        <v>0.260392561914632</v>
      </c>
      <c r="N93" s="40" t="n">
        <f aca="false">IF(G93="","",MIN(1,G93+1.96*L93/100))</f>
        <v>0.377242530265915</v>
      </c>
      <c r="O93" s="60" t="n">
        <f aca="false">ROUND(S93*W93,0)</f>
        <v>153</v>
      </c>
      <c r="P93" s="60" t="n">
        <f aca="false">IF(F93="","",ROUND(SQRT((F93*L93/100)^2+(G93*O93)^2),0))</f>
        <v>106</v>
      </c>
      <c r="R93" s="61" t="n">
        <v>-10.3160083687861</v>
      </c>
      <c r="S93" s="62" t="n">
        <f aca="false">U93*V93*$F$5</f>
        <v>3146.26275765459</v>
      </c>
      <c r="T93" s="63" t="n">
        <f aca="false">MAX(0,MIN(1,R93/100+$D$5))</f>
        <v>0.318638221388499</v>
      </c>
      <c r="U93" s="63" t="n">
        <v>0.625375225135081</v>
      </c>
      <c r="V93" s="62" t="n">
        <v>5031</v>
      </c>
      <c r="W93" s="63" t="n">
        <v>0.0485820274397165</v>
      </c>
      <c r="X93" s="64" t="s">
        <v>187</v>
      </c>
      <c r="Y93" s="64" t="s">
        <v>167</v>
      </c>
    </row>
    <row r="94" customFormat="false" ht="15" hidden="false" customHeight="false" outlineLevel="0" collapsed="false">
      <c r="A94" s="32" t="s">
        <v>222</v>
      </c>
      <c r="B94" s="32" t="s">
        <v>252</v>
      </c>
      <c r="C94" s="32" t="s">
        <v>164</v>
      </c>
      <c r="D94" s="60" t="n">
        <f aca="false">ROUND(S94*T94,0)</f>
        <v>1574</v>
      </c>
      <c r="E94" s="60" t="n">
        <f aca="false">ROUND(S94,0)-D94</f>
        <v>1703</v>
      </c>
      <c r="F94" s="60" t="n">
        <f aca="false">IF(COUNTA(D94:E94)=0,"",SUM(D94:E94))</f>
        <v>3277</v>
      </c>
      <c r="G94" s="40" t="n">
        <f aca="false">IF(OR(F94="",F94=0),"",D94/F94)</f>
        <v>0.480317363442173</v>
      </c>
      <c r="H94" s="40" t="n">
        <f aca="false">IF(OR(F94="",F94=0),"",E94/F94)</f>
        <v>0.519682636557827</v>
      </c>
      <c r="I94" s="32" t="s">
        <v>165</v>
      </c>
      <c r="J94" s="36" t="n">
        <v>2.09596675951885</v>
      </c>
      <c r="K94" s="36" t="n">
        <f aca="false">$K$8</f>
        <v>2.11954916662514</v>
      </c>
      <c r="L94" s="36" t="n">
        <f aca="false">SQRT(J94^2+K94^2)</f>
        <v>2.98086653957356</v>
      </c>
      <c r="M94" s="40" t="n">
        <f aca="false">IF(G94="","",MAX(0,G94-1.96*L94/100))</f>
        <v>0.421892379266531</v>
      </c>
      <c r="N94" s="40" t="n">
        <f aca="false">IF(G94="","",MIN(1,G94+1.96*L94/100))</f>
        <v>0.538742347617815</v>
      </c>
      <c r="O94" s="60" t="n">
        <f aca="false">ROUND(S94*W94,0)</f>
        <v>159</v>
      </c>
      <c r="P94" s="60" t="n">
        <f aca="false">IF(F94="","",ROUND(SQRT((F94*L94/100)^2+(G94*O94)^2),0))</f>
        <v>124</v>
      </c>
      <c r="R94" s="61" t="n">
        <v>5.84883279685136</v>
      </c>
      <c r="S94" s="62" t="n">
        <f aca="false">U94*V94*$F$5</f>
        <v>3277.36336396324</v>
      </c>
      <c r="T94" s="63" t="n">
        <f aca="false">MAX(0,MIN(1,R94/100+$D$5))</f>
        <v>0.480286633044873</v>
      </c>
      <c r="U94" s="63" t="n">
        <v>0.631841789852177</v>
      </c>
      <c r="V94" s="62" t="n">
        <v>5187</v>
      </c>
      <c r="W94" s="63" t="n">
        <v>0.0485820274397165</v>
      </c>
      <c r="X94" s="64" t="s">
        <v>187</v>
      </c>
      <c r="Y94" s="64" t="s">
        <v>167</v>
      </c>
    </row>
    <row r="95" customFormat="false" ht="15" hidden="false" customHeight="false" outlineLevel="0" collapsed="false">
      <c r="A95" s="32" t="s">
        <v>222</v>
      </c>
      <c r="B95" s="32" t="s">
        <v>253</v>
      </c>
      <c r="C95" s="32" t="s">
        <v>164</v>
      </c>
      <c r="D95" s="60" t="n">
        <f aca="false">ROUND(S95*T95,0)</f>
        <v>311</v>
      </c>
      <c r="E95" s="60" t="n">
        <f aca="false">ROUND(S95,0)-D95</f>
        <v>450</v>
      </c>
      <c r="F95" s="60" t="n">
        <f aca="false">IF(COUNTA(D95:E95)=0,"",SUM(D95:E95))</f>
        <v>761</v>
      </c>
      <c r="G95" s="40" t="n">
        <f aca="false">IF(OR(F95="",F95=0),"",D95/F95)</f>
        <v>0.408672798948752</v>
      </c>
      <c r="H95" s="40" t="n">
        <f aca="false">IF(OR(F95="",F95=0),"",E95/F95)</f>
        <v>0.591327201051248</v>
      </c>
      <c r="I95" s="32" t="s">
        <v>165</v>
      </c>
      <c r="J95" s="36" t="n">
        <v>3.62720814427021</v>
      </c>
      <c r="K95" s="36" t="n">
        <f aca="false">$K$8</f>
        <v>2.11954916662514</v>
      </c>
      <c r="L95" s="36" t="n">
        <f aca="false">SQRT(J95^2+K95^2)</f>
        <v>4.20108647752001</v>
      </c>
      <c r="M95" s="40" t="n">
        <f aca="false">IF(G95="","",MAX(0,G95-1.96*L95/100))</f>
        <v>0.32633150398936</v>
      </c>
      <c r="N95" s="40" t="n">
        <f aca="false">IF(G95="","",MIN(1,G95+1.96*L95/100))</f>
        <v>0.491014093908144</v>
      </c>
      <c r="O95" s="60" t="n">
        <f aca="false">ROUND(S95*W95,0)</f>
        <v>56</v>
      </c>
      <c r="P95" s="60" t="n">
        <f aca="false">IF(F95="","",ROUND(SQRT((F95*L95/100)^2+(G95*O95)^2),0))</f>
        <v>39</v>
      </c>
      <c r="R95" s="61" t="n">
        <v>-1.30301294471821</v>
      </c>
      <c r="S95" s="62" t="n">
        <f aca="false">U95*V95*$F$5</f>
        <v>761.429837518464</v>
      </c>
      <c r="T95" s="63" t="n">
        <f aca="false">MAX(0,MIN(1,R95/100+$D$5))</f>
        <v>0.408768175629178</v>
      </c>
      <c r="U95" s="63" t="n">
        <v>0.534711964549483</v>
      </c>
      <c r="V95" s="62" t="n">
        <v>1424</v>
      </c>
      <c r="W95" s="63" t="n">
        <v>0.0732058935918866</v>
      </c>
      <c r="X95" s="64" t="s">
        <v>166</v>
      </c>
      <c r="Y95" s="64" t="s">
        <v>167</v>
      </c>
    </row>
    <row r="96" customFormat="false" ht="15" hidden="false" customHeight="false" outlineLevel="0" collapsed="false">
      <c r="A96" s="32" t="s">
        <v>222</v>
      </c>
      <c r="B96" s="32" t="s">
        <v>215</v>
      </c>
      <c r="C96" s="32" t="s">
        <v>164</v>
      </c>
      <c r="D96" s="60" t="n">
        <f aca="false">ROUND(S96*T96,0)</f>
        <v>816</v>
      </c>
      <c r="E96" s="60" t="n">
        <f aca="false">ROUND(S96,0)-D96</f>
        <v>1571</v>
      </c>
      <c r="F96" s="60" t="n">
        <f aca="false">IF(COUNTA(D96:E96)=0,"",SUM(D96:E96))</f>
        <v>2387</v>
      </c>
      <c r="G96" s="40" t="n">
        <f aca="false">IF(OR(F96="",F96=0),"",D96/F96)</f>
        <v>0.341851696690406</v>
      </c>
      <c r="H96" s="40" t="n">
        <f aca="false">IF(OR(F96="",F96=0),"",E96/F96)</f>
        <v>0.658148303309594</v>
      </c>
      <c r="I96" s="32" t="s">
        <v>165</v>
      </c>
      <c r="J96" s="36" t="n">
        <v>1.74942827115577</v>
      </c>
      <c r="K96" s="36" t="n">
        <f aca="false">$K$8</f>
        <v>2.11954916662514</v>
      </c>
      <c r="L96" s="36" t="n">
        <f aca="false">SQRT(J96^2+K96^2)</f>
        <v>2.74826999140557</v>
      </c>
      <c r="M96" s="40" t="n">
        <f aca="false">IF(G96="","",MAX(0,G96-1.96*L96/100))</f>
        <v>0.287985604858857</v>
      </c>
      <c r="N96" s="40" t="n">
        <f aca="false">IF(G96="","",MIN(1,G96+1.96*L96/100))</f>
        <v>0.395717788521956</v>
      </c>
      <c r="O96" s="60" t="n">
        <f aca="false">ROUND(S96*W96,0)</f>
        <v>131</v>
      </c>
      <c r="P96" s="60" t="n">
        <f aca="false">IF(F96="","",ROUND(SQRT((F96*L96/100)^2+(G96*O96)^2),0))</f>
        <v>79</v>
      </c>
      <c r="R96" s="61" t="n">
        <v>-8.00364815774075</v>
      </c>
      <c r="S96" s="62" t="n">
        <f aca="false">U96*V96*$F$5</f>
        <v>2386.68081761006</v>
      </c>
      <c r="T96" s="63" t="n">
        <f aca="false">MAX(0,MIN(1,R96/100+$D$5))</f>
        <v>0.341761823498952</v>
      </c>
      <c r="U96" s="63" t="n">
        <v>0.62185534591195</v>
      </c>
      <c r="V96" s="62" t="n">
        <v>3838</v>
      </c>
      <c r="W96" s="63" t="n">
        <v>0.0547268472736556</v>
      </c>
      <c r="X96" s="64" t="s">
        <v>171</v>
      </c>
      <c r="Y96" s="64" t="s">
        <v>167</v>
      </c>
    </row>
    <row r="97" customFormat="false" ht="15" hidden="false" customHeight="false" outlineLevel="0" collapsed="false">
      <c r="A97" s="32" t="s">
        <v>222</v>
      </c>
      <c r="B97" s="32" t="s">
        <v>254</v>
      </c>
      <c r="C97" s="32" t="s">
        <v>164</v>
      </c>
      <c r="D97" s="60" t="n">
        <f aca="false">ROUND(S97*T97,0)</f>
        <v>204</v>
      </c>
      <c r="E97" s="60" t="n">
        <f aca="false">ROUND(S97,0)-D97</f>
        <v>234</v>
      </c>
      <c r="F97" s="60" t="n">
        <f aca="false">IF(COUNTA(D97:E97)=0,"",SUM(D97:E97))</f>
        <v>438</v>
      </c>
      <c r="G97" s="40" t="n">
        <f aca="false">IF(OR(F97="",F97=0),"",D97/F97)</f>
        <v>0.465753424657534</v>
      </c>
      <c r="H97" s="40" t="n">
        <f aca="false">IF(OR(F97="",F97=0),"",E97/F97)</f>
        <v>0.534246575342466</v>
      </c>
      <c r="I97" s="32" t="s">
        <v>165</v>
      </c>
      <c r="J97" s="36" t="n">
        <v>3.62720814427021</v>
      </c>
      <c r="K97" s="36" t="n">
        <f aca="false">$K$8</f>
        <v>2.11954916662514</v>
      </c>
      <c r="L97" s="36" t="n">
        <f aca="false">SQRT(J97^2+K97^2)</f>
        <v>4.20108647752001</v>
      </c>
      <c r="M97" s="40" t="n">
        <f aca="false">IF(G97="","",MAX(0,G97-1.96*L97/100))</f>
        <v>0.383412129698142</v>
      </c>
      <c r="N97" s="40" t="n">
        <f aca="false">IF(G97="","",MIN(1,G97+1.96*L97/100))</f>
        <v>0.548094719616926</v>
      </c>
      <c r="O97" s="60" t="n">
        <f aca="false">ROUND(S97*W97,0)</f>
        <v>32</v>
      </c>
      <c r="P97" s="60" t="n">
        <f aca="false">IF(F97="","",ROUND(SQRT((F97*L97/100)^2+(G97*O97)^2),0))</f>
        <v>24</v>
      </c>
      <c r="R97" s="61" t="n">
        <v>4.39745526626185</v>
      </c>
      <c r="S97" s="62" t="n">
        <f aca="false">U97*V97*$F$5</f>
        <v>438.292134831461</v>
      </c>
      <c r="T97" s="63" t="n">
        <f aca="false">MAX(0,MIN(1,R97/100+$D$5))</f>
        <v>0.465772857738978</v>
      </c>
      <c r="U97" s="63" t="n">
        <v>0.51685393258427</v>
      </c>
      <c r="V97" s="62" t="n">
        <v>848</v>
      </c>
      <c r="W97" s="63" t="n">
        <v>0.0732058935918866</v>
      </c>
      <c r="X97" s="64" t="s">
        <v>166</v>
      </c>
      <c r="Y97" s="64" t="s">
        <v>167</v>
      </c>
    </row>
    <row r="98" customFormat="false" ht="15" hidden="false" customHeight="false" outlineLevel="0" collapsed="false">
      <c r="A98" s="32" t="s">
        <v>222</v>
      </c>
      <c r="B98" s="32" t="s">
        <v>255</v>
      </c>
      <c r="C98" s="32" t="s">
        <v>164</v>
      </c>
      <c r="D98" s="60" t="n">
        <f aca="false">ROUND(S98*T98,0)</f>
        <v>1445</v>
      </c>
      <c r="E98" s="60" t="n">
        <f aca="false">ROUND(S98,0)-D98</f>
        <v>1921</v>
      </c>
      <c r="F98" s="60" t="n">
        <f aca="false">IF(COUNTA(D98:E98)=0,"",SUM(D98:E98))</f>
        <v>3366</v>
      </c>
      <c r="G98" s="40" t="n">
        <f aca="false">IF(OR(F98="",F98=0),"",D98/F98)</f>
        <v>0.429292929292929</v>
      </c>
      <c r="H98" s="40" t="n">
        <f aca="false">IF(OR(F98="",F98=0),"",E98/F98)</f>
        <v>0.570707070707071</v>
      </c>
      <c r="I98" s="32" t="s">
        <v>165</v>
      </c>
      <c r="J98" s="36" t="n">
        <v>2.09596675951885</v>
      </c>
      <c r="K98" s="36" t="n">
        <f aca="false">$K$8</f>
        <v>2.11954916662514</v>
      </c>
      <c r="L98" s="36" t="n">
        <f aca="false">SQRT(J98^2+K98^2)</f>
        <v>2.98086653957356</v>
      </c>
      <c r="M98" s="40" t="n">
        <f aca="false">IF(G98="","",MAX(0,G98-1.96*L98/100))</f>
        <v>0.370867945117288</v>
      </c>
      <c r="N98" s="40" t="n">
        <f aca="false">IF(G98="","",MIN(1,G98+1.96*L98/100))</f>
        <v>0.487717913468571</v>
      </c>
      <c r="O98" s="60" t="n">
        <f aca="false">ROUND(S98*W98,0)</f>
        <v>164</v>
      </c>
      <c r="P98" s="60" t="n">
        <f aca="false">IF(F98="","",ROUND(SQRT((F98*L98/100)^2+(G98*O98)^2),0))</f>
        <v>123</v>
      </c>
      <c r="R98" s="61" t="n">
        <v>0.751114518932328</v>
      </c>
      <c r="S98" s="62" t="n">
        <f aca="false">U98*V98*$F$5</f>
        <v>3365.72741078208</v>
      </c>
      <c r="T98" s="63" t="n">
        <f aca="false">MAX(0,MIN(1,R98/100+$D$5))</f>
        <v>0.429309450265683</v>
      </c>
      <c r="U98" s="63" t="n">
        <v>0.629460895975702</v>
      </c>
      <c r="V98" s="62" t="n">
        <v>5347</v>
      </c>
      <c r="W98" s="63" t="n">
        <v>0.0485820274397165</v>
      </c>
      <c r="X98" s="64" t="s">
        <v>187</v>
      </c>
      <c r="Y98" s="64" t="s">
        <v>167</v>
      </c>
    </row>
    <row r="99" customFormat="false" ht="15" hidden="false" customHeight="false" outlineLevel="0" collapsed="false">
      <c r="A99" s="32" t="s">
        <v>222</v>
      </c>
      <c r="B99" s="32" t="s">
        <v>256</v>
      </c>
      <c r="C99" s="32" t="s">
        <v>164</v>
      </c>
      <c r="D99" s="60" t="n">
        <f aca="false">ROUND(S99*T99,0)</f>
        <v>1318</v>
      </c>
      <c r="E99" s="60" t="n">
        <f aca="false">ROUND(S99,0)-D99</f>
        <v>1032</v>
      </c>
      <c r="F99" s="60" t="n">
        <f aca="false">IF(COUNTA(D99:E99)=0,"",SUM(D99:E99))</f>
        <v>2350</v>
      </c>
      <c r="G99" s="40" t="n">
        <f aca="false">IF(OR(F99="",F99=0),"",D99/F99)</f>
        <v>0.560851063829787</v>
      </c>
      <c r="H99" s="40" t="n">
        <f aca="false">IF(OR(F99="",F99=0),"",E99/F99)</f>
        <v>0.439148936170213</v>
      </c>
      <c r="I99" s="32" t="s">
        <v>165</v>
      </c>
      <c r="J99" s="36" t="n">
        <v>1.74942827115577</v>
      </c>
      <c r="K99" s="36" t="n">
        <f aca="false">$K$8</f>
        <v>2.11954916662514</v>
      </c>
      <c r="L99" s="36" t="n">
        <f aca="false">SQRT(J99^2+K99^2)</f>
        <v>2.74826999140557</v>
      </c>
      <c r="M99" s="40" t="n">
        <f aca="false">IF(G99="","",MAX(0,G99-1.96*L99/100))</f>
        <v>0.506984971998238</v>
      </c>
      <c r="N99" s="40" t="n">
        <f aca="false">IF(G99="","",MIN(1,G99+1.96*L99/100))</f>
        <v>0.614717155661336</v>
      </c>
      <c r="O99" s="60" t="n">
        <f aca="false">ROUND(S99*W99,0)</f>
        <v>129</v>
      </c>
      <c r="P99" s="60" t="n">
        <f aca="false">IF(F99="","",ROUND(SQRT((F99*L99/100)^2+(G99*O99)^2),0))</f>
        <v>97</v>
      </c>
      <c r="R99" s="61" t="n">
        <v>13.9022625869903</v>
      </c>
      <c r="S99" s="62" t="n">
        <f aca="false">U99*V99*$F$5</f>
        <v>2350.25573902537</v>
      </c>
      <c r="T99" s="63" t="n">
        <f aca="false">MAX(0,MIN(1,R99/100+$D$5))</f>
        <v>0.560820930946262</v>
      </c>
      <c r="U99" s="63" t="n">
        <v>0.461739830849779</v>
      </c>
      <c r="V99" s="62" t="n">
        <v>5090</v>
      </c>
      <c r="W99" s="63" t="n">
        <v>0.0547268472736556</v>
      </c>
      <c r="X99" s="64" t="s">
        <v>171</v>
      </c>
      <c r="Y99" s="64" t="s">
        <v>167</v>
      </c>
    </row>
    <row r="100" customFormat="false" ht="15" hidden="false" customHeight="false" outlineLevel="0" collapsed="false">
      <c r="A100" s="32" t="s">
        <v>222</v>
      </c>
      <c r="B100" s="32" t="s">
        <v>257</v>
      </c>
      <c r="C100" s="32" t="s">
        <v>164</v>
      </c>
      <c r="D100" s="60" t="n">
        <f aca="false">ROUND(S100*T100,0)</f>
        <v>489</v>
      </c>
      <c r="E100" s="60" t="n">
        <f aca="false">ROUND(S100,0)-D100</f>
        <v>656</v>
      </c>
      <c r="F100" s="60" t="n">
        <f aca="false">IF(COUNTA(D100:E100)=0,"",SUM(D100:E100))</f>
        <v>1145</v>
      </c>
      <c r="G100" s="40" t="n">
        <f aca="false">IF(OR(F100="",F100=0),"",D100/F100)</f>
        <v>0.42707423580786</v>
      </c>
      <c r="H100" s="40" t="n">
        <f aca="false">IF(OR(F100="",F100=0),"",E100/F100)</f>
        <v>0.57292576419214</v>
      </c>
      <c r="I100" s="32" t="s">
        <v>165</v>
      </c>
      <c r="J100" s="36" t="n">
        <v>3.62720814427021</v>
      </c>
      <c r="K100" s="36" t="n">
        <f aca="false">$K$8</f>
        <v>2.11954916662514</v>
      </c>
      <c r="L100" s="36" t="n">
        <f aca="false">SQRT(J100^2+K100^2)</f>
        <v>4.20108647752001</v>
      </c>
      <c r="M100" s="40" t="n">
        <f aca="false">IF(G100="","",MAX(0,G100-1.96*L100/100))</f>
        <v>0.344732940848468</v>
      </c>
      <c r="N100" s="40" t="n">
        <f aca="false">IF(G100="","",MIN(1,G100+1.96*L100/100))</f>
        <v>0.509415530767252</v>
      </c>
      <c r="O100" s="60" t="n">
        <f aca="false">ROUND(S100*W100,0)</f>
        <v>84</v>
      </c>
      <c r="P100" s="60" t="n">
        <f aca="false">IF(F100="","",ROUND(SQRT((F100*L100/100)^2+(G100*O100)^2),0))</f>
        <v>60</v>
      </c>
      <c r="R100" s="61" t="n">
        <v>0.473453643380435</v>
      </c>
      <c r="S100" s="62" t="n">
        <f aca="false">U100*V100*$F$5</f>
        <v>1145.48062775871</v>
      </c>
      <c r="T100" s="63" t="n">
        <f aca="false">MAX(0,MIN(1,R100/100+$D$5))</f>
        <v>0.426532841510164</v>
      </c>
      <c r="U100" s="63" t="n">
        <v>0.537027954879843</v>
      </c>
      <c r="V100" s="62" t="n">
        <v>2133</v>
      </c>
      <c r="W100" s="63" t="n">
        <v>0.0732058935918866</v>
      </c>
      <c r="X100" s="64" t="s">
        <v>166</v>
      </c>
      <c r="Y100" s="64" t="s">
        <v>167</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260</v>
      </c>
    </row>
    <row r="2" customFormat="false" ht="15" hidden="false" customHeight="false" outlineLevel="0" collapsed="false">
      <c r="A2" s="2" t="s">
        <v>122</v>
      </c>
    </row>
    <row r="3" customFormat="false" ht="15" hidden="false" customHeight="false" outlineLevel="0" collapsed="false">
      <c r="A3" s="13" t="s">
        <v>123</v>
      </c>
      <c r="B3" s="13"/>
      <c r="C3" s="13"/>
      <c r="D3" s="13"/>
      <c r="E3" s="13"/>
      <c r="F3" s="13"/>
      <c r="G3" s="13"/>
      <c r="H3" s="13"/>
      <c r="I3" s="13"/>
    </row>
    <row r="4" customFormat="false" ht="15" hidden="false" customHeight="false" outlineLevel="0" collapsed="false">
      <c r="A4" s="0" t="s">
        <v>124</v>
      </c>
      <c r="B4" s="0" t="s">
        <v>261</v>
      </c>
      <c r="C4" s="0" t="s">
        <v>126</v>
      </c>
      <c r="D4" s="49" t="n">
        <v>46300</v>
      </c>
      <c r="E4" s="50" t="s">
        <v>127</v>
      </c>
      <c r="F4" s="50" t="s">
        <v>128</v>
      </c>
      <c r="G4" s="50" t="s">
        <v>129</v>
      </c>
      <c r="H4" s="50" t="s">
        <v>130</v>
      </c>
    </row>
    <row r="5" customFormat="false" ht="15" hidden="false" customHeight="false" outlineLevel="0" collapsed="false">
      <c r="A5" s="0" t="s">
        <v>131</v>
      </c>
      <c r="B5" s="51" t="n">
        <f aca="false">'Scenario &amp; Comparison'!$C$6</f>
        <v>0.49330922527432</v>
      </c>
      <c r="C5" s="50" t="s">
        <v>132</v>
      </c>
      <c r="D5" s="52" t="n">
        <f aca="false">B5-SUMPRODUCT(R12:R100,S12:S100)/SUM(S12:S100)/100</f>
        <v>0.414916603659331</v>
      </c>
      <c r="E5" s="50" t="s">
        <v>133</v>
      </c>
      <c r="F5" s="53" t="n">
        <f aca="false">'Scenario &amp; Comparison'!$C$7</f>
        <v>1</v>
      </c>
    </row>
    <row r="6" customFormat="false" ht="15" hidden="false" customHeight="false" outlineLevel="0" collapsed="false">
      <c r="A6" s="4" t="s">
        <v>134</v>
      </c>
      <c r="B6" s="4"/>
      <c r="C6" s="4"/>
      <c r="D6" s="4"/>
      <c r="E6" s="4"/>
      <c r="F6" s="4"/>
      <c r="G6" s="4"/>
      <c r="H6" s="4"/>
      <c r="I6" s="4"/>
      <c r="J6" s="4"/>
      <c r="K6" s="4"/>
      <c r="L6" s="4"/>
      <c r="M6" s="4"/>
      <c r="N6" s="4"/>
      <c r="O6" s="4"/>
      <c r="P6" s="4"/>
    </row>
    <row r="7" customFormat="false" ht="45" hidden="false" customHeight="true" outlineLevel="0" collapsed="false">
      <c r="A7" s="8" t="s">
        <v>135</v>
      </c>
      <c r="B7" s="8" t="s">
        <v>136</v>
      </c>
      <c r="C7" s="8" t="s">
        <v>137</v>
      </c>
      <c r="D7" s="8" t="s">
        <v>36</v>
      </c>
      <c r="E7" s="8" t="s">
        <v>37</v>
      </c>
      <c r="F7" s="8" t="s">
        <v>38</v>
      </c>
      <c r="G7" s="8" t="s">
        <v>39</v>
      </c>
      <c r="H7" s="8" t="s">
        <v>138</v>
      </c>
      <c r="I7" s="8" t="s">
        <v>139</v>
      </c>
      <c r="J7" s="8" t="s">
        <v>140</v>
      </c>
      <c r="K7" s="8" t="s">
        <v>141</v>
      </c>
      <c r="L7" s="8" t="s">
        <v>142</v>
      </c>
      <c r="M7" s="8" t="s">
        <v>143</v>
      </c>
      <c r="N7" s="8" t="s">
        <v>144</v>
      </c>
      <c r="O7" s="8" t="s">
        <v>145</v>
      </c>
      <c r="P7" s="8" t="s">
        <v>146</v>
      </c>
    </row>
    <row r="8" customFormat="false" ht="15" hidden="false" customHeight="false" outlineLevel="0" collapsed="false">
      <c r="A8" s="20" t="s">
        <v>147</v>
      </c>
      <c r="B8" s="20" t="s">
        <v>148</v>
      </c>
      <c r="C8" s="20"/>
      <c r="D8" s="54" t="n">
        <f aca="false">SUM(D12:D100)</f>
        <v>151017</v>
      </c>
      <c r="E8" s="54" t="n">
        <f aca="false">SUM(E12:E100)</f>
        <v>155112</v>
      </c>
      <c r="F8" s="54" t="n">
        <f aca="false">D8+E8</f>
        <v>306129</v>
      </c>
      <c r="G8" s="55" t="n">
        <f aca="false">IF(F8=0,"",D8/F8)</f>
        <v>0.493311643130837</v>
      </c>
      <c r="H8" s="55" t="n">
        <f aca="false">IF(F8=0,"",E8/F8)</f>
        <v>0.506688356869163</v>
      </c>
      <c r="I8" s="20" t="s">
        <v>149</v>
      </c>
      <c r="J8" s="56" t="n">
        <v>0</v>
      </c>
      <c r="K8" s="56" t="n">
        <v>2.11898216136568</v>
      </c>
      <c r="L8" s="56" t="n">
        <f aca="false">SQRT(J8^2+K8^2)</f>
        <v>2.11898216136568</v>
      </c>
      <c r="M8" s="55" t="n">
        <f aca="false">G8-1.96*L8/100</f>
        <v>0.45177959276807</v>
      </c>
      <c r="N8" s="55" t="n">
        <f aca="false">G8+1.96*L8/100</f>
        <v>0.534843693493604</v>
      </c>
      <c r="O8" s="54" t="n">
        <f aca="false">ROUND(F8*0.035,0)</f>
        <v>10715</v>
      </c>
      <c r="P8" s="54" t="n">
        <f aca="false">ROUND(SQRT((F8*L8/100)^2+(G8*O8)^2),0)</f>
        <v>8368</v>
      </c>
    </row>
    <row r="9" customFormat="false" ht="15" hidden="false" customHeight="false" outlineLevel="0" collapsed="false">
      <c r="A9" s="13" t="s">
        <v>150</v>
      </c>
      <c r="B9" s="13"/>
      <c r="C9" s="13"/>
      <c r="D9" s="13"/>
      <c r="E9" s="13"/>
      <c r="F9" s="13"/>
      <c r="G9" s="13"/>
      <c r="H9" s="13"/>
      <c r="I9" s="13"/>
      <c r="J9" s="13"/>
      <c r="K9" s="13"/>
      <c r="L9" s="13"/>
      <c r="M9" s="13"/>
      <c r="N9" s="13"/>
      <c r="O9" s="13"/>
      <c r="P9" s="13"/>
    </row>
    <row r="10" customFormat="false" ht="15" hidden="false" customHeight="false" outlineLevel="0" collapsed="false">
      <c r="A10" s="4" t="s">
        <v>151</v>
      </c>
      <c r="B10" s="4"/>
      <c r="C10" s="4"/>
      <c r="D10" s="4"/>
      <c r="E10" s="4"/>
      <c r="F10" s="4"/>
      <c r="G10" s="4"/>
      <c r="H10" s="4"/>
      <c r="I10" s="4"/>
      <c r="J10" s="4"/>
      <c r="K10" s="4"/>
      <c r="L10" s="4"/>
      <c r="M10" s="4"/>
      <c r="N10" s="4"/>
      <c r="O10" s="4"/>
      <c r="P10" s="4"/>
      <c r="R10" s="57" t="s">
        <v>152</v>
      </c>
      <c r="S10" s="58"/>
      <c r="T10" s="58"/>
      <c r="U10" s="58"/>
      <c r="V10" s="58"/>
      <c r="W10" s="58"/>
      <c r="X10" s="58"/>
      <c r="Y10" s="58"/>
    </row>
    <row r="11" customFormat="false" ht="31.5" hidden="false" customHeight="true" outlineLevel="0" collapsed="false">
      <c r="A11" s="8" t="s">
        <v>113</v>
      </c>
      <c r="B11" s="8" t="s">
        <v>114</v>
      </c>
      <c r="C11" s="8" t="s">
        <v>115</v>
      </c>
      <c r="D11" s="8" t="s">
        <v>36</v>
      </c>
      <c r="E11" s="8" t="s">
        <v>37</v>
      </c>
      <c r="F11" s="8" t="s">
        <v>38</v>
      </c>
      <c r="G11" s="8" t="s">
        <v>39</v>
      </c>
      <c r="H11" s="8" t="s">
        <v>138</v>
      </c>
      <c r="I11" s="8" t="s">
        <v>153</v>
      </c>
      <c r="J11" s="8" t="s">
        <v>140</v>
      </c>
      <c r="K11" s="8" t="s">
        <v>141</v>
      </c>
      <c r="L11" s="8" t="s">
        <v>142</v>
      </c>
      <c r="M11" s="8" t="s">
        <v>143</v>
      </c>
      <c r="N11" s="8" t="s">
        <v>144</v>
      </c>
      <c r="O11" s="8" t="s">
        <v>145</v>
      </c>
      <c r="P11" s="8" t="s">
        <v>146</v>
      </c>
      <c r="R11" s="59" t="s">
        <v>154</v>
      </c>
      <c r="S11" s="59" t="s">
        <v>155</v>
      </c>
      <c r="T11" s="59" t="s">
        <v>156</v>
      </c>
      <c r="U11" s="59" t="s">
        <v>157</v>
      </c>
      <c r="V11" s="59" t="s">
        <v>158</v>
      </c>
      <c r="W11" s="59" t="s">
        <v>159</v>
      </c>
      <c r="X11" s="59" t="s">
        <v>160</v>
      </c>
      <c r="Y11" s="59" t="s">
        <v>161</v>
      </c>
    </row>
    <row r="12" customFormat="false" ht="15" hidden="false" customHeight="false" outlineLevel="0" collapsed="false">
      <c r="A12" s="32" t="s">
        <v>162</v>
      </c>
      <c r="B12" s="32" t="s">
        <v>163</v>
      </c>
      <c r="C12" s="32" t="s">
        <v>164</v>
      </c>
      <c r="D12" s="60" t="n">
        <f aca="false">ROUND(S12*T12,0)</f>
        <v>137</v>
      </c>
      <c r="E12" s="60" t="n">
        <f aca="false">ROUND(S12,0)-D12</f>
        <v>227</v>
      </c>
      <c r="F12" s="60" t="n">
        <f aca="false">IF(COUNTA(D12:E12)=0,"",SUM(D12:E12))</f>
        <v>364</v>
      </c>
      <c r="G12" s="40" t="n">
        <f aca="false">IF(OR(F12="",F12=0),"",D12/F12)</f>
        <v>0.376373626373626</v>
      </c>
      <c r="H12" s="40" t="n">
        <f aca="false">IF(OR(F12="",F12=0),"",E12/F12)</f>
        <v>0.623626373626374</v>
      </c>
      <c r="I12" s="32" t="s">
        <v>165</v>
      </c>
      <c r="J12" s="36" t="n">
        <v>3.52076694862392</v>
      </c>
      <c r="K12" s="36" t="n">
        <f aca="false">$K$8</f>
        <v>2.11898216136568</v>
      </c>
      <c r="L12" s="36" t="n">
        <f aca="false">SQRT(J12^2+K12^2)</f>
        <v>4.10924388503634</v>
      </c>
      <c r="M12" s="40" t="n">
        <f aca="false">IF(G12="","",MAX(0,G12-1.96*L12/100))</f>
        <v>0.295832446226914</v>
      </c>
      <c r="N12" s="40" t="n">
        <f aca="false">IF(G12="","",MIN(1,G12+1.96*L12/100))</f>
        <v>0.456914806520339</v>
      </c>
      <c r="O12" s="60" t="n">
        <f aca="false">ROUND(S12*W12,0)</f>
        <v>27</v>
      </c>
      <c r="P12" s="60" t="n">
        <f aca="false">IF(F12="","",ROUND(SQRT((F12*L12/100)^2+(G12*O12)^2),0))</f>
        <v>18</v>
      </c>
      <c r="R12" s="61" t="n">
        <v>-3.92205264899322</v>
      </c>
      <c r="S12" s="62" t="n">
        <f aca="false">U12*V12*$F$5</f>
        <v>364.490963855422</v>
      </c>
      <c r="T12" s="63" t="n">
        <f aca="false">MAX(0,MIN(1,R12/100+$D$5))</f>
        <v>0.375696077169399</v>
      </c>
      <c r="U12" s="63" t="n">
        <v>0.581325301204819</v>
      </c>
      <c r="V12" s="62" t="n">
        <v>627</v>
      </c>
      <c r="W12" s="63" t="n">
        <v>0.0732058935918866</v>
      </c>
      <c r="X12" s="64" t="s">
        <v>166</v>
      </c>
      <c r="Y12" s="64" t="s">
        <v>167</v>
      </c>
    </row>
    <row r="13" customFormat="false" ht="15" hidden="false" customHeight="false" outlineLevel="0" collapsed="false">
      <c r="A13" s="32" t="s">
        <v>162</v>
      </c>
      <c r="B13" s="32" t="s">
        <v>168</v>
      </c>
      <c r="C13" s="32" t="s">
        <v>164</v>
      </c>
      <c r="D13" s="60" t="n">
        <f aca="false">ROUND(S13*T13,0)</f>
        <v>89</v>
      </c>
      <c r="E13" s="60" t="n">
        <f aca="false">ROUND(S13,0)-D13</f>
        <v>241</v>
      </c>
      <c r="F13" s="60" t="n">
        <f aca="false">IF(COUNTA(D13:E13)=0,"",SUM(D13:E13))</f>
        <v>330</v>
      </c>
      <c r="G13" s="40" t="n">
        <f aca="false">IF(OR(F13="",F13=0),"",D13/F13)</f>
        <v>0.26969696969697</v>
      </c>
      <c r="H13" s="40" t="n">
        <f aca="false">IF(OR(F13="",F13=0),"",E13/F13)</f>
        <v>0.73030303030303</v>
      </c>
      <c r="I13" s="32" t="s">
        <v>165</v>
      </c>
      <c r="J13" s="36" t="n">
        <v>3.52076694862392</v>
      </c>
      <c r="K13" s="36" t="n">
        <f aca="false">$K$8</f>
        <v>2.11898216136568</v>
      </c>
      <c r="L13" s="36" t="n">
        <f aca="false">SQRT(J13^2+K13^2)</f>
        <v>4.10924388503634</v>
      </c>
      <c r="M13" s="40" t="n">
        <f aca="false">IF(G13="","",MAX(0,G13-1.96*L13/100))</f>
        <v>0.189155789550257</v>
      </c>
      <c r="N13" s="40" t="n">
        <f aca="false">IF(G13="","",MIN(1,G13+1.96*L13/100))</f>
        <v>0.350238149843682</v>
      </c>
      <c r="O13" s="60" t="n">
        <f aca="false">ROUND(S13*W13,0)</f>
        <v>24</v>
      </c>
      <c r="P13" s="60" t="n">
        <f aca="false">IF(F13="","",ROUND(SQRT((F13*L13/100)^2+(G13*O13)^2),0))</f>
        <v>15</v>
      </c>
      <c r="R13" s="61" t="n">
        <v>-14.3965473559465</v>
      </c>
      <c r="S13" s="62" t="n">
        <f aca="false">U13*V13*$F$5</f>
        <v>330.130136986301</v>
      </c>
      <c r="T13" s="63" t="n">
        <f aca="false">MAX(0,MIN(1,R13/100+$D$5))</f>
        <v>0.270951130099866</v>
      </c>
      <c r="U13" s="63" t="n">
        <v>0.537671232876712</v>
      </c>
      <c r="V13" s="62" t="n">
        <v>614</v>
      </c>
      <c r="W13" s="63" t="n">
        <v>0.0732058935918866</v>
      </c>
      <c r="X13" s="64" t="s">
        <v>166</v>
      </c>
      <c r="Y13" s="64" t="s">
        <v>167</v>
      </c>
    </row>
    <row r="14" customFormat="false" ht="15" hidden="false" customHeight="false" outlineLevel="0" collapsed="false">
      <c r="A14" s="32" t="s">
        <v>162</v>
      </c>
      <c r="B14" s="32" t="s">
        <v>169</v>
      </c>
      <c r="C14" s="32" t="s">
        <v>164</v>
      </c>
      <c r="D14" s="60" t="n">
        <f aca="false">ROUND(S14*T14,0)</f>
        <v>113</v>
      </c>
      <c r="E14" s="60" t="n">
        <f aca="false">ROUND(S14,0)-D14</f>
        <v>243</v>
      </c>
      <c r="F14" s="60" t="n">
        <f aca="false">IF(COUNTA(D14:E14)=0,"",SUM(D14:E14))</f>
        <v>356</v>
      </c>
      <c r="G14" s="40" t="n">
        <f aca="false">IF(OR(F14="",F14=0),"",D14/F14)</f>
        <v>0.317415730337079</v>
      </c>
      <c r="H14" s="40" t="n">
        <f aca="false">IF(OR(F14="",F14=0),"",E14/F14)</f>
        <v>0.682584269662921</v>
      </c>
      <c r="I14" s="32" t="s">
        <v>165</v>
      </c>
      <c r="J14" s="36" t="n">
        <v>3.52076694862392</v>
      </c>
      <c r="K14" s="36" t="n">
        <f aca="false">$K$8</f>
        <v>2.11898216136568</v>
      </c>
      <c r="L14" s="36" t="n">
        <f aca="false">SQRT(J14^2+K14^2)</f>
        <v>4.10924388503634</v>
      </c>
      <c r="M14" s="40" t="n">
        <f aca="false">IF(G14="","",MAX(0,G14-1.96*L14/100))</f>
        <v>0.236874550190366</v>
      </c>
      <c r="N14" s="40" t="n">
        <f aca="false">IF(G14="","",MIN(1,G14+1.96*L14/100))</f>
        <v>0.397956910483791</v>
      </c>
      <c r="O14" s="60" t="n">
        <f aca="false">ROUND(S14*W14,0)</f>
        <v>26</v>
      </c>
      <c r="P14" s="60" t="n">
        <f aca="false">IF(F14="","",ROUND(SQRT((F14*L14/100)^2+(G14*O14)^2),0))</f>
        <v>17</v>
      </c>
      <c r="R14" s="61" t="n">
        <v>-9.65210232536228</v>
      </c>
      <c r="S14" s="62" t="n">
        <f aca="false">U14*V14*$F$5</f>
        <v>355.63436928702</v>
      </c>
      <c r="T14" s="63" t="n">
        <f aca="false">MAX(0,MIN(1,R14/100+$D$5))</f>
        <v>0.318395580405708</v>
      </c>
      <c r="U14" s="63" t="n">
        <v>0.636197440585009</v>
      </c>
      <c r="V14" s="62" t="n">
        <v>559</v>
      </c>
      <c r="W14" s="63" t="n">
        <v>0.0732058935918866</v>
      </c>
      <c r="X14" s="64" t="s">
        <v>166</v>
      </c>
      <c r="Y14" s="64" t="s">
        <v>167</v>
      </c>
    </row>
    <row r="15" customFormat="false" ht="15" hidden="false" customHeight="false" outlineLevel="0" collapsed="false">
      <c r="A15" s="32" t="s">
        <v>162</v>
      </c>
      <c r="B15" s="32" t="s">
        <v>170</v>
      </c>
      <c r="C15" s="32" t="s">
        <v>164</v>
      </c>
      <c r="D15" s="60" t="n">
        <f aca="false">ROUND(S15*T15,0)</f>
        <v>351</v>
      </c>
      <c r="E15" s="60" t="n">
        <f aca="false">ROUND(S15,0)-D15</f>
        <v>984</v>
      </c>
      <c r="F15" s="60" t="n">
        <f aca="false">IF(COUNTA(D15:E15)=0,"",SUM(D15:E15))</f>
        <v>1335</v>
      </c>
      <c r="G15" s="40" t="n">
        <f aca="false">IF(OR(F15="",F15=0),"",D15/F15)</f>
        <v>0.262921348314607</v>
      </c>
      <c r="H15" s="40" t="n">
        <f aca="false">IF(OR(F15="",F15=0),"",E15/F15)</f>
        <v>0.737078651685393</v>
      </c>
      <c r="I15" s="32" t="s">
        <v>165</v>
      </c>
      <c r="J15" s="36" t="n">
        <v>1.84762040092345</v>
      </c>
      <c r="K15" s="36" t="n">
        <f aca="false">$K$8</f>
        <v>2.11898216136568</v>
      </c>
      <c r="L15" s="36" t="n">
        <f aca="false">SQRT(J15^2+K15^2)</f>
        <v>2.81136738013631</v>
      </c>
      <c r="M15" s="40" t="n">
        <f aca="false">IF(G15="","",MAX(0,G15-1.96*L15/100))</f>
        <v>0.207818547663935</v>
      </c>
      <c r="N15" s="40" t="n">
        <f aca="false">IF(G15="","",MIN(1,G15+1.96*L15/100))</f>
        <v>0.318024148965278</v>
      </c>
      <c r="O15" s="60" t="n">
        <f aca="false">ROUND(S15*W15,0)</f>
        <v>73</v>
      </c>
      <c r="P15" s="60" t="n">
        <f aca="false">IF(F15="","",ROUND(SQRT((F15*L15/100)^2+(G15*O15)^2),0))</f>
        <v>42</v>
      </c>
      <c r="R15" s="61" t="n">
        <v>-15.2301888326138</v>
      </c>
      <c r="S15" s="62" t="n">
        <f aca="false">U15*V15*$F$5</f>
        <v>1334.82101558572</v>
      </c>
      <c r="T15" s="63" t="n">
        <f aca="false">MAX(0,MIN(1,R15/100+$D$5))</f>
        <v>0.262614715333193</v>
      </c>
      <c r="U15" s="63" t="n">
        <v>0.652086475615887</v>
      </c>
      <c r="V15" s="62" t="n">
        <v>2047</v>
      </c>
      <c r="W15" s="63" t="n">
        <v>0.0547268472736556</v>
      </c>
      <c r="X15" s="64" t="s">
        <v>171</v>
      </c>
      <c r="Y15" s="64" t="s">
        <v>167</v>
      </c>
    </row>
    <row r="16" customFormat="false" ht="15" hidden="false" customHeight="false" outlineLevel="0" collapsed="false">
      <c r="A16" s="32" t="s">
        <v>162</v>
      </c>
      <c r="B16" s="32" t="s">
        <v>172</v>
      </c>
      <c r="C16" s="32" t="s">
        <v>164</v>
      </c>
      <c r="D16" s="60" t="n">
        <f aca="false">ROUND(S16*T16,0)</f>
        <v>31</v>
      </c>
      <c r="E16" s="60" t="n">
        <f aca="false">ROUND(S16,0)-D16</f>
        <v>62</v>
      </c>
      <c r="F16" s="60" t="n">
        <f aca="false">IF(COUNTA(D16:E16)=0,"",SUM(D16:E16))</f>
        <v>93</v>
      </c>
      <c r="G16" s="40" t="n">
        <f aca="false">IF(OR(F16="",F16=0),"",D16/F16)</f>
        <v>0.333333333333333</v>
      </c>
      <c r="H16" s="40" t="n">
        <f aca="false">IF(OR(F16="",F16=0),"",E16/F16)</f>
        <v>0.666666666666667</v>
      </c>
      <c r="I16" s="32" t="s">
        <v>165</v>
      </c>
      <c r="J16" s="36" t="n">
        <v>3.52076694862392</v>
      </c>
      <c r="K16" s="36" t="n">
        <f aca="false">$K$8</f>
        <v>2.11898216136568</v>
      </c>
      <c r="L16" s="36" t="n">
        <f aca="false">SQRT(J16^2+K16^2)</f>
        <v>4.10924388503634</v>
      </c>
      <c r="M16" s="40" t="n">
        <f aca="false">IF(G16="","",MAX(0,G16-1.96*L16/100))</f>
        <v>0.252792153186621</v>
      </c>
      <c r="N16" s="40" t="n">
        <f aca="false">IF(G16="","",MIN(1,G16+1.96*L16/100))</f>
        <v>0.413874513480046</v>
      </c>
      <c r="O16" s="60" t="n">
        <f aca="false">ROUND(S16*W16,0)</f>
        <v>7</v>
      </c>
      <c r="P16" s="60" t="n">
        <f aca="false">IF(F16="","",ROUND(SQRT((F16*L16/100)^2+(G16*O16)^2),0))</f>
        <v>4</v>
      </c>
      <c r="R16" s="61" t="n">
        <v>-8.12246735023471</v>
      </c>
      <c r="S16" s="62" t="n">
        <f aca="false">U16*V16*$F$5</f>
        <v>93.4268292682927</v>
      </c>
      <c r="T16" s="63" t="n">
        <f aca="false">MAX(0,MIN(1,R16/100+$D$5))</f>
        <v>0.333691930156984</v>
      </c>
      <c r="U16" s="63" t="n">
        <v>0.573170731707317</v>
      </c>
      <c r="V16" s="62" t="n">
        <v>163</v>
      </c>
      <c r="W16" s="63" t="n">
        <v>0.0732058935918866</v>
      </c>
      <c r="X16" s="64" t="s">
        <v>166</v>
      </c>
      <c r="Y16" s="64" t="s">
        <v>167</v>
      </c>
    </row>
    <row r="17" customFormat="false" ht="15" hidden="false" customHeight="false" outlineLevel="0" collapsed="false">
      <c r="A17" s="32" t="s">
        <v>162</v>
      </c>
      <c r="B17" s="32" t="s">
        <v>173</v>
      </c>
      <c r="C17" s="32" t="s">
        <v>164</v>
      </c>
      <c r="D17" s="60" t="n">
        <f aca="false">ROUND(S17*T17,0)</f>
        <v>535</v>
      </c>
      <c r="E17" s="60" t="n">
        <f aca="false">ROUND(S17,0)-D17</f>
        <v>1447</v>
      </c>
      <c r="F17" s="60" t="n">
        <f aca="false">IF(COUNTA(D17:E17)=0,"",SUM(D17:E17))</f>
        <v>1982</v>
      </c>
      <c r="G17" s="40" t="n">
        <f aca="false">IF(OR(F17="",F17=0),"",D17/F17)</f>
        <v>0.269929364278507</v>
      </c>
      <c r="H17" s="40" t="n">
        <f aca="false">IF(OR(F17="",F17=0),"",E17/F17)</f>
        <v>0.730070635721493</v>
      </c>
      <c r="I17" s="32" t="s">
        <v>165</v>
      </c>
      <c r="J17" s="36" t="n">
        <v>1.84762040092345</v>
      </c>
      <c r="K17" s="36" t="n">
        <f aca="false">$K$8</f>
        <v>2.11898216136568</v>
      </c>
      <c r="L17" s="36" t="n">
        <f aca="false">SQRT(J17^2+K17^2)</f>
        <v>2.81136738013631</v>
      </c>
      <c r="M17" s="40" t="n">
        <f aca="false">IF(G17="","",MAX(0,G17-1.96*L17/100))</f>
        <v>0.214826563627835</v>
      </c>
      <c r="N17" s="40" t="n">
        <f aca="false">IF(G17="","",MIN(1,G17+1.96*L17/100))</f>
        <v>0.325032164929178</v>
      </c>
      <c r="O17" s="60" t="n">
        <f aca="false">ROUND(S17*W17,0)</f>
        <v>108</v>
      </c>
      <c r="P17" s="60" t="n">
        <f aca="false">IF(F17="","",ROUND(SQRT((F17*L17/100)^2+(G17*O17)^2),0))</f>
        <v>63</v>
      </c>
      <c r="R17" s="61" t="n">
        <v>-14.4801275539913</v>
      </c>
      <c r="S17" s="62" t="n">
        <f aca="false">U17*V17*$F$5</f>
        <v>1982.00903517264</v>
      </c>
      <c r="T17" s="63" t="n">
        <f aca="false">MAX(0,MIN(1,R17/100+$D$5))</f>
        <v>0.270115328119418</v>
      </c>
      <c r="U17" s="63" t="n">
        <v>0.631816715069377</v>
      </c>
      <c r="V17" s="62" t="n">
        <v>3137</v>
      </c>
      <c r="W17" s="63" t="n">
        <v>0.0547268472736556</v>
      </c>
      <c r="X17" s="64" t="s">
        <v>171</v>
      </c>
      <c r="Y17" s="64" t="s">
        <v>167</v>
      </c>
    </row>
    <row r="18" customFormat="false" ht="15" hidden="false" customHeight="false" outlineLevel="0" collapsed="false">
      <c r="A18" s="32" t="s">
        <v>162</v>
      </c>
      <c r="B18" s="32" t="s">
        <v>174</v>
      </c>
      <c r="C18" s="32" t="s">
        <v>164</v>
      </c>
      <c r="D18" s="60" t="n">
        <f aca="false">ROUND(S18*T18,0)</f>
        <v>919</v>
      </c>
      <c r="E18" s="60" t="n">
        <f aca="false">ROUND(S18,0)-D18</f>
        <v>1189</v>
      </c>
      <c r="F18" s="60" t="n">
        <f aca="false">IF(COUNTA(D18:E18)=0,"",SUM(D18:E18))</f>
        <v>2108</v>
      </c>
      <c r="G18" s="40" t="n">
        <f aca="false">IF(OR(F18="",F18=0),"",D18/F18)</f>
        <v>0.43595825426945</v>
      </c>
      <c r="H18" s="40" t="n">
        <f aca="false">IF(OR(F18="",F18=0),"",E18/F18)</f>
        <v>0.56404174573055</v>
      </c>
      <c r="I18" s="32" t="s">
        <v>165</v>
      </c>
      <c r="J18" s="36" t="n">
        <v>1.84762040092345</v>
      </c>
      <c r="K18" s="36" t="n">
        <f aca="false">$K$8</f>
        <v>2.11898216136568</v>
      </c>
      <c r="L18" s="36" t="n">
        <f aca="false">SQRT(J18^2+K18^2)</f>
        <v>2.81136738013631</v>
      </c>
      <c r="M18" s="40" t="n">
        <f aca="false">IF(G18="","",MAX(0,G18-1.96*L18/100))</f>
        <v>0.380855453618778</v>
      </c>
      <c r="N18" s="40" t="n">
        <f aca="false">IF(G18="","",MIN(1,G18+1.96*L18/100))</f>
        <v>0.491061054920121</v>
      </c>
      <c r="O18" s="60" t="n">
        <f aca="false">ROUND(S18*W18,0)</f>
        <v>115</v>
      </c>
      <c r="P18" s="60" t="n">
        <f aca="false">IF(F18="","",ROUND(SQRT((F18*L18/100)^2+(G18*O18)^2),0))</f>
        <v>78</v>
      </c>
      <c r="R18" s="61" t="n">
        <v>2.10770774058132</v>
      </c>
      <c r="S18" s="62" t="n">
        <f aca="false">U18*V18*$F$5</f>
        <v>2107.72563176895</v>
      </c>
      <c r="T18" s="63" t="n">
        <f aca="false">MAX(0,MIN(1,R18/100+$D$5))</f>
        <v>0.435993681065144</v>
      </c>
      <c r="U18" s="63" t="n">
        <v>0.642599277978339</v>
      </c>
      <c r="V18" s="62" t="n">
        <v>3280</v>
      </c>
      <c r="W18" s="63" t="n">
        <v>0.0547268472736556</v>
      </c>
      <c r="X18" s="64" t="s">
        <v>171</v>
      </c>
      <c r="Y18" s="64" t="s">
        <v>167</v>
      </c>
    </row>
    <row r="19" customFormat="false" ht="15" hidden="false" customHeight="false" outlineLevel="0" collapsed="false">
      <c r="A19" s="32" t="s">
        <v>162</v>
      </c>
      <c r="B19" s="32" t="s">
        <v>175</v>
      </c>
      <c r="C19" s="32" t="s">
        <v>164</v>
      </c>
      <c r="D19" s="60" t="n">
        <f aca="false">ROUND(S19*T19,0)</f>
        <v>262</v>
      </c>
      <c r="E19" s="60" t="n">
        <f aca="false">ROUND(S19,0)-D19</f>
        <v>543</v>
      </c>
      <c r="F19" s="60" t="n">
        <f aca="false">IF(COUNTA(D19:E19)=0,"",SUM(D19:E19))</f>
        <v>805</v>
      </c>
      <c r="G19" s="40" t="n">
        <f aca="false">IF(OR(F19="",F19=0),"",D19/F19)</f>
        <v>0.325465838509317</v>
      </c>
      <c r="H19" s="40" t="n">
        <f aca="false">IF(OR(F19="",F19=0),"",E19/F19)</f>
        <v>0.674534161490683</v>
      </c>
      <c r="I19" s="32" t="s">
        <v>165</v>
      </c>
      <c r="J19" s="36" t="n">
        <v>3.52076694862392</v>
      </c>
      <c r="K19" s="36" t="n">
        <f aca="false">$K$8</f>
        <v>2.11898216136568</v>
      </c>
      <c r="L19" s="36" t="n">
        <f aca="false">SQRT(J19^2+K19^2)</f>
        <v>4.10924388503634</v>
      </c>
      <c r="M19" s="40" t="n">
        <f aca="false">IF(G19="","",MAX(0,G19-1.96*L19/100))</f>
        <v>0.244924658362604</v>
      </c>
      <c r="N19" s="40" t="n">
        <f aca="false">IF(G19="","",MIN(1,G19+1.96*L19/100))</f>
        <v>0.406007018656029</v>
      </c>
      <c r="O19" s="60" t="n">
        <f aca="false">ROUND(S19*W19,0)</f>
        <v>59</v>
      </c>
      <c r="P19" s="60" t="n">
        <f aca="false">IF(F19="","",ROUND(SQRT((F19*L19/100)^2+(G19*O19)^2),0))</f>
        <v>38</v>
      </c>
      <c r="R19" s="61" t="n">
        <v>-8.92822074580041</v>
      </c>
      <c r="S19" s="62" t="n">
        <f aca="false">U19*V19*$F$5</f>
        <v>804.850331125828</v>
      </c>
      <c r="T19" s="63" t="n">
        <f aca="false">MAX(0,MIN(1,R19/100+$D$5))</f>
        <v>0.325634396201327</v>
      </c>
      <c r="U19" s="63" t="n">
        <v>0.554304635761589</v>
      </c>
      <c r="V19" s="62" t="n">
        <v>1452</v>
      </c>
      <c r="W19" s="63" t="n">
        <v>0.0732058935918866</v>
      </c>
      <c r="X19" s="64" t="s">
        <v>166</v>
      </c>
      <c r="Y19" s="64" t="s">
        <v>167</v>
      </c>
    </row>
    <row r="20" customFormat="false" ht="15" hidden="false" customHeight="false" outlineLevel="0" collapsed="false">
      <c r="A20" s="32" t="s">
        <v>162</v>
      </c>
      <c r="B20" s="32" t="s">
        <v>176</v>
      </c>
      <c r="C20" s="32" t="s">
        <v>164</v>
      </c>
      <c r="D20" s="60" t="n">
        <f aca="false">ROUND(S20*T20,0)</f>
        <v>441</v>
      </c>
      <c r="E20" s="60" t="n">
        <f aca="false">ROUND(S20,0)-D20</f>
        <v>642</v>
      </c>
      <c r="F20" s="60" t="n">
        <f aca="false">IF(COUNTA(D20:E20)=0,"",SUM(D20:E20))</f>
        <v>1083</v>
      </c>
      <c r="G20" s="40" t="n">
        <f aca="false">IF(OR(F20="",F20=0),"",D20/F20)</f>
        <v>0.407202216066482</v>
      </c>
      <c r="H20" s="40" t="n">
        <f aca="false">IF(OR(F20="",F20=0),"",E20/F20)</f>
        <v>0.592797783933518</v>
      </c>
      <c r="I20" s="32" t="s">
        <v>165</v>
      </c>
      <c r="J20" s="36" t="n">
        <v>3.52076694862392</v>
      </c>
      <c r="K20" s="36" t="n">
        <f aca="false">$K$8</f>
        <v>2.11898216136568</v>
      </c>
      <c r="L20" s="36" t="n">
        <f aca="false">SQRT(J20^2+K20^2)</f>
        <v>4.10924388503634</v>
      </c>
      <c r="M20" s="40" t="n">
        <f aca="false">IF(G20="","",MAX(0,G20-1.96*L20/100))</f>
        <v>0.32666103591977</v>
      </c>
      <c r="N20" s="40" t="n">
        <f aca="false">IF(G20="","",MIN(1,G20+1.96*L20/100))</f>
        <v>0.487743396213194</v>
      </c>
      <c r="O20" s="60" t="n">
        <f aca="false">ROUND(S20*W20,0)</f>
        <v>79</v>
      </c>
      <c r="P20" s="60" t="n">
        <f aca="false">IF(F20="","",ROUND(SQRT((F20*L20/100)^2+(G20*O20)^2),0))</f>
        <v>55</v>
      </c>
      <c r="R20" s="61" t="n">
        <v>-0.81940963332509</v>
      </c>
      <c r="S20" s="62" t="n">
        <f aca="false">U20*V20*$F$5</f>
        <v>1083.4829443447</v>
      </c>
      <c r="T20" s="63" t="n">
        <f aca="false">MAX(0,MIN(1,R20/100+$D$5))</f>
        <v>0.40672250732608</v>
      </c>
      <c r="U20" s="63" t="n">
        <v>0.448833034111311</v>
      </c>
      <c r="V20" s="62" t="n">
        <v>2414</v>
      </c>
      <c r="W20" s="63" t="n">
        <v>0.0732058935918866</v>
      </c>
      <c r="X20" s="64" t="s">
        <v>166</v>
      </c>
      <c r="Y20" s="64" t="s">
        <v>167</v>
      </c>
    </row>
    <row r="21" customFormat="false" ht="15" hidden="false" customHeight="false" outlineLevel="0" collapsed="false">
      <c r="A21" s="32" t="s">
        <v>162</v>
      </c>
      <c r="B21" s="32" t="s">
        <v>177</v>
      </c>
      <c r="C21" s="32" t="s">
        <v>164</v>
      </c>
      <c r="D21" s="60" t="n">
        <f aca="false">ROUND(S21*T21,0)</f>
        <v>32</v>
      </c>
      <c r="E21" s="60" t="n">
        <f aca="false">ROUND(S21,0)-D21</f>
        <v>86</v>
      </c>
      <c r="F21" s="60" t="n">
        <f aca="false">IF(COUNTA(D21:E21)=0,"",SUM(D21:E21))</f>
        <v>118</v>
      </c>
      <c r="G21" s="40" t="n">
        <f aca="false">IF(OR(F21="",F21=0),"",D21/F21)</f>
        <v>0.271186440677966</v>
      </c>
      <c r="H21" s="40" t="n">
        <f aca="false">IF(OR(F21="",F21=0),"",E21/F21)</f>
        <v>0.728813559322034</v>
      </c>
      <c r="I21" s="32" t="s">
        <v>165</v>
      </c>
      <c r="J21" s="36" t="n">
        <v>3.52076694862392</v>
      </c>
      <c r="K21" s="36" t="n">
        <f aca="false">$K$8</f>
        <v>2.11898216136568</v>
      </c>
      <c r="L21" s="36" t="n">
        <f aca="false">SQRT(J21^2+K21^2)</f>
        <v>4.10924388503634</v>
      </c>
      <c r="M21" s="40" t="n">
        <f aca="false">IF(G21="","",MAX(0,G21-1.96*L21/100))</f>
        <v>0.190645260531254</v>
      </c>
      <c r="N21" s="40" t="n">
        <f aca="false">IF(G21="","",MIN(1,G21+1.96*L21/100))</f>
        <v>0.351727620824678</v>
      </c>
      <c r="O21" s="60" t="n">
        <f aca="false">ROUND(S21*W21,0)</f>
        <v>9</v>
      </c>
      <c r="P21" s="60" t="n">
        <f aca="false">IF(F21="","",ROUND(SQRT((F21*L21/100)^2+(G21*O21)^2),0))</f>
        <v>5</v>
      </c>
      <c r="R21" s="61" t="n">
        <v>-14.2553089194769</v>
      </c>
      <c r="S21" s="62" t="n">
        <f aca="false">U21*V21*$F$5</f>
        <v>118.285714285714</v>
      </c>
      <c r="T21" s="63" t="n">
        <f aca="false">MAX(0,MIN(1,R21/100+$D$5))</f>
        <v>0.272363514464562</v>
      </c>
      <c r="U21" s="63" t="n">
        <v>0.657142857142857</v>
      </c>
      <c r="V21" s="62" t="n">
        <v>180</v>
      </c>
      <c r="W21" s="63" t="n">
        <v>0.0732058935918866</v>
      </c>
      <c r="X21" s="64" t="s">
        <v>166</v>
      </c>
      <c r="Y21" s="64" t="s">
        <v>167</v>
      </c>
    </row>
    <row r="22" customFormat="false" ht="15" hidden="false" customHeight="false" outlineLevel="0" collapsed="false">
      <c r="A22" s="32" t="s">
        <v>162</v>
      </c>
      <c r="B22" s="32" t="s">
        <v>178</v>
      </c>
      <c r="C22" s="32" t="s">
        <v>164</v>
      </c>
      <c r="D22" s="60" t="n">
        <f aca="false">ROUND(S22*T22,0)</f>
        <v>44</v>
      </c>
      <c r="E22" s="60" t="n">
        <f aca="false">ROUND(S22,0)-D22</f>
        <v>193</v>
      </c>
      <c r="F22" s="60" t="n">
        <f aca="false">IF(COUNTA(D22:E22)=0,"",SUM(D22:E22))</f>
        <v>237</v>
      </c>
      <c r="G22" s="40" t="n">
        <f aca="false">IF(OR(F22="",F22=0),"",D22/F22)</f>
        <v>0.185654008438819</v>
      </c>
      <c r="H22" s="40" t="n">
        <f aca="false">IF(OR(F22="",F22=0),"",E22/F22)</f>
        <v>0.814345991561182</v>
      </c>
      <c r="I22" s="32" t="s">
        <v>165</v>
      </c>
      <c r="J22" s="36" t="n">
        <v>3.52076694862392</v>
      </c>
      <c r="K22" s="36" t="n">
        <f aca="false">$K$8</f>
        <v>2.11898216136568</v>
      </c>
      <c r="L22" s="36" t="n">
        <f aca="false">SQRT(J22^2+K22^2)</f>
        <v>4.10924388503634</v>
      </c>
      <c r="M22" s="40" t="n">
        <f aca="false">IF(G22="","",MAX(0,G22-1.96*L22/100))</f>
        <v>0.105112828292106</v>
      </c>
      <c r="N22" s="40" t="n">
        <f aca="false">IF(G22="","",MIN(1,G22+1.96*L22/100))</f>
        <v>0.266195188585531</v>
      </c>
      <c r="O22" s="60" t="n">
        <f aca="false">ROUND(S22*W22,0)</f>
        <v>17</v>
      </c>
      <c r="P22" s="60" t="n">
        <f aca="false">IF(F22="","",ROUND(SQRT((F22*L22/100)^2+(G22*O22)^2),0))</f>
        <v>10</v>
      </c>
      <c r="R22" s="61" t="n">
        <v>-23.1111938428905</v>
      </c>
      <c r="S22" s="62" t="n">
        <f aca="false">U22*V22*$F$5</f>
        <v>236.844827586207</v>
      </c>
      <c r="T22" s="63" t="n">
        <f aca="false">MAX(0,MIN(1,R22/100+$D$5))</f>
        <v>0.183804665230426</v>
      </c>
      <c r="U22" s="63" t="n">
        <v>0.692528735632184</v>
      </c>
      <c r="V22" s="62" t="n">
        <v>342</v>
      </c>
      <c r="W22" s="63" t="n">
        <v>0.0732058935918866</v>
      </c>
      <c r="X22" s="64" t="s">
        <v>166</v>
      </c>
      <c r="Y22" s="64" t="s">
        <v>167</v>
      </c>
    </row>
    <row r="23" customFormat="false" ht="15" hidden="false" customHeight="false" outlineLevel="0" collapsed="false">
      <c r="A23" s="32" t="s">
        <v>162</v>
      </c>
      <c r="B23" s="32" t="s">
        <v>179</v>
      </c>
      <c r="C23" s="32" t="s">
        <v>164</v>
      </c>
      <c r="D23" s="60" t="n">
        <f aca="false">ROUND(S23*T23,0)</f>
        <v>684</v>
      </c>
      <c r="E23" s="60" t="n">
        <f aca="false">ROUND(S23,0)-D23</f>
        <v>1070</v>
      </c>
      <c r="F23" s="60" t="n">
        <f aca="false">IF(COUNTA(D23:E23)=0,"",SUM(D23:E23))</f>
        <v>1754</v>
      </c>
      <c r="G23" s="40" t="n">
        <f aca="false">IF(OR(F23="",F23=0),"",D23/F23)</f>
        <v>0.389965792474344</v>
      </c>
      <c r="H23" s="40" t="n">
        <f aca="false">IF(OR(F23="",F23=0),"",E23/F23)</f>
        <v>0.610034207525656</v>
      </c>
      <c r="I23" s="32" t="s">
        <v>165</v>
      </c>
      <c r="J23" s="36" t="n">
        <v>1.84762040092345</v>
      </c>
      <c r="K23" s="36" t="n">
        <f aca="false">$K$8</f>
        <v>2.11898216136568</v>
      </c>
      <c r="L23" s="36" t="n">
        <f aca="false">SQRT(J23^2+K23^2)</f>
        <v>2.81136738013631</v>
      </c>
      <c r="M23" s="40" t="n">
        <f aca="false">IF(G23="","",MAX(0,G23-1.96*L23/100))</f>
        <v>0.334862991823673</v>
      </c>
      <c r="N23" s="40" t="n">
        <f aca="false">IF(G23="","",MIN(1,G23+1.96*L23/100))</f>
        <v>0.445068593125016</v>
      </c>
      <c r="O23" s="60" t="n">
        <f aca="false">ROUND(S23*W23,0)</f>
        <v>96</v>
      </c>
      <c r="P23" s="60" t="n">
        <f aca="false">IF(F23="","",ROUND(SQRT((F23*L23/100)^2+(G23*O23)^2),0))</f>
        <v>62</v>
      </c>
      <c r="R23" s="61" t="n">
        <v>-2.48125698528973</v>
      </c>
      <c r="S23" s="62" t="n">
        <f aca="false">U23*V23*$F$5</f>
        <v>1753.74077578051</v>
      </c>
      <c r="T23" s="63" t="n">
        <f aca="false">MAX(0,MIN(1,R23/100+$D$5))</f>
        <v>0.390104033806434</v>
      </c>
      <c r="U23" s="63" t="n">
        <v>0.525701671397036</v>
      </c>
      <c r="V23" s="62" t="n">
        <v>3336</v>
      </c>
      <c r="W23" s="63" t="n">
        <v>0.0547268472736556</v>
      </c>
      <c r="X23" s="64" t="s">
        <v>171</v>
      </c>
      <c r="Y23" s="64" t="s">
        <v>167</v>
      </c>
    </row>
    <row r="24" customFormat="false" ht="15" hidden="false" customHeight="false" outlineLevel="0" collapsed="false">
      <c r="A24" s="32" t="s">
        <v>162</v>
      </c>
      <c r="B24" s="32" t="s">
        <v>180</v>
      </c>
      <c r="C24" s="32" t="s">
        <v>164</v>
      </c>
      <c r="D24" s="60" t="n">
        <f aca="false">ROUND(S24*T24,0)</f>
        <v>396</v>
      </c>
      <c r="E24" s="60" t="n">
        <f aca="false">ROUND(S24,0)-D24</f>
        <v>1005</v>
      </c>
      <c r="F24" s="60" t="n">
        <f aca="false">IF(COUNTA(D24:E24)=0,"",SUM(D24:E24))</f>
        <v>1401</v>
      </c>
      <c r="G24" s="40" t="n">
        <f aca="false">IF(OR(F24="",F24=0),"",D24/F24)</f>
        <v>0.282655246252677</v>
      </c>
      <c r="H24" s="40" t="n">
        <f aca="false">IF(OR(F24="",F24=0),"",E24/F24)</f>
        <v>0.717344753747323</v>
      </c>
      <c r="I24" s="32" t="s">
        <v>165</v>
      </c>
      <c r="J24" s="36" t="n">
        <v>1.84762040092345</v>
      </c>
      <c r="K24" s="36" t="n">
        <f aca="false">$K$8</f>
        <v>2.11898216136568</v>
      </c>
      <c r="L24" s="36" t="n">
        <f aca="false">SQRT(J24^2+K24^2)</f>
        <v>2.81136738013631</v>
      </c>
      <c r="M24" s="40" t="n">
        <f aca="false">IF(G24="","",MAX(0,G24-1.96*L24/100))</f>
        <v>0.227552445602005</v>
      </c>
      <c r="N24" s="40" t="n">
        <f aca="false">IF(G24="","",MIN(1,G24+1.96*L24/100))</f>
        <v>0.337758046903348</v>
      </c>
      <c r="O24" s="60" t="n">
        <f aca="false">ROUND(S24*W24,0)</f>
        <v>77</v>
      </c>
      <c r="P24" s="60" t="n">
        <f aca="false">IF(F24="","",ROUND(SQRT((F24*L24/100)^2+(G24*O24)^2),0))</f>
        <v>45</v>
      </c>
      <c r="R24" s="61" t="n">
        <v>-13.2497013680944</v>
      </c>
      <c r="S24" s="62" t="n">
        <f aca="false">U24*V24*$F$5</f>
        <v>1401.11772917636</v>
      </c>
      <c r="T24" s="63" t="n">
        <f aca="false">MAX(0,MIN(1,R24/100+$D$5))</f>
        <v>0.282419589978387</v>
      </c>
      <c r="U24" s="63" t="n">
        <v>0.626337831549558</v>
      </c>
      <c r="V24" s="62" t="n">
        <v>2237</v>
      </c>
      <c r="W24" s="63" t="n">
        <v>0.0547268472736556</v>
      </c>
      <c r="X24" s="64" t="s">
        <v>171</v>
      </c>
      <c r="Y24" s="64" t="s">
        <v>167</v>
      </c>
    </row>
    <row r="25" customFormat="false" ht="15" hidden="false" customHeight="false" outlineLevel="0" collapsed="false">
      <c r="A25" s="32" t="s">
        <v>162</v>
      </c>
      <c r="B25" s="32" t="s">
        <v>181</v>
      </c>
      <c r="C25" s="32" t="s">
        <v>164</v>
      </c>
      <c r="D25" s="60" t="n">
        <f aca="false">ROUND(S25*T25,0)</f>
        <v>533</v>
      </c>
      <c r="E25" s="60" t="n">
        <f aca="false">ROUND(S25,0)-D25</f>
        <v>1345</v>
      </c>
      <c r="F25" s="60" t="n">
        <f aca="false">IF(COUNTA(D25:E25)=0,"",SUM(D25:E25))</f>
        <v>1878</v>
      </c>
      <c r="G25" s="40" t="n">
        <f aca="false">IF(OR(F25="",F25=0),"",D25/F25)</f>
        <v>0.28381256656017</v>
      </c>
      <c r="H25" s="40" t="n">
        <f aca="false">IF(OR(F25="",F25=0),"",E25/F25)</f>
        <v>0.71618743343983</v>
      </c>
      <c r="I25" s="32" t="s">
        <v>165</v>
      </c>
      <c r="J25" s="36" t="n">
        <v>1.84762040092345</v>
      </c>
      <c r="K25" s="36" t="n">
        <f aca="false">$K$8</f>
        <v>2.11898216136568</v>
      </c>
      <c r="L25" s="36" t="n">
        <f aca="false">SQRT(J25^2+K25^2)</f>
        <v>2.81136738013631</v>
      </c>
      <c r="M25" s="40" t="n">
        <f aca="false">IF(G25="","",MAX(0,G25-1.96*L25/100))</f>
        <v>0.228709765909499</v>
      </c>
      <c r="N25" s="40" t="n">
        <f aca="false">IF(G25="","",MIN(1,G25+1.96*L25/100))</f>
        <v>0.338915367210842</v>
      </c>
      <c r="O25" s="60" t="n">
        <f aca="false">ROUND(S25*W25,0)</f>
        <v>103</v>
      </c>
      <c r="P25" s="60" t="n">
        <f aca="false">IF(F25="","",ROUND(SQRT((F25*L25/100)^2+(G25*O25)^2),0))</f>
        <v>60</v>
      </c>
      <c r="R25" s="61" t="n">
        <v>-13.1097094652874</v>
      </c>
      <c r="S25" s="62" t="n">
        <f aca="false">U25*V25*$F$5</f>
        <v>1878.41828929068</v>
      </c>
      <c r="T25" s="63" t="n">
        <f aca="false">MAX(0,MIN(1,R25/100+$D$5))</f>
        <v>0.283819509006457</v>
      </c>
      <c r="U25" s="63" t="n">
        <v>0.616481223922114</v>
      </c>
      <c r="V25" s="62" t="n">
        <v>3047</v>
      </c>
      <c r="W25" s="63" t="n">
        <v>0.0547268472736556</v>
      </c>
      <c r="X25" s="64" t="s">
        <v>171</v>
      </c>
      <c r="Y25" s="64" t="s">
        <v>167</v>
      </c>
    </row>
    <row r="26" customFormat="false" ht="15" hidden="false" customHeight="false" outlineLevel="0" collapsed="false">
      <c r="A26" s="32" t="s">
        <v>162</v>
      </c>
      <c r="B26" s="32" t="s">
        <v>182</v>
      </c>
      <c r="C26" s="32" t="s">
        <v>164</v>
      </c>
      <c r="D26" s="60" t="n">
        <f aca="false">ROUND(S26*T26,0)</f>
        <v>480</v>
      </c>
      <c r="E26" s="60" t="n">
        <f aca="false">ROUND(S26,0)-D26</f>
        <v>734</v>
      </c>
      <c r="F26" s="60" t="n">
        <f aca="false">IF(COUNTA(D26:E26)=0,"",SUM(D26:E26))</f>
        <v>1214</v>
      </c>
      <c r="G26" s="40" t="n">
        <f aca="false">IF(OR(F26="",F26=0),"",D26/F26)</f>
        <v>0.395387149917628</v>
      </c>
      <c r="H26" s="40" t="n">
        <f aca="false">IF(OR(F26="",F26=0),"",E26/F26)</f>
        <v>0.604612850082372</v>
      </c>
      <c r="I26" s="32" t="s">
        <v>165</v>
      </c>
      <c r="J26" s="36" t="n">
        <v>3.52076694862392</v>
      </c>
      <c r="K26" s="36" t="n">
        <f aca="false">$K$8</f>
        <v>2.11898216136568</v>
      </c>
      <c r="L26" s="36" t="n">
        <f aca="false">SQRT(J26^2+K26^2)</f>
        <v>4.10924388503634</v>
      </c>
      <c r="M26" s="40" t="n">
        <f aca="false">IF(G26="","",MAX(0,G26-1.96*L26/100))</f>
        <v>0.314845969770915</v>
      </c>
      <c r="N26" s="40" t="n">
        <f aca="false">IF(G26="","",MIN(1,G26+1.96*L26/100))</f>
        <v>0.47592833006434</v>
      </c>
      <c r="O26" s="60" t="n">
        <f aca="false">ROUND(S26*W26,0)</f>
        <v>89</v>
      </c>
      <c r="P26" s="60" t="n">
        <f aca="false">IF(F26="","",ROUND(SQRT((F26*L26/100)^2+(G26*O26)^2),0))</f>
        <v>61</v>
      </c>
      <c r="R26" s="61" t="n">
        <v>-1.96790900303672</v>
      </c>
      <c r="S26" s="62" t="n">
        <f aca="false">U26*V26*$F$5</f>
        <v>1214.17865765331</v>
      </c>
      <c r="T26" s="63" t="n">
        <f aca="false">MAX(0,MIN(1,R26/100+$D$5))</f>
        <v>0.395237513628964</v>
      </c>
      <c r="U26" s="63" t="n">
        <v>0.576533075808788</v>
      </c>
      <c r="V26" s="62" t="n">
        <v>2106</v>
      </c>
      <c r="W26" s="63" t="n">
        <v>0.0732058935918866</v>
      </c>
      <c r="X26" s="64" t="s">
        <v>166</v>
      </c>
      <c r="Y26" s="64" t="s">
        <v>167</v>
      </c>
    </row>
    <row r="27" customFormat="false" ht="15" hidden="false" customHeight="false" outlineLevel="0" collapsed="false">
      <c r="A27" s="32" t="s">
        <v>162</v>
      </c>
      <c r="B27" s="32" t="s">
        <v>183</v>
      </c>
      <c r="C27" s="32" t="s">
        <v>164</v>
      </c>
      <c r="D27" s="60" t="n">
        <f aca="false">ROUND(S27*T27,0)</f>
        <v>94</v>
      </c>
      <c r="E27" s="60" t="n">
        <f aca="false">ROUND(S27,0)-D27</f>
        <v>436</v>
      </c>
      <c r="F27" s="60" t="n">
        <f aca="false">IF(COUNTA(D27:E27)=0,"",SUM(D27:E27))</f>
        <v>530</v>
      </c>
      <c r="G27" s="40" t="n">
        <f aca="false">IF(OR(F27="",F27=0),"",D27/F27)</f>
        <v>0.177358490566038</v>
      </c>
      <c r="H27" s="40" t="n">
        <f aca="false">IF(OR(F27="",F27=0),"",E27/F27)</f>
        <v>0.822641509433962</v>
      </c>
      <c r="I27" s="32" t="s">
        <v>165</v>
      </c>
      <c r="J27" s="36" t="n">
        <v>3.52076694862392</v>
      </c>
      <c r="K27" s="36" t="n">
        <f aca="false">$K$8</f>
        <v>2.11898216136568</v>
      </c>
      <c r="L27" s="36" t="n">
        <f aca="false">SQRT(J27^2+K27^2)</f>
        <v>4.10924388503634</v>
      </c>
      <c r="M27" s="40" t="n">
        <f aca="false">IF(G27="","",MAX(0,G27-1.96*L27/100))</f>
        <v>0.0968173104193254</v>
      </c>
      <c r="N27" s="40" t="n">
        <f aca="false">IF(G27="","",MIN(1,G27+1.96*L27/100))</f>
        <v>0.25789967071275</v>
      </c>
      <c r="O27" s="60" t="n">
        <f aca="false">ROUND(S27*W27,0)</f>
        <v>39</v>
      </c>
      <c r="P27" s="60" t="n">
        <f aca="false">IF(F27="","",ROUND(SQRT((F27*L27/100)^2+(G27*O27)^2),0))</f>
        <v>23</v>
      </c>
      <c r="R27" s="61" t="n">
        <v>-23.7261458852747</v>
      </c>
      <c r="S27" s="62" t="n">
        <f aca="false">U27*V27*$F$5</f>
        <v>530.117647058824</v>
      </c>
      <c r="T27" s="63" t="n">
        <f aca="false">MAX(0,MIN(1,R27/100+$D$5))</f>
        <v>0.177655144806584</v>
      </c>
      <c r="U27" s="63" t="n">
        <v>0.705882352941177</v>
      </c>
      <c r="V27" s="62" t="n">
        <v>751</v>
      </c>
      <c r="W27" s="63" t="n">
        <v>0.0732058935918866</v>
      </c>
      <c r="X27" s="64" t="s">
        <v>166</v>
      </c>
      <c r="Y27" s="64" t="s">
        <v>167</v>
      </c>
    </row>
    <row r="28" customFormat="false" ht="15" hidden="false" customHeight="false" outlineLevel="0" collapsed="false">
      <c r="A28" s="32" t="s">
        <v>162</v>
      </c>
      <c r="B28" s="32" t="s">
        <v>184</v>
      </c>
      <c r="C28" s="32" t="s">
        <v>164</v>
      </c>
      <c r="D28" s="60" t="n">
        <f aca="false">ROUND(S28*T28,0)</f>
        <v>714</v>
      </c>
      <c r="E28" s="60" t="n">
        <f aca="false">ROUND(S28,0)-D28</f>
        <v>1277</v>
      </c>
      <c r="F28" s="60" t="n">
        <f aca="false">IF(COUNTA(D28:E28)=0,"",SUM(D28:E28))</f>
        <v>1991</v>
      </c>
      <c r="G28" s="40" t="n">
        <f aca="false">IF(OR(F28="",F28=0),"",D28/F28)</f>
        <v>0.358613761928679</v>
      </c>
      <c r="H28" s="40" t="n">
        <f aca="false">IF(OR(F28="",F28=0),"",E28/F28)</f>
        <v>0.641386238071321</v>
      </c>
      <c r="I28" s="32" t="s">
        <v>165</v>
      </c>
      <c r="J28" s="36" t="n">
        <v>1.84762040092345</v>
      </c>
      <c r="K28" s="36" t="n">
        <f aca="false">$K$8</f>
        <v>2.11898216136568</v>
      </c>
      <c r="L28" s="36" t="n">
        <f aca="false">SQRT(J28^2+K28^2)</f>
        <v>2.81136738013631</v>
      </c>
      <c r="M28" s="40" t="n">
        <f aca="false">IF(G28="","",MAX(0,G28-1.96*L28/100))</f>
        <v>0.303510961278007</v>
      </c>
      <c r="N28" s="40" t="n">
        <f aca="false">IF(G28="","",MIN(1,G28+1.96*L28/100))</f>
        <v>0.413716562579351</v>
      </c>
      <c r="O28" s="60" t="n">
        <f aca="false">ROUND(S28*W28,0)</f>
        <v>109</v>
      </c>
      <c r="P28" s="60" t="n">
        <f aca="false">IF(F28="","",ROUND(SQRT((F28*L28/100)^2+(G28*O28)^2),0))</f>
        <v>68</v>
      </c>
      <c r="R28" s="61" t="n">
        <v>-5.63674624435755</v>
      </c>
      <c r="S28" s="62" t="n">
        <f aca="false">U28*V28*$F$5</f>
        <v>1991.47057118005</v>
      </c>
      <c r="T28" s="63" t="n">
        <f aca="false">MAX(0,MIN(1,R28/100+$D$5))</f>
        <v>0.358549141215756</v>
      </c>
      <c r="U28" s="63" t="n">
        <v>0.553493766309075</v>
      </c>
      <c r="V28" s="62" t="n">
        <v>3598</v>
      </c>
      <c r="W28" s="63" t="n">
        <v>0.0547268472736556</v>
      </c>
      <c r="X28" s="64" t="s">
        <v>171</v>
      </c>
      <c r="Y28" s="64" t="s">
        <v>167</v>
      </c>
    </row>
    <row r="29" customFormat="false" ht="15" hidden="false" customHeight="false" outlineLevel="0" collapsed="false">
      <c r="A29" s="32" t="s">
        <v>162</v>
      </c>
      <c r="B29" s="32" t="s">
        <v>185</v>
      </c>
      <c r="C29" s="32" t="s">
        <v>164</v>
      </c>
      <c r="D29" s="60" t="n">
        <f aca="false">ROUND(S29*T29,0)</f>
        <v>53</v>
      </c>
      <c r="E29" s="60" t="n">
        <f aca="false">ROUND(S29,0)-D29</f>
        <v>132</v>
      </c>
      <c r="F29" s="60" t="n">
        <f aca="false">IF(COUNTA(D29:E29)=0,"",SUM(D29:E29))</f>
        <v>185</v>
      </c>
      <c r="G29" s="40" t="n">
        <f aca="false">IF(OR(F29="",F29=0),"",D29/F29)</f>
        <v>0.286486486486487</v>
      </c>
      <c r="H29" s="40" t="n">
        <f aca="false">IF(OR(F29="",F29=0),"",E29/F29)</f>
        <v>0.713513513513514</v>
      </c>
      <c r="I29" s="32" t="s">
        <v>165</v>
      </c>
      <c r="J29" s="36" t="n">
        <v>3.52076694862392</v>
      </c>
      <c r="K29" s="36" t="n">
        <f aca="false">$K$8</f>
        <v>2.11898216136568</v>
      </c>
      <c r="L29" s="36" t="n">
        <f aca="false">SQRT(J29^2+K29^2)</f>
        <v>4.10924388503634</v>
      </c>
      <c r="M29" s="40" t="n">
        <f aca="false">IF(G29="","",MAX(0,G29-1.96*L29/100))</f>
        <v>0.205945306339774</v>
      </c>
      <c r="N29" s="40" t="n">
        <f aca="false">IF(G29="","",MIN(1,G29+1.96*L29/100))</f>
        <v>0.367027666633199</v>
      </c>
      <c r="O29" s="60" t="n">
        <f aca="false">ROUND(S29*W29,0)</f>
        <v>14</v>
      </c>
      <c r="P29" s="60" t="n">
        <f aca="false">IF(F29="","",ROUND(SQRT((F29*L29/100)^2+(G29*O29)^2),0))</f>
        <v>9</v>
      </c>
      <c r="R29" s="61" t="n">
        <v>-12.5733041724814</v>
      </c>
      <c r="S29" s="62" t="n">
        <f aca="false">U29*V29*$F$5</f>
        <v>184.547540983607</v>
      </c>
      <c r="T29" s="63" t="n">
        <f aca="false">MAX(0,MIN(1,R29/100+$D$5))</f>
        <v>0.289183561934517</v>
      </c>
      <c r="U29" s="63" t="n">
        <v>0.613114754098361</v>
      </c>
      <c r="V29" s="62" t="n">
        <v>301</v>
      </c>
      <c r="W29" s="63" t="n">
        <v>0.0732058935918866</v>
      </c>
      <c r="X29" s="64" t="s">
        <v>166</v>
      </c>
      <c r="Y29" s="64" t="s">
        <v>167</v>
      </c>
    </row>
    <row r="30" customFormat="false" ht="15" hidden="false" customHeight="false" outlineLevel="0" collapsed="false">
      <c r="A30" s="32" t="s">
        <v>162</v>
      </c>
      <c r="B30" s="32" t="s">
        <v>186</v>
      </c>
      <c r="C30" s="32" t="s">
        <v>164</v>
      </c>
      <c r="D30" s="60" t="n">
        <f aca="false">ROUND(S30*T30,0)</f>
        <v>1568</v>
      </c>
      <c r="E30" s="60" t="n">
        <f aca="false">ROUND(S30,0)-D30</f>
        <v>2904</v>
      </c>
      <c r="F30" s="60" t="n">
        <f aca="false">IF(COUNTA(D30:E30)=0,"",SUM(D30:E30))</f>
        <v>4472</v>
      </c>
      <c r="G30" s="40" t="n">
        <f aca="false">IF(OR(F30="",F30=0),"",D30/F30)</f>
        <v>0.350626118067979</v>
      </c>
      <c r="H30" s="40" t="n">
        <f aca="false">IF(OR(F30="",F30=0),"",E30/F30)</f>
        <v>0.649373881932022</v>
      </c>
      <c r="I30" s="32" t="s">
        <v>165</v>
      </c>
      <c r="J30" s="36" t="n">
        <v>2.38612924807294</v>
      </c>
      <c r="K30" s="36" t="n">
        <f aca="false">$K$8</f>
        <v>2.11898216136568</v>
      </c>
      <c r="L30" s="36" t="n">
        <f aca="false">SQRT(J30^2+K30^2)</f>
        <v>3.19119071644035</v>
      </c>
      <c r="M30" s="40" t="n">
        <f aca="false">IF(G30="","",MAX(0,G30-1.96*L30/100))</f>
        <v>0.288078780025748</v>
      </c>
      <c r="N30" s="40" t="n">
        <f aca="false">IF(G30="","",MIN(1,G30+1.96*L30/100))</f>
        <v>0.41317345611021</v>
      </c>
      <c r="O30" s="60" t="n">
        <f aca="false">ROUND(S30*W30,0)</f>
        <v>217</v>
      </c>
      <c r="P30" s="60" t="n">
        <f aca="false">IF(F30="","",ROUND(SQRT((F30*L30/100)^2+(G30*O30)^2),0))</f>
        <v>162</v>
      </c>
      <c r="R30" s="61" t="n">
        <v>-6.4323965224493</v>
      </c>
      <c r="S30" s="62" t="n">
        <f aca="false">U30*V30*$F$5</f>
        <v>4472.46592381446</v>
      </c>
      <c r="T30" s="63" t="n">
        <f aca="false">MAX(0,MIN(1,R30/100+$D$5))</f>
        <v>0.350592638434838</v>
      </c>
      <c r="U30" s="63" t="n">
        <v>0.560248769111169</v>
      </c>
      <c r="V30" s="62" t="n">
        <v>7983</v>
      </c>
      <c r="W30" s="63" t="n">
        <v>0.0485820274397165</v>
      </c>
      <c r="X30" s="64" t="s">
        <v>187</v>
      </c>
      <c r="Y30" s="64" t="s">
        <v>167</v>
      </c>
    </row>
    <row r="31" customFormat="false" ht="15" hidden="false" customHeight="false" outlineLevel="0" collapsed="false">
      <c r="A31" s="32" t="s">
        <v>162</v>
      </c>
      <c r="B31" s="32" t="s">
        <v>188</v>
      </c>
      <c r="C31" s="32" t="s">
        <v>164</v>
      </c>
      <c r="D31" s="60" t="n">
        <f aca="false">ROUND(S31*T31,0)</f>
        <v>547</v>
      </c>
      <c r="E31" s="60" t="n">
        <f aca="false">ROUND(S31,0)-D31</f>
        <v>746</v>
      </c>
      <c r="F31" s="60" t="n">
        <f aca="false">IF(COUNTA(D31:E31)=0,"",SUM(D31:E31))</f>
        <v>1293</v>
      </c>
      <c r="G31" s="40" t="n">
        <f aca="false">IF(OR(F31="",F31=0),"",D31/F31)</f>
        <v>0.423047177107502</v>
      </c>
      <c r="H31" s="40" t="n">
        <f aca="false">IF(OR(F31="",F31=0),"",E31/F31)</f>
        <v>0.576952822892498</v>
      </c>
      <c r="I31" s="32" t="s">
        <v>165</v>
      </c>
      <c r="J31" s="36" t="n">
        <v>1.84762040092345</v>
      </c>
      <c r="K31" s="36" t="n">
        <f aca="false">$K$8</f>
        <v>2.11898216136568</v>
      </c>
      <c r="L31" s="36" t="n">
        <f aca="false">SQRT(J31^2+K31^2)</f>
        <v>2.81136738013631</v>
      </c>
      <c r="M31" s="40" t="n">
        <f aca="false">IF(G31="","",MAX(0,G31-1.96*L31/100))</f>
        <v>0.36794437645683</v>
      </c>
      <c r="N31" s="40" t="n">
        <f aca="false">IF(G31="","",MIN(1,G31+1.96*L31/100))</f>
        <v>0.478149977758174</v>
      </c>
      <c r="O31" s="60" t="n">
        <f aca="false">ROUND(S31*W31,0)</f>
        <v>71</v>
      </c>
      <c r="P31" s="60" t="n">
        <f aca="false">IF(F31="","",ROUND(SQRT((F31*L31/100)^2+(G31*O31)^2),0))</f>
        <v>47</v>
      </c>
      <c r="R31" s="61" t="n">
        <v>0.771648842433123</v>
      </c>
      <c r="S31" s="62" t="n">
        <f aca="false">U31*V31*$F$5</f>
        <v>1293.28908554572</v>
      </c>
      <c r="T31" s="63" t="n">
        <f aca="false">MAX(0,MIN(1,R31/100+$D$5))</f>
        <v>0.422633092083662</v>
      </c>
      <c r="U31" s="63" t="n">
        <v>0.607177974434612</v>
      </c>
      <c r="V31" s="62" t="n">
        <v>2130</v>
      </c>
      <c r="W31" s="63" t="n">
        <v>0.0547268472736556</v>
      </c>
      <c r="X31" s="64" t="s">
        <v>171</v>
      </c>
      <c r="Y31" s="64" t="s">
        <v>167</v>
      </c>
    </row>
    <row r="32" customFormat="false" ht="15" hidden="false" customHeight="false" outlineLevel="0" collapsed="false">
      <c r="A32" s="32" t="s">
        <v>162</v>
      </c>
      <c r="B32" s="32" t="s">
        <v>189</v>
      </c>
      <c r="C32" s="32" t="s">
        <v>164</v>
      </c>
      <c r="D32" s="60" t="n">
        <f aca="false">ROUND(S32*T32,0)</f>
        <v>630</v>
      </c>
      <c r="E32" s="60" t="n">
        <f aca="false">ROUND(S32,0)-D32</f>
        <v>1628</v>
      </c>
      <c r="F32" s="60" t="n">
        <f aca="false">IF(COUNTA(D32:E32)=0,"",SUM(D32:E32))</f>
        <v>2258</v>
      </c>
      <c r="G32" s="40" t="n">
        <f aca="false">IF(OR(F32="",F32=0),"",D32/F32)</f>
        <v>0.279007971656333</v>
      </c>
      <c r="H32" s="40" t="n">
        <f aca="false">IF(OR(F32="",F32=0),"",E32/F32)</f>
        <v>0.720992028343667</v>
      </c>
      <c r="I32" s="32" t="s">
        <v>165</v>
      </c>
      <c r="J32" s="36" t="n">
        <v>1.84762040092345</v>
      </c>
      <c r="K32" s="36" t="n">
        <f aca="false">$K$8</f>
        <v>2.11898216136568</v>
      </c>
      <c r="L32" s="36" t="n">
        <f aca="false">SQRT(J32^2+K32^2)</f>
        <v>2.81136738013631</v>
      </c>
      <c r="M32" s="40" t="n">
        <f aca="false">IF(G32="","",MAX(0,G32-1.96*L32/100))</f>
        <v>0.223905171005661</v>
      </c>
      <c r="N32" s="40" t="n">
        <f aca="false">IF(G32="","",MIN(1,G32+1.96*L32/100))</f>
        <v>0.334110772307005</v>
      </c>
      <c r="O32" s="60" t="n">
        <f aca="false">ROUND(S32*W32,0)</f>
        <v>124</v>
      </c>
      <c r="P32" s="60" t="n">
        <f aca="false">IF(F32="","",ROUND(SQRT((F32*L32/100)^2+(G32*O32)^2),0))</f>
        <v>72</v>
      </c>
      <c r="R32" s="61" t="n">
        <v>-13.5790873486604</v>
      </c>
      <c r="S32" s="62" t="n">
        <f aca="false">U32*V32*$F$5</f>
        <v>2258.11685530743</v>
      </c>
      <c r="T32" s="63" t="n">
        <f aca="false">MAX(0,MIN(1,R32/100+$D$5))</f>
        <v>0.279125730172727</v>
      </c>
      <c r="U32" s="63" t="n">
        <v>0.65188130926889</v>
      </c>
      <c r="V32" s="62" t="n">
        <v>3464</v>
      </c>
      <c r="W32" s="63" t="n">
        <v>0.0547268472736556</v>
      </c>
      <c r="X32" s="64" t="s">
        <v>171</v>
      </c>
      <c r="Y32" s="64" t="s">
        <v>167</v>
      </c>
    </row>
    <row r="33" customFormat="false" ht="15" hidden="false" customHeight="false" outlineLevel="0" collapsed="false">
      <c r="A33" s="32" t="s">
        <v>162</v>
      </c>
      <c r="B33" s="32" t="s">
        <v>190</v>
      </c>
      <c r="C33" s="32" t="s">
        <v>164</v>
      </c>
      <c r="D33" s="60" t="n">
        <f aca="false">ROUND(S33*T33,0)</f>
        <v>257</v>
      </c>
      <c r="E33" s="60" t="n">
        <f aca="false">ROUND(S33,0)-D33</f>
        <v>657</v>
      </c>
      <c r="F33" s="60" t="n">
        <f aca="false">IF(COUNTA(D33:E33)=0,"",SUM(D33:E33))</f>
        <v>914</v>
      </c>
      <c r="G33" s="40" t="n">
        <f aca="false">IF(OR(F33="",F33=0),"",D33/F33)</f>
        <v>0.281181619256018</v>
      </c>
      <c r="H33" s="40" t="n">
        <f aca="false">IF(OR(F33="",F33=0),"",E33/F33)</f>
        <v>0.718818380743983</v>
      </c>
      <c r="I33" s="32" t="s">
        <v>165</v>
      </c>
      <c r="J33" s="36" t="n">
        <v>3.52076694862392</v>
      </c>
      <c r="K33" s="36" t="n">
        <f aca="false">$K$8</f>
        <v>2.11898216136568</v>
      </c>
      <c r="L33" s="36" t="n">
        <f aca="false">SQRT(J33^2+K33^2)</f>
        <v>4.10924388503634</v>
      </c>
      <c r="M33" s="40" t="n">
        <f aca="false">IF(G33="","",MAX(0,G33-1.96*L33/100))</f>
        <v>0.200640439109305</v>
      </c>
      <c r="N33" s="40" t="n">
        <f aca="false">IF(G33="","",MIN(1,G33+1.96*L33/100))</f>
        <v>0.36172279940273</v>
      </c>
      <c r="O33" s="60" t="n">
        <f aca="false">ROUND(S33*W33,0)</f>
        <v>67</v>
      </c>
      <c r="P33" s="60" t="n">
        <f aca="false">IF(F33="","",ROUND(SQRT((F33*L33/100)^2+(G33*O33)^2),0))</f>
        <v>42</v>
      </c>
      <c r="R33" s="61" t="n">
        <v>-13.3877912658195</v>
      </c>
      <c r="S33" s="62" t="n">
        <f aca="false">U33*V33*$F$5</f>
        <v>913.771907216495</v>
      </c>
      <c r="T33" s="63" t="n">
        <f aca="false">MAX(0,MIN(1,R33/100+$D$5))</f>
        <v>0.281038691001136</v>
      </c>
      <c r="U33" s="63" t="n">
        <v>0.580541237113402</v>
      </c>
      <c r="V33" s="62" t="n">
        <v>1574</v>
      </c>
      <c r="W33" s="63" t="n">
        <v>0.0732058935918866</v>
      </c>
      <c r="X33" s="64" t="s">
        <v>166</v>
      </c>
      <c r="Y33" s="64" t="s">
        <v>167</v>
      </c>
    </row>
    <row r="34" customFormat="false" ht="15" hidden="false" customHeight="false" outlineLevel="0" collapsed="false">
      <c r="A34" s="32" t="s">
        <v>162</v>
      </c>
      <c r="B34" s="32" t="s">
        <v>191</v>
      </c>
      <c r="C34" s="32" t="s">
        <v>164</v>
      </c>
      <c r="D34" s="60" t="n">
        <f aca="false">ROUND(S34*T34,0)</f>
        <v>39</v>
      </c>
      <c r="E34" s="60" t="n">
        <f aca="false">ROUND(S34,0)-D34</f>
        <v>68</v>
      </c>
      <c r="F34" s="60" t="n">
        <f aca="false">IF(COUNTA(D34:E34)=0,"",SUM(D34:E34))</f>
        <v>107</v>
      </c>
      <c r="G34" s="40" t="n">
        <f aca="false">IF(OR(F34="",F34=0),"",D34/F34)</f>
        <v>0.364485981308411</v>
      </c>
      <c r="H34" s="40" t="n">
        <f aca="false">IF(OR(F34="",F34=0),"",E34/F34)</f>
        <v>0.635514018691589</v>
      </c>
      <c r="I34" s="32" t="s">
        <v>165</v>
      </c>
      <c r="J34" s="36" t="n">
        <v>3.52076694862392</v>
      </c>
      <c r="K34" s="36" t="n">
        <f aca="false">$K$8</f>
        <v>2.11898216136568</v>
      </c>
      <c r="L34" s="36" t="n">
        <f aca="false">SQRT(J34^2+K34^2)</f>
        <v>4.10924388503634</v>
      </c>
      <c r="M34" s="40" t="n">
        <f aca="false">IF(G34="","",MAX(0,G34-1.96*L34/100))</f>
        <v>0.283944801161699</v>
      </c>
      <c r="N34" s="40" t="n">
        <f aca="false">IF(G34="","",MIN(1,G34+1.96*L34/100))</f>
        <v>0.445027161455124</v>
      </c>
      <c r="O34" s="60" t="n">
        <f aca="false">ROUND(S34*W34,0)</f>
        <v>8</v>
      </c>
      <c r="P34" s="60" t="n">
        <f aca="false">IF(F34="","",ROUND(SQRT((F34*L34/100)^2+(G34*O34)^2),0))</f>
        <v>5</v>
      </c>
      <c r="R34" s="61" t="n">
        <v>-4.81882396036586</v>
      </c>
      <c r="S34" s="62" t="n">
        <f aca="false">U34*V34*$F$5</f>
        <v>106.666666666667</v>
      </c>
      <c r="T34" s="63" t="n">
        <f aca="false">MAX(0,MIN(1,R34/100+$D$5))</f>
        <v>0.366728364055672</v>
      </c>
      <c r="U34" s="63" t="n">
        <v>0.444444444444444</v>
      </c>
      <c r="V34" s="62" t="n">
        <v>240</v>
      </c>
      <c r="W34" s="63" t="n">
        <v>0.0732058935918866</v>
      </c>
      <c r="X34" s="64" t="s">
        <v>166</v>
      </c>
      <c r="Y34" s="64" t="s">
        <v>167</v>
      </c>
    </row>
    <row r="35" customFormat="false" ht="15" hidden="false" customHeight="false" outlineLevel="0" collapsed="false">
      <c r="A35" s="32" t="s">
        <v>192</v>
      </c>
      <c r="B35" s="32" t="s">
        <v>193</v>
      </c>
      <c r="C35" s="32" t="s">
        <v>164</v>
      </c>
      <c r="D35" s="60" t="n">
        <f aca="false">ROUND(S35*T35,0)</f>
        <v>483</v>
      </c>
      <c r="E35" s="60" t="n">
        <f aca="false">ROUND(S35,0)-D35</f>
        <v>578</v>
      </c>
      <c r="F35" s="60" t="n">
        <f aca="false">IF(COUNTA(D35:E35)=0,"",SUM(D35:E35))</f>
        <v>1061</v>
      </c>
      <c r="G35" s="40" t="n">
        <f aca="false">IF(OR(F35="",F35=0),"",D35/F35)</f>
        <v>0.455230914231857</v>
      </c>
      <c r="H35" s="40" t="n">
        <f aca="false">IF(OR(F35="",F35=0),"",E35/F35)</f>
        <v>0.544769085768143</v>
      </c>
      <c r="I35" s="32" t="s">
        <v>165</v>
      </c>
      <c r="J35" s="36" t="n">
        <v>3.52076694862392</v>
      </c>
      <c r="K35" s="36" t="n">
        <f aca="false">$K$8</f>
        <v>2.11898216136568</v>
      </c>
      <c r="L35" s="36" t="n">
        <f aca="false">SQRT(J35^2+K35^2)</f>
        <v>4.10924388503634</v>
      </c>
      <c r="M35" s="40" t="n">
        <f aca="false">IF(G35="","",MAX(0,G35-1.96*L35/100))</f>
        <v>0.374689734085144</v>
      </c>
      <c r="N35" s="40" t="n">
        <f aca="false">IF(G35="","",MIN(1,G35+1.96*L35/100))</f>
        <v>0.535772094378569</v>
      </c>
      <c r="O35" s="60" t="n">
        <f aca="false">ROUND(S35*W35,0)</f>
        <v>78</v>
      </c>
      <c r="P35" s="60" t="n">
        <f aca="false">IF(F35="","",ROUND(SQRT((F35*L35/100)^2+(G35*O35)^2),0))</f>
        <v>56</v>
      </c>
      <c r="R35" s="61" t="n">
        <v>3.99960412264969</v>
      </c>
      <c r="S35" s="62" t="n">
        <f aca="false">U35*V35*$F$5</f>
        <v>1060.80585424134</v>
      </c>
      <c r="T35" s="63" t="n">
        <f aca="false">MAX(0,MIN(1,R35/100+$D$5))</f>
        <v>0.454912644885828</v>
      </c>
      <c r="U35" s="63" t="n">
        <v>0.605137395459976</v>
      </c>
      <c r="V35" s="62" t="n">
        <v>1753</v>
      </c>
      <c r="W35" s="63" t="n">
        <v>0.0732058935918866</v>
      </c>
      <c r="X35" s="64" t="s">
        <v>166</v>
      </c>
      <c r="Y35" s="64" t="s">
        <v>167</v>
      </c>
    </row>
    <row r="36" customFormat="false" ht="15" hidden="false" customHeight="false" outlineLevel="0" collapsed="false">
      <c r="A36" s="32" t="s">
        <v>192</v>
      </c>
      <c r="B36" s="32" t="s">
        <v>194</v>
      </c>
      <c r="C36" s="32" t="s">
        <v>164</v>
      </c>
      <c r="D36" s="60" t="n">
        <f aca="false">ROUND(S36*T36,0)</f>
        <v>17060</v>
      </c>
      <c r="E36" s="60" t="n">
        <f aca="false">ROUND(S36,0)-D36</f>
        <v>8313</v>
      </c>
      <c r="F36" s="60" t="n">
        <f aca="false">IF(COUNTA(D36:E36)=0,"",SUM(D36:E36))</f>
        <v>25373</v>
      </c>
      <c r="G36" s="40" t="n">
        <f aca="false">IF(OR(F36="",F36=0),"",D36/F36)</f>
        <v>0.672368265479053</v>
      </c>
      <c r="H36" s="40" t="n">
        <f aca="false">IF(OR(F36="",F36=0),"",E36/F36)</f>
        <v>0.327631734520947</v>
      </c>
      <c r="I36" s="32" t="s">
        <v>165</v>
      </c>
      <c r="J36" s="36" t="n">
        <v>2.38612924807294</v>
      </c>
      <c r="K36" s="36" t="n">
        <f aca="false">$K$8</f>
        <v>2.11898216136568</v>
      </c>
      <c r="L36" s="36" t="n">
        <f aca="false">SQRT(J36^2+K36^2)</f>
        <v>3.19119071644035</v>
      </c>
      <c r="M36" s="40" t="n">
        <f aca="false">IF(G36="","",MAX(0,G36-1.96*L36/100))</f>
        <v>0.609820927436822</v>
      </c>
      <c r="N36" s="40" t="n">
        <f aca="false">IF(G36="","",MIN(1,G36+1.96*L36/100))</f>
        <v>0.734915603521283</v>
      </c>
      <c r="O36" s="60" t="n">
        <f aca="false">ROUND(S36*W36,0)</f>
        <v>1233</v>
      </c>
      <c r="P36" s="60" t="n">
        <f aca="false">IF(F36="","",ROUND(SQRT((F36*L36/100)^2+(G36*O36)^2),0))</f>
        <v>1159</v>
      </c>
      <c r="R36" s="61" t="n">
        <v>25.7443184336739</v>
      </c>
      <c r="S36" s="62" t="n">
        <f aca="false">U36*V36*$F$5</f>
        <v>25373.374760008</v>
      </c>
      <c r="T36" s="63" t="n">
        <f aca="false">MAX(0,MIN(1,R36/100+$D$5))</f>
        <v>0.67235978799607</v>
      </c>
      <c r="U36" s="63" t="n">
        <v>0.356778519643522</v>
      </c>
      <c r="V36" s="62" t="n">
        <v>71118</v>
      </c>
      <c r="W36" s="63" t="n">
        <v>0.0485820274397165</v>
      </c>
      <c r="X36" s="64" t="s">
        <v>187</v>
      </c>
      <c r="Y36" s="64" t="s">
        <v>167</v>
      </c>
    </row>
    <row r="37" customFormat="false" ht="15" hidden="false" customHeight="false" outlineLevel="0" collapsed="false">
      <c r="A37" s="32" t="s">
        <v>192</v>
      </c>
      <c r="B37" s="32" t="s">
        <v>195</v>
      </c>
      <c r="C37" s="32" t="s">
        <v>164</v>
      </c>
      <c r="D37" s="60" t="n">
        <f aca="false">ROUND(S37*T37,0)</f>
        <v>5213</v>
      </c>
      <c r="E37" s="60" t="n">
        <f aca="false">ROUND(S37,0)-D37</f>
        <v>2764</v>
      </c>
      <c r="F37" s="60" t="n">
        <f aca="false">IF(COUNTA(D37:E37)=0,"",SUM(D37:E37))</f>
        <v>7977</v>
      </c>
      <c r="G37" s="40" t="n">
        <f aca="false">IF(OR(F37="",F37=0),"",D37/F37)</f>
        <v>0.653503823492541</v>
      </c>
      <c r="H37" s="40" t="n">
        <f aca="false">IF(OR(F37="",F37=0),"",E37/F37)</f>
        <v>0.346496176507459</v>
      </c>
      <c r="I37" s="32" t="s">
        <v>165</v>
      </c>
      <c r="J37" s="36" t="n">
        <v>2.38612924807294</v>
      </c>
      <c r="K37" s="36" t="n">
        <f aca="false">$K$8</f>
        <v>2.11898216136568</v>
      </c>
      <c r="L37" s="36" t="n">
        <f aca="false">SQRT(J37^2+K37^2)</f>
        <v>3.19119071644035</v>
      </c>
      <c r="M37" s="40" t="n">
        <f aca="false">IF(G37="","",MAX(0,G37-1.96*L37/100))</f>
        <v>0.59095648545031</v>
      </c>
      <c r="N37" s="40" t="n">
        <f aca="false">IF(G37="","",MIN(1,G37+1.96*L37/100))</f>
        <v>0.716051161534772</v>
      </c>
      <c r="O37" s="60" t="n">
        <f aca="false">ROUND(S37*W37,0)</f>
        <v>388</v>
      </c>
      <c r="P37" s="60" t="n">
        <f aca="false">IF(F37="","",ROUND(SQRT((F37*L37/100)^2+(G37*O37)^2),0))</f>
        <v>359</v>
      </c>
      <c r="R37" s="61" t="n">
        <v>23.8571743819297</v>
      </c>
      <c r="S37" s="62" t="n">
        <f aca="false">U37*V37*$F$5</f>
        <v>7976.55329986175</v>
      </c>
      <c r="T37" s="63" t="n">
        <f aca="false">MAX(0,MIN(1,R37/100+$D$5))</f>
        <v>0.653488347478628</v>
      </c>
      <c r="U37" s="63" t="n">
        <v>0.574183220548643</v>
      </c>
      <c r="V37" s="62" t="n">
        <v>13892</v>
      </c>
      <c r="W37" s="63" t="n">
        <v>0.0485820274397165</v>
      </c>
      <c r="X37" s="64" t="s">
        <v>187</v>
      </c>
      <c r="Y37" s="64" t="s">
        <v>167</v>
      </c>
    </row>
    <row r="38" customFormat="false" ht="15" hidden="false" customHeight="false" outlineLevel="0" collapsed="false">
      <c r="A38" s="32" t="s">
        <v>192</v>
      </c>
      <c r="B38" s="32" t="s">
        <v>196</v>
      </c>
      <c r="C38" s="32" t="s">
        <v>164</v>
      </c>
      <c r="D38" s="60" t="n">
        <f aca="false">ROUND(S38*T38,0)</f>
        <v>1130</v>
      </c>
      <c r="E38" s="60" t="n">
        <f aca="false">ROUND(S38,0)-D38</f>
        <v>1048</v>
      </c>
      <c r="F38" s="60" t="n">
        <f aca="false">IF(COUNTA(D38:E38)=0,"",SUM(D38:E38))</f>
        <v>2178</v>
      </c>
      <c r="G38" s="40" t="n">
        <f aca="false">IF(OR(F38="",F38=0),"",D38/F38)</f>
        <v>0.518824609733701</v>
      </c>
      <c r="H38" s="40" t="n">
        <f aca="false">IF(OR(F38="",F38=0),"",E38/F38)</f>
        <v>0.481175390266299</v>
      </c>
      <c r="I38" s="32" t="s">
        <v>165</v>
      </c>
      <c r="J38" s="36" t="n">
        <v>1.84762040092345</v>
      </c>
      <c r="K38" s="36" t="n">
        <f aca="false">$K$8</f>
        <v>2.11898216136568</v>
      </c>
      <c r="L38" s="36" t="n">
        <f aca="false">SQRT(J38^2+K38^2)</f>
        <v>2.81136738013631</v>
      </c>
      <c r="M38" s="40" t="n">
        <f aca="false">IF(G38="","",MAX(0,G38-1.96*L38/100))</f>
        <v>0.463721809083029</v>
      </c>
      <c r="N38" s="40" t="n">
        <f aca="false">IF(G38="","",MIN(1,G38+1.96*L38/100))</f>
        <v>0.573927410384372</v>
      </c>
      <c r="O38" s="60" t="n">
        <f aca="false">ROUND(S38*W38,0)</f>
        <v>119</v>
      </c>
      <c r="P38" s="60" t="n">
        <f aca="false">IF(F38="","",ROUND(SQRT((F38*L38/100)^2+(G38*O38)^2),0))</f>
        <v>87</v>
      </c>
      <c r="R38" s="61" t="n">
        <v>10.3845156290793</v>
      </c>
      <c r="S38" s="62" t="n">
        <f aca="false">U38*V38*$F$5</f>
        <v>2177.82706204834</v>
      </c>
      <c r="T38" s="63" t="n">
        <f aca="false">MAX(0,MIN(1,R38/100+$D$5))</f>
        <v>0.518761759950124</v>
      </c>
      <c r="U38" s="63" t="n">
        <v>0.525791178669325</v>
      </c>
      <c r="V38" s="62" t="n">
        <v>4142</v>
      </c>
      <c r="W38" s="63" t="n">
        <v>0.0547268472736556</v>
      </c>
      <c r="X38" s="64" t="s">
        <v>171</v>
      </c>
      <c r="Y38" s="64" t="s">
        <v>167</v>
      </c>
    </row>
    <row r="39" customFormat="false" ht="15" hidden="false" customHeight="false" outlineLevel="0" collapsed="false">
      <c r="A39" s="32" t="s">
        <v>192</v>
      </c>
      <c r="B39" s="32" t="s">
        <v>197</v>
      </c>
      <c r="C39" s="32" t="s">
        <v>164</v>
      </c>
      <c r="D39" s="60" t="n">
        <f aca="false">ROUND(S39*T39,0)</f>
        <v>606</v>
      </c>
      <c r="E39" s="60" t="n">
        <f aca="false">ROUND(S39,0)-D39</f>
        <v>664</v>
      </c>
      <c r="F39" s="60" t="n">
        <f aca="false">IF(COUNTA(D39:E39)=0,"",SUM(D39:E39))</f>
        <v>1270</v>
      </c>
      <c r="G39" s="40" t="n">
        <f aca="false">IF(OR(F39="",F39=0),"",D39/F39)</f>
        <v>0.477165354330709</v>
      </c>
      <c r="H39" s="40" t="n">
        <f aca="false">IF(OR(F39="",F39=0),"",E39/F39)</f>
        <v>0.522834645669291</v>
      </c>
      <c r="I39" s="32" t="s">
        <v>165</v>
      </c>
      <c r="J39" s="36" t="n">
        <v>1.84762040092345</v>
      </c>
      <c r="K39" s="36" t="n">
        <f aca="false">$K$8</f>
        <v>2.11898216136568</v>
      </c>
      <c r="L39" s="36" t="n">
        <f aca="false">SQRT(J39^2+K39^2)</f>
        <v>2.81136738013631</v>
      </c>
      <c r="M39" s="40" t="n">
        <f aca="false">IF(G39="","",MAX(0,G39-1.96*L39/100))</f>
        <v>0.422062553680037</v>
      </c>
      <c r="N39" s="40" t="n">
        <f aca="false">IF(G39="","",MIN(1,G39+1.96*L39/100))</f>
        <v>0.53226815498138</v>
      </c>
      <c r="O39" s="60" t="n">
        <f aca="false">ROUND(S39*W39,0)</f>
        <v>70</v>
      </c>
      <c r="P39" s="60" t="n">
        <f aca="false">IF(F39="","",ROUND(SQRT((F39*L39/100)^2+(G39*O39)^2),0))</f>
        <v>49</v>
      </c>
      <c r="R39" s="61" t="n">
        <v>6.20062548627351</v>
      </c>
      <c r="S39" s="62" t="n">
        <f aca="false">U39*V39*$F$5</f>
        <v>1270.44031093837</v>
      </c>
      <c r="T39" s="63" t="n">
        <f aca="false">MAX(0,MIN(1,R39/100+$D$5))</f>
        <v>0.476922858522066</v>
      </c>
      <c r="U39" s="63" t="n">
        <v>0.676846196557468</v>
      </c>
      <c r="V39" s="62" t="n">
        <v>1877</v>
      </c>
      <c r="W39" s="63" t="n">
        <v>0.0547268472736556</v>
      </c>
      <c r="X39" s="64" t="s">
        <v>171</v>
      </c>
      <c r="Y39" s="64" t="s">
        <v>167</v>
      </c>
    </row>
    <row r="40" customFormat="false" ht="15" hidden="false" customHeight="false" outlineLevel="0" collapsed="false">
      <c r="A40" s="32" t="s">
        <v>192</v>
      </c>
      <c r="B40" s="32" t="s">
        <v>198</v>
      </c>
      <c r="C40" s="32" t="s">
        <v>164</v>
      </c>
      <c r="D40" s="60" t="n">
        <f aca="false">ROUND(S40*T40,0)</f>
        <v>701</v>
      </c>
      <c r="E40" s="60" t="n">
        <f aca="false">ROUND(S40,0)-D40</f>
        <v>663</v>
      </c>
      <c r="F40" s="60" t="n">
        <f aca="false">IF(COUNTA(D40:E40)=0,"",SUM(D40:E40))</f>
        <v>1364</v>
      </c>
      <c r="G40" s="40" t="n">
        <f aca="false">IF(OR(F40="",F40=0),"",D40/F40)</f>
        <v>0.513929618768328</v>
      </c>
      <c r="H40" s="40" t="n">
        <f aca="false">IF(OR(F40="",F40=0),"",E40/F40)</f>
        <v>0.486070381231672</v>
      </c>
      <c r="I40" s="32" t="s">
        <v>165</v>
      </c>
      <c r="J40" s="36" t="n">
        <v>1.84762040092345</v>
      </c>
      <c r="K40" s="36" t="n">
        <f aca="false">$K$8</f>
        <v>2.11898216136568</v>
      </c>
      <c r="L40" s="36" t="n">
        <f aca="false">SQRT(J40^2+K40^2)</f>
        <v>2.81136738013631</v>
      </c>
      <c r="M40" s="40" t="n">
        <f aca="false">IF(G40="","",MAX(0,G40-1.96*L40/100))</f>
        <v>0.458826818117657</v>
      </c>
      <c r="N40" s="40" t="n">
        <f aca="false">IF(G40="","",MIN(1,G40+1.96*L40/100))</f>
        <v>0.569032419419</v>
      </c>
      <c r="O40" s="60" t="n">
        <f aca="false">ROUND(S40*W40,0)</f>
        <v>75</v>
      </c>
      <c r="P40" s="60" t="n">
        <f aca="false">IF(F40="","",ROUND(SQRT((F40*L40/100)^2+(G40*O40)^2),0))</f>
        <v>54</v>
      </c>
      <c r="R40" s="61" t="n">
        <v>9.88852088506155</v>
      </c>
      <c r="S40" s="62" t="n">
        <f aca="false">U40*V40*$F$5</f>
        <v>1363.93435943866</v>
      </c>
      <c r="T40" s="63" t="n">
        <f aca="false">MAX(0,MIN(1,R40/100+$D$5))</f>
        <v>0.513801812509947</v>
      </c>
      <c r="U40" s="63" t="n">
        <v>0.587143503847895</v>
      </c>
      <c r="V40" s="62" t="n">
        <v>2323</v>
      </c>
      <c r="W40" s="63" t="n">
        <v>0.0547268472736556</v>
      </c>
      <c r="X40" s="64" t="s">
        <v>171</v>
      </c>
      <c r="Y40" s="64" t="s">
        <v>167</v>
      </c>
    </row>
    <row r="41" customFormat="false" ht="15" hidden="false" customHeight="false" outlineLevel="0" collapsed="false">
      <c r="A41" s="32" t="s">
        <v>192</v>
      </c>
      <c r="B41" s="32" t="s">
        <v>199</v>
      </c>
      <c r="C41" s="32" t="s">
        <v>164</v>
      </c>
      <c r="D41" s="60" t="n">
        <f aca="false">ROUND(S41*T41,0)</f>
        <v>2905</v>
      </c>
      <c r="E41" s="60" t="n">
        <f aca="false">ROUND(S41,0)-D41</f>
        <v>2483</v>
      </c>
      <c r="F41" s="60" t="n">
        <f aca="false">IF(COUNTA(D41:E41)=0,"",SUM(D41:E41))</f>
        <v>5388</v>
      </c>
      <c r="G41" s="40" t="n">
        <f aca="false">IF(OR(F41="",F41=0),"",D41/F41)</f>
        <v>0.539161098737936</v>
      </c>
      <c r="H41" s="40" t="n">
        <f aca="false">IF(OR(F41="",F41=0),"",E41/F41)</f>
        <v>0.460838901262064</v>
      </c>
      <c r="I41" s="32" t="s">
        <v>165</v>
      </c>
      <c r="J41" s="36" t="n">
        <v>2.38612924807294</v>
      </c>
      <c r="K41" s="36" t="n">
        <f aca="false">$K$8</f>
        <v>2.11898216136568</v>
      </c>
      <c r="L41" s="36" t="n">
        <f aca="false">SQRT(J41^2+K41^2)</f>
        <v>3.19119071644035</v>
      </c>
      <c r="M41" s="40" t="n">
        <f aca="false">IF(G41="","",MAX(0,G41-1.96*L41/100))</f>
        <v>0.476613760695705</v>
      </c>
      <c r="N41" s="40" t="n">
        <f aca="false">IF(G41="","",MIN(1,G41+1.96*L41/100))</f>
        <v>0.601708436780167</v>
      </c>
      <c r="O41" s="60" t="n">
        <f aca="false">ROUND(S41*W41,0)</f>
        <v>262</v>
      </c>
      <c r="P41" s="60" t="n">
        <f aca="false">IF(F41="","",ROUND(SQRT((F41*L41/100)^2+(G41*O41)^2),0))</f>
        <v>223</v>
      </c>
      <c r="R41" s="61" t="n">
        <v>12.4154188897799</v>
      </c>
      <c r="S41" s="62" t="n">
        <f aca="false">U41*V41*$F$5</f>
        <v>5388.18679314119</v>
      </c>
      <c r="T41" s="63" t="n">
        <f aca="false">MAX(0,MIN(1,R41/100+$D$5))</f>
        <v>0.53907079255713</v>
      </c>
      <c r="U41" s="63" t="n">
        <v>0.618265839717865</v>
      </c>
      <c r="V41" s="62" t="n">
        <v>8715</v>
      </c>
      <c r="W41" s="63" t="n">
        <v>0.0485820274397165</v>
      </c>
      <c r="X41" s="64" t="s">
        <v>187</v>
      </c>
      <c r="Y41" s="64" t="s">
        <v>167</v>
      </c>
    </row>
    <row r="42" customFormat="false" ht="15" hidden="false" customHeight="false" outlineLevel="0" collapsed="false">
      <c r="A42" s="32" t="s">
        <v>192</v>
      </c>
      <c r="B42" s="32" t="s">
        <v>200</v>
      </c>
      <c r="C42" s="32" t="s">
        <v>164</v>
      </c>
      <c r="D42" s="60" t="n">
        <f aca="false">ROUND(S42*T42,0)</f>
        <v>1082</v>
      </c>
      <c r="E42" s="60" t="n">
        <f aca="false">ROUND(S42,0)-D42</f>
        <v>523</v>
      </c>
      <c r="F42" s="60" t="n">
        <f aca="false">IF(COUNTA(D42:E42)=0,"",SUM(D42:E42))</f>
        <v>1605</v>
      </c>
      <c r="G42" s="40" t="n">
        <f aca="false">IF(OR(F42="",F42=0),"",D42/F42)</f>
        <v>0.674143302180685</v>
      </c>
      <c r="H42" s="40" t="n">
        <f aca="false">IF(OR(F42="",F42=0),"",E42/F42)</f>
        <v>0.325856697819315</v>
      </c>
      <c r="I42" s="32" t="s">
        <v>165</v>
      </c>
      <c r="J42" s="36" t="n">
        <v>1.84762040092345</v>
      </c>
      <c r="K42" s="36" t="n">
        <f aca="false">$K$8</f>
        <v>2.11898216136568</v>
      </c>
      <c r="L42" s="36" t="n">
        <f aca="false">SQRT(J42^2+K42^2)</f>
        <v>2.81136738013631</v>
      </c>
      <c r="M42" s="40" t="n">
        <f aca="false">IF(G42="","",MAX(0,G42-1.96*L42/100))</f>
        <v>0.619040501530014</v>
      </c>
      <c r="N42" s="40" t="n">
        <f aca="false">IF(G42="","",MIN(1,G42+1.96*L42/100))</f>
        <v>0.729246102831357</v>
      </c>
      <c r="O42" s="60" t="n">
        <f aca="false">ROUND(S42*W42,0)</f>
        <v>88</v>
      </c>
      <c r="P42" s="60" t="n">
        <f aca="false">IF(F42="","",ROUND(SQRT((F42*L42/100)^2+(G42*O42)^2),0))</f>
        <v>75</v>
      </c>
      <c r="R42" s="61" t="n">
        <v>25.9037963796074</v>
      </c>
      <c r="S42" s="62" t="n">
        <f aca="false">U42*V42*$F$5</f>
        <v>1605.4392182842</v>
      </c>
      <c r="T42" s="63" t="n">
        <f aca="false">MAX(0,MIN(1,R42/100+$D$5))</f>
        <v>0.673954567455405</v>
      </c>
      <c r="U42" s="63" t="n">
        <v>0.513083802583637</v>
      </c>
      <c r="V42" s="62" t="n">
        <v>3129</v>
      </c>
      <c r="W42" s="63" t="n">
        <v>0.0547268472736556</v>
      </c>
      <c r="X42" s="64" t="s">
        <v>171</v>
      </c>
      <c r="Y42" s="64" t="s">
        <v>167</v>
      </c>
    </row>
    <row r="43" customFormat="false" ht="15" hidden="false" customHeight="false" outlineLevel="0" collapsed="false">
      <c r="A43" s="32" t="s">
        <v>192</v>
      </c>
      <c r="B43" s="32" t="s">
        <v>201</v>
      </c>
      <c r="C43" s="32" t="s">
        <v>164</v>
      </c>
      <c r="D43" s="60" t="n">
        <f aca="false">ROUND(S43*T43,0)</f>
        <v>264</v>
      </c>
      <c r="E43" s="60" t="n">
        <f aca="false">ROUND(S43,0)-D43</f>
        <v>220</v>
      </c>
      <c r="F43" s="60" t="n">
        <f aca="false">IF(COUNTA(D43:E43)=0,"",SUM(D43:E43))</f>
        <v>484</v>
      </c>
      <c r="G43" s="40" t="n">
        <f aca="false">IF(OR(F43="",F43=0),"",D43/F43)</f>
        <v>0.545454545454545</v>
      </c>
      <c r="H43" s="40" t="n">
        <f aca="false">IF(OR(F43="",F43=0),"",E43/F43)</f>
        <v>0.454545454545455</v>
      </c>
      <c r="I43" s="32" t="s">
        <v>165</v>
      </c>
      <c r="J43" s="36" t="n">
        <v>3.52076694862392</v>
      </c>
      <c r="K43" s="36" t="n">
        <f aca="false">$K$8</f>
        <v>2.11898216136568</v>
      </c>
      <c r="L43" s="36" t="n">
        <f aca="false">SQRT(J43^2+K43^2)</f>
        <v>4.10924388503634</v>
      </c>
      <c r="M43" s="40" t="n">
        <f aca="false">IF(G43="","",MAX(0,G43-1.96*L43/100))</f>
        <v>0.464913365307833</v>
      </c>
      <c r="N43" s="40" t="n">
        <f aca="false">IF(G43="","",MIN(1,G43+1.96*L43/100))</f>
        <v>0.625995725601258</v>
      </c>
      <c r="O43" s="60" t="n">
        <f aca="false">ROUND(S43*W43,0)</f>
        <v>35</v>
      </c>
      <c r="P43" s="60" t="n">
        <f aca="false">IF(F43="","",ROUND(SQRT((F43*L43/100)^2+(G43*O43)^2),0))</f>
        <v>28</v>
      </c>
      <c r="R43" s="61" t="n">
        <v>13.0516836833408</v>
      </c>
      <c r="S43" s="62" t="n">
        <f aca="false">U43*V43*$F$5</f>
        <v>483.913480885312</v>
      </c>
      <c r="T43" s="63" t="n">
        <f aca="false">MAX(0,MIN(1,R43/100+$D$5))</f>
        <v>0.545433440492739</v>
      </c>
      <c r="U43" s="63" t="n">
        <v>0.469818913480885</v>
      </c>
      <c r="V43" s="62" t="n">
        <v>1030</v>
      </c>
      <c r="W43" s="63" t="n">
        <v>0.0732058935918866</v>
      </c>
      <c r="X43" s="64" t="s">
        <v>166</v>
      </c>
      <c r="Y43" s="64" t="s">
        <v>167</v>
      </c>
    </row>
    <row r="44" customFormat="false" ht="15" hidden="false" customHeight="false" outlineLevel="0" collapsed="false">
      <c r="A44" s="32" t="s">
        <v>192</v>
      </c>
      <c r="B44" s="32" t="s">
        <v>202</v>
      </c>
      <c r="C44" s="32" t="s">
        <v>164</v>
      </c>
      <c r="D44" s="60" t="n">
        <f aca="false">ROUND(S44*T44,0)</f>
        <v>503</v>
      </c>
      <c r="E44" s="60" t="n">
        <f aca="false">ROUND(S44,0)-D44</f>
        <v>1154</v>
      </c>
      <c r="F44" s="60" t="n">
        <f aca="false">IF(COUNTA(D44:E44)=0,"",SUM(D44:E44))</f>
        <v>1657</v>
      </c>
      <c r="G44" s="40" t="n">
        <f aca="false">IF(OR(F44="",F44=0),"",D44/F44)</f>
        <v>0.303560651780326</v>
      </c>
      <c r="H44" s="40" t="n">
        <f aca="false">IF(OR(F44="",F44=0),"",E44/F44)</f>
        <v>0.696439348219674</v>
      </c>
      <c r="I44" s="32" t="s">
        <v>165</v>
      </c>
      <c r="J44" s="36" t="n">
        <v>1.84762040092345</v>
      </c>
      <c r="K44" s="36" t="n">
        <f aca="false">$K$8</f>
        <v>2.11898216136568</v>
      </c>
      <c r="L44" s="36" t="n">
        <f aca="false">SQRT(J44^2+K44^2)</f>
        <v>2.81136738013631</v>
      </c>
      <c r="M44" s="40" t="n">
        <f aca="false">IF(G44="","",MAX(0,G44-1.96*L44/100))</f>
        <v>0.248457851129654</v>
      </c>
      <c r="N44" s="40" t="n">
        <f aca="false">IF(G44="","",MIN(1,G44+1.96*L44/100))</f>
        <v>0.358663452430998</v>
      </c>
      <c r="O44" s="60" t="n">
        <f aca="false">ROUND(S44*W44,0)</f>
        <v>91</v>
      </c>
      <c r="P44" s="60" t="n">
        <f aca="false">IF(F44="","",ROUND(SQRT((F44*L44/100)^2+(G44*O44)^2),0))</f>
        <v>54</v>
      </c>
      <c r="R44" s="61" t="n">
        <v>-11.1446759955487</v>
      </c>
      <c r="S44" s="62" t="n">
        <f aca="false">U44*V44*$F$5</f>
        <v>1656.73758865248</v>
      </c>
      <c r="T44" s="63" t="n">
        <f aca="false">MAX(0,MIN(1,R44/100+$D$5))</f>
        <v>0.303469843703844</v>
      </c>
      <c r="U44" s="63" t="n">
        <v>0.66750104297038</v>
      </c>
      <c r="V44" s="62" t="n">
        <v>2482</v>
      </c>
      <c r="W44" s="63" t="n">
        <v>0.0547268472736556</v>
      </c>
      <c r="X44" s="64" t="s">
        <v>171</v>
      </c>
      <c r="Y44" s="64" t="s">
        <v>167</v>
      </c>
    </row>
    <row r="45" customFormat="false" ht="15" hidden="false" customHeight="false" outlineLevel="0" collapsed="false">
      <c r="A45" s="32" t="s">
        <v>192</v>
      </c>
      <c r="B45" s="32" t="s">
        <v>203</v>
      </c>
      <c r="C45" s="32" t="s">
        <v>164</v>
      </c>
      <c r="D45" s="60" t="n">
        <f aca="false">ROUND(S45*T45,0)</f>
        <v>8214</v>
      </c>
      <c r="E45" s="60" t="n">
        <f aca="false">ROUND(S45,0)-D45</f>
        <v>8121</v>
      </c>
      <c r="F45" s="60" t="n">
        <f aca="false">IF(COUNTA(D45:E45)=0,"",SUM(D45:E45))</f>
        <v>16335</v>
      </c>
      <c r="G45" s="40" t="n">
        <f aca="false">IF(OR(F45="",F45=0),"",D45/F45)</f>
        <v>0.502846648301194</v>
      </c>
      <c r="H45" s="40" t="n">
        <f aca="false">IF(OR(F45="",F45=0),"",E45/F45)</f>
        <v>0.497153351698806</v>
      </c>
      <c r="I45" s="32" t="s">
        <v>165</v>
      </c>
      <c r="J45" s="36" t="n">
        <v>2.38612924807294</v>
      </c>
      <c r="K45" s="36" t="n">
        <f aca="false">$K$8</f>
        <v>2.11898216136568</v>
      </c>
      <c r="L45" s="36" t="n">
        <f aca="false">SQRT(J45^2+K45^2)</f>
        <v>3.19119071644035</v>
      </c>
      <c r="M45" s="40" t="n">
        <f aca="false">IF(G45="","",MAX(0,G45-1.96*L45/100))</f>
        <v>0.440299310258963</v>
      </c>
      <c r="N45" s="40" t="n">
        <f aca="false">IF(G45="","",MIN(1,G45+1.96*L45/100))</f>
        <v>0.565393986343425</v>
      </c>
      <c r="O45" s="60" t="n">
        <f aca="false">ROUND(S45*W45,0)</f>
        <v>794</v>
      </c>
      <c r="P45" s="60" t="n">
        <f aca="false">IF(F45="","",ROUND(SQRT((F45*L45/100)^2+(G45*O45)^2),0))</f>
        <v>657</v>
      </c>
      <c r="R45" s="61" t="n">
        <v>8.79134354394441</v>
      </c>
      <c r="S45" s="62" t="n">
        <f aca="false">U45*V45*$F$5</f>
        <v>16334.7109624891</v>
      </c>
      <c r="T45" s="63" t="n">
        <f aca="false">MAX(0,MIN(1,R45/100+$D$5))</f>
        <v>0.502830039098775</v>
      </c>
      <c r="U45" s="63" t="n">
        <v>0.662692643210236</v>
      </c>
      <c r="V45" s="62" t="n">
        <v>24649</v>
      </c>
      <c r="W45" s="63" t="n">
        <v>0.0485820274397165</v>
      </c>
      <c r="X45" s="64" t="s">
        <v>187</v>
      </c>
      <c r="Y45" s="64" t="s">
        <v>167</v>
      </c>
    </row>
    <row r="46" customFormat="false" ht="15" hidden="false" customHeight="false" outlineLevel="0" collapsed="false">
      <c r="A46" s="32" t="s">
        <v>192</v>
      </c>
      <c r="B46" s="32" t="s">
        <v>204</v>
      </c>
      <c r="C46" s="32" t="s">
        <v>164</v>
      </c>
      <c r="D46" s="60" t="n">
        <f aca="false">ROUND(S46*T46,0)</f>
        <v>809</v>
      </c>
      <c r="E46" s="60" t="n">
        <f aca="false">ROUND(S46,0)-D46</f>
        <v>1395</v>
      </c>
      <c r="F46" s="60" t="n">
        <f aca="false">IF(COUNTA(D46:E46)=0,"",SUM(D46:E46))</f>
        <v>2204</v>
      </c>
      <c r="G46" s="40" t="n">
        <f aca="false">IF(OR(F46="",F46=0),"",D46/F46)</f>
        <v>0.367059891107078</v>
      </c>
      <c r="H46" s="40" t="n">
        <f aca="false">IF(OR(F46="",F46=0),"",E46/F46)</f>
        <v>0.632940108892922</v>
      </c>
      <c r="I46" s="32" t="s">
        <v>165</v>
      </c>
      <c r="J46" s="36" t="n">
        <v>1.84762040092345</v>
      </c>
      <c r="K46" s="36" t="n">
        <f aca="false">$K$8</f>
        <v>2.11898216136568</v>
      </c>
      <c r="L46" s="36" t="n">
        <f aca="false">SQRT(J46^2+K46^2)</f>
        <v>2.81136738013631</v>
      </c>
      <c r="M46" s="40" t="n">
        <f aca="false">IF(G46="","",MAX(0,G46-1.96*L46/100))</f>
        <v>0.311957090456406</v>
      </c>
      <c r="N46" s="40" t="n">
        <f aca="false">IF(G46="","",MIN(1,G46+1.96*L46/100))</f>
        <v>0.42216269175775</v>
      </c>
      <c r="O46" s="60" t="n">
        <f aca="false">ROUND(S46*W46,0)</f>
        <v>121</v>
      </c>
      <c r="P46" s="60" t="n">
        <f aca="false">IF(F46="","",ROUND(SQRT((F46*L46/100)^2+(G46*O46)^2),0))</f>
        <v>76</v>
      </c>
      <c r="R46" s="61" t="n">
        <v>-4.8015467207123</v>
      </c>
      <c r="S46" s="62" t="n">
        <f aca="false">U46*V46*$F$5</f>
        <v>2204.10505319149</v>
      </c>
      <c r="T46" s="63" t="n">
        <f aca="false">MAX(0,MIN(1,R46/100+$D$5))</f>
        <v>0.366901136452208</v>
      </c>
      <c r="U46" s="63" t="n">
        <v>0.718417553191489</v>
      </c>
      <c r="V46" s="62" t="n">
        <v>3068</v>
      </c>
      <c r="W46" s="63" t="n">
        <v>0.0547268472736556</v>
      </c>
      <c r="X46" s="64" t="s">
        <v>171</v>
      </c>
      <c r="Y46" s="64" t="s">
        <v>167</v>
      </c>
    </row>
    <row r="47" customFormat="false" ht="15" hidden="false" customHeight="false" outlineLevel="0" collapsed="false">
      <c r="A47" s="32" t="s">
        <v>192</v>
      </c>
      <c r="B47" s="32" t="s">
        <v>205</v>
      </c>
      <c r="C47" s="32" t="s">
        <v>164</v>
      </c>
      <c r="D47" s="60" t="n">
        <f aca="false">ROUND(S47*T47,0)</f>
        <v>429</v>
      </c>
      <c r="E47" s="60" t="n">
        <f aca="false">ROUND(S47,0)-D47</f>
        <v>808</v>
      </c>
      <c r="F47" s="60" t="n">
        <f aca="false">IF(COUNTA(D47:E47)=0,"",SUM(D47:E47))</f>
        <v>1237</v>
      </c>
      <c r="G47" s="40" t="n">
        <f aca="false">IF(OR(F47="",F47=0),"",D47/F47)</f>
        <v>0.346806790622474</v>
      </c>
      <c r="H47" s="40" t="n">
        <f aca="false">IF(OR(F47="",F47=0),"",E47/F47)</f>
        <v>0.653193209377526</v>
      </c>
      <c r="I47" s="32" t="s">
        <v>165</v>
      </c>
      <c r="J47" s="36" t="n">
        <v>3.52076694862392</v>
      </c>
      <c r="K47" s="36" t="n">
        <f aca="false">$K$8</f>
        <v>2.11898216136568</v>
      </c>
      <c r="L47" s="36" t="n">
        <f aca="false">SQRT(J47^2+K47^2)</f>
        <v>4.10924388503634</v>
      </c>
      <c r="M47" s="40" t="n">
        <f aca="false">IF(G47="","",MAX(0,G47-1.96*L47/100))</f>
        <v>0.266265610475761</v>
      </c>
      <c r="N47" s="40" t="n">
        <f aca="false">IF(G47="","",MIN(1,G47+1.96*L47/100))</f>
        <v>0.427347970769186</v>
      </c>
      <c r="O47" s="60" t="n">
        <f aca="false">ROUND(S47*W47,0)</f>
        <v>91</v>
      </c>
      <c r="P47" s="60" t="n">
        <f aca="false">IF(F47="","",ROUND(SQRT((F47*L47/100)^2+(G47*O47)^2),0))</f>
        <v>60</v>
      </c>
      <c r="R47" s="61" t="n">
        <v>-6.77901888831615</v>
      </c>
      <c r="S47" s="62" t="n">
        <f aca="false">U47*V47*$F$5</f>
        <v>1236.97340124505</v>
      </c>
      <c r="T47" s="63" t="n">
        <f aca="false">MAX(0,MIN(1,R47/100+$D$5))</f>
        <v>0.34712641477617</v>
      </c>
      <c r="U47" s="63" t="n">
        <v>0.688737973967176</v>
      </c>
      <c r="V47" s="62" t="n">
        <v>1796</v>
      </c>
      <c r="W47" s="63" t="n">
        <v>0.0732058935918866</v>
      </c>
      <c r="X47" s="64" t="s">
        <v>166</v>
      </c>
      <c r="Y47" s="64" t="s">
        <v>167</v>
      </c>
    </row>
    <row r="48" customFormat="false" ht="15" hidden="false" customHeight="false" outlineLevel="0" collapsed="false">
      <c r="A48" s="32" t="s">
        <v>192</v>
      </c>
      <c r="B48" s="32" t="s">
        <v>206</v>
      </c>
      <c r="C48" s="32" t="s">
        <v>164</v>
      </c>
      <c r="D48" s="60" t="n">
        <f aca="false">ROUND(S48*T48,0)</f>
        <v>664</v>
      </c>
      <c r="E48" s="60" t="n">
        <f aca="false">ROUND(S48,0)-D48</f>
        <v>1528</v>
      </c>
      <c r="F48" s="60" t="n">
        <f aca="false">IF(COUNTA(D48:E48)=0,"",SUM(D48:E48))</f>
        <v>2192</v>
      </c>
      <c r="G48" s="40" t="n">
        <f aca="false">IF(OR(F48="",F48=0),"",D48/F48)</f>
        <v>0.302919708029197</v>
      </c>
      <c r="H48" s="40" t="n">
        <f aca="false">IF(OR(F48="",F48=0),"",E48/F48)</f>
        <v>0.697080291970803</v>
      </c>
      <c r="I48" s="32" t="s">
        <v>165</v>
      </c>
      <c r="J48" s="36" t="n">
        <v>1.84762040092345</v>
      </c>
      <c r="K48" s="36" t="n">
        <f aca="false">$K$8</f>
        <v>2.11898216136568</v>
      </c>
      <c r="L48" s="36" t="n">
        <f aca="false">SQRT(J48^2+K48^2)</f>
        <v>2.81136738013631</v>
      </c>
      <c r="M48" s="40" t="n">
        <f aca="false">IF(G48="","",MAX(0,G48-1.96*L48/100))</f>
        <v>0.247816907378525</v>
      </c>
      <c r="N48" s="40" t="n">
        <f aca="false">IF(G48="","",MIN(1,G48+1.96*L48/100))</f>
        <v>0.358022508679869</v>
      </c>
      <c r="O48" s="60" t="n">
        <f aca="false">ROUND(S48*W48,0)</f>
        <v>120</v>
      </c>
      <c r="P48" s="60" t="n">
        <f aca="false">IF(F48="","",ROUND(SQRT((F48*L48/100)^2+(G48*O48)^2),0))</f>
        <v>72</v>
      </c>
      <c r="R48" s="61" t="n">
        <v>-11.186470081844</v>
      </c>
      <c r="S48" s="62" t="n">
        <f aca="false">U48*V48*$F$5</f>
        <v>2191.88036117382</v>
      </c>
      <c r="T48" s="63" t="n">
        <f aca="false">MAX(0,MIN(1,R48/100+$D$5))</f>
        <v>0.303051902840891</v>
      </c>
      <c r="U48" s="63" t="n">
        <v>0.694292163818123</v>
      </c>
      <c r="V48" s="62" t="n">
        <v>3157</v>
      </c>
      <c r="W48" s="63" t="n">
        <v>0.0547268472736556</v>
      </c>
      <c r="X48" s="64" t="s">
        <v>171</v>
      </c>
      <c r="Y48" s="64" t="s">
        <v>167</v>
      </c>
    </row>
    <row r="49" customFormat="false" ht="15" hidden="false" customHeight="false" outlineLevel="0" collapsed="false">
      <c r="A49" s="32" t="s">
        <v>192</v>
      </c>
      <c r="B49" s="32" t="s">
        <v>207</v>
      </c>
      <c r="C49" s="32" t="s">
        <v>164</v>
      </c>
      <c r="D49" s="60" t="n">
        <f aca="false">ROUND(S49*T49,0)</f>
        <v>802</v>
      </c>
      <c r="E49" s="60" t="n">
        <f aca="false">ROUND(S49,0)-D49</f>
        <v>711</v>
      </c>
      <c r="F49" s="60" t="n">
        <f aca="false">IF(COUNTA(D49:E49)=0,"",SUM(D49:E49))</f>
        <v>1513</v>
      </c>
      <c r="G49" s="40" t="n">
        <f aca="false">IF(OR(F49="",F49=0),"",D49/F49)</f>
        <v>0.530072703238599</v>
      </c>
      <c r="H49" s="40" t="n">
        <f aca="false">IF(OR(F49="",F49=0),"",E49/F49)</f>
        <v>0.469927296761401</v>
      </c>
      <c r="I49" s="32" t="s">
        <v>165</v>
      </c>
      <c r="J49" s="36" t="n">
        <v>1.84762040092345</v>
      </c>
      <c r="K49" s="36" t="n">
        <f aca="false">$K$8</f>
        <v>2.11898216136568</v>
      </c>
      <c r="L49" s="36" t="n">
        <f aca="false">SQRT(J49^2+K49^2)</f>
        <v>2.81136738013631</v>
      </c>
      <c r="M49" s="40" t="n">
        <f aca="false">IF(G49="","",MAX(0,G49-1.96*L49/100))</f>
        <v>0.474969902587927</v>
      </c>
      <c r="N49" s="40" t="n">
        <f aca="false">IF(G49="","",MIN(1,G49+1.96*L49/100))</f>
        <v>0.58517550388927</v>
      </c>
      <c r="O49" s="60" t="n">
        <f aca="false">ROUND(S49*W49,0)</f>
        <v>83</v>
      </c>
      <c r="P49" s="60" t="n">
        <f aca="false">IF(F49="","",ROUND(SQRT((F49*L49/100)^2+(G49*O49)^2),0))</f>
        <v>61</v>
      </c>
      <c r="R49" s="61" t="n">
        <v>11.5209868021269</v>
      </c>
      <c r="S49" s="62" t="n">
        <f aca="false">U49*V49*$F$5</f>
        <v>1512.74151436031</v>
      </c>
      <c r="T49" s="63" t="n">
        <f aca="false">MAX(0,MIN(1,R49/100+$D$5))</f>
        <v>0.5301264716806</v>
      </c>
      <c r="U49" s="63" t="n">
        <v>0.616187989556136</v>
      </c>
      <c r="V49" s="62" t="n">
        <v>2455</v>
      </c>
      <c r="W49" s="63" t="n">
        <v>0.0547268472736556</v>
      </c>
      <c r="X49" s="64" t="s">
        <v>171</v>
      </c>
      <c r="Y49" s="64" t="s">
        <v>167</v>
      </c>
    </row>
    <row r="50" customFormat="false" ht="15" hidden="false" customHeight="false" outlineLevel="0" collapsed="false">
      <c r="A50" s="32" t="s">
        <v>192</v>
      </c>
      <c r="B50" s="32" t="s">
        <v>208</v>
      </c>
      <c r="C50" s="32" t="s">
        <v>164</v>
      </c>
      <c r="D50" s="60" t="n">
        <f aca="false">ROUND(S50*T50,0)</f>
        <v>3191</v>
      </c>
      <c r="E50" s="60" t="n">
        <f aca="false">ROUND(S50,0)-D50</f>
        <v>4706</v>
      </c>
      <c r="F50" s="60" t="n">
        <f aca="false">IF(COUNTA(D50:E50)=0,"",SUM(D50:E50))</f>
        <v>7897</v>
      </c>
      <c r="G50" s="40" t="n">
        <f aca="false">IF(OR(F50="",F50=0),"",D50/F50)</f>
        <v>0.404077497783969</v>
      </c>
      <c r="H50" s="40" t="n">
        <f aca="false">IF(OR(F50="",F50=0),"",E50/F50)</f>
        <v>0.595922502216031</v>
      </c>
      <c r="I50" s="32" t="s">
        <v>165</v>
      </c>
      <c r="J50" s="36" t="n">
        <v>2.38612924807294</v>
      </c>
      <c r="K50" s="36" t="n">
        <f aca="false">$K$8</f>
        <v>2.11898216136568</v>
      </c>
      <c r="L50" s="36" t="n">
        <f aca="false">SQRT(J50^2+K50^2)</f>
        <v>3.19119071644035</v>
      </c>
      <c r="M50" s="40" t="n">
        <f aca="false">IF(G50="","",MAX(0,G50-1.96*L50/100))</f>
        <v>0.341530159741738</v>
      </c>
      <c r="N50" s="40" t="n">
        <f aca="false">IF(G50="","",MIN(1,G50+1.96*L50/100))</f>
        <v>0.4666248358262</v>
      </c>
      <c r="O50" s="60" t="n">
        <f aca="false">ROUND(S50*W50,0)</f>
        <v>384</v>
      </c>
      <c r="P50" s="60" t="n">
        <f aca="false">IF(F50="","",ROUND(SQRT((F50*L50/100)^2+(G50*O50)^2),0))</f>
        <v>296</v>
      </c>
      <c r="R50" s="61" t="n">
        <v>-1.07568530205957</v>
      </c>
      <c r="S50" s="62" t="n">
        <f aca="false">U50*V50*$F$5</f>
        <v>7896.5113304721</v>
      </c>
      <c r="T50" s="63" t="n">
        <f aca="false">MAX(0,MIN(1,R50/100+$D$5))</f>
        <v>0.404159750638735</v>
      </c>
      <c r="U50" s="63" t="n">
        <v>0.662403433476395</v>
      </c>
      <c r="V50" s="62" t="n">
        <v>11921</v>
      </c>
      <c r="W50" s="63" t="n">
        <v>0.0485820274397165</v>
      </c>
      <c r="X50" s="64" t="s">
        <v>187</v>
      </c>
      <c r="Y50" s="64" t="s">
        <v>167</v>
      </c>
    </row>
    <row r="51" customFormat="false" ht="15" hidden="false" customHeight="false" outlineLevel="0" collapsed="false">
      <c r="A51" s="32" t="s">
        <v>192</v>
      </c>
      <c r="B51" s="32" t="s">
        <v>209</v>
      </c>
      <c r="C51" s="32" t="s">
        <v>164</v>
      </c>
      <c r="D51" s="60" t="n">
        <f aca="false">ROUND(S51*T51,0)</f>
        <v>3181</v>
      </c>
      <c r="E51" s="60" t="n">
        <f aca="false">ROUND(S51,0)-D51</f>
        <v>3249</v>
      </c>
      <c r="F51" s="60" t="n">
        <f aca="false">IF(COUNTA(D51:E51)=0,"",SUM(D51:E51))</f>
        <v>6430</v>
      </c>
      <c r="G51" s="40" t="n">
        <f aca="false">IF(OR(F51="",F51=0),"",D51/F51)</f>
        <v>0.494712286158631</v>
      </c>
      <c r="H51" s="40" t="n">
        <f aca="false">IF(OR(F51="",F51=0),"",E51/F51)</f>
        <v>0.505287713841369</v>
      </c>
      <c r="I51" s="32" t="s">
        <v>165</v>
      </c>
      <c r="J51" s="36" t="n">
        <v>2.38612924807294</v>
      </c>
      <c r="K51" s="36" t="n">
        <f aca="false">$K$8</f>
        <v>2.11898216136568</v>
      </c>
      <c r="L51" s="36" t="n">
        <f aca="false">SQRT(J51^2+K51^2)</f>
        <v>3.19119071644035</v>
      </c>
      <c r="M51" s="40" t="n">
        <f aca="false">IF(G51="","",MAX(0,G51-1.96*L51/100))</f>
        <v>0.432164948116401</v>
      </c>
      <c r="N51" s="40" t="n">
        <f aca="false">IF(G51="","",MIN(1,G51+1.96*L51/100))</f>
        <v>0.557259624200862</v>
      </c>
      <c r="O51" s="60" t="n">
        <f aca="false">ROUND(S51*W51,0)</f>
        <v>312</v>
      </c>
      <c r="P51" s="60" t="n">
        <f aca="false">IF(F51="","",ROUND(SQRT((F51*L51/100)^2+(G51*O51)^2),0))</f>
        <v>257</v>
      </c>
      <c r="R51" s="61" t="n">
        <v>7.97507108703991</v>
      </c>
      <c r="S51" s="62" t="n">
        <f aca="false">U51*V51*$F$5</f>
        <v>6429.9709076009</v>
      </c>
      <c r="T51" s="63" t="n">
        <f aca="false">MAX(0,MIN(1,R51/100+$D$5))</f>
        <v>0.49466731452973</v>
      </c>
      <c r="U51" s="63" t="n">
        <v>0.652325343167384</v>
      </c>
      <c r="V51" s="62" t="n">
        <v>9857</v>
      </c>
      <c r="W51" s="63" t="n">
        <v>0.0485820274397165</v>
      </c>
      <c r="X51" s="64" t="s">
        <v>187</v>
      </c>
      <c r="Y51" s="64" t="s">
        <v>167</v>
      </c>
    </row>
    <row r="52" customFormat="false" ht="15" hidden="false" customHeight="false" outlineLevel="0" collapsed="false">
      <c r="A52" s="32" t="s">
        <v>192</v>
      </c>
      <c r="B52" s="32" t="s">
        <v>210</v>
      </c>
      <c r="C52" s="32" t="s">
        <v>164</v>
      </c>
      <c r="D52" s="60" t="n">
        <f aca="false">ROUND(S52*T52,0)</f>
        <v>575</v>
      </c>
      <c r="E52" s="60" t="n">
        <f aca="false">ROUND(S52,0)-D52</f>
        <v>815</v>
      </c>
      <c r="F52" s="60" t="n">
        <f aca="false">IF(COUNTA(D52:E52)=0,"",SUM(D52:E52))</f>
        <v>1390</v>
      </c>
      <c r="G52" s="40" t="n">
        <f aca="false">IF(OR(F52="",F52=0),"",D52/F52)</f>
        <v>0.413669064748201</v>
      </c>
      <c r="H52" s="40" t="n">
        <f aca="false">IF(OR(F52="",F52=0),"",E52/F52)</f>
        <v>0.586330935251799</v>
      </c>
      <c r="I52" s="32" t="s">
        <v>165</v>
      </c>
      <c r="J52" s="36" t="n">
        <v>1.84762040092345</v>
      </c>
      <c r="K52" s="36" t="n">
        <f aca="false">$K$8</f>
        <v>2.11898216136568</v>
      </c>
      <c r="L52" s="36" t="n">
        <f aca="false">SQRT(J52^2+K52^2)</f>
        <v>2.81136738013631</v>
      </c>
      <c r="M52" s="40" t="n">
        <f aca="false">IF(G52="","",MAX(0,G52-1.96*L52/100))</f>
        <v>0.35856626409753</v>
      </c>
      <c r="N52" s="40" t="n">
        <f aca="false">IF(G52="","",MIN(1,G52+1.96*L52/100))</f>
        <v>0.468771865398873</v>
      </c>
      <c r="O52" s="60" t="n">
        <f aca="false">ROUND(S52*W52,0)</f>
        <v>76</v>
      </c>
      <c r="P52" s="60" t="n">
        <f aca="false">IF(F52="","",ROUND(SQRT((F52*L52/100)^2+(G52*O52)^2),0))</f>
        <v>50</v>
      </c>
      <c r="R52" s="61" t="n">
        <v>-0.101939104467361</v>
      </c>
      <c r="S52" s="62" t="n">
        <f aca="false">U52*V52*$F$5</f>
        <v>1390.15942028986</v>
      </c>
      <c r="T52" s="63" t="n">
        <f aca="false">MAX(0,MIN(1,R52/100+$D$5))</f>
        <v>0.413897212614657</v>
      </c>
      <c r="U52" s="63" t="n">
        <v>0.529181355268312</v>
      </c>
      <c r="V52" s="62" t="n">
        <v>2627</v>
      </c>
      <c r="W52" s="63" t="n">
        <v>0.0547268472736556</v>
      </c>
      <c r="X52" s="64" t="s">
        <v>171</v>
      </c>
      <c r="Y52" s="64" t="s">
        <v>167</v>
      </c>
    </row>
    <row r="53" customFormat="false" ht="15" hidden="false" customHeight="false" outlineLevel="0" collapsed="false">
      <c r="A53" s="32" t="s">
        <v>192</v>
      </c>
      <c r="B53" s="32" t="s">
        <v>211</v>
      </c>
      <c r="C53" s="32" t="s">
        <v>164</v>
      </c>
      <c r="D53" s="60" t="n">
        <f aca="false">ROUND(S53*T53,0)</f>
        <v>5672</v>
      </c>
      <c r="E53" s="60" t="n">
        <f aca="false">ROUND(S53,0)-D53</f>
        <v>4814</v>
      </c>
      <c r="F53" s="60" t="n">
        <f aca="false">IF(COUNTA(D53:E53)=0,"",SUM(D53:E53))</f>
        <v>10486</v>
      </c>
      <c r="G53" s="40" t="n">
        <f aca="false">IF(OR(F53="",F53=0),"",D53/F53)</f>
        <v>0.540911691779516</v>
      </c>
      <c r="H53" s="40" t="n">
        <f aca="false">IF(OR(F53="",F53=0),"",E53/F53)</f>
        <v>0.459088308220484</v>
      </c>
      <c r="I53" s="32" t="s">
        <v>165</v>
      </c>
      <c r="J53" s="36" t="n">
        <v>2.38612924807294</v>
      </c>
      <c r="K53" s="36" t="n">
        <f aca="false">$K$8</f>
        <v>2.11898216136568</v>
      </c>
      <c r="L53" s="36" t="n">
        <f aca="false">SQRT(J53^2+K53^2)</f>
        <v>3.19119071644035</v>
      </c>
      <c r="M53" s="40" t="n">
        <f aca="false">IF(G53="","",MAX(0,G53-1.96*L53/100))</f>
        <v>0.478364353737285</v>
      </c>
      <c r="N53" s="40" t="n">
        <f aca="false">IF(G53="","",MIN(1,G53+1.96*L53/100))</f>
        <v>0.603459029821747</v>
      </c>
      <c r="O53" s="60" t="n">
        <f aca="false">ROUND(S53*W53,0)</f>
        <v>509</v>
      </c>
      <c r="P53" s="60" t="n">
        <f aca="false">IF(F53="","",ROUND(SQRT((F53*L53/100)^2+(G53*O53)^2),0))</f>
        <v>433</v>
      </c>
      <c r="R53" s="61" t="n">
        <v>12.602922488893</v>
      </c>
      <c r="S53" s="62" t="n">
        <f aca="false">U53*V53*$F$5</f>
        <v>10486.1559171025</v>
      </c>
      <c r="T53" s="63" t="n">
        <f aca="false">MAX(0,MIN(1,R53/100+$D$5))</f>
        <v>0.540945828548261</v>
      </c>
      <c r="U53" s="63" t="n">
        <v>0.653302343598683</v>
      </c>
      <c r="V53" s="62" t="n">
        <v>16051</v>
      </c>
      <c r="W53" s="63" t="n">
        <v>0.0485820274397165</v>
      </c>
      <c r="X53" s="64" t="s">
        <v>187</v>
      </c>
      <c r="Y53" s="64" t="s">
        <v>167</v>
      </c>
    </row>
    <row r="54" customFormat="false" ht="15" hidden="false" customHeight="false" outlineLevel="0" collapsed="false">
      <c r="A54" s="32" t="s">
        <v>192</v>
      </c>
      <c r="B54" s="32" t="s">
        <v>212</v>
      </c>
      <c r="C54" s="32" t="s">
        <v>164</v>
      </c>
      <c r="D54" s="60" t="n">
        <f aca="false">ROUND(S54*T54,0)</f>
        <v>6231</v>
      </c>
      <c r="E54" s="60" t="n">
        <f aca="false">ROUND(S54,0)-D54</f>
        <v>5799</v>
      </c>
      <c r="F54" s="60" t="n">
        <f aca="false">IF(COUNTA(D54:E54)=0,"",SUM(D54:E54))</f>
        <v>12030</v>
      </c>
      <c r="G54" s="40" t="n">
        <f aca="false">IF(OR(F54="",F54=0),"",D54/F54)</f>
        <v>0.517955112219451</v>
      </c>
      <c r="H54" s="40" t="n">
        <f aca="false">IF(OR(F54="",F54=0),"",E54/F54)</f>
        <v>0.482044887780549</v>
      </c>
      <c r="I54" s="32" t="s">
        <v>165</v>
      </c>
      <c r="J54" s="36" t="n">
        <v>2.38612924807294</v>
      </c>
      <c r="K54" s="36" t="n">
        <f aca="false">$K$8</f>
        <v>2.11898216136568</v>
      </c>
      <c r="L54" s="36" t="n">
        <f aca="false">SQRT(J54^2+K54^2)</f>
        <v>3.19119071644035</v>
      </c>
      <c r="M54" s="40" t="n">
        <f aca="false">IF(G54="","",MAX(0,G54-1.96*L54/100))</f>
        <v>0.45540777417722</v>
      </c>
      <c r="N54" s="40" t="n">
        <f aca="false">IF(G54="","",MIN(1,G54+1.96*L54/100))</f>
        <v>0.580502450261682</v>
      </c>
      <c r="O54" s="60" t="n">
        <f aca="false">ROUND(S54*W54,0)</f>
        <v>584</v>
      </c>
      <c r="P54" s="60" t="n">
        <f aca="false">IF(F54="","",ROUND(SQRT((F54*L54/100)^2+(G54*O54)^2),0))</f>
        <v>489</v>
      </c>
      <c r="R54" s="61" t="n">
        <v>10.3006540780649</v>
      </c>
      <c r="S54" s="62" t="n">
        <f aca="false">U54*V54*$F$5</f>
        <v>12030.3346699902</v>
      </c>
      <c r="T54" s="63" t="n">
        <f aca="false">MAX(0,MIN(1,R54/100+$D$5))</f>
        <v>0.51792314443998</v>
      </c>
      <c r="U54" s="63" t="n">
        <v>0.610490950471443</v>
      </c>
      <c r="V54" s="62" t="n">
        <v>19706</v>
      </c>
      <c r="W54" s="63" t="n">
        <v>0.0485820274397165</v>
      </c>
      <c r="X54" s="64" t="s">
        <v>187</v>
      </c>
      <c r="Y54" s="64" t="s">
        <v>167</v>
      </c>
    </row>
    <row r="55" customFormat="false" ht="15" hidden="false" customHeight="false" outlineLevel="0" collapsed="false">
      <c r="A55" s="32" t="s">
        <v>192</v>
      </c>
      <c r="B55" s="32" t="s">
        <v>213</v>
      </c>
      <c r="C55" s="32" t="s">
        <v>164</v>
      </c>
      <c r="D55" s="60" t="n">
        <f aca="false">ROUND(S55*T55,0)</f>
        <v>1956</v>
      </c>
      <c r="E55" s="60" t="n">
        <f aca="false">ROUND(S55,0)-D55</f>
        <v>2658</v>
      </c>
      <c r="F55" s="60" t="n">
        <f aca="false">IF(COUNTA(D55:E55)=0,"",SUM(D55:E55))</f>
        <v>4614</v>
      </c>
      <c r="G55" s="40" t="n">
        <f aca="false">IF(OR(F55="",F55=0),"",D55/F55)</f>
        <v>0.423927178153446</v>
      </c>
      <c r="H55" s="40" t="n">
        <f aca="false">IF(OR(F55="",F55=0),"",E55/F55)</f>
        <v>0.576072821846554</v>
      </c>
      <c r="I55" s="32" t="s">
        <v>165</v>
      </c>
      <c r="J55" s="36" t="n">
        <v>2.38612924807294</v>
      </c>
      <c r="K55" s="36" t="n">
        <f aca="false">$K$8</f>
        <v>2.11898216136568</v>
      </c>
      <c r="L55" s="36" t="n">
        <f aca="false">SQRT(J55^2+K55^2)</f>
        <v>3.19119071644035</v>
      </c>
      <c r="M55" s="40" t="n">
        <f aca="false">IF(G55="","",MAX(0,G55-1.96*L55/100))</f>
        <v>0.361379840111215</v>
      </c>
      <c r="N55" s="40" t="n">
        <f aca="false">IF(G55="","",MIN(1,G55+1.96*L55/100))</f>
        <v>0.486474516195677</v>
      </c>
      <c r="O55" s="60" t="n">
        <f aca="false">ROUND(S55*W55,0)</f>
        <v>224</v>
      </c>
      <c r="P55" s="60" t="n">
        <f aca="false">IF(F55="","",ROUND(SQRT((F55*L55/100)^2+(G55*O55)^2),0))</f>
        <v>175</v>
      </c>
      <c r="R55" s="61" t="n">
        <v>0.91009841851696</v>
      </c>
      <c r="S55" s="62" t="n">
        <f aca="false">U55*V55*$F$5</f>
        <v>4613.50991276765</v>
      </c>
      <c r="T55" s="63" t="n">
        <f aca="false">MAX(0,MIN(1,R55/100+$D$5))</f>
        <v>0.424017587844501</v>
      </c>
      <c r="U55" s="63" t="n">
        <v>0.71086439333862</v>
      </c>
      <c r="V55" s="62" t="n">
        <v>6490</v>
      </c>
      <c r="W55" s="63" t="n">
        <v>0.0485820274397165</v>
      </c>
      <c r="X55" s="64" t="s">
        <v>187</v>
      </c>
      <c r="Y55" s="64" t="s">
        <v>167</v>
      </c>
    </row>
    <row r="56" customFormat="false" ht="15" hidden="false" customHeight="false" outlineLevel="0" collapsed="false">
      <c r="A56" s="32" t="s">
        <v>192</v>
      </c>
      <c r="B56" s="32" t="s">
        <v>214</v>
      </c>
      <c r="C56" s="32" t="s">
        <v>164</v>
      </c>
      <c r="D56" s="60" t="n">
        <f aca="false">ROUND(S56*T56,0)</f>
        <v>4526</v>
      </c>
      <c r="E56" s="60" t="n">
        <f aca="false">ROUND(S56,0)-D56</f>
        <v>4818</v>
      </c>
      <c r="F56" s="60" t="n">
        <f aca="false">IF(COUNTA(D56:E56)=0,"",SUM(D56:E56))</f>
        <v>9344</v>
      </c>
      <c r="G56" s="40" t="n">
        <f aca="false">IF(OR(F56="",F56=0),"",D56/F56)</f>
        <v>0.484375</v>
      </c>
      <c r="H56" s="40" t="n">
        <f aca="false">IF(OR(F56="",F56=0),"",E56/F56)</f>
        <v>0.515625</v>
      </c>
      <c r="I56" s="32" t="s">
        <v>165</v>
      </c>
      <c r="J56" s="36" t="n">
        <v>2.38612924807294</v>
      </c>
      <c r="K56" s="36" t="n">
        <f aca="false">$K$8</f>
        <v>2.11898216136568</v>
      </c>
      <c r="L56" s="36" t="n">
        <f aca="false">SQRT(J56^2+K56^2)</f>
        <v>3.19119071644035</v>
      </c>
      <c r="M56" s="40" t="n">
        <f aca="false">IF(G56="","",MAX(0,G56-1.96*L56/100))</f>
        <v>0.421827661957769</v>
      </c>
      <c r="N56" s="40" t="n">
        <f aca="false">IF(G56="","",MIN(1,G56+1.96*L56/100))</f>
        <v>0.546922338042231</v>
      </c>
      <c r="O56" s="60" t="n">
        <f aca="false">ROUND(S56*W56,0)</f>
        <v>454</v>
      </c>
      <c r="P56" s="60" t="n">
        <f aca="false">IF(F56="","",ROUND(SQRT((F56*L56/100)^2+(G56*O56)^2),0))</f>
        <v>371</v>
      </c>
      <c r="R56" s="61" t="n">
        <v>6.95135873539288</v>
      </c>
      <c r="S56" s="62" t="n">
        <f aca="false">U56*V56*$F$5</f>
        <v>9343.93860561915</v>
      </c>
      <c r="T56" s="63" t="n">
        <f aca="false">MAX(0,MIN(1,R56/100+$D$5))</f>
        <v>0.48443019101326</v>
      </c>
      <c r="U56" s="63" t="n">
        <v>0.702393340270552</v>
      </c>
      <c r="V56" s="62" t="n">
        <v>13303</v>
      </c>
      <c r="W56" s="63" t="n">
        <v>0.0485820274397165</v>
      </c>
      <c r="X56" s="64" t="s">
        <v>187</v>
      </c>
      <c r="Y56" s="64" t="s">
        <v>167</v>
      </c>
    </row>
    <row r="57" customFormat="false" ht="15" hidden="false" customHeight="false" outlineLevel="0" collapsed="false">
      <c r="A57" s="32" t="s">
        <v>192</v>
      </c>
      <c r="B57" s="32" t="s">
        <v>215</v>
      </c>
      <c r="C57" s="32" t="s">
        <v>164</v>
      </c>
      <c r="D57" s="60" t="n">
        <f aca="false">ROUND(S57*T57,0)</f>
        <v>983</v>
      </c>
      <c r="E57" s="60" t="n">
        <f aca="false">ROUND(S57,0)-D57</f>
        <v>2120</v>
      </c>
      <c r="F57" s="60" t="n">
        <f aca="false">IF(COUNTA(D57:E57)=0,"",SUM(D57:E57))</f>
        <v>3103</v>
      </c>
      <c r="G57" s="40" t="n">
        <f aca="false">IF(OR(F57="",F57=0),"",D57/F57)</f>
        <v>0.316790203029327</v>
      </c>
      <c r="H57" s="40" t="n">
        <f aca="false">IF(OR(F57="",F57=0),"",E57/F57)</f>
        <v>0.683209796970674</v>
      </c>
      <c r="I57" s="32" t="s">
        <v>165</v>
      </c>
      <c r="J57" s="36" t="n">
        <v>2.38612924807294</v>
      </c>
      <c r="K57" s="36" t="n">
        <f aca="false">$K$8</f>
        <v>2.11898216136568</v>
      </c>
      <c r="L57" s="36" t="n">
        <f aca="false">SQRT(J57^2+K57^2)</f>
        <v>3.19119071644035</v>
      </c>
      <c r="M57" s="40" t="n">
        <f aca="false">IF(G57="","",MAX(0,G57-1.96*L57/100))</f>
        <v>0.254242864987096</v>
      </c>
      <c r="N57" s="40" t="n">
        <f aca="false">IF(G57="","",MIN(1,G57+1.96*L57/100))</f>
        <v>0.379337541071557</v>
      </c>
      <c r="O57" s="60" t="n">
        <f aca="false">ROUND(S57*W57,0)</f>
        <v>151</v>
      </c>
      <c r="P57" s="60" t="n">
        <f aca="false">IF(F57="","",ROUND(SQRT((F57*L57/100)^2+(G57*O57)^2),0))</f>
        <v>110</v>
      </c>
      <c r="R57" s="61" t="n">
        <v>-9.82402367336622</v>
      </c>
      <c r="S57" s="62" t="n">
        <f aca="false">U57*V57*$F$5</f>
        <v>3102.86358754028</v>
      </c>
      <c r="T57" s="63" t="n">
        <f aca="false">MAX(0,MIN(1,R57/100+$D$5))</f>
        <v>0.316676366925669</v>
      </c>
      <c r="U57" s="63" t="n">
        <v>0.645757250268529</v>
      </c>
      <c r="V57" s="62" t="n">
        <v>4805</v>
      </c>
      <c r="W57" s="63" t="n">
        <v>0.0485820274397165</v>
      </c>
      <c r="X57" s="64" t="s">
        <v>187</v>
      </c>
      <c r="Y57" s="64" t="s">
        <v>167</v>
      </c>
    </row>
    <row r="58" customFormat="false" ht="15" hidden="false" customHeight="false" outlineLevel="0" collapsed="false">
      <c r="A58" s="32" t="s">
        <v>192</v>
      </c>
      <c r="B58" s="32" t="s">
        <v>216</v>
      </c>
      <c r="C58" s="32" t="s">
        <v>164</v>
      </c>
      <c r="D58" s="60" t="n">
        <f aca="false">ROUND(S58*T58,0)</f>
        <v>934</v>
      </c>
      <c r="E58" s="60" t="n">
        <f aca="false">ROUND(S58,0)-D58</f>
        <v>1806</v>
      </c>
      <c r="F58" s="60" t="n">
        <f aca="false">IF(COUNTA(D58:E58)=0,"",SUM(D58:E58))</f>
        <v>2740</v>
      </c>
      <c r="G58" s="40" t="n">
        <f aca="false">IF(OR(F58="",F58=0),"",D58/F58)</f>
        <v>0.340875912408759</v>
      </c>
      <c r="H58" s="40" t="n">
        <f aca="false">IF(OR(F58="",F58=0),"",E58/F58)</f>
        <v>0.659124087591241</v>
      </c>
      <c r="I58" s="32" t="s">
        <v>165</v>
      </c>
      <c r="J58" s="36" t="n">
        <v>1.84762040092345</v>
      </c>
      <c r="K58" s="36" t="n">
        <f aca="false">$K$8</f>
        <v>2.11898216136568</v>
      </c>
      <c r="L58" s="36" t="n">
        <f aca="false">SQRT(J58^2+K58^2)</f>
        <v>2.81136738013631</v>
      </c>
      <c r="M58" s="40" t="n">
        <f aca="false">IF(G58="","",MAX(0,G58-1.96*L58/100))</f>
        <v>0.285773111758088</v>
      </c>
      <c r="N58" s="40" t="n">
        <f aca="false">IF(G58="","",MIN(1,G58+1.96*L58/100))</f>
        <v>0.395978713059431</v>
      </c>
      <c r="O58" s="60" t="n">
        <f aca="false">ROUND(S58*W58,0)</f>
        <v>150</v>
      </c>
      <c r="P58" s="60" t="n">
        <f aca="false">IF(F58="","",ROUND(SQRT((F58*L58/100)^2+(G58*O58)^2),0))</f>
        <v>92</v>
      </c>
      <c r="R58" s="61" t="n">
        <v>-7.40048394540406</v>
      </c>
      <c r="S58" s="62" t="n">
        <f aca="false">U58*V58*$F$5</f>
        <v>2739.5017118778</v>
      </c>
      <c r="T58" s="63" t="n">
        <f aca="false">MAX(0,MIN(1,R58/100+$D$5))</f>
        <v>0.34091176420529</v>
      </c>
      <c r="U58" s="63" t="n">
        <v>0.708980774295496</v>
      </c>
      <c r="V58" s="62" t="n">
        <v>3864</v>
      </c>
      <c r="W58" s="63" t="n">
        <v>0.0547268472736556</v>
      </c>
      <c r="X58" s="64" t="s">
        <v>171</v>
      </c>
      <c r="Y58" s="64" t="s">
        <v>167</v>
      </c>
    </row>
    <row r="59" customFormat="false" ht="15" hidden="false" customHeight="false" outlineLevel="0" collapsed="false">
      <c r="A59" s="32" t="s">
        <v>192</v>
      </c>
      <c r="B59" s="32" t="s">
        <v>217</v>
      </c>
      <c r="C59" s="32" t="s">
        <v>164</v>
      </c>
      <c r="D59" s="60" t="n">
        <f aca="false">ROUND(S59*T59,0)</f>
        <v>5435</v>
      </c>
      <c r="E59" s="60" t="n">
        <f aca="false">ROUND(S59,0)-D59</f>
        <v>5069</v>
      </c>
      <c r="F59" s="60" t="n">
        <f aca="false">IF(COUNTA(D59:E59)=0,"",SUM(D59:E59))</f>
        <v>10504</v>
      </c>
      <c r="G59" s="40" t="n">
        <f aca="false">IF(OR(F59="",F59=0),"",D59/F59)</f>
        <v>0.517421934501142</v>
      </c>
      <c r="H59" s="40" t="n">
        <f aca="false">IF(OR(F59="",F59=0),"",E59/F59)</f>
        <v>0.482578065498858</v>
      </c>
      <c r="I59" s="32" t="s">
        <v>165</v>
      </c>
      <c r="J59" s="36" t="n">
        <v>2.38612924807294</v>
      </c>
      <c r="K59" s="36" t="n">
        <f aca="false">$K$8</f>
        <v>2.11898216136568</v>
      </c>
      <c r="L59" s="36" t="n">
        <f aca="false">SQRT(J59^2+K59^2)</f>
        <v>3.19119071644035</v>
      </c>
      <c r="M59" s="40" t="n">
        <f aca="false">IF(G59="","",MAX(0,G59-1.96*L59/100))</f>
        <v>0.454874596458912</v>
      </c>
      <c r="N59" s="40" t="n">
        <f aca="false">IF(G59="","",MIN(1,G59+1.96*L59/100))</f>
        <v>0.579969272543373</v>
      </c>
      <c r="O59" s="60" t="n">
        <f aca="false">ROUND(S59*W59,0)</f>
        <v>510</v>
      </c>
      <c r="P59" s="60" t="n">
        <f aca="false">IF(F59="","",ROUND(SQRT((F59*L59/100)^2+(G59*O59)^2),0))</f>
        <v>427</v>
      </c>
      <c r="R59" s="61" t="n">
        <v>10.249451460618</v>
      </c>
      <c r="S59" s="62" t="n">
        <f aca="false">U59*V59*$F$5</f>
        <v>10504.2978562557</v>
      </c>
      <c r="T59" s="63" t="n">
        <f aca="false">MAX(0,MIN(1,R59/100+$D$5))</f>
        <v>0.517411118265511</v>
      </c>
      <c r="U59" s="63" t="n">
        <v>0.555753550407689</v>
      </c>
      <c r="V59" s="62" t="n">
        <v>18901</v>
      </c>
      <c r="W59" s="63" t="n">
        <v>0.0485820274397165</v>
      </c>
      <c r="X59" s="64" t="s">
        <v>187</v>
      </c>
      <c r="Y59" s="64" t="s">
        <v>167</v>
      </c>
    </row>
    <row r="60" customFormat="false" ht="15" hidden="false" customHeight="false" outlineLevel="0" collapsed="false">
      <c r="A60" s="32" t="s">
        <v>218</v>
      </c>
      <c r="B60" s="32" t="s">
        <v>219</v>
      </c>
      <c r="C60" s="32" t="s">
        <v>164</v>
      </c>
      <c r="D60" s="60" t="n">
        <f aca="false">ROUND(S60*T60,0)</f>
        <v>353</v>
      </c>
      <c r="E60" s="60" t="n">
        <f aca="false">ROUND(S60,0)-D60</f>
        <v>881</v>
      </c>
      <c r="F60" s="60" t="n">
        <f aca="false">IF(COUNTA(D60:E60)=0,"",SUM(D60:E60))</f>
        <v>1234</v>
      </c>
      <c r="G60" s="40" t="n">
        <f aca="false">IF(OR(F60="",F60=0),"",D60/F60)</f>
        <v>0.286061588330632</v>
      </c>
      <c r="H60" s="40" t="n">
        <f aca="false">IF(OR(F60="",F60=0),"",E60/F60)</f>
        <v>0.713938411669368</v>
      </c>
      <c r="I60" s="32" t="s">
        <v>165</v>
      </c>
      <c r="J60" s="36" t="n">
        <v>3.52076694862392</v>
      </c>
      <c r="K60" s="36" t="n">
        <f aca="false">$K$8</f>
        <v>2.11898216136568</v>
      </c>
      <c r="L60" s="36" t="n">
        <f aca="false">SQRT(J60^2+K60^2)</f>
        <v>4.10924388503634</v>
      </c>
      <c r="M60" s="40" t="n">
        <f aca="false">IF(G60="","",MAX(0,G60-1.96*L60/100))</f>
        <v>0.20552040818392</v>
      </c>
      <c r="N60" s="40" t="n">
        <f aca="false">IF(G60="","",MIN(1,G60+1.96*L60/100))</f>
        <v>0.366602768477344</v>
      </c>
      <c r="O60" s="60" t="n">
        <f aca="false">ROUND(S60*W60,0)</f>
        <v>90</v>
      </c>
      <c r="P60" s="60" t="n">
        <f aca="false">IF(F60="","",ROUND(SQRT((F60*L60/100)^2+(G60*O60)^2),0))</f>
        <v>57</v>
      </c>
      <c r="R60" s="61" t="n">
        <v>-12.9116652342492</v>
      </c>
      <c r="S60" s="62" t="n">
        <f aca="false">U60*V60*$F$5</f>
        <v>1234.45226917058</v>
      </c>
      <c r="T60" s="63" t="n">
        <f aca="false">MAX(0,MIN(1,R60/100+$D$5))</f>
        <v>0.285799951316839</v>
      </c>
      <c r="U60" s="63" t="n">
        <v>0.618153364632238</v>
      </c>
      <c r="V60" s="62" t="n">
        <v>1997</v>
      </c>
      <c r="W60" s="63" t="n">
        <v>0.0732058935918866</v>
      </c>
      <c r="X60" s="64" t="s">
        <v>166</v>
      </c>
      <c r="Y60" s="64" t="s">
        <v>167</v>
      </c>
    </row>
    <row r="61" customFormat="false" ht="15" hidden="false" customHeight="false" outlineLevel="0" collapsed="false">
      <c r="A61" s="32" t="s">
        <v>218</v>
      </c>
      <c r="B61" s="32" t="s">
        <v>220</v>
      </c>
      <c r="C61" s="32" t="s">
        <v>164</v>
      </c>
      <c r="D61" s="60" t="n">
        <f aca="false">ROUND(S61*T61,0)</f>
        <v>1026</v>
      </c>
      <c r="E61" s="60" t="n">
        <f aca="false">ROUND(S61,0)-D61</f>
        <v>2124</v>
      </c>
      <c r="F61" s="60" t="n">
        <f aca="false">IF(COUNTA(D61:E61)=0,"",SUM(D61:E61))</f>
        <v>3150</v>
      </c>
      <c r="G61" s="40" t="n">
        <f aca="false">IF(OR(F61="",F61=0),"",D61/F61)</f>
        <v>0.325714285714286</v>
      </c>
      <c r="H61" s="40" t="n">
        <f aca="false">IF(OR(F61="",F61=0),"",E61/F61)</f>
        <v>0.674285714285714</v>
      </c>
      <c r="I61" s="32" t="s">
        <v>165</v>
      </c>
      <c r="J61" s="36" t="n">
        <v>2.38612924807294</v>
      </c>
      <c r="K61" s="36" t="n">
        <f aca="false">$K$8</f>
        <v>2.11898216136568</v>
      </c>
      <c r="L61" s="36" t="n">
        <f aca="false">SQRT(J61^2+K61^2)</f>
        <v>3.19119071644035</v>
      </c>
      <c r="M61" s="40" t="n">
        <f aca="false">IF(G61="","",MAX(0,G61-1.96*L61/100))</f>
        <v>0.263166947672055</v>
      </c>
      <c r="N61" s="40" t="n">
        <f aca="false">IF(G61="","",MIN(1,G61+1.96*L61/100))</f>
        <v>0.388261623756517</v>
      </c>
      <c r="O61" s="60" t="n">
        <f aca="false">ROUND(S61*W61,0)</f>
        <v>153</v>
      </c>
      <c r="P61" s="60" t="n">
        <f aca="false">IF(F61="","",ROUND(SQRT((F61*L61/100)^2+(G61*O61)^2),0))</f>
        <v>112</v>
      </c>
      <c r="R61" s="61" t="n">
        <v>-8.92686461858227</v>
      </c>
      <c r="S61" s="62" t="n">
        <f aca="false">U61*V61*$F$5</f>
        <v>3150.44851429639</v>
      </c>
      <c r="T61" s="63" t="n">
        <f aca="false">MAX(0,MIN(1,R61/100+$D$5))</f>
        <v>0.325647957473508</v>
      </c>
      <c r="U61" s="63" t="n">
        <v>0.56157727527565</v>
      </c>
      <c r="V61" s="62" t="n">
        <v>5610</v>
      </c>
      <c r="W61" s="63" t="n">
        <v>0.0485820274397165</v>
      </c>
      <c r="X61" s="64" t="s">
        <v>187</v>
      </c>
      <c r="Y61" s="64" t="s">
        <v>167</v>
      </c>
    </row>
    <row r="62" customFormat="false" ht="15" hidden="false" customHeight="false" outlineLevel="0" collapsed="false">
      <c r="A62" s="32" t="s">
        <v>218</v>
      </c>
      <c r="B62" s="32" t="s">
        <v>221</v>
      </c>
      <c r="C62" s="32" t="s">
        <v>164</v>
      </c>
      <c r="D62" s="60" t="n">
        <f aca="false">ROUND(S62*T62,0)</f>
        <v>380</v>
      </c>
      <c r="E62" s="60" t="n">
        <f aca="false">ROUND(S62,0)-D62</f>
        <v>791</v>
      </c>
      <c r="F62" s="60" t="n">
        <f aca="false">IF(COUNTA(D62:E62)=0,"",SUM(D62:E62))</f>
        <v>1171</v>
      </c>
      <c r="G62" s="40" t="n">
        <f aca="false">IF(OR(F62="",F62=0),"",D62/F62)</f>
        <v>0.324508966695132</v>
      </c>
      <c r="H62" s="40" t="n">
        <f aca="false">IF(OR(F62="",F62=0),"",E62/F62)</f>
        <v>0.675491033304868</v>
      </c>
      <c r="I62" s="32" t="s">
        <v>165</v>
      </c>
      <c r="J62" s="36" t="n">
        <v>3.52076694862392</v>
      </c>
      <c r="K62" s="36" t="n">
        <f aca="false">$K$8</f>
        <v>2.11898216136568</v>
      </c>
      <c r="L62" s="36" t="n">
        <f aca="false">SQRT(J62^2+K62^2)</f>
        <v>4.10924388503634</v>
      </c>
      <c r="M62" s="40" t="n">
        <f aca="false">IF(G62="","",MAX(0,G62-1.96*L62/100))</f>
        <v>0.24396778654842</v>
      </c>
      <c r="N62" s="40" t="n">
        <f aca="false">IF(G62="","",MIN(1,G62+1.96*L62/100))</f>
        <v>0.405050146841845</v>
      </c>
      <c r="O62" s="60" t="n">
        <f aca="false">ROUND(S62*W62,0)</f>
        <v>86</v>
      </c>
      <c r="P62" s="60" t="n">
        <f aca="false">IF(F62="","",ROUND(SQRT((F62*L62/100)^2+(G62*O62)^2),0))</f>
        <v>56</v>
      </c>
      <c r="R62" s="61" t="n">
        <v>-9.00288302481756</v>
      </c>
      <c r="S62" s="62" t="n">
        <f aca="false">U62*V62*$F$5</f>
        <v>1170.82273494654</v>
      </c>
      <c r="T62" s="63" t="n">
        <f aca="false">MAX(0,MIN(1,R62/100+$D$5))</f>
        <v>0.324887773411155</v>
      </c>
      <c r="U62" s="63" t="n">
        <v>0.625773776027012</v>
      </c>
      <c r="V62" s="62" t="n">
        <v>1871</v>
      </c>
      <c r="W62" s="63" t="n">
        <v>0.0732058935918866</v>
      </c>
      <c r="X62" s="64" t="s">
        <v>166</v>
      </c>
      <c r="Y62" s="64" t="s">
        <v>167</v>
      </c>
    </row>
    <row r="63" customFormat="false" ht="15" hidden="false" customHeight="false" outlineLevel="0" collapsed="false">
      <c r="A63" s="32" t="s">
        <v>222</v>
      </c>
      <c r="B63" s="32" t="s">
        <v>223</v>
      </c>
      <c r="C63" s="32" t="s">
        <v>164</v>
      </c>
      <c r="D63" s="60" t="n">
        <f aca="false">ROUND(S63*T63,0)</f>
        <v>1164</v>
      </c>
      <c r="E63" s="60" t="n">
        <f aca="false">ROUND(S63,0)-D63</f>
        <v>1543</v>
      </c>
      <c r="F63" s="60" t="n">
        <f aca="false">IF(COUNTA(D63:E63)=0,"",SUM(D63:E63))</f>
        <v>2707</v>
      </c>
      <c r="G63" s="40" t="n">
        <f aca="false">IF(OR(F63="",F63=0),"",D63/F63)</f>
        <v>0.429996305873661</v>
      </c>
      <c r="H63" s="40" t="n">
        <f aca="false">IF(OR(F63="",F63=0),"",E63/F63)</f>
        <v>0.570003694126339</v>
      </c>
      <c r="I63" s="32" t="s">
        <v>165</v>
      </c>
      <c r="J63" s="36" t="n">
        <v>1.84762040092345</v>
      </c>
      <c r="K63" s="36" t="n">
        <f aca="false">$K$8</f>
        <v>2.11898216136568</v>
      </c>
      <c r="L63" s="36" t="n">
        <f aca="false">SQRT(J63^2+K63^2)</f>
        <v>2.81136738013631</v>
      </c>
      <c r="M63" s="40" t="n">
        <f aca="false">IF(G63="","",MAX(0,G63-1.96*L63/100))</f>
        <v>0.374893505222989</v>
      </c>
      <c r="N63" s="40" t="n">
        <f aca="false">IF(G63="","",MIN(1,G63+1.96*L63/100))</f>
        <v>0.485099106524333</v>
      </c>
      <c r="O63" s="60" t="n">
        <f aca="false">ROUND(S63*W63,0)</f>
        <v>148</v>
      </c>
      <c r="P63" s="60" t="n">
        <f aca="false">IF(F63="","",ROUND(SQRT((F63*L63/100)^2+(G63*O63)^2),0))</f>
        <v>99</v>
      </c>
      <c r="R63" s="61" t="n">
        <v>1.49277944730543</v>
      </c>
      <c r="S63" s="62" t="n">
        <f aca="false">U63*V63*$F$5</f>
        <v>2707.41725054361</v>
      </c>
      <c r="T63" s="63" t="n">
        <f aca="false">MAX(0,MIN(1,R63/100+$D$5))</f>
        <v>0.429844398132385</v>
      </c>
      <c r="U63" s="63" t="n">
        <v>0.628171055810582</v>
      </c>
      <c r="V63" s="62" t="n">
        <v>4310</v>
      </c>
      <c r="W63" s="63" t="n">
        <v>0.0547268472736556</v>
      </c>
      <c r="X63" s="64" t="s">
        <v>171</v>
      </c>
      <c r="Y63" s="64" t="s">
        <v>167</v>
      </c>
    </row>
    <row r="64" customFormat="false" ht="15" hidden="false" customHeight="false" outlineLevel="0" collapsed="false">
      <c r="A64" s="32" t="s">
        <v>222</v>
      </c>
      <c r="B64" s="32" t="s">
        <v>224</v>
      </c>
      <c r="C64" s="32" t="s">
        <v>164</v>
      </c>
      <c r="D64" s="60" t="n">
        <f aca="false">ROUND(S64*T64,0)</f>
        <v>692</v>
      </c>
      <c r="E64" s="60" t="n">
        <f aca="false">ROUND(S64,0)-D64</f>
        <v>996</v>
      </c>
      <c r="F64" s="60" t="n">
        <f aca="false">IF(COUNTA(D64:E64)=0,"",SUM(D64:E64))</f>
        <v>1688</v>
      </c>
      <c r="G64" s="40" t="n">
        <f aca="false">IF(OR(F64="",F64=0),"",D64/F64)</f>
        <v>0.409952606635071</v>
      </c>
      <c r="H64" s="40" t="n">
        <f aca="false">IF(OR(F64="",F64=0),"",E64/F64)</f>
        <v>0.590047393364929</v>
      </c>
      <c r="I64" s="32" t="s">
        <v>165</v>
      </c>
      <c r="J64" s="36" t="n">
        <v>1.84762040092345</v>
      </c>
      <c r="K64" s="36" t="n">
        <f aca="false">$K$8</f>
        <v>2.11898216136568</v>
      </c>
      <c r="L64" s="36" t="n">
        <f aca="false">SQRT(J64^2+K64^2)</f>
        <v>2.81136738013631</v>
      </c>
      <c r="M64" s="40" t="n">
        <f aca="false">IF(G64="","",MAX(0,G64-1.96*L64/100))</f>
        <v>0.354849805984399</v>
      </c>
      <c r="N64" s="40" t="n">
        <f aca="false">IF(G64="","",MIN(1,G64+1.96*L64/100))</f>
        <v>0.465055407285743</v>
      </c>
      <c r="O64" s="60" t="n">
        <f aca="false">ROUND(S64*W64,0)</f>
        <v>92</v>
      </c>
      <c r="P64" s="60" t="n">
        <f aca="false">IF(F64="","",ROUND(SQRT((F64*L64/100)^2+(G64*O64)^2),0))</f>
        <v>61</v>
      </c>
      <c r="R64" s="61" t="n">
        <v>-0.497854730705075</v>
      </c>
      <c r="S64" s="62" t="n">
        <f aca="false">U64*V64*$F$5</f>
        <v>1687.9765578635</v>
      </c>
      <c r="T64" s="63" t="n">
        <f aca="false">MAX(0,MIN(1,R64/100+$D$5))</f>
        <v>0.40993805635228</v>
      </c>
      <c r="U64" s="63" t="n">
        <v>0.491691394658754</v>
      </c>
      <c r="V64" s="62" t="n">
        <v>3433</v>
      </c>
      <c r="W64" s="63" t="n">
        <v>0.0547268472736556</v>
      </c>
      <c r="X64" s="64" t="s">
        <v>171</v>
      </c>
      <c r="Y64" s="64" t="s">
        <v>167</v>
      </c>
    </row>
    <row r="65" customFormat="false" ht="15" hidden="false" customHeight="false" outlineLevel="0" collapsed="false">
      <c r="A65" s="32" t="s">
        <v>222</v>
      </c>
      <c r="B65" s="32" t="s">
        <v>225</v>
      </c>
      <c r="C65" s="32" t="s">
        <v>164</v>
      </c>
      <c r="D65" s="60" t="n">
        <f aca="false">ROUND(S65*T65,0)</f>
        <v>468</v>
      </c>
      <c r="E65" s="60" t="n">
        <f aca="false">ROUND(S65,0)-D65</f>
        <v>548</v>
      </c>
      <c r="F65" s="60" t="n">
        <f aca="false">IF(COUNTA(D65:E65)=0,"",SUM(D65:E65))</f>
        <v>1016</v>
      </c>
      <c r="G65" s="40" t="n">
        <f aca="false">IF(OR(F65="",F65=0),"",D65/F65)</f>
        <v>0.460629921259843</v>
      </c>
      <c r="H65" s="40" t="n">
        <f aca="false">IF(OR(F65="",F65=0),"",E65/F65)</f>
        <v>0.539370078740158</v>
      </c>
      <c r="I65" s="32" t="s">
        <v>165</v>
      </c>
      <c r="J65" s="36" t="n">
        <v>3.52076694862392</v>
      </c>
      <c r="K65" s="36" t="n">
        <f aca="false">$K$8</f>
        <v>2.11898216136568</v>
      </c>
      <c r="L65" s="36" t="n">
        <f aca="false">SQRT(J65^2+K65^2)</f>
        <v>4.10924388503634</v>
      </c>
      <c r="M65" s="40" t="n">
        <f aca="false">IF(G65="","",MAX(0,G65-1.96*L65/100))</f>
        <v>0.38008874111313</v>
      </c>
      <c r="N65" s="40" t="n">
        <f aca="false">IF(G65="","",MIN(1,G65+1.96*L65/100))</f>
        <v>0.541171101406555</v>
      </c>
      <c r="O65" s="60" t="n">
        <f aca="false">ROUND(S65*W65,0)</f>
        <v>74</v>
      </c>
      <c r="P65" s="60" t="n">
        <f aca="false">IF(F65="","",ROUND(SQRT((F65*L65/100)^2+(G65*O65)^2),0))</f>
        <v>54</v>
      </c>
      <c r="R65" s="61" t="n">
        <v>4.58438929447189</v>
      </c>
      <c r="S65" s="62" t="n">
        <f aca="false">U65*V65*$F$5</f>
        <v>1015.97556912826</v>
      </c>
      <c r="T65" s="63" t="n">
        <f aca="false">MAX(0,MIN(1,R65/100+$D$5))</f>
        <v>0.46076049660405</v>
      </c>
      <c r="U65" s="63" t="n">
        <v>0.529705719044975</v>
      </c>
      <c r="V65" s="62" t="n">
        <v>1918</v>
      </c>
      <c r="W65" s="63" t="n">
        <v>0.0732058935918866</v>
      </c>
      <c r="X65" s="64" t="s">
        <v>166</v>
      </c>
      <c r="Y65" s="64" t="s">
        <v>167</v>
      </c>
    </row>
    <row r="66" customFormat="false" ht="15" hidden="false" customHeight="false" outlineLevel="0" collapsed="false">
      <c r="A66" s="32" t="s">
        <v>222</v>
      </c>
      <c r="B66" s="32" t="s">
        <v>195</v>
      </c>
      <c r="C66" s="32" t="s">
        <v>164</v>
      </c>
      <c r="D66" s="60" t="n">
        <f aca="false">ROUND(S66*T66,0)</f>
        <v>12906</v>
      </c>
      <c r="E66" s="60" t="n">
        <f aca="false">ROUND(S66,0)-D66</f>
        <v>6066</v>
      </c>
      <c r="F66" s="60" t="n">
        <f aca="false">IF(COUNTA(D66:E66)=0,"",SUM(D66:E66))</f>
        <v>18972</v>
      </c>
      <c r="G66" s="40" t="n">
        <f aca="false">IF(OR(F66="",F66=0),"",D66/F66)</f>
        <v>0.680265654648956</v>
      </c>
      <c r="H66" s="40" t="n">
        <f aca="false">IF(OR(F66="",F66=0),"",E66/F66)</f>
        <v>0.319734345351044</v>
      </c>
      <c r="I66" s="32" t="s">
        <v>165</v>
      </c>
      <c r="J66" s="36" t="n">
        <v>2.38612924807294</v>
      </c>
      <c r="K66" s="36" t="n">
        <f aca="false">$K$8</f>
        <v>2.11898216136568</v>
      </c>
      <c r="L66" s="36" t="n">
        <f aca="false">SQRT(J66^2+K66^2)</f>
        <v>3.19119071644035</v>
      </c>
      <c r="M66" s="40" t="n">
        <f aca="false">IF(G66="","",MAX(0,G66-1.96*L66/100))</f>
        <v>0.617718316606726</v>
      </c>
      <c r="N66" s="40" t="n">
        <f aca="false">IF(G66="","",MIN(1,G66+1.96*L66/100))</f>
        <v>0.742812992691187</v>
      </c>
      <c r="O66" s="60" t="n">
        <f aca="false">ROUND(S66*W66,0)</f>
        <v>922</v>
      </c>
      <c r="P66" s="60" t="n">
        <f aca="false">IF(F66="","",ROUND(SQRT((F66*L66/100)^2+(G66*O66)^2),0))</f>
        <v>872</v>
      </c>
      <c r="R66" s="61" t="n">
        <v>26.5341126705609</v>
      </c>
      <c r="S66" s="62" t="n">
        <f aca="false">U66*V66*$F$5</f>
        <v>18972.4050126369</v>
      </c>
      <c r="T66" s="63" t="n">
        <f aca="false">MAX(0,MIN(1,R66/100+$D$5))</f>
        <v>0.68025773036494</v>
      </c>
      <c r="U66" s="63" t="n">
        <v>0.476358466722831</v>
      </c>
      <c r="V66" s="62" t="n">
        <v>39828</v>
      </c>
      <c r="W66" s="63" t="n">
        <v>0.0485820274397165</v>
      </c>
      <c r="X66" s="64" t="s">
        <v>187</v>
      </c>
      <c r="Y66" s="64" t="s">
        <v>167</v>
      </c>
    </row>
    <row r="67" customFormat="false" ht="15" hidden="false" customHeight="false" outlineLevel="0" collapsed="false">
      <c r="A67" s="32" t="s">
        <v>222</v>
      </c>
      <c r="B67" s="32" t="s">
        <v>226</v>
      </c>
      <c r="C67" s="32" t="s">
        <v>164</v>
      </c>
      <c r="D67" s="60" t="n">
        <f aca="false">ROUND(S67*T67,0)</f>
        <v>6805</v>
      </c>
      <c r="E67" s="60" t="n">
        <f aca="false">ROUND(S67,0)-D67</f>
        <v>5944</v>
      </c>
      <c r="F67" s="60" t="n">
        <f aca="false">IF(COUNTA(D67:E67)=0,"",SUM(D67:E67))</f>
        <v>12749</v>
      </c>
      <c r="G67" s="40" t="n">
        <f aca="false">IF(OR(F67="",F67=0),"",D67/F67)</f>
        <v>0.533767354302298</v>
      </c>
      <c r="H67" s="40" t="n">
        <f aca="false">IF(OR(F67="",F67=0),"",E67/F67)</f>
        <v>0.466232645697702</v>
      </c>
      <c r="I67" s="32" t="s">
        <v>165</v>
      </c>
      <c r="J67" s="36" t="n">
        <v>2.38612924807294</v>
      </c>
      <c r="K67" s="36" t="n">
        <f aca="false">$K$8</f>
        <v>2.11898216136568</v>
      </c>
      <c r="L67" s="36" t="n">
        <f aca="false">SQRT(J67^2+K67^2)</f>
        <v>3.19119071644035</v>
      </c>
      <c r="M67" s="40" t="n">
        <f aca="false">IF(G67="","",MAX(0,G67-1.96*L67/100))</f>
        <v>0.471220016260067</v>
      </c>
      <c r="N67" s="40" t="n">
        <f aca="false">IF(G67="","",MIN(1,G67+1.96*L67/100))</f>
        <v>0.596314692344529</v>
      </c>
      <c r="O67" s="60" t="n">
        <f aca="false">ROUND(S67*W67,0)</f>
        <v>619</v>
      </c>
      <c r="P67" s="60" t="n">
        <f aca="false">IF(F67="","",ROUND(SQRT((F67*L67/100)^2+(G67*O67)^2),0))</f>
        <v>524</v>
      </c>
      <c r="R67" s="61" t="n">
        <v>11.8891537357429</v>
      </c>
      <c r="S67" s="62" t="n">
        <f aca="false">U67*V67*$F$5</f>
        <v>12748.560475162</v>
      </c>
      <c r="T67" s="63" t="n">
        <f aca="false">MAX(0,MIN(1,R67/100+$D$5))</f>
        <v>0.53380814101676</v>
      </c>
      <c r="U67" s="63" t="n">
        <v>0.629589632829374</v>
      </c>
      <c r="V67" s="62" t="n">
        <v>20249</v>
      </c>
      <c r="W67" s="63" t="n">
        <v>0.0485820274397165</v>
      </c>
      <c r="X67" s="64" t="s">
        <v>187</v>
      </c>
      <c r="Y67" s="64" t="s">
        <v>167</v>
      </c>
    </row>
    <row r="68" customFormat="false" ht="15" hidden="false" customHeight="false" outlineLevel="0" collapsed="false">
      <c r="A68" s="32" t="s">
        <v>222</v>
      </c>
      <c r="B68" s="32" t="s">
        <v>227</v>
      </c>
      <c r="C68" s="32" t="s">
        <v>164</v>
      </c>
      <c r="D68" s="60" t="n">
        <f aca="false">ROUND(S68*T68,0)</f>
        <v>1643</v>
      </c>
      <c r="E68" s="60" t="n">
        <f aca="false">ROUND(S68,0)-D68</f>
        <v>2780</v>
      </c>
      <c r="F68" s="60" t="n">
        <f aca="false">IF(COUNTA(D68:E68)=0,"",SUM(D68:E68))</f>
        <v>4423</v>
      </c>
      <c r="G68" s="40" t="n">
        <f aca="false">IF(OR(F68="",F68=0),"",D68/F68)</f>
        <v>0.371467329866606</v>
      </c>
      <c r="H68" s="40" t="n">
        <f aca="false">IF(OR(F68="",F68=0),"",E68/F68)</f>
        <v>0.628532670133394</v>
      </c>
      <c r="I68" s="32" t="s">
        <v>165</v>
      </c>
      <c r="J68" s="36" t="n">
        <v>2.38612924807294</v>
      </c>
      <c r="K68" s="36" t="n">
        <f aca="false">$K$8</f>
        <v>2.11898216136568</v>
      </c>
      <c r="L68" s="36" t="n">
        <f aca="false">SQRT(J68^2+K68^2)</f>
        <v>3.19119071644035</v>
      </c>
      <c r="M68" s="40" t="n">
        <f aca="false">IF(G68="","",MAX(0,G68-1.96*L68/100))</f>
        <v>0.308919991824375</v>
      </c>
      <c r="N68" s="40" t="n">
        <f aca="false">IF(G68="","",MIN(1,G68+1.96*L68/100))</f>
        <v>0.434014667908837</v>
      </c>
      <c r="O68" s="60" t="n">
        <f aca="false">ROUND(S68*W68,0)</f>
        <v>215</v>
      </c>
      <c r="P68" s="60" t="n">
        <f aca="false">IF(F68="","",ROUND(SQRT((F68*L68/100)^2+(G68*O68)^2),0))</f>
        <v>162</v>
      </c>
      <c r="R68" s="61" t="n">
        <v>-4.33347035336031</v>
      </c>
      <c r="S68" s="62" t="n">
        <f aca="false">U68*V68*$F$5</f>
        <v>4422.68236877524</v>
      </c>
      <c r="T68" s="63" t="n">
        <f aca="false">MAX(0,MIN(1,R68/100+$D$5))</f>
        <v>0.371581900125728</v>
      </c>
      <c r="U68" s="63" t="n">
        <v>0.657843577089876</v>
      </c>
      <c r="V68" s="62" t="n">
        <v>6723</v>
      </c>
      <c r="W68" s="63" t="n">
        <v>0.0485820274397165</v>
      </c>
      <c r="X68" s="64" t="s">
        <v>187</v>
      </c>
      <c r="Y68" s="64" t="s">
        <v>167</v>
      </c>
    </row>
    <row r="69" customFormat="false" ht="15" hidden="false" customHeight="false" outlineLevel="0" collapsed="false">
      <c r="A69" s="32" t="s">
        <v>222</v>
      </c>
      <c r="B69" s="32" t="s">
        <v>228</v>
      </c>
      <c r="C69" s="32" t="s">
        <v>164</v>
      </c>
      <c r="D69" s="60" t="n">
        <f aca="false">ROUND(S69*T69,0)</f>
        <v>33</v>
      </c>
      <c r="E69" s="60" t="n">
        <f aca="false">ROUND(S69,0)-D69</f>
        <v>64</v>
      </c>
      <c r="F69" s="60" t="n">
        <f aca="false">IF(COUNTA(D69:E69)=0,"",SUM(D69:E69))</f>
        <v>97</v>
      </c>
      <c r="G69" s="40" t="n">
        <f aca="false">IF(OR(F69="",F69=0),"",D69/F69)</f>
        <v>0.34020618556701</v>
      </c>
      <c r="H69" s="40" t="n">
        <f aca="false">IF(OR(F69="",F69=0),"",E69/F69)</f>
        <v>0.65979381443299</v>
      </c>
      <c r="I69" s="32" t="s">
        <v>165</v>
      </c>
      <c r="J69" s="36" t="n">
        <v>3.52076694862392</v>
      </c>
      <c r="K69" s="36" t="n">
        <f aca="false">$K$8</f>
        <v>2.11898216136568</v>
      </c>
      <c r="L69" s="36" t="n">
        <f aca="false">SQRT(J69^2+K69^2)</f>
        <v>4.10924388503634</v>
      </c>
      <c r="M69" s="40" t="n">
        <f aca="false">IF(G69="","",MAX(0,G69-1.96*L69/100))</f>
        <v>0.259665005420298</v>
      </c>
      <c r="N69" s="40" t="n">
        <f aca="false">IF(G69="","",MIN(1,G69+1.96*L69/100))</f>
        <v>0.420747365713723</v>
      </c>
      <c r="O69" s="60" t="n">
        <f aca="false">ROUND(S69*W69,0)</f>
        <v>7</v>
      </c>
      <c r="P69" s="60" t="n">
        <f aca="false">IF(F69="","",ROUND(SQRT((F69*L69/100)^2+(G69*O69)^2),0))</f>
        <v>5</v>
      </c>
      <c r="R69" s="61" t="n">
        <v>-7.13135682187651</v>
      </c>
      <c r="S69" s="62" t="n">
        <f aca="false">U69*V69*$F$5</f>
        <v>97.2992700729927</v>
      </c>
      <c r="T69" s="63" t="n">
        <f aca="false">MAX(0,MIN(1,R69/100+$D$5))</f>
        <v>0.343603035440566</v>
      </c>
      <c r="U69" s="63" t="n">
        <v>0.627737226277372</v>
      </c>
      <c r="V69" s="62" t="n">
        <v>155</v>
      </c>
      <c r="W69" s="63" t="n">
        <v>0.0732058935918866</v>
      </c>
      <c r="X69" s="64" t="s">
        <v>166</v>
      </c>
      <c r="Y69" s="64" t="s">
        <v>167</v>
      </c>
    </row>
    <row r="70" customFormat="false" ht="15" hidden="false" customHeight="false" outlineLevel="0" collapsed="false">
      <c r="A70" s="32" t="s">
        <v>222</v>
      </c>
      <c r="B70" s="32" t="s">
        <v>229</v>
      </c>
      <c r="C70" s="32" t="s">
        <v>164</v>
      </c>
      <c r="D70" s="60" t="n">
        <f aca="false">ROUND(S70*T70,0)</f>
        <v>1128</v>
      </c>
      <c r="E70" s="60" t="n">
        <f aca="false">ROUND(S70,0)-D70</f>
        <v>1513</v>
      </c>
      <c r="F70" s="60" t="n">
        <f aca="false">IF(COUNTA(D70:E70)=0,"",SUM(D70:E70))</f>
        <v>2641</v>
      </c>
      <c r="G70" s="40" t="n">
        <f aca="false">IF(OR(F70="",F70=0),"",D70/F70)</f>
        <v>0.427110942824688</v>
      </c>
      <c r="H70" s="40" t="n">
        <f aca="false">IF(OR(F70="",F70=0),"",E70/F70)</f>
        <v>0.572889057175312</v>
      </c>
      <c r="I70" s="32" t="s">
        <v>165</v>
      </c>
      <c r="J70" s="36" t="n">
        <v>1.84762040092345</v>
      </c>
      <c r="K70" s="36" t="n">
        <f aca="false">$K$8</f>
        <v>2.11898216136568</v>
      </c>
      <c r="L70" s="36" t="n">
        <f aca="false">SQRT(J70^2+K70^2)</f>
        <v>2.81136738013631</v>
      </c>
      <c r="M70" s="40" t="n">
        <f aca="false">IF(G70="","",MAX(0,G70-1.96*L70/100))</f>
        <v>0.372008142174016</v>
      </c>
      <c r="N70" s="40" t="n">
        <f aca="false">IF(G70="","",MIN(1,G70+1.96*L70/100))</f>
        <v>0.482213743475359</v>
      </c>
      <c r="O70" s="60" t="n">
        <f aca="false">ROUND(S70*W70,0)</f>
        <v>145</v>
      </c>
      <c r="P70" s="60" t="n">
        <f aca="false">IF(F70="","",ROUND(SQRT((F70*L70/100)^2+(G70*O70)^2),0))</f>
        <v>97</v>
      </c>
      <c r="R70" s="61" t="n">
        <v>1.21730794353089</v>
      </c>
      <c r="S70" s="62" t="n">
        <f aca="false">U70*V70*$F$5</f>
        <v>2640.91189093663</v>
      </c>
      <c r="T70" s="63" t="n">
        <f aca="false">MAX(0,MIN(1,R70/100+$D$5))</f>
        <v>0.42708968309464</v>
      </c>
      <c r="U70" s="63" t="n">
        <v>0.635445594546832</v>
      </c>
      <c r="V70" s="62" t="n">
        <v>4156</v>
      </c>
      <c r="W70" s="63" t="n">
        <v>0.0547268472736556</v>
      </c>
      <c r="X70" s="64" t="s">
        <v>171</v>
      </c>
      <c r="Y70" s="64" t="s">
        <v>167</v>
      </c>
    </row>
    <row r="71" customFormat="false" ht="15" hidden="false" customHeight="false" outlineLevel="0" collapsed="false">
      <c r="A71" s="32" t="s">
        <v>222</v>
      </c>
      <c r="B71" s="32" t="s">
        <v>230</v>
      </c>
      <c r="C71" s="32" t="s">
        <v>164</v>
      </c>
      <c r="D71" s="60" t="n">
        <f aca="false">ROUND(S71*T71,0)</f>
        <v>138</v>
      </c>
      <c r="E71" s="60" t="n">
        <f aca="false">ROUND(S71,0)-D71</f>
        <v>222</v>
      </c>
      <c r="F71" s="60" t="n">
        <f aca="false">IF(COUNTA(D71:E71)=0,"",SUM(D71:E71))</f>
        <v>360</v>
      </c>
      <c r="G71" s="40" t="n">
        <f aca="false">IF(OR(F71="",F71=0),"",D71/F71)</f>
        <v>0.383333333333333</v>
      </c>
      <c r="H71" s="40" t="n">
        <f aca="false">IF(OR(F71="",F71=0),"",E71/F71)</f>
        <v>0.616666666666667</v>
      </c>
      <c r="I71" s="32" t="s">
        <v>165</v>
      </c>
      <c r="J71" s="36" t="n">
        <v>3.52076694862392</v>
      </c>
      <c r="K71" s="36" t="n">
        <f aca="false">$K$8</f>
        <v>2.11898216136568</v>
      </c>
      <c r="L71" s="36" t="n">
        <f aca="false">SQRT(J71^2+K71^2)</f>
        <v>4.10924388503634</v>
      </c>
      <c r="M71" s="40" t="n">
        <f aca="false">IF(G71="","",MAX(0,G71-1.96*L71/100))</f>
        <v>0.302792153186621</v>
      </c>
      <c r="N71" s="40" t="n">
        <f aca="false">IF(G71="","",MIN(1,G71+1.96*L71/100))</f>
        <v>0.463874513480046</v>
      </c>
      <c r="O71" s="60" t="n">
        <f aca="false">ROUND(S71*W71,0)</f>
        <v>26</v>
      </c>
      <c r="P71" s="60" t="n">
        <f aca="false">IF(F71="","",ROUND(SQRT((F71*L71/100)^2+(G71*O71)^2),0))</f>
        <v>18</v>
      </c>
      <c r="R71" s="61" t="n">
        <v>-3.26826220611193</v>
      </c>
      <c r="S71" s="62" t="n">
        <f aca="false">U71*V71*$F$5</f>
        <v>360.236842105263</v>
      </c>
      <c r="T71" s="63" t="n">
        <f aca="false">MAX(0,MIN(1,R71/100+$D$5))</f>
        <v>0.382233981598212</v>
      </c>
      <c r="U71" s="63" t="n">
        <v>0.513157894736842</v>
      </c>
      <c r="V71" s="62" t="n">
        <v>702</v>
      </c>
      <c r="W71" s="63" t="n">
        <v>0.0732058935918866</v>
      </c>
      <c r="X71" s="64" t="s">
        <v>166</v>
      </c>
      <c r="Y71" s="64" t="s">
        <v>167</v>
      </c>
    </row>
    <row r="72" customFormat="false" ht="15" hidden="false" customHeight="false" outlineLevel="0" collapsed="false">
      <c r="A72" s="32" t="s">
        <v>222</v>
      </c>
      <c r="B72" s="32" t="s">
        <v>231</v>
      </c>
      <c r="C72" s="32" t="s">
        <v>164</v>
      </c>
      <c r="D72" s="60" t="n">
        <f aca="false">ROUND(S72*T72,0)</f>
        <v>5210</v>
      </c>
      <c r="E72" s="60" t="n">
        <f aca="false">ROUND(S72,0)-D72</f>
        <v>2087</v>
      </c>
      <c r="F72" s="60" t="n">
        <f aca="false">IF(COUNTA(D72:E72)=0,"",SUM(D72:E72))</f>
        <v>7297</v>
      </c>
      <c r="G72" s="40" t="n">
        <f aca="false">IF(OR(F72="",F72=0),"",D72/F72)</f>
        <v>0.713992051528025</v>
      </c>
      <c r="H72" s="40" t="n">
        <f aca="false">IF(OR(F72="",F72=0),"",E72/F72)</f>
        <v>0.286007948471975</v>
      </c>
      <c r="I72" s="32" t="s">
        <v>165</v>
      </c>
      <c r="J72" s="36" t="n">
        <v>2.38612924807294</v>
      </c>
      <c r="K72" s="36" t="n">
        <f aca="false">$K$8</f>
        <v>2.11898216136568</v>
      </c>
      <c r="L72" s="36" t="n">
        <f aca="false">SQRT(J72^2+K72^2)</f>
        <v>3.19119071644035</v>
      </c>
      <c r="M72" s="40" t="n">
        <f aca="false">IF(G72="","",MAX(0,G72-1.96*L72/100))</f>
        <v>0.651444713485794</v>
      </c>
      <c r="N72" s="40" t="n">
        <f aca="false">IF(G72="","",MIN(1,G72+1.96*L72/100))</f>
        <v>0.776539389570256</v>
      </c>
      <c r="O72" s="60" t="n">
        <f aca="false">ROUND(S72*W72,0)</f>
        <v>355</v>
      </c>
      <c r="P72" s="60" t="n">
        <f aca="false">IF(F72="","",ROUND(SQRT((F72*L72/100)^2+(G72*O72)^2),0))</f>
        <v>344</v>
      </c>
      <c r="R72" s="61" t="n">
        <v>29.9072854223944</v>
      </c>
      <c r="S72" s="62" t="n">
        <f aca="false">U72*V72*$F$5</f>
        <v>7297.15979682392</v>
      </c>
      <c r="T72" s="63" t="n">
        <f aca="false">MAX(0,MIN(1,R72/100+$D$5))</f>
        <v>0.713989457883275</v>
      </c>
      <c r="U72" s="63" t="n">
        <v>0.414117234936945</v>
      </c>
      <c r="V72" s="62" t="n">
        <v>17621</v>
      </c>
      <c r="W72" s="63" t="n">
        <v>0.0485820274397165</v>
      </c>
      <c r="X72" s="64" t="s">
        <v>187</v>
      </c>
      <c r="Y72" s="64" t="s">
        <v>167</v>
      </c>
    </row>
    <row r="73" customFormat="false" ht="15" hidden="false" customHeight="false" outlineLevel="0" collapsed="false">
      <c r="A73" s="32" t="s">
        <v>222</v>
      </c>
      <c r="B73" s="32" t="s">
        <v>232</v>
      </c>
      <c r="C73" s="32" t="s">
        <v>164</v>
      </c>
      <c r="D73" s="60" t="n">
        <f aca="false">ROUND(S73*T73,0)</f>
        <v>4234</v>
      </c>
      <c r="E73" s="60" t="n">
        <f aca="false">ROUND(S73,0)-D73</f>
        <v>3941</v>
      </c>
      <c r="F73" s="60" t="n">
        <f aca="false">IF(COUNTA(D73:E73)=0,"",SUM(D73:E73))</f>
        <v>8175</v>
      </c>
      <c r="G73" s="40" t="n">
        <f aca="false">IF(OR(F73="",F73=0),"",D73/F73)</f>
        <v>0.517920489296636</v>
      </c>
      <c r="H73" s="40" t="n">
        <f aca="false">IF(OR(F73="",F73=0),"",E73/F73)</f>
        <v>0.482079510703364</v>
      </c>
      <c r="I73" s="32" t="s">
        <v>165</v>
      </c>
      <c r="J73" s="36" t="n">
        <v>2.38612924807294</v>
      </c>
      <c r="K73" s="36" t="n">
        <f aca="false">$K$8</f>
        <v>2.11898216136568</v>
      </c>
      <c r="L73" s="36" t="n">
        <f aca="false">SQRT(J73^2+K73^2)</f>
        <v>3.19119071644035</v>
      </c>
      <c r="M73" s="40" t="n">
        <f aca="false">IF(G73="","",MAX(0,G73-1.96*L73/100))</f>
        <v>0.455373151254405</v>
      </c>
      <c r="N73" s="40" t="n">
        <f aca="false">IF(G73="","",MIN(1,G73+1.96*L73/100))</f>
        <v>0.580467827338867</v>
      </c>
      <c r="O73" s="60" t="n">
        <f aca="false">ROUND(S73*W73,0)</f>
        <v>397</v>
      </c>
      <c r="P73" s="60" t="n">
        <f aca="false">IF(F73="","",ROUND(SQRT((F73*L73/100)^2+(G73*O73)^2),0))</f>
        <v>332</v>
      </c>
      <c r="R73" s="61" t="n">
        <v>10.3042667746514</v>
      </c>
      <c r="S73" s="62" t="n">
        <f aca="false">U73*V73*$F$5</f>
        <v>8175.00272606901</v>
      </c>
      <c r="T73" s="63" t="n">
        <f aca="false">MAX(0,MIN(1,R73/100+$D$5))</f>
        <v>0.517959271405845</v>
      </c>
      <c r="U73" s="63" t="n">
        <v>0.618428226497391</v>
      </c>
      <c r="V73" s="62" t="n">
        <v>13219</v>
      </c>
      <c r="W73" s="63" t="n">
        <v>0.0485820274397165</v>
      </c>
      <c r="X73" s="64" t="s">
        <v>187</v>
      </c>
      <c r="Y73" s="64" t="s">
        <v>167</v>
      </c>
    </row>
    <row r="74" customFormat="false" ht="15" hidden="false" customHeight="false" outlineLevel="0" collapsed="false">
      <c r="A74" s="32" t="s">
        <v>222</v>
      </c>
      <c r="B74" s="32" t="s">
        <v>233</v>
      </c>
      <c r="C74" s="32" t="s">
        <v>164</v>
      </c>
      <c r="D74" s="60" t="n">
        <f aca="false">ROUND(S74*T74,0)</f>
        <v>489</v>
      </c>
      <c r="E74" s="60" t="n">
        <f aca="false">ROUND(S74,0)-D74</f>
        <v>322</v>
      </c>
      <c r="F74" s="60" t="n">
        <f aca="false">IF(COUNTA(D74:E74)=0,"",SUM(D74:E74))</f>
        <v>811</v>
      </c>
      <c r="G74" s="40" t="n">
        <f aca="false">IF(OR(F74="",F74=0),"",D74/F74)</f>
        <v>0.602959309494451</v>
      </c>
      <c r="H74" s="40" t="n">
        <f aca="false">IF(OR(F74="",F74=0),"",E74/F74)</f>
        <v>0.397040690505549</v>
      </c>
      <c r="I74" s="32" t="s">
        <v>165</v>
      </c>
      <c r="J74" s="36" t="n">
        <v>3.52076694862392</v>
      </c>
      <c r="K74" s="36" t="n">
        <f aca="false">$K$8</f>
        <v>2.11898216136568</v>
      </c>
      <c r="L74" s="36" t="n">
        <f aca="false">SQRT(J74^2+K74^2)</f>
        <v>4.10924388503634</v>
      </c>
      <c r="M74" s="40" t="n">
        <f aca="false">IF(G74="","",MAX(0,G74-1.96*L74/100))</f>
        <v>0.522418129347739</v>
      </c>
      <c r="N74" s="40" t="n">
        <f aca="false">IF(G74="","",MIN(1,G74+1.96*L74/100))</f>
        <v>0.683500489641164</v>
      </c>
      <c r="O74" s="60" t="n">
        <f aca="false">ROUND(S74*W74,0)</f>
        <v>59</v>
      </c>
      <c r="P74" s="60" t="n">
        <f aca="false">IF(F74="","",ROUND(SQRT((F74*L74/100)^2+(G74*O74)^2),0))</f>
        <v>49</v>
      </c>
      <c r="R74" s="61" t="n">
        <v>18.7770675751217</v>
      </c>
      <c r="S74" s="62" t="n">
        <f aca="false">U74*V74*$F$5</f>
        <v>811.272251308901</v>
      </c>
      <c r="T74" s="63" t="n">
        <f aca="false">MAX(0,MIN(1,R74/100+$D$5))</f>
        <v>0.602687279410548</v>
      </c>
      <c r="U74" s="63" t="n">
        <v>0.424083769633508</v>
      </c>
      <c r="V74" s="62" t="n">
        <v>1913</v>
      </c>
      <c r="W74" s="63" t="n">
        <v>0.0732058935918866</v>
      </c>
      <c r="X74" s="64" t="s">
        <v>166</v>
      </c>
      <c r="Y74" s="64" t="s">
        <v>167</v>
      </c>
    </row>
    <row r="75" customFormat="false" ht="15" hidden="false" customHeight="false" outlineLevel="0" collapsed="false">
      <c r="A75" s="32" t="s">
        <v>222</v>
      </c>
      <c r="B75" s="32" t="s">
        <v>234</v>
      </c>
      <c r="C75" s="32" t="s">
        <v>164</v>
      </c>
      <c r="D75" s="60" t="n">
        <f aca="false">ROUND(S75*T75,0)</f>
        <v>74</v>
      </c>
      <c r="E75" s="60" t="n">
        <f aca="false">ROUND(S75,0)-D75</f>
        <v>70</v>
      </c>
      <c r="F75" s="60" t="n">
        <f aca="false">IF(COUNTA(D75:E75)=0,"",SUM(D75:E75))</f>
        <v>144</v>
      </c>
      <c r="G75" s="40" t="n">
        <f aca="false">IF(OR(F75="",F75=0),"",D75/F75)</f>
        <v>0.513888888888889</v>
      </c>
      <c r="H75" s="40" t="n">
        <f aca="false">IF(OR(F75="",F75=0),"",E75/F75)</f>
        <v>0.486111111111111</v>
      </c>
      <c r="I75" s="32" t="s">
        <v>165</v>
      </c>
      <c r="J75" s="36" t="n">
        <v>3.52076694862392</v>
      </c>
      <c r="K75" s="36" t="n">
        <f aca="false">$K$8</f>
        <v>2.11898216136568</v>
      </c>
      <c r="L75" s="36" t="n">
        <f aca="false">SQRT(J75^2+K75^2)</f>
        <v>4.10924388503634</v>
      </c>
      <c r="M75" s="40" t="n">
        <f aca="false">IF(G75="","",MAX(0,G75-1.96*L75/100))</f>
        <v>0.433347708742177</v>
      </c>
      <c r="N75" s="40" t="n">
        <f aca="false">IF(G75="","",MIN(1,G75+1.96*L75/100))</f>
        <v>0.594430069035601</v>
      </c>
      <c r="O75" s="60" t="n">
        <f aca="false">ROUND(S75*W75,0)</f>
        <v>11</v>
      </c>
      <c r="P75" s="60" t="n">
        <f aca="false">IF(F75="","",ROUND(SQRT((F75*L75/100)^2+(G75*O75)^2),0))</f>
        <v>8</v>
      </c>
      <c r="R75" s="61" t="n">
        <v>10.0485642562384</v>
      </c>
      <c r="S75" s="62" t="n">
        <f aca="false">U75*V75*$F$5</f>
        <v>143.630597014925</v>
      </c>
      <c r="T75" s="63" t="n">
        <f aca="false">MAX(0,MIN(1,R75/100+$D$5))</f>
        <v>0.515402246221715</v>
      </c>
      <c r="U75" s="63" t="n">
        <v>0.526119402985075</v>
      </c>
      <c r="V75" s="62" t="n">
        <v>273</v>
      </c>
      <c r="W75" s="63" t="n">
        <v>0.0732058935918866</v>
      </c>
      <c r="X75" s="64" t="s">
        <v>166</v>
      </c>
      <c r="Y75" s="64" t="s">
        <v>167</v>
      </c>
    </row>
    <row r="76" customFormat="false" ht="15" hidden="false" customHeight="false" outlineLevel="0" collapsed="false">
      <c r="A76" s="32" t="s">
        <v>222</v>
      </c>
      <c r="B76" s="32" t="s">
        <v>201</v>
      </c>
      <c r="C76" s="32" t="s">
        <v>164</v>
      </c>
      <c r="D76" s="60" t="n">
        <f aca="false">ROUND(S76*T76,0)</f>
        <v>3492</v>
      </c>
      <c r="E76" s="60" t="n">
        <f aca="false">ROUND(S76,0)-D76</f>
        <v>2931</v>
      </c>
      <c r="F76" s="60" t="n">
        <f aca="false">IF(COUNTA(D76:E76)=0,"",SUM(D76:E76))</f>
        <v>6423</v>
      </c>
      <c r="G76" s="40" t="n">
        <f aca="false">IF(OR(F76="",F76=0),"",D76/F76)</f>
        <v>0.543671181690799</v>
      </c>
      <c r="H76" s="40" t="n">
        <f aca="false">IF(OR(F76="",F76=0),"",E76/F76)</f>
        <v>0.456328818309201</v>
      </c>
      <c r="I76" s="32" t="s">
        <v>165</v>
      </c>
      <c r="J76" s="36" t="n">
        <v>2.38612924807294</v>
      </c>
      <c r="K76" s="36" t="n">
        <f aca="false">$K$8</f>
        <v>2.11898216136568</v>
      </c>
      <c r="L76" s="36" t="n">
        <f aca="false">SQRT(J76^2+K76^2)</f>
        <v>3.19119071644035</v>
      </c>
      <c r="M76" s="40" t="n">
        <f aca="false">IF(G76="","",MAX(0,G76-1.96*L76/100))</f>
        <v>0.481123843648568</v>
      </c>
      <c r="N76" s="40" t="n">
        <f aca="false">IF(G76="","",MIN(1,G76+1.96*L76/100))</f>
        <v>0.60621851973303</v>
      </c>
      <c r="O76" s="60" t="n">
        <f aca="false">ROUND(S76*W76,0)</f>
        <v>312</v>
      </c>
      <c r="P76" s="60" t="n">
        <f aca="false">IF(F76="","",ROUND(SQRT((F76*L76/100)^2+(G76*O76)^2),0))</f>
        <v>266</v>
      </c>
      <c r="R76" s="61" t="n">
        <v>12.8827495972774</v>
      </c>
      <c r="S76" s="62" t="n">
        <f aca="false">U76*V76*$F$5</f>
        <v>6422.70106427379</v>
      </c>
      <c r="T76" s="63" t="n">
        <f aca="false">MAX(0,MIN(1,R76/100+$D$5))</f>
        <v>0.543744099632105</v>
      </c>
      <c r="U76" s="63" t="n">
        <v>0.673309682804674</v>
      </c>
      <c r="V76" s="62" t="n">
        <v>9539</v>
      </c>
      <c r="W76" s="63" t="n">
        <v>0.0485820274397165</v>
      </c>
      <c r="X76" s="64" t="s">
        <v>187</v>
      </c>
      <c r="Y76" s="64" t="s">
        <v>167</v>
      </c>
    </row>
    <row r="77" customFormat="false" ht="15" hidden="false" customHeight="false" outlineLevel="0" collapsed="false">
      <c r="A77" s="32" t="s">
        <v>222</v>
      </c>
      <c r="B77" s="32" t="s">
        <v>235</v>
      </c>
      <c r="C77" s="32" t="s">
        <v>164</v>
      </c>
      <c r="D77" s="60" t="n">
        <f aca="false">ROUND(S77*T77,0)</f>
        <v>1356</v>
      </c>
      <c r="E77" s="60" t="n">
        <f aca="false">ROUND(S77,0)-D77</f>
        <v>1272</v>
      </c>
      <c r="F77" s="60" t="n">
        <f aca="false">IF(COUNTA(D77:E77)=0,"",SUM(D77:E77))</f>
        <v>2628</v>
      </c>
      <c r="G77" s="40" t="n">
        <f aca="false">IF(OR(F77="",F77=0),"",D77/F77)</f>
        <v>0.515981735159817</v>
      </c>
      <c r="H77" s="40" t="n">
        <f aca="false">IF(OR(F77="",F77=0),"",E77/F77)</f>
        <v>0.484018264840183</v>
      </c>
      <c r="I77" s="32" t="s">
        <v>165</v>
      </c>
      <c r="J77" s="36" t="n">
        <v>1.84762040092345</v>
      </c>
      <c r="K77" s="36" t="n">
        <f aca="false">$K$8</f>
        <v>2.11898216136568</v>
      </c>
      <c r="L77" s="36" t="n">
        <f aca="false">SQRT(J77^2+K77^2)</f>
        <v>2.81136738013631</v>
      </c>
      <c r="M77" s="40" t="n">
        <f aca="false">IF(G77="","",MAX(0,G77-1.96*L77/100))</f>
        <v>0.460878934509146</v>
      </c>
      <c r="N77" s="40" t="n">
        <f aca="false">IF(G77="","",MIN(1,G77+1.96*L77/100))</f>
        <v>0.571084535810489</v>
      </c>
      <c r="O77" s="60" t="n">
        <f aca="false">ROUND(S77*W77,0)</f>
        <v>144</v>
      </c>
      <c r="P77" s="60" t="n">
        <f aca="false">IF(F77="","",ROUND(SQRT((F77*L77/100)^2+(G77*O77)^2),0))</f>
        <v>105</v>
      </c>
      <c r="R77" s="61" t="n">
        <v>10.1046132419066</v>
      </c>
      <c r="S77" s="62" t="n">
        <f aca="false">U77*V77*$F$5</f>
        <v>2628.02463970246</v>
      </c>
      <c r="T77" s="63" t="n">
        <f aca="false">MAX(0,MIN(1,R77/100+$D$5))</f>
        <v>0.515962736078397</v>
      </c>
      <c r="U77" s="63" t="n">
        <v>0.598093909809391</v>
      </c>
      <c r="V77" s="62" t="n">
        <v>4394</v>
      </c>
      <c r="W77" s="63" t="n">
        <v>0.0547268472736556</v>
      </c>
      <c r="X77" s="64" t="s">
        <v>171</v>
      </c>
      <c r="Y77" s="64" t="s">
        <v>167</v>
      </c>
    </row>
    <row r="78" customFormat="false" ht="15" hidden="false" customHeight="false" outlineLevel="0" collapsed="false">
      <c r="A78" s="32" t="s">
        <v>222</v>
      </c>
      <c r="B78" s="32" t="s">
        <v>236</v>
      </c>
      <c r="C78" s="32" t="s">
        <v>164</v>
      </c>
      <c r="D78" s="60" t="n">
        <f aca="false">ROUND(S78*T78,0)</f>
        <v>1762</v>
      </c>
      <c r="E78" s="60" t="n">
        <f aca="false">ROUND(S78,0)-D78</f>
        <v>3577</v>
      </c>
      <c r="F78" s="60" t="n">
        <f aca="false">IF(COUNTA(D78:E78)=0,"",SUM(D78:E78))</f>
        <v>5339</v>
      </c>
      <c r="G78" s="40" t="n">
        <f aca="false">IF(OR(F78="",F78=0),"",D78/F78)</f>
        <v>0.33002434912905</v>
      </c>
      <c r="H78" s="40" t="n">
        <f aca="false">IF(OR(F78="",F78=0),"",E78/F78)</f>
        <v>0.66997565087095</v>
      </c>
      <c r="I78" s="32" t="s">
        <v>165</v>
      </c>
      <c r="J78" s="36" t="n">
        <v>2.38612924807294</v>
      </c>
      <c r="K78" s="36" t="n">
        <f aca="false">$K$8</f>
        <v>2.11898216136568</v>
      </c>
      <c r="L78" s="36" t="n">
        <f aca="false">SQRT(J78^2+K78^2)</f>
        <v>3.19119071644035</v>
      </c>
      <c r="M78" s="40" t="n">
        <f aca="false">IF(G78="","",MAX(0,G78-1.96*L78/100))</f>
        <v>0.267477011086819</v>
      </c>
      <c r="N78" s="40" t="n">
        <f aca="false">IF(G78="","",MIN(1,G78+1.96*L78/100))</f>
        <v>0.392571687171281</v>
      </c>
      <c r="O78" s="60" t="n">
        <f aca="false">ROUND(S78*W78,0)</f>
        <v>259</v>
      </c>
      <c r="P78" s="60" t="n">
        <f aca="false">IF(F78="","",ROUND(SQRT((F78*L78/100)^2+(G78*O78)^2),0))</f>
        <v>191</v>
      </c>
      <c r="R78" s="61" t="n">
        <v>-8.48722779447948</v>
      </c>
      <c r="S78" s="62" t="n">
        <f aca="false">U78*V78*$F$5</f>
        <v>5339.13569131833</v>
      </c>
      <c r="T78" s="63" t="n">
        <f aca="false">MAX(0,MIN(1,R78/100+$D$5))</f>
        <v>0.330044325714536</v>
      </c>
      <c r="U78" s="63" t="n">
        <v>0.656720257234727</v>
      </c>
      <c r="V78" s="62" t="n">
        <v>8130</v>
      </c>
      <c r="W78" s="63" t="n">
        <v>0.0485820274397165</v>
      </c>
      <c r="X78" s="64" t="s">
        <v>187</v>
      </c>
      <c r="Y78" s="64" t="s">
        <v>167</v>
      </c>
    </row>
    <row r="79" customFormat="false" ht="15" hidden="false" customHeight="false" outlineLevel="0" collapsed="false">
      <c r="A79" s="32" t="s">
        <v>222</v>
      </c>
      <c r="B79" s="32" t="s">
        <v>237</v>
      </c>
      <c r="C79" s="32" t="s">
        <v>164</v>
      </c>
      <c r="D79" s="60" t="n">
        <f aca="false">ROUND(S79*T79,0)</f>
        <v>468</v>
      </c>
      <c r="E79" s="60" t="n">
        <f aca="false">ROUND(S79,0)-D79</f>
        <v>970</v>
      </c>
      <c r="F79" s="60" t="n">
        <f aca="false">IF(COUNTA(D79:E79)=0,"",SUM(D79:E79))</f>
        <v>1438</v>
      </c>
      <c r="G79" s="40" t="n">
        <f aca="false">IF(OR(F79="",F79=0),"",D79/F79)</f>
        <v>0.325452016689847</v>
      </c>
      <c r="H79" s="40" t="n">
        <f aca="false">IF(OR(F79="",F79=0),"",E79/F79)</f>
        <v>0.674547983310153</v>
      </c>
      <c r="I79" s="32" t="s">
        <v>165</v>
      </c>
      <c r="J79" s="36" t="n">
        <v>1.84762040092345</v>
      </c>
      <c r="K79" s="36" t="n">
        <f aca="false">$K$8</f>
        <v>2.11898216136568</v>
      </c>
      <c r="L79" s="36" t="n">
        <f aca="false">SQRT(J79^2+K79^2)</f>
        <v>2.81136738013631</v>
      </c>
      <c r="M79" s="40" t="n">
        <f aca="false">IF(G79="","",MAX(0,G79-1.96*L79/100))</f>
        <v>0.270349216039175</v>
      </c>
      <c r="N79" s="40" t="n">
        <f aca="false">IF(G79="","",MIN(1,G79+1.96*L79/100))</f>
        <v>0.380554817340519</v>
      </c>
      <c r="O79" s="60" t="n">
        <f aca="false">ROUND(S79*W79,0)</f>
        <v>79</v>
      </c>
      <c r="P79" s="60" t="n">
        <f aca="false">IF(F79="","",ROUND(SQRT((F79*L79/100)^2+(G79*O79)^2),0))</f>
        <v>48</v>
      </c>
      <c r="R79" s="61" t="n">
        <v>-8.94586953213907</v>
      </c>
      <c r="S79" s="62" t="n">
        <f aca="false">U79*V79*$F$5</f>
        <v>1437.5</v>
      </c>
      <c r="T79" s="63" t="n">
        <f aca="false">MAX(0,MIN(1,R79/100+$D$5))</f>
        <v>0.32545790833794</v>
      </c>
      <c r="U79" s="63" t="n">
        <v>0.625</v>
      </c>
      <c r="V79" s="62" t="n">
        <v>2300</v>
      </c>
      <c r="W79" s="63" t="n">
        <v>0.0547268472736556</v>
      </c>
      <c r="X79" s="64" t="s">
        <v>171</v>
      </c>
      <c r="Y79" s="64" t="s">
        <v>167</v>
      </c>
    </row>
    <row r="80" customFormat="false" ht="15" hidden="false" customHeight="false" outlineLevel="0" collapsed="false">
      <c r="A80" s="32" t="s">
        <v>222</v>
      </c>
      <c r="B80" s="32" t="s">
        <v>238</v>
      </c>
      <c r="C80" s="32" t="s">
        <v>164</v>
      </c>
      <c r="D80" s="60" t="n">
        <f aca="false">ROUND(S80*T80,0)</f>
        <v>1617</v>
      </c>
      <c r="E80" s="60" t="n">
        <f aca="false">ROUND(S80,0)-D80</f>
        <v>2105</v>
      </c>
      <c r="F80" s="60" t="n">
        <f aca="false">IF(COUNTA(D80:E80)=0,"",SUM(D80:E80))</f>
        <v>3722</v>
      </c>
      <c r="G80" s="40" t="n">
        <f aca="false">IF(OR(F80="",F80=0),"",D80/F80)</f>
        <v>0.434443847393874</v>
      </c>
      <c r="H80" s="40" t="n">
        <f aca="false">IF(OR(F80="",F80=0),"",E80/F80)</f>
        <v>0.565556152606126</v>
      </c>
      <c r="I80" s="32" t="s">
        <v>165</v>
      </c>
      <c r="J80" s="36" t="n">
        <v>2.38612924807294</v>
      </c>
      <c r="K80" s="36" t="n">
        <f aca="false">$K$8</f>
        <v>2.11898216136568</v>
      </c>
      <c r="L80" s="36" t="n">
        <f aca="false">SQRT(J80^2+K80^2)</f>
        <v>3.19119071644035</v>
      </c>
      <c r="M80" s="40" t="n">
        <f aca="false">IF(G80="","",MAX(0,G80-1.96*L80/100))</f>
        <v>0.371896509351643</v>
      </c>
      <c r="N80" s="40" t="n">
        <f aca="false">IF(G80="","",MIN(1,G80+1.96*L80/100))</f>
        <v>0.496991185436105</v>
      </c>
      <c r="O80" s="60" t="n">
        <f aca="false">ROUND(S80*W80,0)</f>
        <v>181</v>
      </c>
      <c r="P80" s="60" t="n">
        <f aca="false">IF(F80="","",ROUND(SQRT((F80*L80/100)^2+(G80*O80)^2),0))</f>
        <v>142</v>
      </c>
      <c r="R80" s="61" t="n">
        <v>1.95771948833831</v>
      </c>
      <c r="S80" s="62" t="n">
        <f aca="false">U80*V80*$F$5</f>
        <v>3721.57991120977</v>
      </c>
      <c r="T80" s="63" t="n">
        <f aca="false">MAX(0,MIN(1,R80/100+$D$5))</f>
        <v>0.434493798542714</v>
      </c>
      <c r="U80" s="63" t="n">
        <v>0.684239733629301</v>
      </c>
      <c r="V80" s="62" t="n">
        <v>5439</v>
      </c>
      <c r="W80" s="63" t="n">
        <v>0.0485820274397165</v>
      </c>
      <c r="X80" s="64" t="s">
        <v>187</v>
      </c>
      <c r="Y80" s="64" t="s">
        <v>167</v>
      </c>
    </row>
    <row r="81" customFormat="false" ht="15" hidden="false" customHeight="false" outlineLevel="0" collapsed="false">
      <c r="A81" s="32" t="s">
        <v>222</v>
      </c>
      <c r="B81" s="32" t="s">
        <v>239</v>
      </c>
      <c r="C81" s="32" t="s">
        <v>164</v>
      </c>
      <c r="D81" s="60" t="n">
        <f aca="false">ROUND(S81*T81,0)</f>
        <v>2842</v>
      </c>
      <c r="E81" s="60" t="n">
        <f aca="false">ROUND(S81,0)-D81</f>
        <v>3082</v>
      </c>
      <c r="F81" s="60" t="n">
        <f aca="false">IF(COUNTA(D81:E81)=0,"",SUM(D81:E81))</f>
        <v>5924</v>
      </c>
      <c r="G81" s="40" t="n">
        <f aca="false">IF(OR(F81="",F81=0),"",D81/F81)</f>
        <v>0.479743416610398</v>
      </c>
      <c r="H81" s="40" t="n">
        <f aca="false">IF(OR(F81="",F81=0),"",E81/F81)</f>
        <v>0.520256583389602</v>
      </c>
      <c r="I81" s="32" t="s">
        <v>165</v>
      </c>
      <c r="J81" s="36" t="n">
        <v>2.38612924807294</v>
      </c>
      <c r="K81" s="36" t="n">
        <f aca="false">$K$8</f>
        <v>2.11898216136568</v>
      </c>
      <c r="L81" s="36" t="n">
        <f aca="false">SQRT(J81^2+K81^2)</f>
        <v>3.19119071644035</v>
      </c>
      <c r="M81" s="40" t="n">
        <f aca="false">IF(G81="","",MAX(0,G81-1.96*L81/100))</f>
        <v>0.417196078568167</v>
      </c>
      <c r="N81" s="40" t="n">
        <f aca="false">IF(G81="","",MIN(1,G81+1.96*L81/100))</f>
        <v>0.542290754652629</v>
      </c>
      <c r="O81" s="60" t="n">
        <f aca="false">ROUND(S81*W81,0)</f>
        <v>288</v>
      </c>
      <c r="P81" s="60" t="n">
        <f aca="false">IF(F81="","",ROUND(SQRT((F81*L81/100)^2+(G81*O81)^2),0))</f>
        <v>234</v>
      </c>
      <c r="R81" s="61" t="n">
        <v>6.48574109632357</v>
      </c>
      <c r="S81" s="62" t="n">
        <f aca="false">U81*V81*$F$5</f>
        <v>5924.29823361823</v>
      </c>
      <c r="T81" s="63" t="n">
        <f aca="false">MAX(0,MIN(1,R81/100+$D$5))</f>
        <v>0.479774014622567</v>
      </c>
      <c r="U81" s="63" t="n">
        <v>0.675441595441595</v>
      </c>
      <c r="V81" s="62" t="n">
        <v>8771</v>
      </c>
      <c r="W81" s="63" t="n">
        <v>0.0485820274397165</v>
      </c>
      <c r="X81" s="64" t="s">
        <v>187</v>
      </c>
      <c r="Y81" s="64" t="s">
        <v>167</v>
      </c>
    </row>
    <row r="82" customFormat="false" ht="15" hidden="false" customHeight="false" outlineLevel="0" collapsed="false">
      <c r="A82" s="32" t="s">
        <v>222</v>
      </c>
      <c r="B82" s="32" t="s">
        <v>240</v>
      </c>
      <c r="C82" s="32" t="s">
        <v>164</v>
      </c>
      <c r="D82" s="60" t="n">
        <f aca="false">ROUND(S82*T82,0)</f>
        <v>1555</v>
      </c>
      <c r="E82" s="60" t="n">
        <f aca="false">ROUND(S82,0)-D82</f>
        <v>3293</v>
      </c>
      <c r="F82" s="60" t="n">
        <f aca="false">IF(COUNTA(D82:E82)=0,"",SUM(D82:E82))</f>
        <v>4848</v>
      </c>
      <c r="G82" s="40" t="n">
        <f aca="false">IF(OR(F82="",F82=0),"",D82/F82)</f>
        <v>0.320750825082508</v>
      </c>
      <c r="H82" s="40" t="n">
        <f aca="false">IF(OR(F82="",F82=0),"",E82/F82)</f>
        <v>0.679249174917492</v>
      </c>
      <c r="I82" s="32" t="s">
        <v>165</v>
      </c>
      <c r="J82" s="36" t="n">
        <v>2.38612924807294</v>
      </c>
      <c r="K82" s="36" t="n">
        <f aca="false">$K$8</f>
        <v>2.11898216136568</v>
      </c>
      <c r="L82" s="36" t="n">
        <f aca="false">SQRT(J82^2+K82^2)</f>
        <v>3.19119071644035</v>
      </c>
      <c r="M82" s="40" t="n">
        <f aca="false">IF(G82="","",MAX(0,G82-1.96*L82/100))</f>
        <v>0.258203487040277</v>
      </c>
      <c r="N82" s="40" t="n">
        <f aca="false">IF(G82="","",MIN(1,G82+1.96*L82/100))</f>
        <v>0.383298163124739</v>
      </c>
      <c r="O82" s="60" t="n">
        <f aca="false">ROUND(S82*W82,0)</f>
        <v>236</v>
      </c>
      <c r="P82" s="60" t="n">
        <f aca="false">IF(F82="","",ROUND(SQRT((F82*L82/100)^2+(G82*O82)^2),0))</f>
        <v>172</v>
      </c>
      <c r="R82" s="61" t="n">
        <v>-9.42594343721988</v>
      </c>
      <c r="S82" s="62" t="n">
        <f aca="false">U82*V82*$F$5</f>
        <v>4848.29721362229</v>
      </c>
      <c r="T82" s="63" t="n">
        <f aca="false">MAX(0,MIN(1,R82/100+$D$5))</f>
        <v>0.320657169287132</v>
      </c>
      <c r="U82" s="63" t="n">
        <v>0.668730650154799</v>
      </c>
      <c r="V82" s="62" t="n">
        <v>7250</v>
      </c>
      <c r="W82" s="63" t="n">
        <v>0.0485820274397165</v>
      </c>
      <c r="X82" s="64" t="s">
        <v>187</v>
      </c>
      <c r="Y82" s="64" t="s">
        <v>167</v>
      </c>
    </row>
    <row r="83" customFormat="false" ht="15" hidden="false" customHeight="false" outlineLevel="0" collapsed="false">
      <c r="A83" s="32" t="s">
        <v>222</v>
      </c>
      <c r="B83" s="32" t="s">
        <v>241</v>
      </c>
      <c r="C83" s="32" t="s">
        <v>164</v>
      </c>
      <c r="D83" s="60" t="n">
        <f aca="false">ROUND(S83*T83,0)</f>
        <v>1238</v>
      </c>
      <c r="E83" s="60" t="n">
        <f aca="false">ROUND(S83,0)-D83</f>
        <v>1277</v>
      </c>
      <c r="F83" s="60" t="n">
        <f aca="false">IF(COUNTA(D83:E83)=0,"",SUM(D83:E83))</f>
        <v>2515</v>
      </c>
      <c r="G83" s="40" t="n">
        <f aca="false">IF(OR(F83="",F83=0),"",D83/F83)</f>
        <v>0.492246520874752</v>
      </c>
      <c r="H83" s="40" t="n">
        <f aca="false">IF(OR(F83="",F83=0),"",E83/F83)</f>
        <v>0.507753479125249</v>
      </c>
      <c r="I83" s="32" t="s">
        <v>165</v>
      </c>
      <c r="J83" s="36" t="n">
        <v>1.84762040092345</v>
      </c>
      <c r="K83" s="36" t="n">
        <f aca="false">$K$8</f>
        <v>2.11898216136568</v>
      </c>
      <c r="L83" s="36" t="n">
        <f aca="false">SQRT(J83^2+K83^2)</f>
        <v>2.81136738013631</v>
      </c>
      <c r="M83" s="40" t="n">
        <f aca="false">IF(G83="","",MAX(0,G83-1.96*L83/100))</f>
        <v>0.43714372022408</v>
      </c>
      <c r="N83" s="40" t="n">
        <f aca="false">IF(G83="","",MIN(1,G83+1.96*L83/100))</f>
        <v>0.547349321525423</v>
      </c>
      <c r="O83" s="60" t="n">
        <f aca="false">ROUND(S83*W83,0)</f>
        <v>138</v>
      </c>
      <c r="P83" s="60" t="n">
        <f aca="false">IF(F83="","",ROUND(SQRT((F83*L83/100)^2+(G83*O83)^2),0))</f>
        <v>98</v>
      </c>
      <c r="R83" s="61" t="n">
        <v>7.7313846931259</v>
      </c>
      <c r="S83" s="62" t="n">
        <f aca="false">U83*V83*$F$5</f>
        <v>2514.75925477861</v>
      </c>
      <c r="T83" s="63" t="n">
        <f aca="false">MAX(0,MIN(1,R83/100+$D$5))</f>
        <v>0.49223045059059</v>
      </c>
      <c r="U83" s="63" t="n">
        <v>0.595209291071861</v>
      </c>
      <c r="V83" s="62" t="n">
        <v>4225</v>
      </c>
      <c r="W83" s="63" t="n">
        <v>0.0547268472736556</v>
      </c>
      <c r="X83" s="64" t="s">
        <v>171</v>
      </c>
      <c r="Y83" s="64" t="s">
        <v>167</v>
      </c>
    </row>
    <row r="84" customFormat="false" ht="15" hidden="false" customHeight="false" outlineLevel="0" collapsed="false">
      <c r="A84" s="32" t="s">
        <v>222</v>
      </c>
      <c r="B84" s="32" t="s">
        <v>242</v>
      </c>
      <c r="C84" s="32" t="s">
        <v>164</v>
      </c>
      <c r="D84" s="60" t="n">
        <f aca="false">ROUND(S84*T84,0)</f>
        <v>700</v>
      </c>
      <c r="E84" s="60" t="n">
        <f aca="false">ROUND(S84,0)-D84</f>
        <v>728</v>
      </c>
      <c r="F84" s="60" t="n">
        <f aca="false">IF(COUNTA(D84:E84)=0,"",SUM(D84:E84))</f>
        <v>1428</v>
      </c>
      <c r="G84" s="40" t="n">
        <f aca="false">IF(OR(F84="",F84=0),"",D84/F84)</f>
        <v>0.490196078431373</v>
      </c>
      <c r="H84" s="40" t="n">
        <f aca="false">IF(OR(F84="",F84=0),"",E84/F84)</f>
        <v>0.509803921568627</v>
      </c>
      <c r="I84" s="32" t="s">
        <v>165</v>
      </c>
      <c r="J84" s="36" t="n">
        <v>1.84762040092345</v>
      </c>
      <c r="K84" s="36" t="n">
        <f aca="false">$K$8</f>
        <v>2.11898216136568</v>
      </c>
      <c r="L84" s="36" t="n">
        <f aca="false">SQRT(J84^2+K84^2)</f>
        <v>2.81136738013631</v>
      </c>
      <c r="M84" s="40" t="n">
        <f aca="false">IF(G84="","",MAX(0,G84-1.96*L84/100))</f>
        <v>0.435093277780701</v>
      </c>
      <c r="N84" s="40" t="n">
        <f aca="false">IF(G84="","",MIN(1,G84+1.96*L84/100))</f>
        <v>0.545298879082044</v>
      </c>
      <c r="O84" s="60" t="n">
        <f aca="false">ROUND(S84*W84,0)</f>
        <v>78</v>
      </c>
      <c r="P84" s="60" t="n">
        <f aca="false">IF(F84="","",ROUND(SQRT((F84*L84/100)^2+(G84*O84)^2),0))</f>
        <v>55</v>
      </c>
      <c r="R84" s="61" t="n">
        <v>7.54320867194941</v>
      </c>
      <c r="S84" s="62" t="n">
        <f aca="false">U84*V84*$F$5</f>
        <v>1427.54656265236</v>
      </c>
      <c r="T84" s="63" t="n">
        <f aca="false">MAX(0,MIN(1,R84/100+$D$5))</f>
        <v>0.490348690378825</v>
      </c>
      <c r="U84" s="63" t="n">
        <v>0.623110677718186</v>
      </c>
      <c r="V84" s="62" t="n">
        <v>2291</v>
      </c>
      <c r="W84" s="63" t="n">
        <v>0.0547268472736556</v>
      </c>
      <c r="X84" s="64" t="s">
        <v>171</v>
      </c>
      <c r="Y84" s="64" t="s">
        <v>167</v>
      </c>
    </row>
    <row r="85" customFormat="false" ht="15" hidden="false" customHeight="false" outlineLevel="0" collapsed="false">
      <c r="A85" s="32" t="s">
        <v>222</v>
      </c>
      <c r="B85" s="32" t="s">
        <v>243</v>
      </c>
      <c r="C85" s="32" t="s">
        <v>164</v>
      </c>
      <c r="D85" s="60" t="n">
        <f aca="false">ROUND(S85*T85,0)</f>
        <v>1951</v>
      </c>
      <c r="E85" s="60" t="n">
        <f aca="false">ROUND(S85,0)-D85</f>
        <v>2213</v>
      </c>
      <c r="F85" s="60" t="n">
        <f aca="false">IF(COUNTA(D85:E85)=0,"",SUM(D85:E85))</f>
        <v>4164</v>
      </c>
      <c r="G85" s="40" t="n">
        <f aca="false">IF(OR(F85="",F85=0),"",D85/F85)</f>
        <v>0.468539865513929</v>
      </c>
      <c r="H85" s="40" t="n">
        <f aca="false">IF(OR(F85="",F85=0),"",E85/F85)</f>
        <v>0.531460134486071</v>
      </c>
      <c r="I85" s="32" t="s">
        <v>165</v>
      </c>
      <c r="J85" s="36" t="n">
        <v>2.38612924807294</v>
      </c>
      <c r="K85" s="36" t="n">
        <f aca="false">$K$8</f>
        <v>2.11898216136568</v>
      </c>
      <c r="L85" s="36" t="n">
        <f aca="false">SQRT(J85^2+K85^2)</f>
        <v>3.19119071644035</v>
      </c>
      <c r="M85" s="40" t="n">
        <f aca="false">IF(G85="","",MAX(0,G85-1.96*L85/100))</f>
        <v>0.405992527471698</v>
      </c>
      <c r="N85" s="40" t="n">
        <f aca="false">IF(G85="","",MIN(1,G85+1.96*L85/100))</f>
        <v>0.53108720355616</v>
      </c>
      <c r="O85" s="60" t="n">
        <f aca="false">ROUND(S85*W85,0)</f>
        <v>202</v>
      </c>
      <c r="P85" s="60" t="n">
        <f aca="false">IF(F85="","",ROUND(SQRT((F85*L85/100)^2+(G85*O85)^2),0))</f>
        <v>163</v>
      </c>
      <c r="R85" s="61" t="n">
        <v>5.36306966596033</v>
      </c>
      <c r="S85" s="62" t="n">
        <f aca="false">U85*V85*$F$5</f>
        <v>4163.88109359178</v>
      </c>
      <c r="T85" s="63" t="n">
        <f aca="false">MAX(0,MIN(1,R85/100+$D$5))</f>
        <v>0.468547300318934</v>
      </c>
      <c r="U85" s="63" t="n">
        <v>0.568060176479097</v>
      </c>
      <c r="V85" s="62" t="n">
        <v>7330</v>
      </c>
      <c r="W85" s="63" t="n">
        <v>0.0485820274397165</v>
      </c>
      <c r="X85" s="64" t="s">
        <v>187</v>
      </c>
      <c r="Y85" s="64" t="s">
        <v>167</v>
      </c>
    </row>
    <row r="86" customFormat="false" ht="15" hidden="false" customHeight="false" outlineLevel="0" collapsed="false">
      <c r="A86" s="32" t="s">
        <v>222</v>
      </c>
      <c r="B86" s="32" t="s">
        <v>244</v>
      </c>
      <c r="C86" s="32" t="s">
        <v>164</v>
      </c>
      <c r="D86" s="60" t="n">
        <f aca="false">ROUND(S86*T86,0)</f>
        <v>5485</v>
      </c>
      <c r="E86" s="60" t="n">
        <f aca="false">ROUND(S86,0)-D86</f>
        <v>5172</v>
      </c>
      <c r="F86" s="60" t="n">
        <f aca="false">IF(COUNTA(D86:E86)=0,"",SUM(D86:E86))</f>
        <v>10657</v>
      </c>
      <c r="G86" s="40" t="n">
        <f aca="false">IF(OR(F86="",F86=0),"",D86/F86)</f>
        <v>0.514685183447499</v>
      </c>
      <c r="H86" s="40" t="n">
        <f aca="false">IF(OR(F86="",F86=0),"",E86/F86)</f>
        <v>0.485314816552501</v>
      </c>
      <c r="I86" s="32" t="s">
        <v>165</v>
      </c>
      <c r="J86" s="36" t="n">
        <v>2.38612924807294</v>
      </c>
      <c r="K86" s="36" t="n">
        <f aca="false">$K$8</f>
        <v>2.11898216136568</v>
      </c>
      <c r="L86" s="36" t="n">
        <f aca="false">SQRT(J86^2+K86^2)</f>
        <v>3.19119071644035</v>
      </c>
      <c r="M86" s="40" t="n">
        <f aca="false">IF(G86="","",MAX(0,G86-1.96*L86/100))</f>
        <v>0.452137845405268</v>
      </c>
      <c r="N86" s="40" t="n">
        <f aca="false">IF(G86="","",MIN(1,G86+1.96*L86/100))</f>
        <v>0.57723252148973</v>
      </c>
      <c r="O86" s="60" t="n">
        <f aca="false">ROUND(S86*W86,0)</f>
        <v>518</v>
      </c>
      <c r="P86" s="60" t="n">
        <f aca="false">IF(F86="","",ROUND(SQRT((F86*L86/100)^2+(G86*O86)^2),0))</f>
        <v>432</v>
      </c>
      <c r="R86" s="61" t="n">
        <v>9.98340336502044</v>
      </c>
      <c r="S86" s="62" t="n">
        <f aca="false">U86*V86*$F$5</f>
        <v>10656.5050635134</v>
      </c>
      <c r="T86" s="63" t="n">
        <f aca="false">MAX(0,MIN(1,R86/100+$D$5))</f>
        <v>0.514750637309535</v>
      </c>
      <c r="U86" s="63" t="n">
        <v>0.603699584382134</v>
      </c>
      <c r="V86" s="62" t="n">
        <v>17652</v>
      </c>
      <c r="W86" s="63" t="n">
        <v>0.0485820274397165</v>
      </c>
      <c r="X86" s="64" t="s">
        <v>187</v>
      </c>
      <c r="Y86" s="64" t="s">
        <v>167</v>
      </c>
    </row>
    <row r="87" customFormat="false" ht="15" hidden="false" customHeight="false" outlineLevel="0" collapsed="false">
      <c r="A87" s="32" t="s">
        <v>222</v>
      </c>
      <c r="B87" s="32" t="s">
        <v>245</v>
      </c>
      <c r="C87" s="32" t="s">
        <v>164</v>
      </c>
      <c r="D87" s="60" t="n">
        <f aca="false">ROUND(S87*T87,0)</f>
        <v>505</v>
      </c>
      <c r="E87" s="60" t="n">
        <f aca="false">ROUND(S87,0)-D87</f>
        <v>857</v>
      </c>
      <c r="F87" s="60" t="n">
        <f aca="false">IF(COUNTA(D87:E87)=0,"",SUM(D87:E87))</f>
        <v>1362</v>
      </c>
      <c r="G87" s="40" t="n">
        <f aca="false">IF(OR(F87="",F87=0),"",D87/F87)</f>
        <v>0.370778267254038</v>
      </c>
      <c r="H87" s="40" t="n">
        <f aca="false">IF(OR(F87="",F87=0),"",E87/F87)</f>
        <v>0.629221732745962</v>
      </c>
      <c r="I87" s="32" t="s">
        <v>165</v>
      </c>
      <c r="J87" s="36" t="n">
        <v>1.84762040092345</v>
      </c>
      <c r="K87" s="36" t="n">
        <f aca="false">$K$8</f>
        <v>2.11898216136568</v>
      </c>
      <c r="L87" s="36" t="n">
        <f aca="false">SQRT(J87^2+K87^2)</f>
        <v>2.81136738013631</v>
      </c>
      <c r="M87" s="40" t="n">
        <f aca="false">IF(G87="","",MAX(0,G87-1.96*L87/100))</f>
        <v>0.315675466603367</v>
      </c>
      <c r="N87" s="40" t="n">
        <f aca="false">IF(G87="","",MIN(1,G87+1.96*L87/100))</f>
        <v>0.42588106790471</v>
      </c>
      <c r="O87" s="60" t="n">
        <f aca="false">ROUND(S87*W87,0)</f>
        <v>75</v>
      </c>
      <c r="P87" s="60" t="n">
        <f aca="false">IF(F87="","",ROUND(SQRT((F87*L87/100)^2+(G87*O87)^2),0))</f>
        <v>47</v>
      </c>
      <c r="R87" s="61" t="n">
        <v>-4.44884339492951</v>
      </c>
      <c r="S87" s="62" t="n">
        <f aca="false">U87*V87*$F$5</f>
        <v>1362.06750324535</v>
      </c>
      <c r="T87" s="63" t="n">
        <f aca="false">MAX(0,MIN(1,R87/100+$D$5))</f>
        <v>0.370428169710036</v>
      </c>
      <c r="U87" s="63" t="n">
        <v>0.55776720034617</v>
      </c>
      <c r="V87" s="62" t="n">
        <v>2442</v>
      </c>
      <c r="W87" s="63" t="n">
        <v>0.0547268472736556</v>
      </c>
      <c r="X87" s="64" t="s">
        <v>171</v>
      </c>
      <c r="Y87" s="64" t="s">
        <v>167</v>
      </c>
    </row>
    <row r="88" customFormat="false" ht="15" hidden="false" customHeight="false" outlineLevel="0" collapsed="false">
      <c r="A88" s="32" t="s">
        <v>222</v>
      </c>
      <c r="B88" s="32" t="s">
        <v>246</v>
      </c>
      <c r="C88" s="32" t="s">
        <v>164</v>
      </c>
      <c r="D88" s="60" t="n">
        <f aca="false">ROUND(S88*T88,0)</f>
        <v>1030</v>
      </c>
      <c r="E88" s="60" t="n">
        <f aca="false">ROUND(S88,0)-D88</f>
        <v>2091</v>
      </c>
      <c r="F88" s="60" t="n">
        <f aca="false">IF(COUNTA(D88:E88)=0,"",SUM(D88:E88))</f>
        <v>3121</v>
      </c>
      <c r="G88" s="40" t="n">
        <f aca="false">IF(OR(F88="",F88=0),"",D88/F88)</f>
        <v>0.330022428708747</v>
      </c>
      <c r="H88" s="40" t="n">
        <f aca="false">IF(OR(F88="",F88=0),"",E88/F88)</f>
        <v>0.669977571291253</v>
      </c>
      <c r="I88" s="32" t="s">
        <v>165</v>
      </c>
      <c r="J88" s="36" t="n">
        <v>2.38612924807294</v>
      </c>
      <c r="K88" s="36" t="n">
        <f aca="false">$K$8</f>
        <v>2.11898216136568</v>
      </c>
      <c r="L88" s="36" t="n">
        <f aca="false">SQRT(J88^2+K88^2)</f>
        <v>3.19119071644035</v>
      </c>
      <c r="M88" s="40" t="n">
        <f aca="false">IF(G88="","",MAX(0,G88-1.96*L88/100))</f>
        <v>0.267475090666516</v>
      </c>
      <c r="N88" s="40" t="n">
        <f aca="false">IF(G88="","",MIN(1,G88+1.96*L88/100))</f>
        <v>0.392569766750978</v>
      </c>
      <c r="O88" s="60" t="n">
        <f aca="false">ROUND(S88*W88,0)</f>
        <v>152</v>
      </c>
      <c r="P88" s="60" t="n">
        <f aca="false">IF(F88="","",ROUND(SQRT((F88*L88/100)^2+(G88*O88)^2),0))</f>
        <v>112</v>
      </c>
      <c r="R88" s="61" t="n">
        <v>-8.48574850001408</v>
      </c>
      <c r="S88" s="62" t="n">
        <f aca="false">U88*V88*$F$5</f>
        <v>3121.34219409283</v>
      </c>
      <c r="T88" s="63" t="n">
        <f aca="false">MAX(0,MIN(1,R88/100+$D$5))</f>
        <v>0.33005911865919</v>
      </c>
      <c r="U88" s="63" t="n">
        <v>0.648523206751055</v>
      </c>
      <c r="V88" s="62" t="n">
        <v>4813</v>
      </c>
      <c r="W88" s="63" t="n">
        <v>0.0485820274397165</v>
      </c>
      <c r="X88" s="64" t="s">
        <v>187</v>
      </c>
      <c r="Y88" s="64" t="s">
        <v>167</v>
      </c>
    </row>
    <row r="89" customFormat="false" ht="15" hidden="false" customHeight="false" outlineLevel="0" collapsed="false">
      <c r="A89" s="32" t="s">
        <v>222</v>
      </c>
      <c r="B89" s="32" t="s">
        <v>247</v>
      </c>
      <c r="C89" s="32" t="s">
        <v>164</v>
      </c>
      <c r="D89" s="60" t="n">
        <f aca="false">ROUND(S89*T89,0)</f>
        <v>65</v>
      </c>
      <c r="E89" s="60" t="n">
        <f aca="false">ROUND(S89,0)-D89</f>
        <v>131</v>
      </c>
      <c r="F89" s="60" t="n">
        <f aca="false">IF(COUNTA(D89:E89)=0,"",SUM(D89:E89))</f>
        <v>196</v>
      </c>
      <c r="G89" s="40" t="n">
        <f aca="false">IF(OR(F89="",F89=0),"",D89/F89)</f>
        <v>0.331632653061224</v>
      </c>
      <c r="H89" s="40" t="n">
        <f aca="false">IF(OR(F89="",F89=0),"",E89/F89)</f>
        <v>0.668367346938776</v>
      </c>
      <c r="I89" s="32" t="s">
        <v>165</v>
      </c>
      <c r="J89" s="36" t="n">
        <v>3.52076694862392</v>
      </c>
      <c r="K89" s="36" t="n">
        <f aca="false">$K$8</f>
        <v>2.11898216136568</v>
      </c>
      <c r="L89" s="36" t="n">
        <f aca="false">SQRT(J89^2+K89^2)</f>
        <v>4.10924388503634</v>
      </c>
      <c r="M89" s="40" t="n">
        <f aca="false">IF(G89="","",MAX(0,G89-1.96*L89/100))</f>
        <v>0.251091472914512</v>
      </c>
      <c r="N89" s="40" t="n">
        <f aca="false">IF(G89="","",MIN(1,G89+1.96*L89/100))</f>
        <v>0.412173833207937</v>
      </c>
      <c r="O89" s="60" t="n">
        <f aca="false">ROUND(S89*W89,0)</f>
        <v>14</v>
      </c>
      <c r="P89" s="60" t="n">
        <f aca="false">IF(F89="","",ROUND(SQRT((F89*L89/100)^2+(G89*O89)^2),0))</f>
        <v>9</v>
      </c>
      <c r="R89" s="61" t="n">
        <v>-8.13404900602725</v>
      </c>
      <c r="S89" s="62" t="n">
        <f aca="false">U89*V89*$F$5</f>
        <v>196.10298102981</v>
      </c>
      <c r="T89" s="63" t="n">
        <f aca="false">MAX(0,MIN(1,R89/100+$D$5))</f>
        <v>0.333576113599059</v>
      </c>
      <c r="U89" s="63" t="n">
        <v>0.525745257452575</v>
      </c>
      <c r="V89" s="62" t="n">
        <v>373</v>
      </c>
      <c r="W89" s="63" t="n">
        <v>0.0732058935918866</v>
      </c>
      <c r="X89" s="64" t="s">
        <v>166</v>
      </c>
      <c r="Y89" s="64" t="s">
        <v>167</v>
      </c>
    </row>
    <row r="90" customFormat="false" ht="15" hidden="false" customHeight="false" outlineLevel="0" collapsed="false">
      <c r="A90" s="32" t="s">
        <v>222</v>
      </c>
      <c r="B90" s="32" t="s">
        <v>248</v>
      </c>
      <c r="C90" s="32" t="s">
        <v>164</v>
      </c>
      <c r="D90" s="60" t="n">
        <f aca="false">ROUND(S90*T90,0)</f>
        <v>257</v>
      </c>
      <c r="E90" s="60" t="n">
        <f aca="false">ROUND(S90,0)-D90</f>
        <v>427</v>
      </c>
      <c r="F90" s="60" t="n">
        <f aca="false">IF(COUNTA(D90:E90)=0,"",SUM(D90:E90))</f>
        <v>684</v>
      </c>
      <c r="G90" s="40" t="n">
        <f aca="false">IF(OR(F90="",F90=0),"",D90/F90)</f>
        <v>0.375730994152047</v>
      </c>
      <c r="H90" s="40" t="n">
        <f aca="false">IF(OR(F90="",F90=0),"",E90/F90)</f>
        <v>0.624269005847953</v>
      </c>
      <c r="I90" s="32" t="s">
        <v>165</v>
      </c>
      <c r="J90" s="36" t="n">
        <v>3.52076694862392</v>
      </c>
      <c r="K90" s="36" t="n">
        <f aca="false">$K$8</f>
        <v>2.11898216136568</v>
      </c>
      <c r="L90" s="36" t="n">
        <f aca="false">SQRT(J90^2+K90^2)</f>
        <v>4.10924388503634</v>
      </c>
      <c r="M90" s="40" t="n">
        <f aca="false">IF(G90="","",MAX(0,G90-1.96*L90/100))</f>
        <v>0.295189814005335</v>
      </c>
      <c r="N90" s="40" t="n">
        <f aca="false">IF(G90="","",MIN(1,G90+1.96*L90/100))</f>
        <v>0.456272174298759</v>
      </c>
      <c r="O90" s="60" t="n">
        <f aca="false">ROUND(S90*W90,0)</f>
        <v>50</v>
      </c>
      <c r="P90" s="60" t="n">
        <f aca="false">IF(F90="","",ROUND(SQRT((F90*L90/100)^2+(G90*O90)^2),0))</f>
        <v>34</v>
      </c>
      <c r="R90" s="61" t="n">
        <v>-3.98568147334132</v>
      </c>
      <c r="S90" s="62" t="n">
        <f aca="false">U90*V90*$F$5</f>
        <v>683.952941176471</v>
      </c>
      <c r="T90" s="63" t="n">
        <f aca="false">MAX(0,MIN(1,R90/100+$D$5))</f>
        <v>0.375059788925918</v>
      </c>
      <c r="U90" s="63" t="n">
        <v>0.568067226890756</v>
      </c>
      <c r="V90" s="62" t="n">
        <v>1204</v>
      </c>
      <c r="W90" s="63" t="n">
        <v>0.0732058935918866</v>
      </c>
      <c r="X90" s="64" t="s">
        <v>166</v>
      </c>
      <c r="Y90" s="64" t="s">
        <v>167</v>
      </c>
    </row>
    <row r="91" customFormat="false" ht="15" hidden="false" customHeight="false" outlineLevel="0" collapsed="false">
      <c r="A91" s="32" t="s">
        <v>222</v>
      </c>
      <c r="B91" s="32" t="s">
        <v>249</v>
      </c>
      <c r="C91" s="32" t="s">
        <v>164</v>
      </c>
      <c r="D91" s="60" t="n">
        <f aca="false">ROUND(S91*T91,0)</f>
        <v>156</v>
      </c>
      <c r="E91" s="60" t="n">
        <f aca="false">ROUND(S91,0)-D91</f>
        <v>233</v>
      </c>
      <c r="F91" s="60" t="n">
        <f aca="false">IF(COUNTA(D91:E91)=0,"",SUM(D91:E91))</f>
        <v>389</v>
      </c>
      <c r="G91" s="40" t="n">
        <f aca="false">IF(OR(F91="",F91=0),"",D91/F91)</f>
        <v>0.401028277634961</v>
      </c>
      <c r="H91" s="40" t="n">
        <f aca="false">IF(OR(F91="",F91=0),"",E91/F91)</f>
        <v>0.598971722365039</v>
      </c>
      <c r="I91" s="32" t="s">
        <v>165</v>
      </c>
      <c r="J91" s="36" t="n">
        <v>3.52076694862392</v>
      </c>
      <c r="K91" s="36" t="n">
        <f aca="false">$K$8</f>
        <v>2.11898216136568</v>
      </c>
      <c r="L91" s="36" t="n">
        <f aca="false">SQRT(J91^2+K91^2)</f>
        <v>4.10924388503634</v>
      </c>
      <c r="M91" s="40" t="n">
        <f aca="false">IF(G91="","",MAX(0,G91-1.96*L91/100))</f>
        <v>0.320487097488249</v>
      </c>
      <c r="N91" s="40" t="n">
        <f aca="false">IF(G91="","",MIN(1,G91+1.96*L91/100))</f>
        <v>0.481569457781674</v>
      </c>
      <c r="O91" s="60" t="n">
        <f aca="false">ROUND(S91*W91,0)</f>
        <v>28</v>
      </c>
      <c r="P91" s="60" t="n">
        <f aca="false">IF(F91="","",ROUND(SQRT((F91*L91/100)^2+(G91*O91)^2),0))</f>
        <v>20</v>
      </c>
      <c r="R91" s="61" t="n">
        <v>-1.48400828004494</v>
      </c>
      <c r="S91" s="62" t="n">
        <f aca="false">U91*V91*$F$5</f>
        <v>388.819749216301</v>
      </c>
      <c r="T91" s="63" t="n">
        <f aca="false">MAX(0,MIN(1,R91/100+$D$5))</f>
        <v>0.400076520858882</v>
      </c>
      <c r="U91" s="63" t="n">
        <v>0.606583072100314</v>
      </c>
      <c r="V91" s="62" t="n">
        <v>641</v>
      </c>
      <c r="W91" s="63" t="n">
        <v>0.0732058935918866</v>
      </c>
      <c r="X91" s="64" t="s">
        <v>166</v>
      </c>
      <c r="Y91" s="64" t="s">
        <v>167</v>
      </c>
    </row>
    <row r="92" customFormat="false" ht="15" hidden="false" customHeight="false" outlineLevel="0" collapsed="false">
      <c r="A92" s="32" t="s">
        <v>222</v>
      </c>
      <c r="B92" s="32" t="s">
        <v>250</v>
      </c>
      <c r="C92" s="32" t="s">
        <v>164</v>
      </c>
      <c r="D92" s="60" t="n">
        <f aca="false">ROUND(S92*T92,0)</f>
        <v>252</v>
      </c>
      <c r="E92" s="60" t="n">
        <f aca="false">ROUND(S92,0)-D92</f>
        <v>350</v>
      </c>
      <c r="F92" s="60" t="n">
        <f aca="false">IF(COUNTA(D92:E92)=0,"",SUM(D92:E92))</f>
        <v>602</v>
      </c>
      <c r="G92" s="40" t="n">
        <f aca="false">IF(OR(F92="",F92=0),"",D92/F92)</f>
        <v>0.418604651162791</v>
      </c>
      <c r="H92" s="40" t="n">
        <f aca="false">IF(OR(F92="",F92=0),"",E92/F92)</f>
        <v>0.581395348837209</v>
      </c>
      <c r="I92" s="32" t="s">
        <v>165</v>
      </c>
      <c r="J92" s="36" t="n">
        <v>3.52076694862392</v>
      </c>
      <c r="K92" s="36" t="n">
        <f aca="false">$K$8</f>
        <v>2.11898216136568</v>
      </c>
      <c r="L92" s="36" t="n">
        <f aca="false">SQRT(J92^2+K92^2)</f>
        <v>4.10924388503634</v>
      </c>
      <c r="M92" s="40" t="n">
        <f aca="false">IF(G92="","",MAX(0,G92-1.96*L92/100))</f>
        <v>0.338063471016078</v>
      </c>
      <c r="N92" s="40" t="n">
        <f aca="false">IF(G92="","",MIN(1,G92+1.96*L92/100))</f>
        <v>0.499145831309503</v>
      </c>
      <c r="O92" s="60" t="n">
        <f aca="false">ROUND(S92*W92,0)</f>
        <v>44</v>
      </c>
      <c r="P92" s="60" t="n">
        <f aca="false">IF(F92="","",ROUND(SQRT((F92*L92/100)^2+(G92*O92)^2),0))</f>
        <v>31</v>
      </c>
      <c r="R92" s="61" t="n">
        <v>0.440838523440305</v>
      </c>
      <c r="S92" s="62" t="n">
        <f aca="false">U92*V92*$F$5</f>
        <v>602.07868852459</v>
      </c>
      <c r="T92" s="63" t="n">
        <f aca="false">MAX(0,MIN(1,R92/100+$D$5))</f>
        <v>0.419324988893734</v>
      </c>
      <c r="U92" s="63" t="n">
        <v>0.613114754098361</v>
      </c>
      <c r="V92" s="62" t="n">
        <v>982</v>
      </c>
      <c r="W92" s="63" t="n">
        <v>0.0732058935918866</v>
      </c>
      <c r="X92" s="64" t="s">
        <v>166</v>
      </c>
      <c r="Y92" s="64" t="s">
        <v>167</v>
      </c>
    </row>
    <row r="93" customFormat="false" ht="15" hidden="false" customHeight="false" outlineLevel="0" collapsed="false">
      <c r="A93" s="32" t="s">
        <v>222</v>
      </c>
      <c r="B93" s="32" t="s">
        <v>251</v>
      </c>
      <c r="C93" s="32" t="s">
        <v>164</v>
      </c>
      <c r="D93" s="60" t="n">
        <f aca="false">ROUND(S93*T93,0)</f>
        <v>959</v>
      </c>
      <c r="E93" s="60" t="n">
        <f aca="false">ROUND(S93,0)-D93</f>
        <v>2187</v>
      </c>
      <c r="F93" s="60" t="n">
        <f aca="false">IF(COUNTA(D93:E93)=0,"",SUM(D93:E93))</f>
        <v>3146</v>
      </c>
      <c r="G93" s="40" t="n">
        <f aca="false">IF(OR(F93="",F93=0),"",D93/F93)</f>
        <v>0.304831532104259</v>
      </c>
      <c r="H93" s="40" t="n">
        <f aca="false">IF(OR(F93="",F93=0),"",E93/F93)</f>
        <v>0.695168467895741</v>
      </c>
      <c r="I93" s="32" t="s">
        <v>165</v>
      </c>
      <c r="J93" s="36" t="n">
        <v>2.38612924807294</v>
      </c>
      <c r="K93" s="36" t="n">
        <f aca="false">$K$8</f>
        <v>2.11898216136568</v>
      </c>
      <c r="L93" s="36" t="n">
        <f aca="false">SQRT(J93^2+K93^2)</f>
        <v>3.19119071644035</v>
      </c>
      <c r="M93" s="40" t="n">
        <f aca="false">IF(G93="","",MAX(0,G93-1.96*L93/100))</f>
        <v>0.242284194062028</v>
      </c>
      <c r="N93" s="40" t="n">
        <f aca="false">IF(G93="","",MIN(1,G93+1.96*L93/100))</f>
        <v>0.36737887014649</v>
      </c>
      <c r="O93" s="60" t="n">
        <f aca="false">ROUND(S93*W93,0)</f>
        <v>153</v>
      </c>
      <c r="P93" s="60" t="n">
        <f aca="false">IF(F93="","",ROUND(SQRT((F93*L93/100)^2+(G93*O93)^2),0))</f>
        <v>111</v>
      </c>
      <c r="R93" s="61" t="n">
        <v>-11.0210524686392</v>
      </c>
      <c r="S93" s="62" t="n">
        <f aca="false">U93*V93*$F$5</f>
        <v>3146.26275765459</v>
      </c>
      <c r="T93" s="63" t="n">
        <f aca="false">MAX(0,MIN(1,R93/100+$D$5))</f>
        <v>0.304706078972939</v>
      </c>
      <c r="U93" s="63" t="n">
        <v>0.625375225135081</v>
      </c>
      <c r="V93" s="62" t="n">
        <v>5031</v>
      </c>
      <c r="W93" s="63" t="n">
        <v>0.0485820274397165</v>
      </c>
      <c r="X93" s="64" t="s">
        <v>187</v>
      </c>
      <c r="Y93" s="64" t="s">
        <v>167</v>
      </c>
    </row>
    <row r="94" customFormat="false" ht="15" hidden="false" customHeight="false" outlineLevel="0" collapsed="false">
      <c r="A94" s="32" t="s">
        <v>222</v>
      </c>
      <c r="B94" s="32" t="s">
        <v>252</v>
      </c>
      <c r="C94" s="32" t="s">
        <v>164</v>
      </c>
      <c r="D94" s="60" t="n">
        <f aca="false">ROUND(S94*T94,0)</f>
        <v>1557</v>
      </c>
      <c r="E94" s="60" t="n">
        <f aca="false">ROUND(S94,0)-D94</f>
        <v>1720</v>
      </c>
      <c r="F94" s="60" t="n">
        <f aca="false">IF(COUNTA(D94:E94)=0,"",SUM(D94:E94))</f>
        <v>3277</v>
      </c>
      <c r="G94" s="40" t="n">
        <f aca="false">IF(OR(F94="",F94=0),"",D94/F94)</f>
        <v>0.475129691791273</v>
      </c>
      <c r="H94" s="40" t="n">
        <f aca="false">IF(OR(F94="",F94=0),"",E94/F94)</f>
        <v>0.524870308208728</v>
      </c>
      <c r="I94" s="32" t="s">
        <v>165</v>
      </c>
      <c r="J94" s="36" t="n">
        <v>2.38612924807294</v>
      </c>
      <c r="K94" s="36" t="n">
        <f aca="false">$K$8</f>
        <v>2.11898216136568</v>
      </c>
      <c r="L94" s="36" t="n">
        <f aca="false">SQRT(J94^2+K94^2)</f>
        <v>3.19119071644035</v>
      </c>
      <c r="M94" s="40" t="n">
        <f aca="false">IF(G94="","",MAX(0,G94-1.96*L94/100))</f>
        <v>0.412582353749042</v>
      </c>
      <c r="N94" s="40" t="n">
        <f aca="false">IF(G94="","",MIN(1,G94+1.96*L94/100))</f>
        <v>0.537677029833503</v>
      </c>
      <c r="O94" s="60" t="n">
        <f aca="false">ROUND(S94*W94,0)</f>
        <v>159</v>
      </c>
      <c r="P94" s="60" t="n">
        <f aca="false">IF(F94="","",ROUND(SQRT((F94*L94/100)^2+(G94*O94)^2),0))</f>
        <v>129</v>
      </c>
      <c r="R94" s="61" t="n">
        <v>6.01860627173386</v>
      </c>
      <c r="S94" s="62" t="n">
        <f aca="false">U94*V94*$F$5</f>
        <v>3277.36336396324</v>
      </c>
      <c r="T94" s="63" t="n">
        <f aca="false">MAX(0,MIN(1,R94/100+$D$5))</f>
        <v>0.47510266637667</v>
      </c>
      <c r="U94" s="63" t="n">
        <v>0.631841789852177</v>
      </c>
      <c r="V94" s="62" t="n">
        <v>5187</v>
      </c>
      <c r="W94" s="63" t="n">
        <v>0.0485820274397165</v>
      </c>
      <c r="X94" s="64" t="s">
        <v>187</v>
      </c>
      <c r="Y94" s="64" t="s">
        <v>167</v>
      </c>
    </row>
    <row r="95" customFormat="false" ht="15" hidden="false" customHeight="false" outlineLevel="0" collapsed="false">
      <c r="A95" s="32" t="s">
        <v>222</v>
      </c>
      <c r="B95" s="32" t="s">
        <v>253</v>
      </c>
      <c r="C95" s="32" t="s">
        <v>164</v>
      </c>
      <c r="D95" s="60" t="n">
        <f aca="false">ROUND(S95*T95,0)</f>
        <v>298</v>
      </c>
      <c r="E95" s="60" t="n">
        <f aca="false">ROUND(S95,0)-D95</f>
        <v>463</v>
      </c>
      <c r="F95" s="60" t="n">
        <f aca="false">IF(COUNTA(D95:E95)=0,"",SUM(D95:E95))</f>
        <v>761</v>
      </c>
      <c r="G95" s="40" t="n">
        <f aca="false">IF(OR(F95="",F95=0),"",D95/F95)</f>
        <v>0.391590013140605</v>
      </c>
      <c r="H95" s="40" t="n">
        <f aca="false">IF(OR(F95="",F95=0),"",E95/F95)</f>
        <v>0.608409986859396</v>
      </c>
      <c r="I95" s="32" t="s">
        <v>165</v>
      </c>
      <c r="J95" s="36" t="n">
        <v>3.52076694862392</v>
      </c>
      <c r="K95" s="36" t="n">
        <f aca="false">$K$8</f>
        <v>2.11898216136568</v>
      </c>
      <c r="L95" s="36" t="n">
        <f aca="false">SQRT(J95^2+K95^2)</f>
        <v>4.10924388503634</v>
      </c>
      <c r="M95" s="40" t="n">
        <f aca="false">IF(G95="","",MAX(0,G95-1.96*L95/100))</f>
        <v>0.311048832993892</v>
      </c>
      <c r="N95" s="40" t="n">
        <f aca="false">IF(G95="","",MIN(1,G95+1.96*L95/100))</f>
        <v>0.472131193287317</v>
      </c>
      <c r="O95" s="60" t="n">
        <f aca="false">ROUND(S95*W95,0)</f>
        <v>56</v>
      </c>
      <c r="P95" s="60" t="n">
        <f aca="false">IF(F95="","",ROUND(SQRT((F95*L95/100)^2+(G95*O95)^2),0))</f>
        <v>38</v>
      </c>
      <c r="R95" s="61" t="n">
        <v>-2.34702300160307</v>
      </c>
      <c r="S95" s="62" t="n">
        <f aca="false">U95*V95*$F$5</f>
        <v>761.429837518464</v>
      </c>
      <c r="T95" s="63" t="n">
        <f aca="false">MAX(0,MIN(1,R95/100+$D$5))</f>
        <v>0.3914463736433</v>
      </c>
      <c r="U95" s="63" t="n">
        <v>0.534711964549483</v>
      </c>
      <c r="V95" s="62" t="n">
        <v>1424</v>
      </c>
      <c r="W95" s="63" t="n">
        <v>0.0732058935918866</v>
      </c>
      <c r="X95" s="64" t="s">
        <v>166</v>
      </c>
      <c r="Y95" s="64" t="s">
        <v>167</v>
      </c>
    </row>
    <row r="96" customFormat="false" ht="15" hidden="false" customHeight="false" outlineLevel="0" collapsed="false">
      <c r="A96" s="32" t="s">
        <v>222</v>
      </c>
      <c r="B96" s="32" t="s">
        <v>215</v>
      </c>
      <c r="C96" s="32" t="s">
        <v>164</v>
      </c>
      <c r="D96" s="60" t="n">
        <f aca="false">ROUND(S96*T96,0)</f>
        <v>777</v>
      </c>
      <c r="E96" s="60" t="n">
        <f aca="false">ROUND(S96,0)-D96</f>
        <v>1610</v>
      </c>
      <c r="F96" s="60" t="n">
        <f aca="false">IF(COUNTA(D96:E96)=0,"",SUM(D96:E96))</f>
        <v>2387</v>
      </c>
      <c r="G96" s="40" t="n">
        <f aca="false">IF(OR(F96="",F96=0),"",D96/F96)</f>
        <v>0.325513196480938</v>
      </c>
      <c r="H96" s="40" t="n">
        <f aca="false">IF(OR(F96="",F96=0),"",E96/F96)</f>
        <v>0.674486803519062</v>
      </c>
      <c r="I96" s="32" t="s">
        <v>165</v>
      </c>
      <c r="J96" s="36" t="n">
        <v>1.84762040092345</v>
      </c>
      <c r="K96" s="36" t="n">
        <f aca="false">$K$8</f>
        <v>2.11898216136568</v>
      </c>
      <c r="L96" s="36" t="n">
        <f aca="false">SQRT(J96^2+K96^2)</f>
        <v>2.81136738013631</v>
      </c>
      <c r="M96" s="40" t="n">
        <f aca="false">IF(G96="","",MAX(0,G96-1.96*L96/100))</f>
        <v>0.270410395830267</v>
      </c>
      <c r="N96" s="40" t="n">
        <f aca="false">IF(G96="","",MIN(1,G96+1.96*L96/100))</f>
        <v>0.38061599713161</v>
      </c>
      <c r="O96" s="60" t="n">
        <f aca="false">ROUND(S96*W96,0)</f>
        <v>131</v>
      </c>
      <c r="P96" s="60" t="n">
        <f aca="false">IF(F96="","",ROUND(SQRT((F96*L96/100)^2+(G96*O96)^2),0))</f>
        <v>80</v>
      </c>
      <c r="R96" s="61" t="n">
        <v>-8.93392105761824</v>
      </c>
      <c r="S96" s="62" t="n">
        <f aca="false">U96*V96*$F$5</f>
        <v>2386.68081761006</v>
      </c>
      <c r="T96" s="63" t="n">
        <f aca="false">MAX(0,MIN(1,R96/100+$D$5))</f>
        <v>0.325577393083149</v>
      </c>
      <c r="U96" s="63" t="n">
        <v>0.62185534591195</v>
      </c>
      <c r="V96" s="62" t="n">
        <v>3838</v>
      </c>
      <c r="W96" s="63" t="n">
        <v>0.0547268472736556</v>
      </c>
      <c r="X96" s="64" t="s">
        <v>171</v>
      </c>
      <c r="Y96" s="64" t="s">
        <v>167</v>
      </c>
    </row>
    <row r="97" customFormat="false" ht="15" hidden="false" customHeight="false" outlineLevel="0" collapsed="false">
      <c r="A97" s="32" t="s">
        <v>222</v>
      </c>
      <c r="B97" s="32" t="s">
        <v>254</v>
      </c>
      <c r="C97" s="32" t="s">
        <v>164</v>
      </c>
      <c r="D97" s="60" t="n">
        <f aca="false">ROUND(S97*T97,0)</f>
        <v>203</v>
      </c>
      <c r="E97" s="60" t="n">
        <f aca="false">ROUND(S97,0)-D97</f>
        <v>235</v>
      </c>
      <c r="F97" s="60" t="n">
        <f aca="false">IF(COUNTA(D97:E97)=0,"",SUM(D97:E97))</f>
        <v>438</v>
      </c>
      <c r="G97" s="40" t="n">
        <f aca="false">IF(OR(F97="",F97=0),"",D97/F97)</f>
        <v>0.463470319634703</v>
      </c>
      <c r="H97" s="40" t="n">
        <f aca="false">IF(OR(F97="",F97=0),"",E97/F97)</f>
        <v>0.536529680365297</v>
      </c>
      <c r="I97" s="32" t="s">
        <v>165</v>
      </c>
      <c r="J97" s="36" t="n">
        <v>3.52076694862392</v>
      </c>
      <c r="K97" s="36" t="n">
        <f aca="false">$K$8</f>
        <v>2.11898216136568</v>
      </c>
      <c r="L97" s="36" t="n">
        <f aca="false">SQRT(J97^2+K97^2)</f>
        <v>4.10924388503634</v>
      </c>
      <c r="M97" s="40" t="n">
        <f aca="false">IF(G97="","",MAX(0,G97-1.96*L97/100))</f>
        <v>0.382929139487991</v>
      </c>
      <c r="N97" s="40" t="n">
        <f aca="false">IF(G97="","",MIN(1,G97+1.96*L97/100))</f>
        <v>0.544011499781416</v>
      </c>
      <c r="O97" s="60" t="n">
        <f aca="false">ROUND(S97*W97,0)</f>
        <v>32</v>
      </c>
      <c r="P97" s="60" t="n">
        <f aca="false">IF(F97="","",ROUND(SQRT((F97*L97/100)^2+(G97*O97)^2),0))</f>
        <v>23</v>
      </c>
      <c r="R97" s="61" t="n">
        <v>4.74182704878626</v>
      </c>
      <c r="S97" s="62" t="n">
        <f aca="false">U97*V97*$F$5</f>
        <v>438.292134831461</v>
      </c>
      <c r="T97" s="63" t="n">
        <f aca="false">MAX(0,MIN(1,R97/100+$D$5))</f>
        <v>0.462334874147194</v>
      </c>
      <c r="U97" s="63" t="n">
        <v>0.51685393258427</v>
      </c>
      <c r="V97" s="62" t="n">
        <v>848</v>
      </c>
      <c r="W97" s="63" t="n">
        <v>0.0732058935918866</v>
      </c>
      <c r="X97" s="64" t="s">
        <v>166</v>
      </c>
      <c r="Y97" s="64" t="s">
        <v>167</v>
      </c>
    </row>
    <row r="98" customFormat="false" ht="15" hidden="false" customHeight="false" outlineLevel="0" collapsed="false">
      <c r="A98" s="32" t="s">
        <v>222</v>
      </c>
      <c r="B98" s="32" t="s">
        <v>255</v>
      </c>
      <c r="C98" s="32" t="s">
        <v>164</v>
      </c>
      <c r="D98" s="60" t="n">
        <f aca="false">ROUND(S98*T98,0)</f>
        <v>1451</v>
      </c>
      <c r="E98" s="60" t="n">
        <f aca="false">ROUND(S98,0)-D98</f>
        <v>1915</v>
      </c>
      <c r="F98" s="60" t="n">
        <f aca="false">IF(COUNTA(D98:E98)=0,"",SUM(D98:E98))</f>
        <v>3366</v>
      </c>
      <c r="G98" s="40" t="n">
        <f aca="false">IF(OR(F98="",F98=0),"",D98/F98)</f>
        <v>0.431075460487225</v>
      </c>
      <c r="H98" s="40" t="n">
        <f aca="false">IF(OR(F98="",F98=0),"",E98/F98)</f>
        <v>0.568924539512775</v>
      </c>
      <c r="I98" s="32" t="s">
        <v>165</v>
      </c>
      <c r="J98" s="36" t="n">
        <v>2.38612924807294</v>
      </c>
      <c r="K98" s="36" t="n">
        <f aca="false">$K$8</f>
        <v>2.11898216136568</v>
      </c>
      <c r="L98" s="36" t="n">
        <f aca="false">SQRT(J98^2+K98^2)</f>
        <v>3.19119071644035</v>
      </c>
      <c r="M98" s="40" t="n">
        <f aca="false">IF(G98="","",MAX(0,G98-1.96*L98/100))</f>
        <v>0.368528122444994</v>
      </c>
      <c r="N98" s="40" t="n">
        <f aca="false">IF(G98="","",MIN(1,G98+1.96*L98/100))</f>
        <v>0.493622798529456</v>
      </c>
      <c r="O98" s="60" t="n">
        <f aca="false">ROUND(S98*W98,0)</f>
        <v>164</v>
      </c>
      <c r="P98" s="60" t="n">
        <f aca="false">IF(F98="","",ROUND(SQRT((F98*L98/100)^2+(G98*O98)^2),0))</f>
        <v>129</v>
      </c>
      <c r="R98" s="61" t="n">
        <v>1.61890122821385</v>
      </c>
      <c r="S98" s="62" t="n">
        <f aca="false">U98*V98*$F$5</f>
        <v>3365.72741078208</v>
      </c>
      <c r="T98" s="63" t="n">
        <f aca="false">MAX(0,MIN(1,R98/100+$D$5))</f>
        <v>0.43110561594147</v>
      </c>
      <c r="U98" s="63" t="n">
        <v>0.629460895975702</v>
      </c>
      <c r="V98" s="62" t="n">
        <v>5347</v>
      </c>
      <c r="W98" s="63" t="n">
        <v>0.0485820274397165</v>
      </c>
      <c r="X98" s="64" t="s">
        <v>187</v>
      </c>
      <c r="Y98" s="64" t="s">
        <v>167</v>
      </c>
    </row>
    <row r="99" customFormat="false" ht="15" hidden="false" customHeight="false" outlineLevel="0" collapsed="false">
      <c r="A99" s="32" t="s">
        <v>222</v>
      </c>
      <c r="B99" s="32" t="s">
        <v>256</v>
      </c>
      <c r="C99" s="32" t="s">
        <v>164</v>
      </c>
      <c r="D99" s="60" t="n">
        <f aca="false">ROUND(S99*T99,0)</f>
        <v>1321</v>
      </c>
      <c r="E99" s="60" t="n">
        <f aca="false">ROUND(S99,0)-D99</f>
        <v>1029</v>
      </c>
      <c r="F99" s="60" t="n">
        <f aca="false">IF(COUNTA(D99:E99)=0,"",SUM(D99:E99))</f>
        <v>2350</v>
      </c>
      <c r="G99" s="40" t="n">
        <f aca="false">IF(OR(F99="",F99=0),"",D99/F99)</f>
        <v>0.562127659574468</v>
      </c>
      <c r="H99" s="40" t="n">
        <f aca="false">IF(OR(F99="",F99=0),"",E99/F99)</f>
        <v>0.437872340425532</v>
      </c>
      <c r="I99" s="32" t="s">
        <v>165</v>
      </c>
      <c r="J99" s="36" t="n">
        <v>1.84762040092345</v>
      </c>
      <c r="K99" s="36" t="n">
        <f aca="false">$K$8</f>
        <v>2.11898216136568</v>
      </c>
      <c r="L99" s="36" t="n">
        <f aca="false">SQRT(J99^2+K99^2)</f>
        <v>2.81136738013631</v>
      </c>
      <c r="M99" s="40" t="n">
        <f aca="false">IF(G99="","",MAX(0,G99-1.96*L99/100))</f>
        <v>0.507024858923797</v>
      </c>
      <c r="N99" s="40" t="n">
        <f aca="false">IF(G99="","",MIN(1,G99+1.96*L99/100))</f>
        <v>0.61723046022514</v>
      </c>
      <c r="O99" s="60" t="n">
        <f aca="false">ROUND(S99*W99,0)</f>
        <v>129</v>
      </c>
      <c r="P99" s="60" t="n">
        <f aca="false">IF(F99="","",ROUND(SQRT((F99*L99/100)^2+(G99*O99)^2),0))</f>
        <v>98</v>
      </c>
      <c r="R99" s="61" t="n">
        <v>14.7211717712912</v>
      </c>
      <c r="S99" s="62" t="n">
        <f aca="false">U99*V99*$F$5</f>
        <v>2350.25573902537</v>
      </c>
      <c r="T99" s="63" t="n">
        <f aca="false">MAX(0,MIN(1,R99/100+$D$5))</f>
        <v>0.562128321372243</v>
      </c>
      <c r="U99" s="63" t="n">
        <v>0.461739830849779</v>
      </c>
      <c r="V99" s="62" t="n">
        <v>5090</v>
      </c>
      <c r="W99" s="63" t="n">
        <v>0.0547268472736556</v>
      </c>
      <c r="X99" s="64" t="s">
        <v>171</v>
      </c>
      <c r="Y99" s="64" t="s">
        <v>167</v>
      </c>
    </row>
    <row r="100" customFormat="false" ht="15" hidden="false" customHeight="false" outlineLevel="0" collapsed="false">
      <c r="A100" s="32" t="s">
        <v>222</v>
      </c>
      <c r="B100" s="32" t="s">
        <v>257</v>
      </c>
      <c r="C100" s="32" t="s">
        <v>164</v>
      </c>
      <c r="D100" s="60" t="n">
        <f aca="false">ROUND(S100*T100,0)</f>
        <v>479</v>
      </c>
      <c r="E100" s="60" t="n">
        <f aca="false">ROUND(S100,0)-D100</f>
        <v>666</v>
      </c>
      <c r="F100" s="60" t="n">
        <f aca="false">IF(COUNTA(D100:E100)=0,"",SUM(D100:E100))</f>
        <v>1145</v>
      </c>
      <c r="G100" s="40" t="n">
        <f aca="false">IF(OR(F100="",F100=0),"",D100/F100)</f>
        <v>0.418340611353712</v>
      </c>
      <c r="H100" s="40" t="n">
        <f aca="false">IF(OR(F100="",F100=0),"",E100/F100)</f>
        <v>0.581659388646288</v>
      </c>
      <c r="I100" s="32" t="s">
        <v>165</v>
      </c>
      <c r="J100" s="36" t="n">
        <v>3.52076694862392</v>
      </c>
      <c r="K100" s="36" t="n">
        <f aca="false">$K$8</f>
        <v>2.11898216136568</v>
      </c>
      <c r="L100" s="36" t="n">
        <f aca="false">SQRT(J100^2+K100^2)</f>
        <v>4.10924388503634</v>
      </c>
      <c r="M100" s="40" t="n">
        <f aca="false">IF(G100="","",MAX(0,G100-1.96*L100/100))</f>
        <v>0.337799431207</v>
      </c>
      <c r="N100" s="40" t="n">
        <f aca="false">IF(G100="","",MIN(1,G100+1.96*L100/100))</f>
        <v>0.498881791500424</v>
      </c>
      <c r="O100" s="60" t="n">
        <f aca="false">ROUND(S100*W100,0)</f>
        <v>84</v>
      </c>
      <c r="P100" s="60" t="n">
        <f aca="false">IF(F100="","",ROUND(SQRT((F100*L100/100)^2+(G100*O100)^2),0))</f>
        <v>59</v>
      </c>
      <c r="R100" s="61" t="n">
        <v>0.303682150636567</v>
      </c>
      <c r="S100" s="62" t="n">
        <f aca="false">U100*V100*$F$5</f>
        <v>1145.48062775871</v>
      </c>
      <c r="T100" s="63" t="n">
        <f aca="false">MAX(0,MIN(1,R100/100+$D$5))</f>
        <v>0.417953425165697</v>
      </c>
      <c r="U100" s="63" t="n">
        <v>0.537027954879843</v>
      </c>
      <c r="V100" s="62" t="n">
        <v>2133</v>
      </c>
      <c r="W100" s="63" t="n">
        <v>0.0732058935918866</v>
      </c>
      <c r="X100" s="64" t="s">
        <v>166</v>
      </c>
      <c r="Y100" s="64" t="s">
        <v>167</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44"/>
    <col collapsed="false" customWidth="true" hidden="false" outlineLevel="0" max="5" min="5" style="0" width="12"/>
    <col collapsed="false" customWidth="true" hidden="false" outlineLevel="0" max="6" min="6" style="0" width="44"/>
    <col collapsed="false" customWidth="true" hidden="false" outlineLevel="0" max="7" min="7" style="0" width="12"/>
  </cols>
  <sheetData>
    <row r="1" customFormat="false" ht="17.35" hidden="false" customHeight="false" outlineLevel="0" collapsed="false">
      <c r="A1" s="1" t="s">
        <v>262</v>
      </c>
    </row>
    <row r="3" customFormat="false" ht="15" hidden="false" customHeight="false" outlineLevel="0" collapsed="false">
      <c r="A3" s="5" t="s">
        <v>263</v>
      </c>
    </row>
    <row r="4" customFormat="false" ht="33.75" hidden="false" customHeight="true" outlineLevel="0" collapsed="false">
      <c r="A4" s="39" t="s">
        <v>264</v>
      </c>
      <c r="B4" s="39"/>
      <c r="C4" s="39"/>
      <c r="D4" s="39"/>
      <c r="E4" s="39"/>
      <c r="F4" s="39"/>
      <c r="G4" s="39"/>
      <c r="H4" s="39"/>
    </row>
    <row r="5" customFormat="false" ht="15" hidden="false" customHeight="false" outlineLevel="0" collapsed="false">
      <c r="A5" s="5" t="s">
        <v>265</v>
      </c>
    </row>
    <row r="6" customFormat="false" ht="33.75" hidden="false" customHeight="true" outlineLevel="0" collapsed="false">
      <c r="A6" s="39" t="s">
        <v>266</v>
      </c>
      <c r="B6" s="39"/>
      <c r="C6" s="39"/>
      <c r="D6" s="39"/>
      <c r="E6" s="39"/>
      <c r="F6" s="39"/>
      <c r="G6" s="39"/>
      <c r="H6" s="39"/>
    </row>
    <row r="7" customFormat="false" ht="15" hidden="false" customHeight="false" outlineLevel="0" collapsed="false">
      <c r="A7" s="5" t="s">
        <v>267</v>
      </c>
    </row>
    <row r="8" customFormat="false" ht="33.75" hidden="false" customHeight="true" outlineLevel="0" collapsed="false">
      <c r="A8" s="39" t="s">
        <v>268</v>
      </c>
      <c r="B8" s="39"/>
      <c r="C8" s="39"/>
      <c r="D8" s="39"/>
      <c r="E8" s="39"/>
      <c r="F8" s="39"/>
      <c r="G8" s="39"/>
      <c r="H8" s="39"/>
    </row>
    <row r="9" customFormat="false" ht="15" hidden="false" customHeight="false" outlineLevel="0" collapsed="false">
      <c r="A9" s="5" t="s">
        <v>72</v>
      </c>
    </row>
    <row r="10" customFormat="false" ht="33.75" hidden="false" customHeight="true" outlineLevel="0" collapsed="false">
      <c r="A10" s="39" t="s">
        <v>269</v>
      </c>
      <c r="B10" s="39"/>
      <c r="C10" s="39"/>
      <c r="D10" s="39"/>
      <c r="E10" s="39"/>
      <c r="F10" s="39"/>
      <c r="G10" s="39"/>
      <c r="H10" s="39"/>
    </row>
    <row r="11" customFormat="false" ht="15" hidden="false" customHeight="false" outlineLevel="0" collapsed="false">
      <c r="A11" s="5" t="s">
        <v>270</v>
      </c>
    </row>
    <row r="12" customFormat="false" ht="33.75" hidden="false" customHeight="true" outlineLevel="0" collapsed="false">
      <c r="A12" s="39" t="s">
        <v>271</v>
      </c>
      <c r="B12" s="39"/>
      <c r="C12" s="39"/>
      <c r="D12" s="39"/>
      <c r="E12" s="39"/>
      <c r="F12" s="39"/>
      <c r="G12" s="39"/>
      <c r="H12" s="39"/>
    </row>
    <row r="14" customFormat="false" ht="15" hidden="false" customHeight="false" outlineLevel="0" collapsed="false">
      <c r="A14" s="4" t="s">
        <v>272</v>
      </c>
      <c r="B14" s="4"/>
      <c r="C14" s="4"/>
      <c r="D14" s="4"/>
      <c r="E14" s="4"/>
      <c r="F14" s="4"/>
      <c r="G14" s="4"/>
      <c r="H14" s="4"/>
    </row>
    <row r="15" customFormat="false" ht="31.5" hidden="false" customHeight="true" outlineLevel="0" collapsed="false">
      <c r="A15" s="8" t="s">
        <v>273</v>
      </c>
      <c r="B15" s="8" t="s">
        <v>44</v>
      </c>
      <c r="C15" s="8" t="s">
        <v>46</v>
      </c>
      <c r="D15" s="8" t="s">
        <v>48</v>
      </c>
      <c r="E15" s="8" t="s">
        <v>274</v>
      </c>
    </row>
    <row r="16" customFormat="false" ht="15" hidden="false" customHeight="false" outlineLevel="0" collapsed="false">
      <c r="A16" s="43" t="s">
        <v>275</v>
      </c>
      <c r="B16" s="10" t="n">
        <v>0.000725041156746494</v>
      </c>
      <c r="C16" s="10" t="n">
        <v>0</v>
      </c>
      <c r="D16" s="10" t="n">
        <v>0.000669709073291638</v>
      </c>
      <c r="E16" s="47" t="n">
        <v>1</v>
      </c>
    </row>
    <row r="17" customFormat="false" ht="15" hidden="false" customHeight="false" outlineLevel="0" collapsed="false">
      <c r="A17" s="43" t="s">
        <v>276</v>
      </c>
      <c r="B17" s="10" t="n">
        <v>0.728619121973339</v>
      </c>
      <c r="C17" s="10" t="n">
        <v>0.688670119227256</v>
      </c>
      <c r="D17" s="10" t="n">
        <v>0.687444686656303</v>
      </c>
      <c r="E17" s="47" t="n">
        <v>1.02144190717142</v>
      </c>
    </row>
    <row r="18" customFormat="false" ht="15" hidden="false" customHeight="false" outlineLevel="0" collapsed="false">
      <c r="A18" s="43" t="s">
        <v>277</v>
      </c>
      <c r="B18" s="10" t="n">
        <v>0.270655836869915</v>
      </c>
      <c r="C18" s="10" t="n">
        <v>0.311329880772744</v>
      </c>
      <c r="D18" s="10" t="n">
        <v>0.311885604270405</v>
      </c>
      <c r="E18" s="47" t="n">
        <v>1.24753979822611</v>
      </c>
    </row>
    <row r="19" customFormat="false" ht="15" hidden="false" customHeight="false" outlineLevel="0" collapsed="false">
      <c r="A19" s="3" t="s">
        <v>278</v>
      </c>
    </row>
    <row r="21" customFormat="false" ht="15" hidden="false" customHeight="false" outlineLevel="0" collapsed="false">
      <c r="A21" s="4" t="s">
        <v>279</v>
      </c>
      <c r="B21" s="4"/>
      <c r="C21" s="4"/>
      <c r="D21" s="4"/>
      <c r="E21" s="4"/>
      <c r="F21" s="4"/>
      <c r="G21" s="4"/>
      <c r="H21" s="4"/>
    </row>
    <row r="22" customFormat="false" ht="31.5" hidden="false" customHeight="true" outlineLevel="0" collapsed="false">
      <c r="A22" s="8" t="s">
        <v>280</v>
      </c>
      <c r="B22" s="8" t="s">
        <v>44</v>
      </c>
      <c r="C22" s="8" t="s">
        <v>281</v>
      </c>
      <c r="D22" s="8" t="s">
        <v>46</v>
      </c>
      <c r="E22" s="8" t="s">
        <v>281</v>
      </c>
      <c r="F22" s="8" t="s">
        <v>48</v>
      </c>
      <c r="G22" s="8" t="s">
        <v>281</v>
      </c>
    </row>
    <row r="23" customFormat="false" ht="15" hidden="false" customHeight="false" outlineLevel="0" collapsed="false">
      <c r="A23" s="9" t="n">
        <v>1</v>
      </c>
      <c r="B23" s="9" t="s">
        <v>282</v>
      </c>
      <c r="C23" s="10" t="n">
        <v>0.291907621896234</v>
      </c>
      <c r="D23" s="9" t="s">
        <v>282</v>
      </c>
      <c r="E23" s="10" t="n">
        <v>0.206023301067394</v>
      </c>
      <c r="F23" s="9" t="s">
        <v>282</v>
      </c>
      <c r="G23" s="10" t="n">
        <v>0.275411854582628</v>
      </c>
    </row>
    <row r="24" customFormat="false" ht="15" hidden="false" customHeight="false" outlineLevel="0" collapsed="false">
      <c r="A24" s="9" t="n">
        <v>2</v>
      </c>
      <c r="B24" s="9" t="s">
        <v>283</v>
      </c>
      <c r="C24" s="10" t="n">
        <v>0.272653446971631</v>
      </c>
      <c r="D24" s="9" t="s">
        <v>283</v>
      </c>
      <c r="E24" s="10" t="n">
        <v>0.196522977538832</v>
      </c>
      <c r="F24" s="9" t="s">
        <v>283</v>
      </c>
      <c r="G24" s="10" t="n">
        <v>0.257245737541914</v>
      </c>
    </row>
    <row r="25" customFormat="false" ht="15" hidden="false" customHeight="false" outlineLevel="0" collapsed="false">
      <c r="A25" s="9" t="n">
        <v>3</v>
      </c>
      <c r="B25" s="9" t="s">
        <v>284</v>
      </c>
      <c r="C25" s="10" t="n">
        <v>0.12690224560179</v>
      </c>
      <c r="D25" s="9" t="s">
        <v>284</v>
      </c>
      <c r="E25" s="10" t="n">
        <v>0.175276285007346</v>
      </c>
      <c r="F25" s="9" t="s">
        <v>284</v>
      </c>
      <c r="G25" s="10" t="n">
        <v>0.146233622782753</v>
      </c>
    </row>
    <row r="26" customFormat="false" ht="15" hidden="false" customHeight="false" outlineLevel="0" collapsed="false">
      <c r="A26" s="9" t="n">
        <v>4</v>
      </c>
      <c r="B26" s="9" t="s">
        <v>285</v>
      </c>
      <c r="C26" s="10" t="n">
        <v>0.1088634829573</v>
      </c>
      <c r="D26" s="9" t="s">
        <v>285</v>
      </c>
      <c r="E26" s="10" t="n">
        <v>0.165088109316609</v>
      </c>
      <c r="F26" s="9" t="s">
        <v>285</v>
      </c>
      <c r="G26" s="10" t="n">
        <v>0.102711582324672</v>
      </c>
    </row>
    <row r="27" customFormat="false" ht="15" hidden="false" customHeight="false" outlineLevel="0" collapsed="false">
      <c r="A27" s="9" t="n">
        <v>5</v>
      </c>
      <c r="B27" s="9" t="s">
        <v>286</v>
      </c>
      <c r="C27" s="10" t="n">
        <v>0.088397095674046</v>
      </c>
      <c r="D27" s="9" t="s">
        <v>286</v>
      </c>
      <c r="E27" s="10" t="n">
        <v>0.136053595765398</v>
      </c>
      <c r="F27" s="9" t="s">
        <v>286</v>
      </c>
      <c r="G27" s="10" t="n">
        <v>0.101862874707925</v>
      </c>
    </row>
    <row r="28" customFormat="false" ht="15" hidden="false" customHeight="false" outlineLevel="0" collapsed="false">
      <c r="A28" s="9" t="n">
        <v>6</v>
      </c>
      <c r="B28" s="9" t="s">
        <v>287</v>
      </c>
      <c r="C28" s="10" t="n">
        <v>0.0358823380184622</v>
      </c>
      <c r="D28" s="9" t="s">
        <v>287</v>
      </c>
      <c r="E28" s="10" t="n">
        <v>0.121035731304421</v>
      </c>
      <c r="F28" s="9" t="s">
        <v>287</v>
      </c>
      <c r="G28" s="10" t="n">
        <v>0.0338546187873723</v>
      </c>
    </row>
    <row r="29" customFormat="false" ht="15" hidden="false" customHeight="false" outlineLevel="0" collapsed="false">
      <c r="A29" s="9" t="n">
        <v>7</v>
      </c>
      <c r="B29" s="9" t="s">
        <v>288</v>
      </c>
      <c r="C29" s="10" t="n">
        <v>0.0197544041345661</v>
      </c>
      <c r="D29" s="9"/>
      <c r="E29" s="9"/>
      <c r="F29" s="9" t="s">
        <v>288</v>
      </c>
      <c r="G29" s="10" t="n">
        <v>0.0227636482618039</v>
      </c>
    </row>
    <row r="30" customFormat="false" ht="15" hidden="false" customHeight="false" outlineLevel="0" collapsed="false">
      <c r="A30" s="9" t="n">
        <v>8</v>
      </c>
      <c r="B30" s="9" t="s">
        <v>289</v>
      </c>
      <c r="C30" s="10" t="n">
        <v>0.0144030423620926</v>
      </c>
      <c r="D30" s="9"/>
      <c r="E30" s="9"/>
      <c r="F30" s="9" t="s">
        <v>289</v>
      </c>
      <c r="G30" s="10" t="n">
        <v>0.0165970984493954</v>
      </c>
    </row>
    <row r="31" customFormat="false" ht="15" hidden="false" customHeight="false" outlineLevel="0" collapsed="false">
      <c r="A31" s="9" t="n">
        <v>9</v>
      </c>
      <c r="B31" s="9" t="s">
        <v>290</v>
      </c>
      <c r="C31" s="10" t="n">
        <v>0.0110360812069389</v>
      </c>
      <c r="D31" s="9"/>
      <c r="E31" s="9"/>
      <c r="F31" s="9" t="s">
        <v>290</v>
      </c>
      <c r="G31" s="10" t="n">
        <v>0.0127172386001701</v>
      </c>
    </row>
    <row r="32" customFormat="false" ht="15" hidden="false" customHeight="false" outlineLevel="0" collapsed="false">
      <c r="A32" s="9" t="n">
        <v>10</v>
      </c>
      <c r="B32" s="9" t="s">
        <v>291</v>
      </c>
      <c r="C32" s="10" t="n">
        <v>0.00568522596493107</v>
      </c>
      <c r="D32" s="9"/>
      <c r="E32" s="9"/>
      <c r="F32" s="9" t="s">
        <v>291</v>
      </c>
      <c r="G32" s="10" t="n">
        <v>0.00655127247944239</v>
      </c>
    </row>
    <row r="34" customFormat="false" ht="15" hidden="false" customHeight="false" outlineLevel="0" collapsed="false">
      <c r="A34" s="4" t="s">
        <v>292</v>
      </c>
      <c r="B34" s="4"/>
      <c r="C34" s="4"/>
      <c r="D34" s="4"/>
      <c r="E34" s="4"/>
      <c r="F34" s="4"/>
      <c r="G34" s="4"/>
      <c r="H34" s="4"/>
    </row>
    <row r="35" customFormat="false" ht="31.5" hidden="false" customHeight="true" outlineLevel="0" collapsed="false">
      <c r="A35" s="8" t="s">
        <v>293</v>
      </c>
      <c r="B35" s="8" t="s">
        <v>294</v>
      </c>
      <c r="C35" s="8" t="s">
        <v>295</v>
      </c>
      <c r="D35" s="8" t="s">
        <v>296</v>
      </c>
    </row>
    <row r="36" customFormat="false" ht="15" hidden="false" customHeight="false" outlineLevel="0" collapsed="false">
      <c r="A36" s="32" t="s">
        <v>282</v>
      </c>
      <c r="B36" s="32" t="n">
        <v>20</v>
      </c>
      <c r="C36" s="40" t="n">
        <v>0.289493451321275</v>
      </c>
      <c r="D36" s="32" t="s">
        <v>297</v>
      </c>
    </row>
    <row r="37" customFormat="false" ht="15" hidden="false" customHeight="false" outlineLevel="0" collapsed="false">
      <c r="A37" s="32" t="s">
        <v>283</v>
      </c>
      <c r="B37" s="32" t="n">
        <v>20</v>
      </c>
      <c r="C37" s="40" t="n">
        <v>0.272834060571953</v>
      </c>
      <c r="D37" s="32" t="s">
        <v>297</v>
      </c>
    </row>
    <row r="38" customFormat="false" ht="15" hidden="false" customHeight="false" outlineLevel="0" collapsed="false">
      <c r="A38" s="32" t="s">
        <v>284</v>
      </c>
      <c r="B38" s="32" t="n">
        <v>20</v>
      </c>
      <c r="C38" s="40" t="n">
        <v>0.125093170018348</v>
      </c>
      <c r="D38" s="32" t="s">
        <v>297</v>
      </c>
    </row>
    <row r="39" customFormat="false" ht="15" hidden="false" customHeight="false" outlineLevel="0" collapsed="false">
      <c r="A39" s="32" t="s">
        <v>285</v>
      </c>
      <c r="B39" s="32" t="n">
        <v>20</v>
      </c>
      <c r="C39" s="40" t="n">
        <v>0.104368494480427</v>
      </c>
      <c r="D39" s="32" t="s">
        <v>297</v>
      </c>
    </row>
    <row r="40" customFormat="false" ht="15" hidden="false" customHeight="false" outlineLevel="0" collapsed="false">
      <c r="A40" s="32" t="s">
        <v>286</v>
      </c>
      <c r="B40" s="32" t="n">
        <v>20</v>
      </c>
      <c r="C40" s="40" t="n">
        <v>0.0834638274472367</v>
      </c>
      <c r="D40" s="32" t="s">
        <v>297</v>
      </c>
    </row>
    <row r="41" customFormat="false" ht="15" hidden="false" customHeight="false" outlineLevel="0" collapsed="false">
      <c r="A41" s="32" t="s">
        <v>287</v>
      </c>
      <c r="B41" s="32" t="n">
        <v>20</v>
      </c>
      <c r="C41" s="40" t="n">
        <v>0.0355818656728143</v>
      </c>
      <c r="D41" s="32" t="s">
        <v>297</v>
      </c>
    </row>
    <row r="42" customFormat="false" ht="15" hidden="false" customHeight="false" outlineLevel="0" collapsed="false">
      <c r="A42" s="32" t="s">
        <v>289</v>
      </c>
      <c r="B42" s="32" t="n">
        <v>19</v>
      </c>
      <c r="C42" s="40" t="n">
        <v>0.0185310714612967</v>
      </c>
      <c r="D42" s="32" t="s">
        <v>298</v>
      </c>
    </row>
    <row r="43" customFormat="false" ht="15" hidden="false" customHeight="false" outlineLevel="0" collapsed="false">
      <c r="A43" s="32" t="s">
        <v>290</v>
      </c>
      <c r="B43" s="32" t="n">
        <v>20</v>
      </c>
      <c r="C43" s="40" t="n">
        <v>0.0169090207588834</v>
      </c>
      <c r="D43" s="32" t="s">
        <v>298</v>
      </c>
    </row>
    <row r="44" customFormat="false" ht="15" hidden="false" customHeight="false" outlineLevel="0" collapsed="false">
      <c r="A44" s="32" t="s">
        <v>288</v>
      </c>
      <c r="B44" s="32" t="n">
        <v>20</v>
      </c>
      <c r="C44" s="40" t="n">
        <v>0.0168654916849117</v>
      </c>
      <c r="D44" s="32" t="s">
        <v>298</v>
      </c>
    </row>
    <row r="45" customFormat="false" ht="15" hidden="false" customHeight="false" outlineLevel="0" collapsed="false">
      <c r="A45" s="32" t="s">
        <v>291</v>
      </c>
      <c r="B45" s="32" t="n">
        <v>12</v>
      </c>
      <c r="C45" s="40" t="n">
        <v>0.00709709379711826</v>
      </c>
      <c r="D45" s="32" t="s">
        <v>298</v>
      </c>
    </row>
    <row r="46" customFormat="false" ht="15" hidden="false" customHeight="false" outlineLevel="0" collapsed="false">
      <c r="A46" s="32" t="s">
        <v>299</v>
      </c>
      <c r="B46" s="32" t="n">
        <v>9</v>
      </c>
      <c r="C46" s="40" t="n">
        <v>0.00678905276818078</v>
      </c>
      <c r="D46" s="32" t="s">
        <v>298</v>
      </c>
    </row>
    <row r="47" customFormat="false" ht="15" hidden="false" customHeight="false" outlineLevel="0" collapsed="false">
      <c r="A47" s="32" t="s">
        <v>300</v>
      </c>
      <c r="B47" s="32" t="n">
        <v>2</v>
      </c>
      <c r="C47" s="40" t="n">
        <v>0.00498463508561598</v>
      </c>
      <c r="D47" s="32" t="s">
        <v>298</v>
      </c>
    </row>
    <row r="48" customFormat="false" ht="15" hidden="false" customHeight="false" outlineLevel="0" collapsed="false">
      <c r="A48" s="32" t="s">
        <v>301</v>
      </c>
      <c r="B48" s="32" t="n">
        <v>0</v>
      </c>
      <c r="C48" s="40" t="n">
        <v>0.003268001334946</v>
      </c>
      <c r="D48" s="32" t="s">
        <v>298</v>
      </c>
    </row>
    <row r="49" customFormat="false" ht="15" hidden="false" customHeight="false" outlineLevel="0" collapsed="false">
      <c r="A49" s="32" t="s">
        <v>302</v>
      </c>
      <c r="B49" s="32" t="n">
        <v>2</v>
      </c>
      <c r="C49" s="40" t="n">
        <v>0.00307821072186136</v>
      </c>
      <c r="D49" s="32" t="s">
        <v>298</v>
      </c>
    </row>
    <row r="50" customFormat="false" ht="15" hidden="false" customHeight="false" outlineLevel="0" collapsed="false">
      <c r="A50" s="32" t="s">
        <v>303</v>
      </c>
      <c r="B50" s="32" t="n">
        <v>13</v>
      </c>
      <c r="C50" s="40" t="n">
        <v>0.00293937121028658</v>
      </c>
      <c r="D50" s="32" t="s">
        <v>298</v>
      </c>
    </row>
    <row r="51" customFormat="false" ht="15" hidden="false" customHeight="false" outlineLevel="0" collapsed="false">
      <c r="A51" s="32" t="s">
        <v>304</v>
      </c>
      <c r="B51" s="32" t="n">
        <v>0</v>
      </c>
      <c r="C51" s="40" t="n">
        <v>0.00281088019985198</v>
      </c>
      <c r="D51" s="32" t="s">
        <v>298</v>
      </c>
    </row>
    <row r="52" customFormat="false" ht="15" hidden="false" customHeight="false" outlineLevel="0" collapsed="false">
      <c r="A52" s="32" t="s">
        <v>305</v>
      </c>
      <c r="B52" s="32" t="n">
        <v>0</v>
      </c>
      <c r="C52" s="40" t="n">
        <v>0.00267638407415693</v>
      </c>
      <c r="D52" s="32" t="s">
        <v>298</v>
      </c>
    </row>
    <row r="53" customFormat="false" ht="15" hidden="false" customHeight="false" outlineLevel="0" collapsed="false">
      <c r="A53" s="32" t="s">
        <v>306</v>
      </c>
      <c r="B53" s="32" t="n">
        <v>0</v>
      </c>
      <c r="C53" s="40" t="n">
        <v>0.00217178547703303</v>
      </c>
      <c r="D53" s="32" t="s">
        <v>298</v>
      </c>
    </row>
    <row r="54" customFormat="false" ht="15" hidden="false" customHeight="false" outlineLevel="0" collapsed="false">
      <c r="A54" s="32" t="s">
        <v>307</v>
      </c>
      <c r="B54" s="32" t="n">
        <v>0</v>
      </c>
      <c r="C54" s="40" t="n">
        <v>0.00104413191380441</v>
      </c>
      <c r="D54" s="32" t="s">
        <v>298</v>
      </c>
    </row>
  </sheetData>
  <mergeCells count="8">
    <mergeCell ref="A4:H4"/>
    <mergeCell ref="A6:H6"/>
    <mergeCell ref="A8:H8"/>
    <mergeCell ref="A10:H10"/>
    <mergeCell ref="A12:H12"/>
    <mergeCell ref="A14:H14"/>
    <mergeCell ref="A21:H21"/>
    <mergeCell ref="A34:H34"/>
  </mergeCells>
  <conditionalFormatting sqref="B16:D18">
    <cfRule type="dataBar" priority="2">
      <dataBar showValue="1" minLength="10" maxLength="90">
        <cfvo type="num" val="0"/>
        <cfvo type="num" val="1"/>
        <color rgb="FF5B9BD5"/>
      </dataBar>
      <extLst>
        <ext xmlns:x14="http://schemas.microsoft.com/office/spreadsheetml/2009/9/main" uri="{B025F937-C7B1-47D3-B67F-A62EFF666E3E}">
          <x14:id>{6AED9966-3614-4476-9120-DF7B8F60AA6D}</x14:id>
        </ext>
      </extLst>
    </cfRule>
  </conditionalFormatting>
  <conditionalFormatting sqref="D36:D54">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6AED9966-3614-4476-9120-DF7B8F60AA6D}">
            <x14:dataBar minLength="10" maxLength="90" axisPosition="none" gradient="true">
              <x14:cfvo type="num">
                <xm:f>0</xm:f>
              </x14:cfvo>
              <x14:cfvo type="num">
                <xm:f>1</xm:f>
              </x14:cfvo>
              <x14:negativeFillColor rgb="FF5B9BD5"/>
              <x14:axisColor rgb="FF000000"/>
            </x14:dataBar>
          </x14:cfRule>
          <xm:sqref>B16:D18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308</v>
      </c>
      <c r="B1" s="8" t="s">
        <v>309</v>
      </c>
      <c r="C1" s="8" t="s">
        <v>273</v>
      </c>
      <c r="D1" s="8" t="s">
        <v>310</v>
      </c>
      <c r="E1" s="8" t="s">
        <v>311</v>
      </c>
      <c r="F1" s="8" t="s">
        <v>312</v>
      </c>
      <c r="G1" s="8" t="s">
        <v>313</v>
      </c>
      <c r="H1" s="8" t="s">
        <v>314</v>
      </c>
      <c r="I1" s="8" t="s">
        <v>315</v>
      </c>
      <c r="J1" s="8" t="s">
        <v>316</v>
      </c>
    </row>
    <row r="2" customFormat="false" ht="28.35" hidden="false" customHeight="false" outlineLevel="0" collapsed="false">
      <c r="A2" s="32" t="n">
        <v>1</v>
      </c>
      <c r="B2" s="65" t="s">
        <v>317</v>
      </c>
      <c r="C2" s="32" t="s">
        <v>276</v>
      </c>
      <c r="D2" s="40" t="n">
        <v>0.291907621896234</v>
      </c>
      <c r="E2" s="40" t="n">
        <v>0.400631294311427</v>
      </c>
      <c r="F2" s="60" t="n">
        <v>234.53978059857</v>
      </c>
      <c r="G2" s="32" t="s">
        <v>318</v>
      </c>
      <c r="H2" s="65" t="s">
        <v>319</v>
      </c>
      <c r="I2" s="32" t="s">
        <v>282</v>
      </c>
      <c r="J2" s="32" t="s">
        <v>320</v>
      </c>
    </row>
    <row r="3" customFormat="false" ht="28.35" hidden="false" customHeight="false" outlineLevel="0" collapsed="false">
      <c r="A3" s="32" t="n">
        <v>2</v>
      </c>
      <c r="B3" s="65" t="s">
        <v>321</v>
      </c>
      <c r="C3" s="32" t="s">
        <v>276</v>
      </c>
      <c r="D3" s="40" t="n">
        <v>0.272653446971631</v>
      </c>
      <c r="E3" s="40" t="n">
        <v>0.37420572525354</v>
      </c>
      <c r="F3" s="60" t="n">
        <v>219.069578302762</v>
      </c>
      <c r="G3" s="32" t="s">
        <v>318</v>
      </c>
      <c r="H3" s="65" t="s">
        <v>319</v>
      </c>
      <c r="I3" s="32" t="s">
        <v>283</v>
      </c>
      <c r="J3" s="32" t="s">
        <v>320</v>
      </c>
    </row>
    <row r="4" customFormat="false" ht="15" hidden="false" customHeight="false" outlineLevel="0" collapsed="false">
      <c r="A4" s="32" t="n">
        <v>3</v>
      </c>
      <c r="B4" s="65" t="s">
        <v>322</v>
      </c>
      <c r="C4" s="32" t="s">
        <v>277</v>
      </c>
      <c r="D4" s="40" t="n">
        <v>0.12690224560179</v>
      </c>
      <c r="E4" s="40" t="n">
        <v>0.46886942128938</v>
      </c>
      <c r="F4" s="60" t="n">
        <v>101.962479251363</v>
      </c>
      <c r="G4" s="32" t="s">
        <v>318</v>
      </c>
      <c r="H4" s="65" t="s">
        <v>319</v>
      </c>
      <c r="I4" s="32" t="s">
        <v>284</v>
      </c>
      <c r="J4" s="32" t="s">
        <v>320</v>
      </c>
    </row>
    <row r="5" customFormat="false" ht="15" hidden="false" customHeight="false" outlineLevel="0" collapsed="false">
      <c r="A5" s="32" t="n">
        <v>4</v>
      </c>
      <c r="B5" s="65" t="s">
        <v>323</v>
      </c>
      <c r="C5" s="32" t="s">
        <v>276</v>
      </c>
      <c r="D5" s="40" t="n">
        <v>0.1088634829573</v>
      </c>
      <c r="E5" s="40" t="n">
        <v>0.14941068615172</v>
      </c>
      <c r="F5" s="60" t="n">
        <v>87.4688274397903</v>
      </c>
      <c r="G5" s="32" t="s">
        <v>318</v>
      </c>
      <c r="H5" s="65" t="s">
        <v>319</v>
      </c>
      <c r="I5" s="32" t="s">
        <v>285</v>
      </c>
      <c r="J5" s="32" t="s">
        <v>320</v>
      </c>
    </row>
    <row r="6" customFormat="false" ht="15" hidden="false" customHeight="false" outlineLevel="0" collapsed="false">
      <c r="A6" s="32" t="n">
        <v>5</v>
      </c>
      <c r="B6" s="65" t="s">
        <v>324</v>
      </c>
      <c r="C6" s="32" t="s">
        <v>277</v>
      </c>
      <c r="D6" s="40" t="n">
        <v>0.088397095674046</v>
      </c>
      <c r="E6" s="40" t="n">
        <v>0.326603322863243</v>
      </c>
      <c r="F6" s="60" t="n">
        <v>71.0246457090163</v>
      </c>
      <c r="G6" s="32" t="s">
        <v>318</v>
      </c>
      <c r="H6" s="65" t="s">
        <v>319</v>
      </c>
      <c r="I6" s="32" t="s">
        <v>286</v>
      </c>
      <c r="J6" s="32" t="s">
        <v>320</v>
      </c>
    </row>
    <row r="7" customFormat="false" ht="28.35" hidden="false" customHeight="false" outlineLevel="0" collapsed="false">
      <c r="A7" s="32" t="n">
        <v>6</v>
      </c>
      <c r="B7" s="65" t="s">
        <v>325</v>
      </c>
      <c r="C7" s="32" t="s">
        <v>276</v>
      </c>
      <c r="D7" s="40" t="n">
        <v>0.0358823380184622</v>
      </c>
      <c r="E7" s="40" t="n">
        <v>0.0492470440815238</v>
      </c>
      <c r="F7" s="60" t="n">
        <v>28.8304759962912</v>
      </c>
      <c r="G7" s="32" t="s">
        <v>318</v>
      </c>
      <c r="H7" s="65" t="s">
        <v>319</v>
      </c>
      <c r="I7" s="32" t="s">
        <v>287</v>
      </c>
      <c r="J7" s="32" t="s">
        <v>320</v>
      </c>
    </row>
    <row r="8" customFormat="false" ht="15" hidden="false" customHeight="false" outlineLevel="0" collapsed="false">
      <c r="A8" s="32" t="n">
        <v>7</v>
      </c>
      <c r="B8" s="65" t="s">
        <v>326</v>
      </c>
      <c r="C8" s="32" t="s">
        <v>277</v>
      </c>
      <c r="D8" s="40" t="n">
        <v>0.0197544041345661</v>
      </c>
      <c r="E8" s="40" t="n">
        <v>0.0729871720596242</v>
      </c>
      <c r="F8" s="60" t="n">
        <v>15.8721227677419</v>
      </c>
      <c r="G8" s="32" t="s">
        <v>318</v>
      </c>
      <c r="H8" s="65" t="s">
        <v>319</v>
      </c>
      <c r="I8" s="32" t="s">
        <v>288</v>
      </c>
      <c r="J8" s="32" t="s">
        <v>327</v>
      </c>
    </row>
    <row r="9" customFormat="false" ht="15" hidden="false" customHeight="false" outlineLevel="0" collapsed="false">
      <c r="A9" s="32" t="n">
        <v>8</v>
      </c>
      <c r="B9" s="65" t="s">
        <v>328</v>
      </c>
      <c r="C9" s="32" t="s">
        <v>277</v>
      </c>
      <c r="D9" s="40" t="n">
        <v>0.0144030423620926</v>
      </c>
      <c r="E9" s="40" t="n">
        <v>0.0532153399263845</v>
      </c>
      <c r="F9" s="60" t="n">
        <v>11.5724501251904</v>
      </c>
      <c r="G9" s="32" t="s">
        <v>318</v>
      </c>
      <c r="H9" s="65" t="s">
        <v>329</v>
      </c>
      <c r="I9" s="32" t="s">
        <v>289</v>
      </c>
      <c r="J9" s="32" t="s">
        <v>327</v>
      </c>
    </row>
    <row r="10" customFormat="false" ht="15" hidden="false" customHeight="false" outlineLevel="0" collapsed="false">
      <c r="A10" s="32" t="n">
        <v>9</v>
      </c>
      <c r="B10" s="65" t="s">
        <v>330</v>
      </c>
      <c r="C10" s="32" t="s">
        <v>277</v>
      </c>
      <c r="D10" s="40" t="n">
        <v>0.0110360812069389</v>
      </c>
      <c r="E10" s="40" t="n">
        <v>0.0407753305251761</v>
      </c>
      <c r="F10" s="60" t="n">
        <v>8.86718903785104</v>
      </c>
      <c r="G10" s="32" t="s">
        <v>318</v>
      </c>
      <c r="H10" s="65" t="s">
        <v>319</v>
      </c>
      <c r="I10" s="32" t="s">
        <v>290</v>
      </c>
      <c r="J10" s="32" t="s">
        <v>327</v>
      </c>
    </row>
    <row r="11" customFormat="false" ht="28.35" hidden="false" customHeight="false" outlineLevel="0" collapsed="false">
      <c r="A11" s="32" t="n">
        <v>10</v>
      </c>
      <c r="B11" s="65" t="s">
        <v>331</v>
      </c>
      <c r="C11" s="32" t="s">
        <v>277</v>
      </c>
      <c r="D11" s="40" t="n">
        <v>0.00568522596493107</v>
      </c>
      <c r="E11" s="40" t="n">
        <v>0.0210053698847942</v>
      </c>
      <c r="F11" s="60" t="n">
        <v>4.56792337865785</v>
      </c>
      <c r="G11" s="32" t="s">
        <v>318</v>
      </c>
      <c r="H11" s="65" t="s">
        <v>332</v>
      </c>
      <c r="I11" s="32" t="s">
        <v>291</v>
      </c>
      <c r="J11" s="32" t="s">
        <v>327</v>
      </c>
    </row>
    <row r="12" customFormat="false" ht="15" hidden="false" customHeight="false" outlineLevel="0" collapsed="false">
      <c r="A12" s="32" t="n">
        <v>11</v>
      </c>
      <c r="B12" s="65" t="s">
        <v>333</v>
      </c>
      <c r="C12" s="32" t="s">
        <v>276</v>
      </c>
      <c r="D12" s="40" t="n">
        <v>0.00550866781801826</v>
      </c>
      <c r="E12" s="40" t="n">
        <v>0.00756042169617919</v>
      </c>
      <c r="F12" s="60" t="n">
        <v>4.42606374247973</v>
      </c>
      <c r="G12" s="32" t="s">
        <v>318</v>
      </c>
      <c r="H12" s="65" t="s">
        <v>334</v>
      </c>
      <c r="I12" s="32" t="s">
        <v>299</v>
      </c>
      <c r="J12" s="32" t="s">
        <v>327</v>
      </c>
    </row>
    <row r="13" customFormat="false" ht="15" hidden="false" customHeight="false" outlineLevel="0" collapsed="false">
      <c r="A13" s="32" t="n">
        <v>12</v>
      </c>
      <c r="B13" s="65" t="s">
        <v>335</v>
      </c>
      <c r="C13" s="32" t="s">
        <v>276</v>
      </c>
      <c r="D13" s="40" t="n">
        <v>0.00418682705218607</v>
      </c>
      <c r="E13" s="40" t="n">
        <v>0.00574624920746901</v>
      </c>
      <c r="F13" s="60" t="n">
        <v>3.36400088440632</v>
      </c>
      <c r="G13" s="32" t="s">
        <v>318</v>
      </c>
      <c r="H13" s="65" t="s">
        <v>336</v>
      </c>
      <c r="I13" s="32" t="s">
        <v>300</v>
      </c>
      <c r="J13" s="32" t="s">
        <v>327</v>
      </c>
    </row>
    <row r="14" customFormat="false" ht="15" hidden="false" customHeight="false" outlineLevel="0" collapsed="false">
      <c r="A14" s="32" t="n">
        <v>13</v>
      </c>
      <c r="B14" s="65" t="s">
        <v>337</v>
      </c>
      <c r="C14" s="32" t="s">
        <v>276</v>
      </c>
      <c r="D14" s="40" t="n">
        <v>0.00312757246167364</v>
      </c>
      <c r="E14" s="40" t="n">
        <v>0.0042924655246532</v>
      </c>
      <c r="F14" s="60" t="n">
        <v>2.51291882754545</v>
      </c>
      <c r="G14" s="32" t="s">
        <v>318</v>
      </c>
      <c r="H14" s="65" t="s">
        <v>338</v>
      </c>
      <c r="I14" s="32" t="s">
        <v>301</v>
      </c>
      <c r="J14" s="32" t="s">
        <v>327</v>
      </c>
    </row>
    <row r="15" customFormat="false" ht="15" hidden="false" customHeight="false" outlineLevel="0" collapsed="false">
      <c r="A15" s="32" t="n">
        <v>14</v>
      </c>
      <c r="B15" s="65" t="s">
        <v>339</v>
      </c>
      <c r="C15" s="32" t="s">
        <v>276</v>
      </c>
      <c r="D15" s="40" t="n">
        <v>0.00286159969931075</v>
      </c>
      <c r="E15" s="40" t="n">
        <v>0.00392742876629508</v>
      </c>
      <c r="F15" s="60" t="n">
        <v>2.29921699638202</v>
      </c>
      <c r="G15" s="32" t="s">
        <v>318</v>
      </c>
      <c r="H15" s="65" t="s">
        <v>338</v>
      </c>
      <c r="I15" s="32" t="s">
        <v>305</v>
      </c>
      <c r="J15" s="32" t="s">
        <v>327</v>
      </c>
    </row>
    <row r="16" customFormat="false" ht="15" hidden="false" customHeight="false" outlineLevel="0" collapsed="false">
      <c r="A16" s="32" t="n">
        <v>15</v>
      </c>
      <c r="B16" s="65" t="s">
        <v>340</v>
      </c>
      <c r="C16" s="32" t="s">
        <v>277</v>
      </c>
      <c r="D16" s="40" t="n">
        <v>0.0024022287851051</v>
      </c>
      <c r="E16" s="40" t="n">
        <v>0.00887558462764534</v>
      </c>
      <c r="F16" s="60" t="n">
        <v>1.93012504622575</v>
      </c>
      <c r="G16" s="32" t="s">
        <v>318</v>
      </c>
      <c r="H16" s="65" t="s">
        <v>336</v>
      </c>
      <c r="I16" s="32" t="s">
        <v>302</v>
      </c>
      <c r="J16" s="32" t="s">
        <v>327</v>
      </c>
    </row>
    <row r="17" customFormat="false" ht="15" hidden="false" customHeight="false" outlineLevel="0" collapsed="false">
      <c r="A17" s="32" t="n">
        <v>16</v>
      </c>
      <c r="B17" s="65" t="s">
        <v>341</v>
      </c>
      <c r="C17" s="32" t="s">
        <v>276</v>
      </c>
      <c r="D17" s="40" t="n">
        <v>0.00209650272030367</v>
      </c>
      <c r="E17" s="40" t="n">
        <v>0.00287736439667635</v>
      </c>
      <c r="F17" s="60" t="n">
        <v>1.68448252515695</v>
      </c>
      <c r="G17" s="32" t="s">
        <v>318</v>
      </c>
      <c r="H17" s="65" t="s">
        <v>338</v>
      </c>
      <c r="I17" s="32" t="s">
        <v>304</v>
      </c>
      <c r="J17" s="32" t="s">
        <v>327</v>
      </c>
    </row>
    <row r="18" customFormat="false" ht="15" hidden="false" customHeight="false" outlineLevel="0" collapsed="false">
      <c r="A18" s="32" t="n">
        <v>17</v>
      </c>
      <c r="B18" s="65" t="s">
        <v>342</v>
      </c>
      <c r="C18" s="32" t="s">
        <v>277</v>
      </c>
      <c r="D18" s="40" t="n">
        <v>0.00207551314044521</v>
      </c>
      <c r="E18" s="40" t="n">
        <v>0.00766845882375249</v>
      </c>
      <c r="F18" s="60" t="n">
        <v>1.66761797251909</v>
      </c>
      <c r="G18" s="32" t="s">
        <v>318</v>
      </c>
      <c r="H18" s="65" t="s">
        <v>343</v>
      </c>
      <c r="I18" s="32" t="s">
        <v>303</v>
      </c>
      <c r="J18" s="32" t="s">
        <v>327</v>
      </c>
    </row>
    <row r="19" customFormat="false" ht="15" hidden="false" customHeight="false" outlineLevel="0" collapsed="false">
      <c r="A19" s="32" t="n">
        <v>18</v>
      </c>
      <c r="B19" s="65" t="s">
        <v>344</v>
      </c>
      <c r="C19" s="32" t="s">
        <v>276</v>
      </c>
      <c r="D19" s="40" t="n">
        <v>0.00153106237821967</v>
      </c>
      <c r="E19" s="40" t="n">
        <v>0.0021013206105174</v>
      </c>
      <c r="F19" s="60" t="n">
        <v>1.23016669430445</v>
      </c>
      <c r="G19" s="32" t="s">
        <v>318</v>
      </c>
      <c r="H19" s="65" t="s">
        <v>338</v>
      </c>
      <c r="I19" s="32" t="s">
        <v>306</v>
      </c>
      <c r="J19" s="32" t="s">
        <v>327</v>
      </c>
    </row>
    <row r="20" customFormat="false" ht="15" hidden="false" customHeight="false" outlineLevel="0" collapsed="false">
      <c r="A20" s="32" t="n">
        <v>19</v>
      </c>
      <c r="B20" s="65" t="s">
        <v>345</v>
      </c>
      <c r="C20" s="32" t="s">
        <v>275</v>
      </c>
      <c r="D20" s="40" t="n">
        <v>0.000725041156746494</v>
      </c>
      <c r="E20" s="40" t="n">
        <v>1</v>
      </c>
      <c r="F20" s="60" t="n">
        <v>0.582550714926878</v>
      </c>
      <c r="G20" s="32" t="s">
        <v>318</v>
      </c>
      <c r="H20" s="65" t="s">
        <v>338</v>
      </c>
      <c r="I20" s="32" t="s">
        <v>307</v>
      </c>
      <c r="J20" s="32" t="s">
        <v>327</v>
      </c>
    </row>
    <row r="22" customFormat="false" ht="15" hidden="false" customHeight="false" outlineLevel="0" collapsed="false">
      <c r="B22" s="5" t="s">
        <v>346</v>
      </c>
      <c r="C22" s="50" t="s">
        <v>276</v>
      </c>
      <c r="D22" s="66" t="n">
        <f aca="false">SUMIF(C2:C20,"Historical voter data",D2:D20)</f>
        <v>0.728619121973339</v>
      </c>
      <c r="F22" s="67" t="n">
        <f aca="false">SUMIF(C2:C20,"Historical voter data",F2:F20)</f>
        <v>585.425512007688</v>
      </c>
    </row>
    <row r="23" customFormat="false" ht="15" hidden="false" customHeight="false" outlineLevel="0" collapsed="false">
      <c r="B23" s="5" t="s">
        <v>347</v>
      </c>
      <c r="C23" s="50" t="s">
        <v>277</v>
      </c>
      <c r="D23" s="66" t="n">
        <f aca="false">SUMIF(C2:C20,"Voter registration data",D2:D20)</f>
        <v>0.270655836869915</v>
      </c>
      <c r="F23" s="67" t="n">
        <f aca="false">SUMIF(C2:C20,"Voter registration data",F2:F20)</f>
        <v>217.464553288566</v>
      </c>
    </row>
    <row r="24" customFormat="false" ht="15" hidden="false" customHeight="false" outlineLevel="0" collapsed="false">
      <c r="B24" s="5" t="s">
        <v>348</v>
      </c>
      <c r="C24" s="50" t="s">
        <v>275</v>
      </c>
      <c r="D24" s="66" t="n">
        <f aca="false">SUMIF(C2:C20,"Election type",D2:D20)</f>
        <v>0.000725041156746494</v>
      </c>
      <c r="F24" s="67" t="n">
        <f aca="false">SUMIF(C2:C20,"Election type",F2:F20)</f>
        <v>0.582550714926878</v>
      </c>
    </row>
    <row r="25" customFormat="false" ht="15" hidden="false" customHeight="false" outlineLevel="0" collapsed="false">
      <c r="B25" s="5" t="s">
        <v>349</v>
      </c>
      <c r="D25" s="66" t="n">
        <f aca="false">SUM(D2:D20)</f>
        <v>1</v>
      </c>
      <c r="F25" s="67" t="n">
        <f aca="false">SUM(F2:F20)</f>
        <v>803.47261601118</v>
      </c>
    </row>
    <row r="27" customFormat="false" ht="15" hidden="false" customHeight="false" outlineLevel="0" collapsed="false">
      <c r="B27" s="5" t="s">
        <v>139</v>
      </c>
    </row>
    <row r="28" customFormat="false" ht="30" hidden="false" customHeight="true" outlineLevel="0" collapsed="false">
      <c r="B28" s="68" t="s">
        <v>350</v>
      </c>
    </row>
    <row r="29" customFormat="false" ht="45" hidden="false" customHeight="true" outlineLevel="0" collapsed="false">
      <c r="B29" s="68" t="s">
        <v>351</v>
      </c>
    </row>
    <row r="30" customFormat="false" ht="45" hidden="false" customHeight="true" outlineLevel="0" collapsed="false">
      <c r="B30" s="68" t="s">
        <v>352</v>
      </c>
    </row>
    <row r="31" customFormat="false" ht="30" hidden="false" customHeight="true" outlineLevel="0" collapsed="false">
      <c r="B31" s="68" t="s">
        <v>353</v>
      </c>
    </row>
    <row r="32" customFormat="false" ht="75" hidden="false" customHeight="true" outlineLevel="0" collapsed="false">
      <c r="B32" s="68" t="s">
        <v>354</v>
      </c>
    </row>
    <row r="33" customFormat="false" ht="30" hidden="false" customHeight="true" outlineLevel="0" collapsed="false">
      <c r="B33" s="68" t="s">
        <v>355</v>
      </c>
    </row>
    <row r="34" customFormat="false" ht="45" hidden="false" customHeight="true" outlineLevel="0" collapsed="false">
      <c r="B34" s="68" t="s">
        <v>356</v>
      </c>
    </row>
    <row r="35" customFormat="false" ht="30" hidden="false" customHeight="true" outlineLevel="0" collapsed="false">
      <c r="B35" s="68" t="s">
        <v>357</v>
      </c>
    </row>
  </sheetData>
  <conditionalFormatting sqref="D2:D20">
    <cfRule type="dataBar" priority="2">
      <dataBar showValue="1" minLength="10" maxLength="90">
        <cfvo type="num" val="0"/>
        <cfvo type="max" val="0"/>
        <color rgb="FF5B9BD5"/>
      </dataBar>
      <extLst>
        <ext xmlns:x14="http://schemas.microsoft.com/office/spreadsheetml/2009/9/main" uri="{B025F937-C7B1-47D3-B67F-A62EFF666E3E}">
          <x14:id>{73ACAF26-D4CD-469B-8D10-AD2D3DE0B19E}</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73ACAF26-D4CD-469B-8D10-AD2D3DE0B19E}">
            <x14:dataBar minLength="10" maxLength="90" axisPosition="none" gradient="true">
              <x14:cfvo type="num">
                <xm:f>0</xm:f>
              </x14:cfvo>
              <x14:cfvo type="max"/>
              <x14:negativeFillColor rgb="FF5B9BD5"/>
              <x14:axisColor rgb="FF000000"/>
            </x14:dataBar>
          </x14:cfRule>
          <xm:sqref>D2:D20</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308</v>
      </c>
      <c r="B1" s="8" t="s">
        <v>309</v>
      </c>
      <c r="C1" s="8" t="s">
        <v>273</v>
      </c>
      <c r="D1" s="8" t="s">
        <v>310</v>
      </c>
      <c r="E1" s="8" t="s">
        <v>311</v>
      </c>
      <c r="F1" s="8" t="s">
        <v>312</v>
      </c>
      <c r="G1" s="8" t="s">
        <v>313</v>
      </c>
      <c r="H1" s="8" t="s">
        <v>314</v>
      </c>
      <c r="I1" s="8" t="s">
        <v>315</v>
      </c>
      <c r="J1" s="8" t="s">
        <v>316</v>
      </c>
    </row>
    <row r="2" customFormat="false" ht="28.35" hidden="false" customHeight="false" outlineLevel="0" collapsed="false">
      <c r="A2" s="32" t="n">
        <v>1</v>
      </c>
      <c r="B2" s="65" t="s">
        <v>317</v>
      </c>
      <c r="C2" s="32" t="s">
        <v>276</v>
      </c>
      <c r="D2" s="40" t="n">
        <v>0.206023301067394</v>
      </c>
      <c r="E2" s="40" t="n">
        <v>0.299161086440876</v>
      </c>
      <c r="F2" s="60" t="n">
        <v>158.915117542877</v>
      </c>
      <c r="G2" s="32" t="s">
        <v>318</v>
      </c>
      <c r="H2" s="65" t="s">
        <v>319</v>
      </c>
      <c r="I2" s="32" t="s">
        <v>282</v>
      </c>
      <c r="J2" s="32" t="s">
        <v>320</v>
      </c>
    </row>
    <row r="3" customFormat="false" ht="28.35" hidden="false" customHeight="false" outlineLevel="0" collapsed="false">
      <c r="A3" s="32" t="n">
        <v>2</v>
      </c>
      <c r="B3" s="65" t="s">
        <v>321</v>
      </c>
      <c r="C3" s="32" t="s">
        <v>276</v>
      </c>
      <c r="D3" s="40" t="n">
        <v>0.196522977538832</v>
      </c>
      <c r="E3" s="40" t="n">
        <v>0.28536591330454</v>
      </c>
      <c r="F3" s="60" t="n">
        <v>151.587087060816</v>
      </c>
      <c r="G3" s="32" t="s">
        <v>318</v>
      </c>
      <c r="H3" s="65" t="s">
        <v>319</v>
      </c>
      <c r="I3" s="32" t="s">
        <v>283</v>
      </c>
      <c r="J3" s="32" t="s">
        <v>320</v>
      </c>
    </row>
    <row r="4" customFormat="false" ht="15" hidden="false" customHeight="false" outlineLevel="0" collapsed="false">
      <c r="A4" s="32" t="n">
        <v>3</v>
      </c>
      <c r="B4" s="65" t="s">
        <v>322</v>
      </c>
      <c r="C4" s="32" t="s">
        <v>277</v>
      </c>
      <c r="D4" s="40" t="n">
        <v>0.175276285007346</v>
      </c>
      <c r="E4" s="40" t="n">
        <v>0.562992169502964</v>
      </c>
      <c r="F4" s="60" t="n">
        <v>135.198549339377</v>
      </c>
      <c r="G4" s="32" t="s">
        <v>318</v>
      </c>
      <c r="H4" s="65" t="s">
        <v>319</v>
      </c>
      <c r="I4" s="32" t="s">
        <v>284</v>
      </c>
      <c r="J4" s="32" t="s">
        <v>320</v>
      </c>
    </row>
    <row r="5" customFormat="false" ht="15" hidden="false" customHeight="false" outlineLevel="0" collapsed="false">
      <c r="A5" s="32" t="n">
        <v>4</v>
      </c>
      <c r="B5" s="65" t="s">
        <v>323</v>
      </c>
      <c r="C5" s="32" t="s">
        <v>276</v>
      </c>
      <c r="D5" s="40" t="n">
        <v>0.165088109316609</v>
      </c>
      <c r="E5" s="40" t="n">
        <v>0.239720157311096</v>
      </c>
      <c r="F5" s="60" t="n">
        <v>127.339947282945</v>
      </c>
      <c r="G5" s="32" t="s">
        <v>318</v>
      </c>
      <c r="H5" s="65" t="s">
        <v>319</v>
      </c>
      <c r="I5" s="32" t="s">
        <v>285</v>
      </c>
      <c r="J5" s="32" t="s">
        <v>320</v>
      </c>
    </row>
    <row r="6" customFormat="false" ht="15" hidden="false" customHeight="false" outlineLevel="0" collapsed="false">
      <c r="A6" s="32" t="n">
        <v>5</v>
      </c>
      <c r="B6" s="65" t="s">
        <v>324</v>
      </c>
      <c r="C6" s="32" t="s">
        <v>277</v>
      </c>
      <c r="D6" s="40" t="n">
        <v>0.136053595765398</v>
      </c>
      <c r="E6" s="40" t="n">
        <v>0.437007830497036</v>
      </c>
      <c r="F6" s="60" t="n">
        <v>104.944309945392</v>
      </c>
      <c r="G6" s="32" t="s">
        <v>318</v>
      </c>
      <c r="H6" s="65" t="s">
        <v>319</v>
      </c>
      <c r="I6" s="32" t="s">
        <v>286</v>
      </c>
      <c r="J6" s="32" t="s">
        <v>320</v>
      </c>
    </row>
    <row r="7" customFormat="false" ht="28.35" hidden="false" customHeight="false" outlineLevel="0" collapsed="false">
      <c r="A7" s="32" t="n">
        <v>6</v>
      </c>
      <c r="B7" s="65" t="s">
        <v>325</v>
      </c>
      <c r="C7" s="32" t="s">
        <v>276</v>
      </c>
      <c r="D7" s="40" t="n">
        <v>0.121035731304421</v>
      </c>
      <c r="E7" s="40" t="n">
        <v>0.175752842943488</v>
      </c>
      <c r="F7" s="60" t="n">
        <v>93.360349860807</v>
      </c>
      <c r="G7" s="32" t="s">
        <v>318</v>
      </c>
      <c r="H7" s="65" t="s">
        <v>319</v>
      </c>
      <c r="I7" s="32" t="s">
        <v>287</v>
      </c>
      <c r="J7" s="32" t="s">
        <v>320</v>
      </c>
    </row>
    <row r="9" customFormat="false" ht="15" hidden="false" customHeight="false" outlineLevel="0" collapsed="false">
      <c r="B9" s="5" t="s">
        <v>346</v>
      </c>
      <c r="C9" s="50" t="s">
        <v>276</v>
      </c>
      <c r="D9" s="66" t="n">
        <f aca="false">SUMIF(C2:C7,"Historical voter data",D2:D7)</f>
        <v>0.688670119227256</v>
      </c>
      <c r="F9" s="67" t="n">
        <f aca="false">SUMIF(C2:C7,"Historical voter data",F2:F7)</f>
        <v>531.202501747446</v>
      </c>
    </row>
    <row r="10" customFormat="false" ht="15" hidden="false" customHeight="false" outlineLevel="0" collapsed="false">
      <c r="B10" s="5" t="s">
        <v>347</v>
      </c>
      <c r="C10" s="50" t="s">
        <v>277</v>
      </c>
      <c r="D10" s="66" t="n">
        <f aca="false">SUMIF(C2:C7,"Voter registration data",D2:D7)</f>
        <v>0.311329880772744</v>
      </c>
      <c r="F10" s="67" t="n">
        <f aca="false">SUMIF(C2:C7,"Voter registration data",F2:F7)</f>
        <v>240.142859284768</v>
      </c>
    </row>
    <row r="11" customFormat="false" ht="15" hidden="false" customHeight="false" outlineLevel="0" collapsed="false">
      <c r="B11" s="5" t="s">
        <v>349</v>
      </c>
      <c r="D11" s="66" t="n">
        <f aca="false">SUM(D2:D7)</f>
        <v>1</v>
      </c>
      <c r="F11" s="67" t="n">
        <f aca="false">SUM(F2:F7)</f>
        <v>771.345361032214</v>
      </c>
    </row>
    <row r="13" customFormat="false" ht="15" hidden="false" customHeight="false" outlineLevel="0" collapsed="false">
      <c r="B13" s="5" t="s">
        <v>139</v>
      </c>
    </row>
    <row r="14" customFormat="false" ht="30" hidden="false" customHeight="true" outlineLevel="0" collapsed="false">
      <c r="B14" s="68" t="s">
        <v>350</v>
      </c>
    </row>
    <row r="15" customFormat="false" ht="45" hidden="false" customHeight="true" outlineLevel="0" collapsed="false">
      <c r="B15" s="68" t="s">
        <v>351</v>
      </c>
    </row>
    <row r="16" customFormat="false" ht="45" hidden="false" customHeight="true" outlineLevel="0" collapsed="false">
      <c r="B16" s="68" t="s">
        <v>352</v>
      </c>
    </row>
    <row r="17" customFormat="false" ht="30" hidden="false" customHeight="true" outlineLevel="0" collapsed="false">
      <c r="B17" s="68" t="s">
        <v>353</v>
      </c>
    </row>
    <row r="18" customFormat="false" ht="75" hidden="false" customHeight="true" outlineLevel="0" collapsed="false">
      <c r="B18" s="68" t="s">
        <v>354</v>
      </c>
    </row>
    <row r="19" customFormat="false" ht="45" hidden="false" customHeight="true" outlineLevel="0" collapsed="false">
      <c r="B19" s="68" t="s">
        <v>358</v>
      </c>
    </row>
    <row r="20" customFormat="false" ht="45" hidden="false" customHeight="true" outlineLevel="0" collapsed="false">
      <c r="B20" s="68" t="s">
        <v>356</v>
      </c>
    </row>
    <row r="21" customFormat="false" ht="30" hidden="false" customHeight="true" outlineLevel="0" collapsed="false">
      <c r="B21" s="68" t="s">
        <v>357</v>
      </c>
    </row>
  </sheetData>
  <conditionalFormatting sqref="D2:D7">
    <cfRule type="dataBar" priority="2">
      <dataBar showValue="1" minLength="10" maxLength="90">
        <cfvo type="num" val="0"/>
        <cfvo type="max" val="0"/>
        <color rgb="FF5B9BD5"/>
      </dataBar>
      <extLst>
        <ext xmlns:x14="http://schemas.microsoft.com/office/spreadsheetml/2009/9/main" uri="{B025F937-C7B1-47D3-B67F-A62EFF666E3E}">
          <x14:id>{E28E2DC6-8411-43F5-9BAA-8BC95F5BC96F}</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E28E2DC6-8411-43F5-9BAA-8BC95F5BC96F}">
            <x14:dataBar minLength="10" maxLength="90" axisPosition="none" gradient="true">
              <x14:cfvo type="num">
                <xm:f>0</xm:f>
              </x14:cfvo>
              <x14:cfvo type="max"/>
              <x14:negativeFillColor rgb="FF5B9BD5"/>
              <x14:axisColor rgb="FF000000"/>
            </x14:dataBar>
          </x14:cfRule>
          <xm:sqref>D2:D7</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308</v>
      </c>
      <c r="B1" s="8" t="s">
        <v>309</v>
      </c>
      <c r="C1" s="8" t="s">
        <v>273</v>
      </c>
      <c r="D1" s="8" t="s">
        <v>310</v>
      </c>
      <c r="E1" s="8" t="s">
        <v>311</v>
      </c>
      <c r="F1" s="8" t="s">
        <v>312</v>
      </c>
      <c r="G1" s="8" t="s">
        <v>313</v>
      </c>
      <c r="H1" s="8" t="s">
        <v>314</v>
      </c>
      <c r="I1" s="8" t="s">
        <v>315</v>
      </c>
      <c r="J1" s="8" t="s">
        <v>316</v>
      </c>
    </row>
    <row r="2" customFormat="false" ht="28.35" hidden="false" customHeight="false" outlineLevel="0" collapsed="false">
      <c r="A2" s="32" t="n">
        <v>1</v>
      </c>
      <c r="B2" s="65" t="s">
        <v>317</v>
      </c>
      <c r="C2" s="32" t="s">
        <v>276</v>
      </c>
      <c r="D2" s="40" t="n">
        <v>0.275411854582628</v>
      </c>
      <c r="E2" s="40" t="n">
        <v>0.400631294311427</v>
      </c>
      <c r="F2" s="60" t="n">
        <v>239.56876080217</v>
      </c>
      <c r="G2" s="32" t="s">
        <v>318</v>
      </c>
      <c r="H2" s="65" t="s">
        <v>319</v>
      </c>
      <c r="I2" s="32" t="s">
        <v>282</v>
      </c>
      <c r="J2" s="32" t="s">
        <v>320</v>
      </c>
    </row>
    <row r="3" customFormat="false" ht="28.35" hidden="false" customHeight="false" outlineLevel="0" collapsed="false">
      <c r="A3" s="32" t="n">
        <v>2</v>
      </c>
      <c r="B3" s="65" t="s">
        <v>321</v>
      </c>
      <c r="C3" s="32" t="s">
        <v>276</v>
      </c>
      <c r="D3" s="40" t="n">
        <v>0.257245737541914</v>
      </c>
      <c r="E3" s="40" t="n">
        <v>0.37420572525354</v>
      </c>
      <c r="F3" s="60" t="n">
        <v>223.766847864812</v>
      </c>
      <c r="G3" s="32" t="s">
        <v>318</v>
      </c>
      <c r="H3" s="65" t="s">
        <v>319</v>
      </c>
      <c r="I3" s="32" t="s">
        <v>283</v>
      </c>
      <c r="J3" s="32" t="s">
        <v>320</v>
      </c>
    </row>
    <row r="4" customFormat="false" ht="15" hidden="false" customHeight="false" outlineLevel="0" collapsed="false">
      <c r="A4" s="32" t="n">
        <v>3</v>
      </c>
      <c r="B4" s="65" t="s">
        <v>322</v>
      </c>
      <c r="C4" s="32" t="s">
        <v>277</v>
      </c>
      <c r="D4" s="40" t="n">
        <v>0.146233622782753</v>
      </c>
      <c r="E4" s="40" t="n">
        <v>0.46886942128938</v>
      </c>
      <c r="F4" s="60" t="n">
        <v>127.20225079188</v>
      </c>
      <c r="G4" s="32" t="s">
        <v>318</v>
      </c>
      <c r="H4" s="65" t="s">
        <v>319</v>
      </c>
      <c r="I4" s="32" t="s">
        <v>284</v>
      </c>
      <c r="J4" s="32" t="s">
        <v>320</v>
      </c>
    </row>
    <row r="5" customFormat="false" ht="15" hidden="false" customHeight="false" outlineLevel="0" collapsed="false">
      <c r="A5" s="32" t="n">
        <v>4</v>
      </c>
      <c r="B5" s="65" t="s">
        <v>323</v>
      </c>
      <c r="C5" s="32" t="s">
        <v>276</v>
      </c>
      <c r="D5" s="40" t="n">
        <v>0.102711582324672</v>
      </c>
      <c r="E5" s="40" t="n">
        <v>0.14941068615172</v>
      </c>
      <c r="F5" s="60" t="n">
        <v>89.3443259181475</v>
      </c>
      <c r="G5" s="32" t="s">
        <v>318</v>
      </c>
      <c r="H5" s="65" t="s">
        <v>319</v>
      </c>
      <c r="I5" s="32" t="s">
        <v>285</v>
      </c>
      <c r="J5" s="32" t="s">
        <v>320</v>
      </c>
    </row>
    <row r="6" customFormat="false" ht="15" hidden="false" customHeight="false" outlineLevel="0" collapsed="false">
      <c r="A6" s="32" t="n">
        <v>5</v>
      </c>
      <c r="B6" s="65" t="s">
        <v>324</v>
      </c>
      <c r="C6" s="32" t="s">
        <v>277</v>
      </c>
      <c r="D6" s="40" t="n">
        <v>0.101862874707925</v>
      </c>
      <c r="E6" s="40" t="n">
        <v>0.326603322863243</v>
      </c>
      <c r="F6" s="60" t="n">
        <v>88.6060721769072</v>
      </c>
      <c r="G6" s="32" t="s">
        <v>318</v>
      </c>
      <c r="H6" s="65" t="s">
        <v>319</v>
      </c>
      <c r="I6" s="32" t="s">
        <v>286</v>
      </c>
      <c r="J6" s="32" t="s">
        <v>320</v>
      </c>
    </row>
    <row r="7" customFormat="false" ht="28.35" hidden="false" customHeight="false" outlineLevel="0" collapsed="false">
      <c r="A7" s="32" t="n">
        <v>6</v>
      </c>
      <c r="B7" s="65" t="s">
        <v>325</v>
      </c>
      <c r="C7" s="32" t="s">
        <v>276</v>
      </c>
      <c r="D7" s="40" t="n">
        <v>0.0338546187873723</v>
      </c>
      <c r="E7" s="40" t="n">
        <v>0.0492470440815238</v>
      </c>
      <c r="F7" s="60" t="n">
        <v>29.4486563863116</v>
      </c>
      <c r="G7" s="32" t="s">
        <v>318</v>
      </c>
      <c r="H7" s="65" t="s">
        <v>319</v>
      </c>
      <c r="I7" s="32" t="s">
        <v>287</v>
      </c>
      <c r="J7" s="32" t="s">
        <v>320</v>
      </c>
    </row>
    <row r="8" customFormat="false" ht="15" hidden="false" customHeight="false" outlineLevel="0" collapsed="false">
      <c r="A8" s="32" t="n">
        <v>7</v>
      </c>
      <c r="B8" s="65" t="s">
        <v>326</v>
      </c>
      <c r="C8" s="32" t="s">
        <v>277</v>
      </c>
      <c r="D8" s="40" t="n">
        <v>0.0227636482618039</v>
      </c>
      <c r="E8" s="40" t="n">
        <v>0.0729871720596243</v>
      </c>
      <c r="F8" s="60" t="n">
        <v>19.8011048350888</v>
      </c>
      <c r="G8" s="32" t="s">
        <v>318</v>
      </c>
      <c r="H8" s="65" t="s">
        <v>319</v>
      </c>
      <c r="I8" s="32" t="s">
        <v>288</v>
      </c>
      <c r="J8" s="32" t="s">
        <v>327</v>
      </c>
    </row>
    <row r="9" customFormat="false" ht="15" hidden="false" customHeight="false" outlineLevel="0" collapsed="false">
      <c r="A9" s="32" t="n">
        <v>8</v>
      </c>
      <c r="B9" s="65" t="s">
        <v>328</v>
      </c>
      <c r="C9" s="32" t="s">
        <v>277</v>
      </c>
      <c r="D9" s="40" t="n">
        <v>0.0165970984493954</v>
      </c>
      <c r="E9" s="40" t="n">
        <v>0.0532153399263845</v>
      </c>
      <c r="F9" s="60" t="n">
        <v>14.4370920941617</v>
      </c>
      <c r="G9" s="32" t="s">
        <v>318</v>
      </c>
      <c r="H9" s="65" t="s">
        <v>329</v>
      </c>
      <c r="I9" s="32" t="s">
        <v>289</v>
      </c>
      <c r="J9" s="32" t="s">
        <v>327</v>
      </c>
    </row>
    <row r="10" customFormat="false" ht="15" hidden="false" customHeight="false" outlineLevel="0" collapsed="false">
      <c r="A10" s="32" t="n">
        <v>9</v>
      </c>
      <c r="B10" s="65" t="s">
        <v>330</v>
      </c>
      <c r="C10" s="32" t="s">
        <v>277</v>
      </c>
      <c r="D10" s="40" t="n">
        <v>0.0127172386001701</v>
      </c>
      <c r="E10" s="40" t="n">
        <v>0.0407753305251761</v>
      </c>
      <c r="F10" s="60" t="n">
        <v>11.0621712231135</v>
      </c>
      <c r="G10" s="32" t="s">
        <v>318</v>
      </c>
      <c r="H10" s="65" t="s">
        <v>319</v>
      </c>
      <c r="I10" s="32" t="s">
        <v>290</v>
      </c>
      <c r="J10" s="32" t="s">
        <v>327</v>
      </c>
    </row>
    <row r="11" customFormat="false" ht="28.35" hidden="false" customHeight="false" outlineLevel="0" collapsed="false">
      <c r="A11" s="32" t="n">
        <v>10</v>
      </c>
      <c r="B11" s="65" t="s">
        <v>331</v>
      </c>
      <c r="C11" s="32" t="s">
        <v>277</v>
      </c>
      <c r="D11" s="40" t="n">
        <v>0.00655127247944239</v>
      </c>
      <c r="E11" s="40" t="n">
        <v>0.0210053698847942</v>
      </c>
      <c r="F11" s="60" t="n">
        <v>5.69866621012315</v>
      </c>
      <c r="G11" s="32" t="s">
        <v>318</v>
      </c>
      <c r="H11" s="65" t="s">
        <v>332</v>
      </c>
      <c r="I11" s="32" t="s">
        <v>291</v>
      </c>
      <c r="J11" s="32" t="s">
        <v>327</v>
      </c>
    </row>
    <row r="12" customFormat="false" ht="15" hidden="false" customHeight="false" outlineLevel="0" collapsed="false">
      <c r="A12" s="32" t="n">
        <v>11</v>
      </c>
      <c r="B12" s="65" t="s">
        <v>333</v>
      </c>
      <c r="C12" s="32" t="s">
        <v>276</v>
      </c>
      <c r="D12" s="40" t="n">
        <v>0.00519737172391942</v>
      </c>
      <c r="E12" s="40" t="n">
        <v>0.00756042169617919</v>
      </c>
      <c r="F12" s="60" t="n">
        <v>4.52096699038078</v>
      </c>
      <c r="G12" s="32" t="s">
        <v>318</v>
      </c>
      <c r="H12" s="65" t="s">
        <v>334</v>
      </c>
      <c r="I12" s="32" t="s">
        <v>299</v>
      </c>
      <c r="J12" s="32" t="s">
        <v>327</v>
      </c>
    </row>
    <row r="13" customFormat="false" ht="15" hidden="false" customHeight="false" outlineLevel="0" collapsed="false">
      <c r="A13" s="32" t="n">
        <v>12</v>
      </c>
      <c r="B13" s="65" t="s">
        <v>335</v>
      </c>
      <c r="C13" s="32" t="s">
        <v>276</v>
      </c>
      <c r="D13" s="40" t="n">
        <v>0.00395022848587757</v>
      </c>
      <c r="E13" s="40" t="n">
        <v>0.00574624920746901</v>
      </c>
      <c r="F13" s="60" t="n">
        <v>3.43613147909434</v>
      </c>
      <c r="G13" s="32" t="s">
        <v>318</v>
      </c>
      <c r="H13" s="65" t="s">
        <v>336</v>
      </c>
      <c r="I13" s="32" t="s">
        <v>300</v>
      </c>
      <c r="J13" s="32" t="s">
        <v>327</v>
      </c>
    </row>
    <row r="14" customFormat="false" ht="15" hidden="false" customHeight="false" outlineLevel="0" collapsed="false">
      <c r="A14" s="32" t="n">
        <v>13</v>
      </c>
      <c r="B14" s="65" t="s">
        <v>337</v>
      </c>
      <c r="C14" s="32" t="s">
        <v>276</v>
      </c>
      <c r="D14" s="40" t="n">
        <v>0.00295083261757821</v>
      </c>
      <c r="E14" s="40" t="n">
        <v>0.0042924655246532</v>
      </c>
      <c r="F14" s="60" t="n">
        <v>2.566800599775</v>
      </c>
      <c r="G14" s="32" t="s">
        <v>318</v>
      </c>
      <c r="H14" s="65" t="s">
        <v>338</v>
      </c>
      <c r="I14" s="32" t="s">
        <v>301</v>
      </c>
      <c r="J14" s="32" t="s">
        <v>327</v>
      </c>
    </row>
    <row r="15" customFormat="false" ht="15" hidden="false" customHeight="false" outlineLevel="0" collapsed="false">
      <c r="A15" s="32" t="n">
        <v>14</v>
      </c>
      <c r="B15" s="65" t="s">
        <v>340</v>
      </c>
      <c r="C15" s="32" t="s">
        <v>277</v>
      </c>
      <c r="D15" s="40" t="n">
        <v>0.00276816707484628</v>
      </c>
      <c r="E15" s="40" t="n">
        <v>0.00887558462764534</v>
      </c>
      <c r="F15" s="60" t="n">
        <v>2.40790781071964</v>
      </c>
      <c r="G15" s="32" t="s">
        <v>318</v>
      </c>
      <c r="H15" s="65" t="s">
        <v>336</v>
      </c>
      <c r="I15" s="32" t="s">
        <v>302</v>
      </c>
      <c r="J15" s="32" t="s">
        <v>327</v>
      </c>
    </row>
    <row r="16" customFormat="false" ht="15" hidden="false" customHeight="false" outlineLevel="0" collapsed="false">
      <c r="A16" s="32" t="n">
        <v>15</v>
      </c>
      <c r="B16" s="65" t="s">
        <v>339</v>
      </c>
      <c r="C16" s="32" t="s">
        <v>276</v>
      </c>
      <c r="D16" s="40" t="n">
        <v>0.00269989003761067</v>
      </c>
      <c r="E16" s="40" t="n">
        <v>0.00392742876629508</v>
      </c>
      <c r="F16" s="60" t="n">
        <v>2.3485165937854</v>
      </c>
      <c r="G16" s="32" t="s">
        <v>318</v>
      </c>
      <c r="H16" s="65" t="s">
        <v>338</v>
      </c>
      <c r="I16" s="32" t="s">
        <v>305</v>
      </c>
      <c r="J16" s="32" t="s">
        <v>327</v>
      </c>
    </row>
    <row r="17" customFormat="false" ht="15" hidden="false" customHeight="false" outlineLevel="0" collapsed="false">
      <c r="A17" s="32" t="n">
        <v>16</v>
      </c>
      <c r="B17" s="65" t="s">
        <v>342</v>
      </c>
      <c r="C17" s="32" t="s">
        <v>277</v>
      </c>
      <c r="D17" s="40" t="n">
        <v>0.00239168191406876</v>
      </c>
      <c r="E17" s="40" t="n">
        <v>0.00766845882375249</v>
      </c>
      <c r="F17" s="60" t="n">
        <v>2.08041978895471</v>
      </c>
      <c r="G17" s="32" t="s">
        <v>318</v>
      </c>
      <c r="H17" s="65" t="s">
        <v>343</v>
      </c>
      <c r="I17" s="32" t="s">
        <v>303</v>
      </c>
      <c r="J17" s="32" t="s">
        <v>327</v>
      </c>
    </row>
    <row r="18" customFormat="false" ht="15" hidden="false" customHeight="false" outlineLevel="0" collapsed="false">
      <c r="A18" s="32" t="n">
        <v>17</v>
      </c>
      <c r="B18" s="65" t="s">
        <v>341</v>
      </c>
      <c r="C18" s="32" t="s">
        <v>276</v>
      </c>
      <c r="D18" s="40" t="n">
        <v>0.00197802886606918</v>
      </c>
      <c r="E18" s="40" t="n">
        <v>0.00287736439667636</v>
      </c>
      <c r="F18" s="60" t="n">
        <v>1.72060104309325</v>
      </c>
      <c r="G18" s="32" t="s">
        <v>318</v>
      </c>
      <c r="H18" s="65" t="s">
        <v>338</v>
      </c>
      <c r="I18" s="32" t="s">
        <v>304</v>
      </c>
      <c r="J18" s="32" t="s">
        <v>327</v>
      </c>
    </row>
    <row r="19" customFormat="false" ht="15" hidden="false" customHeight="false" outlineLevel="0" collapsed="false">
      <c r="A19" s="32" t="n">
        <v>18</v>
      </c>
      <c r="B19" s="65" t="s">
        <v>344</v>
      </c>
      <c r="C19" s="32" t="s">
        <v>276</v>
      </c>
      <c r="D19" s="40" t="n">
        <v>0.00144454168866156</v>
      </c>
      <c r="E19" s="40" t="n">
        <v>0.0021013206105174</v>
      </c>
      <c r="F19" s="60" t="n">
        <v>1.25654381436911</v>
      </c>
      <c r="G19" s="32" t="s">
        <v>318</v>
      </c>
      <c r="H19" s="65" t="s">
        <v>338</v>
      </c>
      <c r="I19" s="32" t="s">
        <v>306</v>
      </c>
      <c r="J19" s="32" t="s">
        <v>327</v>
      </c>
    </row>
    <row r="20" customFormat="false" ht="15" hidden="false" customHeight="false" outlineLevel="0" collapsed="false">
      <c r="A20" s="32" t="n">
        <v>19</v>
      </c>
      <c r="B20" s="65" t="s">
        <v>345</v>
      </c>
      <c r="C20" s="32" t="s">
        <v>275</v>
      </c>
      <c r="D20" s="40" t="n">
        <v>0.000669709073291638</v>
      </c>
      <c r="E20" s="40" t="n">
        <v>1</v>
      </c>
      <c r="F20" s="60" t="n">
        <v>0.582550714926878</v>
      </c>
      <c r="G20" s="32" t="s">
        <v>318</v>
      </c>
      <c r="H20" s="65" t="s">
        <v>338</v>
      </c>
      <c r="I20" s="32" t="s">
        <v>307</v>
      </c>
      <c r="J20" s="32" t="s">
        <v>327</v>
      </c>
    </row>
    <row r="22" customFormat="false" ht="15" hidden="false" customHeight="false" outlineLevel="0" collapsed="false">
      <c r="B22" s="5" t="s">
        <v>346</v>
      </c>
      <c r="C22" s="50" t="s">
        <v>276</v>
      </c>
      <c r="D22" s="66" t="n">
        <f aca="false">SUMIF(C2:C20,"Historical voter data",D2:D20)</f>
        <v>0.687444686656303</v>
      </c>
      <c r="F22" s="67" t="n">
        <f aca="false">SUMIF(C2:C20,"Historical voter data",F2:F20)</f>
        <v>597.978151491939</v>
      </c>
    </row>
    <row r="23" customFormat="false" ht="15" hidden="false" customHeight="false" outlineLevel="0" collapsed="false">
      <c r="B23" s="5" t="s">
        <v>347</v>
      </c>
      <c r="C23" s="50" t="s">
        <v>277</v>
      </c>
      <c r="D23" s="66" t="n">
        <f aca="false">SUMIF(C2:C20,"Voter registration data",D2:D20)</f>
        <v>0.311885604270405</v>
      </c>
      <c r="F23" s="67" t="n">
        <f aca="false">SUMIF(C2:C20,"Voter registration data",F2:F20)</f>
        <v>271.295684930948</v>
      </c>
    </row>
    <row r="24" customFormat="false" ht="15" hidden="false" customHeight="false" outlineLevel="0" collapsed="false">
      <c r="B24" s="5" t="s">
        <v>348</v>
      </c>
      <c r="C24" s="50" t="s">
        <v>275</v>
      </c>
      <c r="D24" s="66" t="n">
        <f aca="false">SUMIF(C2:C20,"Election type",D2:D20)</f>
        <v>0.000669709073291638</v>
      </c>
      <c r="F24" s="67" t="n">
        <f aca="false">SUMIF(C2:C20,"Election type",F2:F20)</f>
        <v>0.582550714926878</v>
      </c>
    </row>
    <row r="25" customFormat="false" ht="15" hidden="false" customHeight="false" outlineLevel="0" collapsed="false">
      <c r="B25" s="5" t="s">
        <v>349</v>
      </c>
      <c r="D25" s="66" t="n">
        <f aca="false">SUM(D2:D20)</f>
        <v>1</v>
      </c>
      <c r="F25" s="67" t="n">
        <f aca="false">SUM(F2:F20)</f>
        <v>869.856387137814</v>
      </c>
    </row>
    <row r="27" customFormat="false" ht="15" hidden="false" customHeight="false" outlineLevel="0" collapsed="false">
      <c r="B27" s="5" t="s">
        <v>139</v>
      </c>
    </row>
    <row r="28" customFormat="false" ht="30" hidden="false" customHeight="true" outlineLevel="0" collapsed="false">
      <c r="B28" s="68" t="s">
        <v>350</v>
      </c>
    </row>
    <row r="29" customFormat="false" ht="45" hidden="false" customHeight="true" outlineLevel="0" collapsed="false">
      <c r="B29" s="68" t="s">
        <v>351</v>
      </c>
    </row>
    <row r="30" customFormat="false" ht="45" hidden="false" customHeight="true" outlineLevel="0" collapsed="false">
      <c r="B30" s="68" t="s">
        <v>352</v>
      </c>
    </row>
    <row r="31" customFormat="false" ht="30" hidden="false" customHeight="true" outlineLevel="0" collapsed="false">
      <c r="B31" s="68" t="s">
        <v>353</v>
      </c>
    </row>
    <row r="32" customFormat="false" ht="75" hidden="false" customHeight="true" outlineLevel="0" collapsed="false">
      <c r="B32" s="68" t="s">
        <v>354</v>
      </c>
    </row>
    <row r="33" customFormat="false" ht="60" hidden="false" customHeight="true" outlineLevel="0" collapsed="false">
      <c r="B33" s="68" t="s">
        <v>359</v>
      </c>
    </row>
    <row r="34" customFormat="false" ht="45" hidden="false" customHeight="true" outlineLevel="0" collapsed="false">
      <c r="B34" s="68" t="s">
        <v>356</v>
      </c>
    </row>
    <row r="35" customFormat="false" ht="30" hidden="false" customHeight="true" outlineLevel="0" collapsed="false">
      <c r="B35" s="68" t="s">
        <v>357</v>
      </c>
    </row>
  </sheetData>
  <conditionalFormatting sqref="D2:D20">
    <cfRule type="dataBar" priority="2">
      <dataBar showValue="1" minLength="10" maxLength="90">
        <cfvo type="num" val="0"/>
        <cfvo type="max" val="0"/>
        <color rgb="FF5B9BD5"/>
      </dataBar>
      <extLst>
        <ext xmlns:x14="http://schemas.microsoft.com/office/spreadsheetml/2009/9/main" uri="{B025F937-C7B1-47D3-B67F-A62EFF666E3E}">
          <x14:id>{86106ECB-F613-4370-A534-20C2BFD83B33}</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86106ECB-F613-4370-A534-20C2BFD83B33}">
            <x14:dataBar minLength="10" maxLength="90" axisPosition="none" gradient="true">
              <x14:cfvo type="num">
                <xm:f>0</xm:f>
              </x14:cfvo>
              <x14:cfvo type="max"/>
              <x14:negativeFillColor rgb="FF5B9BD5"/>
              <x14:axisColor rgb="FF000000"/>
            </x14:dataBar>
          </x14:cfRule>
          <xm:sqref>D2:D20</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360</v>
      </c>
      <c r="E1" s="8" t="s">
        <v>361</v>
      </c>
      <c r="F1" s="8" t="s">
        <v>362</v>
      </c>
      <c r="G1" s="8" t="s">
        <v>363</v>
      </c>
      <c r="H1" s="8" t="s">
        <v>364</v>
      </c>
      <c r="I1" s="8" t="s">
        <v>365</v>
      </c>
      <c r="J1" s="8" t="s">
        <v>366</v>
      </c>
      <c r="K1" s="8" t="s">
        <v>367</v>
      </c>
      <c r="L1" s="8" t="s">
        <v>368</v>
      </c>
      <c r="M1" s="8" t="s">
        <v>369</v>
      </c>
      <c r="N1" s="8" t="s">
        <v>370</v>
      </c>
      <c r="O1" s="8" t="s">
        <v>142</v>
      </c>
      <c r="P1" s="8" t="s">
        <v>371</v>
      </c>
      <c r="Q1" s="8" t="s">
        <v>372</v>
      </c>
      <c r="R1" s="8" t="s">
        <v>373</v>
      </c>
      <c r="S1" s="8" t="s">
        <v>374</v>
      </c>
      <c r="T1" s="8" t="s">
        <v>375</v>
      </c>
      <c r="U1" s="8" t="s">
        <v>376</v>
      </c>
    </row>
    <row r="2" customFormat="false" ht="15" hidden="false" customHeight="false" outlineLevel="0" collapsed="false">
      <c r="A2" s="32" t="s">
        <v>162</v>
      </c>
      <c r="B2" s="32" t="s">
        <v>163</v>
      </c>
      <c r="C2" s="32" t="s">
        <v>164</v>
      </c>
      <c r="D2" s="60" t="n">
        <v>156</v>
      </c>
      <c r="E2" s="60" t="n">
        <v>181</v>
      </c>
      <c r="F2" s="69" t="n">
        <f aca="false">IF(E2="","",D2-E2)</f>
        <v>-25</v>
      </c>
      <c r="G2" s="60" t="n">
        <v>282</v>
      </c>
      <c r="H2" s="60" t="n">
        <v>285</v>
      </c>
      <c r="I2" s="69" t="n">
        <f aca="false">IF(H2="","",G2-H2)</f>
        <v>-3</v>
      </c>
      <c r="J2" s="40" t="n">
        <f aca="false">IF(OR(D2="",D2+G2=0),"",D2/(D2+G2))</f>
        <v>0.356164383561644</v>
      </c>
      <c r="K2" s="40" t="n">
        <f aca="false">IF(E2="","",E2/(E2+H2))</f>
        <v>0.388412017167382</v>
      </c>
      <c r="L2" s="70" t="n">
        <f aca="false">IF(OR(K2="",J2=""),"",(J2-K2)*100)</f>
        <v>-3.22476336057382</v>
      </c>
      <c r="M2" s="36" t="n">
        <v>4.33926976222454</v>
      </c>
      <c r="N2" s="36" t="n">
        <v>2.5925072682662</v>
      </c>
      <c r="O2" s="36" t="n">
        <f aca="false">SQRT(M2^2+N2^2)</f>
        <v>5.05473599759367</v>
      </c>
      <c r="P2" s="40" t="n">
        <f aca="false">IF(J2="","",MAX(0,J2-1.96*O2/100))</f>
        <v>0.257091558008808</v>
      </c>
      <c r="Q2" s="40" t="n">
        <f aca="false">IF(J2="","",MIN(1,J2+1.96*O2/100))</f>
        <v>0.45523720911448</v>
      </c>
      <c r="R2" s="32" t="str">
        <f aca="false">IF(L2="","",IF(ABS(L2)&lt;=O2,"Yes","No"))</f>
        <v>Yes</v>
      </c>
      <c r="S2" s="32" t="str">
        <f aca="false">IF(L2="","",IF(ABS(L2)&lt;=1.96*O2,"Yes","No"))</f>
        <v>Yes</v>
      </c>
      <c r="T2" s="60" t="n">
        <f aca="false">IF(D2="","",ROUND(SQRT(((D2+G2)*O2/100)^2+(J2*(D2+G2)*0.07859)^2),0))</f>
        <v>25</v>
      </c>
      <c r="U2" s="32"/>
    </row>
    <row r="3" customFormat="false" ht="15" hidden="false" customHeight="false" outlineLevel="0" collapsed="false">
      <c r="A3" s="32" t="s">
        <v>162</v>
      </c>
      <c r="B3" s="32" t="s">
        <v>168</v>
      </c>
      <c r="C3" s="32" t="s">
        <v>164</v>
      </c>
      <c r="D3" s="60" t="n">
        <v>107</v>
      </c>
      <c r="E3" s="60" t="n">
        <v>118</v>
      </c>
      <c r="F3" s="69" t="n">
        <f aca="false">IF(E3="","",D3-E3)</f>
        <v>-11</v>
      </c>
      <c r="G3" s="60" t="n">
        <v>297</v>
      </c>
      <c r="H3" s="60" t="n">
        <v>300</v>
      </c>
      <c r="I3" s="69" t="n">
        <f aca="false">IF(H3="","",G3-H3)</f>
        <v>-3</v>
      </c>
      <c r="J3" s="40" t="n">
        <f aca="false">IF(OR(D3="",D3+G3=0),"",D3/(D3+G3))</f>
        <v>0.264851485148515</v>
      </c>
      <c r="K3" s="40" t="n">
        <f aca="false">IF(E3="","",E3/(E3+H3))</f>
        <v>0.282296650717703</v>
      </c>
      <c r="L3" s="70" t="n">
        <f aca="false">IF(OR(K3="",J3=""),"",(J3-K3)*100)</f>
        <v>-1.74451655691885</v>
      </c>
      <c r="M3" s="36" t="n">
        <v>4.33926976222454</v>
      </c>
      <c r="N3" s="36" t="n">
        <v>2.5925072682662</v>
      </c>
      <c r="O3" s="36" t="n">
        <f aca="false">SQRT(M3^2+N3^2)</f>
        <v>5.05473599759367</v>
      </c>
      <c r="P3" s="40" t="n">
        <f aca="false">IF(J3="","",MAX(0,J3-1.96*O3/100))</f>
        <v>0.165778659595679</v>
      </c>
      <c r="Q3" s="40" t="n">
        <f aca="false">IF(J3="","",MIN(1,J3+1.96*O3/100))</f>
        <v>0.363924310701351</v>
      </c>
      <c r="R3" s="32" t="str">
        <f aca="false">IF(L3="","",IF(ABS(L3)&lt;=O3,"Yes","No"))</f>
        <v>Yes</v>
      </c>
      <c r="S3" s="32" t="str">
        <f aca="false">IF(L3="","",IF(ABS(L3)&lt;=1.96*O3,"Yes","No"))</f>
        <v>Yes</v>
      </c>
      <c r="T3" s="60" t="n">
        <f aca="false">IF(D3="","",ROUND(SQRT(((D3+G3)*O3/100)^2+(J3*(D3+G3)*0.07859)^2),0))</f>
        <v>22</v>
      </c>
      <c r="U3" s="32"/>
    </row>
    <row r="4" customFormat="false" ht="15" hidden="false" customHeight="false" outlineLevel="0" collapsed="false">
      <c r="A4" s="32" t="s">
        <v>162</v>
      </c>
      <c r="B4" s="32" t="s">
        <v>169</v>
      </c>
      <c r="C4" s="32" t="s">
        <v>164</v>
      </c>
      <c r="D4" s="60" t="n">
        <v>128</v>
      </c>
      <c r="E4" s="60" t="n">
        <v>144</v>
      </c>
      <c r="F4" s="69" t="n">
        <f aca="false">IF(E4="","",D4-E4)</f>
        <v>-16</v>
      </c>
      <c r="G4" s="60" t="n">
        <v>275</v>
      </c>
      <c r="H4" s="60" t="n">
        <v>310</v>
      </c>
      <c r="I4" s="69" t="n">
        <f aca="false">IF(H4="","",G4-H4)</f>
        <v>-35</v>
      </c>
      <c r="J4" s="40" t="n">
        <f aca="false">IF(OR(D4="",D4+G4=0),"",D4/(D4+G4))</f>
        <v>0.317617866004963</v>
      </c>
      <c r="K4" s="40" t="n">
        <f aca="false">IF(E4="","",E4/(E4+H4))</f>
        <v>0.317180616740088</v>
      </c>
      <c r="L4" s="70" t="n">
        <f aca="false">IF(OR(K4="",J4=""),"",(J4-K4)*100)</f>
        <v>0.0437249264874651</v>
      </c>
      <c r="M4" s="36" t="n">
        <v>4.33926976222454</v>
      </c>
      <c r="N4" s="36" t="n">
        <v>2.5925072682662</v>
      </c>
      <c r="O4" s="36" t="n">
        <f aca="false">SQRT(M4^2+N4^2)</f>
        <v>5.05473599759367</v>
      </c>
      <c r="P4" s="40" t="n">
        <f aca="false">IF(J4="","",MAX(0,J4-1.96*O4/100))</f>
        <v>0.218545040452127</v>
      </c>
      <c r="Q4" s="40" t="n">
        <f aca="false">IF(J4="","",MIN(1,J4+1.96*O4/100))</f>
        <v>0.416690691557799</v>
      </c>
      <c r="R4" s="32" t="str">
        <f aca="false">IF(L4="","",IF(ABS(L4)&lt;=O4,"Yes","No"))</f>
        <v>Yes</v>
      </c>
      <c r="S4" s="32" t="str">
        <f aca="false">IF(L4="","",IF(ABS(L4)&lt;=1.96*O4,"Yes","No"))</f>
        <v>Yes</v>
      </c>
      <c r="T4" s="60" t="n">
        <f aca="false">IF(D4="","",ROUND(SQRT(((D4+G4)*O4/100)^2+(J4*(D4+G4)*0.07859)^2),0))</f>
        <v>23</v>
      </c>
      <c r="U4" s="32"/>
    </row>
    <row r="5" customFormat="false" ht="15" hidden="false" customHeight="false" outlineLevel="0" collapsed="false">
      <c r="A5" s="32" t="s">
        <v>162</v>
      </c>
      <c r="B5" s="32" t="s">
        <v>170</v>
      </c>
      <c r="C5" s="32" t="s">
        <v>164</v>
      </c>
      <c r="D5" s="60" t="n">
        <v>430</v>
      </c>
      <c r="E5" s="60" t="n">
        <v>438</v>
      </c>
      <c r="F5" s="69" t="n">
        <f aca="false">IF(E5="","",D5-E5)</f>
        <v>-8</v>
      </c>
      <c r="G5" s="60" t="n">
        <v>1145</v>
      </c>
      <c r="H5" s="60" t="n">
        <v>1253</v>
      </c>
      <c r="I5" s="69" t="n">
        <f aca="false">IF(H5="","",G5-H5)</f>
        <v>-108</v>
      </c>
      <c r="J5" s="40" t="n">
        <f aca="false">IF(OR(D5="",D5+G5=0),"",D5/(D5+G5))</f>
        <v>0.273015873015873</v>
      </c>
      <c r="K5" s="40" t="n">
        <f aca="false">IF(E5="","",E5/(E5+H5))</f>
        <v>0.259018332347723</v>
      </c>
      <c r="L5" s="70" t="n">
        <f aca="false">IF(OR(K5="",J5=""),"",(J5-K5)*100)</f>
        <v>1.39975406681497</v>
      </c>
      <c r="M5" s="36" t="n">
        <v>2.72659205591432</v>
      </c>
      <c r="N5" s="36" t="n">
        <v>2.5925072682662</v>
      </c>
      <c r="O5" s="36" t="n">
        <f aca="false">SQRT(M5^2+N5^2)</f>
        <v>3.76236603421147</v>
      </c>
      <c r="P5" s="40" t="n">
        <f aca="false">IF(J5="","",MAX(0,J5-1.96*O5/100))</f>
        <v>0.199273498745328</v>
      </c>
      <c r="Q5" s="40" t="n">
        <f aca="false">IF(J5="","",MIN(1,J5+1.96*O5/100))</f>
        <v>0.346758247286418</v>
      </c>
      <c r="R5" s="32" t="str">
        <f aca="false">IF(L5="","",IF(ABS(L5)&lt;=O5,"Yes","No"))</f>
        <v>Yes</v>
      </c>
      <c r="S5" s="32" t="str">
        <f aca="false">IF(L5="","",IF(ABS(L5)&lt;=1.96*O5,"Yes","No"))</f>
        <v>Yes</v>
      </c>
      <c r="T5" s="60" t="n">
        <f aca="false">IF(D5="","",ROUND(SQRT(((D5+G5)*O5/100)^2+(J5*(D5+G5)*0.06092)^2),0))</f>
        <v>65</v>
      </c>
      <c r="U5" s="32"/>
    </row>
    <row r="6" customFormat="false" ht="15" hidden="false" customHeight="false" outlineLevel="0" collapsed="false">
      <c r="A6" s="32" t="s">
        <v>162</v>
      </c>
      <c r="B6" s="32" t="s">
        <v>172</v>
      </c>
      <c r="C6" s="32" t="s">
        <v>164</v>
      </c>
      <c r="D6" s="60" t="n">
        <v>39</v>
      </c>
      <c r="E6" s="60" t="n">
        <v>38</v>
      </c>
      <c r="F6" s="69" t="n">
        <f aca="false">IF(E6="","",D6-E6)</f>
        <v>1</v>
      </c>
      <c r="G6" s="60" t="n">
        <v>73</v>
      </c>
      <c r="H6" s="60" t="n">
        <v>78</v>
      </c>
      <c r="I6" s="69" t="n">
        <f aca="false">IF(H6="","",G6-H6)</f>
        <v>-5</v>
      </c>
      <c r="J6" s="40" t="n">
        <f aca="false">IF(OR(D6="",D6+G6=0),"",D6/(D6+G6))</f>
        <v>0.348214285714286</v>
      </c>
      <c r="K6" s="40" t="n">
        <f aca="false">IF(E6="","",E6/(E6+H6))</f>
        <v>0.327586206896552</v>
      </c>
      <c r="L6" s="70" t="n">
        <f aca="false">IF(OR(K6="",J6=""),"",(J6-K6)*100)</f>
        <v>2.0628078817734</v>
      </c>
      <c r="M6" s="36" t="n">
        <v>4.33926976222454</v>
      </c>
      <c r="N6" s="36" t="n">
        <v>2.5925072682662</v>
      </c>
      <c r="O6" s="36" t="n">
        <f aca="false">SQRT(M6^2+N6^2)</f>
        <v>5.05473599759367</v>
      </c>
      <c r="P6" s="40" t="n">
        <f aca="false">IF(J6="","",MAX(0,J6-1.96*O6/100))</f>
        <v>0.24914146016145</v>
      </c>
      <c r="Q6" s="40" t="n">
        <f aca="false">IF(J6="","",MIN(1,J6+1.96*O6/100))</f>
        <v>0.447287111267122</v>
      </c>
      <c r="R6" s="32" t="str">
        <f aca="false">IF(L6="","",IF(ABS(L6)&lt;=O6,"Yes","No"))</f>
        <v>Yes</v>
      </c>
      <c r="S6" s="32" t="str">
        <f aca="false">IF(L6="","",IF(ABS(L6)&lt;=1.96*O6,"Yes","No"))</f>
        <v>Yes</v>
      </c>
      <c r="T6" s="60" t="n">
        <f aca="false">IF(D6="","",ROUND(SQRT(((D6+G6)*O6/100)^2+(J6*(D6+G6)*0.07859)^2),0))</f>
        <v>6</v>
      </c>
      <c r="U6" s="32"/>
    </row>
    <row r="7" customFormat="false" ht="15" hidden="false" customHeight="false" outlineLevel="0" collapsed="false">
      <c r="A7" s="32" t="s">
        <v>162</v>
      </c>
      <c r="B7" s="32" t="s">
        <v>173</v>
      </c>
      <c r="C7" s="32" t="s">
        <v>164</v>
      </c>
      <c r="D7" s="60" t="n">
        <v>667</v>
      </c>
      <c r="E7" s="60" t="n">
        <v>708</v>
      </c>
      <c r="F7" s="69" t="n">
        <f aca="false">IF(E7="","",D7-E7)</f>
        <v>-41</v>
      </c>
      <c r="G7" s="60" t="n">
        <v>1765</v>
      </c>
      <c r="H7" s="60" t="n">
        <v>1846</v>
      </c>
      <c r="I7" s="69" t="n">
        <f aca="false">IF(H7="","",G7-H7)</f>
        <v>-81</v>
      </c>
      <c r="J7" s="40" t="n">
        <f aca="false">IF(OR(D7="",D7+G7=0),"",D7/(D7+G7))</f>
        <v>0.274259868421053</v>
      </c>
      <c r="K7" s="40" t="n">
        <f aca="false">IF(E7="","",E7/(E7+H7))</f>
        <v>0.277212216131558</v>
      </c>
      <c r="L7" s="70" t="n">
        <f aca="false">IF(OR(K7="",J7=""),"",(J7-K7)*100)</f>
        <v>-0.295234771050568</v>
      </c>
      <c r="M7" s="36" t="n">
        <v>2.72659205591432</v>
      </c>
      <c r="N7" s="36" t="n">
        <v>2.5925072682662</v>
      </c>
      <c r="O7" s="36" t="n">
        <f aca="false">SQRT(M7^2+N7^2)</f>
        <v>3.76236603421147</v>
      </c>
      <c r="P7" s="40" t="n">
        <f aca="false">IF(J7="","",MAX(0,J7-1.96*O7/100))</f>
        <v>0.200517494150508</v>
      </c>
      <c r="Q7" s="40" t="n">
        <f aca="false">IF(J7="","",MIN(1,J7+1.96*O7/100))</f>
        <v>0.348002242691598</v>
      </c>
      <c r="R7" s="32" t="str">
        <f aca="false">IF(L7="","",IF(ABS(L7)&lt;=O7,"Yes","No"))</f>
        <v>Yes</v>
      </c>
      <c r="S7" s="32" t="str">
        <f aca="false">IF(L7="","",IF(ABS(L7)&lt;=1.96*O7,"Yes","No"))</f>
        <v>Yes</v>
      </c>
      <c r="T7" s="60" t="n">
        <f aca="false">IF(D7="","",ROUND(SQRT(((D7+G7)*O7/100)^2+(J7*(D7+G7)*0.06092)^2),0))</f>
        <v>100</v>
      </c>
      <c r="U7" s="32"/>
    </row>
    <row r="8" customFormat="false" ht="15" hidden="false" customHeight="false" outlineLevel="0" collapsed="false">
      <c r="A8" s="32" t="s">
        <v>162</v>
      </c>
      <c r="B8" s="32" t="s">
        <v>174</v>
      </c>
      <c r="C8" s="32" t="s">
        <v>164</v>
      </c>
      <c r="D8" s="60" t="n">
        <v>1080</v>
      </c>
      <c r="E8" s="60" t="n">
        <v>1104</v>
      </c>
      <c r="F8" s="69" t="n">
        <f aca="false">IF(E8="","",D8-E8)</f>
        <v>-24</v>
      </c>
      <c r="G8" s="60" t="n">
        <v>1345</v>
      </c>
      <c r="H8" s="60" t="n">
        <v>1481</v>
      </c>
      <c r="I8" s="69" t="n">
        <f aca="false">IF(H8="","",G8-H8)</f>
        <v>-136</v>
      </c>
      <c r="J8" s="40" t="n">
        <f aca="false">IF(OR(D8="",D8+G8=0),"",D8/(D8+G8))</f>
        <v>0.445360824742268</v>
      </c>
      <c r="K8" s="40" t="n">
        <f aca="false">IF(E8="","",E8/(E8+H8))</f>
        <v>0.427079303675048</v>
      </c>
      <c r="L8" s="70" t="n">
        <f aca="false">IF(OR(K8="",J8=""),"",(J8-K8)*100)</f>
        <v>1.82815210672197</v>
      </c>
      <c r="M8" s="36" t="n">
        <v>2.72659205591432</v>
      </c>
      <c r="N8" s="36" t="n">
        <v>2.5925072682662</v>
      </c>
      <c r="O8" s="36" t="n">
        <f aca="false">SQRT(M8^2+N8^2)</f>
        <v>3.76236603421147</v>
      </c>
      <c r="P8" s="40" t="n">
        <f aca="false">IF(J8="","",MAX(0,J8-1.96*O8/100))</f>
        <v>0.371618450471723</v>
      </c>
      <c r="Q8" s="40" t="n">
        <f aca="false">IF(J8="","",MIN(1,J8+1.96*O8/100))</f>
        <v>0.519103199012813</v>
      </c>
      <c r="R8" s="32" t="str">
        <f aca="false">IF(L8="","",IF(ABS(L8)&lt;=O8,"Yes","No"))</f>
        <v>Yes</v>
      </c>
      <c r="S8" s="32" t="str">
        <f aca="false">IF(L8="","",IF(ABS(L8)&lt;=1.96*O8,"Yes","No"))</f>
        <v>Yes</v>
      </c>
      <c r="T8" s="60" t="n">
        <f aca="false">IF(D8="","",ROUND(SQRT(((D8+G8)*O8/100)^2+(J8*(D8+G8)*0.06092)^2),0))</f>
        <v>112</v>
      </c>
      <c r="U8" s="32"/>
    </row>
    <row r="9" customFormat="false" ht="15" hidden="false" customHeight="false" outlineLevel="0" collapsed="false">
      <c r="A9" s="32" t="s">
        <v>162</v>
      </c>
      <c r="B9" s="32" t="s">
        <v>175</v>
      </c>
      <c r="C9" s="32" t="s">
        <v>164</v>
      </c>
      <c r="D9" s="60" t="n">
        <v>332</v>
      </c>
      <c r="E9" s="60" t="n">
        <v>351</v>
      </c>
      <c r="F9" s="69" t="n">
        <f aca="false">IF(E9="","",D9-E9)</f>
        <v>-19</v>
      </c>
      <c r="G9" s="60" t="n">
        <v>704</v>
      </c>
      <c r="H9" s="60" t="n">
        <v>697</v>
      </c>
      <c r="I9" s="69" t="n">
        <f aca="false">IF(H9="","",G9-H9)</f>
        <v>7</v>
      </c>
      <c r="J9" s="40" t="n">
        <f aca="false">IF(OR(D9="",D9+G9=0),"",D9/(D9+G9))</f>
        <v>0.320463320463321</v>
      </c>
      <c r="K9" s="40" t="n">
        <f aca="false">IF(E9="","",E9/(E9+H9))</f>
        <v>0.334923664122137</v>
      </c>
      <c r="L9" s="70" t="n">
        <f aca="false">IF(OR(K9="",J9=""),"",(J9-K9)*100)</f>
        <v>-1.44603436588169</v>
      </c>
      <c r="M9" s="36" t="n">
        <v>4.33926976222454</v>
      </c>
      <c r="N9" s="36" t="n">
        <v>2.5925072682662</v>
      </c>
      <c r="O9" s="36" t="n">
        <f aca="false">SQRT(M9^2+N9^2)</f>
        <v>5.05473599759367</v>
      </c>
      <c r="P9" s="40" t="n">
        <f aca="false">IF(J9="","",MAX(0,J9-1.96*O9/100))</f>
        <v>0.221390494910485</v>
      </c>
      <c r="Q9" s="40" t="n">
        <f aca="false">IF(J9="","",MIN(1,J9+1.96*O9/100))</f>
        <v>0.419536146016156</v>
      </c>
      <c r="R9" s="32" t="str">
        <f aca="false">IF(L9="","",IF(ABS(L9)&lt;=O9,"Yes","No"))</f>
        <v>Yes</v>
      </c>
      <c r="S9" s="32" t="str">
        <f aca="false">IF(L9="","",IF(ABS(L9)&lt;=1.96*O9,"Yes","No"))</f>
        <v>Yes</v>
      </c>
      <c r="T9" s="60" t="n">
        <f aca="false">IF(D9="","",ROUND(SQRT(((D9+G9)*O9/100)^2+(J9*(D9+G9)*0.07859)^2),0))</f>
        <v>59</v>
      </c>
      <c r="U9" s="32"/>
    </row>
    <row r="10" customFormat="false" ht="15" hidden="false" customHeight="false" outlineLevel="0" collapsed="false">
      <c r="A10" s="32" t="s">
        <v>162</v>
      </c>
      <c r="B10" s="32" t="s">
        <v>176</v>
      </c>
      <c r="C10" s="32" t="s">
        <v>164</v>
      </c>
      <c r="D10" s="60" t="n">
        <v>574</v>
      </c>
      <c r="E10" s="60" t="n">
        <v>575</v>
      </c>
      <c r="F10" s="69" t="n">
        <f aca="false">IF(E10="","",D10-E10)</f>
        <v>-1</v>
      </c>
      <c r="G10" s="60" t="n">
        <v>835</v>
      </c>
      <c r="H10" s="60" t="n">
        <v>880</v>
      </c>
      <c r="I10" s="69" t="n">
        <f aca="false">IF(H10="","",G10-H10)</f>
        <v>-45</v>
      </c>
      <c r="J10" s="40" t="n">
        <f aca="false">IF(OR(D10="",D10+G10=0),"",D10/(D10+G10))</f>
        <v>0.407381121362669</v>
      </c>
      <c r="K10" s="40" t="n">
        <f aca="false">IF(E10="","",E10/(E10+H10))</f>
        <v>0.395189003436426</v>
      </c>
      <c r="L10" s="70" t="n">
        <f aca="false">IF(OR(K10="",J10=""),"",(J10-K10)*100)</f>
        <v>1.21921179262425</v>
      </c>
      <c r="M10" s="36" t="n">
        <v>4.33926976222454</v>
      </c>
      <c r="N10" s="36" t="n">
        <v>2.5925072682662</v>
      </c>
      <c r="O10" s="36" t="n">
        <f aca="false">SQRT(M10^2+N10^2)</f>
        <v>5.05473599759367</v>
      </c>
      <c r="P10" s="40" t="n">
        <f aca="false">IF(J10="","",MAX(0,J10-1.96*O10/100))</f>
        <v>0.308308295809833</v>
      </c>
      <c r="Q10" s="40" t="n">
        <f aca="false">IF(J10="","",MIN(1,J10+1.96*O10/100))</f>
        <v>0.506453946915505</v>
      </c>
      <c r="R10" s="32" t="str">
        <f aca="false">IF(L10="","",IF(ABS(L10)&lt;=O10,"Yes","No"))</f>
        <v>Yes</v>
      </c>
      <c r="S10" s="32" t="str">
        <f aca="false">IF(L10="","",IF(ABS(L10)&lt;=1.96*O10,"Yes","No"))</f>
        <v>Yes</v>
      </c>
      <c r="T10" s="60" t="n">
        <f aca="false">IF(D10="","",ROUND(SQRT(((D10+G10)*O10/100)^2+(J10*(D10+G10)*0.07859)^2),0))</f>
        <v>84</v>
      </c>
      <c r="U10" s="32"/>
    </row>
    <row r="11" customFormat="false" ht="15" hidden="false" customHeight="false" outlineLevel="0" collapsed="false">
      <c r="A11" s="32" t="s">
        <v>162</v>
      </c>
      <c r="B11" s="32" t="s">
        <v>177</v>
      </c>
      <c r="C11" s="32" t="s">
        <v>164</v>
      </c>
      <c r="D11" s="60" t="n">
        <v>41</v>
      </c>
      <c r="E11" s="60" t="n">
        <v>38</v>
      </c>
      <c r="F11" s="69" t="n">
        <f aca="false">IF(E11="","",D11-E11)</f>
        <v>3</v>
      </c>
      <c r="G11" s="60" t="n">
        <v>98</v>
      </c>
      <c r="H11" s="60" t="n">
        <v>107</v>
      </c>
      <c r="I11" s="69" t="n">
        <f aca="false">IF(H11="","",G11-H11)</f>
        <v>-9</v>
      </c>
      <c r="J11" s="40" t="n">
        <f aca="false">IF(OR(D11="",D11+G11=0),"",D11/(D11+G11))</f>
        <v>0.294964028776978</v>
      </c>
      <c r="K11" s="40" t="n">
        <f aca="false">IF(E11="","",E11/(E11+H11))</f>
        <v>0.262068965517241</v>
      </c>
      <c r="L11" s="70" t="n">
        <f aca="false">IF(OR(K11="",J11=""),"",(J11-K11)*100)</f>
        <v>3.2895063259737</v>
      </c>
      <c r="M11" s="36" t="n">
        <v>4.33926976222454</v>
      </c>
      <c r="N11" s="36" t="n">
        <v>2.5925072682662</v>
      </c>
      <c r="O11" s="36" t="n">
        <f aca="false">SQRT(M11^2+N11^2)</f>
        <v>5.05473599759367</v>
      </c>
      <c r="P11" s="40" t="n">
        <f aca="false">IF(J11="","",MAX(0,J11-1.96*O11/100))</f>
        <v>0.195891203224142</v>
      </c>
      <c r="Q11" s="40" t="n">
        <f aca="false">IF(J11="","",MIN(1,J11+1.96*O11/100))</f>
        <v>0.394036854329814</v>
      </c>
      <c r="R11" s="32" t="str">
        <f aca="false">IF(L11="","",IF(ABS(L11)&lt;=O11,"Yes","No"))</f>
        <v>Yes</v>
      </c>
      <c r="S11" s="32" t="str">
        <f aca="false">IF(L11="","",IF(ABS(L11)&lt;=1.96*O11,"Yes","No"))</f>
        <v>Yes</v>
      </c>
      <c r="T11" s="60" t="n">
        <f aca="false">IF(D11="","",ROUND(SQRT(((D11+G11)*O11/100)^2+(J11*(D11+G11)*0.07859)^2),0))</f>
        <v>8</v>
      </c>
      <c r="U11" s="32"/>
    </row>
    <row r="12" customFormat="false" ht="15" hidden="false" customHeight="false" outlineLevel="0" collapsed="false">
      <c r="A12" s="32" t="s">
        <v>162</v>
      </c>
      <c r="B12" s="32" t="s">
        <v>178</v>
      </c>
      <c r="C12" s="32" t="s">
        <v>164</v>
      </c>
      <c r="D12" s="60" t="n">
        <v>52</v>
      </c>
      <c r="E12" s="60" t="n">
        <v>58</v>
      </c>
      <c r="F12" s="69" t="n">
        <f aca="false">IF(E12="","",D12-E12)</f>
        <v>-6</v>
      </c>
      <c r="G12" s="60" t="n">
        <v>212</v>
      </c>
      <c r="H12" s="60" t="n">
        <v>216</v>
      </c>
      <c r="I12" s="69" t="n">
        <f aca="false">IF(H12="","",G12-H12)</f>
        <v>-4</v>
      </c>
      <c r="J12" s="40" t="n">
        <f aca="false">IF(OR(D12="",D12+G12=0),"",D12/(D12+G12))</f>
        <v>0.196969696969697</v>
      </c>
      <c r="K12" s="40" t="n">
        <f aca="false">IF(E12="","",E12/(E12+H12))</f>
        <v>0.211678832116788</v>
      </c>
      <c r="L12" s="70" t="n">
        <f aca="false">IF(OR(K12="",J12=""),"",(J12-K12)*100)</f>
        <v>-1.47091351470914</v>
      </c>
      <c r="M12" s="36" t="n">
        <v>4.33926976222454</v>
      </c>
      <c r="N12" s="36" t="n">
        <v>2.5925072682662</v>
      </c>
      <c r="O12" s="36" t="n">
        <f aca="false">SQRT(M12^2+N12^2)</f>
        <v>5.05473599759367</v>
      </c>
      <c r="P12" s="40" t="n">
        <f aca="false">IF(J12="","",MAX(0,J12-1.96*O12/100))</f>
        <v>0.097896871416861</v>
      </c>
      <c r="Q12" s="40" t="n">
        <f aca="false">IF(J12="","",MIN(1,J12+1.96*O12/100))</f>
        <v>0.296042522522533</v>
      </c>
      <c r="R12" s="32" t="str">
        <f aca="false">IF(L12="","",IF(ABS(L12)&lt;=O12,"Yes","No"))</f>
        <v>Yes</v>
      </c>
      <c r="S12" s="32" t="str">
        <f aca="false">IF(L12="","",IF(ABS(L12)&lt;=1.96*O12,"Yes","No"))</f>
        <v>Yes</v>
      </c>
      <c r="T12" s="60" t="n">
        <f aca="false">IF(D12="","",ROUND(SQRT(((D12+G12)*O12/100)^2+(J12*(D12+G12)*0.07859)^2),0))</f>
        <v>14</v>
      </c>
      <c r="U12" s="32"/>
    </row>
    <row r="13" customFormat="false" ht="15" hidden="false" customHeight="false" outlineLevel="0" collapsed="false">
      <c r="A13" s="32" t="s">
        <v>162</v>
      </c>
      <c r="B13" s="32" t="s">
        <v>179</v>
      </c>
      <c r="C13" s="32" t="s">
        <v>164</v>
      </c>
      <c r="D13" s="60" t="n">
        <v>896</v>
      </c>
      <c r="E13" s="60" t="n">
        <v>944</v>
      </c>
      <c r="F13" s="69" t="n">
        <f aca="false">IF(E13="","",D13-E13)</f>
        <v>-48</v>
      </c>
      <c r="G13" s="60" t="n">
        <v>1368</v>
      </c>
      <c r="H13" s="60" t="n">
        <v>1486</v>
      </c>
      <c r="I13" s="69" t="n">
        <f aca="false">IF(H13="","",G13-H13)</f>
        <v>-118</v>
      </c>
      <c r="J13" s="40" t="n">
        <f aca="false">IF(OR(D13="",D13+G13=0),"",D13/(D13+G13))</f>
        <v>0.395759717314488</v>
      </c>
      <c r="K13" s="40" t="n">
        <f aca="false">IF(E13="","",E13/(E13+H13))</f>
        <v>0.388477366255144</v>
      </c>
      <c r="L13" s="70" t="n">
        <f aca="false">IF(OR(K13="",J13=""),"",(J13-K13)*100)</f>
        <v>0.728235105934361</v>
      </c>
      <c r="M13" s="36" t="n">
        <v>2.72659205591432</v>
      </c>
      <c r="N13" s="36" t="n">
        <v>2.5925072682662</v>
      </c>
      <c r="O13" s="36" t="n">
        <f aca="false">SQRT(M13^2+N13^2)</f>
        <v>3.76236603421147</v>
      </c>
      <c r="P13" s="40" t="n">
        <f aca="false">IF(J13="","",MAX(0,J13-1.96*O13/100))</f>
        <v>0.322017343043943</v>
      </c>
      <c r="Q13" s="40" t="n">
        <f aca="false">IF(J13="","",MIN(1,J13+1.96*O13/100))</f>
        <v>0.469502091585033</v>
      </c>
      <c r="R13" s="32" t="str">
        <f aca="false">IF(L13="","",IF(ABS(L13)&lt;=O13,"Yes","No"))</f>
        <v>Yes</v>
      </c>
      <c r="S13" s="32" t="str">
        <f aca="false">IF(L13="","",IF(ABS(L13)&lt;=1.96*O13,"Yes","No"))</f>
        <v>Yes</v>
      </c>
      <c r="T13" s="60" t="n">
        <f aca="false">IF(D13="","",ROUND(SQRT(((D13+G13)*O13/100)^2+(J13*(D13+G13)*0.06092)^2),0))</f>
        <v>101</v>
      </c>
      <c r="U13" s="32"/>
    </row>
    <row r="14" customFormat="false" ht="15" hidden="false" customHeight="false" outlineLevel="0" collapsed="false">
      <c r="A14" s="32" t="s">
        <v>162</v>
      </c>
      <c r="B14" s="32" t="s">
        <v>180</v>
      </c>
      <c r="C14" s="32" t="s">
        <v>164</v>
      </c>
      <c r="D14" s="60" t="n">
        <v>503</v>
      </c>
      <c r="E14" s="60" t="n">
        <v>515</v>
      </c>
      <c r="F14" s="69" t="n">
        <f aca="false">IF(E14="","",D14-E14)</f>
        <v>-12</v>
      </c>
      <c r="G14" s="60" t="n">
        <v>1178</v>
      </c>
      <c r="H14" s="60" t="n">
        <v>1293</v>
      </c>
      <c r="I14" s="69" t="n">
        <f aca="false">IF(H14="","",G14-H14)</f>
        <v>-115</v>
      </c>
      <c r="J14" s="40" t="n">
        <f aca="false">IF(OR(D14="",D14+G14=0),"",D14/(D14+G14))</f>
        <v>0.299226650803093</v>
      </c>
      <c r="K14" s="40" t="n">
        <f aca="false">IF(E14="","",E14/(E14+H14))</f>
        <v>0.284845132743363</v>
      </c>
      <c r="L14" s="70" t="n">
        <f aca="false">IF(OR(K14="",J14=""),"",(J14-K14)*100)</f>
        <v>1.43815180597306</v>
      </c>
      <c r="M14" s="36" t="n">
        <v>2.72659205591432</v>
      </c>
      <c r="N14" s="36" t="n">
        <v>2.5925072682662</v>
      </c>
      <c r="O14" s="36" t="n">
        <f aca="false">SQRT(M14^2+N14^2)</f>
        <v>3.76236603421147</v>
      </c>
      <c r="P14" s="40" t="n">
        <f aca="false">IF(J14="","",MAX(0,J14-1.96*O14/100))</f>
        <v>0.225484276532549</v>
      </c>
      <c r="Q14" s="40" t="n">
        <f aca="false">IF(J14="","",MIN(1,J14+1.96*O14/100))</f>
        <v>0.372969025073638</v>
      </c>
      <c r="R14" s="32" t="str">
        <f aca="false">IF(L14="","",IF(ABS(L14)&lt;=O14,"Yes","No"))</f>
        <v>Yes</v>
      </c>
      <c r="S14" s="32" t="str">
        <f aca="false">IF(L14="","",IF(ABS(L14)&lt;=1.96*O14,"Yes","No"))</f>
        <v>Yes</v>
      </c>
      <c r="T14" s="60" t="n">
        <f aca="false">IF(D14="","",ROUND(SQRT(((D14+G14)*O14/100)^2+(J14*(D14+G14)*0.06092)^2),0))</f>
        <v>70</v>
      </c>
      <c r="U14" s="32"/>
    </row>
    <row r="15" customFormat="false" ht="15" hidden="false" customHeight="false" outlineLevel="0" collapsed="false">
      <c r="A15" s="32" t="s">
        <v>162</v>
      </c>
      <c r="B15" s="32" t="s">
        <v>181</v>
      </c>
      <c r="C15" s="32" t="s">
        <v>164</v>
      </c>
      <c r="D15" s="60" t="n">
        <v>604</v>
      </c>
      <c r="E15" s="60" t="n">
        <v>694</v>
      </c>
      <c r="F15" s="69" t="n">
        <f aca="false">IF(E15="","",D15-E15)</f>
        <v>-90</v>
      </c>
      <c r="G15" s="60" t="n">
        <v>1585</v>
      </c>
      <c r="H15" s="60" t="n">
        <v>1695</v>
      </c>
      <c r="I15" s="69" t="n">
        <f aca="false">IF(H15="","",G15-H15)</f>
        <v>-110</v>
      </c>
      <c r="J15" s="40" t="n">
        <f aca="false">IF(OR(D15="",D15+G15=0),"",D15/(D15+G15))</f>
        <v>0.27592507994518</v>
      </c>
      <c r="K15" s="40" t="n">
        <f aca="false">IF(E15="","",E15/(E15+H15))</f>
        <v>0.290498116366681</v>
      </c>
      <c r="L15" s="70" t="n">
        <f aca="false">IF(OR(K15="",J15=""),"",(J15-K15)*100)</f>
        <v>-1.45730364215002</v>
      </c>
      <c r="M15" s="36" t="n">
        <v>2.72659205591432</v>
      </c>
      <c r="N15" s="36" t="n">
        <v>2.5925072682662</v>
      </c>
      <c r="O15" s="36" t="n">
        <f aca="false">SQRT(M15^2+N15^2)</f>
        <v>3.76236603421147</v>
      </c>
      <c r="P15" s="40" t="n">
        <f aca="false">IF(J15="","",MAX(0,J15-1.96*O15/100))</f>
        <v>0.202182705674636</v>
      </c>
      <c r="Q15" s="40" t="n">
        <f aca="false">IF(J15="","",MIN(1,J15+1.96*O15/100))</f>
        <v>0.349667454215725</v>
      </c>
      <c r="R15" s="32" t="str">
        <f aca="false">IF(L15="","",IF(ABS(L15)&lt;=O15,"Yes","No"))</f>
        <v>Yes</v>
      </c>
      <c r="S15" s="32" t="str">
        <f aca="false">IF(L15="","",IF(ABS(L15)&lt;=1.96*O15,"Yes","No"))</f>
        <v>Yes</v>
      </c>
      <c r="T15" s="60" t="n">
        <f aca="false">IF(D15="","",ROUND(SQRT(((D15+G15)*O15/100)^2+(J15*(D15+G15)*0.06092)^2),0))</f>
        <v>90</v>
      </c>
      <c r="U15" s="32"/>
    </row>
    <row r="16" customFormat="false" ht="15" hidden="false" customHeight="false" outlineLevel="0" collapsed="false">
      <c r="A16" s="32" t="s">
        <v>162</v>
      </c>
      <c r="B16" s="32" t="s">
        <v>182</v>
      </c>
      <c r="C16" s="32" t="s">
        <v>164</v>
      </c>
      <c r="D16" s="60" t="n">
        <v>581</v>
      </c>
      <c r="E16" s="60" t="n">
        <v>601</v>
      </c>
      <c r="F16" s="69" t="n">
        <f aca="false">IF(E16="","",D16-E16)</f>
        <v>-20</v>
      </c>
      <c r="G16" s="60" t="n">
        <v>875</v>
      </c>
      <c r="H16" s="60" t="n">
        <v>955</v>
      </c>
      <c r="I16" s="69" t="n">
        <f aca="false">IF(H16="","",G16-H16)</f>
        <v>-80</v>
      </c>
      <c r="J16" s="40" t="n">
        <f aca="false">IF(OR(D16="",D16+G16=0),"",D16/(D16+G16))</f>
        <v>0.399038461538462</v>
      </c>
      <c r="K16" s="40" t="n">
        <f aca="false">IF(E16="","",E16/(E16+H16))</f>
        <v>0.386246786632391</v>
      </c>
      <c r="L16" s="70" t="n">
        <f aca="false">IF(OR(K16="",J16=""),"",(J16-K16)*100)</f>
        <v>1.27916749060708</v>
      </c>
      <c r="M16" s="36" t="n">
        <v>4.33926976222454</v>
      </c>
      <c r="N16" s="36" t="n">
        <v>2.5925072682662</v>
      </c>
      <c r="O16" s="36" t="n">
        <f aca="false">SQRT(M16^2+N16^2)</f>
        <v>5.05473599759367</v>
      </c>
      <c r="P16" s="40" t="n">
        <f aca="false">IF(J16="","",MAX(0,J16-1.96*O16/100))</f>
        <v>0.299965635985626</v>
      </c>
      <c r="Q16" s="40" t="n">
        <f aca="false">IF(J16="","",MIN(1,J16+1.96*O16/100))</f>
        <v>0.498111287091298</v>
      </c>
      <c r="R16" s="32" t="str">
        <f aca="false">IF(L16="","",IF(ABS(L16)&lt;=O16,"Yes","No"))</f>
        <v>Yes</v>
      </c>
      <c r="S16" s="32" t="str">
        <f aca="false">IF(L16="","",IF(ABS(L16)&lt;=1.96*O16,"Yes","No"))</f>
        <v>Yes</v>
      </c>
      <c r="T16" s="60" t="n">
        <f aca="false">IF(D16="","",ROUND(SQRT(((D16+G16)*O16/100)^2+(J16*(D16+G16)*0.07859)^2),0))</f>
        <v>87</v>
      </c>
      <c r="U16" s="32"/>
    </row>
    <row r="17" customFormat="false" ht="15" hidden="false" customHeight="false" outlineLevel="0" collapsed="false">
      <c r="A17" s="32" t="s">
        <v>162</v>
      </c>
      <c r="B17" s="32" t="s">
        <v>183</v>
      </c>
      <c r="C17" s="32" t="s">
        <v>164</v>
      </c>
      <c r="D17" s="60" t="n">
        <v>110</v>
      </c>
      <c r="E17" s="60" t="n">
        <v>134</v>
      </c>
      <c r="F17" s="69" t="n">
        <f aca="false">IF(E17="","",D17-E17)</f>
        <v>-24</v>
      </c>
      <c r="G17" s="60" t="n">
        <v>485</v>
      </c>
      <c r="H17" s="60" t="n">
        <v>505</v>
      </c>
      <c r="I17" s="69" t="n">
        <f aca="false">IF(H17="","",G17-H17)</f>
        <v>-20</v>
      </c>
      <c r="J17" s="40" t="n">
        <f aca="false">IF(OR(D17="",D17+G17=0),"",D17/(D17+G17))</f>
        <v>0.184873949579832</v>
      </c>
      <c r="K17" s="40" t="n">
        <f aca="false">IF(E17="","",E17/(E17+H17))</f>
        <v>0.209702660406886</v>
      </c>
      <c r="L17" s="70" t="n">
        <f aca="false">IF(OR(K17="",J17=""),"",(J17-K17)*100)</f>
        <v>-2.48287108270538</v>
      </c>
      <c r="M17" s="36" t="n">
        <v>4.33926976222454</v>
      </c>
      <c r="N17" s="36" t="n">
        <v>2.5925072682662</v>
      </c>
      <c r="O17" s="36" t="n">
        <f aca="false">SQRT(M17^2+N17^2)</f>
        <v>5.05473599759367</v>
      </c>
      <c r="P17" s="40" t="n">
        <f aca="false">IF(J17="","",MAX(0,J17-1.96*O17/100))</f>
        <v>0.085801124026996</v>
      </c>
      <c r="Q17" s="40" t="n">
        <f aca="false">IF(J17="","",MIN(1,J17+1.96*O17/100))</f>
        <v>0.283946775132668</v>
      </c>
      <c r="R17" s="32" t="str">
        <f aca="false">IF(L17="","",IF(ABS(L17)&lt;=O17,"Yes","No"))</f>
        <v>Yes</v>
      </c>
      <c r="S17" s="32" t="str">
        <f aca="false">IF(L17="","",IF(ABS(L17)&lt;=1.96*O17,"Yes","No"))</f>
        <v>Yes</v>
      </c>
      <c r="T17" s="60" t="n">
        <f aca="false">IF(D17="","",ROUND(SQRT(((D17+G17)*O17/100)^2+(J17*(D17+G17)*0.07859)^2),0))</f>
        <v>31</v>
      </c>
      <c r="U17" s="32"/>
    </row>
    <row r="18" customFormat="false" ht="15" hidden="false" customHeight="false" outlineLevel="0" collapsed="false">
      <c r="A18" s="32" t="s">
        <v>162</v>
      </c>
      <c r="B18" s="32" t="s">
        <v>184</v>
      </c>
      <c r="C18" s="32" t="s">
        <v>164</v>
      </c>
      <c r="D18" s="60" t="n">
        <v>919</v>
      </c>
      <c r="E18" s="60" t="n">
        <v>981</v>
      </c>
      <c r="F18" s="69" t="n">
        <f aca="false">IF(E18="","",D18-E18)</f>
        <v>-62</v>
      </c>
      <c r="G18" s="60" t="n">
        <v>1641</v>
      </c>
      <c r="H18" s="60" t="n">
        <v>1740</v>
      </c>
      <c r="I18" s="69" t="n">
        <f aca="false">IF(H18="","",G18-H18)</f>
        <v>-99</v>
      </c>
      <c r="J18" s="40" t="n">
        <f aca="false">IF(OR(D18="",D18+G18=0),"",D18/(D18+G18))</f>
        <v>0.358984375</v>
      </c>
      <c r="K18" s="40" t="n">
        <f aca="false">IF(E18="","",E18/(E18+H18))</f>
        <v>0.360529217199559</v>
      </c>
      <c r="L18" s="70" t="n">
        <f aca="false">IF(OR(K18="",J18=""),"",(J18-K18)*100)</f>
        <v>-0.154484219955897</v>
      </c>
      <c r="M18" s="36" t="n">
        <v>2.72659205591432</v>
      </c>
      <c r="N18" s="36" t="n">
        <v>2.5925072682662</v>
      </c>
      <c r="O18" s="36" t="n">
        <f aca="false">SQRT(M18^2+N18^2)</f>
        <v>3.76236603421147</v>
      </c>
      <c r="P18" s="40" t="n">
        <f aca="false">IF(J18="","",MAX(0,J18-1.96*O18/100))</f>
        <v>0.285242000729455</v>
      </c>
      <c r="Q18" s="40" t="n">
        <f aca="false">IF(J18="","",MIN(1,J18+1.96*O18/100))</f>
        <v>0.432726749270545</v>
      </c>
      <c r="R18" s="32" t="str">
        <f aca="false">IF(L18="","",IF(ABS(L18)&lt;=O18,"Yes","No"))</f>
        <v>Yes</v>
      </c>
      <c r="S18" s="32" t="str">
        <f aca="false">IF(L18="","",IF(ABS(L18)&lt;=1.96*O18,"Yes","No"))</f>
        <v>Yes</v>
      </c>
      <c r="T18" s="60" t="n">
        <f aca="false">IF(D18="","",ROUND(SQRT(((D18+G18)*O18/100)^2+(J18*(D18+G18)*0.06092)^2),0))</f>
        <v>111</v>
      </c>
      <c r="U18" s="32"/>
    </row>
    <row r="19" customFormat="false" ht="15" hidden="false" customHeight="false" outlineLevel="0" collapsed="false">
      <c r="A19" s="32" t="s">
        <v>162</v>
      </c>
      <c r="B19" s="32" t="s">
        <v>185</v>
      </c>
      <c r="C19" s="32" t="s">
        <v>164</v>
      </c>
      <c r="D19" s="60" t="n">
        <v>57</v>
      </c>
      <c r="E19" s="60" t="n">
        <v>74</v>
      </c>
      <c r="F19" s="69" t="n">
        <f aca="false">IF(E19="","",D19-E19)</f>
        <v>-17</v>
      </c>
      <c r="G19" s="60" t="n">
        <v>158</v>
      </c>
      <c r="H19" s="60" t="n">
        <v>162</v>
      </c>
      <c r="I19" s="69" t="n">
        <f aca="false">IF(H19="","",G19-H19)</f>
        <v>-4</v>
      </c>
      <c r="J19" s="40" t="n">
        <f aca="false">IF(OR(D19="",D19+G19=0),"",D19/(D19+G19))</f>
        <v>0.265116279069767</v>
      </c>
      <c r="K19" s="40" t="n">
        <f aca="false">IF(E19="","",E19/(E19+H19))</f>
        <v>0.313559322033898</v>
      </c>
      <c r="L19" s="70" t="n">
        <f aca="false">IF(OR(K19="",J19=""),"",(J19-K19)*100)</f>
        <v>-4.84430429641309</v>
      </c>
      <c r="M19" s="36" t="n">
        <v>4.33926976222454</v>
      </c>
      <c r="N19" s="36" t="n">
        <v>2.5925072682662</v>
      </c>
      <c r="O19" s="36" t="n">
        <f aca="false">SQRT(M19^2+N19^2)</f>
        <v>5.05473599759367</v>
      </c>
      <c r="P19" s="40" t="n">
        <f aca="false">IF(J19="","",MAX(0,J19-1.96*O19/100))</f>
        <v>0.166043453516931</v>
      </c>
      <c r="Q19" s="40" t="n">
        <f aca="false">IF(J19="","",MIN(1,J19+1.96*O19/100))</f>
        <v>0.364189104622603</v>
      </c>
      <c r="R19" s="32" t="str">
        <f aca="false">IF(L19="","",IF(ABS(L19)&lt;=O19,"Yes","No"))</f>
        <v>Yes</v>
      </c>
      <c r="S19" s="32" t="str">
        <f aca="false">IF(L19="","",IF(ABS(L19)&lt;=1.96*O19,"Yes","No"))</f>
        <v>Yes</v>
      </c>
      <c r="T19" s="60" t="n">
        <f aca="false">IF(D19="","",ROUND(SQRT(((D19+G19)*O19/100)^2+(J19*(D19+G19)*0.07859)^2),0))</f>
        <v>12</v>
      </c>
      <c r="U19" s="32"/>
    </row>
    <row r="20" customFormat="false" ht="15" hidden="false" customHeight="false" outlineLevel="0" collapsed="false">
      <c r="A20" s="32" t="s">
        <v>162</v>
      </c>
      <c r="B20" s="32" t="s">
        <v>186</v>
      </c>
      <c r="C20" s="32" t="s">
        <v>164</v>
      </c>
      <c r="D20" s="60" t="n">
        <v>1867</v>
      </c>
      <c r="E20" s="60" t="n">
        <v>2047</v>
      </c>
      <c r="F20" s="69" t="n">
        <f aca="false">IF(E20="","",D20-E20)</f>
        <v>-180</v>
      </c>
      <c r="G20" s="60" t="n">
        <v>3366</v>
      </c>
      <c r="H20" s="60" t="n">
        <v>3702</v>
      </c>
      <c r="I20" s="69" t="n">
        <f aca="false">IF(H20="","",G20-H20)</f>
        <v>-336</v>
      </c>
      <c r="J20" s="40" t="n">
        <f aca="false">IF(OR(D20="",D20+G20=0),"",D20/(D20+G20))</f>
        <v>0.356774316835467</v>
      </c>
      <c r="K20" s="40" t="n">
        <f aca="false">IF(E20="","",E20/(E20+H20))</f>
        <v>0.356061923812837</v>
      </c>
      <c r="L20" s="70" t="n">
        <f aca="false">IF(OR(K20="",J20=""),"",(J20-K20)*100)</f>
        <v>0.0712393022630209</v>
      </c>
      <c r="M20" s="36" t="n">
        <v>2.5956073329947</v>
      </c>
      <c r="N20" s="36" t="n">
        <v>2.5925072682662</v>
      </c>
      <c r="O20" s="36" t="n">
        <f aca="false">SQRT(M20^2+N20^2)</f>
        <v>3.66855167104253</v>
      </c>
      <c r="P20" s="40" t="n">
        <f aca="false">IF(J20="","",MAX(0,J20-1.96*O20/100))</f>
        <v>0.284870704083034</v>
      </c>
      <c r="Q20" s="40" t="n">
        <f aca="false">IF(J20="","",MIN(1,J20+1.96*O20/100))</f>
        <v>0.428677929587901</v>
      </c>
      <c r="R20" s="32" t="str">
        <f aca="false">IF(L20="","",IF(ABS(L20)&lt;=O20,"Yes","No"))</f>
        <v>Yes</v>
      </c>
      <c r="S20" s="32" t="str">
        <f aca="false">IF(L20="","",IF(ABS(L20)&lt;=1.96*O20,"Yes","No"))</f>
        <v>Yes</v>
      </c>
      <c r="T20" s="60" t="n">
        <f aca="false">IF(D20="","",ROUND(SQRT(((D20+G20)*O20/100)^2+(J20*(D20+G20)*0.05464)^2),0))</f>
        <v>217</v>
      </c>
      <c r="U20" s="32"/>
    </row>
    <row r="21" customFormat="false" ht="15" hidden="false" customHeight="false" outlineLevel="0" collapsed="false">
      <c r="A21" s="32" t="s">
        <v>162</v>
      </c>
      <c r="B21" s="32" t="s">
        <v>188</v>
      </c>
      <c r="C21" s="32" t="s">
        <v>164</v>
      </c>
      <c r="D21" s="60" t="n">
        <v>648</v>
      </c>
      <c r="E21" s="60" t="n">
        <v>660</v>
      </c>
      <c r="F21" s="69" t="n">
        <f aca="false">IF(E21="","",D21-E21)</f>
        <v>-12</v>
      </c>
      <c r="G21" s="60" t="n">
        <v>890</v>
      </c>
      <c r="H21" s="60" t="n">
        <v>913</v>
      </c>
      <c r="I21" s="69" t="n">
        <f aca="false">IF(H21="","",G21-H21)</f>
        <v>-23</v>
      </c>
      <c r="J21" s="40" t="n">
        <f aca="false">IF(OR(D21="",D21+G21=0),"",D21/(D21+G21))</f>
        <v>0.421326397919376</v>
      </c>
      <c r="K21" s="40" t="n">
        <f aca="false">IF(E21="","",E21/(E21+H21))</f>
        <v>0.41958041958042</v>
      </c>
      <c r="L21" s="70" t="n">
        <f aca="false">IF(OR(K21="",J21=""),"",(J21-K21)*100)</f>
        <v>0.174597833895623</v>
      </c>
      <c r="M21" s="36" t="n">
        <v>4.33926976222454</v>
      </c>
      <c r="N21" s="36" t="n">
        <v>2.5925072682662</v>
      </c>
      <c r="O21" s="36" t="n">
        <f aca="false">SQRT(M21^2+N21^2)</f>
        <v>5.05473599759367</v>
      </c>
      <c r="P21" s="40" t="n">
        <f aca="false">IF(J21="","",MAX(0,J21-1.96*O21/100))</f>
        <v>0.32225357236654</v>
      </c>
      <c r="Q21" s="40" t="n">
        <f aca="false">IF(J21="","",MIN(1,J21+1.96*O21/100))</f>
        <v>0.520399223472212</v>
      </c>
      <c r="R21" s="32" t="str">
        <f aca="false">IF(L21="","",IF(ABS(L21)&lt;=O21,"Yes","No"))</f>
        <v>Yes</v>
      </c>
      <c r="S21" s="32" t="str">
        <f aca="false">IF(L21="","",IF(ABS(L21)&lt;=1.96*O21,"Yes","No"))</f>
        <v>Yes</v>
      </c>
      <c r="T21" s="60" t="n">
        <f aca="false">IF(D21="","",ROUND(SQRT(((D21+G21)*O21/100)^2+(J21*(D21+G21)*0.07859)^2),0))</f>
        <v>93</v>
      </c>
      <c r="U21" s="32"/>
    </row>
    <row r="22" customFormat="false" ht="15" hidden="false" customHeight="false" outlineLevel="0" collapsed="false">
      <c r="A22" s="32" t="s">
        <v>162</v>
      </c>
      <c r="B22" s="32" t="s">
        <v>189</v>
      </c>
      <c r="C22" s="32" t="s">
        <v>164</v>
      </c>
      <c r="D22" s="60" t="n">
        <v>715</v>
      </c>
      <c r="E22" s="60" t="n">
        <v>802</v>
      </c>
      <c r="F22" s="69" t="n">
        <f aca="false">IF(E22="","",D22-E22)</f>
        <v>-87</v>
      </c>
      <c r="G22" s="60" t="n">
        <v>1929</v>
      </c>
      <c r="H22" s="60" t="n">
        <v>1955</v>
      </c>
      <c r="I22" s="69" t="n">
        <f aca="false">IF(H22="","",G22-H22)</f>
        <v>-26</v>
      </c>
      <c r="J22" s="40" t="n">
        <f aca="false">IF(OR(D22="",D22+G22=0),"",D22/(D22+G22))</f>
        <v>0.270423600605144</v>
      </c>
      <c r="K22" s="40" t="n">
        <f aca="false">IF(E22="","",E22/(E22+H22))</f>
        <v>0.290895901342038</v>
      </c>
      <c r="L22" s="70" t="n">
        <f aca="false">IF(OR(K22="",J22=""),"",(J22-K22)*100)</f>
        <v>-2.04723007368948</v>
      </c>
      <c r="M22" s="36" t="n">
        <v>2.72659205591432</v>
      </c>
      <c r="N22" s="36" t="n">
        <v>2.5925072682662</v>
      </c>
      <c r="O22" s="36" t="n">
        <f aca="false">SQRT(M22^2+N22^2)</f>
        <v>3.76236603421147</v>
      </c>
      <c r="P22" s="40" t="n">
        <f aca="false">IF(J22="","",MAX(0,J22-1.96*O22/100))</f>
        <v>0.196681226334599</v>
      </c>
      <c r="Q22" s="40" t="n">
        <f aca="false">IF(J22="","",MIN(1,J22+1.96*O22/100))</f>
        <v>0.344165974875689</v>
      </c>
      <c r="R22" s="32" t="str">
        <f aca="false">IF(L22="","",IF(ABS(L22)&lt;=O22,"Yes","No"))</f>
        <v>Yes</v>
      </c>
      <c r="S22" s="32" t="str">
        <f aca="false">IF(L22="","",IF(ABS(L22)&lt;=1.96*O22,"Yes","No"))</f>
        <v>Yes</v>
      </c>
      <c r="T22" s="60" t="n">
        <f aca="false">IF(D22="","",ROUND(SQRT(((D22+G22)*O22/100)^2+(J22*(D22+G22)*0.06092)^2),0))</f>
        <v>109</v>
      </c>
      <c r="U22" s="32"/>
    </row>
    <row r="23" customFormat="false" ht="15" hidden="false" customHeight="false" outlineLevel="0" collapsed="false">
      <c r="A23" s="32" t="s">
        <v>162</v>
      </c>
      <c r="B23" s="32" t="s">
        <v>190</v>
      </c>
      <c r="C23" s="32" t="s">
        <v>164</v>
      </c>
      <c r="D23" s="60" t="n">
        <v>326</v>
      </c>
      <c r="E23" s="60" t="n">
        <v>351</v>
      </c>
      <c r="F23" s="69" t="n">
        <f aca="false">IF(E23="","",D23-E23)</f>
        <v>-25</v>
      </c>
      <c r="G23" s="60" t="n">
        <v>863</v>
      </c>
      <c r="H23" s="60" t="n">
        <v>849</v>
      </c>
      <c r="I23" s="69" t="n">
        <f aca="false">IF(H23="","",G23-H23)</f>
        <v>14</v>
      </c>
      <c r="J23" s="40" t="n">
        <f aca="false">IF(OR(D23="",D23+G23=0),"",D23/(D23+G23))</f>
        <v>0.274179983179142</v>
      </c>
      <c r="K23" s="40" t="n">
        <f aca="false">IF(E23="","",E23/(E23+H23))</f>
        <v>0.2925</v>
      </c>
      <c r="L23" s="70" t="n">
        <f aca="false">IF(OR(K23="",J23=""),"",(J23-K23)*100)</f>
        <v>-1.83200168208578</v>
      </c>
      <c r="M23" s="36" t="n">
        <v>4.33926976222454</v>
      </c>
      <c r="N23" s="36" t="n">
        <v>2.5925072682662</v>
      </c>
      <c r="O23" s="36" t="n">
        <f aca="false">SQRT(M23^2+N23^2)</f>
        <v>5.05473599759367</v>
      </c>
      <c r="P23" s="40" t="n">
        <f aca="false">IF(J23="","",MAX(0,J23-1.96*O23/100))</f>
        <v>0.175107157626306</v>
      </c>
      <c r="Q23" s="40" t="n">
        <f aca="false">IF(J23="","",MIN(1,J23+1.96*O23/100))</f>
        <v>0.373252808731978</v>
      </c>
      <c r="R23" s="32" t="str">
        <f aca="false">IF(L23="","",IF(ABS(L23)&lt;=O23,"Yes","No"))</f>
        <v>Yes</v>
      </c>
      <c r="S23" s="32" t="str">
        <f aca="false">IF(L23="","",IF(ABS(L23)&lt;=1.96*O23,"Yes","No"))</f>
        <v>Yes</v>
      </c>
      <c r="T23" s="60" t="n">
        <f aca="false">IF(D23="","",ROUND(SQRT(((D23+G23)*O23/100)^2+(J23*(D23+G23)*0.07859)^2),0))</f>
        <v>65</v>
      </c>
      <c r="U23" s="32"/>
    </row>
    <row r="24" customFormat="false" ht="15" hidden="false" customHeight="false" outlineLevel="0" collapsed="false">
      <c r="A24" s="32" t="s">
        <v>162</v>
      </c>
      <c r="B24" s="32" t="s">
        <v>191</v>
      </c>
      <c r="C24" s="32" t="s">
        <v>164</v>
      </c>
      <c r="D24" s="60" t="n">
        <v>55</v>
      </c>
      <c r="E24" s="60" t="n">
        <v>58</v>
      </c>
      <c r="F24" s="69" t="n">
        <f aca="false">IF(E24="","",D24-E24)</f>
        <v>-3</v>
      </c>
      <c r="G24" s="60" t="n">
        <v>88</v>
      </c>
      <c r="H24" s="60" t="n">
        <v>105</v>
      </c>
      <c r="I24" s="69" t="n">
        <f aca="false">IF(H24="","",G24-H24)</f>
        <v>-17</v>
      </c>
      <c r="J24" s="40" t="n">
        <f aca="false">IF(OR(D24="",D24+G24=0),"",D24/(D24+G24))</f>
        <v>0.384615384615385</v>
      </c>
      <c r="K24" s="40" t="n">
        <f aca="false">IF(E24="","",E24/(E24+H24))</f>
        <v>0.355828220858896</v>
      </c>
      <c r="L24" s="70" t="n">
        <f aca="false">IF(OR(K24="",J24=""),"",(J24-K24)*100)</f>
        <v>2.87871637564889</v>
      </c>
      <c r="M24" s="36" t="n">
        <v>4.33926976222454</v>
      </c>
      <c r="N24" s="36" t="n">
        <v>2.5925072682662</v>
      </c>
      <c r="O24" s="36" t="n">
        <f aca="false">SQRT(M24^2+N24^2)</f>
        <v>5.05473599759367</v>
      </c>
      <c r="P24" s="40" t="n">
        <f aca="false">IF(J24="","",MAX(0,J24-1.96*O24/100))</f>
        <v>0.285542559062549</v>
      </c>
      <c r="Q24" s="40" t="n">
        <f aca="false">IF(J24="","",MIN(1,J24+1.96*O24/100))</f>
        <v>0.483688210168221</v>
      </c>
      <c r="R24" s="32" t="str">
        <f aca="false">IF(L24="","",IF(ABS(L24)&lt;=O24,"Yes","No"))</f>
        <v>Yes</v>
      </c>
      <c r="S24" s="32" t="str">
        <f aca="false">IF(L24="","",IF(ABS(L24)&lt;=1.96*O24,"Yes","No"))</f>
        <v>Yes</v>
      </c>
      <c r="T24" s="60" t="n">
        <f aca="false">IF(D24="","",ROUND(SQRT(((D24+G24)*O24/100)^2+(J24*(D24+G24)*0.07859)^2),0))</f>
        <v>8</v>
      </c>
      <c r="U24" s="32"/>
    </row>
    <row r="25" customFormat="false" ht="15" hidden="false" customHeight="false" outlineLevel="0" collapsed="false">
      <c r="A25" s="32" t="s">
        <v>192</v>
      </c>
      <c r="B25" s="32" t="s">
        <v>193</v>
      </c>
      <c r="C25" s="32" t="s">
        <v>164</v>
      </c>
      <c r="D25" s="60" t="n">
        <v>666</v>
      </c>
      <c r="E25" s="60" t="n">
        <v>601</v>
      </c>
      <c r="F25" s="69" t="n">
        <f aca="false">IF(E25="","",D25-E25)</f>
        <v>65</v>
      </c>
      <c r="G25" s="60" t="n">
        <v>748</v>
      </c>
      <c r="H25" s="60" t="n">
        <v>766</v>
      </c>
      <c r="I25" s="69" t="n">
        <f aca="false">IF(H25="","",G25-H25)</f>
        <v>-18</v>
      </c>
      <c r="J25" s="40" t="n">
        <f aca="false">IF(OR(D25="",D25+G25=0),"",D25/(D25+G25))</f>
        <v>0.471004243281471</v>
      </c>
      <c r="K25" s="40" t="n">
        <f aca="false">IF(E25="","",E25/(E25+H25))</f>
        <v>0.439648866130212</v>
      </c>
      <c r="L25" s="70" t="n">
        <f aca="false">IF(OR(K25="",J25=""),"",(J25-K25)*100)</f>
        <v>3.13553771512589</v>
      </c>
      <c r="M25" s="36" t="n">
        <v>4.33926976222454</v>
      </c>
      <c r="N25" s="36" t="n">
        <v>2.5925072682662</v>
      </c>
      <c r="O25" s="36" t="n">
        <f aca="false">SQRT(M25^2+N25^2)</f>
        <v>5.05473599759367</v>
      </c>
      <c r="P25" s="40" t="n">
        <f aca="false">IF(J25="","",MAX(0,J25-1.96*O25/100))</f>
        <v>0.371931417728635</v>
      </c>
      <c r="Q25" s="40" t="n">
        <f aca="false">IF(J25="","",MIN(1,J25+1.96*O25/100))</f>
        <v>0.570077068834307</v>
      </c>
      <c r="R25" s="32" t="str">
        <f aca="false">IF(L25="","",IF(ABS(L25)&lt;=O25,"Yes","No"))</f>
        <v>Yes</v>
      </c>
      <c r="S25" s="32" t="str">
        <f aca="false">IF(L25="","",IF(ABS(L25)&lt;=1.96*O25,"Yes","No"))</f>
        <v>Yes</v>
      </c>
      <c r="T25" s="60" t="n">
        <f aca="false">IF(D25="","",ROUND(SQRT(((D25+G25)*O25/100)^2+(J25*(D25+G25)*0.07859)^2),0))</f>
        <v>89</v>
      </c>
      <c r="U25" s="32"/>
    </row>
    <row r="26" customFormat="false" ht="15" hidden="false" customHeight="false" outlineLevel="0" collapsed="false">
      <c r="A26" s="32" t="s">
        <v>192</v>
      </c>
      <c r="B26" s="32" t="s">
        <v>194</v>
      </c>
      <c r="C26" s="32" t="s">
        <v>164</v>
      </c>
      <c r="D26" s="60" t="n">
        <v>27632</v>
      </c>
      <c r="E26" s="60" t="n">
        <v>26568</v>
      </c>
      <c r="F26" s="69" t="n">
        <f aca="false">IF(E26="","",D26-E26)</f>
        <v>1064</v>
      </c>
      <c r="G26" s="60" t="n">
        <v>14053</v>
      </c>
      <c r="H26" s="60" t="n">
        <v>14583</v>
      </c>
      <c r="I26" s="69" t="n">
        <f aca="false">IF(H26="","",G26-H26)</f>
        <v>-530</v>
      </c>
      <c r="J26" s="40" t="n">
        <f aca="false">IF(OR(D26="",D26+G26=0),"",D26/(D26+G26))</f>
        <v>0.662876334412858</v>
      </c>
      <c r="K26" s="40" t="n">
        <f aca="false">IF(E26="","",E26/(E26+H26))</f>
        <v>0.645622220602172</v>
      </c>
      <c r="L26" s="70" t="n">
        <f aca="false">IF(OR(K26="",J26=""),"",(J26-K26)*100)</f>
        <v>1.72541138106859</v>
      </c>
      <c r="M26" s="36" t="n">
        <v>2.5956073329947</v>
      </c>
      <c r="N26" s="36" t="n">
        <v>2.5925072682662</v>
      </c>
      <c r="O26" s="36" t="n">
        <f aca="false">SQRT(M26^2+N26^2)</f>
        <v>3.66855167104253</v>
      </c>
      <c r="P26" s="40" t="n">
        <f aca="false">IF(J26="","",MAX(0,J26-1.96*O26/100))</f>
        <v>0.590972721660425</v>
      </c>
      <c r="Q26" s="40" t="n">
        <f aca="false">IF(J26="","",MIN(1,J26+1.96*O26/100))</f>
        <v>0.734779947165292</v>
      </c>
      <c r="R26" s="32" t="str">
        <f aca="false">IF(L26="","",IF(ABS(L26)&lt;=O26,"Yes","No"))</f>
        <v>Yes</v>
      </c>
      <c r="S26" s="32" t="str">
        <f aca="false">IF(L26="","",IF(ABS(L26)&lt;=1.96*O26,"Yes","No"))</f>
        <v>Yes</v>
      </c>
      <c r="T26" s="60" t="n">
        <f aca="false">IF(D26="","",ROUND(SQRT(((D26+G26)*O26/100)^2+(J26*(D26+G26)*0.05464)^2),0))</f>
        <v>2149</v>
      </c>
      <c r="U26" s="32"/>
    </row>
    <row r="27" customFormat="false" ht="15" hidden="false" customHeight="false" outlineLevel="0" collapsed="false">
      <c r="A27" s="32" t="s">
        <v>192</v>
      </c>
      <c r="B27" s="32" t="s">
        <v>195</v>
      </c>
      <c r="C27" s="32" t="s">
        <v>164</v>
      </c>
      <c r="D27" s="60" t="n">
        <v>6651</v>
      </c>
      <c r="E27" s="60" t="n">
        <v>6612</v>
      </c>
      <c r="F27" s="69" t="n">
        <f aca="false">IF(E27="","",D27-E27)</f>
        <v>39</v>
      </c>
      <c r="G27" s="60" t="n">
        <v>3989</v>
      </c>
      <c r="H27" s="60" t="n">
        <v>3834</v>
      </c>
      <c r="I27" s="69" t="n">
        <f aca="false">IF(H27="","",G27-H27)</f>
        <v>155</v>
      </c>
      <c r="J27" s="40" t="n">
        <f aca="false">IF(OR(D27="",D27+G27=0),"",D27/(D27+G27))</f>
        <v>0.625093984962406</v>
      </c>
      <c r="K27" s="40" t="n">
        <f aca="false">IF(E27="","",E27/(E27+H27))</f>
        <v>0.632969557725445</v>
      </c>
      <c r="L27" s="70" t="n">
        <f aca="false">IF(OR(K27="",J27=""),"",(J27-K27)*100)</f>
        <v>-0.787557276303919</v>
      </c>
      <c r="M27" s="36" t="n">
        <v>2.5956073329947</v>
      </c>
      <c r="N27" s="36" t="n">
        <v>2.5925072682662</v>
      </c>
      <c r="O27" s="36" t="n">
        <f aca="false">SQRT(M27^2+N27^2)</f>
        <v>3.66855167104253</v>
      </c>
      <c r="P27" s="40" t="n">
        <f aca="false">IF(J27="","",MAX(0,J27-1.96*O27/100))</f>
        <v>0.553190372209972</v>
      </c>
      <c r="Q27" s="40" t="n">
        <f aca="false">IF(J27="","",MIN(1,J27+1.96*O27/100))</f>
        <v>0.69699759771484</v>
      </c>
      <c r="R27" s="32" t="str">
        <f aca="false">IF(L27="","",IF(ABS(L27)&lt;=O27,"Yes","No"))</f>
        <v>Yes</v>
      </c>
      <c r="S27" s="32" t="str">
        <f aca="false">IF(L27="","",IF(ABS(L27)&lt;=1.96*O27,"Yes","No"))</f>
        <v>Yes</v>
      </c>
      <c r="T27" s="60" t="n">
        <f aca="false">IF(D27="","",ROUND(SQRT(((D27+G27)*O27/100)^2+(J27*(D27+G27)*0.05464)^2),0))</f>
        <v>533</v>
      </c>
      <c r="U27" s="32"/>
    </row>
    <row r="28" customFormat="false" ht="15" hidden="false" customHeight="false" outlineLevel="0" collapsed="false">
      <c r="A28" s="32" t="s">
        <v>192</v>
      </c>
      <c r="B28" s="32" t="s">
        <v>196</v>
      </c>
      <c r="C28" s="32" t="s">
        <v>164</v>
      </c>
      <c r="D28" s="60" t="n">
        <v>1601</v>
      </c>
      <c r="E28" s="60" t="n">
        <v>1560</v>
      </c>
      <c r="F28" s="69" t="n">
        <f aca="false">IF(E28="","",D28-E28)</f>
        <v>41</v>
      </c>
      <c r="G28" s="60" t="n">
        <v>1485</v>
      </c>
      <c r="H28" s="60" t="n">
        <v>1491</v>
      </c>
      <c r="I28" s="69" t="n">
        <f aca="false">IF(H28="","",G28-H28)</f>
        <v>-6</v>
      </c>
      <c r="J28" s="40" t="n">
        <f aca="false">IF(OR(D28="",D28+G28=0),"",D28/(D28+G28))</f>
        <v>0.518794556059624</v>
      </c>
      <c r="K28" s="40" t="n">
        <f aca="false">IF(E28="","",E28/(E28+H28))</f>
        <v>0.511307767944936</v>
      </c>
      <c r="L28" s="70" t="n">
        <f aca="false">IF(OR(K28="",J28=""),"",(J28-K28)*100)</f>
        <v>0.748678811468806</v>
      </c>
      <c r="M28" s="36" t="n">
        <v>2.72659205591432</v>
      </c>
      <c r="N28" s="36" t="n">
        <v>2.5925072682662</v>
      </c>
      <c r="O28" s="36" t="n">
        <f aca="false">SQRT(M28^2+N28^2)</f>
        <v>3.76236603421147</v>
      </c>
      <c r="P28" s="40" t="n">
        <f aca="false">IF(J28="","",MAX(0,J28-1.96*O28/100))</f>
        <v>0.445052181789079</v>
      </c>
      <c r="Q28" s="40" t="n">
        <f aca="false">IF(J28="","",MIN(1,J28+1.96*O28/100))</f>
        <v>0.592536930330169</v>
      </c>
      <c r="R28" s="32" t="str">
        <f aca="false">IF(L28="","",IF(ABS(L28)&lt;=O28,"Yes","No"))</f>
        <v>Yes</v>
      </c>
      <c r="S28" s="32" t="str">
        <f aca="false">IF(L28="","",IF(ABS(L28)&lt;=1.96*O28,"Yes","No"))</f>
        <v>Yes</v>
      </c>
      <c r="T28" s="60" t="n">
        <f aca="false">IF(D28="","",ROUND(SQRT(((D28+G28)*O28/100)^2+(J28*(D28+G28)*0.06092)^2),0))</f>
        <v>152</v>
      </c>
      <c r="U28" s="32"/>
    </row>
    <row r="29" customFormat="false" ht="15" hidden="false" customHeight="false" outlineLevel="0" collapsed="false">
      <c r="A29" s="32" t="s">
        <v>192</v>
      </c>
      <c r="B29" s="32" t="s">
        <v>197</v>
      </c>
      <c r="C29" s="32" t="s">
        <v>164</v>
      </c>
      <c r="D29" s="60" t="n">
        <v>747</v>
      </c>
      <c r="E29" s="60" t="n">
        <v>735</v>
      </c>
      <c r="F29" s="69" t="n">
        <f aca="false">IF(E29="","",D29-E29)</f>
        <v>12</v>
      </c>
      <c r="G29" s="60" t="n">
        <v>824</v>
      </c>
      <c r="H29" s="60" t="n">
        <v>804</v>
      </c>
      <c r="I29" s="69" t="n">
        <f aca="false">IF(H29="","",G29-H29)</f>
        <v>20</v>
      </c>
      <c r="J29" s="40" t="n">
        <f aca="false">IF(OR(D29="",D29+G29=0),"",D29/(D29+G29))</f>
        <v>0.475493316359007</v>
      </c>
      <c r="K29" s="40" t="n">
        <f aca="false">IF(E29="","",E29/(E29+H29))</f>
        <v>0.477582846003899</v>
      </c>
      <c r="L29" s="70" t="n">
        <f aca="false">IF(OR(K29="",J29=""),"",(J29-K29)*100)</f>
        <v>-0.208952964489162</v>
      </c>
      <c r="M29" s="36" t="n">
        <v>2.72659205591432</v>
      </c>
      <c r="N29" s="36" t="n">
        <v>2.5925072682662</v>
      </c>
      <c r="O29" s="36" t="n">
        <f aca="false">SQRT(M29^2+N29^2)</f>
        <v>3.76236603421147</v>
      </c>
      <c r="P29" s="40" t="n">
        <f aca="false">IF(J29="","",MAX(0,J29-1.96*O29/100))</f>
        <v>0.401750942088462</v>
      </c>
      <c r="Q29" s="40" t="n">
        <f aca="false">IF(J29="","",MIN(1,J29+1.96*O29/100))</f>
        <v>0.549235690629552</v>
      </c>
      <c r="R29" s="32" t="str">
        <f aca="false">IF(L29="","",IF(ABS(L29)&lt;=O29,"Yes","No"))</f>
        <v>Yes</v>
      </c>
      <c r="S29" s="32" t="str">
        <f aca="false">IF(L29="","",IF(ABS(L29)&lt;=1.96*O29,"Yes","No"))</f>
        <v>Yes</v>
      </c>
      <c r="T29" s="60" t="n">
        <f aca="false">IF(D29="","",ROUND(SQRT(((D29+G29)*O29/100)^2+(J29*(D29+G29)*0.06092)^2),0))</f>
        <v>75</v>
      </c>
      <c r="U29" s="32"/>
    </row>
    <row r="30" customFormat="false" ht="15" hidden="false" customHeight="false" outlineLevel="0" collapsed="false">
      <c r="A30" s="32" t="s">
        <v>192</v>
      </c>
      <c r="B30" s="32" t="s">
        <v>198</v>
      </c>
      <c r="C30" s="32" t="s">
        <v>164</v>
      </c>
      <c r="D30" s="60" t="n">
        <v>940</v>
      </c>
      <c r="E30" s="60" t="n">
        <v>899</v>
      </c>
      <c r="F30" s="69" t="n">
        <f aca="false">IF(E30="","",D30-E30)</f>
        <v>41</v>
      </c>
      <c r="G30" s="60" t="n">
        <v>897</v>
      </c>
      <c r="H30" s="60" t="n">
        <v>898</v>
      </c>
      <c r="I30" s="69" t="n">
        <f aca="false">IF(H30="","",G30-H30)</f>
        <v>-1</v>
      </c>
      <c r="J30" s="40" t="n">
        <f aca="false">IF(OR(D30="",D30+G30=0),"",D30/(D30+G30))</f>
        <v>0.511703864997278</v>
      </c>
      <c r="K30" s="40" t="n">
        <f aca="false">IF(E30="","",E30/(E30+H30))</f>
        <v>0.500278241513634</v>
      </c>
      <c r="L30" s="70" t="n">
        <f aca="false">IF(OR(K30="",J30=""),"",(J30-K30)*100)</f>
        <v>1.14256234836443</v>
      </c>
      <c r="M30" s="36" t="n">
        <v>2.72659205591432</v>
      </c>
      <c r="N30" s="36" t="n">
        <v>2.5925072682662</v>
      </c>
      <c r="O30" s="36" t="n">
        <f aca="false">SQRT(M30^2+N30^2)</f>
        <v>3.76236603421147</v>
      </c>
      <c r="P30" s="40" t="n">
        <f aca="false">IF(J30="","",MAX(0,J30-1.96*O30/100))</f>
        <v>0.437961490726733</v>
      </c>
      <c r="Q30" s="40" t="n">
        <f aca="false">IF(J30="","",MIN(1,J30+1.96*O30/100))</f>
        <v>0.585446239267823</v>
      </c>
      <c r="R30" s="32" t="str">
        <f aca="false">IF(L30="","",IF(ABS(L30)&lt;=O30,"Yes","No"))</f>
        <v>Yes</v>
      </c>
      <c r="S30" s="32" t="str">
        <f aca="false">IF(L30="","",IF(ABS(L30)&lt;=1.96*O30,"Yes","No"))</f>
        <v>Yes</v>
      </c>
      <c r="T30" s="60" t="n">
        <f aca="false">IF(D30="","",ROUND(SQRT(((D30+G30)*O30/100)^2+(J30*(D30+G30)*0.06092)^2),0))</f>
        <v>90</v>
      </c>
      <c r="U30" s="32"/>
    </row>
    <row r="31" customFormat="false" ht="15" hidden="false" customHeight="false" outlineLevel="0" collapsed="false">
      <c r="A31" s="32" t="s">
        <v>192</v>
      </c>
      <c r="B31" s="32" t="s">
        <v>199</v>
      </c>
      <c r="C31" s="32" t="s">
        <v>164</v>
      </c>
      <c r="D31" s="60" t="n">
        <v>3631</v>
      </c>
      <c r="E31" s="60" t="n">
        <v>3663</v>
      </c>
      <c r="F31" s="69" t="n">
        <f aca="false">IF(E31="","",D31-E31)</f>
        <v>-32</v>
      </c>
      <c r="G31" s="60" t="n">
        <v>3227</v>
      </c>
      <c r="H31" s="60" t="n">
        <v>3236</v>
      </c>
      <c r="I31" s="69" t="n">
        <f aca="false">IF(H31="","",G31-H31)</f>
        <v>-9</v>
      </c>
      <c r="J31" s="40" t="n">
        <f aca="false">IF(OR(D31="",D31+G31=0),"",D31/(D31+G31))</f>
        <v>0.529454651501896</v>
      </c>
      <c r="K31" s="40" t="n">
        <f aca="false">IF(E31="","",E31/(E31+H31))</f>
        <v>0.530946513987535</v>
      </c>
      <c r="L31" s="70" t="n">
        <f aca="false">IF(OR(K31="",J31=""),"",(J31-K31)*100)</f>
        <v>-0.149186248563882</v>
      </c>
      <c r="M31" s="36" t="n">
        <v>2.5956073329947</v>
      </c>
      <c r="N31" s="36" t="n">
        <v>2.5925072682662</v>
      </c>
      <c r="O31" s="36" t="n">
        <f aca="false">SQRT(M31^2+N31^2)</f>
        <v>3.66855167104253</v>
      </c>
      <c r="P31" s="40" t="n">
        <f aca="false">IF(J31="","",MAX(0,J31-1.96*O31/100))</f>
        <v>0.457551038749462</v>
      </c>
      <c r="Q31" s="40" t="n">
        <f aca="false">IF(J31="","",MIN(1,J31+1.96*O31/100))</f>
        <v>0.601358264254329</v>
      </c>
      <c r="R31" s="32" t="str">
        <f aca="false">IF(L31="","",IF(ABS(L31)&lt;=O31,"Yes","No"))</f>
        <v>Yes</v>
      </c>
      <c r="S31" s="32" t="str">
        <f aca="false">IF(L31="","",IF(ABS(L31)&lt;=1.96*O31,"Yes","No"))</f>
        <v>Yes</v>
      </c>
      <c r="T31" s="60" t="n">
        <f aca="false">IF(D31="","",ROUND(SQRT(((D31+G31)*O31/100)^2+(J31*(D31+G31)*0.05464)^2),0))</f>
        <v>320</v>
      </c>
      <c r="U31" s="32"/>
    </row>
    <row r="32" customFormat="false" ht="15" hidden="false" customHeight="false" outlineLevel="0" collapsed="false">
      <c r="A32" s="32" t="s">
        <v>192</v>
      </c>
      <c r="B32" s="32" t="s">
        <v>200</v>
      </c>
      <c r="C32" s="32" t="s">
        <v>164</v>
      </c>
      <c r="D32" s="60" t="n">
        <v>1547</v>
      </c>
      <c r="E32" s="60" t="n">
        <v>1433</v>
      </c>
      <c r="F32" s="69" t="n">
        <f aca="false">IF(E32="","",D32-E32)</f>
        <v>114</v>
      </c>
      <c r="G32" s="60" t="n">
        <v>794</v>
      </c>
      <c r="H32" s="60" t="n">
        <v>793</v>
      </c>
      <c r="I32" s="69" t="n">
        <f aca="false">IF(H32="","",G32-H32)</f>
        <v>1</v>
      </c>
      <c r="J32" s="40" t="n">
        <f aca="false">IF(OR(D32="",D32+G32=0),"",D32/(D32+G32))</f>
        <v>0.660828705681333</v>
      </c>
      <c r="K32" s="40" t="n">
        <f aca="false">IF(E32="","",E32/(E32+H32))</f>
        <v>0.643755615453729</v>
      </c>
      <c r="L32" s="70" t="n">
        <f aca="false">IF(OR(K32="",J32=""),"",(J32-K32)*100)</f>
        <v>1.70730902276042</v>
      </c>
      <c r="M32" s="36" t="n">
        <v>2.72659205591432</v>
      </c>
      <c r="N32" s="36" t="n">
        <v>2.5925072682662</v>
      </c>
      <c r="O32" s="36" t="n">
        <f aca="false">SQRT(M32^2+N32^2)</f>
        <v>3.76236603421147</v>
      </c>
      <c r="P32" s="40" t="n">
        <f aca="false">IF(J32="","",MAX(0,J32-1.96*O32/100))</f>
        <v>0.587086331410788</v>
      </c>
      <c r="Q32" s="40" t="n">
        <f aca="false">IF(J32="","",MIN(1,J32+1.96*O32/100))</f>
        <v>0.734571079951878</v>
      </c>
      <c r="R32" s="32" t="str">
        <f aca="false">IF(L32="","",IF(ABS(L32)&lt;=O32,"Yes","No"))</f>
        <v>Yes</v>
      </c>
      <c r="S32" s="32" t="str">
        <f aca="false">IF(L32="","",IF(ABS(L32)&lt;=1.96*O32,"Yes","No"))</f>
        <v>Yes</v>
      </c>
      <c r="T32" s="60" t="n">
        <f aca="false">IF(D32="","",ROUND(SQRT(((D32+G32)*O32/100)^2+(J32*(D32+G32)*0.06092)^2),0))</f>
        <v>129</v>
      </c>
      <c r="U32" s="32"/>
    </row>
    <row r="33" customFormat="false" ht="15" hidden="false" customHeight="false" outlineLevel="0" collapsed="false">
      <c r="A33" s="32" t="s">
        <v>192</v>
      </c>
      <c r="B33" s="32" t="s">
        <v>201</v>
      </c>
      <c r="C33" s="32" t="s">
        <v>164</v>
      </c>
      <c r="D33" s="60" t="n">
        <v>399</v>
      </c>
      <c r="E33" s="60" t="n">
        <v>379</v>
      </c>
      <c r="F33" s="69" t="n">
        <f aca="false">IF(E33="","",D33-E33)</f>
        <v>20</v>
      </c>
      <c r="G33" s="60" t="n">
        <v>340</v>
      </c>
      <c r="H33" s="60" t="n">
        <v>330</v>
      </c>
      <c r="I33" s="69" t="n">
        <f aca="false">IF(H33="","",G33-H33)</f>
        <v>10</v>
      </c>
      <c r="J33" s="40" t="n">
        <f aca="false">IF(OR(D33="",D33+G33=0),"",D33/(D33+G33))</f>
        <v>0.539918809201624</v>
      </c>
      <c r="K33" s="40" t="n">
        <f aca="false">IF(E33="","",E33/(E33+H33))</f>
        <v>0.534555712270804</v>
      </c>
      <c r="L33" s="70" t="n">
        <f aca="false">IF(OR(K33="",J33=""),"",(J33-K33)*100)</f>
        <v>0.536309693081993</v>
      </c>
      <c r="M33" s="36" t="n">
        <v>4.33926976222454</v>
      </c>
      <c r="N33" s="36" t="n">
        <v>2.5925072682662</v>
      </c>
      <c r="O33" s="36" t="n">
        <f aca="false">SQRT(M33^2+N33^2)</f>
        <v>5.05473599759367</v>
      </c>
      <c r="P33" s="40" t="n">
        <f aca="false">IF(J33="","",MAX(0,J33-1.96*O33/100))</f>
        <v>0.440845983648788</v>
      </c>
      <c r="Q33" s="40" t="n">
        <f aca="false">IF(J33="","",MIN(1,J33+1.96*O33/100))</f>
        <v>0.63899163475446</v>
      </c>
      <c r="R33" s="32" t="str">
        <f aca="false">IF(L33="","",IF(ABS(L33)&lt;=O33,"Yes","No"))</f>
        <v>Yes</v>
      </c>
      <c r="S33" s="32" t="str">
        <f aca="false">IF(L33="","",IF(ABS(L33)&lt;=1.96*O33,"Yes","No"))</f>
        <v>Yes</v>
      </c>
      <c r="T33" s="60" t="n">
        <f aca="false">IF(D33="","",ROUND(SQRT(((D33+G33)*O33/100)^2+(J33*(D33+G33)*0.07859)^2),0))</f>
        <v>49</v>
      </c>
      <c r="U33" s="32"/>
    </row>
    <row r="34" customFormat="false" ht="15" hidden="false" customHeight="false" outlineLevel="0" collapsed="false">
      <c r="A34" s="32" t="s">
        <v>192</v>
      </c>
      <c r="B34" s="32" t="s">
        <v>202</v>
      </c>
      <c r="C34" s="32" t="s">
        <v>164</v>
      </c>
      <c r="D34" s="60" t="n">
        <v>627</v>
      </c>
      <c r="E34" s="60" t="n">
        <v>654</v>
      </c>
      <c r="F34" s="69" t="n">
        <f aca="false">IF(E34="","",D34-E34)</f>
        <v>-27</v>
      </c>
      <c r="G34" s="60" t="n">
        <v>1427</v>
      </c>
      <c r="H34" s="60" t="n">
        <v>1439</v>
      </c>
      <c r="I34" s="69" t="n">
        <f aca="false">IF(H34="","",G34-H34)</f>
        <v>-12</v>
      </c>
      <c r="J34" s="40" t="n">
        <f aca="false">IF(OR(D34="",D34+G34=0),"",D34/(D34+G34))</f>
        <v>0.305258033106134</v>
      </c>
      <c r="K34" s="40" t="n">
        <f aca="false">IF(E34="","",E34/(E34+H34))</f>
        <v>0.312470138557095</v>
      </c>
      <c r="L34" s="70" t="n">
        <f aca="false">IF(OR(K34="",J34=""),"",(J34-K34)*100)</f>
        <v>-0.721210545096074</v>
      </c>
      <c r="M34" s="36" t="n">
        <v>2.72659205591432</v>
      </c>
      <c r="N34" s="36" t="n">
        <v>2.5925072682662</v>
      </c>
      <c r="O34" s="36" t="n">
        <f aca="false">SQRT(M34^2+N34^2)</f>
        <v>3.76236603421147</v>
      </c>
      <c r="P34" s="40" t="n">
        <f aca="false">IF(J34="","",MAX(0,J34-1.96*O34/100))</f>
        <v>0.23151565883559</v>
      </c>
      <c r="Q34" s="40" t="n">
        <f aca="false">IF(J34="","",MIN(1,J34+1.96*O34/100))</f>
        <v>0.379000407376679</v>
      </c>
      <c r="R34" s="32" t="str">
        <f aca="false">IF(L34="","",IF(ABS(L34)&lt;=O34,"Yes","No"))</f>
        <v>Yes</v>
      </c>
      <c r="S34" s="32" t="str">
        <f aca="false">IF(L34="","",IF(ABS(L34)&lt;=1.96*O34,"Yes","No"))</f>
        <v>Yes</v>
      </c>
      <c r="T34" s="60" t="n">
        <f aca="false">IF(D34="","",ROUND(SQRT(((D34+G34)*O34/100)^2+(J34*(D34+G34)*0.06092)^2),0))</f>
        <v>86</v>
      </c>
      <c r="U34" s="32"/>
    </row>
    <row r="35" customFormat="false" ht="15" hidden="false" customHeight="false" outlineLevel="0" collapsed="false">
      <c r="A35" s="32" t="s">
        <v>192</v>
      </c>
      <c r="B35" s="32" t="s">
        <v>203</v>
      </c>
      <c r="C35" s="32" t="s">
        <v>164</v>
      </c>
      <c r="D35" s="60" t="n">
        <v>10265</v>
      </c>
      <c r="E35" s="60" t="n">
        <v>10021</v>
      </c>
      <c r="F35" s="69" t="n">
        <f aca="false">IF(E35="","",D35-E35)</f>
        <v>244</v>
      </c>
      <c r="G35" s="60" t="n">
        <v>10171</v>
      </c>
      <c r="H35" s="60" t="n">
        <v>10199</v>
      </c>
      <c r="I35" s="69" t="n">
        <f aca="false">IF(H35="","",G35-H35)</f>
        <v>-28</v>
      </c>
      <c r="J35" s="40" t="n">
        <f aca="false">IF(OR(D35="",D35+G35=0),"",D35/(D35+G35))</f>
        <v>0.502299862986886</v>
      </c>
      <c r="K35" s="40" t="n">
        <f aca="false">IF(E35="","",E35/(E35+H35))</f>
        <v>0.495598417408506</v>
      </c>
      <c r="L35" s="70" t="n">
        <f aca="false">IF(OR(K35="",J35=""),"",(J35-K35)*100)</f>
        <v>0.670144557837948</v>
      </c>
      <c r="M35" s="36" t="n">
        <v>2.5956073329947</v>
      </c>
      <c r="N35" s="36" t="n">
        <v>2.5925072682662</v>
      </c>
      <c r="O35" s="36" t="n">
        <f aca="false">SQRT(M35^2+N35^2)</f>
        <v>3.66855167104253</v>
      </c>
      <c r="P35" s="40" t="n">
        <f aca="false">IF(J35="","",MAX(0,J35-1.96*O35/100))</f>
        <v>0.430396250234452</v>
      </c>
      <c r="Q35" s="40" t="n">
        <f aca="false">IF(J35="","",MIN(1,J35+1.96*O35/100))</f>
        <v>0.57420347573932</v>
      </c>
      <c r="R35" s="32" t="str">
        <f aca="false">IF(L35="","",IF(ABS(L35)&lt;=O35,"Yes","No"))</f>
        <v>Yes</v>
      </c>
      <c r="S35" s="32" t="str">
        <f aca="false">IF(L35="","",IF(ABS(L35)&lt;=1.96*O35,"Yes","No"))</f>
        <v>Yes</v>
      </c>
      <c r="T35" s="60" t="n">
        <f aca="false">IF(D35="","",ROUND(SQRT(((D35+G35)*O35/100)^2+(J35*(D35+G35)*0.05464)^2),0))</f>
        <v>936</v>
      </c>
      <c r="U35" s="32"/>
    </row>
    <row r="36" customFormat="false" ht="15" hidden="false" customHeight="false" outlineLevel="0" collapsed="false">
      <c r="A36" s="32" t="s">
        <v>192</v>
      </c>
      <c r="B36" s="32" t="s">
        <v>204</v>
      </c>
      <c r="C36" s="32" t="s">
        <v>164</v>
      </c>
      <c r="D36" s="60" t="n">
        <v>932</v>
      </c>
      <c r="E36" s="60" t="n">
        <v>985</v>
      </c>
      <c r="F36" s="69" t="n">
        <f aca="false">IF(E36="","",D36-E36)</f>
        <v>-53</v>
      </c>
      <c r="G36" s="60" t="n">
        <v>1669</v>
      </c>
      <c r="H36" s="60" t="n">
        <v>1586</v>
      </c>
      <c r="I36" s="69" t="n">
        <f aca="false">IF(H36="","",G36-H36)</f>
        <v>83</v>
      </c>
      <c r="J36" s="40" t="n">
        <f aca="false">IF(OR(D36="",D36+G36=0),"",D36/(D36+G36))</f>
        <v>0.358323721645521</v>
      </c>
      <c r="K36" s="40" t="n">
        <f aca="false">IF(E36="","",E36/(E36+H36))</f>
        <v>0.383119408790354</v>
      </c>
      <c r="L36" s="70" t="n">
        <f aca="false">IF(OR(K36="",J36=""),"",(J36-K36)*100)</f>
        <v>-2.4795687144833</v>
      </c>
      <c r="M36" s="36" t="n">
        <v>2.72659205591432</v>
      </c>
      <c r="N36" s="36" t="n">
        <v>2.5925072682662</v>
      </c>
      <c r="O36" s="36" t="n">
        <f aca="false">SQRT(M36^2+N36^2)</f>
        <v>3.76236603421147</v>
      </c>
      <c r="P36" s="40" t="n">
        <f aca="false">IF(J36="","",MAX(0,J36-1.96*O36/100))</f>
        <v>0.284581347374976</v>
      </c>
      <c r="Q36" s="40" t="n">
        <f aca="false">IF(J36="","",MIN(1,J36+1.96*O36/100))</f>
        <v>0.432066095916066</v>
      </c>
      <c r="R36" s="32" t="str">
        <f aca="false">IF(L36="","",IF(ABS(L36)&lt;=O36,"Yes","No"))</f>
        <v>Yes</v>
      </c>
      <c r="S36" s="32" t="str">
        <f aca="false">IF(L36="","",IF(ABS(L36)&lt;=1.96*O36,"Yes","No"))</f>
        <v>Yes</v>
      </c>
      <c r="T36" s="60" t="n">
        <f aca="false">IF(D36="","",ROUND(SQRT(((D36+G36)*O36/100)^2+(J36*(D36+G36)*0.06092)^2),0))</f>
        <v>113</v>
      </c>
      <c r="U36" s="32"/>
    </row>
    <row r="37" customFormat="false" ht="15" hidden="false" customHeight="false" outlineLevel="0" collapsed="false">
      <c r="A37" s="32" t="s">
        <v>192</v>
      </c>
      <c r="B37" s="32" t="s">
        <v>205</v>
      </c>
      <c r="C37" s="32" t="s">
        <v>164</v>
      </c>
      <c r="D37" s="60" t="n">
        <v>542</v>
      </c>
      <c r="E37" s="60" t="n">
        <v>543</v>
      </c>
      <c r="F37" s="69" t="n">
        <f aca="false">IF(E37="","",D37-E37)</f>
        <v>-1</v>
      </c>
      <c r="G37" s="60" t="n">
        <v>1021</v>
      </c>
      <c r="H37" s="60" t="n">
        <v>990</v>
      </c>
      <c r="I37" s="69" t="n">
        <f aca="false">IF(H37="","",G37-H37)</f>
        <v>31</v>
      </c>
      <c r="J37" s="40" t="n">
        <f aca="false">IF(OR(D37="",D37+G37=0),"",D37/(D37+G37))</f>
        <v>0.346769033909149</v>
      </c>
      <c r="K37" s="40" t="n">
        <f aca="false">IF(E37="","",E37/(E37+H37))</f>
        <v>0.354207436399217</v>
      </c>
      <c r="L37" s="70" t="n">
        <f aca="false">IF(OR(K37="",J37=""),"",(J37-K37)*100)</f>
        <v>-0.743840249006811</v>
      </c>
      <c r="M37" s="36" t="n">
        <v>2.72659205591432</v>
      </c>
      <c r="N37" s="36" t="n">
        <v>2.5925072682662</v>
      </c>
      <c r="O37" s="36" t="n">
        <f aca="false">SQRT(M37^2+N37^2)</f>
        <v>3.76236603421147</v>
      </c>
      <c r="P37" s="40" t="n">
        <f aca="false">IF(J37="","",MAX(0,J37-1.96*O37/100))</f>
        <v>0.273026659638604</v>
      </c>
      <c r="Q37" s="40" t="n">
        <f aca="false">IF(J37="","",MIN(1,J37+1.96*O37/100))</f>
        <v>0.420511408179694</v>
      </c>
      <c r="R37" s="32" t="str">
        <f aca="false">IF(L37="","",IF(ABS(L37)&lt;=O37,"Yes","No"))</f>
        <v>Yes</v>
      </c>
      <c r="S37" s="32" t="str">
        <f aca="false">IF(L37="","",IF(ABS(L37)&lt;=1.96*O37,"Yes","No"))</f>
        <v>Yes</v>
      </c>
      <c r="T37" s="60" t="n">
        <f aca="false">IF(D37="","",ROUND(SQRT(((D37+G37)*O37/100)^2+(J37*(D37+G37)*0.06092)^2),0))</f>
        <v>67</v>
      </c>
      <c r="U37" s="32"/>
    </row>
    <row r="38" customFormat="false" ht="15" hidden="false" customHeight="false" outlineLevel="0" collapsed="false">
      <c r="A38" s="32" t="s">
        <v>192</v>
      </c>
      <c r="B38" s="32" t="s">
        <v>206</v>
      </c>
      <c r="C38" s="32" t="s">
        <v>164</v>
      </c>
      <c r="D38" s="60" t="n">
        <v>837</v>
      </c>
      <c r="E38" s="60" t="n">
        <v>850</v>
      </c>
      <c r="F38" s="69" t="n">
        <f aca="false">IF(E38="","",D38-E38)</f>
        <v>-13</v>
      </c>
      <c r="G38" s="60" t="n">
        <v>1862</v>
      </c>
      <c r="H38" s="60" t="n">
        <v>1856</v>
      </c>
      <c r="I38" s="69" t="n">
        <f aca="false">IF(H38="","",G38-H38)</f>
        <v>6</v>
      </c>
      <c r="J38" s="40" t="n">
        <f aca="false">IF(OR(D38="",D38+G38=0),"",D38/(D38+G38))</f>
        <v>0.310114857354576</v>
      </c>
      <c r="K38" s="40" t="n">
        <f aca="false">IF(E38="","",E38/(E38+H38))</f>
        <v>0.314116777531412</v>
      </c>
      <c r="L38" s="70" t="n">
        <f aca="false">IF(OR(K38="",J38=""),"",(J38-K38)*100)</f>
        <v>-0.400192017683587</v>
      </c>
      <c r="M38" s="36" t="n">
        <v>2.72659205591432</v>
      </c>
      <c r="N38" s="36" t="n">
        <v>2.5925072682662</v>
      </c>
      <c r="O38" s="36" t="n">
        <f aca="false">SQRT(M38^2+N38^2)</f>
        <v>3.76236603421147</v>
      </c>
      <c r="P38" s="40" t="n">
        <f aca="false">IF(J38="","",MAX(0,J38-1.96*O38/100))</f>
        <v>0.236372483084031</v>
      </c>
      <c r="Q38" s="40" t="n">
        <f aca="false">IF(J38="","",MIN(1,J38+1.96*O38/100))</f>
        <v>0.383857231625121</v>
      </c>
      <c r="R38" s="32" t="str">
        <f aca="false">IF(L38="","",IF(ABS(L38)&lt;=O38,"Yes","No"))</f>
        <v>Yes</v>
      </c>
      <c r="S38" s="32" t="str">
        <f aca="false">IF(L38="","",IF(ABS(L38)&lt;=1.96*O38,"Yes","No"))</f>
        <v>Yes</v>
      </c>
      <c r="T38" s="60" t="n">
        <f aca="false">IF(D38="","",ROUND(SQRT(((D38+G38)*O38/100)^2+(J38*(D38+G38)*0.06092)^2),0))</f>
        <v>114</v>
      </c>
      <c r="U38" s="32"/>
    </row>
    <row r="39" customFormat="false" ht="15" hidden="false" customHeight="false" outlineLevel="0" collapsed="false">
      <c r="A39" s="32" t="s">
        <v>192</v>
      </c>
      <c r="B39" s="32" t="s">
        <v>207</v>
      </c>
      <c r="C39" s="32" t="s">
        <v>164</v>
      </c>
      <c r="D39" s="60" t="n">
        <v>981</v>
      </c>
      <c r="E39" s="60" t="n">
        <v>980</v>
      </c>
      <c r="F39" s="69" t="n">
        <f aca="false">IF(E39="","",D39-E39)</f>
        <v>1</v>
      </c>
      <c r="G39" s="60" t="n">
        <v>912</v>
      </c>
      <c r="H39" s="60" t="n">
        <v>872</v>
      </c>
      <c r="I39" s="69" t="n">
        <f aca="false">IF(H39="","",G39-H39)</f>
        <v>40</v>
      </c>
      <c r="J39" s="40" t="n">
        <f aca="false">IF(OR(D39="",D39+G39=0),"",D39/(D39+G39))</f>
        <v>0.518225039619651</v>
      </c>
      <c r="K39" s="40" t="n">
        <f aca="false">IF(E39="","",E39/(E39+H39))</f>
        <v>0.529157667386609</v>
      </c>
      <c r="L39" s="70" t="n">
        <f aca="false">IF(OR(K39="",J39=""),"",(J39-K39)*100)</f>
        <v>-1.09326277669577</v>
      </c>
      <c r="M39" s="36" t="n">
        <v>2.72659205591432</v>
      </c>
      <c r="N39" s="36" t="n">
        <v>2.5925072682662</v>
      </c>
      <c r="O39" s="36" t="n">
        <f aca="false">SQRT(M39^2+N39^2)</f>
        <v>3.76236603421147</v>
      </c>
      <c r="P39" s="40" t="n">
        <f aca="false">IF(J39="","",MAX(0,J39-1.96*O39/100))</f>
        <v>0.444482665349107</v>
      </c>
      <c r="Q39" s="40" t="n">
        <f aca="false">IF(J39="","",MIN(1,J39+1.96*O39/100))</f>
        <v>0.591967413890196</v>
      </c>
      <c r="R39" s="32" t="str">
        <f aca="false">IF(L39="","",IF(ABS(L39)&lt;=O39,"Yes","No"))</f>
        <v>Yes</v>
      </c>
      <c r="S39" s="32" t="str">
        <f aca="false">IF(L39="","",IF(ABS(L39)&lt;=1.96*O39,"Yes","No"))</f>
        <v>Yes</v>
      </c>
      <c r="T39" s="60" t="n">
        <f aca="false">IF(D39="","",ROUND(SQRT(((D39+G39)*O39/100)^2+(J39*(D39+G39)*0.06092)^2),0))</f>
        <v>93</v>
      </c>
      <c r="U39" s="32"/>
    </row>
    <row r="40" customFormat="false" ht="15" hidden="false" customHeight="false" outlineLevel="0" collapsed="false">
      <c r="A40" s="32" t="s">
        <v>192</v>
      </c>
      <c r="B40" s="32" t="s">
        <v>208</v>
      </c>
      <c r="C40" s="32" t="s">
        <v>164</v>
      </c>
      <c r="D40" s="60" t="n">
        <v>4070</v>
      </c>
      <c r="E40" s="60" t="n">
        <v>4022</v>
      </c>
      <c r="F40" s="69" t="n">
        <f aca="false">IF(E40="","",D40-E40)</f>
        <v>48</v>
      </c>
      <c r="G40" s="60" t="n">
        <v>5967</v>
      </c>
      <c r="H40" s="60" t="n">
        <v>5915</v>
      </c>
      <c r="I40" s="69" t="n">
        <f aca="false">IF(H40="","",G40-H40)</f>
        <v>52</v>
      </c>
      <c r="J40" s="40" t="n">
        <f aca="false">IF(OR(D40="",D40+G40=0),"",D40/(D40+G40))</f>
        <v>0.405499651290226</v>
      </c>
      <c r="K40" s="40" t="n">
        <f aca="false">IF(E40="","",E40/(E40+H40))</f>
        <v>0.404749924524504</v>
      </c>
      <c r="L40" s="70" t="n">
        <f aca="false">IF(OR(K40="",J40=""),"",(J40-K40)*100)</f>
        <v>0.074972676572177</v>
      </c>
      <c r="M40" s="36" t="n">
        <v>2.5956073329947</v>
      </c>
      <c r="N40" s="36" t="n">
        <v>2.5925072682662</v>
      </c>
      <c r="O40" s="36" t="n">
        <f aca="false">SQRT(M40^2+N40^2)</f>
        <v>3.66855167104253</v>
      </c>
      <c r="P40" s="40" t="n">
        <f aca="false">IF(J40="","",MAX(0,J40-1.96*O40/100))</f>
        <v>0.333596038537793</v>
      </c>
      <c r="Q40" s="40" t="n">
        <f aca="false">IF(J40="","",MIN(1,J40+1.96*O40/100))</f>
        <v>0.47740326404266</v>
      </c>
      <c r="R40" s="32" t="str">
        <f aca="false">IF(L40="","",IF(ABS(L40)&lt;=O40,"Yes","No"))</f>
        <v>Yes</v>
      </c>
      <c r="S40" s="32" t="str">
        <f aca="false">IF(L40="","",IF(ABS(L40)&lt;=1.96*O40,"Yes","No"))</f>
        <v>Yes</v>
      </c>
      <c r="T40" s="60" t="n">
        <f aca="false">IF(D40="","",ROUND(SQRT(((D40+G40)*O40/100)^2+(J40*(D40+G40)*0.05464)^2),0))</f>
        <v>430</v>
      </c>
      <c r="U40" s="32"/>
    </row>
    <row r="41" customFormat="false" ht="15" hidden="false" customHeight="false" outlineLevel="0" collapsed="false">
      <c r="A41" s="32" t="s">
        <v>192</v>
      </c>
      <c r="B41" s="32" t="s">
        <v>209</v>
      </c>
      <c r="C41" s="32" t="s">
        <v>164</v>
      </c>
      <c r="D41" s="60" t="n">
        <v>3985</v>
      </c>
      <c r="E41" s="60" t="n">
        <v>4010</v>
      </c>
      <c r="F41" s="69" t="n">
        <f aca="false">IF(E41="","",D41-E41)</f>
        <v>-25</v>
      </c>
      <c r="G41" s="60" t="n">
        <v>4181</v>
      </c>
      <c r="H41" s="60" t="n">
        <v>4104</v>
      </c>
      <c r="I41" s="69" t="n">
        <f aca="false">IF(H41="","",G41-H41)</f>
        <v>77</v>
      </c>
      <c r="J41" s="40" t="n">
        <f aca="false">IF(OR(D41="",D41+G41=0),"",D41/(D41+G41))</f>
        <v>0.48799902032819</v>
      </c>
      <c r="K41" s="40" t="n">
        <f aca="false">IF(E41="","",E41/(E41+H41))</f>
        <v>0.494207542519103</v>
      </c>
      <c r="L41" s="70" t="n">
        <f aca="false">IF(OR(K41="",J41=""),"",(J41-K41)*100)</f>
        <v>-0.620852219091272</v>
      </c>
      <c r="M41" s="36" t="n">
        <v>2.5956073329947</v>
      </c>
      <c r="N41" s="36" t="n">
        <v>2.5925072682662</v>
      </c>
      <c r="O41" s="36" t="n">
        <f aca="false">SQRT(M41^2+N41^2)</f>
        <v>3.66855167104253</v>
      </c>
      <c r="P41" s="40" t="n">
        <f aca="false">IF(J41="","",MAX(0,J41-1.96*O41/100))</f>
        <v>0.416095407575756</v>
      </c>
      <c r="Q41" s="40" t="n">
        <f aca="false">IF(J41="","",MIN(1,J41+1.96*O41/100))</f>
        <v>0.559902633080624</v>
      </c>
      <c r="R41" s="32" t="str">
        <f aca="false">IF(L41="","",IF(ABS(L41)&lt;=O41,"Yes","No"))</f>
        <v>Yes</v>
      </c>
      <c r="S41" s="32" t="str">
        <f aca="false">IF(L41="","",IF(ABS(L41)&lt;=1.96*O41,"Yes","No"))</f>
        <v>Yes</v>
      </c>
      <c r="T41" s="60" t="n">
        <f aca="false">IF(D41="","",ROUND(SQRT(((D41+G41)*O41/100)^2+(J41*(D41+G41)*0.05464)^2),0))</f>
        <v>370</v>
      </c>
      <c r="U41" s="32"/>
    </row>
    <row r="42" customFormat="false" ht="15" hidden="false" customHeight="false" outlineLevel="0" collapsed="false">
      <c r="A42" s="32" t="s">
        <v>192</v>
      </c>
      <c r="B42" s="32" t="s">
        <v>210</v>
      </c>
      <c r="C42" s="32" t="s">
        <v>164</v>
      </c>
      <c r="D42" s="60" t="n">
        <v>824</v>
      </c>
      <c r="E42" s="60" t="n">
        <v>800</v>
      </c>
      <c r="F42" s="69" t="n">
        <f aca="false">IF(E42="","",D42-E42)</f>
        <v>24</v>
      </c>
      <c r="G42" s="60" t="n">
        <v>1174</v>
      </c>
      <c r="H42" s="60" t="n">
        <v>1156</v>
      </c>
      <c r="I42" s="69" t="n">
        <f aca="false">IF(H42="","",G42-H42)</f>
        <v>18</v>
      </c>
      <c r="J42" s="40" t="n">
        <f aca="false">IF(OR(D42="",D42+G42=0),"",D42/(D42+G42))</f>
        <v>0.412412412412412</v>
      </c>
      <c r="K42" s="40" t="n">
        <f aca="false">IF(E42="","",E42/(E42+H42))</f>
        <v>0.408997955010225</v>
      </c>
      <c r="L42" s="70" t="n">
        <f aca="false">IF(OR(K42="",J42=""),"",(J42-K42)*100)</f>
        <v>0.341445740218743</v>
      </c>
      <c r="M42" s="36" t="n">
        <v>2.72659205591432</v>
      </c>
      <c r="N42" s="36" t="n">
        <v>2.5925072682662</v>
      </c>
      <c r="O42" s="36" t="n">
        <f aca="false">SQRT(M42^2+N42^2)</f>
        <v>3.76236603421147</v>
      </c>
      <c r="P42" s="40" t="n">
        <f aca="false">IF(J42="","",MAX(0,J42-1.96*O42/100))</f>
        <v>0.338670038141868</v>
      </c>
      <c r="Q42" s="40" t="n">
        <f aca="false">IF(J42="","",MIN(1,J42+1.96*O42/100))</f>
        <v>0.486154786682957</v>
      </c>
      <c r="R42" s="32" t="str">
        <f aca="false">IF(L42="","",IF(ABS(L42)&lt;=O42,"Yes","No"))</f>
        <v>Yes</v>
      </c>
      <c r="S42" s="32" t="str">
        <f aca="false">IF(L42="","",IF(ABS(L42)&lt;=1.96*O42,"Yes","No"))</f>
        <v>Yes</v>
      </c>
      <c r="T42" s="60" t="n">
        <f aca="false">IF(D42="","",ROUND(SQRT(((D42+G42)*O42/100)^2+(J42*(D42+G42)*0.06092)^2),0))</f>
        <v>90</v>
      </c>
      <c r="U42" s="32"/>
    </row>
    <row r="43" customFormat="false" ht="15" hidden="false" customHeight="false" outlineLevel="0" collapsed="false">
      <c r="A43" s="32" t="s">
        <v>192</v>
      </c>
      <c r="B43" s="32" t="s">
        <v>211</v>
      </c>
      <c r="C43" s="32" t="s">
        <v>164</v>
      </c>
      <c r="D43" s="60" t="n">
        <v>6937</v>
      </c>
      <c r="E43" s="60" t="n">
        <v>7019</v>
      </c>
      <c r="F43" s="69" t="n">
        <f aca="false">IF(E43="","",D43-E43)</f>
        <v>-82</v>
      </c>
      <c r="G43" s="60" t="n">
        <v>6261</v>
      </c>
      <c r="H43" s="60" t="n">
        <v>6110</v>
      </c>
      <c r="I43" s="69" t="n">
        <f aca="false">IF(H43="","",G43-H43)</f>
        <v>151</v>
      </c>
      <c r="J43" s="40" t="n">
        <f aca="false">IF(OR(D43="",D43+G43=0),"",D43/(D43+G43))</f>
        <v>0.525609940900136</v>
      </c>
      <c r="K43" s="40" t="n">
        <f aca="false">IF(E43="","",E43/(E43+H43))</f>
        <v>0.534618021174499</v>
      </c>
      <c r="L43" s="70" t="n">
        <f aca="false">IF(OR(K43="",J43=""),"",(J43-K43)*100)</f>
        <v>-0.900808027436284</v>
      </c>
      <c r="M43" s="36" t="n">
        <v>2.5956073329947</v>
      </c>
      <c r="N43" s="36" t="n">
        <v>2.5925072682662</v>
      </c>
      <c r="O43" s="36" t="n">
        <f aca="false">SQRT(M43^2+N43^2)</f>
        <v>3.66855167104253</v>
      </c>
      <c r="P43" s="40" t="n">
        <f aca="false">IF(J43="","",MAX(0,J43-1.96*O43/100))</f>
        <v>0.453706328147703</v>
      </c>
      <c r="Q43" s="40" t="n">
        <f aca="false">IF(J43="","",MIN(1,J43+1.96*O43/100))</f>
        <v>0.59751355365257</v>
      </c>
      <c r="R43" s="32" t="str">
        <f aca="false">IF(L43="","",IF(ABS(L43)&lt;=O43,"Yes","No"))</f>
        <v>Yes</v>
      </c>
      <c r="S43" s="32" t="str">
        <f aca="false">IF(L43="","",IF(ABS(L43)&lt;=1.96*O43,"Yes","No"))</f>
        <v>Yes</v>
      </c>
      <c r="T43" s="60" t="n">
        <f aca="false">IF(D43="","",ROUND(SQRT(((D43+G43)*O43/100)^2+(J43*(D43+G43)*0.05464)^2),0))</f>
        <v>615</v>
      </c>
      <c r="U43" s="32"/>
    </row>
    <row r="44" customFormat="false" ht="15" hidden="false" customHeight="false" outlineLevel="0" collapsed="false">
      <c r="A44" s="32" t="s">
        <v>192</v>
      </c>
      <c r="B44" s="32" t="s">
        <v>212</v>
      </c>
      <c r="C44" s="32" t="s">
        <v>164</v>
      </c>
      <c r="D44" s="60" t="n">
        <v>8235</v>
      </c>
      <c r="E44" s="60" t="n">
        <v>8020</v>
      </c>
      <c r="F44" s="69" t="n">
        <f aca="false">IF(E44="","",D44-E44)</f>
        <v>215</v>
      </c>
      <c r="G44" s="60" t="n">
        <v>7725</v>
      </c>
      <c r="H44" s="60" t="n">
        <v>7607</v>
      </c>
      <c r="I44" s="69" t="n">
        <f aca="false">IF(H44="","",G44-H44)</f>
        <v>118</v>
      </c>
      <c r="J44" s="40" t="n">
        <f aca="false">IF(OR(D44="",D44+G44=0),"",D44/(D44+G44))</f>
        <v>0.515977443609023</v>
      </c>
      <c r="K44" s="40" t="n">
        <f aca="false">IF(E44="","",E44/(E44+H44))</f>
        <v>0.513214308568503</v>
      </c>
      <c r="L44" s="70" t="n">
        <f aca="false">IF(OR(K44="",J44=""),"",(J44-K44)*100)</f>
        <v>0.276313504051928</v>
      </c>
      <c r="M44" s="36" t="n">
        <v>2.5956073329947</v>
      </c>
      <c r="N44" s="36" t="n">
        <v>2.5925072682662</v>
      </c>
      <c r="O44" s="36" t="n">
        <f aca="false">SQRT(M44^2+N44^2)</f>
        <v>3.66855167104253</v>
      </c>
      <c r="P44" s="40" t="n">
        <f aca="false">IF(J44="","",MAX(0,J44-1.96*O44/100))</f>
        <v>0.444073830856589</v>
      </c>
      <c r="Q44" s="40" t="n">
        <f aca="false">IF(J44="","",MIN(1,J44+1.96*O44/100))</f>
        <v>0.587881056361456</v>
      </c>
      <c r="R44" s="32" t="str">
        <f aca="false">IF(L44="","",IF(ABS(L44)&lt;=O44,"Yes","No"))</f>
        <v>Yes</v>
      </c>
      <c r="S44" s="32" t="str">
        <f aca="false">IF(L44="","",IF(ABS(L44)&lt;=1.96*O44,"Yes","No"))</f>
        <v>Yes</v>
      </c>
      <c r="T44" s="60" t="n">
        <f aca="false">IF(D44="","",ROUND(SQRT(((D44+G44)*O44/100)^2+(J44*(D44+G44)*0.05464)^2),0))</f>
        <v>738</v>
      </c>
      <c r="U44" s="32"/>
    </row>
    <row r="45" customFormat="false" ht="15" hidden="false" customHeight="false" outlineLevel="0" collapsed="false">
      <c r="A45" s="32" t="s">
        <v>192</v>
      </c>
      <c r="B45" s="32" t="s">
        <v>213</v>
      </c>
      <c r="C45" s="32" t="s">
        <v>164</v>
      </c>
      <c r="D45" s="60" t="n">
        <v>2275</v>
      </c>
      <c r="E45" s="60" t="n">
        <v>2380</v>
      </c>
      <c r="F45" s="69" t="n">
        <f aca="false">IF(E45="","",D45-E45)</f>
        <v>-105</v>
      </c>
      <c r="G45" s="60" t="n">
        <v>3179</v>
      </c>
      <c r="H45" s="60" t="n">
        <v>3135</v>
      </c>
      <c r="I45" s="69" t="n">
        <f aca="false">IF(H45="","",G45-H45)</f>
        <v>44</v>
      </c>
      <c r="J45" s="40" t="n">
        <f aca="false">IF(OR(D45="",D45+G45=0),"",D45/(D45+G45))</f>
        <v>0.417125045837917</v>
      </c>
      <c r="K45" s="40" t="n">
        <f aca="false">IF(E45="","",E45/(E45+H45))</f>
        <v>0.43155031731641</v>
      </c>
      <c r="L45" s="70" t="n">
        <f aca="false">IF(OR(K45="",J45=""),"",(J45-K45)*100)</f>
        <v>-1.44252714784927</v>
      </c>
      <c r="M45" s="36" t="n">
        <v>2.5956073329947</v>
      </c>
      <c r="N45" s="36" t="n">
        <v>2.5925072682662</v>
      </c>
      <c r="O45" s="36" t="n">
        <f aca="false">SQRT(M45^2+N45^2)</f>
        <v>3.66855167104253</v>
      </c>
      <c r="P45" s="40" t="n">
        <f aca="false">IF(J45="","",MAX(0,J45-1.96*O45/100))</f>
        <v>0.345221433085484</v>
      </c>
      <c r="Q45" s="40" t="n">
        <f aca="false">IF(J45="","",MIN(1,J45+1.96*O45/100))</f>
        <v>0.489028658590351</v>
      </c>
      <c r="R45" s="32" t="str">
        <f aca="false">IF(L45="","",IF(ABS(L45)&lt;=O45,"Yes","No"))</f>
        <v>Yes</v>
      </c>
      <c r="S45" s="32" t="str">
        <f aca="false">IF(L45="","",IF(ABS(L45)&lt;=1.96*O45,"Yes","No"))</f>
        <v>Yes</v>
      </c>
      <c r="T45" s="60" t="n">
        <f aca="false">IF(D45="","",ROUND(SQRT(((D45+G45)*O45/100)^2+(J45*(D45+G45)*0.05464)^2),0))</f>
        <v>236</v>
      </c>
      <c r="U45" s="32"/>
    </row>
    <row r="46" customFormat="false" ht="15" hidden="false" customHeight="false" outlineLevel="0" collapsed="false">
      <c r="A46" s="32" t="s">
        <v>192</v>
      </c>
      <c r="B46" s="32" t="s">
        <v>214</v>
      </c>
      <c r="C46" s="32" t="s">
        <v>164</v>
      </c>
      <c r="D46" s="60" t="n">
        <v>5305</v>
      </c>
      <c r="E46" s="60" t="n">
        <v>5462</v>
      </c>
      <c r="F46" s="69" t="n">
        <f aca="false">IF(E46="","",D46-E46)</f>
        <v>-157</v>
      </c>
      <c r="G46" s="60" t="n">
        <v>5881</v>
      </c>
      <c r="H46" s="60" t="n">
        <v>5740</v>
      </c>
      <c r="I46" s="69" t="n">
        <f aca="false">IF(H46="","",G46-H46)</f>
        <v>141</v>
      </c>
      <c r="J46" s="40" t="n">
        <f aca="false">IF(OR(D46="",D46+G46=0),"",D46/(D46+G46))</f>
        <v>0.474253531199714</v>
      </c>
      <c r="K46" s="40" t="n">
        <f aca="false">IF(E46="","",E46/(E46+H46))</f>
        <v>0.487591501517586</v>
      </c>
      <c r="L46" s="70" t="n">
        <f aca="false">IF(OR(K46="",J46=""),"",(J46-K46)*100)</f>
        <v>-1.33379703178722</v>
      </c>
      <c r="M46" s="36" t="n">
        <v>2.5956073329947</v>
      </c>
      <c r="N46" s="36" t="n">
        <v>2.5925072682662</v>
      </c>
      <c r="O46" s="36" t="n">
        <f aca="false">SQRT(M46^2+N46^2)</f>
        <v>3.66855167104253</v>
      </c>
      <c r="P46" s="40" t="n">
        <f aca="false">IF(J46="","",MAX(0,J46-1.96*O46/100))</f>
        <v>0.40234991844728</v>
      </c>
      <c r="Q46" s="40" t="n">
        <f aca="false">IF(J46="","",MIN(1,J46+1.96*O46/100))</f>
        <v>0.546157143952148</v>
      </c>
      <c r="R46" s="32" t="str">
        <f aca="false">IF(L46="","",IF(ABS(L46)&lt;=O46,"Yes","No"))</f>
        <v>Yes</v>
      </c>
      <c r="S46" s="32" t="str">
        <f aca="false">IF(L46="","",IF(ABS(L46)&lt;=1.96*O46,"Yes","No"))</f>
        <v>Yes</v>
      </c>
      <c r="T46" s="60" t="n">
        <f aca="false">IF(D46="","",ROUND(SQRT(((D46+G46)*O46/100)^2+(J46*(D46+G46)*0.05464)^2),0))</f>
        <v>502</v>
      </c>
      <c r="U46" s="32"/>
    </row>
    <row r="47" customFormat="false" ht="15" hidden="false" customHeight="false" outlineLevel="0" collapsed="false">
      <c r="A47" s="32" t="s">
        <v>192</v>
      </c>
      <c r="B47" s="32" t="s">
        <v>215</v>
      </c>
      <c r="C47" s="32" t="s">
        <v>164</v>
      </c>
      <c r="D47" s="60" t="n">
        <v>1272</v>
      </c>
      <c r="E47" s="60" t="n">
        <v>1266</v>
      </c>
      <c r="F47" s="69" t="n">
        <f aca="false">IF(E47="","",D47-E47)</f>
        <v>6</v>
      </c>
      <c r="G47" s="60" t="n">
        <v>2661</v>
      </c>
      <c r="H47" s="60" t="n">
        <v>2669</v>
      </c>
      <c r="I47" s="69" t="n">
        <f aca="false">IF(H47="","",G47-H47)</f>
        <v>-8</v>
      </c>
      <c r="J47" s="40" t="n">
        <f aca="false">IF(OR(D47="",D47+G47=0),"",D47/(D47+G47))</f>
        <v>0.323417238749047</v>
      </c>
      <c r="K47" s="40" t="n">
        <f aca="false">IF(E47="","",E47/(E47+H47))</f>
        <v>0.321728081321474</v>
      </c>
      <c r="L47" s="70" t="n">
        <f aca="false">IF(OR(K47="",J47=""),"",(J47-K47)*100)</f>
        <v>0.168915742757259</v>
      </c>
      <c r="M47" s="36" t="n">
        <v>2.5956073329947</v>
      </c>
      <c r="N47" s="36" t="n">
        <v>2.5925072682662</v>
      </c>
      <c r="O47" s="36" t="n">
        <f aca="false">SQRT(M47^2+N47^2)</f>
        <v>3.66855167104253</v>
      </c>
      <c r="P47" s="40" t="n">
        <f aca="false">IF(J47="","",MAX(0,J47-1.96*O47/100))</f>
        <v>0.251513625996613</v>
      </c>
      <c r="Q47" s="40" t="n">
        <f aca="false">IF(J47="","",MIN(1,J47+1.96*O47/100))</f>
        <v>0.39532085150148</v>
      </c>
      <c r="R47" s="32" t="str">
        <f aca="false">IF(L47="","",IF(ABS(L47)&lt;=O47,"Yes","No"))</f>
        <v>Yes</v>
      </c>
      <c r="S47" s="32" t="str">
        <f aca="false">IF(L47="","",IF(ABS(L47)&lt;=1.96*O47,"Yes","No"))</f>
        <v>Yes</v>
      </c>
      <c r="T47" s="60" t="n">
        <f aca="false">IF(D47="","",ROUND(SQRT(((D47+G47)*O47/100)^2+(J47*(D47+G47)*0.05464)^2),0))</f>
        <v>160</v>
      </c>
      <c r="U47" s="32"/>
    </row>
    <row r="48" customFormat="false" ht="15" hidden="false" customHeight="false" outlineLevel="0" collapsed="false">
      <c r="A48" s="32" t="s">
        <v>192</v>
      </c>
      <c r="B48" s="32" t="s">
        <v>216</v>
      </c>
      <c r="C48" s="32" t="s">
        <v>164</v>
      </c>
      <c r="D48" s="60" t="n">
        <v>1158</v>
      </c>
      <c r="E48" s="60" t="n">
        <v>1172</v>
      </c>
      <c r="F48" s="69" t="n">
        <f aca="false">IF(E48="","",D48-E48)</f>
        <v>-14</v>
      </c>
      <c r="G48" s="60" t="n">
        <v>2220</v>
      </c>
      <c r="H48" s="60" t="n">
        <v>2201</v>
      </c>
      <c r="I48" s="69" t="n">
        <f aca="false">IF(H48="","",G48-H48)</f>
        <v>19</v>
      </c>
      <c r="J48" s="40" t="n">
        <f aca="false">IF(OR(D48="",D48+G48=0),"",D48/(D48+G48))</f>
        <v>0.342806394316163</v>
      </c>
      <c r="K48" s="40" t="n">
        <f aca="false">IF(E48="","",E48/(E48+H48))</f>
        <v>0.347465164541951</v>
      </c>
      <c r="L48" s="70" t="n">
        <f aca="false">IF(OR(K48="",J48=""),"",(J48-K48)*100)</f>
        <v>-0.465877022578742</v>
      </c>
      <c r="M48" s="36" t="n">
        <v>2.72659205591432</v>
      </c>
      <c r="N48" s="36" t="n">
        <v>2.5925072682662</v>
      </c>
      <c r="O48" s="36" t="n">
        <f aca="false">SQRT(M48^2+N48^2)</f>
        <v>3.76236603421147</v>
      </c>
      <c r="P48" s="40" t="n">
        <f aca="false">IF(J48="","",MAX(0,J48-1.96*O48/100))</f>
        <v>0.269064020045619</v>
      </c>
      <c r="Q48" s="40" t="n">
        <f aca="false">IF(J48="","",MIN(1,J48+1.96*O48/100))</f>
        <v>0.416548768586708</v>
      </c>
      <c r="R48" s="32" t="str">
        <f aca="false">IF(L48="","",IF(ABS(L48)&lt;=O48,"Yes","No"))</f>
        <v>Yes</v>
      </c>
      <c r="S48" s="32" t="str">
        <f aca="false">IF(L48="","",IF(ABS(L48)&lt;=1.96*O48,"Yes","No"))</f>
        <v>Yes</v>
      </c>
      <c r="T48" s="60" t="n">
        <f aca="false">IF(D48="","",ROUND(SQRT(((D48+G48)*O48/100)^2+(J48*(D48+G48)*0.06092)^2),0))</f>
        <v>145</v>
      </c>
      <c r="U48" s="32"/>
    </row>
    <row r="49" customFormat="false" ht="15" hidden="false" customHeight="false" outlineLevel="0" collapsed="false">
      <c r="A49" s="32" t="s">
        <v>192</v>
      </c>
      <c r="B49" s="32" t="s">
        <v>217</v>
      </c>
      <c r="C49" s="32" t="s">
        <v>164</v>
      </c>
      <c r="D49" s="60" t="n">
        <v>7467</v>
      </c>
      <c r="E49" s="60" t="n">
        <v>7383</v>
      </c>
      <c r="F49" s="69" t="n">
        <f aca="false">IF(E49="","",D49-E49)</f>
        <v>84</v>
      </c>
      <c r="G49" s="60" t="n">
        <v>7013</v>
      </c>
      <c r="H49" s="60" t="n">
        <v>7036</v>
      </c>
      <c r="I49" s="69" t="n">
        <f aca="false">IF(H49="","",G49-H49)</f>
        <v>-23</v>
      </c>
      <c r="J49" s="40" t="n">
        <f aca="false">IF(OR(D49="",D49+G49=0),"",D49/(D49+G49))</f>
        <v>0.515676795580111</v>
      </c>
      <c r="K49" s="40" t="n">
        <f aca="false">IF(E49="","",E49/(E49+H49))</f>
        <v>0.51203273458631</v>
      </c>
      <c r="L49" s="70" t="n">
        <f aca="false">IF(OR(K49="",J49=""),"",(J49-K49)*100)</f>
        <v>0.364406099380077</v>
      </c>
      <c r="M49" s="36" t="n">
        <v>2.5956073329947</v>
      </c>
      <c r="N49" s="36" t="n">
        <v>2.5925072682662</v>
      </c>
      <c r="O49" s="36" t="n">
        <f aca="false">SQRT(M49^2+N49^2)</f>
        <v>3.66855167104253</v>
      </c>
      <c r="P49" s="40" t="n">
        <f aca="false">IF(J49="","",MAX(0,J49-1.96*O49/100))</f>
        <v>0.443773182827677</v>
      </c>
      <c r="Q49" s="40" t="n">
        <f aca="false">IF(J49="","",MIN(1,J49+1.96*O49/100))</f>
        <v>0.587580408332544</v>
      </c>
      <c r="R49" s="32" t="str">
        <f aca="false">IF(L49="","",IF(ABS(L49)&lt;=O49,"Yes","No"))</f>
        <v>Yes</v>
      </c>
      <c r="S49" s="32" t="str">
        <f aca="false">IF(L49="","",IF(ABS(L49)&lt;=1.96*O49,"Yes","No"))</f>
        <v>Yes</v>
      </c>
      <c r="T49" s="60" t="n">
        <f aca="false">IF(D49="","",ROUND(SQRT(((D49+G49)*O49/100)^2+(J49*(D49+G49)*0.05464)^2),0))</f>
        <v>670</v>
      </c>
      <c r="U49" s="32"/>
    </row>
    <row r="50" customFormat="false" ht="15" hidden="false" customHeight="false" outlineLevel="0" collapsed="false">
      <c r="A50" s="32" t="s">
        <v>218</v>
      </c>
      <c r="B50" s="32" t="s">
        <v>219</v>
      </c>
      <c r="C50" s="32" t="s">
        <v>164</v>
      </c>
      <c r="D50" s="60" t="n">
        <v>450</v>
      </c>
      <c r="E50" s="60" t="n">
        <v>471</v>
      </c>
      <c r="F50" s="69" t="n">
        <f aca="false">IF(E50="","",D50-E50)</f>
        <v>-21</v>
      </c>
      <c r="G50" s="60" t="n">
        <v>1094</v>
      </c>
      <c r="H50" s="60" t="n">
        <v>1124</v>
      </c>
      <c r="I50" s="69" t="n">
        <f aca="false">IF(H50="","",G50-H50)</f>
        <v>-30</v>
      </c>
      <c r="J50" s="40" t="n">
        <f aca="false">IF(OR(D50="",D50+G50=0),"",D50/(D50+G50))</f>
        <v>0.291450777202073</v>
      </c>
      <c r="K50" s="40" t="n">
        <f aca="false">IF(E50="","",E50/(E50+H50))</f>
        <v>0.295297805642633</v>
      </c>
      <c r="L50" s="70" t="n">
        <f aca="false">IF(OR(K50="",J50=""),"",(J50-K50)*100)</f>
        <v>-0.384702844056073</v>
      </c>
      <c r="M50" s="36" t="n">
        <v>4.33926976222454</v>
      </c>
      <c r="N50" s="36" t="n">
        <v>2.5925072682662</v>
      </c>
      <c r="O50" s="36" t="n">
        <f aca="false">SQRT(M50^2+N50^2)</f>
        <v>5.05473599759367</v>
      </c>
      <c r="P50" s="40" t="n">
        <f aca="false">IF(J50="","",MAX(0,J50-1.96*O50/100))</f>
        <v>0.192377951649237</v>
      </c>
      <c r="Q50" s="40" t="n">
        <f aca="false">IF(J50="","",MIN(1,J50+1.96*O50/100))</f>
        <v>0.390523602754909</v>
      </c>
      <c r="R50" s="32" t="str">
        <f aca="false">IF(L50="","",IF(ABS(L50)&lt;=O50,"Yes","No"))</f>
        <v>Yes</v>
      </c>
      <c r="S50" s="32" t="str">
        <f aca="false">IF(L50="","",IF(ABS(L50)&lt;=1.96*O50,"Yes","No"))</f>
        <v>Yes</v>
      </c>
      <c r="T50" s="60" t="n">
        <f aca="false">IF(D50="","",ROUND(SQRT(((D50+G50)*O50/100)^2+(J50*(D50+G50)*0.07859)^2),0))</f>
        <v>86</v>
      </c>
      <c r="U50" s="32"/>
    </row>
    <row r="51" customFormat="false" ht="15" hidden="false" customHeight="false" outlineLevel="0" collapsed="false">
      <c r="A51" s="32" t="s">
        <v>218</v>
      </c>
      <c r="B51" s="32" t="s">
        <v>220</v>
      </c>
      <c r="C51" s="32" t="s">
        <v>164</v>
      </c>
      <c r="D51" s="60" t="n">
        <v>1357</v>
      </c>
      <c r="E51" s="60" t="n">
        <v>1414</v>
      </c>
      <c r="F51" s="69" t="n">
        <f aca="false">IF(E51="","",D51-E51)</f>
        <v>-57</v>
      </c>
      <c r="G51" s="60" t="n">
        <v>2812</v>
      </c>
      <c r="H51" s="60" t="n">
        <v>2894</v>
      </c>
      <c r="I51" s="69" t="n">
        <f aca="false">IF(H51="","",G51-H51)</f>
        <v>-82</v>
      </c>
      <c r="J51" s="40" t="n">
        <f aca="false">IF(OR(D51="",D51+G51=0),"",D51/(D51+G51))</f>
        <v>0.325497721276085</v>
      </c>
      <c r="K51" s="40" t="n">
        <f aca="false">IF(E51="","",E51/(E51+H51))</f>
        <v>0.328226555246054</v>
      </c>
      <c r="L51" s="70" t="n">
        <f aca="false">IF(OR(K51="",J51=""),"",(J51-K51)*100)</f>
        <v>-0.272883396996848</v>
      </c>
      <c r="M51" s="36" t="n">
        <v>2.5956073329947</v>
      </c>
      <c r="N51" s="36" t="n">
        <v>2.5925072682662</v>
      </c>
      <c r="O51" s="36" t="n">
        <f aca="false">SQRT(M51^2+N51^2)</f>
        <v>3.66855167104253</v>
      </c>
      <c r="P51" s="40" t="n">
        <f aca="false">IF(J51="","",MAX(0,J51-1.96*O51/100))</f>
        <v>0.253594108523652</v>
      </c>
      <c r="Q51" s="40" t="n">
        <f aca="false">IF(J51="","",MIN(1,J51+1.96*O51/100))</f>
        <v>0.397401334028519</v>
      </c>
      <c r="R51" s="32" t="str">
        <f aca="false">IF(L51="","",IF(ABS(L51)&lt;=O51,"Yes","No"))</f>
        <v>Yes</v>
      </c>
      <c r="S51" s="32" t="str">
        <f aca="false">IF(L51="","",IF(ABS(L51)&lt;=1.96*O51,"Yes","No"))</f>
        <v>Yes</v>
      </c>
      <c r="T51" s="60" t="n">
        <f aca="false">IF(D51="","",ROUND(SQRT(((D51+G51)*O51/100)^2+(J51*(D51+G51)*0.05464)^2),0))</f>
        <v>170</v>
      </c>
      <c r="U51" s="32"/>
    </row>
    <row r="52" customFormat="false" ht="15" hidden="false" customHeight="false" outlineLevel="0" collapsed="false">
      <c r="A52" s="32" t="s">
        <v>218</v>
      </c>
      <c r="B52" s="32" t="s">
        <v>221</v>
      </c>
      <c r="C52" s="32" t="s">
        <v>164</v>
      </c>
      <c r="D52" s="60" t="n">
        <v>447</v>
      </c>
      <c r="E52" s="60" t="n">
        <v>521</v>
      </c>
      <c r="F52" s="69" t="n">
        <f aca="false">IF(E52="","",D52-E52)</f>
        <v>-74</v>
      </c>
      <c r="G52" s="60" t="n">
        <v>863</v>
      </c>
      <c r="H52" s="60" t="n">
        <v>997</v>
      </c>
      <c r="I52" s="69" t="n">
        <f aca="false">IF(H52="","",G52-H52)</f>
        <v>-134</v>
      </c>
      <c r="J52" s="40" t="n">
        <f aca="false">IF(OR(D52="",D52+G52=0),"",D52/(D52+G52))</f>
        <v>0.341221374045802</v>
      </c>
      <c r="K52" s="40" t="n">
        <f aca="false">IF(E52="","",E52/(E52+H52))</f>
        <v>0.343214756258235</v>
      </c>
      <c r="L52" s="70" t="n">
        <f aca="false">IF(OR(K52="",J52=""),"",(J52-K52)*100)</f>
        <v>-0.199338221243295</v>
      </c>
      <c r="M52" s="36" t="n">
        <v>4.33926976222454</v>
      </c>
      <c r="N52" s="36" t="n">
        <v>2.5925072682662</v>
      </c>
      <c r="O52" s="36" t="n">
        <f aca="false">SQRT(M52^2+N52^2)</f>
        <v>5.05473599759367</v>
      </c>
      <c r="P52" s="40" t="n">
        <f aca="false">IF(J52="","",MAX(0,J52-1.96*O52/100))</f>
        <v>0.242148548492966</v>
      </c>
      <c r="Q52" s="40" t="n">
        <f aca="false">IF(J52="","",MIN(1,J52+1.96*O52/100))</f>
        <v>0.440294199598638</v>
      </c>
      <c r="R52" s="32" t="str">
        <f aca="false">IF(L52="","",IF(ABS(L52)&lt;=O52,"Yes","No"))</f>
        <v>Yes</v>
      </c>
      <c r="S52" s="32" t="str">
        <f aca="false">IF(L52="","",IF(ABS(L52)&lt;=1.96*O52,"Yes","No"))</f>
        <v>Yes</v>
      </c>
      <c r="T52" s="60" t="n">
        <f aca="false">IF(D52="","",ROUND(SQRT(((D52+G52)*O52/100)^2+(J52*(D52+G52)*0.07859)^2),0))</f>
        <v>75</v>
      </c>
      <c r="U52" s="32"/>
    </row>
    <row r="53" customFormat="false" ht="15" hidden="false" customHeight="false" outlineLevel="0" collapsed="false">
      <c r="A53" s="32" t="s">
        <v>222</v>
      </c>
      <c r="B53" s="32" t="s">
        <v>223</v>
      </c>
      <c r="C53" s="32" t="s">
        <v>164</v>
      </c>
      <c r="D53" s="60" t="n">
        <v>1465</v>
      </c>
      <c r="E53" s="60" t="n">
        <v>1511</v>
      </c>
      <c r="F53" s="69" t="n">
        <f aca="false">IF(E53="","",D53-E53)</f>
        <v>-46</v>
      </c>
      <c r="G53" s="60" t="n">
        <v>1999</v>
      </c>
      <c r="H53" s="60" t="n">
        <v>2018</v>
      </c>
      <c r="I53" s="69" t="n">
        <f aca="false">IF(H53="","",G53-H53)</f>
        <v>-19</v>
      </c>
      <c r="J53" s="40" t="n">
        <f aca="false">IF(OR(D53="",D53+G53=0),"",D53/(D53+G53))</f>
        <v>0.422921478060046</v>
      </c>
      <c r="K53" s="40" t="n">
        <f aca="false">IF(E53="","",E53/(E53+H53))</f>
        <v>0.428166619438935</v>
      </c>
      <c r="L53" s="70" t="n">
        <f aca="false">IF(OR(K53="",J53=""),"",(J53-K53)*100)</f>
        <v>-0.524514137888832</v>
      </c>
      <c r="M53" s="36" t="n">
        <v>2.72659205591432</v>
      </c>
      <c r="N53" s="36" t="n">
        <v>2.5925072682662</v>
      </c>
      <c r="O53" s="36" t="n">
        <f aca="false">SQRT(M53^2+N53^2)</f>
        <v>3.76236603421147</v>
      </c>
      <c r="P53" s="40" t="n">
        <f aca="false">IF(J53="","",MAX(0,J53-1.96*O53/100))</f>
        <v>0.349179103789501</v>
      </c>
      <c r="Q53" s="40" t="n">
        <f aca="false">IF(J53="","",MIN(1,J53+1.96*O53/100))</f>
        <v>0.496663852330591</v>
      </c>
      <c r="R53" s="32" t="str">
        <f aca="false">IF(L53="","",IF(ABS(L53)&lt;=O53,"Yes","No"))</f>
        <v>Yes</v>
      </c>
      <c r="S53" s="32" t="str">
        <f aca="false">IF(L53="","",IF(ABS(L53)&lt;=1.96*O53,"Yes","No"))</f>
        <v>Yes</v>
      </c>
      <c r="T53" s="60" t="n">
        <f aca="false">IF(D53="","",ROUND(SQRT(((D53+G53)*O53/100)^2+(J53*(D53+G53)*0.06092)^2),0))</f>
        <v>158</v>
      </c>
      <c r="U53" s="32"/>
    </row>
    <row r="54" customFormat="false" ht="15" hidden="false" customHeight="false" outlineLevel="0" collapsed="false">
      <c r="A54" s="32" t="s">
        <v>222</v>
      </c>
      <c r="B54" s="32" t="s">
        <v>224</v>
      </c>
      <c r="C54" s="32" t="s">
        <v>164</v>
      </c>
      <c r="D54" s="60" t="n">
        <v>958</v>
      </c>
      <c r="E54" s="60" t="n">
        <v>959</v>
      </c>
      <c r="F54" s="69" t="n">
        <f aca="false">IF(E54="","",D54-E54)</f>
        <v>-1</v>
      </c>
      <c r="G54" s="60" t="n">
        <v>1378</v>
      </c>
      <c r="H54" s="60" t="n">
        <v>1364</v>
      </c>
      <c r="I54" s="69" t="n">
        <f aca="false">IF(H54="","",G54-H54)</f>
        <v>14</v>
      </c>
      <c r="J54" s="40" t="n">
        <f aca="false">IF(OR(D54="",D54+G54=0),"",D54/(D54+G54))</f>
        <v>0.410102739726027</v>
      </c>
      <c r="K54" s="40" t="n">
        <f aca="false">IF(E54="","",E54/(E54+H54))</f>
        <v>0.412828239345674</v>
      </c>
      <c r="L54" s="70" t="n">
        <f aca="false">IF(OR(K54="",J54=""),"",(J54-K54)*100)</f>
        <v>-0.27254996196463</v>
      </c>
      <c r="M54" s="36" t="n">
        <v>2.72659205591432</v>
      </c>
      <c r="N54" s="36" t="n">
        <v>2.5925072682662</v>
      </c>
      <c r="O54" s="36" t="n">
        <f aca="false">SQRT(M54^2+N54^2)</f>
        <v>3.76236603421147</v>
      </c>
      <c r="P54" s="40" t="n">
        <f aca="false">IF(J54="","",MAX(0,J54-1.96*O54/100))</f>
        <v>0.336360365455483</v>
      </c>
      <c r="Q54" s="40" t="n">
        <f aca="false">IF(J54="","",MIN(1,J54+1.96*O54/100))</f>
        <v>0.483845113996572</v>
      </c>
      <c r="R54" s="32" t="str">
        <f aca="false">IF(L54="","",IF(ABS(L54)&lt;=O54,"Yes","No"))</f>
        <v>Yes</v>
      </c>
      <c r="S54" s="32" t="str">
        <f aca="false">IF(L54="","",IF(ABS(L54)&lt;=1.96*O54,"Yes","No"))</f>
        <v>Yes</v>
      </c>
      <c r="T54" s="60" t="n">
        <f aca="false">IF(D54="","",ROUND(SQRT(((D54+G54)*O54/100)^2+(J54*(D54+G54)*0.06092)^2),0))</f>
        <v>106</v>
      </c>
      <c r="U54" s="32"/>
    </row>
    <row r="55" customFormat="false" ht="15" hidden="false" customHeight="false" outlineLevel="0" collapsed="false">
      <c r="A55" s="32" t="s">
        <v>222</v>
      </c>
      <c r="B55" s="32" t="s">
        <v>225</v>
      </c>
      <c r="C55" s="32" t="s">
        <v>164</v>
      </c>
      <c r="D55" s="60" t="n">
        <v>624</v>
      </c>
      <c r="E55" s="60" t="n">
        <v>623</v>
      </c>
      <c r="F55" s="69" t="n">
        <f aca="false">IF(E55="","",D55-E55)</f>
        <v>1</v>
      </c>
      <c r="G55" s="60" t="n">
        <v>746</v>
      </c>
      <c r="H55" s="60" t="n">
        <v>726</v>
      </c>
      <c r="I55" s="69" t="n">
        <f aca="false">IF(H55="","",G55-H55)</f>
        <v>20</v>
      </c>
      <c r="J55" s="40" t="n">
        <f aca="false">IF(OR(D55="",D55+G55=0),"",D55/(D55+G55))</f>
        <v>0.455474452554745</v>
      </c>
      <c r="K55" s="40" t="n">
        <f aca="false">IF(E55="","",E55/(E55+H55))</f>
        <v>0.46182357301705</v>
      </c>
      <c r="L55" s="70" t="n">
        <f aca="false">IF(OR(K55="",J55=""),"",(J55-K55)*100)</f>
        <v>-0.634912046230518</v>
      </c>
      <c r="M55" s="36" t="n">
        <v>4.33926976222454</v>
      </c>
      <c r="N55" s="36" t="n">
        <v>2.5925072682662</v>
      </c>
      <c r="O55" s="36" t="n">
        <f aca="false">SQRT(M55^2+N55^2)</f>
        <v>5.05473599759367</v>
      </c>
      <c r="P55" s="40" t="n">
        <f aca="false">IF(J55="","",MAX(0,J55-1.96*O55/100))</f>
        <v>0.356401627001909</v>
      </c>
      <c r="Q55" s="40" t="n">
        <f aca="false">IF(J55="","",MIN(1,J55+1.96*O55/100))</f>
        <v>0.55454727810758</v>
      </c>
      <c r="R55" s="32" t="str">
        <f aca="false">IF(L55="","",IF(ABS(L55)&lt;=O55,"Yes","No"))</f>
        <v>Yes</v>
      </c>
      <c r="S55" s="32" t="str">
        <f aca="false">IF(L55="","",IF(ABS(L55)&lt;=1.96*O55,"Yes","No"))</f>
        <v>Yes</v>
      </c>
      <c r="T55" s="60" t="n">
        <f aca="false">IF(D55="","",ROUND(SQRT(((D55+G55)*O55/100)^2+(J55*(D55+G55)*0.07859)^2),0))</f>
        <v>85</v>
      </c>
      <c r="U55" s="32"/>
    </row>
    <row r="56" customFormat="false" ht="15" hidden="false" customHeight="false" outlineLevel="0" collapsed="false">
      <c r="A56" s="32" t="s">
        <v>222</v>
      </c>
      <c r="B56" s="32" t="s">
        <v>195</v>
      </c>
      <c r="C56" s="32" t="s">
        <v>164</v>
      </c>
      <c r="D56" s="60" t="n">
        <v>16952</v>
      </c>
      <c r="E56" s="60" t="n">
        <v>17416</v>
      </c>
      <c r="F56" s="69" t="n">
        <f aca="false">IF(E56="","",D56-E56)</f>
        <v>-464</v>
      </c>
      <c r="G56" s="60" t="n">
        <v>8631</v>
      </c>
      <c r="H56" s="60" t="n">
        <v>8640</v>
      </c>
      <c r="I56" s="69" t="n">
        <f aca="false">IF(H56="","",G56-H56)</f>
        <v>-9</v>
      </c>
      <c r="J56" s="40" t="n">
        <f aca="false">IF(OR(D56="",D56+G56=0),"",D56/(D56+G56))</f>
        <v>0.662627526091545</v>
      </c>
      <c r="K56" s="40" t="n">
        <f aca="false">IF(E56="","",E56/(E56+H56))</f>
        <v>0.668406509057415</v>
      </c>
      <c r="L56" s="70" t="n">
        <f aca="false">IF(OR(K56="",J56=""),"",(J56-K56)*100)</f>
        <v>-0.577898296586965</v>
      </c>
      <c r="M56" s="36" t="n">
        <v>2.5956073329947</v>
      </c>
      <c r="N56" s="36" t="n">
        <v>2.5925072682662</v>
      </c>
      <c r="O56" s="36" t="n">
        <f aca="false">SQRT(M56^2+N56^2)</f>
        <v>3.66855167104253</v>
      </c>
      <c r="P56" s="40" t="n">
        <f aca="false">IF(J56="","",MAX(0,J56-1.96*O56/100))</f>
        <v>0.590723913339112</v>
      </c>
      <c r="Q56" s="40" t="n">
        <f aca="false">IF(J56="","",MIN(1,J56+1.96*O56/100))</f>
        <v>0.734531138843979</v>
      </c>
      <c r="R56" s="32" t="str">
        <f aca="false">IF(L56="","",IF(ABS(L56)&lt;=O56,"Yes","No"))</f>
        <v>Yes</v>
      </c>
      <c r="S56" s="32" t="str">
        <f aca="false">IF(L56="","",IF(ABS(L56)&lt;=1.96*O56,"Yes","No"))</f>
        <v>Yes</v>
      </c>
      <c r="T56" s="60" t="n">
        <f aca="false">IF(D56="","",ROUND(SQRT(((D56+G56)*O56/100)^2+(J56*(D56+G56)*0.05464)^2),0))</f>
        <v>1319</v>
      </c>
      <c r="U56" s="32"/>
    </row>
    <row r="57" customFormat="false" ht="15" hidden="false" customHeight="false" outlineLevel="0" collapsed="false">
      <c r="A57" s="32" t="s">
        <v>222</v>
      </c>
      <c r="B57" s="32" t="s">
        <v>226</v>
      </c>
      <c r="C57" s="32" t="s">
        <v>164</v>
      </c>
      <c r="D57" s="60" t="n">
        <v>8193</v>
      </c>
      <c r="E57" s="60" t="n">
        <v>8595</v>
      </c>
      <c r="F57" s="69" t="n">
        <f aca="false">IF(E57="","",D57-E57)</f>
        <v>-402</v>
      </c>
      <c r="G57" s="60" t="n">
        <v>7740</v>
      </c>
      <c r="H57" s="60" t="n">
        <v>7440</v>
      </c>
      <c r="I57" s="69" t="n">
        <f aca="false">IF(H57="","",G57-H57)</f>
        <v>300</v>
      </c>
      <c r="J57" s="40" t="n">
        <f aca="false">IF(OR(D57="",D57+G57=0),"",D57/(D57+G57))</f>
        <v>0.514215778572774</v>
      </c>
      <c r="K57" s="40" t="n">
        <f aca="false">IF(E57="","",E57/(E57+H57))</f>
        <v>0.536014967259121</v>
      </c>
      <c r="L57" s="70" t="n">
        <f aca="false">IF(OR(K57="",J57=""),"",(J57-K57)*100)</f>
        <v>-2.17991886863472</v>
      </c>
      <c r="M57" s="36" t="n">
        <v>2.5956073329947</v>
      </c>
      <c r="N57" s="36" t="n">
        <v>2.5925072682662</v>
      </c>
      <c r="O57" s="36" t="n">
        <f aca="false">SQRT(M57^2+N57^2)</f>
        <v>3.66855167104253</v>
      </c>
      <c r="P57" s="40" t="n">
        <f aca="false">IF(J57="","",MAX(0,J57-1.96*O57/100))</f>
        <v>0.44231216582034</v>
      </c>
      <c r="Q57" s="40" t="n">
        <f aca="false">IF(J57="","",MIN(1,J57+1.96*O57/100))</f>
        <v>0.586119391325207</v>
      </c>
      <c r="R57" s="32" t="str">
        <f aca="false">IF(L57="","",IF(ABS(L57)&lt;=O57,"Yes","No"))</f>
        <v>Yes</v>
      </c>
      <c r="S57" s="32" t="str">
        <f aca="false">IF(L57="","",IF(ABS(L57)&lt;=1.96*O57,"Yes","No"))</f>
        <v>Yes</v>
      </c>
      <c r="T57" s="60" t="n">
        <f aca="false">IF(D57="","",ROUND(SQRT(((D57+G57)*O57/100)^2+(J57*(D57+G57)*0.05464)^2),0))</f>
        <v>736</v>
      </c>
      <c r="U57" s="32"/>
    </row>
    <row r="58" customFormat="false" ht="15" hidden="false" customHeight="false" outlineLevel="0" collapsed="false">
      <c r="A58" s="32" t="s">
        <v>222</v>
      </c>
      <c r="B58" s="32" t="s">
        <v>227</v>
      </c>
      <c r="C58" s="32" t="s">
        <v>164</v>
      </c>
      <c r="D58" s="60" t="n">
        <v>2051</v>
      </c>
      <c r="E58" s="60" t="n">
        <v>2169</v>
      </c>
      <c r="F58" s="69" t="n">
        <f aca="false">IF(E58="","",D58-E58)</f>
        <v>-118</v>
      </c>
      <c r="G58" s="60" t="n">
        <v>3564</v>
      </c>
      <c r="H58" s="60" t="n">
        <v>3459</v>
      </c>
      <c r="I58" s="69" t="n">
        <f aca="false">IF(H58="","",G58-H58)</f>
        <v>105</v>
      </c>
      <c r="J58" s="40" t="n">
        <f aca="false">IF(OR(D58="",D58+G58=0),"",D58/(D58+G58))</f>
        <v>0.365271593944791</v>
      </c>
      <c r="K58" s="40" t="n">
        <f aca="false">IF(E58="","",E58/(E58+H58))</f>
        <v>0.385394456289979</v>
      </c>
      <c r="L58" s="70" t="n">
        <f aca="false">IF(OR(K58="",J58=""),"",(J58-K58)*100)</f>
        <v>-2.0122862345188</v>
      </c>
      <c r="M58" s="36" t="n">
        <v>2.5956073329947</v>
      </c>
      <c r="N58" s="36" t="n">
        <v>2.5925072682662</v>
      </c>
      <c r="O58" s="36" t="n">
        <f aca="false">SQRT(M58^2+N58^2)</f>
        <v>3.66855167104253</v>
      </c>
      <c r="P58" s="40" t="n">
        <f aca="false">IF(J58="","",MAX(0,J58-1.96*O58/100))</f>
        <v>0.293367981192357</v>
      </c>
      <c r="Q58" s="40" t="n">
        <f aca="false">IF(J58="","",MIN(1,J58+1.96*O58/100))</f>
        <v>0.437175206697224</v>
      </c>
      <c r="R58" s="32" t="str">
        <f aca="false">IF(L58="","",IF(ABS(L58)&lt;=O58,"Yes","No"))</f>
        <v>Yes</v>
      </c>
      <c r="S58" s="32" t="str">
        <f aca="false">IF(L58="","",IF(ABS(L58)&lt;=1.96*O58,"Yes","No"))</f>
        <v>Yes</v>
      </c>
      <c r="T58" s="60" t="n">
        <f aca="false">IF(D58="","",ROUND(SQRT(((D58+G58)*O58/100)^2+(J58*(D58+G58)*0.05464)^2),0))</f>
        <v>235</v>
      </c>
      <c r="U58" s="32"/>
    </row>
    <row r="59" customFormat="false" ht="15" hidden="false" customHeight="false" outlineLevel="0" collapsed="false">
      <c r="A59" s="32" t="s">
        <v>222</v>
      </c>
      <c r="B59" s="32" t="s">
        <v>228</v>
      </c>
      <c r="C59" s="32" t="s">
        <v>164</v>
      </c>
      <c r="D59" s="60" t="n">
        <v>42</v>
      </c>
      <c r="E59" s="60" t="n">
        <v>40</v>
      </c>
      <c r="F59" s="69" t="n">
        <f aca="false">IF(E59="","",D59-E59)</f>
        <v>2</v>
      </c>
      <c r="G59" s="60" t="n">
        <v>79</v>
      </c>
      <c r="H59" s="60" t="n">
        <v>83</v>
      </c>
      <c r="I59" s="69" t="n">
        <f aca="false">IF(H59="","",G59-H59)</f>
        <v>-4</v>
      </c>
      <c r="J59" s="40" t="n">
        <f aca="false">IF(OR(D59="",D59+G59=0),"",D59/(D59+G59))</f>
        <v>0.347107438016529</v>
      </c>
      <c r="K59" s="40" t="n">
        <f aca="false">IF(E59="","",E59/(E59+H59))</f>
        <v>0.32520325203252</v>
      </c>
      <c r="L59" s="70" t="n">
        <f aca="false">IF(OR(K59="",J59=""),"",(J59-K59)*100)</f>
        <v>2.19041859840086</v>
      </c>
      <c r="M59" s="36" t="n">
        <v>4.33926976222454</v>
      </c>
      <c r="N59" s="36" t="n">
        <v>2.5925072682662</v>
      </c>
      <c r="O59" s="36" t="n">
        <f aca="false">SQRT(M59^2+N59^2)</f>
        <v>5.05473599759367</v>
      </c>
      <c r="P59" s="40" t="n">
        <f aca="false">IF(J59="","",MAX(0,J59-1.96*O59/100))</f>
        <v>0.248034612463693</v>
      </c>
      <c r="Q59" s="40" t="n">
        <f aca="false">IF(J59="","",MIN(1,J59+1.96*O59/100))</f>
        <v>0.446180263569365</v>
      </c>
      <c r="R59" s="32" t="str">
        <f aca="false">IF(L59="","",IF(ABS(L59)&lt;=O59,"Yes","No"))</f>
        <v>Yes</v>
      </c>
      <c r="S59" s="32" t="str">
        <f aca="false">IF(L59="","",IF(ABS(L59)&lt;=1.96*O59,"Yes","No"))</f>
        <v>Yes</v>
      </c>
      <c r="T59" s="60" t="n">
        <f aca="false">IF(D59="","",ROUND(SQRT(((D59+G59)*O59/100)^2+(J59*(D59+G59)*0.07859)^2),0))</f>
        <v>7</v>
      </c>
      <c r="U59" s="32"/>
    </row>
    <row r="60" customFormat="false" ht="15" hidden="false" customHeight="false" outlineLevel="0" collapsed="false">
      <c r="A60" s="32" t="s">
        <v>222</v>
      </c>
      <c r="B60" s="32" t="s">
        <v>229</v>
      </c>
      <c r="C60" s="32" t="s">
        <v>164</v>
      </c>
      <c r="D60" s="60" t="n">
        <v>1413</v>
      </c>
      <c r="E60" s="60" t="n">
        <v>1484</v>
      </c>
      <c r="F60" s="69" t="n">
        <f aca="false">IF(E60="","",D60-E60)</f>
        <v>-71</v>
      </c>
      <c r="G60" s="60" t="n">
        <v>1956</v>
      </c>
      <c r="H60" s="60" t="n">
        <v>1959</v>
      </c>
      <c r="I60" s="69" t="n">
        <f aca="false">IF(H60="","",G60-H60)</f>
        <v>-3</v>
      </c>
      <c r="J60" s="40" t="n">
        <f aca="false">IF(OR(D60="",D60+G60=0),"",D60/(D60+G60))</f>
        <v>0.419412288512912</v>
      </c>
      <c r="K60" s="40" t="n">
        <f aca="false">IF(E60="","",E60/(E60+H60))</f>
        <v>0.431019459773453</v>
      </c>
      <c r="L60" s="70" t="n">
        <f aca="false">IF(OR(K60="",J60=""),"",(J60-K60)*100)</f>
        <v>-1.16071712605416</v>
      </c>
      <c r="M60" s="36" t="n">
        <v>2.72659205591432</v>
      </c>
      <c r="N60" s="36" t="n">
        <v>2.5925072682662</v>
      </c>
      <c r="O60" s="36" t="n">
        <f aca="false">SQRT(M60^2+N60^2)</f>
        <v>3.76236603421147</v>
      </c>
      <c r="P60" s="40" t="n">
        <f aca="false">IF(J60="","",MAX(0,J60-1.96*O60/100))</f>
        <v>0.345669914242367</v>
      </c>
      <c r="Q60" s="40" t="n">
        <f aca="false">IF(J60="","",MIN(1,J60+1.96*O60/100))</f>
        <v>0.493154662783457</v>
      </c>
      <c r="R60" s="32" t="str">
        <f aca="false">IF(L60="","",IF(ABS(L60)&lt;=O60,"Yes","No"))</f>
        <v>Yes</v>
      </c>
      <c r="S60" s="32" t="str">
        <f aca="false">IF(L60="","",IF(ABS(L60)&lt;=1.96*O60,"Yes","No"))</f>
        <v>Yes</v>
      </c>
      <c r="T60" s="60" t="n">
        <f aca="false">IF(D60="","",ROUND(SQRT(((D60+G60)*O60/100)^2+(J60*(D60+G60)*0.06092)^2),0))</f>
        <v>153</v>
      </c>
      <c r="U60" s="32"/>
    </row>
    <row r="61" customFormat="false" ht="15" hidden="false" customHeight="false" outlineLevel="0" collapsed="false">
      <c r="A61" s="32" t="s">
        <v>222</v>
      </c>
      <c r="B61" s="32" t="s">
        <v>230</v>
      </c>
      <c r="C61" s="32" t="s">
        <v>164</v>
      </c>
      <c r="D61" s="60" t="n">
        <v>183</v>
      </c>
      <c r="E61" s="60" t="n">
        <v>217</v>
      </c>
      <c r="F61" s="69" t="n">
        <f aca="false">IF(E61="","",D61-E61)</f>
        <v>-34</v>
      </c>
      <c r="G61" s="60" t="n">
        <v>328</v>
      </c>
      <c r="H61" s="60" t="n">
        <v>309</v>
      </c>
      <c r="I61" s="69" t="n">
        <f aca="false">IF(H61="","",G61-H61)</f>
        <v>19</v>
      </c>
      <c r="J61" s="40" t="n">
        <f aca="false">IF(OR(D61="",D61+G61=0),"",D61/(D61+G61))</f>
        <v>0.35812133072407</v>
      </c>
      <c r="K61" s="40" t="n">
        <f aca="false">IF(E61="","",E61/(E61+H61))</f>
        <v>0.41254752851711</v>
      </c>
      <c r="L61" s="70" t="n">
        <f aca="false">IF(OR(K61="",J61=""),"",(J61-K61)*100)</f>
        <v>-5.44261977930398</v>
      </c>
      <c r="M61" s="36" t="n">
        <v>4.33926976222454</v>
      </c>
      <c r="N61" s="36" t="n">
        <v>2.5925072682662</v>
      </c>
      <c r="O61" s="36" t="n">
        <f aca="false">SQRT(M61^2+N61^2)</f>
        <v>5.05473599759367</v>
      </c>
      <c r="P61" s="40" t="n">
        <f aca="false">IF(J61="","",MAX(0,J61-1.96*O61/100))</f>
        <v>0.259048505171234</v>
      </c>
      <c r="Q61" s="40" t="n">
        <f aca="false">IF(J61="","",MIN(1,J61+1.96*O61/100))</f>
        <v>0.457194156276906</v>
      </c>
      <c r="R61" s="32" t="str">
        <f aca="false">IF(L61="","",IF(ABS(L61)&lt;=O61,"Yes","No"))</f>
        <v>No</v>
      </c>
      <c r="S61" s="32" t="str">
        <f aca="false">IF(L61="","",IF(ABS(L61)&lt;=1.96*O61,"Yes","No"))</f>
        <v>Yes</v>
      </c>
      <c r="T61" s="60" t="n">
        <f aca="false">IF(D61="","",ROUND(SQRT(((D61+G61)*O61/100)^2+(J61*(D61+G61)*0.07859)^2),0))</f>
        <v>30</v>
      </c>
      <c r="U61" s="32"/>
    </row>
    <row r="62" customFormat="false" ht="15" hidden="false" customHeight="false" outlineLevel="0" collapsed="false">
      <c r="A62" s="32" t="s">
        <v>222</v>
      </c>
      <c r="B62" s="32" t="s">
        <v>231</v>
      </c>
      <c r="C62" s="32" t="s">
        <v>164</v>
      </c>
      <c r="D62" s="60" t="n">
        <v>7221</v>
      </c>
      <c r="E62" s="60" t="n">
        <v>7604</v>
      </c>
      <c r="F62" s="69" t="n">
        <f aca="false">IF(E62="","",D62-E62)</f>
        <v>-383</v>
      </c>
      <c r="G62" s="60" t="n">
        <v>3310</v>
      </c>
      <c r="H62" s="60" t="n">
        <v>3303</v>
      </c>
      <c r="I62" s="69" t="n">
        <f aca="false">IF(H62="","",G62-H62)</f>
        <v>7</v>
      </c>
      <c r="J62" s="40" t="n">
        <f aca="false">IF(OR(D62="",D62+G62=0),"",D62/(D62+G62))</f>
        <v>0.685689868008736</v>
      </c>
      <c r="K62" s="40" t="n">
        <f aca="false">IF(E62="","",E62/(E62+H62))</f>
        <v>0.697166957000092</v>
      </c>
      <c r="L62" s="70" t="n">
        <f aca="false">IF(OR(K62="",J62=""),"",(J62-K62)*100)</f>
        <v>-1.14770889913556</v>
      </c>
      <c r="M62" s="36" t="n">
        <v>2.5956073329947</v>
      </c>
      <c r="N62" s="36" t="n">
        <v>2.5925072682662</v>
      </c>
      <c r="O62" s="36" t="n">
        <f aca="false">SQRT(M62^2+N62^2)</f>
        <v>3.66855167104253</v>
      </c>
      <c r="P62" s="40" t="n">
        <f aca="false">IF(J62="","",MAX(0,J62-1.96*O62/100))</f>
        <v>0.613786255256303</v>
      </c>
      <c r="Q62" s="40" t="n">
        <f aca="false">IF(J62="","",MIN(1,J62+1.96*O62/100))</f>
        <v>0.75759348076117</v>
      </c>
      <c r="R62" s="32" t="str">
        <f aca="false">IF(L62="","",IF(ABS(L62)&lt;=O62,"Yes","No"))</f>
        <v>Yes</v>
      </c>
      <c r="S62" s="32" t="str">
        <f aca="false">IF(L62="","",IF(ABS(L62)&lt;=1.96*O62,"Yes","No"))</f>
        <v>Yes</v>
      </c>
      <c r="T62" s="60" t="n">
        <f aca="false">IF(D62="","",ROUND(SQRT(((D62+G62)*O62/100)^2+(J62*(D62+G62)*0.05464)^2),0))</f>
        <v>552</v>
      </c>
      <c r="U62" s="32"/>
    </row>
    <row r="63" customFormat="false" ht="15" hidden="false" customHeight="false" outlineLevel="0" collapsed="false">
      <c r="A63" s="32" t="s">
        <v>222</v>
      </c>
      <c r="B63" s="32" t="s">
        <v>232</v>
      </c>
      <c r="C63" s="32" t="s">
        <v>164</v>
      </c>
      <c r="D63" s="60" t="n">
        <v>5268</v>
      </c>
      <c r="E63" s="60" t="n">
        <v>5358</v>
      </c>
      <c r="F63" s="69" t="n">
        <f aca="false">IF(E63="","",D63-E63)</f>
        <v>-90</v>
      </c>
      <c r="G63" s="60" t="n">
        <v>5011</v>
      </c>
      <c r="H63" s="60" t="n">
        <v>5027</v>
      </c>
      <c r="I63" s="69" t="n">
        <f aca="false">IF(H63="","",G63-H63)</f>
        <v>-16</v>
      </c>
      <c r="J63" s="40" t="n">
        <f aca="false">IF(OR(D63="",D63+G63=0),"",D63/(D63+G63))</f>
        <v>0.512501216071602</v>
      </c>
      <c r="K63" s="40" t="n">
        <f aca="false">IF(E63="","",E63/(E63+H63))</f>
        <v>0.515936446798267</v>
      </c>
      <c r="L63" s="70" t="n">
        <f aca="false">IF(OR(K63="",J63=""),"",(J63-K63)*100)</f>
        <v>-0.343523072666452</v>
      </c>
      <c r="M63" s="36" t="n">
        <v>2.5956073329947</v>
      </c>
      <c r="N63" s="36" t="n">
        <v>2.5925072682662</v>
      </c>
      <c r="O63" s="36" t="n">
        <f aca="false">SQRT(M63^2+N63^2)</f>
        <v>3.66855167104253</v>
      </c>
      <c r="P63" s="40" t="n">
        <f aca="false">IF(J63="","",MAX(0,J63-1.96*O63/100))</f>
        <v>0.440597603319169</v>
      </c>
      <c r="Q63" s="40" t="n">
        <f aca="false">IF(J63="","",MIN(1,J63+1.96*O63/100))</f>
        <v>0.584404828824036</v>
      </c>
      <c r="R63" s="32" t="str">
        <f aca="false">IF(L63="","",IF(ABS(L63)&lt;=O63,"Yes","No"))</f>
        <v>Yes</v>
      </c>
      <c r="S63" s="32" t="str">
        <f aca="false">IF(L63="","",IF(ABS(L63)&lt;=1.96*O63,"Yes","No"))</f>
        <v>Yes</v>
      </c>
      <c r="T63" s="60" t="n">
        <f aca="false">IF(D63="","",ROUND(SQRT(((D63+G63)*O63/100)^2+(J63*(D63+G63)*0.05464)^2),0))</f>
        <v>474</v>
      </c>
      <c r="U63" s="32"/>
    </row>
    <row r="64" customFormat="false" ht="15" hidden="false" customHeight="false" outlineLevel="0" collapsed="false">
      <c r="A64" s="32" t="s">
        <v>222</v>
      </c>
      <c r="B64" s="32" t="s">
        <v>233</v>
      </c>
      <c r="C64" s="32" t="s">
        <v>164</v>
      </c>
      <c r="D64" s="60" t="n">
        <v>732</v>
      </c>
      <c r="E64" s="60" t="n">
        <v>714</v>
      </c>
      <c r="F64" s="69" t="n">
        <f aca="false">IF(E64="","",D64-E64)</f>
        <v>18</v>
      </c>
      <c r="G64" s="60" t="n">
        <v>533</v>
      </c>
      <c r="H64" s="60" t="n">
        <v>484</v>
      </c>
      <c r="I64" s="69" t="n">
        <f aca="false">IF(H64="","",G64-H64)</f>
        <v>49</v>
      </c>
      <c r="J64" s="40" t="n">
        <f aca="false">IF(OR(D64="",D64+G64=0),"",D64/(D64+G64))</f>
        <v>0.578656126482213</v>
      </c>
      <c r="K64" s="40" t="n">
        <f aca="false">IF(E64="","",E64/(E64+H64))</f>
        <v>0.595993322203673</v>
      </c>
      <c r="L64" s="70" t="n">
        <f aca="false">IF(OR(K64="",J64=""),"",(J64-K64)*100)</f>
        <v>-1.73371957214593</v>
      </c>
      <c r="M64" s="36" t="n">
        <v>4.33926976222454</v>
      </c>
      <c r="N64" s="36" t="n">
        <v>2.5925072682662</v>
      </c>
      <c r="O64" s="36" t="n">
        <f aca="false">SQRT(M64^2+N64^2)</f>
        <v>5.05473599759367</v>
      </c>
      <c r="P64" s="40" t="n">
        <f aca="false">IF(J64="","",MAX(0,J64-1.96*O64/100))</f>
        <v>0.479583300929377</v>
      </c>
      <c r="Q64" s="40" t="n">
        <f aca="false">IF(J64="","",MIN(1,J64+1.96*O64/100))</f>
        <v>0.677728952035049</v>
      </c>
      <c r="R64" s="32" t="str">
        <f aca="false">IF(L64="","",IF(ABS(L64)&lt;=O64,"Yes","No"))</f>
        <v>Yes</v>
      </c>
      <c r="S64" s="32" t="str">
        <f aca="false">IF(L64="","",IF(ABS(L64)&lt;=1.96*O64,"Yes","No"))</f>
        <v>Yes</v>
      </c>
      <c r="T64" s="60" t="n">
        <f aca="false">IF(D64="","",ROUND(SQRT(((D64+G64)*O64/100)^2+(J64*(D64+G64)*0.07859)^2),0))</f>
        <v>86</v>
      </c>
      <c r="U64" s="32"/>
    </row>
    <row r="65" customFormat="false" ht="15" hidden="false" customHeight="false" outlineLevel="0" collapsed="false">
      <c r="A65" s="32" t="s">
        <v>222</v>
      </c>
      <c r="B65" s="32" t="s">
        <v>234</v>
      </c>
      <c r="C65" s="32" t="s">
        <v>164</v>
      </c>
      <c r="D65" s="60" t="n">
        <v>102</v>
      </c>
      <c r="E65" s="60" t="n">
        <v>109</v>
      </c>
      <c r="F65" s="69" t="n">
        <f aca="false">IF(E65="","",D65-E65)</f>
        <v>-7</v>
      </c>
      <c r="G65" s="60" t="n">
        <v>103</v>
      </c>
      <c r="H65" s="60" t="n">
        <v>97</v>
      </c>
      <c r="I65" s="69" t="n">
        <f aca="false">IF(H65="","",G65-H65)</f>
        <v>6</v>
      </c>
      <c r="J65" s="40" t="n">
        <f aca="false">IF(OR(D65="",D65+G65=0),"",D65/(D65+G65))</f>
        <v>0.497560975609756</v>
      </c>
      <c r="K65" s="40" t="n">
        <f aca="false">IF(E65="","",E65/(E65+H65))</f>
        <v>0.529126213592233</v>
      </c>
      <c r="L65" s="70" t="n">
        <f aca="false">IF(OR(K65="",J65=""),"",(J65-K65)*100)</f>
        <v>-3.15652379824769</v>
      </c>
      <c r="M65" s="36" t="n">
        <v>4.33926976222454</v>
      </c>
      <c r="N65" s="36" t="n">
        <v>2.5925072682662</v>
      </c>
      <c r="O65" s="36" t="n">
        <f aca="false">SQRT(M65^2+N65^2)</f>
        <v>5.05473599759367</v>
      </c>
      <c r="P65" s="40" t="n">
        <f aca="false">IF(J65="","",MAX(0,J65-1.96*O65/100))</f>
        <v>0.39848815005692</v>
      </c>
      <c r="Q65" s="40" t="n">
        <f aca="false">IF(J65="","",MIN(1,J65+1.96*O65/100))</f>
        <v>0.596633801162592</v>
      </c>
      <c r="R65" s="32" t="str">
        <f aca="false">IF(L65="","",IF(ABS(L65)&lt;=O65,"Yes","No"))</f>
        <v>Yes</v>
      </c>
      <c r="S65" s="32" t="str">
        <f aca="false">IF(L65="","",IF(ABS(L65)&lt;=1.96*O65,"Yes","No"))</f>
        <v>Yes</v>
      </c>
      <c r="T65" s="60" t="n">
        <f aca="false">IF(D65="","",ROUND(SQRT(((D65+G65)*O65/100)^2+(J65*(D65+G65)*0.07859)^2),0))</f>
        <v>13</v>
      </c>
      <c r="U65" s="32"/>
    </row>
    <row r="66" customFormat="false" ht="15" hidden="false" customHeight="false" outlineLevel="0" collapsed="false">
      <c r="A66" s="32" t="s">
        <v>222</v>
      </c>
      <c r="B66" s="32" t="s">
        <v>201</v>
      </c>
      <c r="C66" s="32" t="s">
        <v>164</v>
      </c>
      <c r="D66" s="60" t="n">
        <v>4170</v>
      </c>
      <c r="E66" s="60" t="n">
        <v>4341</v>
      </c>
      <c r="F66" s="69" t="n">
        <f aca="false">IF(E66="","",D66-E66)</f>
        <v>-171</v>
      </c>
      <c r="G66" s="60" t="n">
        <v>3779</v>
      </c>
      <c r="H66" s="60" t="n">
        <v>3620</v>
      </c>
      <c r="I66" s="69" t="n">
        <f aca="false">IF(H66="","",G66-H66)</f>
        <v>159</v>
      </c>
      <c r="J66" s="40" t="n">
        <f aca="false">IF(OR(D66="",D66+G66=0),"",D66/(D66+G66))</f>
        <v>0.52459428858976</v>
      </c>
      <c r="K66" s="40" t="n">
        <f aca="false">IF(E66="","",E66/(E66+H66))</f>
        <v>0.545283255872378</v>
      </c>
      <c r="L66" s="70" t="n">
        <f aca="false">IF(OR(K66="",J66=""),"",(J66-K66)*100)</f>
        <v>-2.0688967282618</v>
      </c>
      <c r="M66" s="36" t="n">
        <v>2.5956073329947</v>
      </c>
      <c r="N66" s="36" t="n">
        <v>2.5925072682662</v>
      </c>
      <c r="O66" s="36" t="n">
        <f aca="false">SQRT(M66^2+N66^2)</f>
        <v>3.66855167104253</v>
      </c>
      <c r="P66" s="40" t="n">
        <f aca="false">IF(J66="","",MAX(0,J66-1.96*O66/100))</f>
        <v>0.452690675837326</v>
      </c>
      <c r="Q66" s="40" t="n">
        <f aca="false">IF(J66="","",MIN(1,J66+1.96*O66/100))</f>
        <v>0.596497901342193</v>
      </c>
      <c r="R66" s="32" t="str">
        <f aca="false">IF(L66="","",IF(ABS(L66)&lt;=O66,"Yes","No"))</f>
        <v>Yes</v>
      </c>
      <c r="S66" s="32" t="str">
        <f aca="false">IF(L66="","",IF(ABS(L66)&lt;=1.96*O66,"Yes","No"))</f>
        <v>Yes</v>
      </c>
      <c r="T66" s="60" t="n">
        <f aca="false">IF(D66="","",ROUND(SQRT(((D66+G66)*O66/100)^2+(J66*(D66+G66)*0.05464)^2),0))</f>
        <v>370</v>
      </c>
      <c r="U66" s="32"/>
    </row>
    <row r="67" customFormat="false" ht="15" hidden="false" customHeight="false" outlineLevel="0" collapsed="false">
      <c r="A67" s="32" t="s">
        <v>222</v>
      </c>
      <c r="B67" s="32" t="s">
        <v>235</v>
      </c>
      <c r="C67" s="32" t="s">
        <v>164</v>
      </c>
      <c r="D67" s="60" t="n">
        <v>1715</v>
      </c>
      <c r="E67" s="60" t="n">
        <v>1726</v>
      </c>
      <c r="F67" s="69" t="n">
        <f aca="false">IF(E67="","",D67-E67)</f>
        <v>-11</v>
      </c>
      <c r="G67" s="60" t="n">
        <v>1644</v>
      </c>
      <c r="H67" s="60" t="n">
        <v>1685</v>
      </c>
      <c r="I67" s="69" t="n">
        <f aca="false">IF(H67="","",G67-H67)</f>
        <v>-41</v>
      </c>
      <c r="J67" s="40" t="n">
        <f aca="false">IF(OR(D67="",D67+G67=0),"",D67/(D67+G67))</f>
        <v>0.510568621613576</v>
      </c>
      <c r="K67" s="40" t="n">
        <f aca="false">IF(E67="","",E67/(E67+H67))</f>
        <v>0.506009967751393</v>
      </c>
      <c r="L67" s="70" t="n">
        <f aca="false">IF(OR(K67="",J67=""),"",(J67-K67)*100)</f>
        <v>0.455865386218302</v>
      </c>
      <c r="M67" s="36" t="n">
        <v>2.72659205591432</v>
      </c>
      <c r="N67" s="36" t="n">
        <v>2.5925072682662</v>
      </c>
      <c r="O67" s="36" t="n">
        <f aca="false">SQRT(M67^2+N67^2)</f>
        <v>3.76236603421147</v>
      </c>
      <c r="P67" s="40" t="n">
        <f aca="false">IF(J67="","",MAX(0,J67-1.96*O67/100))</f>
        <v>0.436826247343031</v>
      </c>
      <c r="Q67" s="40" t="n">
        <f aca="false">IF(J67="","",MIN(1,J67+1.96*O67/100))</f>
        <v>0.58431099588412</v>
      </c>
      <c r="R67" s="32" t="str">
        <f aca="false">IF(L67="","",IF(ABS(L67)&lt;=O67,"Yes","No"))</f>
        <v>Yes</v>
      </c>
      <c r="S67" s="32" t="str">
        <f aca="false">IF(L67="","",IF(ABS(L67)&lt;=1.96*O67,"Yes","No"))</f>
        <v>Yes</v>
      </c>
      <c r="T67" s="60" t="n">
        <f aca="false">IF(D67="","",ROUND(SQRT(((D67+G67)*O67/100)^2+(J67*(D67+G67)*0.06092)^2),0))</f>
        <v>164</v>
      </c>
      <c r="U67" s="32"/>
    </row>
    <row r="68" customFormat="false" ht="15" hidden="false" customHeight="false" outlineLevel="0" collapsed="false">
      <c r="A68" s="32" t="s">
        <v>222</v>
      </c>
      <c r="B68" s="32" t="s">
        <v>236</v>
      </c>
      <c r="C68" s="32" t="s">
        <v>164</v>
      </c>
      <c r="D68" s="60" t="n">
        <v>2198</v>
      </c>
      <c r="E68" s="60" t="n">
        <v>2244</v>
      </c>
      <c r="F68" s="69" t="n">
        <f aca="false">IF(E68="","",D68-E68)</f>
        <v>-46</v>
      </c>
      <c r="G68" s="60" t="n">
        <v>4451</v>
      </c>
      <c r="H68" s="60" t="n">
        <v>4439</v>
      </c>
      <c r="I68" s="69" t="n">
        <f aca="false">IF(H68="","",G68-H68)</f>
        <v>12</v>
      </c>
      <c r="J68" s="40" t="n">
        <f aca="false">IF(OR(D68="",D68+G68=0),"",D68/(D68+G68))</f>
        <v>0.330576026470146</v>
      </c>
      <c r="K68" s="40" t="n">
        <f aca="false">IF(E68="","",E68/(E68+H68))</f>
        <v>0.335777345503516</v>
      </c>
      <c r="L68" s="70" t="n">
        <f aca="false">IF(OR(K68="",J68=""),"",(J68-K68)*100)</f>
        <v>-0.520131903337051</v>
      </c>
      <c r="M68" s="36" t="n">
        <v>2.5956073329947</v>
      </c>
      <c r="N68" s="36" t="n">
        <v>2.5925072682662</v>
      </c>
      <c r="O68" s="36" t="n">
        <f aca="false">SQRT(M68^2+N68^2)</f>
        <v>3.66855167104253</v>
      </c>
      <c r="P68" s="40" t="n">
        <f aca="false">IF(J68="","",MAX(0,J68-1.96*O68/100))</f>
        <v>0.258672413717712</v>
      </c>
      <c r="Q68" s="40" t="n">
        <f aca="false">IF(J68="","",MIN(1,J68+1.96*O68/100))</f>
        <v>0.402479639222579</v>
      </c>
      <c r="R68" s="32" t="str">
        <f aca="false">IF(L68="","",IF(ABS(L68)&lt;=O68,"Yes","No"))</f>
        <v>Yes</v>
      </c>
      <c r="S68" s="32" t="str">
        <f aca="false">IF(L68="","",IF(ABS(L68)&lt;=1.96*O68,"Yes","No"))</f>
        <v>Yes</v>
      </c>
      <c r="T68" s="60" t="n">
        <f aca="false">IF(D68="","",ROUND(SQRT(((D68+G68)*O68/100)^2+(J68*(D68+G68)*0.05464)^2),0))</f>
        <v>272</v>
      </c>
      <c r="U68" s="32"/>
    </row>
    <row r="69" customFormat="false" ht="15" hidden="false" customHeight="false" outlineLevel="0" collapsed="false">
      <c r="A69" s="32" t="s">
        <v>222</v>
      </c>
      <c r="B69" s="32" t="s">
        <v>237</v>
      </c>
      <c r="C69" s="32" t="s">
        <v>164</v>
      </c>
      <c r="D69" s="60" t="n">
        <v>591</v>
      </c>
      <c r="E69" s="60" t="n">
        <v>625</v>
      </c>
      <c r="F69" s="69" t="n">
        <f aca="false">IF(E69="","",D69-E69)</f>
        <v>-34</v>
      </c>
      <c r="G69" s="60" t="n">
        <v>1200</v>
      </c>
      <c r="H69" s="60" t="n">
        <v>1214</v>
      </c>
      <c r="I69" s="69" t="n">
        <f aca="false">IF(H69="","",G69-H69)</f>
        <v>-14</v>
      </c>
      <c r="J69" s="40" t="n">
        <f aca="false">IF(OR(D69="",D69+G69=0),"",D69/(D69+G69))</f>
        <v>0.32998324958124</v>
      </c>
      <c r="K69" s="40" t="n">
        <f aca="false">IF(E69="","",E69/(E69+H69))</f>
        <v>0.339858618814573</v>
      </c>
      <c r="L69" s="70" t="n">
        <f aca="false">IF(OR(K69="",J69=""),"",(J69-K69)*100)</f>
        <v>-0.98753692333336</v>
      </c>
      <c r="M69" s="36" t="n">
        <v>2.72659205591432</v>
      </c>
      <c r="N69" s="36" t="n">
        <v>2.5925072682662</v>
      </c>
      <c r="O69" s="36" t="n">
        <f aca="false">SQRT(M69^2+N69^2)</f>
        <v>3.76236603421147</v>
      </c>
      <c r="P69" s="40" t="n">
        <f aca="false">IF(J69="","",MAX(0,J69-1.96*O69/100))</f>
        <v>0.256240875310695</v>
      </c>
      <c r="Q69" s="40" t="n">
        <f aca="false">IF(J69="","",MIN(1,J69+1.96*O69/100))</f>
        <v>0.403725623851784</v>
      </c>
      <c r="R69" s="32" t="str">
        <f aca="false">IF(L69="","",IF(ABS(L69)&lt;=O69,"Yes","No"))</f>
        <v>Yes</v>
      </c>
      <c r="S69" s="32" t="str">
        <f aca="false">IF(L69="","",IF(ABS(L69)&lt;=1.96*O69,"Yes","No"))</f>
        <v>Yes</v>
      </c>
      <c r="T69" s="60" t="n">
        <f aca="false">IF(D69="","",ROUND(SQRT(((D69+G69)*O69/100)^2+(J69*(D69+G69)*0.06092)^2),0))</f>
        <v>76</v>
      </c>
      <c r="U69" s="32"/>
    </row>
    <row r="70" customFormat="false" ht="15" hidden="false" customHeight="false" outlineLevel="0" collapsed="false">
      <c r="A70" s="32" t="s">
        <v>222</v>
      </c>
      <c r="B70" s="32" t="s">
        <v>238</v>
      </c>
      <c r="C70" s="32" t="s">
        <v>164</v>
      </c>
      <c r="D70" s="60" t="n">
        <v>1900</v>
      </c>
      <c r="E70" s="60" t="n">
        <v>2047</v>
      </c>
      <c r="F70" s="69" t="n">
        <f aca="false">IF(E70="","",D70-E70)</f>
        <v>-147</v>
      </c>
      <c r="G70" s="60" t="n">
        <v>2655</v>
      </c>
      <c r="H70" s="60" t="n">
        <v>2499</v>
      </c>
      <c r="I70" s="69" t="n">
        <f aca="false">IF(H70="","",G70-H70)</f>
        <v>156</v>
      </c>
      <c r="J70" s="40" t="n">
        <f aca="false">IF(OR(D70="",D70+G70=0),"",D70/(D70+G70))</f>
        <v>0.417124039517014</v>
      </c>
      <c r="K70" s="40" t="n">
        <f aca="false">IF(E70="","",E70/(E70+H70))</f>
        <v>0.450285965684118</v>
      </c>
      <c r="L70" s="70" t="n">
        <f aca="false">IF(OR(K70="",J70=""),"",(J70-K70)*100)</f>
        <v>-3.31619261671036</v>
      </c>
      <c r="M70" s="36" t="n">
        <v>2.5956073329947</v>
      </c>
      <c r="N70" s="36" t="n">
        <v>2.5925072682662</v>
      </c>
      <c r="O70" s="36" t="n">
        <f aca="false">SQRT(M70^2+N70^2)</f>
        <v>3.66855167104253</v>
      </c>
      <c r="P70" s="40" t="n">
        <f aca="false">IF(J70="","",MAX(0,J70-1.96*O70/100))</f>
        <v>0.345220426764581</v>
      </c>
      <c r="Q70" s="40" t="n">
        <f aca="false">IF(J70="","",MIN(1,J70+1.96*O70/100))</f>
        <v>0.489027652269448</v>
      </c>
      <c r="R70" s="32" t="str">
        <f aca="false">IF(L70="","",IF(ABS(L70)&lt;=O70,"Yes","No"))</f>
        <v>Yes</v>
      </c>
      <c r="S70" s="32" t="str">
        <f aca="false">IF(L70="","",IF(ABS(L70)&lt;=1.96*O70,"Yes","No"))</f>
        <v>Yes</v>
      </c>
      <c r="T70" s="60" t="n">
        <f aca="false">IF(D70="","",ROUND(SQRT(((D70+G70)*O70/100)^2+(J70*(D70+G70)*0.05464)^2),0))</f>
        <v>197</v>
      </c>
      <c r="U70" s="32"/>
    </row>
    <row r="71" customFormat="false" ht="15" hidden="false" customHeight="false" outlineLevel="0" collapsed="false">
      <c r="A71" s="32" t="s">
        <v>222</v>
      </c>
      <c r="B71" s="32" t="s">
        <v>239</v>
      </c>
      <c r="C71" s="32" t="s">
        <v>164</v>
      </c>
      <c r="D71" s="60" t="n">
        <v>3427</v>
      </c>
      <c r="E71" s="60" t="n">
        <v>3457</v>
      </c>
      <c r="F71" s="69" t="n">
        <f aca="false">IF(E71="","",D71-E71)</f>
        <v>-30</v>
      </c>
      <c r="G71" s="60" t="n">
        <v>3796</v>
      </c>
      <c r="H71" s="60" t="n">
        <v>3805</v>
      </c>
      <c r="I71" s="69" t="n">
        <f aca="false">IF(H71="","",G71-H71)</f>
        <v>-9</v>
      </c>
      <c r="J71" s="40" t="n">
        <f aca="false">IF(OR(D71="",D71+G71=0),"",D71/(D71+G71))</f>
        <v>0.474456596981864</v>
      </c>
      <c r="K71" s="40" t="n">
        <f aca="false">IF(E71="","",E71/(E71+H71))</f>
        <v>0.476039658496282</v>
      </c>
      <c r="L71" s="70" t="n">
        <f aca="false">IF(OR(K71="",J71=""),"",(J71-K71)*100)</f>
        <v>-0.15830615144185</v>
      </c>
      <c r="M71" s="36" t="n">
        <v>2.5956073329947</v>
      </c>
      <c r="N71" s="36" t="n">
        <v>2.5925072682662</v>
      </c>
      <c r="O71" s="36" t="n">
        <f aca="false">SQRT(M71^2+N71^2)</f>
        <v>3.66855167104253</v>
      </c>
      <c r="P71" s="40" t="n">
        <f aca="false">IF(J71="","",MAX(0,J71-1.96*O71/100))</f>
        <v>0.40255298422943</v>
      </c>
      <c r="Q71" s="40" t="n">
        <f aca="false">IF(J71="","",MIN(1,J71+1.96*O71/100))</f>
        <v>0.546360209734297</v>
      </c>
      <c r="R71" s="32" t="str">
        <f aca="false">IF(L71="","",IF(ABS(L71)&lt;=O71,"Yes","No"))</f>
        <v>Yes</v>
      </c>
      <c r="S71" s="32" t="str">
        <f aca="false">IF(L71="","",IF(ABS(L71)&lt;=1.96*O71,"Yes","No"))</f>
        <v>Yes</v>
      </c>
      <c r="T71" s="60" t="n">
        <f aca="false">IF(D71="","",ROUND(SQRT(((D71+G71)*O71/100)^2+(J71*(D71+G71)*0.05464)^2),0))</f>
        <v>324</v>
      </c>
      <c r="U71" s="32"/>
    </row>
    <row r="72" customFormat="false" ht="15" hidden="false" customHeight="false" outlineLevel="0" collapsed="false">
      <c r="A72" s="32" t="s">
        <v>222</v>
      </c>
      <c r="B72" s="32" t="s">
        <v>240</v>
      </c>
      <c r="C72" s="32" t="s">
        <v>164</v>
      </c>
      <c r="D72" s="60" t="n">
        <v>1928</v>
      </c>
      <c r="E72" s="60" t="n">
        <v>2006</v>
      </c>
      <c r="F72" s="69" t="n">
        <f aca="false">IF(E72="","",D72-E72)</f>
        <v>-78</v>
      </c>
      <c r="G72" s="60" t="n">
        <v>4019</v>
      </c>
      <c r="H72" s="60" t="n">
        <v>4057</v>
      </c>
      <c r="I72" s="69" t="n">
        <f aca="false">IF(H72="","",G72-H72)</f>
        <v>-38</v>
      </c>
      <c r="J72" s="40" t="n">
        <f aca="false">IF(OR(D72="",D72+G72=0),"",D72/(D72+G72))</f>
        <v>0.324197074155036</v>
      </c>
      <c r="K72" s="40" t="n">
        <f aca="false">IF(E72="","",E72/(E72+H72))</f>
        <v>0.330859310572324</v>
      </c>
      <c r="L72" s="70" t="n">
        <f aca="false">IF(OR(K72="",J72=""),"",(J72-K72)*100)</f>
        <v>-0.666223641728775</v>
      </c>
      <c r="M72" s="36" t="n">
        <v>2.5956073329947</v>
      </c>
      <c r="N72" s="36" t="n">
        <v>2.5925072682662</v>
      </c>
      <c r="O72" s="36" t="n">
        <f aca="false">SQRT(M72^2+N72^2)</f>
        <v>3.66855167104253</v>
      </c>
      <c r="P72" s="40" t="n">
        <f aca="false">IF(J72="","",MAX(0,J72-1.96*O72/100))</f>
        <v>0.252293461402603</v>
      </c>
      <c r="Q72" s="40" t="n">
        <f aca="false">IF(J72="","",MIN(1,J72+1.96*O72/100))</f>
        <v>0.39610068690747</v>
      </c>
      <c r="R72" s="32" t="str">
        <f aca="false">IF(L72="","",IF(ABS(L72)&lt;=O72,"Yes","No"))</f>
        <v>Yes</v>
      </c>
      <c r="S72" s="32" t="str">
        <f aca="false">IF(L72="","",IF(ABS(L72)&lt;=1.96*O72,"Yes","No"))</f>
        <v>Yes</v>
      </c>
      <c r="T72" s="60" t="n">
        <f aca="false">IF(D72="","",ROUND(SQRT(((D72+G72)*O72/100)^2+(J72*(D72+G72)*0.05464)^2),0))</f>
        <v>242</v>
      </c>
      <c r="U72" s="32"/>
    </row>
    <row r="73" customFormat="false" ht="15" hidden="false" customHeight="false" outlineLevel="0" collapsed="false">
      <c r="A73" s="32" t="s">
        <v>222</v>
      </c>
      <c r="B73" s="32" t="s">
        <v>241</v>
      </c>
      <c r="C73" s="32" t="s">
        <v>164</v>
      </c>
      <c r="D73" s="60" t="n">
        <v>1565</v>
      </c>
      <c r="E73" s="60" t="n">
        <v>1596</v>
      </c>
      <c r="F73" s="69" t="n">
        <f aca="false">IF(E73="","",D73-E73)</f>
        <v>-31</v>
      </c>
      <c r="G73" s="60" t="n">
        <v>1602</v>
      </c>
      <c r="H73" s="60" t="n">
        <v>1664</v>
      </c>
      <c r="I73" s="69" t="n">
        <f aca="false">IF(H73="","",G73-H73)</f>
        <v>-62</v>
      </c>
      <c r="J73" s="40" t="n">
        <f aca="false">IF(OR(D73="",D73+G73=0),"",D73/(D73+G73))</f>
        <v>0.494158509630565</v>
      </c>
      <c r="K73" s="40" t="n">
        <f aca="false">IF(E73="","",E73/(E73+H73))</f>
        <v>0.489570552147239</v>
      </c>
      <c r="L73" s="70" t="n">
        <f aca="false">IF(OR(K73="",J73=""),"",(J73-K73)*100)</f>
        <v>0.458795748332591</v>
      </c>
      <c r="M73" s="36" t="n">
        <v>2.72659205591432</v>
      </c>
      <c r="N73" s="36" t="n">
        <v>2.5925072682662</v>
      </c>
      <c r="O73" s="36" t="n">
        <f aca="false">SQRT(M73^2+N73^2)</f>
        <v>3.76236603421147</v>
      </c>
      <c r="P73" s="40" t="n">
        <f aca="false">IF(J73="","",MAX(0,J73-1.96*O73/100))</f>
        <v>0.42041613536002</v>
      </c>
      <c r="Q73" s="40" t="n">
        <f aca="false">IF(J73="","",MIN(1,J73+1.96*O73/100))</f>
        <v>0.56790088390111</v>
      </c>
      <c r="R73" s="32" t="str">
        <f aca="false">IF(L73="","",IF(ABS(L73)&lt;=O73,"Yes","No"))</f>
        <v>Yes</v>
      </c>
      <c r="S73" s="32" t="str">
        <f aca="false">IF(L73="","",IF(ABS(L73)&lt;=1.96*O73,"Yes","No"))</f>
        <v>Yes</v>
      </c>
      <c r="T73" s="60" t="n">
        <f aca="false">IF(D73="","",ROUND(SQRT(((D73+G73)*O73/100)^2+(J73*(D73+G73)*0.06092)^2),0))</f>
        <v>153</v>
      </c>
      <c r="U73" s="32"/>
    </row>
    <row r="74" customFormat="false" ht="15" hidden="false" customHeight="false" outlineLevel="0" collapsed="false">
      <c r="A74" s="32" t="s">
        <v>222</v>
      </c>
      <c r="B74" s="32" t="s">
        <v>242</v>
      </c>
      <c r="C74" s="32" t="s">
        <v>164</v>
      </c>
      <c r="D74" s="60" t="n">
        <v>855</v>
      </c>
      <c r="E74" s="60" t="n">
        <v>847</v>
      </c>
      <c r="F74" s="69" t="n">
        <f aca="false">IF(E74="","",D74-E74)</f>
        <v>8</v>
      </c>
      <c r="G74" s="60" t="n">
        <v>920</v>
      </c>
      <c r="H74" s="60" t="n">
        <v>889</v>
      </c>
      <c r="I74" s="69" t="n">
        <f aca="false">IF(H74="","",G74-H74)</f>
        <v>31</v>
      </c>
      <c r="J74" s="40" t="n">
        <f aca="false">IF(OR(D74="",D74+G74=0),"",D74/(D74+G74))</f>
        <v>0.48169014084507</v>
      </c>
      <c r="K74" s="40" t="n">
        <f aca="false">IF(E74="","",E74/(E74+H74))</f>
        <v>0.487903225806452</v>
      </c>
      <c r="L74" s="70" t="n">
        <f aca="false">IF(OR(K74="",J74=""),"",(J74-K74)*100)</f>
        <v>-0.621308496138118</v>
      </c>
      <c r="M74" s="36" t="n">
        <v>2.72659205591432</v>
      </c>
      <c r="N74" s="36" t="n">
        <v>2.5925072682662</v>
      </c>
      <c r="O74" s="36" t="n">
        <f aca="false">SQRT(M74^2+N74^2)</f>
        <v>3.76236603421147</v>
      </c>
      <c r="P74" s="40" t="n">
        <f aca="false">IF(J74="","",MAX(0,J74-1.96*O74/100))</f>
        <v>0.407947766574526</v>
      </c>
      <c r="Q74" s="40" t="n">
        <f aca="false">IF(J74="","",MIN(1,J74+1.96*O74/100))</f>
        <v>0.555432515115615</v>
      </c>
      <c r="R74" s="32" t="str">
        <f aca="false">IF(L74="","",IF(ABS(L74)&lt;=O74,"Yes","No"))</f>
        <v>Yes</v>
      </c>
      <c r="S74" s="32" t="str">
        <f aca="false">IF(L74="","",IF(ABS(L74)&lt;=1.96*O74,"Yes","No"))</f>
        <v>Yes</v>
      </c>
      <c r="T74" s="60" t="n">
        <f aca="false">IF(D74="","",ROUND(SQRT(((D74+G74)*O74/100)^2+(J74*(D74+G74)*0.06092)^2),0))</f>
        <v>85</v>
      </c>
      <c r="U74" s="32"/>
    </row>
    <row r="75" customFormat="false" ht="15" hidden="false" customHeight="false" outlineLevel="0" collapsed="false">
      <c r="A75" s="32" t="s">
        <v>222</v>
      </c>
      <c r="B75" s="32" t="s">
        <v>243</v>
      </c>
      <c r="C75" s="32" t="s">
        <v>164</v>
      </c>
      <c r="D75" s="60" t="n">
        <v>2701</v>
      </c>
      <c r="E75" s="60" t="n">
        <v>2573</v>
      </c>
      <c r="F75" s="69" t="n">
        <f aca="false">IF(E75="","",D75-E75)</f>
        <v>128</v>
      </c>
      <c r="G75" s="60" t="n">
        <v>3003</v>
      </c>
      <c r="H75" s="60" t="n">
        <v>3023</v>
      </c>
      <c r="I75" s="69" t="n">
        <f aca="false">IF(H75="","",G75-H75)</f>
        <v>-20</v>
      </c>
      <c r="J75" s="40" t="n">
        <f aca="false">IF(OR(D75="",D75+G75=0),"",D75/(D75+G75))</f>
        <v>0.473527349228612</v>
      </c>
      <c r="K75" s="40" t="n">
        <f aca="false">IF(E75="","",E75/(E75+H75))</f>
        <v>0.459792709077913</v>
      </c>
      <c r="L75" s="70" t="n">
        <f aca="false">IF(OR(K75="",J75=""),"",(J75-K75)*100)</f>
        <v>1.37346401506987</v>
      </c>
      <c r="M75" s="36" t="n">
        <v>2.5956073329947</v>
      </c>
      <c r="N75" s="36" t="n">
        <v>2.5925072682662</v>
      </c>
      <c r="O75" s="36" t="n">
        <f aca="false">SQRT(M75^2+N75^2)</f>
        <v>3.66855167104253</v>
      </c>
      <c r="P75" s="40" t="n">
        <f aca="false">IF(J75="","",MAX(0,J75-1.96*O75/100))</f>
        <v>0.401623736476178</v>
      </c>
      <c r="Q75" s="40" t="n">
        <f aca="false">IF(J75="","",MIN(1,J75+1.96*O75/100))</f>
        <v>0.545430961981045</v>
      </c>
      <c r="R75" s="32" t="str">
        <f aca="false">IF(L75="","",IF(ABS(L75)&lt;=O75,"Yes","No"))</f>
        <v>Yes</v>
      </c>
      <c r="S75" s="32" t="str">
        <f aca="false">IF(L75="","",IF(ABS(L75)&lt;=1.96*O75,"Yes","No"))</f>
        <v>Yes</v>
      </c>
      <c r="T75" s="60" t="n">
        <f aca="false">IF(D75="","",ROUND(SQRT(((D75+G75)*O75/100)^2+(J75*(D75+G75)*0.05464)^2),0))</f>
        <v>256</v>
      </c>
      <c r="U75" s="32"/>
    </row>
    <row r="76" customFormat="false" ht="15" hidden="false" customHeight="false" outlineLevel="0" collapsed="false">
      <c r="A76" s="32" t="s">
        <v>222</v>
      </c>
      <c r="B76" s="32" t="s">
        <v>244</v>
      </c>
      <c r="C76" s="32" t="s">
        <v>164</v>
      </c>
      <c r="D76" s="60" t="n">
        <v>6996</v>
      </c>
      <c r="E76" s="60" t="n">
        <v>6974</v>
      </c>
      <c r="F76" s="69" t="n">
        <f aca="false">IF(E76="","",D76-E76)</f>
        <v>22</v>
      </c>
      <c r="G76" s="60" t="n">
        <v>6798</v>
      </c>
      <c r="H76" s="60" t="n">
        <v>6736</v>
      </c>
      <c r="I76" s="69" t="n">
        <f aca="false">IF(H76="","",G76-H76)</f>
        <v>62</v>
      </c>
      <c r="J76" s="40" t="n">
        <f aca="false">IF(OR(D76="",D76+G76=0),"",D76/(D76+G76))</f>
        <v>0.507177033492823</v>
      </c>
      <c r="K76" s="40" t="n">
        <f aca="false">IF(E76="","",E76/(E76+H76))</f>
        <v>0.508679795769511</v>
      </c>
      <c r="L76" s="70" t="n">
        <f aca="false">IF(OR(K76="",J76=""),"",(J76-K76)*100)</f>
        <v>-0.150276227668833</v>
      </c>
      <c r="M76" s="36" t="n">
        <v>2.5956073329947</v>
      </c>
      <c r="N76" s="36" t="n">
        <v>2.5925072682662</v>
      </c>
      <c r="O76" s="36" t="n">
        <f aca="false">SQRT(M76^2+N76^2)</f>
        <v>3.66855167104253</v>
      </c>
      <c r="P76" s="40" t="n">
        <f aca="false">IF(J76="","",MAX(0,J76-1.96*O76/100))</f>
        <v>0.435273420740389</v>
      </c>
      <c r="Q76" s="40" t="n">
        <f aca="false">IF(J76="","",MIN(1,J76+1.96*O76/100))</f>
        <v>0.579080646245257</v>
      </c>
      <c r="R76" s="32" t="str">
        <f aca="false">IF(L76="","",IF(ABS(L76)&lt;=O76,"Yes","No"))</f>
        <v>Yes</v>
      </c>
      <c r="S76" s="32" t="str">
        <f aca="false">IF(L76="","",IF(ABS(L76)&lt;=1.96*O76,"Yes","No"))</f>
        <v>Yes</v>
      </c>
      <c r="T76" s="60" t="n">
        <f aca="false">IF(D76="","",ROUND(SQRT(((D76+G76)*O76/100)^2+(J76*(D76+G76)*0.05464)^2),0))</f>
        <v>634</v>
      </c>
      <c r="U76" s="32"/>
    </row>
    <row r="77" customFormat="false" ht="15" hidden="false" customHeight="false" outlineLevel="0" collapsed="false">
      <c r="A77" s="32" t="s">
        <v>222</v>
      </c>
      <c r="B77" s="32" t="s">
        <v>245</v>
      </c>
      <c r="C77" s="32" t="s">
        <v>164</v>
      </c>
      <c r="D77" s="60" t="n">
        <v>694</v>
      </c>
      <c r="E77" s="60" t="n">
        <v>703</v>
      </c>
      <c r="F77" s="69" t="n">
        <f aca="false">IF(E77="","",D77-E77)</f>
        <v>-9</v>
      </c>
      <c r="G77" s="60" t="n">
        <v>1151</v>
      </c>
      <c r="H77" s="60" t="n">
        <v>1180</v>
      </c>
      <c r="I77" s="69" t="n">
        <f aca="false">IF(H77="","",G77-H77)</f>
        <v>-29</v>
      </c>
      <c r="J77" s="40" t="n">
        <f aca="false">IF(OR(D77="",D77+G77=0),"",D77/(D77+G77))</f>
        <v>0.376151761517615</v>
      </c>
      <c r="K77" s="40" t="n">
        <f aca="false">IF(E77="","",E77/(E77+H77))</f>
        <v>0.373340414232608</v>
      </c>
      <c r="L77" s="70" t="n">
        <f aca="false">IF(OR(K77="",J77=""),"",(J77-K77)*100)</f>
        <v>0.281134728500765</v>
      </c>
      <c r="M77" s="36" t="n">
        <v>2.72659205591432</v>
      </c>
      <c r="N77" s="36" t="n">
        <v>2.5925072682662</v>
      </c>
      <c r="O77" s="36" t="n">
        <f aca="false">SQRT(M77^2+N77^2)</f>
        <v>3.76236603421147</v>
      </c>
      <c r="P77" s="40" t="n">
        <f aca="false">IF(J77="","",MAX(0,J77-1.96*O77/100))</f>
        <v>0.30240938724707</v>
      </c>
      <c r="Q77" s="40" t="n">
        <f aca="false">IF(J77="","",MIN(1,J77+1.96*O77/100))</f>
        <v>0.44989413578816</v>
      </c>
      <c r="R77" s="32" t="str">
        <f aca="false">IF(L77="","",IF(ABS(L77)&lt;=O77,"Yes","No"))</f>
        <v>Yes</v>
      </c>
      <c r="S77" s="32" t="str">
        <f aca="false">IF(L77="","",IF(ABS(L77)&lt;=1.96*O77,"Yes","No"))</f>
        <v>Yes</v>
      </c>
      <c r="T77" s="60" t="n">
        <f aca="false">IF(D77="","",ROUND(SQRT(((D77+G77)*O77/100)^2+(J77*(D77+G77)*0.06092)^2),0))</f>
        <v>81</v>
      </c>
      <c r="U77" s="32"/>
    </row>
    <row r="78" customFormat="false" ht="15" hidden="false" customHeight="false" outlineLevel="0" collapsed="false">
      <c r="A78" s="32" t="s">
        <v>222</v>
      </c>
      <c r="B78" s="32" t="s">
        <v>246</v>
      </c>
      <c r="C78" s="32" t="s">
        <v>164</v>
      </c>
      <c r="D78" s="60" t="n">
        <v>1318</v>
      </c>
      <c r="E78" s="60" t="n">
        <v>1361</v>
      </c>
      <c r="F78" s="69" t="n">
        <f aca="false">IF(E78="","",D78-E78)</f>
        <v>-43</v>
      </c>
      <c r="G78" s="60" t="n">
        <v>2632</v>
      </c>
      <c r="H78" s="60" t="n">
        <v>2561</v>
      </c>
      <c r="I78" s="69" t="n">
        <f aca="false">IF(H78="","",G78-H78)</f>
        <v>71</v>
      </c>
      <c r="J78" s="40" t="n">
        <f aca="false">IF(OR(D78="",D78+G78=0),"",D78/(D78+G78))</f>
        <v>0.333670886075949</v>
      </c>
      <c r="K78" s="40" t="n">
        <f aca="false">IF(E78="","",E78/(E78+H78))</f>
        <v>0.347016828148904</v>
      </c>
      <c r="L78" s="70" t="n">
        <f aca="false">IF(OR(K78="",J78=""),"",(J78-K78)*100)</f>
        <v>-1.33459420729543</v>
      </c>
      <c r="M78" s="36" t="n">
        <v>2.5956073329947</v>
      </c>
      <c r="N78" s="36" t="n">
        <v>2.5925072682662</v>
      </c>
      <c r="O78" s="36" t="n">
        <f aca="false">SQRT(M78^2+N78^2)</f>
        <v>3.66855167104253</v>
      </c>
      <c r="P78" s="40" t="n">
        <f aca="false">IF(J78="","",MAX(0,J78-1.96*O78/100))</f>
        <v>0.261767273323516</v>
      </c>
      <c r="Q78" s="40" t="n">
        <f aca="false">IF(J78="","",MIN(1,J78+1.96*O78/100))</f>
        <v>0.405574498828383</v>
      </c>
      <c r="R78" s="32" t="str">
        <f aca="false">IF(L78="","",IF(ABS(L78)&lt;=O78,"Yes","No"))</f>
        <v>Yes</v>
      </c>
      <c r="S78" s="32" t="str">
        <f aca="false">IF(L78="","",IF(ABS(L78)&lt;=1.96*O78,"Yes","No"))</f>
        <v>Yes</v>
      </c>
      <c r="T78" s="60" t="n">
        <f aca="false">IF(D78="","",ROUND(SQRT(((D78+G78)*O78/100)^2+(J78*(D78+G78)*0.05464)^2),0))</f>
        <v>162</v>
      </c>
      <c r="U78" s="32"/>
    </row>
    <row r="79" customFormat="false" ht="15" hidden="false" customHeight="false" outlineLevel="0" collapsed="false">
      <c r="A79" s="32" t="s">
        <v>222</v>
      </c>
      <c r="B79" s="32" t="s">
        <v>247</v>
      </c>
      <c r="C79" s="32" t="s">
        <v>164</v>
      </c>
      <c r="D79" s="60" t="n">
        <v>79</v>
      </c>
      <c r="E79" s="60" t="n">
        <v>92</v>
      </c>
      <c r="F79" s="69" t="n">
        <f aca="false">IF(E79="","",D79-E79)</f>
        <v>-13</v>
      </c>
      <c r="G79" s="60" t="n">
        <v>170</v>
      </c>
      <c r="H79" s="60" t="n">
        <v>167</v>
      </c>
      <c r="I79" s="69" t="n">
        <f aca="false">IF(H79="","",G79-H79)</f>
        <v>3</v>
      </c>
      <c r="J79" s="40" t="n">
        <f aca="false">IF(OR(D79="",D79+G79=0),"",D79/(D79+G79))</f>
        <v>0.317269076305221</v>
      </c>
      <c r="K79" s="40" t="n">
        <f aca="false">IF(E79="","",E79/(E79+H79))</f>
        <v>0.355212355212355</v>
      </c>
      <c r="L79" s="70" t="n">
        <f aca="false">IF(OR(K79="",J79=""),"",(J79-K79)*100)</f>
        <v>-3.79432789071343</v>
      </c>
      <c r="M79" s="36" t="n">
        <v>4.33926976222454</v>
      </c>
      <c r="N79" s="36" t="n">
        <v>2.5925072682662</v>
      </c>
      <c r="O79" s="36" t="n">
        <f aca="false">SQRT(M79^2+N79^2)</f>
        <v>5.05473599759367</v>
      </c>
      <c r="P79" s="40" t="n">
        <f aca="false">IF(J79="","",MAX(0,J79-1.96*O79/100))</f>
        <v>0.218196250752385</v>
      </c>
      <c r="Q79" s="40" t="n">
        <f aca="false">IF(J79="","",MIN(1,J79+1.96*O79/100))</f>
        <v>0.416341901858057</v>
      </c>
      <c r="R79" s="32" t="str">
        <f aca="false">IF(L79="","",IF(ABS(L79)&lt;=O79,"Yes","No"))</f>
        <v>Yes</v>
      </c>
      <c r="S79" s="32" t="str">
        <f aca="false">IF(L79="","",IF(ABS(L79)&lt;=1.96*O79,"Yes","No"))</f>
        <v>Yes</v>
      </c>
      <c r="T79" s="60" t="n">
        <f aca="false">IF(D79="","",ROUND(SQRT(((D79+G79)*O79/100)^2+(J79*(D79+G79)*0.07859)^2),0))</f>
        <v>14</v>
      </c>
      <c r="U79" s="32"/>
    </row>
    <row r="80" customFormat="false" ht="15" hidden="false" customHeight="false" outlineLevel="0" collapsed="false">
      <c r="A80" s="32" t="s">
        <v>222</v>
      </c>
      <c r="B80" s="32" t="s">
        <v>248</v>
      </c>
      <c r="C80" s="32" t="s">
        <v>164</v>
      </c>
      <c r="D80" s="60" t="n">
        <v>336</v>
      </c>
      <c r="E80" s="60" t="n">
        <v>335</v>
      </c>
      <c r="F80" s="69" t="n">
        <f aca="false">IF(E80="","",D80-E80)</f>
        <v>1</v>
      </c>
      <c r="G80" s="60" t="n">
        <v>596</v>
      </c>
      <c r="H80" s="60" t="n">
        <v>581</v>
      </c>
      <c r="I80" s="69" t="n">
        <f aca="false">IF(H80="","",G80-H80)</f>
        <v>15</v>
      </c>
      <c r="J80" s="40" t="n">
        <f aca="false">IF(OR(D80="",D80+G80=0),"",D80/(D80+G80))</f>
        <v>0.360515021459228</v>
      </c>
      <c r="K80" s="40" t="n">
        <f aca="false">IF(E80="","",E80/(E80+H80))</f>
        <v>0.365720524017467</v>
      </c>
      <c r="L80" s="70" t="n">
        <f aca="false">IF(OR(K80="",J80=""),"",(J80-K80)*100)</f>
        <v>-0.520550255823976</v>
      </c>
      <c r="M80" s="36" t="n">
        <v>4.33926976222454</v>
      </c>
      <c r="N80" s="36" t="n">
        <v>2.5925072682662</v>
      </c>
      <c r="O80" s="36" t="n">
        <f aca="false">SQRT(M80^2+N80^2)</f>
        <v>5.05473599759367</v>
      </c>
      <c r="P80" s="40" t="n">
        <f aca="false">IF(J80="","",MAX(0,J80-1.96*O80/100))</f>
        <v>0.261442195906392</v>
      </c>
      <c r="Q80" s="40" t="n">
        <f aca="false">IF(J80="","",MIN(1,J80+1.96*O80/100))</f>
        <v>0.459587847012063</v>
      </c>
      <c r="R80" s="32" t="str">
        <f aca="false">IF(L80="","",IF(ABS(L80)&lt;=O80,"Yes","No"))</f>
        <v>Yes</v>
      </c>
      <c r="S80" s="32" t="str">
        <f aca="false">IF(L80="","",IF(ABS(L80)&lt;=1.96*O80,"Yes","No"))</f>
        <v>Yes</v>
      </c>
      <c r="T80" s="60" t="n">
        <f aca="false">IF(D80="","",ROUND(SQRT(((D80+G80)*O80/100)^2+(J80*(D80+G80)*0.07859)^2),0))</f>
        <v>54</v>
      </c>
      <c r="U80" s="32"/>
    </row>
    <row r="81" customFormat="false" ht="15" hidden="false" customHeight="false" outlineLevel="0" collapsed="false">
      <c r="A81" s="32" t="s">
        <v>222</v>
      </c>
      <c r="B81" s="32" t="s">
        <v>249</v>
      </c>
      <c r="C81" s="32" t="s">
        <v>164</v>
      </c>
      <c r="D81" s="60" t="n">
        <v>207</v>
      </c>
      <c r="E81" s="60" t="n">
        <v>210</v>
      </c>
      <c r="F81" s="69" t="n">
        <f aca="false">IF(E81="","",D81-E81)</f>
        <v>-3</v>
      </c>
      <c r="G81" s="60" t="n">
        <v>307</v>
      </c>
      <c r="H81" s="60" t="n">
        <v>309</v>
      </c>
      <c r="I81" s="69" t="n">
        <f aca="false">IF(H81="","",G81-H81)</f>
        <v>-2</v>
      </c>
      <c r="J81" s="40" t="n">
        <f aca="false">IF(OR(D81="",D81+G81=0),"",D81/(D81+G81))</f>
        <v>0.40272373540856</v>
      </c>
      <c r="K81" s="40" t="n">
        <f aca="false">IF(E81="","",E81/(E81+H81))</f>
        <v>0.404624277456647</v>
      </c>
      <c r="L81" s="70" t="n">
        <f aca="false">IF(OR(K81="",J81=""),"",(J81-K81)*100)</f>
        <v>-0.19005420480871</v>
      </c>
      <c r="M81" s="36" t="n">
        <v>4.33926976222454</v>
      </c>
      <c r="N81" s="36" t="n">
        <v>2.5925072682662</v>
      </c>
      <c r="O81" s="36" t="n">
        <f aca="false">SQRT(M81^2+N81^2)</f>
        <v>5.05473599759367</v>
      </c>
      <c r="P81" s="40" t="n">
        <f aca="false">IF(J81="","",MAX(0,J81-1.96*O81/100))</f>
        <v>0.303650909855724</v>
      </c>
      <c r="Q81" s="40" t="n">
        <f aca="false">IF(J81="","",MIN(1,J81+1.96*O81/100))</f>
        <v>0.501796560961396</v>
      </c>
      <c r="R81" s="32" t="str">
        <f aca="false">IF(L81="","",IF(ABS(L81)&lt;=O81,"Yes","No"))</f>
        <v>Yes</v>
      </c>
      <c r="S81" s="32" t="str">
        <f aca="false">IF(L81="","",IF(ABS(L81)&lt;=1.96*O81,"Yes","No"))</f>
        <v>Yes</v>
      </c>
      <c r="T81" s="60" t="n">
        <f aca="false">IF(D81="","",ROUND(SQRT(((D81+G81)*O81/100)^2+(J81*(D81+G81)*0.07859)^2),0))</f>
        <v>31</v>
      </c>
      <c r="U81" s="32"/>
    </row>
    <row r="82" customFormat="false" ht="15" hidden="false" customHeight="false" outlineLevel="0" collapsed="false">
      <c r="A82" s="32" t="s">
        <v>222</v>
      </c>
      <c r="B82" s="32" t="s">
        <v>250</v>
      </c>
      <c r="C82" s="32" t="s">
        <v>164</v>
      </c>
      <c r="D82" s="60" t="n">
        <v>317</v>
      </c>
      <c r="E82" s="60" t="n">
        <v>331</v>
      </c>
      <c r="F82" s="69" t="n">
        <f aca="false">IF(E82="","",D82-E82)</f>
        <v>-14</v>
      </c>
      <c r="G82" s="60" t="n">
        <v>455</v>
      </c>
      <c r="H82" s="60" t="n">
        <v>458</v>
      </c>
      <c r="I82" s="69" t="n">
        <f aca="false">IF(H82="","",G82-H82)</f>
        <v>-3</v>
      </c>
      <c r="J82" s="40" t="n">
        <f aca="false">IF(OR(D82="",D82+G82=0),"",D82/(D82+G82))</f>
        <v>0.410621761658031</v>
      </c>
      <c r="K82" s="40" t="n">
        <f aca="false">IF(E82="","",E82/(E82+H82))</f>
        <v>0.419518377693283</v>
      </c>
      <c r="L82" s="70" t="n">
        <f aca="false">IF(OR(K82="",J82=""),"",(J82-K82)*100)</f>
        <v>-0.889661603525155</v>
      </c>
      <c r="M82" s="36" t="n">
        <v>4.33926976222454</v>
      </c>
      <c r="N82" s="36" t="n">
        <v>2.5925072682662</v>
      </c>
      <c r="O82" s="36" t="n">
        <f aca="false">SQRT(M82^2+N82^2)</f>
        <v>5.05473599759367</v>
      </c>
      <c r="P82" s="40" t="n">
        <f aca="false">IF(J82="","",MAX(0,J82-1.96*O82/100))</f>
        <v>0.311548936105195</v>
      </c>
      <c r="Q82" s="40" t="n">
        <f aca="false">IF(J82="","",MIN(1,J82+1.96*O82/100))</f>
        <v>0.509694587210867</v>
      </c>
      <c r="R82" s="32" t="str">
        <f aca="false">IF(L82="","",IF(ABS(L82)&lt;=O82,"Yes","No"))</f>
        <v>Yes</v>
      </c>
      <c r="S82" s="32" t="str">
        <f aca="false">IF(L82="","",IF(ABS(L82)&lt;=1.96*O82,"Yes","No"))</f>
        <v>Yes</v>
      </c>
      <c r="T82" s="60" t="n">
        <f aca="false">IF(D82="","",ROUND(SQRT(((D82+G82)*O82/100)^2+(J82*(D82+G82)*0.07859)^2),0))</f>
        <v>46</v>
      </c>
      <c r="U82" s="32"/>
    </row>
    <row r="83" customFormat="false" ht="15" hidden="false" customHeight="false" outlineLevel="0" collapsed="false">
      <c r="A83" s="32" t="s">
        <v>222</v>
      </c>
      <c r="B83" s="32" t="s">
        <v>251</v>
      </c>
      <c r="C83" s="32" t="s">
        <v>164</v>
      </c>
      <c r="D83" s="60" t="n">
        <v>1192</v>
      </c>
      <c r="E83" s="60" t="n">
        <v>1242</v>
      </c>
      <c r="F83" s="69" t="n">
        <f aca="false">IF(E83="","",D83-E83)</f>
        <v>-50</v>
      </c>
      <c r="G83" s="60" t="n">
        <v>2666</v>
      </c>
      <c r="H83" s="60" t="n">
        <v>2716</v>
      </c>
      <c r="I83" s="69" t="n">
        <f aca="false">IF(H83="","",G83-H83)</f>
        <v>-50</v>
      </c>
      <c r="J83" s="40" t="n">
        <f aca="false">IF(OR(D83="",D83+G83=0),"",D83/(D83+G83))</f>
        <v>0.308968377397615</v>
      </c>
      <c r="K83" s="40" t="n">
        <f aca="false">IF(E83="","",E83/(E83+H83))</f>
        <v>0.313794845881759</v>
      </c>
      <c r="L83" s="70" t="n">
        <f aca="false">IF(OR(K83="",J83=""),"",(J83-K83)*100)</f>
        <v>-0.482646848414314</v>
      </c>
      <c r="M83" s="36" t="n">
        <v>2.5956073329947</v>
      </c>
      <c r="N83" s="36" t="n">
        <v>2.5925072682662</v>
      </c>
      <c r="O83" s="36" t="n">
        <f aca="false">SQRT(M83^2+N83^2)</f>
        <v>3.66855167104253</v>
      </c>
      <c r="P83" s="40" t="n">
        <f aca="false">IF(J83="","",MAX(0,J83-1.96*O83/100))</f>
        <v>0.237064764645182</v>
      </c>
      <c r="Q83" s="40" t="n">
        <f aca="false">IF(J83="","",MIN(1,J83+1.96*O83/100))</f>
        <v>0.380871990150049</v>
      </c>
      <c r="R83" s="32" t="str">
        <f aca="false">IF(L83="","",IF(ABS(L83)&lt;=O83,"Yes","No"))</f>
        <v>Yes</v>
      </c>
      <c r="S83" s="32" t="str">
        <f aca="false">IF(L83="","",IF(ABS(L83)&lt;=1.96*O83,"Yes","No"))</f>
        <v>Yes</v>
      </c>
      <c r="T83" s="60" t="n">
        <f aca="false">IF(D83="","",ROUND(SQRT(((D83+G83)*O83/100)^2+(J83*(D83+G83)*0.05464)^2),0))</f>
        <v>156</v>
      </c>
      <c r="U83" s="32"/>
    </row>
    <row r="84" customFormat="false" ht="15" hidden="false" customHeight="false" outlineLevel="0" collapsed="false">
      <c r="A84" s="32" t="s">
        <v>222</v>
      </c>
      <c r="B84" s="32" t="s">
        <v>252</v>
      </c>
      <c r="C84" s="32" t="s">
        <v>164</v>
      </c>
      <c r="D84" s="60" t="n">
        <v>1908</v>
      </c>
      <c r="E84" s="60" t="n">
        <v>1964</v>
      </c>
      <c r="F84" s="69" t="n">
        <f aca="false">IF(E84="","",D84-E84)</f>
        <v>-56</v>
      </c>
      <c r="G84" s="60" t="n">
        <v>2161</v>
      </c>
      <c r="H84" s="60" t="n">
        <v>2147</v>
      </c>
      <c r="I84" s="69" t="n">
        <f aca="false">IF(H84="","",G84-H84)</f>
        <v>14</v>
      </c>
      <c r="J84" s="40" t="n">
        <f aca="false">IF(OR(D84="",D84+G84=0),"",D84/(D84+G84))</f>
        <v>0.468911280412878</v>
      </c>
      <c r="K84" s="40" t="n">
        <f aca="false">IF(E84="","",E84/(E84+H84))</f>
        <v>0.477742641693019</v>
      </c>
      <c r="L84" s="70" t="n">
        <f aca="false">IF(OR(K84="",J84=""),"",(J84-K84)*100)</f>
        <v>-0.883136128014084</v>
      </c>
      <c r="M84" s="36" t="n">
        <v>2.5956073329947</v>
      </c>
      <c r="N84" s="36" t="n">
        <v>2.5925072682662</v>
      </c>
      <c r="O84" s="36" t="n">
        <f aca="false">SQRT(M84^2+N84^2)</f>
        <v>3.66855167104253</v>
      </c>
      <c r="P84" s="40" t="n">
        <f aca="false">IF(J84="","",MAX(0,J84-1.96*O84/100))</f>
        <v>0.397007667660444</v>
      </c>
      <c r="Q84" s="40" t="n">
        <f aca="false">IF(J84="","",MIN(1,J84+1.96*O84/100))</f>
        <v>0.540814893165312</v>
      </c>
      <c r="R84" s="32" t="str">
        <f aca="false">IF(L84="","",IF(ABS(L84)&lt;=O84,"Yes","No"))</f>
        <v>Yes</v>
      </c>
      <c r="S84" s="32" t="str">
        <f aca="false">IF(L84="","",IF(ABS(L84)&lt;=1.96*O84,"Yes","No"))</f>
        <v>Yes</v>
      </c>
      <c r="T84" s="60" t="n">
        <f aca="false">IF(D84="","",ROUND(SQRT(((D84+G84)*O84/100)^2+(J84*(D84+G84)*0.05464)^2),0))</f>
        <v>182</v>
      </c>
      <c r="U84" s="32"/>
    </row>
    <row r="85" customFormat="false" ht="15" hidden="false" customHeight="false" outlineLevel="0" collapsed="false">
      <c r="A85" s="32" t="s">
        <v>222</v>
      </c>
      <c r="B85" s="32" t="s">
        <v>253</v>
      </c>
      <c r="C85" s="32" t="s">
        <v>164</v>
      </c>
      <c r="D85" s="60" t="n">
        <v>420</v>
      </c>
      <c r="E85" s="60" t="n">
        <v>416</v>
      </c>
      <c r="F85" s="69" t="n">
        <f aca="false">IF(E85="","",D85-E85)</f>
        <v>4</v>
      </c>
      <c r="G85" s="60" t="n">
        <v>641</v>
      </c>
      <c r="H85" s="60" t="n">
        <v>658</v>
      </c>
      <c r="I85" s="69" t="n">
        <f aca="false">IF(H85="","",G85-H85)</f>
        <v>-17</v>
      </c>
      <c r="J85" s="40" t="n">
        <f aca="false">IF(OR(D85="",D85+G85=0),"",D85/(D85+G85))</f>
        <v>0.395852968897267</v>
      </c>
      <c r="K85" s="40" t="n">
        <f aca="false">IF(E85="","",E85/(E85+H85))</f>
        <v>0.387337057728119</v>
      </c>
      <c r="L85" s="70" t="n">
        <f aca="false">IF(OR(K85="",J85=""),"",(J85-K85)*100)</f>
        <v>0.851591116914757</v>
      </c>
      <c r="M85" s="36" t="n">
        <v>4.33926976222454</v>
      </c>
      <c r="N85" s="36" t="n">
        <v>2.5925072682662</v>
      </c>
      <c r="O85" s="36" t="n">
        <f aca="false">SQRT(M85^2+N85^2)</f>
        <v>5.05473599759367</v>
      </c>
      <c r="P85" s="40" t="n">
        <f aca="false">IF(J85="","",MAX(0,J85-1.96*O85/100))</f>
        <v>0.296780143344431</v>
      </c>
      <c r="Q85" s="40" t="n">
        <f aca="false">IF(J85="","",MIN(1,J85+1.96*O85/100))</f>
        <v>0.494925794450103</v>
      </c>
      <c r="R85" s="32" t="str">
        <f aca="false">IF(L85="","",IF(ABS(L85)&lt;=O85,"Yes","No"))</f>
        <v>Yes</v>
      </c>
      <c r="S85" s="32" t="str">
        <f aca="false">IF(L85="","",IF(ABS(L85)&lt;=1.96*O85,"Yes","No"))</f>
        <v>Yes</v>
      </c>
      <c r="T85" s="60" t="n">
        <f aca="false">IF(D85="","",ROUND(SQRT(((D85+G85)*O85/100)^2+(J85*(D85+G85)*0.07859)^2),0))</f>
        <v>63</v>
      </c>
      <c r="U85" s="32"/>
    </row>
    <row r="86" customFormat="false" ht="15" hidden="false" customHeight="false" outlineLevel="0" collapsed="false">
      <c r="A86" s="32" t="s">
        <v>222</v>
      </c>
      <c r="B86" s="32" t="s">
        <v>215</v>
      </c>
      <c r="C86" s="32" t="s">
        <v>164</v>
      </c>
      <c r="D86" s="60" t="n">
        <v>1026</v>
      </c>
      <c r="E86" s="60" t="n">
        <v>1041</v>
      </c>
      <c r="F86" s="69" t="n">
        <f aca="false">IF(E86="","",D86-E86)</f>
        <v>-15</v>
      </c>
      <c r="G86" s="60" t="n">
        <v>2050</v>
      </c>
      <c r="H86" s="60" t="n">
        <v>2088</v>
      </c>
      <c r="I86" s="69" t="n">
        <f aca="false">IF(H86="","",G86-H86)</f>
        <v>-38</v>
      </c>
      <c r="J86" s="40" t="n">
        <f aca="false">IF(OR(D86="",D86+G86=0),"",D86/(D86+G86))</f>
        <v>0.333550065019506</v>
      </c>
      <c r="K86" s="40" t="n">
        <f aca="false">IF(E86="","",E86/(E86+H86))</f>
        <v>0.332694151486098</v>
      </c>
      <c r="L86" s="70" t="n">
        <f aca="false">IF(OR(K86="",J86=""),"",(J86-K86)*100)</f>
        <v>0.0855913533408026</v>
      </c>
      <c r="M86" s="36" t="n">
        <v>2.72659205591432</v>
      </c>
      <c r="N86" s="36" t="n">
        <v>2.5925072682662</v>
      </c>
      <c r="O86" s="36" t="n">
        <f aca="false">SQRT(M86^2+N86^2)</f>
        <v>3.76236603421147</v>
      </c>
      <c r="P86" s="40" t="n">
        <f aca="false">IF(J86="","",MAX(0,J86-1.96*O86/100))</f>
        <v>0.259807690748961</v>
      </c>
      <c r="Q86" s="40" t="n">
        <f aca="false">IF(J86="","",MIN(1,J86+1.96*O86/100))</f>
        <v>0.407292439290051</v>
      </c>
      <c r="R86" s="32" t="str">
        <f aca="false">IF(L86="","",IF(ABS(L86)&lt;=O86,"Yes","No"))</f>
        <v>Yes</v>
      </c>
      <c r="S86" s="32" t="str">
        <f aca="false">IF(L86="","",IF(ABS(L86)&lt;=1.96*O86,"Yes","No"))</f>
        <v>Yes</v>
      </c>
      <c r="T86" s="60" t="n">
        <f aca="false">IF(D86="","",ROUND(SQRT(((D86+G86)*O86/100)^2+(J86*(D86+G86)*0.06092)^2),0))</f>
        <v>132</v>
      </c>
      <c r="U86" s="32"/>
    </row>
    <row r="87" customFormat="false" ht="15" hidden="false" customHeight="false" outlineLevel="0" collapsed="false">
      <c r="A87" s="32" t="s">
        <v>222</v>
      </c>
      <c r="B87" s="32" t="s">
        <v>254</v>
      </c>
      <c r="C87" s="32" t="s">
        <v>164</v>
      </c>
      <c r="D87" s="60" t="n">
        <v>260</v>
      </c>
      <c r="E87" s="60" t="n">
        <v>281</v>
      </c>
      <c r="F87" s="69" t="n">
        <f aca="false">IF(E87="","",D87-E87)</f>
        <v>-21</v>
      </c>
      <c r="G87" s="60" t="n">
        <v>347</v>
      </c>
      <c r="H87" s="60" t="n">
        <v>310</v>
      </c>
      <c r="I87" s="69" t="n">
        <f aca="false">IF(H87="","",G87-H87)</f>
        <v>37</v>
      </c>
      <c r="J87" s="40" t="n">
        <f aca="false">IF(OR(D87="",D87+G87=0),"",D87/(D87+G87))</f>
        <v>0.42833607907743</v>
      </c>
      <c r="K87" s="40" t="n">
        <f aca="false">IF(E87="","",E87/(E87+H87))</f>
        <v>0.475465313028765</v>
      </c>
      <c r="L87" s="70" t="n">
        <f aca="false">IF(OR(K87="",J87=""),"",(J87-K87)*100)</f>
        <v>-4.71292339513348</v>
      </c>
      <c r="M87" s="36" t="n">
        <v>4.33926976222454</v>
      </c>
      <c r="N87" s="36" t="n">
        <v>2.5925072682662</v>
      </c>
      <c r="O87" s="36" t="n">
        <f aca="false">SQRT(M87^2+N87^2)</f>
        <v>5.05473599759367</v>
      </c>
      <c r="P87" s="40" t="n">
        <f aca="false">IF(J87="","",MAX(0,J87-1.96*O87/100))</f>
        <v>0.329263253524594</v>
      </c>
      <c r="Q87" s="40" t="n">
        <f aca="false">IF(J87="","",MIN(1,J87+1.96*O87/100))</f>
        <v>0.527408904630266</v>
      </c>
      <c r="R87" s="32" t="str">
        <f aca="false">IF(L87="","",IF(ABS(L87)&lt;=O87,"Yes","No"))</f>
        <v>Yes</v>
      </c>
      <c r="S87" s="32" t="str">
        <f aca="false">IF(L87="","",IF(ABS(L87)&lt;=1.96*O87,"Yes","No"))</f>
        <v>Yes</v>
      </c>
      <c r="T87" s="60" t="n">
        <f aca="false">IF(D87="","",ROUND(SQRT(((D87+G87)*O87/100)^2+(J87*(D87+G87)*0.07859)^2),0))</f>
        <v>37</v>
      </c>
      <c r="U87" s="32"/>
    </row>
    <row r="88" customFormat="false" ht="15" hidden="false" customHeight="false" outlineLevel="0" collapsed="false">
      <c r="A88" s="32" t="s">
        <v>222</v>
      </c>
      <c r="B88" s="32" t="s">
        <v>255</v>
      </c>
      <c r="C88" s="32" t="s">
        <v>164</v>
      </c>
      <c r="D88" s="60" t="n">
        <v>1754</v>
      </c>
      <c r="E88" s="60" t="n">
        <v>1847</v>
      </c>
      <c r="F88" s="69" t="n">
        <f aca="false">IF(E88="","",D88-E88)</f>
        <v>-93</v>
      </c>
      <c r="G88" s="60" t="n">
        <v>2435</v>
      </c>
      <c r="H88" s="60" t="n">
        <v>2401</v>
      </c>
      <c r="I88" s="69" t="n">
        <f aca="false">IF(H88="","",G88-H88)</f>
        <v>34</v>
      </c>
      <c r="J88" s="40" t="n">
        <f aca="false">IF(OR(D88="",D88+G88=0),"",D88/(D88+G88))</f>
        <v>0.418715683934113</v>
      </c>
      <c r="K88" s="40" t="n">
        <f aca="false">IF(E88="","",E88/(E88+H88))</f>
        <v>0.434792843691149</v>
      </c>
      <c r="L88" s="70" t="n">
        <f aca="false">IF(OR(K88="",J88=""),"",(J88-K88)*100)</f>
        <v>-1.60771597570356</v>
      </c>
      <c r="M88" s="36" t="n">
        <v>2.5956073329947</v>
      </c>
      <c r="N88" s="36" t="n">
        <v>2.5925072682662</v>
      </c>
      <c r="O88" s="36" t="n">
        <f aca="false">SQRT(M88^2+N88^2)</f>
        <v>3.66855167104253</v>
      </c>
      <c r="P88" s="40" t="n">
        <f aca="false">IF(J88="","",MAX(0,J88-1.96*O88/100))</f>
        <v>0.34681207118168</v>
      </c>
      <c r="Q88" s="40" t="n">
        <f aca="false">IF(J88="","",MIN(1,J88+1.96*O88/100))</f>
        <v>0.490619296686547</v>
      </c>
      <c r="R88" s="32" t="str">
        <f aca="false">IF(L88="","",IF(ABS(L88)&lt;=O88,"Yes","No"))</f>
        <v>Yes</v>
      </c>
      <c r="S88" s="32" t="str">
        <f aca="false">IF(L88="","",IF(ABS(L88)&lt;=1.96*O88,"Yes","No"))</f>
        <v>Yes</v>
      </c>
      <c r="T88" s="60" t="n">
        <f aca="false">IF(D88="","",ROUND(SQRT(((D88+G88)*O88/100)^2+(J88*(D88+G88)*0.05464)^2),0))</f>
        <v>181</v>
      </c>
      <c r="U88" s="32"/>
    </row>
    <row r="89" customFormat="false" ht="15" hidden="false" customHeight="false" outlineLevel="0" collapsed="false">
      <c r="A89" s="32" t="s">
        <v>222</v>
      </c>
      <c r="B89" s="32" t="s">
        <v>256</v>
      </c>
      <c r="C89" s="32" t="s">
        <v>164</v>
      </c>
      <c r="D89" s="60" t="n">
        <v>1875</v>
      </c>
      <c r="E89" s="60" t="n">
        <v>1897</v>
      </c>
      <c r="F89" s="69" t="n">
        <f aca="false">IF(E89="","",D89-E89)</f>
        <v>-22</v>
      </c>
      <c r="G89" s="60" t="n">
        <v>1531</v>
      </c>
      <c r="H89" s="60" t="n">
        <v>1538</v>
      </c>
      <c r="I89" s="69" t="n">
        <f aca="false">IF(H89="","",G89-H89)</f>
        <v>-7</v>
      </c>
      <c r="J89" s="40" t="n">
        <f aca="false">IF(OR(D89="",D89+G89=0),"",D89/(D89+G89))</f>
        <v>0.550499119201409</v>
      </c>
      <c r="K89" s="40" t="n">
        <f aca="false">IF(E89="","",E89/(E89+H89))</f>
        <v>0.552256186317322</v>
      </c>
      <c r="L89" s="70" t="n">
        <f aca="false">IF(OR(K89="",J89=""),"",(J89-K89)*100)</f>
        <v>-0.175706711591239</v>
      </c>
      <c r="M89" s="36" t="n">
        <v>2.72659205591432</v>
      </c>
      <c r="N89" s="36" t="n">
        <v>2.5925072682662</v>
      </c>
      <c r="O89" s="36" t="n">
        <f aca="false">SQRT(M89^2+N89^2)</f>
        <v>3.76236603421147</v>
      </c>
      <c r="P89" s="40" t="n">
        <f aca="false">IF(J89="","",MAX(0,J89-1.96*O89/100))</f>
        <v>0.476756744930864</v>
      </c>
      <c r="Q89" s="40" t="n">
        <f aca="false">IF(J89="","",MIN(1,J89+1.96*O89/100))</f>
        <v>0.624241493471954</v>
      </c>
      <c r="R89" s="32" t="str">
        <f aca="false">IF(L89="","",IF(ABS(L89)&lt;=O89,"Yes","No"))</f>
        <v>Yes</v>
      </c>
      <c r="S89" s="32" t="str">
        <f aca="false">IF(L89="","",IF(ABS(L89)&lt;=1.96*O89,"Yes","No"))</f>
        <v>Yes</v>
      </c>
      <c r="T89" s="60" t="n">
        <f aca="false">IF(D89="","",ROUND(SQRT(((D89+G89)*O89/100)^2+(J89*(D89+G89)*0.06092)^2),0))</f>
        <v>172</v>
      </c>
      <c r="U89" s="32"/>
    </row>
    <row r="90" customFormat="false" ht="15" hidden="false" customHeight="false" outlineLevel="0" collapsed="false">
      <c r="A90" s="32" t="s">
        <v>222</v>
      </c>
      <c r="B90" s="32" t="s">
        <v>257</v>
      </c>
      <c r="C90" s="32" t="s">
        <v>164</v>
      </c>
      <c r="D90" s="60" t="n">
        <v>625</v>
      </c>
      <c r="E90" s="60" t="n">
        <v>634</v>
      </c>
      <c r="F90" s="69" t="n">
        <f aca="false">IF(E90="","",D90-E90)</f>
        <v>-9</v>
      </c>
      <c r="G90" s="60" t="n">
        <v>901</v>
      </c>
      <c r="H90" s="60" t="n">
        <v>856</v>
      </c>
      <c r="I90" s="69" t="n">
        <f aca="false">IF(H90="","",G90-H90)</f>
        <v>45</v>
      </c>
      <c r="J90" s="40" t="n">
        <f aca="false">IF(OR(D90="",D90+G90=0),"",D90/(D90+G90))</f>
        <v>0.40956749672346</v>
      </c>
      <c r="K90" s="40" t="n">
        <f aca="false">IF(E90="","",E90/(E90+H90))</f>
        <v>0.425503355704698</v>
      </c>
      <c r="L90" s="70" t="n">
        <f aca="false">IF(OR(K90="",J90=""),"",(J90-K90)*100)</f>
        <v>-1.5935858981238</v>
      </c>
      <c r="M90" s="36" t="n">
        <v>4.33926976222454</v>
      </c>
      <c r="N90" s="36" t="n">
        <v>2.5925072682662</v>
      </c>
      <c r="O90" s="36" t="n">
        <f aca="false">SQRT(M90^2+N90^2)</f>
        <v>5.05473599759367</v>
      </c>
      <c r="P90" s="40" t="n">
        <f aca="false">IF(J90="","",MAX(0,J90-1.96*O90/100))</f>
        <v>0.310494671170624</v>
      </c>
      <c r="Q90" s="40" t="n">
        <f aca="false">IF(J90="","",MIN(1,J90+1.96*O90/100))</f>
        <v>0.508640322276296</v>
      </c>
      <c r="R90" s="32" t="str">
        <f aca="false">IF(L90="","",IF(ABS(L90)&lt;=O90,"Yes","No"))</f>
        <v>Yes</v>
      </c>
      <c r="S90" s="32" t="str">
        <f aca="false">IF(L90="","",IF(ABS(L90)&lt;=1.96*O90,"Yes","No"))</f>
        <v>Yes</v>
      </c>
      <c r="T90" s="60" t="n">
        <f aca="false">IF(D90="","",ROUND(SQRT(((D90+G90)*O90/100)^2+(J90*(D90+G90)*0.07859)^2),0))</f>
        <v>91</v>
      </c>
      <c r="U90" s="32"/>
    </row>
    <row r="92" customFormat="false" ht="15" hidden="false" customHeight="false" outlineLevel="0" collapsed="false">
      <c r="A92" s="20" t="s">
        <v>377</v>
      </c>
      <c r="B92" s="71"/>
      <c r="C92" s="71"/>
      <c r="D92" s="72" t="n">
        <f aca="false">SUMIF(E2:E90,"&lt;&gt;",D2:D90)</f>
        <v>197928</v>
      </c>
      <c r="E92" s="72" t="n">
        <f aca="false">SUM(E2:E90)</f>
        <v>199626</v>
      </c>
      <c r="F92" s="73" t="n">
        <f aca="false">D92-E92</f>
        <v>-1698</v>
      </c>
      <c r="G92" s="72" t="n">
        <f aca="false">SUMIF(H2:H90,"&lt;&gt;",G2:G90)</f>
        <v>203195</v>
      </c>
      <c r="H92" s="72" t="n">
        <f aca="false">SUM(H2:H90)</f>
        <v>203688</v>
      </c>
      <c r="I92" s="73" t="n">
        <f aca="false">G92-H92</f>
        <v>-493</v>
      </c>
      <c r="J92" s="74" t="n">
        <f aca="false">D92/(D92+G92)</f>
        <v>0.49343468212992</v>
      </c>
      <c r="K92" s="74" t="n">
        <f aca="false">E92/(E92+H92)</f>
        <v>0.49496422142549</v>
      </c>
      <c r="L92" s="75" t="n">
        <f aca="false">(J92-K92)*100</f>
        <v>-0.152953929556954</v>
      </c>
      <c r="M92" s="76" t="n">
        <v>0</v>
      </c>
      <c r="N92" s="76" t="n">
        <v>2.5925072682662</v>
      </c>
      <c r="O92" s="76" t="n">
        <f aca="false">SQRT(M92^2+N92^2)</f>
        <v>2.5925072682662</v>
      </c>
      <c r="P92" s="74" t="n">
        <f aca="false">J92-1.96*O92/100</f>
        <v>0.442621539671903</v>
      </c>
      <c r="Q92" s="74" t="n">
        <f aca="false">J92+1.96*O92/100</f>
        <v>0.544247824587938</v>
      </c>
      <c r="R92" s="71" t="str">
        <f aca="false">IF(ABS(L92)&lt;=O92,"Yes","No")</f>
        <v>Yes</v>
      </c>
      <c r="S92" s="71" t="str">
        <f aca="false">IF(ABS(L92)&lt;=1.96*O92,"Yes","No")</f>
        <v>Yes</v>
      </c>
      <c r="T92" s="72" t="n">
        <f aca="false">ROUND(SQRT(((D92+G92)*O92/100)^2+(J92*(D92+G92)*0.04269)^2),0)</f>
        <v>13399</v>
      </c>
    </row>
    <row r="93" customFormat="false" ht="15" hidden="false" customHeight="false" outlineLevel="0" collapsed="false">
      <c r="A93" s="20" t="s">
        <v>378</v>
      </c>
      <c r="B93" s="71"/>
      <c r="C93" s="71"/>
      <c r="D93" s="72" t="n">
        <f aca="false">SUM(D2:D90)</f>
        <v>197928</v>
      </c>
      <c r="E93" s="72"/>
      <c r="F93" s="73"/>
      <c r="G93" s="72" t="n">
        <f aca="false">SUM(G2:G90)</f>
        <v>203195</v>
      </c>
      <c r="H93" s="72"/>
      <c r="I93" s="73"/>
      <c r="J93" s="74" t="n">
        <f aca="false">D93/(D93+G93)</f>
        <v>0.49343468212992</v>
      </c>
      <c r="K93" s="74"/>
      <c r="L93" s="75"/>
      <c r="M93" s="76"/>
      <c r="N93" s="76"/>
      <c r="O93" s="76"/>
      <c r="P93" s="74"/>
      <c r="Q93" s="74"/>
      <c r="R93" s="71"/>
      <c r="S93" s="71"/>
      <c r="T93" s="72"/>
    </row>
    <row r="95" customFormat="false" ht="15" hidden="false" customHeight="false" outlineLevel="0" collapsed="false">
      <c r="A95" s="2" t="s">
        <v>379</v>
      </c>
      <c r="F95" s="77" t="n">
        <f aca="false">(SUMIF(F2:F90,"&gt;0")-SUMIF(F2:F90,"&lt;0"))/COUNT(F2:F90)</f>
        <v>68.6516853932584</v>
      </c>
    </row>
    <row r="96" customFormat="false" ht="15" hidden="false" customHeight="false" outlineLevel="0" collapsed="false">
      <c r="A96" s="2" t="s">
        <v>380</v>
      </c>
      <c r="F96" s="77" t="n">
        <f aca="false">(SUMIF(I2:I90,"&gt;0")-SUMIF(I2:I90,"&lt;0"))/COUNT(I2:I90)</f>
        <v>53.7640449438202</v>
      </c>
    </row>
    <row r="97" customFormat="false" ht="15" hidden="false" customHeight="false" outlineLevel="0" collapsed="false">
      <c r="A97" s="2" t="s">
        <v>381</v>
      </c>
      <c r="F97" s="78" t="n">
        <f aca="false">(SUMIF(L2:L90,"&gt;0")-SUMIF(L2:L90,"&lt;0"))/COUNT(L2:L90)</f>
        <v>1.23670803511039</v>
      </c>
    </row>
    <row r="98" customFormat="false" ht="15" hidden="false" customHeight="false" outlineLevel="0" collapsed="false">
      <c r="A98" s="5" t="s">
        <v>382</v>
      </c>
      <c r="F98" s="79" t="n">
        <f aca="false">SQRT(SUMSQ(L2:L90)/COUNT(L2:L90))</f>
        <v>1.68019860535572</v>
      </c>
    </row>
    <row r="99" customFormat="false" ht="15" hidden="false" customHeight="false" outlineLevel="0" collapsed="false">
      <c r="A99" s="5" t="s">
        <v>383</v>
      </c>
      <c r="F99" s="80" t="n">
        <f aca="false">L92</f>
        <v>-0.152953929556954</v>
      </c>
    </row>
    <row r="100" customFormat="false" ht="15" hidden="false" customHeight="false" outlineLevel="0" collapsed="false">
      <c r="A100" s="5" t="s">
        <v>384</v>
      </c>
      <c r="F100" s="79" t="n">
        <f aca="false">SQRT((SUMSQ(L2:L90)-2*L92*SUM(L2:L90)+COUNT(L2:L90)*L92^2)/COUNT(L2:L90))</f>
        <v>1.64164893764056</v>
      </c>
    </row>
    <row r="101" customFormat="false" ht="15" hidden="false" customHeight="false" outlineLevel="0" collapsed="false">
      <c r="A101" s="2" t="s">
        <v>385</v>
      </c>
      <c r="F101" s="81" t="n">
        <f aca="false">D92/E92-1</f>
        <v>-0.00850590604430279</v>
      </c>
    </row>
    <row r="102" customFormat="false" ht="15" hidden="false" customHeight="false" outlineLevel="0" collapsed="false">
      <c r="A102" s="5" t="s">
        <v>386</v>
      </c>
      <c r="F102" s="82" t="n">
        <f aca="false">G92/H92-1</f>
        <v>-0.00242036840658266</v>
      </c>
    </row>
    <row r="103" customFormat="false" ht="15" hidden="false" customHeight="false" outlineLevel="0" collapsed="false">
      <c r="A103" s="2" t="s">
        <v>387</v>
      </c>
      <c r="F103" s="81" t="n">
        <f aca="false">(D92+G92)/(E92+H92)-1</f>
        <v>-0.00543249180539229</v>
      </c>
    </row>
    <row r="104" customFormat="false" ht="15" hidden="false" customHeight="false" outlineLevel="0" collapsed="false">
      <c r="A104" s="2" t="s">
        <v>388</v>
      </c>
      <c r="F104" s="78" t="n">
        <f aca="false">AVERAGE(O2:O90)</f>
        <v>4.16637353990133</v>
      </c>
    </row>
    <row r="105" customFormat="false" ht="15" hidden="false" customHeight="false" outlineLevel="0" collapsed="false">
      <c r="A105" s="5" t="s">
        <v>389</v>
      </c>
      <c r="F105" s="83" t="n">
        <f aca="false">COUNTIF(R2:R90,"Yes")/(COUNTIF(R2:R90,"Yes")+COUNTIF(R2:R90,"No"))</f>
        <v>0.98876404494382</v>
      </c>
    </row>
    <row r="106" customFormat="false" ht="15" hidden="false" customHeight="false" outlineLevel="0" collapsed="false">
      <c r="A106" s="5" t="s">
        <v>390</v>
      </c>
      <c r="F106" s="83" t="n">
        <f aca="false">COUNTIF(S2:S90,"Yes")/(COUNTIF(S2:S90,"Yes")+COUNTIF(S2:S90,"No"))</f>
        <v>1</v>
      </c>
    </row>
    <row r="107" customFormat="false" ht="15" hidden="false" customHeight="false" outlineLevel="0" collapsed="false">
      <c r="A107" s="2" t="s">
        <v>391</v>
      </c>
      <c r="F107" s="84" t="n">
        <f aca="false">COUNTIFS(L2:L90,"&gt;=-3",L2:L90,"&lt;=3")/COUNT(L2:L90)</f>
        <v>0.898876404494382</v>
      </c>
    </row>
    <row r="108" customFormat="false" ht="15" hidden="false" customHeight="false" outlineLevel="0" collapsed="false">
      <c r="A108" s="2" t="s">
        <v>392</v>
      </c>
      <c r="F108" s="85" t="n">
        <f aca="false">COUNT(E2:E90)</f>
        <v>89</v>
      </c>
    </row>
    <row r="109" customFormat="false" ht="15" hidden="false" customHeight="false" outlineLevel="0" collapsed="false">
      <c r="A109" s="2" t="s">
        <v>393</v>
      </c>
      <c r="F109" s="85" t="n">
        <f aca="false">COUNTA(A2:A90)</f>
        <v>89</v>
      </c>
    </row>
    <row r="110" customFormat="false" ht="15" hidden="false" customHeight="false" outlineLevel="0" collapsed="false">
      <c r="A110" s="5" t="s">
        <v>394</v>
      </c>
    </row>
    <row r="111" customFormat="false" ht="15" hidden="false" customHeight="false" outlineLevel="0" collapsed="false">
      <c r="A111" s="2" t="s">
        <v>395</v>
      </c>
      <c r="F111" s="86" t="n">
        <f aca="false">((D92+G92)-(E92+H92))*K92</f>
        <v>-1084.46660914325</v>
      </c>
    </row>
    <row r="112" customFormat="false" ht="15" hidden="false" customHeight="false" outlineLevel="0" collapsed="false">
      <c r="A112" s="2" t="s">
        <v>396</v>
      </c>
      <c r="F112" s="86" t="n">
        <f aca="false">F92-((D92+G92)-(E92+H92))*K92</f>
        <v>-613.533390856752</v>
      </c>
    </row>
    <row r="113" customFormat="false" ht="15" hidden="false" customHeight="false" outlineLevel="0" collapsed="false">
      <c r="A113" s="2" t="s">
        <v>397</v>
      </c>
      <c r="F113" s="86" t="n">
        <f aca="false">((D92+G92)-(E92+H92))*(1-K92)</f>
        <v>-1106.53339085675</v>
      </c>
    </row>
    <row r="114" customFormat="false" ht="15" hidden="false" customHeight="false" outlineLevel="0" collapsed="false">
      <c r="A114" s="2" t="s">
        <v>398</v>
      </c>
      <c r="F114" s="86" t="n">
        <f aca="false">I92-((D92+G92)-(E92+H92))*(1-K92)</f>
        <v>613.533390856752</v>
      </c>
    </row>
    <row r="115" customFormat="false" ht="15" hidden="false" customHeight="false" outlineLevel="0" collapsed="false">
      <c r="A115" s="2" t="s">
        <v>399</v>
      </c>
      <c r="F115" s="81" t="n">
        <f aca="false">(F92-((D92+G92)-(E92+H92))*K92)/E92</f>
        <v>-0.00307341423891052</v>
      </c>
    </row>
    <row r="116" customFormat="false" ht="15" hidden="false" customHeight="false" outlineLevel="0" collapsed="false">
      <c r="A116" s="2" t="s">
        <v>400</v>
      </c>
      <c r="F116" s="81" t="n">
        <f aca="false">(I92-((D92+G92)-(E92+H92))*(1-K92))/H92</f>
        <v>0.00301212339880971</v>
      </c>
    </row>
    <row r="118" customFormat="false" ht="15" hidden="false" customHeight="false" outlineLevel="0" collapsed="false">
      <c r="U118" s="5" t="s">
        <v>139</v>
      </c>
    </row>
    <row r="119" customFormat="false" ht="28.35" hidden="false" customHeight="false" outlineLevel="0" collapsed="false">
      <c r="U119" s="68" t="s">
        <v>401</v>
      </c>
    </row>
    <row r="120" customFormat="false" ht="15" hidden="false" customHeight="false" outlineLevel="0" collapsed="false">
      <c r="U120" s="68" t="s">
        <v>402</v>
      </c>
    </row>
    <row r="121" customFormat="false" ht="15" hidden="false" customHeight="false" outlineLevel="0" collapsed="false">
      <c r="U121" s="68" t="s">
        <v>403</v>
      </c>
    </row>
    <row r="122" customFormat="false" ht="15" hidden="false" customHeight="false" outlineLevel="0" collapsed="false">
      <c r="U122" s="68" t="s">
        <v>404</v>
      </c>
    </row>
    <row r="123" customFormat="false" ht="41.75" hidden="false" customHeight="false" outlineLevel="0" collapsed="false">
      <c r="U123" s="68" t="s">
        <v>405</v>
      </c>
    </row>
    <row r="124" customFormat="false" ht="28.35" hidden="false" customHeight="false" outlineLevel="0" collapsed="false">
      <c r="U124" s="68" t="s">
        <v>406</v>
      </c>
    </row>
    <row r="125" customFormat="false" ht="28.35" hidden="false" customHeight="false" outlineLevel="0" collapsed="false">
      <c r="U125" s="68" t="s">
        <v>407</v>
      </c>
    </row>
    <row r="126" customFormat="false" ht="41.75" hidden="false" customHeight="false" outlineLevel="0" collapsed="false">
      <c r="U126" s="68" t="s">
        <v>408</v>
      </c>
    </row>
    <row r="127" customFormat="false" ht="15" hidden="false" customHeight="false" outlineLevel="0" collapsed="false">
      <c r="U127" s="68" t="s">
        <v>409</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360</v>
      </c>
      <c r="E1" s="8" t="s">
        <v>361</v>
      </c>
      <c r="F1" s="8" t="s">
        <v>362</v>
      </c>
      <c r="G1" s="8" t="s">
        <v>363</v>
      </c>
      <c r="H1" s="8" t="s">
        <v>364</v>
      </c>
      <c r="I1" s="8" t="s">
        <v>365</v>
      </c>
      <c r="J1" s="8" t="s">
        <v>366</v>
      </c>
      <c r="K1" s="8" t="s">
        <v>367</v>
      </c>
      <c r="L1" s="8" t="s">
        <v>368</v>
      </c>
      <c r="M1" s="8" t="s">
        <v>369</v>
      </c>
      <c r="N1" s="8" t="s">
        <v>370</v>
      </c>
      <c r="O1" s="8" t="s">
        <v>142</v>
      </c>
      <c r="P1" s="8" t="s">
        <v>371</v>
      </c>
      <c r="Q1" s="8" t="s">
        <v>372</v>
      </c>
      <c r="R1" s="8" t="s">
        <v>373</v>
      </c>
      <c r="S1" s="8" t="s">
        <v>374</v>
      </c>
      <c r="T1" s="8" t="s">
        <v>375</v>
      </c>
      <c r="U1" s="8" t="s">
        <v>376</v>
      </c>
    </row>
    <row r="2" customFormat="false" ht="15" hidden="false" customHeight="false" outlineLevel="0" collapsed="false">
      <c r="A2" s="32" t="s">
        <v>162</v>
      </c>
      <c r="B2" s="32" t="s">
        <v>163</v>
      </c>
      <c r="C2" s="32" t="s">
        <v>164</v>
      </c>
      <c r="D2" s="60" t="n">
        <v>163</v>
      </c>
      <c r="E2" s="60" t="n">
        <v>181</v>
      </c>
      <c r="F2" s="69" t="n">
        <f aca="false">IF(E2="","",D2-E2)</f>
        <v>-18</v>
      </c>
      <c r="G2" s="60" t="n">
        <v>275</v>
      </c>
      <c r="H2" s="60" t="n">
        <v>285</v>
      </c>
      <c r="I2" s="69" t="n">
        <f aca="false">IF(H2="","",G2-H2)</f>
        <v>-10</v>
      </c>
      <c r="J2" s="40" t="n">
        <f aca="false">IF(OR(D2="",D2+G2=0),"",D2/(D2+G2))</f>
        <v>0.372146118721461</v>
      </c>
      <c r="K2" s="40" t="n">
        <f aca="false">IF(E2="","",E2/(E2+H2))</f>
        <v>0.388412017167382</v>
      </c>
      <c r="L2" s="70" t="n">
        <f aca="false">IF(OR(K2="",J2=""),"",(J2-K2)*100)</f>
        <v>-1.62658984459208</v>
      </c>
      <c r="M2" s="36" t="n">
        <v>4.29619773844154</v>
      </c>
      <c r="N2" s="36" t="n">
        <v>2.59365293598209</v>
      </c>
      <c r="O2" s="36" t="n">
        <f aca="false">SQRT(M2^2+N2^2)</f>
        <v>5.01840119561188</v>
      </c>
      <c r="P2" s="40" t="n">
        <f aca="false">IF(J2="","",MAX(0,J2-1.96*O2/100))</f>
        <v>0.273785455287468</v>
      </c>
      <c r="Q2" s="40" t="n">
        <f aca="false">IF(J2="","",MIN(1,J2+1.96*O2/100))</f>
        <v>0.470506782155454</v>
      </c>
      <c r="R2" s="32" t="str">
        <f aca="false">IF(L2="","",IF(ABS(L2)&lt;=O2,"Yes","No"))</f>
        <v>Yes</v>
      </c>
      <c r="S2" s="32" t="str">
        <f aca="false">IF(L2="","",IF(ABS(L2)&lt;=1.96*O2,"Yes","No"))</f>
        <v>Yes</v>
      </c>
      <c r="T2" s="60" t="n">
        <f aca="false">IF(D2="","",ROUND(SQRT(((D2+G2)*O2/100)^2+(J2*(D2+G2)*0.07859)^2),0))</f>
        <v>25</v>
      </c>
      <c r="U2" s="32"/>
    </row>
    <row r="3" customFormat="false" ht="15" hidden="false" customHeight="false" outlineLevel="0" collapsed="false">
      <c r="A3" s="32" t="s">
        <v>162</v>
      </c>
      <c r="B3" s="32" t="s">
        <v>168</v>
      </c>
      <c r="C3" s="32" t="s">
        <v>164</v>
      </c>
      <c r="D3" s="60" t="n">
        <v>109</v>
      </c>
      <c r="E3" s="60" t="n">
        <v>118</v>
      </c>
      <c r="F3" s="69" t="n">
        <f aca="false">IF(E3="","",D3-E3)</f>
        <v>-9</v>
      </c>
      <c r="G3" s="60" t="n">
        <v>295</v>
      </c>
      <c r="H3" s="60" t="n">
        <v>300</v>
      </c>
      <c r="I3" s="69" t="n">
        <f aca="false">IF(H3="","",G3-H3)</f>
        <v>-5</v>
      </c>
      <c r="J3" s="40" t="n">
        <f aca="false">IF(OR(D3="",D3+G3=0),"",D3/(D3+G3))</f>
        <v>0.26980198019802</v>
      </c>
      <c r="K3" s="40" t="n">
        <f aca="false">IF(E3="","",E3/(E3+H3))</f>
        <v>0.282296650717703</v>
      </c>
      <c r="L3" s="70" t="n">
        <f aca="false">IF(OR(K3="",J3=""),"",(J3-K3)*100)</f>
        <v>-1.24946705196835</v>
      </c>
      <c r="M3" s="36" t="n">
        <v>4.29619773844154</v>
      </c>
      <c r="N3" s="36" t="n">
        <v>2.59365293598209</v>
      </c>
      <c r="O3" s="36" t="n">
        <f aca="false">SQRT(M3^2+N3^2)</f>
        <v>5.01840119561188</v>
      </c>
      <c r="P3" s="40" t="n">
        <f aca="false">IF(J3="","",MAX(0,J3-1.96*O3/100))</f>
        <v>0.171441316764027</v>
      </c>
      <c r="Q3" s="40" t="n">
        <f aca="false">IF(J3="","",MIN(1,J3+1.96*O3/100))</f>
        <v>0.368162643632013</v>
      </c>
      <c r="R3" s="32" t="str">
        <f aca="false">IF(L3="","",IF(ABS(L3)&lt;=O3,"Yes","No"))</f>
        <v>Yes</v>
      </c>
      <c r="S3" s="32" t="str">
        <f aca="false">IF(L3="","",IF(ABS(L3)&lt;=1.96*O3,"Yes","No"))</f>
        <v>Yes</v>
      </c>
      <c r="T3" s="60" t="n">
        <f aca="false">IF(D3="","",ROUND(SQRT(((D3+G3)*O3/100)^2+(J3*(D3+G3)*0.07859)^2),0))</f>
        <v>22</v>
      </c>
      <c r="U3" s="32"/>
    </row>
    <row r="4" customFormat="false" ht="15" hidden="false" customHeight="false" outlineLevel="0" collapsed="false">
      <c r="A4" s="32" t="s">
        <v>162</v>
      </c>
      <c r="B4" s="32" t="s">
        <v>169</v>
      </c>
      <c r="C4" s="32" t="s">
        <v>164</v>
      </c>
      <c r="D4" s="60" t="n">
        <v>132</v>
      </c>
      <c r="E4" s="60" t="n">
        <v>144</v>
      </c>
      <c r="F4" s="69" t="n">
        <f aca="false">IF(E4="","",D4-E4)</f>
        <v>-12</v>
      </c>
      <c r="G4" s="60" t="n">
        <v>271</v>
      </c>
      <c r="H4" s="60" t="n">
        <v>310</v>
      </c>
      <c r="I4" s="69" t="n">
        <f aca="false">IF(H4="","",G4-H4)</f>
        <v>-39</v>
      </c>
      <c r="J4" s="40" t="n">
        <f aca="false">IF(OR(D4="",D4+G4=0),"",D4/(D4+G4))</f>
        <v>0.327543424317618</v>
      </c>
      <c r="K4" s="40" t="n">
        <f aca="false">IF(E4="","",E4/(E4+H4))</f>
        <v>0.317180616740088</v>
      </c>
      <c r="L4" s="70" t="n">
        <f aca="false">IF(OR(K4="",J4=""),"",(J4-K4)*100)</f>
        <v>1.03628075775297</v>
      </c>
      <c r="M4" s="36" t="n">
        <v>4.29619773844154</v>
      </c>
      <c r="N4" s="36" t="n">
        <v>2.59365293598209</v>
      </c>
      <c r="O4" s="36" t="n">
        <f aca="false">SQRT(M4^2+N4^2)</f>
        <v>5.01840119561188</v>
      </c>
      <c r="P4" s="40" t="n">
        <f aca="false">IF(J4="","",MAX(0,J4-1.96*O4/100))</f>
        <v>0.229182760883625</v>
      </c>
      <c r="Q4" s="40" t="n">
        <f aca="false">IF(J4="","",MIN(1,J4+1.96*O4/100))</f>
        <v>0.425904087751611</v>
      </c>
      <c r="R4" s="32" t="str">
        <f aca="false">IF(L4="","",IF(ABS(L4)&lt;=O4,"Yes","No"))</f>
        <v>Yes</v>
      </c>
      <c r="S4" s="32" t="str">
        <f aca="false">IF(L4="","",IF(ABS(L4)&lt;=1.96*O4,"Yes","No"))</f>
        <v>Yes</v>
      </c>
      <c r="T4" s="60" t="n">
        <f aca="false">IF(D4="","",ROUND(SQRT(((D4+G4)*O4/100)^2+(J4*(D4+G4)*0.07859)^2),0))</f>
        <v>23</v>
      </c>
      <c r="U4" s="32"/>
    </row>
    <row r="5" customFormat="false" ht="15" hidden="false" customHeight="false" outlineLevel="0" collapsed="false">
      <c r="A5" s="32" t="s">
        <v>162</v>
      </c>
      <c r="B5" s="32" t="s">
        <v>170</v>
      </c>
      <c r="C5" s="32" t="s">
        <v>164</v>
      </c>
      <c r="D5" s="60" t="n">
        <v>429</v>
      </c>
      <c r="E5" s="60" t="n">
        <v>438</v>
      </c>
      <c r="F5" s="69" t="n">
        <f aca="false">IF(E5="","",D5-E5)</f>
        <v>-9</v>
      </c>
      <c r="G5" s="60" t="n">
        <v>1146</v>
      </c>
      <c r="H5" s="60" t="n">
        <v>1253</v>
      </c>
      <c r="I5" s="69" t="n">
        <f aca="false">IF(H5="","",G5-H5)</f>
        <v>-107</v>
      </c>
      <c r="J5" s="40" t="n">
        <f aca="false">IF(OR(D5="",D5+G5=0),"",D5/(D5+G5))</f>
        <v>0.272380952380952</v>
      </c>
      <c r="K5" s="40" t="n">
        <f aca="false">IF(E5="","",E5/(E5+H5))</f>
        <v>0.259018332347723</v>
      </c>
      <c r="L5" s="70" t="n">
        <f aca="false">IF(OR(K5="",J5=""),"",(J5-K5)*100)</f>
        <v>1.33626200332291</v>
      </c>
      <c r="M5" s="36" t="n">
        <v>2.57405307541446</v>
      </c>
      <c r="N5" s="36" t="n">
        <v>2.59365293598209</v>
      </c>
      <c r="O5" s="36" t="n">
        <f aca="false">SQRT(M5^2+N5^2)</f>
        <v>3.65414624603055</v>
      </c>
      <c r="P5" s="40" t="n">
        <f aca="false">IF(J5="","",MAX(0,J5-1.96*O5/100))</f>
        <v>0.200759685958754</v>
      </c>
      <c r="Q5" s="40" t="n">
        <f aca="false">IF(J5="","",MIN(1,J5+1.96*O5/100))</f>
        <v>0.344002218803151</v>
      </c>
      <c r="R5" s="32" t="str">
        <f aca="false">IF(L5="","",IF(ABS(L5)&lt;=O5,"Yes","No"))</f>
        <v>Yes</v>
      </c>
      <c r="S5" s="32" t="str">
        <f aca="false">IF(L5="","",IF(ABS(L5)&lt;=1.96*O5,"Yes","No"))</f>
        <v>Yes</v>
      </c>
      <c r="T5" s="60" t="n">
        <f aca="false">IF(D5="","",ROUND(SQRT(((D5+G5)*O5/100)^2+(J5*(D5+G5)*0.06092)^2),0))</f>
        <v>63</v>
      </c>
      <c r="U5" s="32"/>
    </row>
    <row r="6" customFormat="false" ht="15" hidden="false" customHeight="false" outlineLevel="0" collapsed="false">
      <c r="A6" s="32" t="s">
        <v>162</v>
      </c>
      <c r="B6" s="32" t="s">
        <v>172</v>
      </c>
      <c r="C6" s="32" t="s">
        <v>164</v>
      </c>
      <c r="D6" s="60" t="n">
        <v>41</v>
      </c>
      <c r="E6" s="60" t="n">
        <v>38</v>
      </c>
      <c r="F6" s="69" t="n">
        <f aca="false">IF(E6="","",D6-E6)</f>
        <v>3</v>
      </c>
      <c r="G6" s="60" t="n">
        <v>71</v>
      </c>
      <c r="H6" s="60" t="n">
        <v>78</v>
      </c>
      <c r="I6" s="69" t="n">
        <f aca="false">IF(H6="","",G6-H6)</f>
        <v>-7</v>
      </c>
      <c r="J6" s="40" t="n">
        <f aca="false">IF(OR(D6="",D6+G6=0),"",D6/(D6+G6))</f>
        <v>0.366071428571429</v>
      </c>
      <c r="K6" s="40" t="n">
        <f aca="false">IF(E6="","",E6/(E6+H6))</f>
        <v>0.327586206896552</v>
      </c>
      <c r="L6" s="70" t="n">
        <f aca="false">IF(OR(K6="",J6=""),"",(J6-K6)*100)</f>
        <v>3.84852216748768</v>
      </c>
      <c r="M6" s="36" t="n">
        <v>4.29619773844154</v>
      </c>
      <c r="N6" s="36" t="n">
        <v>2.59365293598209</v>
      </c>
      <c r="O6" s="36" t="n">
        <f aca="false">SQRT(M6^2+N6^2)</f>
        <v>5.01840119561188</v>
      </c>
      <c r="P6" s="40" t="n">
        <f aca="false">IF(J6="","",MAX(0,J6-1.96*O6/100))</f>
        <v>0.267710765137436</v>
      </c>
      <c r="Q6" s="40" t="n">
        <f aca="false">IF(J6="","",MIN(1,J6+1.96*O6/100))</f>
        <v>0.464432092005421</v>
      </c>
      <c r="R6" s="32" t="str">
        <f aca="false">IF(L6="","",IF(ABS(L6)&lt;=O6,"Yes","No"))</f>
        <v>Yes</v>
      </c>
      <c r="S6" s="32" t="str">
        <f aca="false">IF(L6="","",IF(ABS(L6)&lt;=1.96*O6,"Yes","No"))</f>
        <v>Yes</v>
      </c>
      <c r="T6" s="60" t="n">
        <f aca="false">IF(D6="","",ROUND(SQRT(((D6+G6)*O6/100)^2+(J6*(D6+G6)*0.07859)^2),0))</f>
        <v>6</v>
      </c>
      <c r="U6" s="32"/>
    </row>
    <row r="7" customFormat="false" ht="15" hidden="false" customHeight="false" outlineLevel="0" collapsed="false">
      <c r="A7" s="32" t="s">
        <v>162</v>
      </c>
      <c r="B7" s="32" t="s">
        <v>173</v>
      </c>
      <c r="C7" s="32" t="s">
        <v>164</v>
      </c>
      <c r="D7" s="60" t="n">
        <v>658</v>
      </c>
      <c r="E7" s="60" t="n">
        <v>708</v>
      </c>
      <c r="F7" s="69" t="n">
        <f aca="false">IF(E7="","",D7-E7)</f>
        <v>-50</v>
      </c>
      <c r="G7" s="60" t="n">
        <v>1774</v>
      </c>
      <c r="H7" s="60" t="n">
        <v>1846</v>
      </c>
      <c r="I7" s="69" t="n">
        <f aca="false">IF(H7="","",G7-H7)</f>
        <v>-72</v>
      </c>
      <c r="J7" s="40" t="n">
        <f aca="false">IF(OR(D7="",D7+G7=0),"",D7/(D7+G7))</f>
        <v>0.270559210526316</v>
      </c>
      <c r="K7" s="40" t="n">
        <f aca="false">IF(E7="","",E7/(E7+H7))</f>
        <v>0.277212216131558</v>
      </c>
      <c r="L7" s="70" t="n">
        <f aca="false">IF(OR(K7="",J7=""),"",(J7-K7)*100)</f>
        <v>-0.665300560524257</v>
      </c>
      <c r="M7" s="36" t="n">
        <v>2.57405307541446</v>
      </c>
      <c r="N7" s="36" t="n">
        <v>2.59365293598209</v>
      </c>
      <c r="O7" s="36" t="n">
        <f aca="false">SQRT(M7^2+N7^2)</f>
        <v>3.65414624603055</v>
      </c>
      <c r="P7" s="40" t="n">
        <f aca="false">IF(J7="","",MAX(0,J7-1.96*O7/100))</f>
        <v>0.198937944104117</v>
      </c>
      <c r="Q7" s="40" t="n">
        <f aca="false">IF(J7="","",MIN(1,J7+1.96*O7/100))</f>
        <v>0.342180476948515</v>
      </c>
      <c r="R7" s="32" t="str">
        <f aca="false">IF(L7="","",IF(ABS(L7)&lt;=O7,"Yes","No"))</f>
        <v>Yes</v>
      </c>
      <c r="S7" s="32" t="str">
        <f aca="false">IF(L7="","",IF(ABS(L7)&lt;=1.96*O7,"Yes","No"))</f>
        <v>Yes</v>
      </c>
      <c r="T7" s="60" t="n">
        <f aca="false">IF(D7="","",ROUND(SQRT(((D7+G7)*O7/100)^2+(J7*(D7+G7)*0.06092)^2),0))</f>
        <v>97</v>
      </c>
      <c r="U7" s="32"/>
    </row>
    <row r="8" customFormat="false" ht="15" hidden="false" customHeight="false" outlineLevel="0" collapsed="false">
      <c r="A8" s="32" t="s">
        <v>162</v>
      </c>
      <c r="B8" s="32" t="s">
        <v>174</v>
      </c>
      <c r="C8" s="32" t="s">
        <v>164</v>
      </c>
      <c r="D8" s="60" t="n">
        <v>1095</v>
      </c>
      <c r="E8" s="60" t="n">
        <v>1104</v>
      </c>
      <c r="F8" s="69" t="n">
        <f aca="false">IF(E8="","",D8-E8)</f>
        <v>-9</v>
      </c>
      <c r="G8" s="60" t="n">
        <v>1330</v>
      </c>
      <c r="H8" s="60" t="n">
        <v>1481</v>
      </c>
      <c r="I8" s="69" t="n">
        <f aca="false">IF(H8="","",G8-H8)</f>
        <v>-151</v>
      </c>
      <c r="J8" s="40" t="n">
        <f aca="false">IF(OR(D8="",D8+G8=0),"",D8/(D8+G8))</f>
        <v>0.451546391752577</v>
      </c>
      <c r="K8" s="40" t="n">
        <f aca="false">IF(E8="","",E8/(E8+H8))</f>
        <v>0.427079303675048</v>
      </c>
      <c r="L8" s="70" t="n">
        <f aca="false">IF(OR(K8="",J8=""),"",(J8-K8)*100)</f>
        <v>2.4467088077529</v>
      </c>
      <c r="M8" s="36" t="n">
        <v>2.57405307541446</v>
      </c>
      <c r="N8" s="36" t="n">
        <v>2.59365293598209</v>
      </c>
      <c r="O8" s="36" t="n">
        <f aca="false">SQRT(M8^2+N8^2)</f>
        <v>3.65414624603055</v>
      </c>
      <c r="P8" s="40" t="n">
        <f aca="false">IF(J8="","",MAX(0,J8-1.96*O8/100))</f>
        <v>0.379925125330379</v>
      </c>
      <c r="Q8" s="40" t="n">
        <f aca="false">IF(J8="","",MIN(1,J8+1.96*O8/100))</f>
        <v>0.523167658174776</v>
      </c>
      <c r="R8" s="32" t="str">
        <f aca="false">IF(L8="","",IF(ABS(L8)&lt;=O8,"Yes","No"))</f>
        <v>Yes</v>
      </c>
      <c r="S8" s="32" t="str">
        <f aca="false">IF(L8="","",IF(ABS(L8)&lt;=1.96*O8,"Yes","No"))</f>
        <v>Yes</v>
      </c>
      <c r="T8" s="60" t="n">
        <f aca="false">IF(D8="","",ROUND(SQRT(((D8+G8)*O8/100)^2+(J8*(D8+G8)*0.06092)^2),0))</f>
        <v>111</v>
      </c>
      <c r="U8" s="32"/>
    </row>
    <row r="9" customFormat="false" ht="15" hidden="false" customHeight="false" outlineLevel="0" collapsed="false">
      <c r="A9" s="32" t="s">
        <v>162</v>
      </c>
      <c r="B9" s="32" t="s">
        <v>175</v>
      </c>
      <c r="C9" s="32" t="s">
        <v>164</v>
      </c>
      <c r="D9" s="60" t="n">
        <v>338</v>
      </c>
      <c r="E9" s="60" t="n">
        <v>351</v>
      </c>
      <c r="F9" s="69" t="n">
        <f aca="false">IF(E9="","",D9-E9)</f>
        <v>-13</v>
      </c>
      <c r="G9" s="60" t="n">
        <v>698</v>
      </c>
      <c r="H9" s="60" t="n">
        <v>697</v>
      </c>
      <c r="I9" s="69" t="n">
        <f aca="false">IF(H9="","",G9-H9)</f>
        <v>1</v>
      </c>
      <c r="J9" s="40" t="n">
        <f aca="false">IF(OR(D9="",D9+G9=0),"",D9/(D9+G9))</f>
        <v>0.326254826254826</v>
      </c>
      <c r="K9" s="40" t="n">
        <f aca="false">IF(E9="","",E9/(E9+H9))</f>
        <v>0.334923664122137</v>
      </c>
      <c r="L9" s="70" t="n">
        <f aca="false">IF(OR(K9="",J9=""),"",(J9-K9)*100)</f>
        <v>-0.866883786731115</v>
      </c>
      <c r="M9" s="36" t="n">
        <v>4.29619773844154</v>
      </c>
      <c r="N9" s="36" t="n">
        <v>2.59365293598209</v>
      </c>
      <c r="O9" s="36" t="n">
        <f aca="false">SQRT(M9^2+N9^2)</f>
        <v>5.01840119561188</v>
      </c>
      <c r="P9" s="40" t="n">
        <f aca="false">IF(J9="","",MAX(0,J9-1.96*O9/100))</f>
        <v>0.227894162820833</v>
      </c>
      <c r="Q9" s="40" t="n">
        <f aca="false">IF(J9="","",MIN(1,J9+1.96*O9/100))</f>
        <v>0.424615489688819</v>
      </c>
      <c r="R9" s="32" t="str">
        <f aca="false">IF(L9="","",IF(ABS(L9)&lt;=O9,"Yes","No"))</f>
        <v>Yes</v>
      </c>
      <c r="S9" s="32" t="str">
        <f aca="false">IF(L9="","",IF(ABS(L9)&lt;=1.96*O9,"Yes","No"))</f>
        <v>Yes</v>
      </c>
      <c r="T9" s="60" t="n">
        <f aca="false">IF(D9="","",ROUND(SQRT(((D9+G9)*O9/100)^2+(J9*(D9+G9)*0.07859)^2),0))</f>
        <v>58</v>
      </c>
      <c r="U9" s="32"/>
    </row>
    <row r="10" customFormat="false" ht="15" hidden="false" customHeight="false" outlineLevel="0" collapsed="false">
      <c r="A10" s="32" t="s">
        <v>162</v>
      </c>
      <c r="B10" s="32" t="s">
        <v>176</v>
      </c>
      <c r="C10" s="32" t="s">
        <v>164</v>
      </c>
      <c r="D10" s="60" t="n">
        <v>583</v>
      </c>
      <c r="E10" s="60" t="n">
        <v>575</v>
      </c>
      <c r="F10" s="69" t="n">
        <f aca="false">IF(E10="","",D10-E10)</f>
        <v>8</v>
      </c>
      <c r="G10" s="60" t="n">
        <v>826</v>
      </c>
      <c r="H10" s="60" t="n">
        <v>880</v>
      </c>
      <c r="I10" s="69" t="n">
        <f aca="false">IF(H10="","",G10-H10)</f>
        <v>-54</v>
      </c>
      <c r="J10" s="40" t="n">
        <f aca="false">IF(OR(D10="",D10+G10=0),"",D10/(D10+G10))</f>
        <v>0.413768630234209</v>
      </c>
      <c r="K10" s="40" t="n">
        <f aca="false">IF(E10="","",E10/(E10+H10))</f>
        <v>0.395189003436426</v>
      </c>
      <c r="L10" s="70" t="n">
        <f aca="false">IF(OR(K10="",J10=""),"",(J10-K10)*100)</f>
        <v>1.85796267977826</v>
      </c>
      <c r="M10" s="36" t="n">
        <v>4.29619773844154</v>
      </c>
      <c r="N10" s="36" t="n">
        <v>2.59365293598209</v>
      </c>
      <c r="O10" s="36" t="n">
        <f aca="false">SQRT(M10^2+N10^2)</f>
        <v>5.01840119561188</v>
      </c>
      <c r="P10" s="40" t="n">
        <f aca="false">IF(J10="","",MAX(0,J10-1.96*O10/100))</f>
        <v>0.315407966800216</v>
      </c>
      <c r="Q10" s="40" t="n">
        <f aca="false">IF(J10="","",MIN(1,J10+1.96*O10/100))</f>
        <v>0.512129293668202</v>
      </c>
      <c r="R10" s="32" t="str">
        <f aca="false">IF(L10="","",IF(ABS(L10)&lt;=O10,"Yes","No"))</f>
        <v>Yes</v>
      </c>
      <c r="S10" s="32" t="str">
        <f aca="false">IF(L10="","",IF(ABS(L10)&lt;=1.96*O10,"Yes","No"))</f>
        <v>Yes</v>
      </c>
      <c r="T10" s="60" t="n">
        <f aca="false">IF(D10="","",ROUND(SQRT(((D10+G10)*O10/100)^2+(J10*(D10+G10)*0.07859)^2),0))</f>
        <v>84</v>
      </c>
      <c r="U10" s="32"/>
    </row>
    <row r="11" customFormat="false" ht="15" hidden="false" customHeight="false" outlineLevel="0" collapsed="false">
      <c r="A11" s="32" t="s">
        <v>162</v>
      </c>
      <c r="B11" s="32" t="s">
        <v>177</v>
      </c>
      <c r="C11" s="32" t="s">
        <v>164</v>
      </c>
      <c r="D11" s="60" t="n">
        <v>43</v>
      </c>
      <c r="E11" s="60" t="n">
        <v>38</v>
      </c>
      <c r="F11" s="69" t="n">
        <f aca="false">IF(E11="","",D11-E11)</f>
        <v>5</v>
      </c>
      <c r="G11" s="60" t="n">
        <v>96</v>
      </c>
      <c r="H11" s="60" t="n">
        <v>107</v>
      </c>
      <c r="I11" s="69" t="n">
        <f aca="false">IF(H11="","",G11-H11)</f>
        <v>-11</v>
      </c>
      <c r="J11" s="40" t="n">
        <f aca="false">IF(OR(D11="",D11+G11=0),"",D11/(D11+G11))</f>
        <v>0.309352517985612</v>
      </c>
      <c r="K11" s="40" t="n">
        <f aca="false">IF(E11="","",E11/(E11+H11))</f>
        <v>0.262068965517241</v>
      </c>
      <c r="L11" s="70" t="n">
        <f aca="false">IF(OR(K11="",J11=""),"",(J11-K11)*100)</f>
        <v>4.72835524683701</v>
      </c>
      <c r="M11" s="36" t="n">
        <v>4.29619773844154</v>
      </c>
      <c r="N11" s="36" t="n">
        <v>2.59365293598209</v>
      </c>
      <c r="O11" s="36" t="n">
        <f aca="false">SQRT(M11^2+N11^2)</f>
        <v>5.01840119561188</v>
      </c>
      <c r="P11" s="40" t="n">
        <f aca="false">IF(J11="","",MAX(0,J11-1.96*O11/100))</f>
        <v>0.210991854551619</v>
      </c>
      <c r="Q11" s="40" t="n">
        <f aca="false">IF(J11="","",MIN(1,J11+1.96*O11/100))</f>
        <v>0.407713181419604</v>
      </c>
      <c r="R11" s="32" t="str">
        <f aca="false">IF(L11="","",IF(ABS(L11)&lt;=O11,"Yes","No"))</f>
        <v>Yes</v>
      </c>
      <c r="S11" s="32" t="str">
        <f aca="false">IF(L11="","",IF(ABS(L11)&lt;=1.96*O11,"Yes","No"))</f>
        <v>Yes</v>
      </c>
      <c r="T11" s="60" t="n">
        <f aca="false">IF(D11="","",ROUND(SQRT(((D11+G11)*O11/100)^2+(J11*(D11+G11)*0.07859)^2),0))</f>
        <v>8</v>
      </c>
      <c r="U11" s="32"/>
    </row>
    <row r="12" customFormat="false" ht="15" hidden="false" customHeight="false" outlineLevel="0" collapsed="false">
      <c r="A12" s="32" t="s">
        <v>162</v>
      </c>
      <c r="B12" s="32" t="s">
        <v>178</v>
      </c>
      <c r="C12" s="32" t="s">
        <v>164</v>
      </c>
      <c r="D12" s="60" t="n">
        <v>50</v>
      </c>
      <c r="E12" s="60" t="n">
        <v>58</v>
      </c>
      <c r="F12" s="69" t="n">
        <f aca="false">IF(E12="","",D12-E12)</f>
        <v>-8</v>
      </c>
      <c r="G12" s="60" t="n">
        <v>214</v>
      </c>
      <c r="H12" s="60" t="n">
        <v>216</v>
      </c>
      <c r="I12" s="69" t="n">
        <f aca="false">IF(H12="","",G12-H12)</f>
        <v>-2</v>
      </c>
      <c r="J12" s="40" t="n">
        <f aca="false">IF(OR(D12="",D12+G12=0),"",D12/(D12+G12))</f>
        <v>0.189393939393939</v>
      </c>
      <c r="K12" s="40" t="n">
        <f aca="false">IF(E12="","",E12/(E12+H12))</f>
        <v>0.211678832116788</v>
      </c>
      <c r="L12" s="70" t="n">
        <f aca="false">IF(OR(K12="",J12=""),"",(J12-K12)*100)</f>
        <v>-2.22848927228489</v>
      </c>
      <c r="M12" s="36" t="n">
        <v>4.29619773844154</v>
      </c>
      <c r="N12" s="36" t="n">
        <v>2.59365293598209</v>
      </c>
      <c r="O12" s="36" t="n">
        <f aca="false">SQRT(M12^2+N12^2)</f>
        <v>5.01840119561188</v>
      </c>
      <c r="P12" s="40" t="n">
        <f aca="false">IF(J12="","",MAX(0,J12-1.96*O12/100))</f>
        <v>0.0910332759599466</v>
      </c>
      <c r="Q12" s="40" t="n">
        <f aca="false">IF(J12="","",MIN(1,J12+1.96*O12/100))</f>
        <v>0.287754602827932</v>
      </c>
      <c r="R12" s="32" t="str">
        <f aca="false">IF(L12="","",IF(ABS(L12)&lt;=O12,"Yes","No"))</f>
        <v>Yes</v>
      </c>
      <c r="S12" s="32" t="str">
        <f aca="false">IF(L12="","",IF(ABS(L12)&lt;=1.96*O12,"Yes","No"))</f>
        <v>Yes</v>
      </c>
      <c r="T12" s="60" t="n">
        <f aca="false">IF(D12="","",ROUND(SQRT(((D12+G12)*O12/100)^2+(J12*(D12+G12)*0.07859)^2),0))</f>
        <v>14</v>
      </c>
      <c r="U12" s="32"/>
    </row>
    <row r="13" customFormat="false" ht="15" hidden="false" customHeight="false" outlineLevel="0" collapsed="false">
      <c r="A13" s="32" t="s">
        <v>162</v>
      </c>
      <c r="B13" s="32" t="s">
        <v>179</v>
      </c>
      <c r="C13" s="32" t="s">
        <v>164</v>
      </c>
      <c r="D13" s="60" t="n">
        <v>900</v>
      </c>
      <c r="E13" s="60" t="n">
        <v>944</v>
      </c>
      <c r="F13" s="69" t="n">
        <f aca="false">IF(E13="","",D13-E13)</f>
        <v>-44</v>
      </c>
      <c r="G13" s="60" t="n">
        <v>1364</v>
      </c>
      <c r="H13" s="60" t="n">
        <v>1486</v>
      </c>
      <c r="I13" s="69" t="n">
        <f aca="false">IF(H13="","",G13-H13)</f>
        <v>-122</v>
      </c>
      <c r="J13" s="40" t="n">
        <f aca="false">IF(OR(D13="",D13+G13=0),"",D13/(D13+G13))</f>
        <v>0.397526501766784</v>
      </c>
      <c r="K13" s="40" t="n">
        <f aca="false">IF(E13="","",E13/(E13+H13))</f>
        <v>0.388477366255144</v>
      </c>
      <c r="L13" s="70" t="n">
        <f aca="false">IF(OR(K13="",J13=""),"",(J13-K13)*100)</f>
        <v>0.904913551164044</v>
      </c>
      <c r="M13" s="36" t="n">
        <v>2.57405307541446</v>
      </c>
      <c r="N13" s="36" t="n">
        <v>2.59365293598209</v>
      </c>
      <c r="O13" s="36" t="n">
        <f aca="false">SQRT(M13^2+N13^2)</f>
        <v>3.65414624603055</v>
      </c>
      <c r="P13" s="40" t="n">
        <f aca="false">IF(J13="","",MAX(0,J13-1.96*O13/100))</f>
        <v>0.325905235344586</v>
      </c>
      <c r="Q13" s="40" t="n">
        <f aca="false">IF(J13="","",MIN(1,J13+1.96*O13/100))</f>
        <v>0.469147768188983</v>
      </c>
      <c r="R13" s="32" t="str">
        <f aca="false">IF(L13="","",IF(ABS(L13)&lt;=O13,"Yes","No"))</f>
        <v>Yes</v>
      </c>
      <c r="S13" s="32" t="str">
        <f aca="false">IF(L13="","",IF(ABS(L13)&lt;=1.96*O13,"Yes","No"))</f>
        <v>Yes</v>
      </c>
      <c r="T13" s="60" t="n">
        <f aca="false">IF(D13="","",ROUND(SQRT(((D13+G13)*O13/100)^2+(J13*(D13+G13)*0.06092)^2),0))</f>
        <v>99</v>
      </c>
      <c r="U13" s="32"/>
    </row>
    <row r="14" customFormat="false" ht="15" hidden="false" customHeight="false" outlineLevel="0" collapsed="false">
      <c r="A14" s="32" t="s">
        <v>162</v>
      </c>
      <c r="B14" s="32" t="s">
        <v>180</v>
      </c>
      <c r="C14" s="32" t="s">
        <v>164</v>
      </c>
      <c r="D14" s="60" t="n">
        <v>519</v>
      </c>
      <c r="E14" s="60" t="n">
        <v>515</v>
      </c>
      <c r="F14" s="69" t="n">
        <f aca="false">IF(E14="","",D14-E14)</f>
        <v>4</v>
      </c>
      <c r="G14" s="60" t="n">
        <v>1162</v>
      </c>
      <c r="H14" s="60" t="n">
        <v>1293</v>
      </c>
      <c r="I14" s="69" t="n">
        <f aca="false">IF(H14="","",G14-H14)</f>
        <v>-131</v>
      </c>
      <c r="J14" s="40" t="n">
        <f aca="false">IF(OR(D14="",D14+G14=0),"",D14/(D14+G14))</f>
        <v>0.308744794765021</v>
      </c>
      <c r="K14" s="40" t="n">
        <f aca="false">IF(E14="","",E14/(E14+H14))</f>
        <v>0.284845132743363</v>
      </c>
      <c r="L14" s="70" t="n">
        <f aca="false">IF(OR(K14="",J14=""),"",(J14-K14)*100)</f>
        <v>2.3899662021658</v>
      </c>
      <c r="M14" s="36" t="n">
        <v>2.57405307541446</v>
      </c>
      <c r="N14" s="36" t="n">
        <v>2.59365293598209</v>
      </c>
      <c r="O14" s="36" t="n">
        <f aca="false">SQRT(M14^2+N14^2)</f>
        <v>3.65414624603055</v>
      </c>
      <c r="P14" s="40" t="n">
        <f aca="false">IF(J14="","",MAX(0,J14-1.96*O14/100))</f>
        <v>0.237123528342822</v>
      </c>
      <c r="Q14" s="40" t="n">
        <f aca="false">IF(J14="","",MIN(1,J14+1.96*O14/100))</f>
        <v>0.38036606118722</v>
      </c>
      <c r="R14" s="32" t="str">
        <f aca="false">IF(L14="","",IF(ABS(L14)&lt;=O14,"Yes","No"))</f>
        <v>Yes</v>
      </c>
      <c r="S14" s="32" t="str">
        <f aca="false">IF(L14="","",IF(ABS(L14)&lt;=1.96*O14,"Yes","No"))</f>
        <v>Yes</v>
      </c>
      <c r="T14" s="60" t="n">
        <f aca="false">IF(D14="","",ROUND(SQRT(((D14+G14)*O14/100)^2+(J14*(D14+G14)*0.06092)^2),0))</f>
        <v>69</v>
      </c>
      <c r="U14" s="32"/>
    </row>
    <row r="15" customFormat="false" ht="15" hidden="false" customHeight="false" outlineLevel="0" collapsed="false">
      <c r="A15" s="32" t="s">
        <v>162</v>
      </c>
      <c r="B15" s="32" t="s">
        <v>181</v>
      </c>
      <c r="C15" s="32" t="s">
        <v>164</v>
      </c>
      <c r="D15" s="60" t="n">
        <v>627</v>
      </c>
      <c r="E15" s="60" t="n">
        <v>694</v>
      </c>
      <c r="F15" s="69" t="n">
        <f aca="false">IF(E15="","",D15-E15)</f>
        <v>-67</v>
      </c>
      <c r="G15" s="60" t="n">
        <v>1562</v>
      </c>
      <c r="H15" s="60" t="n">
        <v>1695</v>
      </c>
      <c r="I15" s="69" t="n">
        <f aca="false">IF(H15="","",G15-H15)</f>
        <v>-133</v>
      </c>
      <c r="J15" s="40" t="n">
        <f aca="false">IF(OR(D15="",D15+G15=0),"",D15/(D15+G15))</f>
        <v>0.28643216080402</v>
      </c>
      <c r="K15" s="40" t="n">
        <f aca="false">IF(E15="","",E15/(E15+H15))</f>
        <v>0.290498116366681</v>
      </c>
      <c r="L15" s="70" t="n">
        <f aca="false">IF(OR(K15="",J15=""),"",(J15-K15)*100)</f>
        <v>-0.406595556266048</v>
      </c>
      <c r="M15" s="36" t="n">
        <v>2.57405307541446</v>
      </c>
      <c r="N15" s="36" t="n">
        <v>2.59365293598209</v>
      </c>
      <c r="O15" s="36" t="n">
        <f aca="false">SQRT(M15^2+N15^2)</f>
        <v>3.65414624603055</v>
      </c>
      <c r="P15" s="40" t="n">
        <f aca="false">IF(J15="","",MAX(0,J15-1.96*O15/100))</f>
        <v>0.214810894381821</v>
      </c>
      <c r="Q15" s="40" t="n">
        <f aca="false">IF(J15="","",MIN(1,J15+1.96*O15/100))</f>
        <v>0.358053427226219</v>
      </c>
      <c r="R15" s="32" t="str">
        <f aca="false">IF(L15="","",IF(ABS(L15)&lt;=O15,"Yes","No"))</f>
        <v>Yes</v>
      </c>
      <c r="S15" s="32" t="str">
        <f aca="false">IF(L15="","",IF(ABS(L15)&lt;=1.96*O15,"Yes","No"))</f>
        <v>Yes</v>
      </c>
      <c r="T15" s="60" t="n">
        <f aca="false">IF(D15="","",ROUND(SQRT(((D15+G15)*O15/100)^2+(J15*(D15+G15)*0.06092)^2),0))</f>
        <v>89</v>
      </c>
      <c r="U15" s="32"/>
    </row>
    <row r="16" customFormat="false" ht="15" hidden="false" customHeight="false" outlineLevel="0" collapsed="false">
      <c r="A16" s="32" t="s">
        <v>162</v>
      </c>
      <c r="B16" s="32" t="s">
        <v>182</v>
      </c>
      <c r="C16" s="32" t="s">
        <v>164</v>
      </c>
      <c r="D16" s="60" t="n">
        <v>591</v>
      </c>
      <c r="E16" s="60" t="n">
        <v>601</v>
      </c>
      <c r="F16" s="69" t="n">
        <f aca="false">IF(E16="","",D16-E16)</f>
        <v>-10</v>
      </c>
      <c r="G16" s="60" t="n">
        <v>865</v>
      </c>
      <c r="H16" s="60" t="n">
        <v>955</v>
      </c>
      <c r="I16" s="69" t="n">
        <f aca="false">IF(H16="","",G16-H16)</f>
        <v>-90</v>
      </c>
      <c r="J16" s="40" t="n">
        <f aca="false">IF(OR(D16="",D16+G16=0),"",D16/(D16+G16))</f>
        <v>0.405906593406593</v>
      </c>
      <c r="K16" s="40" t="n">
        <f aca="false">IF(E16="","",E16/(E16+H16))</f>
        <v>0.386246786632391</v>
      </c>
      <c r="L16" s="70" t="n">
        <f aca="false">IF(OR(K16="",J16=""),"",(J16-K16)*100)</f>
        <v>1.96598067742026</v>
      </c>
      <c r="M16" s="36" t="n">
        <v>4.29619773844154</v>
      </c>
      <c r="N16" s="36" t="n">
        <v>2.59365293598209</v>
      </c>
      <c r="O16" s="36" t="n">
        <f aca="false">SQRT(M16^2+N16^2)</f>
        <v>5.01840119561188</v>
      </c>
      <c r="P16" s="40" t="n">
        <f aca="false">IF(J16="","",MAX(0,J16-1.96*O16/100))</f>
        <v>0.307545929972601</v>
      </c>
      <c r="Q16" s="40" t="n">
        <f aca="false">IF(J16="","",MIN(1,J16+1.96*O16/100))</f>
        <v>0.504267256840586</v>
      </c>
      <c r="R16" s="32" t="str">
        <f aca="false">IF(L16="","",IF(ABS(L16)&lt;=O16,"Yes","No"))</f>
        <v>Yes</v>
      </c>
      <c r="S16" s="32" t="str">
        <f aca="false">IF(L16="","",IF(ABS(L16)&lt;=1.96*O16,"Yes","No"))</f>
        <v>Yes</v>
      </c>
      <c r="T16" s="60" t="n">
        <f aca="false">IF(D16="","",ROUND(SQRT(((D16+G16)*O16/100)^2+(J16*(D16+G16)*0.07859)^2),0))</f>
        <v>87</v>
      </c>
      <c r="U16" s="32"/>
    </row>
    <row r="17" customFormat="false" ht="15" hidden="false" customHeight="false" outlineLevel="0" collapsed="false">
      <c r="A17" s="32" t="s">
        <v>162</v>
      </c>
      <c r="B17" s="32" t="s">
        <v>183</v>
      </c>
      <c r="C17" s="32" t="s">
        <v>164</v>
      </c>
      <c r="D17" s="60" t="n">
        <v>109</v>
      </c>
      <c r="E17" s="60" t="n">
        <v>134</v>
      </c>
      <c r="F17" s="69" t="n">
        <f aca="false">IF(E17="","",D17-E17)</f>
        <v>-25</v>
      </c>
      <c r="G17" s="60" t="n">
        <v>486</v>
      </c>
      <c r="H17" s="60" t="n">
        <v>505</v>
      </c>
      <c r="I17" s="69" t="n">
        <f aca="false">IF(H17="","",G17-H17)</f>
        <v>-19</v>
      </c>
      <c r="J17" s="40" t="n">
        <f aca="false">IF(OR(D17="",D17+G17=0),"",D17/(D17+G17))</f>
        <v>0.183193277310924</v>
      </c>
      <c r="K17" s="40" t="n">
        <f aca="false">IF(E17="","",E17/(E17+H17))</f>
        <v>0.209702660406886</v>
      </c>
      <c r="L17" s="70" t="n">
        <f aca="false">IF(OR(K17="",J17=""),"",(J17-K17)*100)</f>
        <v>-2.65093830959614</v>
      </c>
      <c r="M17" s="36" t="n">
        <v>4.29619773844154</v>
      </c>
      <c r="N17" s="36" t="n">
        <v>2.59365293598209</v>
      </c>
      <c r="O17" s="36" t="n">
        <f aca="false">SQRT(M17^2+N17^2)</f>
        <v>5.01840119561188</v>
      </c>
      <c r="P17" s="40" t="n">
        <f aca="false">IF(J17="","",MAX(0,J17-1.96*O17/100))</f>
        <v>0.0848326138769315</v>
      </c>
      <c r="Q17" s="40" t="n">
        <f aca="false">IF(J17="","",MIN(1,J17+1.96*O17/100))</f>
        <v>0.281553940744917</v>
      </c>
      <c r="R17" s="32" t="str">
        <f aca="false">IF(L17="","",IF(ABS(L17)&lt;=O17,"Yes","No"))</f>
        <v>Yes</v>
      </c>
      <c r="S17" s="32" t="str">
        <f aca="false">IF(L17="","",IF(ABS(L17)&lt;=1.96*O17,"Yes","No"))</f>
        <v>Yes</v>
      </c>
      <c r="T17" s="60" t="n">
        <f aca="false">IF(D17="","",ROUND(SQRT(((D17+G17)*O17/100)^2+(J17*(D17+G17)*0.07859)^2),0))</f>
        <v>31</v>
      </c>
      <c r="U17" s="32"/>
    </row>
    <row r="18" customFormat="false" ht="15" hidden="false" customHeight="false" outlineLevel="0" collapsed="false">
      <c r="A18" s="32" t="s">
        <v>162</v>
      </c>
      <c r="B18" s="32" t="s">
        <v>184</v>
      </c>
      <c r="C18" s="32" t="s">
        <v>164</v>
      </c>
      <c r="D18" s="60" t="n">
        <v>922</v>
      </c>
      <c r="E18" s="60" t="n">
        <v>981</v>
      </c>
      <c r="F18" s="69" t="n">
        <f aca="false">IF(E18="","",D18-E18)</f>
        <v>-59</v>
      </c>
      <c r="G18" s="60" t="n">
        <v>1638</v>
      </c>
      <c r="H18" s="60" t="n">
        <v>1740</v>
      </c>
      <c r="I18" s="69" t="n">
        <f aca="false">IF(H18="","",G18-H18)</f>
        <v>-102</v>
      </c>
      <c r="J18" s="40" t="n">
        <f aca="false">IF(OR(D18="",D18+G18=0),"",D18/(D18+G18))</f>
        <v>0.36015625</v>
      </c>
      <c r="K18" s="40" t="n">
        <f aca="false">IF(E18="","",E18/(E18+H18))</f>
        <v>0.360529217199559</v>
      </c>
      <c r="L18" s="70" t="n">
        <f aca="false">IF(OR(K18="",J18=""),"",(J18-K18)*100)</f>
        <v>-0.0372967199558982</v>
      </c>
      <c r="M18" s="36" t="n">
        <v>2.57405307541446</v>
      </c>
      <c r="N18" s="36" t="n">
        <v>2.59365293598209</v>
      </c>
      <c r="O18" s="36" t="n">
        <f aca="false">SQRT(M18^2+N18^2)</f>
        <v>3.65414624603055</v>
      </c>
      <c r="P18" s="40" t="n">
        <f aca="false">IF(J18="","",MAX(0,J18-1.96*O18/100))</f>
        <v>0.288534983577801</v>
      </c>
      <c r="Q18" s="40" t="n">
        <f aca="false">IF(J18="","",MIN(1,J18+1.96*O18/100))</f>
        <v>0.431777516422199</v>
      </c>
      <c r="R18" s="32" t="str">
        <f aca="false">IF(L18="","",IF(ABS(L18)&lt;=O18,"Yes","No"))</f>
        <v>Yes</v>
      </c>
      <c r="S18" s="32" t="str">
        <f aca="false">IF(L18="","",IF(ABS(L18)&lt;=1.96*O18,"Yes","No"))</f>
        <v>Yes</v>
      </c>
      <c r="T18" s="60" t="n">
        <f aca="false">IF(D18="","",ROUND(SQRT(((D18+G18)*O18/100)^2+(J18*(D18+G18)*0.06092)^2),0))</f>
        <v>109</v>
      </c>
      <c r="U18" s="32"/>
    </row>
    <row r="19" customFormat="false" ht="15" hidden="false" customHeight="false" outlineLevel="0" collapsed="false">
      <c r="A19" s="32" t="s">
        <v>162</v>
      </c>
      <c r="B19" s="32" t="s">
        <v>185</v>
      </c>
      <c r="C19" s="32" t="s">
        <v>164</v>
      </c>
      <c r="D19" s="60" t="n">
        <v>58</v>
      </c>
      <c r="E19" s="60" t="n">
        <v>74</v>
      </c>
      <c r="F19" s="69" t="n">
        <f aca="false">IF(E19="","",D19-E19)</f>
        <v>-16</v>
      </c>
      <c r="G19" s="60" t="n">
        <v>157</v>
      </c>
      <c r="H19" s="60" t="n">
        <v>162</v>
      </c>
      <c r="I19" s="69" t="n">
        <f aca="false">IF(H19="","",G19-H19)</f>
        <v>-5</v>
      </c>
      <c r="J19" s="40" t="n">
        <f aca="false">IF(OR(D19="",D19+G19=0),"",D19/(D19+G19))</f>
        <v>0.269767441860465</v>
      </c>
      <c r="K19" s="40" t="n">
        <f aca="false">IF(E19="","",E19/(E19+H19))</f>
        <v>0.313559322033898</v>
      </c>
      <c r="L19" s="70" t="n">
        <f aca="false">IF(OR(K19="",J19=""),"",(J19-K19)*100)</f>
        <v>-4.37918801734332</v>
      </c>
      <c r="M19" s="36" t="n">
        <v>4.29619773844154</v>
      </c>
      <c r="N19" s="36" t="n">
        <v>2.59365293598209</v>
      </c>
      <c r="O19" s="36" t="n">
        <f aca="false">SQRT(M19^2+N19^2)</f>
        <v>5.01840119561188</v>
      </c>
      <c r="P19" s="40" t="n">
        <f aca="false">IF(J19="","",MAX(0,J19-1.96*O19/100))</f>
        <v>0.171406778426472</v>
      </c>
      <c r="Q19" s="40" t="n">
        <f aca="false">IF(J19="","",MIN(1,J19+1.96*O19/100))</f>
        <v>0.368128105294458</v>
      </c>
      <c r="R19" s="32" t="str">
        <f aca="false">IF(L19="","",IF(ABS(L19)&lt;=O19,"Yes","No"))</f>
        <v>Yes</v>
      </c>
      <c r="S19" s="32" t="str">
        <f aca="false">IF(L19="","",IF(ABS(L19)&lt;=1.96*O19,"Yes","No"))</f>
        <v>Yes</v>
      </c>
      <c r="T19" s="60" t="n">
        <f aca="false">IF(D19="","",ROUND(SQRT(((D19+G19)*O19/100)^2+(J19*(D19+G19)*0.07859)^2),0))</f>
        <v>12</v>
      </c>
      <c r="U19" s="32"/>
    </row>
    <row r="20" customFormat="false" ht="15" hidden="false" customHeight="false" outlineLevel="0" collapsed="false">
      <c r="A20" s="32" t="s">
        <v>162</v>
      </c>
      <c r="B20" s="32" t="s">
        <v>186</v>
      </c>
      <c r="C20" s="32" t="s">
        <v>164</v>
      </c>
      <c r="D20" s="60" t="n">
        <v>1876</v>
      </c>
      <c r="E20" s="60" t="n">
        <v>2047</v>
      </c>
      <c r="F20" s="69" t="n">
        <f aca="false">IF(E20="","",D20-E20)</f>
        <v>-171</v>
      </c>
      <c r="G20" s="60" t="n">
        <v>3357</v>
      </c>
      <c r="H20" s="60" t="n">
        <v>3702</v>
      </c>
      <c r="I20" s="69" t="n">
        <f aca="false">IF(H20="","",G20-H20)</f>
        <v>-345</v>
      </c>
      <c r="J20" s="40" t="n">
        <f aca="false">IF(OR(D20="",D20+G20=0),"",D20/(D20+G20))</f>
        <v>0.358494171603287</v>
      </c>
      <c r="K20" s="40" t="n">
        <f aca="false">IF(E20="","",E20/(E20+H20))</f>
        <v>0.356061923812837</v>
      </c>
      <c r="L20" s="70" t="n">
        <f aca="false">IF(OR(K20="",J20=""),"",(J20-K20)*100)</f>
        <v>0.243224779044982</v>
      </c>
      <c r="M20" s="36" t="n">
        <v>2.03161354936355</v>
      </c>
      <c r="N20" s="36" t="n">
        <v>2.59365293598209</v>
      </c>
      <c r="O20" s="36" t="n">
        <f aca="false">SQRT(M20^2+N20^2)</f>
        <v>3.29461517726822</v>
      </c>
      <c r="P20" s="40" t="n">
        <f aca="false">IF(J20="","",MAX(0,J20-1.96*O20/100))</f>
        <v>0.29391971412883</v>
      </c>
      <c r="Q20" s="40" t="n">
        <f aca="false">IF(J20="","",MIN(1,J20+1.96*O20/100))</f>
        <v>0.423068629077744</v>
      </c>
      <c r="R20" s="32" t="str">
        <f aca="false">IF(L20="","",IF(ABS(L20)&lt;=O20,"Yes","No"))</f>
        <v>Yes</v>
      </c>
      <c r="S20" s="32" t="str">
        <f aca="false">IF(L20="","",IF(ABS(L20)&lt;=1.96*O20,"Yes","No"))</f>
        <v>Yes</v>
      </c>
      <c r="T20" s="60" t="n">
        <f aca="false">IF(D20="","",ROUND(SQRT(((D20+G20)*O20/100)^2+(J20*(D20+G20)*0.05464)^2),0))</f>
        <v>201</v>
      </c>
      <c r="U20" s="32"/>
    </row>
    <row r="21" customFormat="false" ht="15" hidden="false" customHeight="false" outlineLevel="0" collapsed="false">
      <c r="A21" s="32" t="s">
        <v>162</v>
      </c>
      <c r="B21" s="32" t="s">
        <v>188</v>
      </c>
      <c r="C21" s="32" t="s">
        <v>164</v>
      </c>
      <c r="D21" s="60" t="n">
        <v>657</v>
      </c>
      <c r="E21" s="60" t="n">
        <v>660</v>
      </c>
      <c r="F21" s="69" t="n">
        <f aca="false">IF(E21="","",D21-E21)</f>
        <v>-3</v>
      </c>
      <c r="G21" s="60" t="n">
        <v>881</v>
      </c>
      <c r="H21" s="60" t="n">
        <v>913</v>
      </c>
      <c r="I21" s="69" t="n">
        <f aca="false">IF(H21="","",G21-H21)</f>
        <v>-32</v>
      </c>
      <c r="J21" s="40" t="n">
        <f aca="false">IF(OR(D21="",D21+G21=0),"",D21/(D21+G21))</f>
        <v>0.427178153446034</v>
      </c>
      <c r="K21" s="40" t="n">
        <f aca="false">IF(E21="","",E21/(E21+H21))</f>
        <v>0.41958041958042</v>
      </c>
      <c r="L21" s="70" t="n">
        <f aca="false">IF(OR(K21="",J21=""),"",(J21-K21)*100)</f>
        <v>0.759773386561424</v>
      </c>
      <c r="M21" s="36" t="n">
        <v>4.29619773844154</v>
      </c>
      <c r="N21" s="36" t="n">
        <v>2.59365293598209</v>
      </c>
      <c r="O21" s="36" t="n">
        <f aca="false">SQRT(M21^2+N21^2)</f>
        <v>5.01840119561188</v>
      </c>
      <c r="P21" s="40" t="n">
        <f aca="false">IF(J21="","",MAX(0,J21-1.96*O21/100))</f>
        <v>0.328817490012041</v>
      </c>
      <c r="Q21" s="40" t="n">
        <f aca="false">IF(J21="","",MIN(1,J21+1.96*O21/100))</f>
        <v>0.525538816880027</v>
      </c>
      <c r="R21" s="32" t="str">
        <f aca="false">IF(L21="","",IF(ABS(L21)&lt;=O21,"Yes","No"))</f>
        <v>Yes</v>
      </c>
      <c r="S21" s="32" t="str">
        <f aca="false">IF(L21="","",IF(ABS(L21)&lt;=1.96*O21,"Yes","No"))</f>
        <v>Yes</v>
      </c>
      <c r="T21" s="60" t="n">
        <f aca="false">IF(D21="","",ROUND(SQRT(((D21+G21)*O21/100)^2+(J21*(D21+G21)*0.07859)^2),0))</f>
        <v>93</v>
      </c>
      <c r="U21" s="32"/>
    </row>
    <row r="22" customFormat="false" ht="15" hidden="false" customHeight="false" outlineLevel="0" collapsed="false">
      <c r="A22" s="32" t="s">
        <v>162</v>
      </c>
      <c r="B22" s="32" t="s">
        <v>189</v>
      </c>
      <c r="C22" s="32" t="s">
        <v>164</v>
      </c>
      <c r="D22" s="60" t="n">
        <v>719</v>
      </c>
      <c r="E22" s="60" t="n">
        <v>802</v>
      </c>
      <c r="F22" s="69" t="n">
        <f aca="false">IF(E22="","",D22-E22)</f>
        <v>-83</v>
      </c>
      <c r="G22" s="60" t="n">
        <v>1925</v>
      </c>
      <c r="H22" s="60" t="n">
        <v>1955</v>
      </c>
      <c r="I22" s="69" t="n">
        <f aca="false">IF(H22="","",G22-H22)</f>
        <v>-30</v>
      </c>
      <c r="J22" s="40" t="n">
        <f aca="false">IF(OR(D22="",D22+G22=0),"",D22/(D22+G22))</f>
        <v>0.271936459909228</v>
      </c>
      <c r="K22" s="40" t="n">
        <f aca="false">IF(E22="","",E22/(E22+H22))</f>
        <v>0.290895901342038</v>
      </c>
      <c r="L22" s="70" t="n">
        <f aca="false">IF(OR(K22="",J22=""),"",(J22-K22)*100)</f>
        <v>-1.895944143281</v>
      </c>
      <c r="M22" s="36" t="n">
        <v>2.57405307541446</v>
      </c>
      <c r="N22" s="36" t="n">
        <v>2.59365293598209</v>
      </c>
      <c r="O22" s="36" t="n">
        <f aca="false">SQRT(M22^2+N22^2)</f>
        <v>3.65414624603055</v>
      </c>
      <c r="P22" s="40" t="n">
        <f aca="false">IF(J22="","",MAX(0,J22-1.96*O22/100))</f>
        <v>0.20031519348703</v>
      </c>
      <c r="Q22" s="40" t="n">
        <f aca="false">IF(J22="","",MIN(1,J22+1.96*O22/100))</f>
        <v>0.343557726331427</v>
      </c>
      <c r="R22" s="32" t="str">
        <f aca="false">IF(L22="","",IF(ABS(L22)&lt;=O22,"Yes","No"))</f>
        <v>Yes</v>
      </c>
      <c r="S22" s="32" t="str">
        <f aca="false">IF(L22="","",IF(ABS(L22)&lt;=1.96*O22,"Yes","No"))</f>
        <v>Yes</v>
      </c>
      <c r="T22" s="60" t="n">
        <f aca="false">IF(D22="","",ROUND(SQRT(((D22+G22)*O22/100)^2+(J22*(D22+G22)*0.06092)^2),0))</f>
        <v>106</v>
      </c>
      <c r="U22" s="32"/>
    </row>
    <row r="23" customFormat="false" ht="15" hidden="false" customHeight="false" outlineLevel="0" collapsed="false">
      <c r="A23" s="32" t="s">
        <v>162</v>
      </c>
      <c r="B23" s="32" t="s">
        <v>190</v>
      </c>
      <c r="C23" s="32" t="s">
        <v>164</v>
      </c>
      <c r="D23" s="60" t="n">
        <v>326</v>
      </c>
      <c r="E23" s="60" t="n">
        <v>351</v>
      </c>
      <c r="F23" s="69" t="n">
        <f aca="false">IF(E23="","",D23-E23)</f>
        <v>-25</v>
      </c>
      <c r="G23" s="60" t="n">
        <v>863</v>
      </c>
      <c r="H23" s="60" t="n">
        <v>849</v>
      </c>
      <c r="I23" s="69" t="n">
        <f aca="false">IF(H23="","",G23-H23)</f>
        <v>14</v>
      </c>
      <c r="J23" s="40" t="n">
        <f aca="false">IF(OR(D23="",D23+G23=0),"",D23/(D23+G23))</f>
        <v>0.274179983179142</v>
      </c>
      <c r="K23" s="40" t="n">
        <f aca="false">IF(E23="","",E23/(E23+H23))</f>
        <v>0.2925</v>
      </c>
      <c r="L23" s="70" t="n">
        <f aca="false">IF(OR(K23="",J23=""),"",(J23-K23)*100)</f>
        <v>-1.83200168208578</v>
      </c>
      <c r="M23" s="36" t="n">
        <v>4.29619773844154</v>
      </c>
      <c r="N23" s="36" t="n">
        <v>2.59365293598209</v>
      </c>
      <c r="O23" s="36" t="n">
        <f aca="false">SQRT(M23^2+N23^2)</f>
        <v>5.01840119561188</v>
      </c>
      <c r="P23" s="40" t="n">
        <f aca="false">IF(J23="","",MAX(0,J23-1.96*O23/100))</f>
        <v>0.175819319745149</v>
      </c>
      <c r="Q23" s="40" t="n">
        <f aca="false">IF(J23="","",MIN(1,J23+1.96*O23/100))</f>
        <v>0.372540646613135</v>
      </c>
      <c r="R23" s="32" t="str">
        <f aca="false">IF(L23="","",IF(ABS(L23)&lt;=O23,"Yes","No"))</f>
        <v>Yes</v>
      </c>
      <c r="S23" s="32" t="str">
        <f aca="false">IF(L23="","",IF(ABS(L23)&lt;=1.96*O23,"Yes","No"))</f>
        <v>Yes</v>
      </c>
      <c r="T23" s="60" t="n">
        <f aca="false">IF(D23="","",ROUND(SQRT(((D23+G23)*O23/100)^2+(J23*(D23+G23)*0.07859)^2),0))</f>
        <v>65</v>
      </c>
      <c r="U23" s="32"/>
    </row>
    <row r="24" customFormat="false" ht="15" hidden="false" customHeight="false" outlineLevel="0" collapsed="false">
      <c r="A24" s="32" t="s">
        <v>162</v>
      </c>
      <c r="B24" s="32" t="s">
        <v>191</v>
      </c>
      <c r="C24" s="32" t="s">
        <v>164</v>
      </c>
      <c r="D24" s="60" t="n">
        <v>55</v>
      </c>
      <c r="E24" s="60" t="n">
        <v>58</v>
      </c>
      <c r="F24" s="69" t="n">
        <f aca="false">IF(E24="","",D24-E24)</f>
        <v>-3</v>
      </c>
      <c r="G24" s="60" t="n">
        <v>88</v>
      </c>
      <c r="H24" s="60" t="n">
        <v>105</v>
      </c>
      <c r="I24" s="69" t="n">
        <f aca="false">IF(H24="","",G24-H24)</f>
        <v>-17</v>
      </c>
      <c r="J24" s="40" t="n">
        <f aca="false">IF(OR(D24="",D24+G24=0),"",D24/(D24+G24))</f>
        <v>0.384615384615385</v>
      </c>
      <c r="K24" s="40" t="n">
        <f aca="false">IF(E24="","",E24/(E24+H24))</f>
        <v>0.355828220858896</v>
      </c>
      <c r="L24" s="70" t="n">
        <f aca="false">IF(OR(K24="",J24=""),"",(J24-K24)*100)</f>
        <v>2.87871637564889</v>
      </c>
      <c r="M24" s="36" t="n">
        <v>4.29619773844154</v>
      </c>
      <c r="N24" s="36" t="n">
        <v>2.59365293598209</v>
      </c>
      <c r="O24" s="36" t="n">
        <f aca="false">SQRT(M24^2+N24^2)</f>
        <v>5.01840119561188</v>
      </c>
      <c r="P24" s="40" t="n">
        <f aca="false">IF(J24="","",MAX(0,J24-1.96*O24/100))</f>
        <v>0.286254721181392</v>
      </c>
      <c r="Q24" s="40" t="n">
        <f aca="false">IF(J24="","",MIN(1,J24+1.96*O24/100))</f>
        <v>0.482976048049377</v>
      </c>
      <c r="R24" s="32" t="str">
        <f aca="false">IF(L24="","",IF(ABS(L24)&lt;=O24,"Yes","No"))</f>
        <v>Yes</v>
      </c>
      <c r="S24" s="32" t="str">
        <f aca="false">IF(L24="","",IF(ABS(L24)&lt;=1.96*O24,"Yes","No"))</f>
        <v>Yes</v>
      </c>
      <c r="T24" s="60" t="n">
        <f aca="false">IF(D24="","",ROUND(SQRT(((D24+G24)*O24/100)^2+(J24*(D24+G24)*0.07859)^2),0))</f>
        <v>8</v>
      </c>
      <c r="U24" s="32"/>
    </row>
    <row r="25" customFormat="false" ht="15" hidden="false" customHeight="false" outlineLevel="0" collapsed="false">
      <c r="A25" s="32" t="s">
        <v>192</v>
      </c>
      <c r="B25" s="32" t="s">
        <v>193</v>
      </c>
      <c r="C25" s="32" t="s">
        <v>164</v>
      </c>
      <c r="D25" s="60" t="n">
        <v>675</v>
      </c>
      <c r="E25" s="60" t="n">
        <v>601</v>
      </c>
      <c r="F25" s="69" t="n">
        <f aca="false">IF(E25="","",D25-E25)</f>
        <v>74</v>
      </c>
      <c r="G25" s="60" t="n">
        <v>739</v>
      </c>
      <c r="H25" s="60" t="n">
        <v>766</v>
      </c>
      <c r="I25" s="69" t="n">
        <f aca="false">IF(H25="","",G25-H25)</f>
        <v>-27</v>
      </c>
      <c r="J25" s="40" t="n">
        <f aca="false">IF(OR(D25="",D25+G25=0),"",D25/(D25+G25))</f>
        <v>0.477369165487977</v>
      </c>
      <c r="K25" s="40" t="n">
        <f aca="false">IF(E25="","",E25/(E25+H25))</f>
        <v>0.439648866130212</v>
      </c>
      <c r="L25" s="70" t="n">
        <f aca="false">IF(OR(K25="",J25=""),"",(J25-K25)*100)</f>
        <v>3.77202993577652</v>
      </c>
      <c r="M25" s="36" t="n">
        <v>4.29619773844154</v>
      </c>
      <c r="N25" s="36" t="n">
        <v>2.59365293598209</v>
      </c>
      <c r="O25" s="36" t="n">
        <f aca="false">SQRT(M25^2+N25^2)</f>
        <v>5.01840119561188</v>
      </c>
      <c r="P25" s="40" t="n">
        <f aca="false">IF(J25="","",MAX(0,J25-1.96*O25/100))</f>
        <v>0.379008502053985</v>
      </c>
      <c r="Q25" s="40" t="n">
        <f aca="false">IF(J25="","",MIN(1,J25+1.96*O25/100))</f>
        <v>0.57572982892197</v>
      </c>
      <c r="R25" s="32" t="str">
        <f aca="false">IF(L25="","",IF(ABS(L25)&lt;=O25,"Yes","No"))</f>
        <v>Yes</v>
      </c>
      <c r="S25" s="32" t="str">
        <f aca="false">IF(L25="","",IF(ABS(L25)&lt;=1.96*O25,"Yes","No"))</f>
        <v>Yes</v>
      </c>
      <c r="T25" s="60" t="n">
        <f aca="false">IF(D25="","",ROUND(SQRT(((D25+G25)*O25/100)^2+(J25*(D25+G25)*0.07859)^2),0))</f>
        <v>89</v>
      </c>
      <c r="U25" s="32"/>
    </row>
    <row r="26" customFormat="false" ht="15" hidden="false" customHeight="false" outlineLevel="0" collapsed="false">
      <c r="A26" s="32" t="s">
        <v>192</v>
      </c>
      <c r="B26" s="32" t="s">
        <v>194</v>
      </c>
      <c r="C26" s="32" t="s">
        <v>164</v>
      </c>
      <c r="D26" s="60" t="n">
        <v>27773</v>
      </c>
      <c r="E26" s="60" t="n">
        <v>26568</v>
      </c>
      <c r="F26" s="69" t="n">
        <f aca="false">IF(E26="","",D26-E26)</f>
        <v>1205</v>
      </c>
      <c r="G26" s="60" t="n">
        <v>13912</v>
      </c>
      <c r="H26" s="60" t="n">
        <v>14583</v>
      </c>
      <c r="I26" s="69" t="n">
        <f aca="false">IF(H26="","",G26-H26)</f>
        <v>-671</v>
      </c>
      <c r="J26" s="40" t="n">
        <f aca="false">IF(OR(D26="",D26+G26=0),"",D26/(D26+G26))</f>
        <v>0.666258846107713</v>
      </c>
      <c r="K26" s="40" t="n">
        <f aca="false">IF(E26="","",E26/(E26+H26))</f>
        <v>0.645622220602172</v>
      </c>
      <c r="L26" s="70" t="n">
        <f aca="false">IF(OR(K26="",J26=""),"",(J26-K26)*100)</f>
        <v>2.06366255055401</v>
      </c>
      <c r="M26" s="36" t="n">
        <v>2.03161354936355</v>
      </c>
      <c r="N26" s="36" t="n">
        <v>2.59365293598209</v>
      </c>
      <c r="O26" s="36" t="n">
        <f aca="false">SQRT(M26^2+N26^2)</f>
        <v>3.29461517726822</v>
      </c>
      <c r="P26" s="40" t="n">
        <f aca="false">IF(J26="","",MAX(0,J26-1.96*O26/100))</f>
        <v>0.601684388633256</v>
      </c>
      <c r="Q26" s="40" t="n">
        <f aca="false">IF(J26="","",MIN(1,J26+1.96*O26/100))</f>
        <v>0.73083330358217</v>
      </c>
      <c r="R26" s="32" t="str">
        <f aca="false">IF(L26="","",IF(ABS(L26)&lt;=O26,"Yes","No"))</f>
        <v>Yes</v>
      </c>
      <c r="S26" s="32" t="str">
        <f aca="false">IF(L26="","",IF(ABS(L26)&lt;=1.96*O26,"Yes","No"))</f>
        <v>Yes</v>
      </c>
      <c r="T26" s="60" t="n">
        <f aca="false">IF(D26="","",ROUND(SQRT(((D26+G26)*O26/100)^2+(J26*(D26+G26)*0.05464)^2),0))</f>
        <v>2047</v>
      </c>
      <c r="U26" s="32"/>
    </row>
    <row r="27" customFormat="false" ht="15" hidden="false" customHeight="false" outlineLevel="0" collapsed="false">
      <c r="A27" s="32" t="s">
        <v>192</v>
      </c>
      <c r="B27" s="32" t="s">
        <v>195</v>
      </c>
      <c r="C27" s="32" t="s">
        <v>164</v>
      </c>
      <c r="D27" s="60" t="n">
        <v>6700</v>
      </c>
      <c r="E27" s="60" t="n">
        <v>6612</v>
      </c>
      <c r="F27" s="69" t="n">
        <f aca="false">IF(E27="","",D27-E27)</f>
        <v>88</v>
      </c>
      <c r="G27" s="60" t="n">
        <v>3940</v>
      </c>
      <c r="H27" s="60" t="n">
        <v>3834</v>
      </c>
      <c r="I27" s="69" t="n">
        <f aca="false">IF(H27="","",G27-H27)</f>
        <v>106</v>
      </c>
      <c r="J27" s="40" t="n">
        <f aca="false">IF(OR(D27="",D27+G27=0),"",D27/(D27+G27))</f>
        <v>0.629699248120301</v>
      </c>
      <c r="K27" s="40" t="n">
        <f aca="false">IF(E27="","",E27/(E27+H27))</f>
        <v>0.632969557725445</v>
      </c>
      <c r="L27" s="70" t="n">
        <f aca="false">IF(OR(K27="",J27=""),"",(J27-K27)*100)</f>
        <v>-0.327030960514441</v>
      </c>
      <c r="M27" s="36" t="n">
        <v>2.03161354936355</v>
      </c>
      <c r="N27" s="36" t="n">
        <v>2.59365293598209</v>
      </c>
      <c r="O27" s="36" t="n">
        <f aca="false">SQRT(M27^2+N27^2)</f>
        <v>3.29461517726822</v>
      </c>
      <c r="P27" s="40" t="n">
        <f aca="false">IF(J27="","",MAX(0,J27-1.96*O27/100))</f>
        <v>0.565124790645844</v>
      </c>
      <c r="Q27" s="40" t="n">
        <f aca="false">IF(J27="","",MIN(1,J27+1.96*O27/100))</f>
        <v>0.694273705594758</v>
      </c>
      <c r="R27" s="32" t="str">
        <f aca="false">IF(L27="","",IF(ABS(L27)&lt;=O27,"Yes","No"))</f>
        <v>Yes</v>
      </c>
      <c r="S27" s="32" t="str">
        <f aca="false">IF(L27="","",IF(ABS(L27)&lt;=1.96*O27,"Yes","No"))</f>
        <v>Yes</v>
      </c>
      <c r="T27" s="60" t="n">
        <f aca="false">IF(D27="","",ROUND(SQRT(((D27+G27)*O27/100)^2+(J27*(D27+G27)*0.05464)^2),0))</f>
        <v>507</v>
      </c>
      <c r="U27" s="32"/>
    </row>
    <row r="28" customFormat="false" ht="15" hidden="false" customHeight="false" outlineLevel="0" collapsed="false">
      <c r="A28" s="32" t="s">
        <v>192</v>
      </c>
      <c r="B28" s="32" t="s">
        <v>196</v>
      </c>
      <c r="C28" s="32" t="s">
        <v>164</v>
      </c>
      <c r="D28" s="60" t="n">
        <v>1585</v>
      </c>
      <c r="E28" s="60" t="n">
        <v>1560</v>
      </c>
      <c r="F28" s="69" t="n">
        <f aca="false">IF(E28="","",D28-E28)</f>
        <v>25</v>
      </c>
      <c r="G28" s="60" t="n">
        <v>1501</v>
      </c>
      <c r="H28" s="60" t="n">
        <v>1491</v>
      </c>
      <c r="I28" s="69" t="n">
        <f aca="false">IF(H28="","",G28-H28)</f>
        <v>10</v>
      </c>
      <c r="J28" s="40" t="n">
        <f aca="false">IF(OR(D28="",D28+G28=0),"",D28/(D28+G28))</f>
        <v>0.513609850939728</v>
      </c>
      <c r="K28" s="40" t="n">
        <f aca="false">IF(E28="","",E28/(E28+H28))</f>
        <v>0.511307767944936</v>
      </c>
      <c r="L28" s="70" t="n">
        <f aca="false">IF(OR(K28="",J28=""),"",(J28-K28)*100)</f>
        <v>0.230208299479173</v>
      </c>
      <c r="M28" s="36" t="n">
        <v>2.57405307541446</v>
      </c>
      <c r="N28" s="36" t="n">
        <v>2.59365293598209</v>
      </c>
      <c r="O28" s="36" t="n">
        <f aca="false">SQRT(M28^2+N28^2)</f>
        <v>3.65414624603055</v>
      </c>
      <c r="P28" s="40" t="n">
        <f aca="false">IF(J28="","",MAX(0,J28-1.96*O28/100))</f>
        <v>0.441988584517529</v>
      </c>
      <c r="Q28" s="40" t="n">
        <f aca="false">IF(J28="","",MIN(1,J28+1.96*O28/100))</f>
        <v>0.585231117361927</v>
      </c>
      <c r="R28" s="32" t="str">
        <f aca="false">IF(L28="","",IF(ABS(L28)&lt;=O28,"Yes","No"))</f>
        <v>Yes</v>
      </c>
      <c r="S28" s="32" t="str">
        <f aca="false">IF(L28="","",IF(ABS(L28)&lt;=1.96*O28,"Yes","No"))</f>
        <v>Yes</v>
      </c>
      <c r="T28" s="60" t="n">
        <f aca="false">IF(D28="","",ROUND(SQRT(((D28+G28)*O28/100)^2+(J28*(D28+G28)*0.06092)^2),0))</f>
        <v>148</v>
      </c>
      <c r="U28" s="32"/>
    </row>
    <row r="29" customFormat="false" ht="15" hidden="false" customHeight="false" outlineLevel="0" collapsed="false">
      <c r="A29" s="32" t="s">
        <v>192</v>
      </c>
      <c r="B29" s="32" t="s">
        <v>197</v>
      </c>
      <c r="C29" s="32" t="s">
        <v>164</v>
      </c>
      <c r="D29" s="60" t="n">
        <v>754</v>
      </c>
      <c r="E29" s="60" t="n">
        <v>735</v>
      </c>
      <c r="F29" s="69" t="n">
        <f aca="false">IF(E29="","",D29-E29)</f>
        <v>19</v>
      </c>
      <c r="G29" s="60" t="n">
        <v>817</v>
      </c>
      <c r="H29" s="60" t="n">
        <v>804</v>
      </c>
      <c r="I29" s="69" t="n">
        <f aca="false">IF(H29="","",G29-H29)</f>
        <v>13</v>
      </c>
      <c r="J29" s="40" t="n">
        <f aca="false">IF(OR(D29="",D29+G29=0),"",D29/(D29+G29))</f>
        <v>0.479949077021006</v>
      </c>
      <c r="K29" s="40" t="n">
        <f aca="false">IF(E29="","",E29/(E29+H29))</f>
        <v>0.477582846003899</v>
      </c>
      <c r="L29" s="70" t="n">
        <f aca="false">IF(OR(K29="",J29=""),"",(J29-K29)*100)</f>
        <v>0.236623101710715</v>
      </c>
      <c r="M29" s="36" t="n">
        <v>2.57405307541446</v>
      </c>
      <c r="N29" s="36" t="n">
        <v>2.59365293598209</v>
      </c>
      <c r="O29" s="36" t="n">
        <f aca="false">SQRT(M29^2+N29^2)</f>
        <v>3.65414624603055</v>
      </c>
      <c r="P29" s="40" t="n">
        <f aca="false">IF(J29="","",MAX(0,J29-1.96*O29/100))</f>
        <v>0.408327810598807</v>
      </c>
      <c r="Q29" s="40" t="n">
        <f aca="false">IF(J29="","",MIN(1,J29+1.96*O29/100))</f>
        <v>0.551570343443205</v>
      </c>
      <c r="R29" s="32" t="str">
        <f aca="false">IF(L29="","",IF(ABS(L29)&lt;=O29,"Yes","No"))</f>
        <v>Yes</v>
      </c>
      <c r="S29" s="32" t="str">
        <f aca="false">IF(L29="","",IF(ABS(L29)&lt;=1.96*O29,"Yes","No"))</f>
        <v>Yes</v>
      </c>
      <c r="T29" s="60" t="n">
        <f aca="false">IF(D29="","",ROUND(SQRT(((D29+G29)*O29/100)^2+(J29*(D29+G29)*0.06092)^2),0))</f>
        <v>74</v>
      </c>
      <c r="U29" s="32"/>
    </row>
    <row r="30" customFormat="false" ht="15" hidden="false" customHeight="false" outlineLevel="0" collapsed="false">
      <c r="A30" s="32" t="s">
        <v>192</v>
      </c>
      <c r="B30" s="32" t="s">
        <v>198</v>
      </c>
      <c r="C30" s="32" t="s">
        <v>164</v>
      </c>
      <c r="D30" s="60" t="n">
        <v>948</v>
      </c>
      <c r="E30" s="60" t="n">
        <v>899</v>
      </c>
      <c r="F30" s="69" t="n">
        <f aca="false">IF(E30="","",D30-E30)</f>
        <v>49</v>
      </c>
      <c r="G30" s="60" t="n">
        <v>889</v>
      </c>
      <c r="H30" s="60" t="n">
        <v>898</v>
      </c>
      <c r="I30" s="69" t="n">
        <f aca="false">IF(H30="","",G30-H30)</f>
        <v>-9</v>
      </c>
      <c r="J30" s="40" t="n">
        <f aca="false">IF(OR(D30="",D30+G30=0),"",D30/(D30+G30))</f>
        <v>0.516058791507893</v>
      </c>
      <c r="K30" s="40" t="n">
        <f aca="false">IF(E30="","",E30/(E30+H30))</f>
        <v>0.500278241513634</v>
      </c>
      <c r="L30" s="70" t="n">
        <f aca="false">IF(OR(K30="",J30=""),"",(J30-K30)*100)</f>
        <v>1.57805499942595</v>
      </c>
      <c r="M30" s="36" t="n">
        <v>2.57405307541446</v>
      </c>
      <c r="N30" s="36" t="n">
        <v>2.59365293598209</v>
      </c>
      <c r="O30" s="36" t="n">
        <f aca="false">SQRT(M30^2+N30^2)</f>
        <v>3.65414624603055</v>
      </c>
      <c r="P30" s="40" t="n">
        <f aca="false">IF(J30="","",MAX(0,J30-1.96*O30/100))</f>
        <v>0.444437525085695</v>
      </c>
      <c r="Q30" s="40" t="n">
        <f aca="false">IF(J30="","",MIN(1,J30+1.96*O30/100))</f>
        <v>0.587680057930092</v>
      </c>
      <c r="R30" s="32" t="str">
        <f aca="false">IF(L30="","",IF(ABS(L30)&lt;=O30,"Yes","No"))</f>
        <v>Yes</v>
      </c>
      <c r="S30" s="32" t="str">
        <f aca="false">IF(L30="","",IF(ABS(L30)&lt;=1.96*O30,"Yes","No"))</f>
        <v>Yes</v>
      </c>
      <c r="T30" s="60" t="n">
        <f aca="false">IF(D30="","",ROUND(SQRT(((D30+G30)*O30/100)^2+(J30*(D30+G30)*0.06092)^2),0))</f>
        <v>89</v>
      </c>
      <c r="U30" s="32"/>
    </row>
    <row r="31" customFormat="false" ht="15" hidden="false" customHeight="false" outlineLevel="0" collapsed="false">
      <c r="A31" s="32" t="s">
        <v>192</v>
      </c>
      <c r="B31" s="32" t="s">
        <v>199</v>
      </c>
      <c r="C31" s="32" t="s">
        <v>164</v>
      </c>
      <c r="D31" s="60" t="n">
        <v>3626</v>
      </c>
      <c r="E31" s="60" t="n">
        <v>3663</v>
      </c>
      <c r="F31" s="69" t="n">
        <f aca="false">IF(E31="","",D31-E31)</f>
        <v>-37</v>
      </c>
      <c r="G31" s="60" t="n">
        <v>3232</v>
      </c>
      <c r="H31" s="60" t="n">
        <v>3236</v>
      </c>
      <c r="I31" s="69" t="n">
        <f aca="false">IF(H31="","",G31-H31)</f>
        <v>-4</v>
      </c>
      <c r="J31" s="40" t="n">
        <f aca="false">IF(OR(D31="",D31+G31=0),"",D31/(D31+G31))</f>
        <v>0.52872557596967</v>
      </c>
      <c r="K31" s="40" t="n">
        <f aca="false">IF(E31="","",E31/(E31+H31))</f>
        <v>0.530946513987535</v>
      </c>
      <c r="L31" s="70" t="n">
        <f aca="false">IF(OR(K31="",J31=""),"",(J31-K31)*100)</f>
        <v>-0.222093801786405</v>
      </c>
      <c r="M31" s="36" t="n">
        <v>2.03161354936355</v>
      </c>
      <c r="N31" s="36" t="n">
        <v>2.59365293598209</v>
      </c>
      <c r="O31" s="36" t="n">
        <f aca="false">SQRT(M31^2+N31^2)</f>
        <v>3.29461517726822</v>
      </c>
      <c r="P31" s="40" t="n">
        <f aca="false">IF(J31="","",MAX(0,J31-1.96*O31/100))</f>
        <v>0.464151118495213</v>
      </c>
      <c r="Q31" s="40" t="n">
        <f aca="false">IF(J31="","",MIN(1,J31+1.96*O31/100))</f>
        <v>0.593300033444127</v>
      </c>
      <c r="R31" s="32" t="str">
        <f aca="false">IF(L31="","",IF(ABS(L31)&lt;=O31,"Yes","No"))</f>
        <v>Yes</v>
      </c>
      <c r="S31" s="32" t="str">
        <f aca="false">IF(L31="","",IF(ABS(L31)&lt;=1.96*O31,"Yes","No"))</f>
        <v>Yes</v>
      </c>
      <c r="T31" s="60" t="n">
        <f aca="false">IF(D31="","",ROUND(SQRT(((D31+G31)*O31/100)^2+(J31*(D31+G31)*0.05464)^2),0))</f>
        <v>301</v>
      </c>
      <c r="U31" s="32"/>
    </row>
    <row r="32" customFormat="false" ht="15" hidden="false" customHeight="false" outlineLevel="0" collapsed="false">
      <c r="A32" s="32" t="s">
        <v>192</v>
      </c>
      <c r="B32" s="32" t="s">
        <v>200</v>
      </c>
      <c r="C32" s="32" t="s">
        <v>164</v>
      </c>
      <c r="D32" s="60" t="n">
        <v>1566</v>
      </c>
      <c r="E32" s="60" t="n">
        <v>1433</v>
      </c>
      <c r="F32" s="69" t="n">
        <f aca="false">IF(E32="","",D32-E32)</f>
        <v>133</v>
      </c>
      <c r="G32" s="60" t="n">
        <v>775</v>
      </c>
      <c r="H32" s="60" t="n">
        <v>793</v>
      </c>
      <c r="I32" s="69" t="n">
        <f aca="false">IF(H32="","",G32-H32)</f>
        <v>-18</v>
      </c>
      <c r="J32" s="40" t="n">
        <f aca="false">IF(OR(D32="",D32+G32=0),"",D32/(D32+G32))</f>
        <v>0.66894489534387</v>
      </c>
      <c r="K32" s="40" t="n">
        <f aca="false">IF(E32="","",E32/(E32+H32))</f>
        <v>0.643755615453729</v>
      </c>
      <c r="L32" s="70" t="n">
        <f aca="false">IF(OR(K32="",J32=""),"",(J32-K32)*100)</f>
        <v>2.51892798901415</v>
      </c>
      <c r="M32" s="36" t="n">
        <v>2.57405307541446</v>
      </c>
      <c r="N32" s="36" t="n">
        <v>2.59365293598209</v>
      </c>
      <c r="O32" s="36" t="n">
        <f aca="false">SQRT(M32^2+N32^2)</f>
        <v>3.65414624603055</v>
      </c>
      <c r="P32" s="40" t="n">
        <f aca="false">IF(J32="","",MAX(0,J32-1.96*O32/100))</f>
        <v>0.597323628921671</v>
      </c>
      <c r="Q32" s="40" t="n">
        <f aca="false">IF(J32="","",MIN(1,J32+1.96*O32/100))</f>
        <v>0.740566161766069</v>
      </c>
      <c r="R32" s="32" t="str">
        <f aca="false">IF(L32="","",IF(ABS(L32)&lt;=O32,"Yes","No"))</f>
        <v>Yes</v>
      </c>
      <c r="S32" s="32" t="str">
        <f aca="false">IF(L32="","",IF(ABS(L32)&lt;=1.96*O32,"Yes","No"))</f>
        <v>Yes</v>
      </c>
      <c r="T32" s="60" t="n">
        <f aca="false">IF(D32="","",ROUND(SQRT(((D32+G32)*O32/100)^2+(J32*(D32+G32)*0.06092)^2),0))</f>
        <v>128</v>
      </c>
      <c r="U32" s="32"/>
    </row>
    <row r="33" customFormat="false" ht="15" hidden="false" customHeight="false" outlineLevel="0" collapsed="false">
      <c r="A33" s="32" t="s">
        <v>192</v>
      </c>
      <c r="B33" s="32" t="s">
        <v>201</v>
      </c>
      <c r="C33" s="32" t="s">
        <v>164</v>
      </c>
      <c r="D33" s="60" t="n">
        <v>401</v>
      </c>
      <c r="E33" s="60" t="n">
        <v>379</v>
      </c>
      <c r="F33" s="69" t="n">
        <f aca="false">IF(E33="","",D33-E33)</f>
        <v>22</v>
      </c>
      <c r="G33" s="60" t="n">
        <v>338</v>
      </c>
      <c r="H33" s="60" t="n">
        <v>330</v>
      </c>
      <c r="I33" s="69" t="n">
        <f aca="false">IF(H33="","",G33-H33)</f>
        <v>8</v>
      </c>
      <c r="J33" s="40" t="n">
        <f aca="false">IF(OR(D33="",D33+G33=0),"",D33/(D33+G33))</f>
        <v>0.542625169147497</v>
      </c>
      <c r="K33" s="40" t="n">
        <f aca="false">IF(E33="","",E33/(E33+H33))</f>
        <v>0.534555712270804</v>
      </c>
      <c r="L33" s="70" t="n">
        <f aca="false">IF(OR(K33="",J33=""),"",(J33-K33)*100)</f>
        <v>0.806945687669269</v>
      </c>
      <c r="M33" s="36" t="n">
        <v>4.29619773844154</v>
      </c>
      <c r="N33" s="36" t="n">
        <v>2.59365293598209</v>
      </c>
      <c r="O33" s="36" t="n">
        <f aca="false">SQRT(M33^2+N33^2)</f>
        <v>5.01840119561188</v>
      </c>
      <c r="P33" s="40" t="n">
        <f aca="false">IF(J33="","",MAX(0,J33-1.96*O33/100))</f>
        <v>0.444264505713504</v>
      </c>
      <c r="Q33" s="40" t="n">
        <f aca="false">IF(J33="","",MIN(1,J33+1.96*O33/100))</f>
        <v>0.640985832581489</v>
      </c>
      <c r="R33" s="32" t="str">
        <f aca="false">IF(L33="","",IF(ABS(L33)&lt;=O33,"Yes","No"))</f>
        <v>Yes</v>
      </c>
      <c r="S33" s="32" t="str">
        <f aca="false">IF(L33="","",IF(ABS(L33)&lt;=1.96*O33,"Yes","No"))</f>
        <v>Yes</v>
      </c>
      <c r="T33" s="60" t="n">
        <f aca="false">IF(D33="","",ROUND(SQRT(((D33+G33)*O33/100)^2+(J33*(D33+G33)*0.07859)^2),0))</f>
        <v>49</v>
      </c>
      <c r="U33" s="32"/>
    </row>
    <row r="34" customFormat="false" ht="15" hidden="false" customHeight="false" outlineLevel="0" collapsed="false">
      <c r="A34" s="32" t="s">
        <v>192</v>
      </c>
      <c r="B34" s="32" t="s">
        <v>202</v>
      </c>
      <c r="C34" s="32" t="s">
        <v>164</v>
      </c>
      <c r="D34" s="60" t="n">
        <v>631</v>
      </c>
      <c r="E34" s="60" t="n">
        <v>654</v>
      </c>
      <c r="F34" s="69" t="n">
        <f aca="false">IF(E34="","",D34-E34)</f>
        <v>-23</v>
      </c>
      <c r="G34" s="60" t="n">
        <v>1423</v>
      </c>
      <c r="H34" s="60" t="n">
        <v>1439</v>
      </c>
      <c r="I34" s="69" t="n">
        <f aca="false">IF(H34="","",G34-H34)</f>
        <v>-16</v>
      </c>
      <c r="J34" s="40" t="n">
        <f aca="false">IF(OR(D34="",D34+G34=0),"",D34/(D34+G34))</f>
        <v>0.307205452775073</v>
      </c>
      <c r="K34" s="40" t="n">
        <f aca="false">IF(E34="","",E34/(E34+H34))</f>
        <v>0.312470138557095</v>
      </c>
      <c r="L34" s="70" t="n">
        <f aca="false">IF(OR(K34="",J34=""),"",(J34-K34)*100)</f>
        <v>-0.526468578202205</v>
      </c>
      <c r="M34" s="36" t="n">
        <v>2.57405307541446</v>
      </c>
      <c r="N34" s="36" t="n">
        <v>2.59365293598209</v>
      </c>
      <c r="O34" s="36" t="n">
        <f aca="false">SQRT(M34^2+N34^2)</f>
        <v>3.65414624603055</v>
      </c>
      <c r="P34" s="40" t="n">
        <f aca="false">IF(J34="","",MAX(0,J34-1.96*O34/100))</f>
        <v>0.235584186352874</v>
      </c>
      <c r="Q34" s="40" t="n">
        <f aca="false">IF(J34="","",MIN(1,J34+1.96*O34/100))</f>
        <v>0.378826719197272</v>
      </c>
      <c r="R34" s="32" t="str">
        <f aca="false">IF(L34="","",IF(ABS(L34)&lt;=O34,"Yes","No"))</f>
        <v>Yes</v>
      </c>
      <c r="S34" s="32" t="str">
        <f aca="false">IF(L34="","",IF(ABS(L34)&lt;=1.96*O34,"Yes","No"))</f>
        <v>Yes</v>
      </c>
      <c r="T34" s="60" t="n">
        <f aca="false">IF(D34="","",ROUND(SQRT(((D34+G34)*O34/100)^2+(J34*(D34+G34)*0.06092)^2),0))</f>
        <v>84</v>
      </c>
      <c r="U34" s="32"/>
    </row>
    <row r="35" customFormat="false" ht="15" hidden="false" customHeight="false" outlineLevel="0" collapsed="false">
      <c r="A35" s="32" t="s">
        <v>192</v>
      </c>
      <c r="B35" s="32" t="s">
        <v>203</v>
      </c>
      <c r="C35" s="32" t="s">
        <v>164</v>
      </c>
      <c r="D35" s="60" t="n">
        <v>10069</v>
      </c>
      <c r="E35" s="60" t="n">
        <v>10021</v>
      </c>
      <c r="F35" s="69" t="n">
        <f aca="false">IF(E35="","",D35-E35)</f>
        <v>48</v>
      </c>
      <c r="G35" s="60" t="n">
        <v>10367</v>
      </c>
      <c r="H35" s="60" t="n">
        <v>10199</v>
      </c>
      <c r="I35" s="69" t="n">
        <f aca="false">IF(H35="","",G35-H35)</f>
        <v>168</v>
      </c>
      <c r="J35" s="40" t="n">
        <f aca="false">IF(OR(D35="",D35+G35=0),"",D35/(D35+G35))</f>
        <v>0.492708944999021</v>
      </c>
      <c r="K35" s="40" t="n">
        <f aca="false">IF(E35="","",E35/(E35+H35))</f>
        <v>0.495598417408506</v>
      </c>
      <c r="L35" s="70" t="n">
        <f aca="false">IF(OR(K35="",J35=""),"",(J35-K35)*100)</f>
        <v>-0.288947240948506</v>
      </c>
      <c r="M35" s="36" t="n">
        <v>2.03161354936355</v>
      </c>
      <c r="N35" s="36" t="n">
        <v>2.59365293598209</v>
      </c>
      <c r="O35" s="36" t="n">
        <f aca="false">SQRT(M35^2+N35^2)</f>
        <v>3.29461517726822</v>
      </c>
      <c r="P35" s="40" t="n">
        <f aca="false">IF(J35="","",MAX(0,J35-1.96*O35/100))</f>
        <v>0.428134487524564</v>
      </c>
      <c r="Q35" s="40" t="n">
        <f aca="false">IF(J35="","",MIN(1,J35+1.96*O35/100))</f>
        <v>0.557283402473478</v>
      </c>
      <c r="R35" s="32" t="str">
        <f aca="false">IF(L35="","",IF(ABS(L35)&lt;=O35,"Yes","No"))</f>
        <v>Yes</v>
      </c>
      <c r="S35" s="32" t="str">
        <f aca="false">IF(L35="","",IF(ABS(L35)&lt;=1.96*O35,"Yes","No"))</f>
        <v>Yes</v>
      </c>
      <c r="T35" s="60" t="n">
        <f aca="false">IF(D35="","",ROUND(SQRT(((D35+G35)*O35/100)^2+(J35*(D35+G35)*0.05464)^2),0))</f>
        <v>869</v>
      </c>
      <c r="U35" s="32"/>
    </row>
    <row r="36" customFormat="false" ht="15" hidden="false" customHeight="false" outlineLevel="0" collapsed="false">
      <c r="A36" s="32" t="s">
        <v>192</v>
      </c>
      <c r="B36" s="32" t="s">
        <v>204</v>
      </c>
      <c r="C36" s="32" t="s">
        <v>164</v>
      </c>
      <c r="D36" s="60" t="n">
        <v>933</v>
      </c>
      <c r="E36" s="60" t="n">
        <v>985</v>
      </c>
      <c r="F36" s="69" t="n">
        <f aca="false">IF(E36="","",D36-E36)</f>
        <v>-52</v>
      </c>
      <c r="G36" s="60" t="n">
        <v>1668</v>
      </c>
      <c r="H36" s="60" t="n">
        <v>1586</v>
      </c>
      <c r="I36" s="69" t="n">
        <f aca="false">IF(H36="","",G36-H36)</f>
        <v>82</v>
      </c>
      <c r="J36" s="40" t="n">
        <f aca="false">IF(OR(D36="",D36+G36=0),"",D36/(D36+G36))</f>
        <v>0.358708189158016</v>
      </c>
      <c r="K36" s="40" t="n">
        <f aca="false">IF(E36="","",E36/(E36+H36))</f>
        <v>0.383119408790354</v>
      </c>
      <c r="L36" s="70" t="n">
        <f aca="false">IF(OR(K36="",J36=""),"",(J36-K36)*100)</f>
        <v>-2.44112196323378</v>
      </c>
      <c r="M36" s="36" t="n">
        <v>2.57405307541446</v>
      </c>
      <c r="N36" s="36" t="n">
        <v>2.59365293598209</v>
      </c>
      <c r="O36" s="36" t="n">
        <f aca="false">SQRT(M36^2+N36^2)</f>
        <v>3.65414624603055</v>
      </c>
      <c r="P36" s="40" t="n">
        <f aca="false">IF(J36="","",MAX(0,J36-1.96*O36/100))</f>
        <v>0.287086922735817</v>
      </c>
      <c r="Q36" s="40" t="n">
        <f aca="false">IF(J36="","",MIN(1,J36+1.96*O36/100))</f>
        <v>0.430329455580215</v>
      </c>
      <c r="R36" s="32" t="str">
        <f aca="false">IF(L36="","",IF(ABS(L36)&lt;=O36,"Yes","No"))</f>
        <v>Yes</v>
      </c>
      <c r="S36" s="32" t="str">
        <f aca="false">IF(L36="","",IF(ABS(L36)&lt;=1.96*O36,"Yes","No"))</f>
        <v>Yes</v>
      </c>
      <c r="T36" s="60" t="n">
        <f aca="false">IF(D36="","",ROUND(SQRT(((D36+G36)*O36/100)^2+(J36*(D36+G36)*0.06092)^2),0))</f>
        <v>111</v>
      </c>
      <c r="U36" s="32"/>
    </row>
    <row r="37" customFormat="false" ht="15" hidden="false" customHeight="false" outlineLevel="0" collapsed="false">
      <c r="A37" s="32" t="s">
        <v>192</v>
      </c>
      <c r="B37" s="32" t="s">
        <v>205</v>
      </c>
      <c r="C37" s="32" t="s">
        <v>164</v>
      </c>
      <c r="D37" s="60" t="n">
        <v>545</v>
      </c>
      <c r="E37" s="60" t="n">
        <v>543</v>
      </c>
      <c r="F37" s="69" t="n">
        <f aca="false">IF(E37="","",D37-E37)</f>
        <v>2</v>
      </c>
      <c r="G37" s="60" t="n">
        <v>1018</v>
      </c>
      <c r="H37" s="60" t="n">
        <v>990</v>
      </c>
      <c r="I37" s="69" t="n">
        <f aca="false">IF(H37="","",G37-H37)</f>
        <v>28</v>
      </c>
      <c r="J37" s="40" t="n">
        <f aca="false">IF(OR(D37="",D37+G37=0),"",D37/(D37+G37))</f>
        <v>0.348688419705694</v>
      </c>
      <c r="K37" s="40" t="n">
        <f aca="false">IF(E37="","",E37/(E37+H37))</f>
        <v>0.354207436399217</v>
      </c>
      <c r="L37" s="70" t="n">
        <f aca="false">IF(OR(K37="",J37=""),"",(J37-K37)*100)</f>
        <v>-0.551901669352301</v>
      </c>
      <c r="M37" s="36" t="n">
        <v>2.57405307541446</v>
      </c>
      <c r="N37" s="36" t="n">
        <v>2.59365293598209</v>
      </c>
      <c r="O37" s="36" t="n">
        <f aca="false">SQRT(M37^2+N37^2)</f>
        <v>3.65414624603055</v>
      </c>
      <c r="P37" s="40" t="n">
        <f aca="false">IF(J37="","",MAX(0,J37-1.96*O37/100))</f>
        <v>0.277067153283495</v>
      </c>
      <c r="Q37" s="40" t="n">
        <f aca="false">IF(J37="","",MIN(1,J37+1.96*O37/100))</f>
        <v>0.420309686127893</v>
      </c>
      <c r="R37" s="32" t="str">
        <f aca="false">IF(L37="","",IF(ABS(L37)&lt;=O37,"Yes","No"))</f>
        <v>Yes</v>
      </c>
      <c r="S37" s="32" t="str">
        <f aca="false">IF(L37="","",IF(ABS(L37)&lt;=1.96*O37,"Yes","No"))</f>
        <v>Yes</v>
      </c>
      <c r="T37" s="60" t="n">
        <f aca="false">IF(D37="","",ROUND(SQRT(((D37+G37)*O37/100)^2+(J37*(D37+G37)*0.06092)^2),0))</f>
        <v>66</v>
      </c>
      <c r="U37" s="32"/>
    </row>
    <row r="38" customFormat="false" ht="15" hidden="false" customHeight="false" outlineLevel="0" collapsed="false">
      <c r="A38" s="32" t="s">
        <v>192</v>
      </c>
      <c r="B38" s="32" t="s">
        <v>206</v>
      </c>
      <c r="C38" s="32" t="s">
        <v>164</v>
      </c>
      <c r="D38" s="60" t="n">
        <v>837</v>
      </c>
      <c r="E38" s="60" t="n">
        <v>850</v>
      </c>
      <c r="F38" s="69" t="n">
        <f aca="false">IF(E38="","",D38-E38)</f>
        <v>-13</v>
      </c>
      <c r="G38" s="60" t="n">
        <v>1862</v>
      </c>
      <c r="H38" s="60" t="n">
        <v>1856</v>
      </c>
      <c r="I38" s="69" t="n">
        <f aca="false">IF(H38="","",G38-H38)</f>
        <v>6</v>
      </c>
      <c r="J38" s="40" t="n">
        <f aca="false">IF(OR(D38="",D38+G38=0),"",D38/(D38+G38))</f>
        <v>0.310114857354576</v>
      </c>
      <c r="K38" s="40" t="n">
        <f aca="false">IF(E38="","",E38/(E38+H38))</f>
        <v>0.314116777531412</v>
      </c>
      <c r="L38" s="70" t="n">
        <f aca="false">IF(OR(K38="",J38=""),"",(J38-K38)*100)</f>
        <v>-0.400192017683587</v>
      </c>
      <c r="M38" s="36" t="n">
        <v>2.57405307541446</v>
      </c>
      <c r="N38" s="36" t="n">
        <v>2.59365293598209</v>
      </c>
      <c r="O38" s="36" t="n">
        <f aca="false">SQRT(M38^2+N38^2)</f>
        <v>3.65414624603055</v>
      </c>
      <c r="P38" s="40" t="n">
        <f aca="false">IF(J38="","",MAX(0,J38-1.96*O38/100))</f>
        <v>0.238493590932377</v>
      </c>
      <c r="Q38" s="40" t="n">
        <f aca="false">IF(J38="","",MIN(1,J38+1.96*O38/100))</f>
        <v>0.381736123776775</v>
      </c>
      <c r="R38" s="32" t="str">
        <f aca="false">IF(L38="","",IF(ABS(L38)&lt;=O38,"Yes","No"))</f>
        <v>Yes</v>
      </c>
      <c r="S38" s="32" t="str">
        <f aca="false">IF(L38="","",IF(ABS(L38)&lt;=1.96*O38,"Yes","No"))</f>
        <v>Yes</v>
      </c>
      <c r="T38" s="60" t="n">
        <f aca="false">IF(D38="","",ROUND(SQRT(((D38+G38)*O38/100)^2+(J38*(D38+G38)*0.06092)^2),0))</f>
        <v>111</v>
      </c>
      <c r="U38" s="32"/>
    </row>
    <row r="39" customFormat="false" ht="15" hidden="false" customHeight="false" outlineLevel="0" collapsed="false">
      <c r="A39" s="32" t="s">
        <v>192</v>
      </c>
      <c r="B39" s="32" t="s">
        <v>207</v>
      </c>
      <c r="C39" s="32" t="s">
        <v>164</v>
      </c>
      <c r="D39" s="60" t="n">
        <v>979</v>
      </c>
      <c r="E39" s="60" t="n">
        <v>980</v>
      </c>
      <c r="F39" s="69" t="n">
        <f aca="false">IF(E39="","",D39-E39)</f>
        <v>-1</v>
      </c>
      <c r="G39" s="60" t="n">
        <v>914</v>
      </c>
      <c r="H39" s="60" t="n">
        <v>872</v>
      </c>
      <c r="I39" s="69" t="n">
        <f aca="false">IF(H39="","",G39-H39)</f>
        <v>42</v>
      </c>
      <c r="J39" s="40" t="n">
        <f aca="false">IF(OR(D39="",D39+G39=0),"",D39/(D39+G39))</f>
        <v>0.51716851558373</v>
      </c>
      <c r="K39" s="40" t="n">
        <f aca="false">IF(E39="","",E39/(E39+H39))</f>
        <v>0.529157667386609</v>
      </c>
      <c r="L39" s="70" t="n">
        <f aca="false">IF(OR(K39="",J39=""),"",(J39-K39)*100)</f>
        <v>-1.19891518028795</v>
      </c>
      <c r="M39" s="36" t="n">
        <v>2.57405307541446</v>
      </c>
      <c r="N39" s="36" t="n">
        <v>2.59365293598209</v>
      </c>
      <c r="O39" s="36" t="n">
        <f aca="false">SQRT(M39^2+N39^2)</f>
        <v>3.65414624603055</v>
      </c>
      <c r="P39" s="40" t="n">
        <f aca="false">IF(J39="","",MAX(0,J39-1.96*O39/100))</f>
        <v>0.445547249161531</v>
      </c>
      <c r="Q39" s="40" t="n">
        <f aca="false">IF(J39="","",MIN(1,J39+1.96*O39/100))</f>
        <v>0.588789782005928</v>
      </c>
      <c r="R39" s="32" t="str">
        <f aca="false">IF(L39="","",IF(ABS(L39)&lt;=O39,"Yes","No"))</f>
        <v>Yes</v>
      </c>
      <c r="S39" s="32" t="str">
        <f aca="false">IF(L39="","",IF(ABS(L39)&lt;=1.96*O39,"Yes","No"))</f>
        <v>Yes</v>
      </c>
      <c r="T39" s="60" t="n">
        <f aca="false">IF(D39="","",ROUND(SQRT(((D39+G39)*O39/100)^2+(J39*(D39+G39)*0.06092)^2),0))</f>
        <v>91</v>
      </c>
      <c r="U39" s="32"/>
    </row>
    <row r="40" customFormat="false" ht="15" hidden="false" customHeight="false" outlineLevel="0" collapsed="false">
      <c r="A40" s="32" t="s">
        <v>192</v>
      </c>
      <c r="B40" s="32" t="s">
        <v>208</v>
      </c>
      <c r="C40" s="32" t="s">
        <v>164</v>
      </c>
      <c r="D40" s="60" t="n">
        <v>3946</v>
      </c>
      <c r="E40" s="60" t="n">
        <v>4022</v>
      </c>
      <c r="F40" s="69" t="n">
        <f aca="false">IF(E40="","",D40-E40)</f>
        <v>-76</v>
      </c>
      <c r="G40" s="60" t="n">
        <v>6091</v>
      </c>
      <c r="H40" s="60" t="n">
        <v>5915</v>
      </c>
      <c r="I40" s="69" t="n">
        <f aca="false">IF(H40="","",G40-H40)</f>
        <v>176</v>
      </c>
      <c r="J40" s="40" t="n">
        <f aca="false">IF(OR(D40="",D40+G40=0),"",D40/(D40+G40))</f>
        <v>0.393145362160008</v>
      </c>
      <c r="K40" s="40" t="n">
        <f aca="false">IF(E40="","",E40/(E40+H40))</f>
        <v>0.404749924524504</v>
      </c>
      <c r="L40" s="70" t="n">
        <f aca="false">IF(OR(K40="",J40=""),"",(J40-K40)*100)</f>
        <v>-1.16045623644964</v>
      </c>
      <c r="M40" s="36" t="n">
        <v>2.03161354936355</v>
      </c>
      <c r="N40" s="36" t="n">
        <v>2.59365293598209</v>
      </c>
      <c r="O40" s="36" t="n">
        <f aca="false">SQRT(M40^2+N40^2)</f>
        <v>3.29461517726822</v>
      </c>
      <c r="P40" s="40" t="n">
        <f aca="false">IF(J40="","",MAX(0,J40-1.96*O40/100))</f>
        <v>0.328570904685551</v>
      </c>
      <c r="Q40" s="40" t="n">
        <f aca="false">IF(J40="","",MIN(1,J40+1.96*O40/100))</f>
        <v>0.457719819634465</v>
      </c>
      <c r="R40" s="32" t="str">
        <f aca="false">IF(L40="","",IF(ABS(L40)&lt;=O40,"Yes","No"))</f>
        <v>Yes</v>
      </c>
      <c r="S40" s="32" t="str">
        <f aca="false">IF(L40="","",IF(ABS(L40)&lt;=1.96*O40,"Yes","No"))</f>
        <v>Yes</v>
      </c>
      <c r="T40" s="60" t="n">
        <f aca="false">IF(D40="","",ROUND(SQRT(((D40+G40)*O40/100)^2+(J40*(D40+G40)*0.05464)^2),0))</f>
        <v>395</v>
      </c>
      <c r="U40" s="32"/>
    </row>
    <row r="41" customFormat="false" ht="15" hidden="false" customHeight="false" outlineLevel="0" collapsed="false">
      <c r="A41" s="32" t="s">
        <v>192</v>
      </c>
      <c r="B41" s="32" t="s">
        <v>209</v>
      </c>
      <c r="C41" s="32" t="s">
        <v>164</v>
      </c>
      <c r="D41" s="60" t="n">
        <v>3927</v>
      </c>
      <c r="E41" s="60" t="n">
        <v>4010</v>
      </c>
      <c r="F41" s="69" t="n">
        <f aca="false">IF(E41="","",D41-E41)</f>
        <v>-83</v>
      </c>
      <c r="G41" s="60" t="n">
        <v>4239</v>
      </c>
      <c r="H41" s="60" t="n">
        <v>4104</v>
      </c>
      <c r="I41" s="69" t="n">
        <f aca="false">IF(H41="","",G41-H41)</f>
        <v>135</v>
      </c>
      <c r="J41" s="40" t="n">
        <f aca="false">IF(OR(D41="",D41+G41=0),"",D41/(D41+G41))</f>
        <v>0.480896399706098</v>
      </c>
      <c r="K41" s="40" t="n">
        <f aca="false">IF(E41="","",E41/(E41+H41))</f>
        <v>0.494207542519103</v>
      </c>
      <c r="L41" s="70" t="n">
        <f aca="false">IF(OR(K41="",J41=""),"",(J41-K41)*100)</f>
        <v>-1.33111428130043</v>
      </c>
      <c r="M41" s="36" t="n">
        <v>2.03161354936355</v>
      </c>
      <c r="N41" s="36" t="n">
        <v>2.59365293598209</v>
      </c>
      <c r="O41" s="36" t="n">
        <f aca="false">SQRT(M41^2+N41^2)</f>
        <v>3.29461517726822</v>
      </c>
      <c r="P41" s="40" t="n">
        <f aca="false">IF(J41="","",MAX(0,J41-1.96*O41/100))</f>
        <v>0.416321942231641</v>
      </c>
      <c r="Q41" s="40" t="n">
        <f aca="false">IF(J41="","",MIN(1,J41+1.96*O41/100))</f>
        <v>0.545470857180555</v>
      </c>
      <c r="R41" s="32" t="str">
        <f aca="false">IF(L41="","",IF(ABS(L41)&lt;=O41,"Yes","No"))</f>
        <v>Yes</v>
      </c>
      <c r="S41" s="32" t="str">
        <f aca="false">IF(L41="","",IF(ABS(L41)&lt;=1.96*O41,"Yes","No"))</f>
        <v>Yes</v>
      </c>
      <c r="T41" s="60" t="n">
        <f aca="false">IF(D41="","",ROUND(SQRT(((D41+G41)*O41/100)^2+(J41*(D41+G41)*0.05464)^2),0))</f>
        <v>344</v>
      </c>
      <c r="U41" s="32"/>
    </row>
    <row r="42" customFormat="false" ht="15" hidden="false" customHeight="false" outlineLevel="0" collapsed="false">
      <c r="A42" s="32" t="s">
        <v>192</v>
      </c>
      <c r="B42" s="32" t="s">
        <v>210</v>
      </c>
      <c r="C42" s="32" t="s">
        <v>164</v>
      </c>
      <c r="D42" s="60" t="n">
        <v>832</v>
      </c>
      <c r="E42" s="60" t="n">
        <v>800</v>
      </c>
      <c r="F42" s="69" t="n">
        <f aca="false">IF(E42="","",D42-E42)</f>
        <v>32</v>
      </c>
      <c r="G42" s="60" t="n">
        <v>1166</v>
      </c>
      <c r="H42" s="60" t="n">
        <v>1156</v>
      </c>
      <c r="I42" s="69" t="n">
        <f aca="false">IF(H42="","",G42-H42)</f>
        <v>10</v>
      </c>
      <c r="J42" s="40" t="n">
        <f aca="false">IF(OR(D42="",D42+G42=0),"",D42/(D42+G42))</f>
        <v>0.416416416416416</v>
      </c>
      <c r="K42" s="40" t="n">
        <f aca="false">IF(E42="","",E42/(E42+H42))</f>
        <v>0.408997955010225</v>
      </c>
      <c r="L42" s="70" t="n">
        <f aca="false">IF(OR(K42="",J42=""),"",(J42-K42)*100)</f>
        <v>0.741846140619146</v>
      </c>
      <c r="M42" s="36" t="n">
        <v>2.57405307541446</v>
      </c>
      <c r="N42" s="36" t="n">
        <v>2.59365293598209</v>
      </c>
      <c r="O42" s="36" t="n">
        <f aca="false">SQRT(M42^2+N42^2)</f>
        <v>3.65414624603055</v>
      </c>
      <c r="P42" s="40" t="n">
        <f aca="false">IF(J42="","",MAX(0,J42-1.96*O42/100))</f>
        <v>0.344795149994218</v>
      </c>
      <c r="Q42" s="40" t="n">
        <f aca="false">IF(J42="","",MIN(1,J42+1.96*O42/100))</f>
        <v>0.488037682838615</v>
      </c>
      <c r="R42" s="32" t="str">
        <f aca="false">IF(L42="","",IF(ABS(L42)&lt;=O42,"Yes","No"))</f>
        <v>Yes</v>
      </c>
      <c r="S42" s="32" t="str">
        <f aca="false">IF(L42="","",IF(ABS(L42)&lt;=1.96*O42,"Yes","No"))</f>
        <v>Yes</v>
      </c>
      <c r="T42" s="60" t="n">
        <f aca="false">IF(D42="","",ROUND(SQRT(((D42+G42)*O42/100)^2+(J42*(D42+G42)*0.06092)^2),0))</f>
        <v>89</v>
      </c>
      <c r="U42" s="32"/>
    </row>
    <row r="43" customFormat="false" ht="15" hidden="false" customHeight="false" outlineLevel="0" collapsed="false">
      <c r="A43" s="32" t="s">
        <v>192</v>
      </c>
      <c r="B43" s="32" t="s">
        <v>211</v>
      </c>
      <c r="C43" s="32" t="s">
        <v>164</v>
      </c>
      <c r="D43" s="60" t="n">
        <v>6978</v>
      </c>
      <c r="E43" s="60" t="n">
        <v>7019</v>
      </c>
      <c r="F43" s="69" t="n">
        <f aca="false">IF(E43="","",D43-E43)</f>
        <v>-41</v>
      </c>
      <c r="G43" s="60" t="n">
        <v>6220</v>
      </c>
      <c r="H43" s="60" t="n">
        <v>6110</v>
      </c>
      <c r="I43" s="69" t="n">
        <f aca="false">IF(H43="","",G43-H43)</f>
        <v>110</v>
      </c>
      <c r="J43" s="40" t="n">
        <f aca="false">IF(OR(D43="",D43+G43=0),"",D43/(D43+G43))</f>
        <v>0.528716472192757</v>
      </c>
      <c r="K43" s="40" t="n">
        <f aca="false">IF(E43="","",E43/(E43+H43))</f>
        <v>0.534618021174499</v>
      </c>
      <c r="L43" s="70" t="n">
        <f aca="false">IF(OR(K43="",J43=""),"",(J43-K43)*100)</f>
        <v>-0.590154898174267</v>
      </c>
      <c r="M43" s="36" t="n">
        <v>2.03161354936355</v>
      </c>
      <c r="N43" s="36" t="n">
        <v>2.59365293598209</v>
      </c>
      <c r="O43" s="36" t="n">
        <f aca="false">SQRT(M43^2+N43^2)</f>
        <v>3.29461517726822</v>
      </c>
      <c r="P43" s="40" t="n">
        <f aca="false">IF(J43="","",MAX(0,J43-1.96*O43/100))</f>
        <v>0.4641420147183</v>
      </c>
      <c r="Q43" s="40" t="n">
        <f aca="false">IF(J43="","",MIN(1,J43+1.96*O43/100))</f>
        <v>0.593290929667214</v>
      </c>
      <c r="R43" s="32" t="str">
        <f aca="false">IF(L43="","",IF(ABS(L43)&lt;=O43,"Yes","No"))</f>
        <v>Yes</v>
      </c>
      <c r="S43" s="32" t="str">
        <f aca="false">IF(L43="","",IF(ABS(L43)&lt;=1.96*O43,"Yes","No"))</f>
        <v>Yes</v>
      </c>
      <c r="T43" s="60" t="n">
        <f aca="false">IF(D43="","",ROUND(SQRT(((D43+G43)*O43/100)^2+(J43*(D43+G43)*0.05464)^2),0))</f>
        <v>578</v>
      </c>
      <c r="U43" s="32"/>
    </row>
    <row r="44" customFormat="false" ht="15" hidden="false" customHeight="false" outlineLevel="0" collapsed="false">
      <c r="A44" s="32" t="s">
        <v>192</v>
      </c>
      <c r="B44" s="32" t="s">
        <v>212</v>
      </c>
      <c r="C44" s="32" t="s">
        <v>164</v>
      </c>
      <c r="D44" s="60" t="n">
        <v>8106</v>
      </c>
      <c r="E44" s="60" t="n">
        <v>8020</v>
      </c>
      <c r="F44" s="69" t="n">
        <f aca="false">IF(E44="","",D44-E44)</f>
        <v>86</v>
      </c>
      <c r="G44" s="60" t="n">
        <v>7854</v>
      </c>
      <c r="H44" s="60" t="n">
        <v>7607</v>
      </c>
      <c r="I44" s="69" t="n">
        <f aca="false">IF(H44="","",G44-H44)</f>
        <v>247</v>
      </c>
      <c r="J44" s="40" t="n">
        <f aca="false">IF(OR(D44="",D44+G44=0),"",D44/(D44+G44))</f>
        <v>0.507894736842105</v>
      </c>
      <c r="K44" s="40" t="n">
        <f aca="false">IF(E44="","",E44/(E44+H44))</f>
        <v>0.513214308568503</v>
      </c>
      <c r="L44" s="70" t="n">
        <f aca="false">IF(OR(K44="",J44=""),"",(J44-K44)*100)</f>
        <v>-0.531957172639797</v>
      </c>
      <c r="M44" s="36" t="n">
        <v>2.03161354936355</v>
      </c>
      <c r="N44" s="36" t="n">
        <v>2.59365293598209</v>
      </c>
      <c r="O44" s="36" t="n">
        <f aca="false">SQRT(M44^2+N44^2)</f>
        <v>3.29461517726822</v>
      </c>
      <c r="P44" s="40" t="n">
        <f aca="false">IF(J44="","",MAX(0,J44-1.96*O44/100))</f>
        <v>0.443320279367648</v>
      </c>
      <c r="Q44" s="40" t="n">
        <f aca="false">IF(J44="","",MIN(1,J44+1.96*O44/100))</f>
        <v>0.572469194316562</v>
      </c>
      <c r="R44" s="32" t="str">
        <f aca="false">IF(L44="","",IF(ABS(L44)&lt;=O44,"Yes","No"))</f>
        <v>Yes</v>
      </c>
      <c r="S44" s="32" t="str">
        <f aca="false">IF(L44="","",IF(ABS(L44)&lt;=1.96*O44,"Yes","No"))</f>
        <v>Yes</v>
      </c>
      <c r="T44" s="60" t="n">
        <f aca="false">IF(D44="","",ROUND(SQRT(((D44+G44)*O44/100)^2+(J44*(D44+G44)*0.05464)^2),0))</f>
        <v>688</v>
      </c>
      <c r="U44" s="32"/>
    </row>
    <row r="45" customFormat="false" ht="15" hidden="false" customHeight="false" outlineLevel="0" collapsed="false">
      <c r="A45" s="32" t="s">
        <v>192</v>
      </c>
      <c r="B45" s="32" t="s">
        <v>213</v>
      </c>
      <c r="C45" s="32" t="s">
        <v>164</v>
      </c>
      <c r="D45" s="60" t="n">
        <v>2250</v>
      </c>
      <c r="E45" s="60" t="n">
        <v>2380</v>
      </c>
      <c r="F45" s="69" t="n">
        <f aca="false">IF(E45="","",D45-E45)</f>
        <v>-130</v>
      </c>
      <c r="G45" s="60" t="n">
        <v>3204</v>
      </c>
      <c r="H45" s="60" t="n">
        <v>3135</v>
      </c>
      <c r="I45" s="69" t="n">
        <f aca="false">IF(H45="","",G45-H45)</f>
        <v>69</v>
      </c>
      <c r="J45" s="40" t="n">
        <f aca="false">IF(OR(D45="",D45+G45=0),"",D45/(D45+G45))</f>
        <v>0.412541254125413</v>
      </c>
      <c r="K45" s="40" t="n">
        <f aca="false">IF(E45="","",E45/(E45+H45))</f>
        <v>0.43155031731641</v>
      </c>
      <c r="L45" s="70" t="n">
        <f aca="false">IF(OR(K45="",J45=""),"",(J45-K45)*100)</f>
        <v>-1.90090631909973</v>
      </c>
      <c r="M45" s="36" t="n">
        <v>2.03161354936355</v>
      </c>
      <c r="N45" s="36" t="n">
        <v>2.59365293598209</v>
      </c>
      <c r="O45" s="36" t="n">
        <f aca="false">SQRT(M45^2+N45^2)</f>
        <v>3.29461517726822</v>
      </c>
      <c r="P45" s="40" t="n">
        <f aca="false">IF(J45="","",MAX(0,J45-1.96*O45/100))</f>
        <v>0.347966796650956</v>
      </c>
      <c r="Q45" s="40" t="n">
        <f aca="false">IF(J45="","",MIN(1,J45+1.96*O45/100))</f>
        <v>0.47711571159987</v>
      </c>
      <c r="R45" s="32" t="str">
        <f aca="false">IF(L45="","",IF(ABS(L45)&lt;=O45,"Yes","No"))</f>
        <v>Yes</v>
      </c>
      <c r="S45" s="32" t="str">
        <f aca="false">IF(L45="","",IF(ABS(L45)&lt;=1.96*O45,"Yes","No"))</f>
        <v>Yes</v>
      </c>
      <c r="T45" s="60" t="n">
        <f aca="false">IF(D45="","",ROUND(SQRT(((D45+G45)*O45/100)^2+(J45*(D45+G45)*0.05464)^2),0))</f>
        <v>218</v>
      </c>
      <c r="U45" s="32"/>
    </row>
    <row r="46" customFormat="false" ht="15" hidden="false" customHeight="false" outlineLevel="0" collapsed="false">
      <c r="A46" s="32" t="s">
        <v>192</v>
      </c>
      <c r="B46" s="32" t="s">
        <v>214</v>
      </c>
      <c r="C46" s="32" t="s">
        <v>164</v>
      </c>
      <c r="D46" s="60" t="n">
        <v>5200</v>
      </c>
      <c r="E46" s="60" t="n">
        <v>5462</v>
      </c>
      <c r="F46" s="69" t="n">
        <f aca="false">IF(E46="","",D46-E46)</f>
        <v>-262</v>
      </c>
      <c r="G46" s="60" t="n">
        <v>5986</v>
      </c>
      <c r="H46" s="60" t="n">
        <v>5740</v>
      </c>
      <c r="I46" s="69" t="n">
        <f aca="false">IF(H46="","",G46-H46)</f>
        <v>246</v>
      </c>
      <c r="J46" s="40" t="n">
        <f aca="false">IF(OR(D46="",D46+G46=0),"",D46/(D46+G46))</f>
        <v>0.464866797782943</v>
      </c>
      <c r="K46" s="40" t="n">
        <f aca="false">IF(E46="","",E46/(E46+H46))</f>
        <v>0.487591501517586</v>
      </c>
      <c r="L46" s="70" t="n">
        <f aca="false">IF(OR(K46="",J46=""),"",(J46-K46)*100)</f>
        <v>-2.27247037346431</v>
      </c>
      <c r="M46" s="36" t="n">
        <v>2.03161354936355</v>
      </c>
      <c r="N46" s="36" t="n">
        <v>2.59365293598209</v>
      </c>
      <c r="O46" s="36" t="n">
        <f aca="false">SQRT(M46^2+N46^2)</f>
        <v>3.29461517726822</v>
      </c>
      <c r="P46" s="40" t="n">
        <f aca="false">IF(J46="","",MAX(0,J46-1.96*O46/100))</f>
        <v>0.400292340308486</v>
      </c>
      <c r="Q46" s="40" t="n">
        <f aca="false">IF(J46="","",MIN(1,J46+1.96*O46/100))</f>
        <v>0.5294412552574</v>
      </c>
      <c r="R46" s="32" t="str">
        <f aca="false">IF(L46="","",IF(ABS(L46)&lt;=O46,"Yes","No"))</f>
        <v>Yes</v>
      </c>
      <c r="S46" s="32" t="str">
        <f aca="false">IF(L46="","",IF(ABS(L46)&lt;=1.96*O46,"Yes","No"))</f>
        <v>Yes</v>
      </c>
      <c r="T46" s="60" t="n">
        <f aca="false">IF(D46="","",ROUND(SQRT(((D46+G46)*O46/100)^2+(J46*(D46+G46)*0.05464)^2),0))</f>
        <v>465</v>
      </c>
      <c r="U46" s="32"/>
    </row>
    <row r="47" customFormat="false" ht="15" hidden="false" customHeight="false" outlineLevel="0" collapsed="false">
      <c r="A47" s="32" t="s">
        <v>192</v>
      </c>
      <c r="B47" s="32" t="s">
        <v>215</v>
      </c>
      <c r="C47" s="32" t="s">
        <v>164</v>
      </c>
      <c r="D47" s="60" t="n">
        <v>1291</v>
      </c>
      <c r="E47" s="60" t="n">
        <v>1266</v>
      </c>
      <c r="F47" s="69" t="n">
        <f aca="false">IF(E47="","",D47-E47)</f>
        <v>25</v>
      </c>
      <c r="G47" s="60" t="n">
        <v>2642</v>
      </c>
      <c r="H47" s="60" t="n">
        <v>2669</v>
      </c>
      <c r="I47" s="69" t="n">
        <f aca="false">IF(H47="","",G47-H47)</f>
        <v>-27</v>
      </c>
      <c r="J47" s="40" t="n">
        <f aca="false">IF(OR(D47="",D47+G47=0),"",D47/(D47+G47))</f>
        <v>0.328248156623443</v>
      </c>
      <c r="K47" s="40" t="n">
        <f aca="false">IF(E47="","",E47/(E47+H47))</f>
        <v>0.321728081321474</v>
      </c>
      <c r="L47" s="70" t="n">
        <f aca="false">IF(OR(K47="",J47=""),"",(J47-K47)*100)</f>
        <v>0.652007530196869</v>
      </c>
      <c r="M47" s="36" t="n">
        <v>2.03161354936355</v>
      </c>
      <c r="N47" s="36" t="n">
        <v>2.59365293598209</v>
      </c>
      <c r="O47" s="36" t="n">
        <f aca="false">SQRT(M47^2+N47^2)</f>
        <v>3.29461517726822</v>
      </c>
      <c r="P47" s="40" t="n">
        <f aca="false">IF(J47="","",MAX(0,J47-1.96*O47/100))</f>
        <v>0.263673699148986</v>
      </c>
      <c r="Q47" s="40" t="n">
        <f aca="false">IF(J47="","",MIN(1,J47+1.96*O47/100))</f>
        <v>0.3928226140979</v>
      </c>
      <c r="R47" s="32" t="str">
        <f aca="false">IF(L47="","",IF(ABS(L47)&lt;=O47,"Yes","No"))</f>
        <v>Yes</v>
      </c>
      <c r="S47" s="32" t="str">
        <f aca="false">IF(L47="","",IF(ABS(L47)&lt;=1.96*O47,"Yes","No"))</f>
        <v>Yes</v>
      </c>
      <c r="T47" s="60" t="n">
        <f aca="false">IF(D47="","",ROUND(SQRT(((D47+G47)*O47/100)^2+(J47*(D47+G47)*0.05464)^2),0))</f>
        <v>148</v>
      </c>
      <c r="U47" s="32"/>
    </row>
    <row r="48" customFormat="false" ht="15" hidden="false" customHeight="false" outlineLevel="0" collapsed="false">
      <c r="A48" s="32" t="s">
        <v>192</v>
      </c>
      <c r="B48" s="32" t="s">
        <v>216</v>
      </c>
      <c r="C48" s="32" t="s">
        <v>164</v>
      </c>
      <c r="D48" s="60" t="n">
        <v>1149</v>
      </c>
      <c r="E48" s="60" t="n">
        <v>1172</v>
      </c>
      <c r="F48" s="69" t="n">
        <f aca="false">IF(E48="","",D48-E48)</f>
        <v>-23</v>
      </c>
      <c r="G48" s="60" t="n">
        <v>2229</v>
      </c>
      <c r="H48" s="60" t="n">
        <v>2201</v>
      </c>
      <c r="I48" s="69" t="n">
        <f aca="false">IF(H48="","",G48-H48)</f>
        <v>28</v>
      </c>
      <c r="J48" s="40" t="n">
        <f aca="false">IF(OR(D48="",D48+G48=0),"",D48/(D48+G48))</f>
        <v>0.340142095914742</v>
      </c>
      <c r="K48" s="40" t="n">
        <f aca="false">IF(E48="","",E48/(E48+H48))</f>
        <v>0.347465164541951</v>
      </c>
      <c r="L48" s="70" t="n">
        <f aca="false">IF(OR(K48="",J48=""),"",(J48-K48)*100)</f>
        <v>-0.732306862720838</v>
      </c>
      <c r="M48" s="36" t="n">
        <v>2.57405307541446</v>
      </c>
      <c r="N48" s="36" t="n">
        <v>2.59365293598209</v>
      </c>
      <c r="O48" s="36" t="n">
        <f aca="false">SQRT(M48^2+N48^2)</f>
        <v>3.65414624603055</v>
      </c>
      <c r="P48" s="40" t="n">
        <f aca="false">IF(J48="","",MAX(0,J48-1.96*O48/100))</f>
        <v>0.268520829492544</v>
      </c>
      <c r="Q48" s="40" t="n">
        <f aca="false">IF(J48="","",MIN(1,J48+1.96*O48/100))</f>
        <v>0.411763362336941</v>
      </c>
      <c r="R48" s="32" t="str">
        <f aca="false">IF(L48="","",IF(ABS(L48)&lt;=O48,"Yes","No"))</f>
        <v>Yes</v>
      </c>
      <c r="S48" s="32" t="str">
        <f aca="false">IF(L48="","",IF(ABS(L48)&lt;=1.96*O48,"Yes","No"))</f>
        <v>Yes</v>
      </c>
      <c r="T48" s="60" t="n">
        <f aca="false">IF(D48="","",ROUND(SQRT(((D48+G48)*O48/100)^2+(J48*(D48+G48)*0.06092)^2),0))</f>
        <v>142</v>
      </c>
      <c r="U48" s="32"/>
    </row>
    <row r="49" customFormat="false" ht="15" hidden="false" customHeight="false" outlineLevel="0" collapsed="false">
      <c r="A49" s="32" t="s">
        <v>192</v>
      </c>
      <c r="B49" s="32" t="s">
        <v>217</v>
      </c>
      <c r="C49" s="32" t="s">
        <v>164</v>
      </c>
      <c r="D49" s="60" t="n">
        <v>7471</v>
      </c>
      <c r="E49" s="60" t="n">
        <v>7383</v>
      </c>
      <c r="F49" s="69" t="n">
        <f aca="false">IF(E49="","",D49-E49)</f>
        <v>88</v>
      </c>
      <c r="G49" s="60" t="n">
        <v>7009</v>
      </c>
      <c r="H49" s="60" t="n">
        <v>7036</v>
      </c>
      <c r="I49" s="69" t="n">
        <f aca="false">IF(H49="","",G49-H49)</f>
        <v>-27</v>
      </c>
      <c r="J49" s="40" t="n">
        <f aca="false">IF(OR(D49="",D49+G49=0),"",D49/(D49+G49))</f>
        <v>0.515953038674033</v>
      </c>
      <c r="K49" s="40" t="n">
        <f aca="false">IF(E49="","",E49/(E49+H49))</f>
        <v>0.51203273458631</v>
      </c>
      <c r="L49" s="70" t="n">
        <f aca="false">IF(OR(K49="",J49=""),"",(J49-K49)*100)</f>
        <v>0.392030408772348</v>
      </c>
      <c r="M49" s="36" t="n">
        <v>2.03161354936355</v>
      </c>
      <c r="N49" s="36" t="n">
        <v>2.59365293598209</v>
      </c>
      <c r="O49" s="36" t="n">
        <f aca="false">SQRT(M49^2+N49^2)</f>
        <v>3.29461517726822</v>
      </c>
      <c r="P49" s="40" t="n">
        <f aca="false">IF(J49="","",MAX(0,J49-1.96*O49/100))</f>
        <v>0.451378581199576</v>
      </c>
      <c r="Q49" s="40" t="n">
        <f aca="false">IF(J49="","",MIN(1,J49+1.96*O49/100))</f>
        <v>0.58052749614849</v>
      </c>
      <c r="R49" s="32" t="str">
        <f aca="false">IF(L49="","",IF(ABS(L49)&lt;=O49,"Yes","No"))</f>
        <v>Yes</v>
      </c>
      <c r="S49" s="32" t="str">
        <f aca="false">IF(L49="","",IF(ABS(L49)&lt;=1.96*O49,"Yes","No"))</f>
        <v>Yes</v>
      </c>
      <c r="T49" s="60" t="n">
        <f aca="false">IF(D49="","",ROUND(SQRT(((D49+G49)*O49/100)^2+(J49*(D49+G49)*0.05464)^2),0))</f>
        <v>628</v>
      </c>
      <c r="U49" s="32"/>
    </row>
    <row r="50" customFormat="false" ht="15" hidden="false" customHeight="false" outlineLevel="0" collapsed="false">
      <c r="A50" s="32" t="s">
        <v>218</v>
      </c>
      <c r="B50" s="32" t="s">
        <v>219</v>
      </c>
      <c r="C50" s="32" t="s">
        <v>164</v>
      </c>
      <c r="D50" s="60" t="n">
        <v>451</v>
      </c>
      <c r="E50" s="60" t="n">
        <v>471</v>
      </c>
      <c r="F50" s="69" t="n">
        <f aca="false">IF(E50="","",D50-E50)</f>
        <v>-20</v>
      </c>
      <c r="G50" s="60" t="n">
        <v>1093</v>
      </c>
      <c r="H50" s="60" t="n">
        <v>1124</v>
      </c>
      <c r="I50" s="69" t="n">
        <f aca="false">IF(H50="","",G50-H50)</f>
        <v>-31</v>
      </c>
      <c r="J50" s="40" t="n">
        <f aca="false">IF(OR(D50="",D50+G50=0),"",D50/(D50+G50))</f>
        <v>0.292098445595855</v>
      </c>
      <c r="K50" s="40" t="n">
        <f aca="false">IF(E50="","",E50/(E50+H50))</f>
        <v>0.295297805642633</v>
      </c>
      <c r="L50" s="70" t="n">
        <f aca="false">IF(OR(K50="",J50=""),"",(J50-K50)*100)</f>
        <v>-0.319936004677834</v>
      </c>
      <c r="M50" s="36" t="n">
        <v>4.29619773844154</v>
      </c>
      <c r="N50" s="36" t="n">
        <v>2.59365293598209</v>
      </c>
      <c r="O50" s="36" t="n">
        <f aca="false">SQRT(M50^2+N50^2)</f>
        <v>5.01840119561188</v>
      </c>
      <c r="P50" s="40" t="n">
        <f aca="false">IF(J50="","",MAX(0,J50-1.96*O50/100))</f>
        <v>0.193737782161862</v>
      </c>
      <c r="Q50" s="40" t="n">
        <f aca="false">IF(J50="","",MIN(1,J50+1.96*O50/100))</f>
        <v>0.390459109029848</v>
      </c>
      <c r="R50" s="32" t="str">
        <f aca="false">IF(L50="","",IF(ABS(L50)&lt;=O50,"Yes","No"))</f>
        <v>Yes</v>
      </c>
      <c r="S50" s="32" t="str">
        <f aca="false">IF(L50="","",IF(ABS(L50)&lt;=1.96*O50,"Yes","No"))</f>
        <v>Yes</v>
      </c>
      <c r="T50" s="60" t="n">
        <f aca="false">IF(D50="","",ROUND(SQRT(((D50+G50)*O50/100)^2+(J50*(D50+G50)*0.07859)^2),0))</f>
        <v>85</v>
      </c>
      <c r="U50" s="32"/>
    </row>
    <row r="51" customFormat="false" ht="15" hidden="false" customHeight="false" outlineLevel="0" collapsed="false">
      <c r="A51" s="32" t="s">
        <v>218</v>
      </c>
      <c r="B51" s="32" t="s">
        <v>220</v>
      </c>
      <c r="C51" s="32" t="s">
        <v>164</v>
      </c>
      <c r="D51" s="60" t="n">
        <v>1355</v>
      </c>
      <c r="E51" s="60" t="n">
        <v>1414</v>
      </c>
      <c r="F51" s="69" t="n">
        <f aca="false">IF(E51="","",D51-E51)</f>
        <v>-59</v>
      </c>
      <c r="G51" s="60" t="n">
        <v>2814</v>
      </c>
      <c r="H51" s="60" t="n">
        <v>2894</v>
      </c>
      <c r="I51" s="69" t="n">
        <f aca="false">IF(H51="","",G51-H51)</f>
        <v>-80</v>
      </c>
      <c r="J51" s="40" t="n">
        <f aca="false">IF(OR(D51="",D51+G51=0),"",D51/(D51+G51))</f>
        <v>0.325017989925642</v>
      </c>
      <c r="K51" s="40" t="n">
        <f aca="false">IF(E51="","",E51/(E51+H51))</f>
        <v>0.328226555246054</v>
      </c>
      <c r="L51" s="70" t="n">
        <f aca="false">IF(OR(K51="",J51=""),"",(J51-K51)*100)</f>
        <v>-0.320856532041225</v>
      </c>
      <c r="M51" s="36" t="n">
        <v>2.03161354936355</v>
      </c>
      <c r="N51" s="36" t="n">
        <v>2.59365293598209</v>
      </c>
      <c r="O51" s="36" t="n">
        <f aca="false">SQRT(M51^2+N51^2)</f>
        <v>3.29461517726822</v>
      </c>
      <c r="P51" s="40" t="n">
        <f aca="false">IF(J51="","",MAX(0,J51-1.96*O51/100))</f>
        <v>0.260443532451185</v>
      </c>
      <c r="Q51" s="40" t="n">
        <f aca="false">IF(J51="","",MIN(1,J51+1.96*O51/100))</f>
        <v>0.389592447400099</v>
      </c>
      <c r="R51" s="32" t="str">
        <f aca="false">IF(L51="","",IF(ABS(L51)&lt;=O51,"Yes","No"))</f>
        <v>Yes</v>
      </c>
      <c r="S51" s="32" t="str">
        <f aca="false">IF(L51="","",IF(ABS(L51)&lt;=1.96*O51,"Yes","No"))</f>
        <v>Yes</v>
      </c>
      <c r="T51" s="60" t="n">
        <f aca="false">IF(D51="","",ROUND(SQRT(((D51+G51)*O51/100)^2+(J51*(D51+G51)*0.05464)^2),0))</f>
        <v>156</v>
      </c>
      <c r="U51" s="32"/>
    </row>
    <row r="52" customFormat="false" ht="15" hidden="false" customHeight="false" outlineLevel="0" collapsed="false">
      <c r="A52" s="32" t="s">
        <v>218</v>
      </c>
      <c r="B52" s="32" t="s">
        <v>221</v>
      </c>
      <c r="C52" s="32" t="s">
        <v>164</v>
      </c>
      <c r="D52" s="60" t="n">
        <v>442</v>
      </c>
      <c r="E52" s="60" t="n">
        <v>521</v>
      </c>
      <c r="F52" s="69" t="n">
        <f aca="false">IF(E52="","",D52-E52)</f>
        <v>-79</v>
      </c>
      <c r="G52" s="60" t="n">
        <v>868</v>
      </c>
      <c r="H52" s="60" t="n">
        <v>997</v>
      </c>
      <c r="I52" s="69" t="n">
        <f aca="false">IF(H52="","",G52-H52)</f>
        <v>-129</v>
      </c>
      <c r="J52" s="40" t="n">
        <f aca="false">IF(OR(D52="",D52+G52=0),"",D52/(D52+G52))</f>
        <v>0.337404580152672</v>
      </c>
      <c r="K52" s="40" t="n">
        <f aca="false">IF(E52="","",E52/(E52+H52))</f>
        <v>0.343214756258235</v>
      </c>
      <c r="L52" s="70" t="n">
        <f aca="false">IF(OR(K52="",J52=""),"",(J52-K52)*100)</f>
        <v>-0.581017610556273</v>
      </c>
      <c r="M52" s="36" t="n">
        <v>4.29619773844154</v>
      </c>
      <c r="N52" s="36" t="n">
        <v>2.59365293598209</v>
      </c>
      <c r="O52" s="36" t="n">
        <f aca="false">SQRT(M52^2+N52^2)</f>
        <v>5.01840119561188</v>
      </c>
      <c r="P52" s="40" t="n">
        <f aca="false">IF(J52="","",MAX(0,J52-1.96*O52/100))</f>
        <v>0.239043916718679</v>
      </c>
      <c r="Q52" s="40" t="n">
        <f aca="false">IF(J52="","",MIN(1,J52+1.96*O52/100))</f>
        <v>0.435765243586665</v>
      </c>
      <c r="R52" s="32" t="str">
        <f aca="false">IF(L52="","",IF(ABS(L52)&lt;=O52,"Yes","No"))</f>
        <v>Yes</v>
      </c>
      <c r="S52" s="32" t="str">
        <f aca="false">IF(L52="","",IF(ABS(L52)&lt;=1.96*O52,"Yes","No"))</f>
        <v>Yes</v>
      </c>
      <c r="T52" s="60" t="n">
        <f aca="false">IF(D52="","",ROUND(SQRT(((D52+G52)*O52/100)^2+(J52*(D52+G52)*0.07859)^2),0))</f>
        <v>74</v>
      </c>
      <c r="U52" s="32"/>
    </row>
    <row r="53" customFormat="false" ht="15" hidden="false" customHeight="false" outlineLevel="0" collapsed="false">
      <c r="A53" s="32" t="s">
        <v>222</v>
      </c>
      <c r="B53" s="32" t="s">
        <v>223</v>
      </c>
      <c r="C53" s="32" t="s">
        <v>164</v>
      </c>
      <c r="D53" s="60" t="n">
        <v>1438</v>
      </c>
      <c r="E53" s="60" t="n">
        <v>1511</v>
      </c>
      <c r="F53" s="69" t="n">
        <f aca="false">IF(E53="","",D53-E53)</f>
        <v>-73</v>
      </c>
      <c r="G53" s="60" t="n">
        <v>2026</v>
      </c>
      <c r="H53" s="60" t="n">
        <v>2018</v>
      </c>
      <c r="I53" s="69" t="n">
        <f aca="false">IF(H53="","",G53-H53)</f>
        <v>8</v>
      </c>
      <c r="J53" s="40" t="n">
        <f aca="false">IF(OR(D53="",D53+G53=0),"",D53/(D53+G53))</f>
        <v>0.415127020785219</v>
      </c>
      <c r="K53" s="40" t="n">
        <f aca="false">IF(E53="","",E53/(E53+H53))</f>
        <v>0.428166619438935</v>
      </c>
      <c r="L53" s="70" t="n">
        <f aca="false">IF(OR(K53="",J53=""),"",(J53-K53)*100)</f>
        <v>-1.30395986537151</v>
      </c>
      <c r="M53" s="36" t="n">
        <v>2.57405307541446</v>
      </c>
      <c r="N53" s="36" t="n">
        <v>2.59365293598209</v>
      </c>
      <c r="O53" s="36" t="n">
        <f aca="false">SQRT(M53^2+N53^2)</f>
        <v>3.65414624603055</v>
      </c>
      <c r="P53" s="40" t="n">
        <f aca="false">IF(J53="","",MAX(0,J53-1.96*O53/100))</f>
        <v>0.343505754363021</v>
      </c>
      <c r="Q53" s="40" t="n">
        <f aca="false">IF(J53="","",MIN(1,J53+1.96*O53/100))</f>
        <v>0.486748287207418</v>
      </c>
      <c r="R53" s="32" t="str">
        <f aca="false">IF(L53="","",IF(ABS(L53)&lt;=O53,"Yes","No"))</f>
        <v>Yes</v>
      </c>
      <c r="S53" s="32" t="str">
        <f aca="false">IF(L53="","",IF(ABS(L53)&lt;=1.96*O53,"Yes","No"))</f>
        <v>Yes</v>
      </c>
      <c r="T53" s="60" t="n">
        <f aca="false">IF(D53="","",ROUND(SQRT(((D53+G53)*O53/100)^2+(J53*(D53+G53)*0.06092)^2),0))</f>
        <v>154</v>
      </c>
      <c r="U53" s="32"/>
    </row>
    <row r="54" customFormat="false" ht="15" hidden="false" customHeight="false" outlineLevel="0" collapsed="false">
      <c r="A54" s="32" t="s">
        <v>222</v>
      </c>
      <c r="B54" s="32" t="s">
        <v>224</v>
      </c>
      <c r="C54" s="32" t="s">
        <v>164</v>
      </c>
      <c r="D54" s="60" t="n">
        <v>961</v>
      </c>
      <c r="E54" s="60" t="n">
        <v>959</v>
      </c>
      <c r="F54" s="69" t="n">
        <f aca="false">IF(E54="","",D54-E54)</f>
        <v>2</v>
      </c>
      <c r="G54" s="60" t="n">
        <v>1375</v>
      </c>
      <c r="H54" s="60" t="n">
        <v>1364</v>
      </c>
      <c r="I54" s="69" t="n">
        <f aca="false">IF(H54="","",G54-H54)</f>
        <v>11</v>
      </c>
      <c r="J54" s="40" t="n">
        <f aca="false">IF(OR(D54="",D54+G54=0),"",D54/(D54+G54))</f>
        <v>0.41138698630137</v>
      </c>
      <c r="K54" s="40" t="n">
        <f aca="false">IF(E54="","",E54/(E54+H54))</f>
        <v>0.412828239345674</v>
      </c>
      <c r="L54" s="70" t="n">
        <f aca="false">IF(OR(K54="",J54=""),"",(J54-K54)*100)</f>
        <v>-0.144125304430381</v>
      </c>
      <c r="M54" s="36" t="n">
        <v>2.57405307541446</v>
      </c>
      <c r="N54" s="36" t="n">
        <v>2.59365293598209</v>
      </c>
      <c r="O54" s="36" t="n">
        <f aca="false">SQRT(M54^2+N54^2)</f>
        <v>3.65414624603055</v>
      </c>
      <c r="P54" s="40" t="n">
        <f aca="false">IF(J54="","",MAX(0,J54-1.96*O54/100))</f>
        <v>0.339765719879171</v>
      </c>
      <c r="Q54" s="40" t="n">
        <f aca="false">IF(J54="","",MIN(1,J54+1.96*O54/100))</f>
        <v>0.483008252723569</v>
      </c>
      <c r="R54" s="32" t="str">
        <f aca="false">IF(L54="","",IF(ABS(L54)&lt;=O54,"Yes","No"))</f>
        <v>Yes</v>
      </c>
      <c r="S54" s="32" t="str">
        <f aca="false">IF(L54="","",IF(ABS(L54)&lt;=1.96*O54,"Yes","No"))</f>
        <v>Yes</v>
      </c>
      <c r="T54" s="60" t="n">
        <f aca="false">IF(D54="","",ROUND(SQRT(((D54+G54)*O54/100)^2+(J54*(D54+G54)*0.06092)^2),0))</f>
        <v>104</v>
      </c>
      <c r="U54" s="32"/>
    </row>
    <row r="55" customFormat="false" ht="15" hidden="false" customHeight="false" outlineLevel="0" collapsed="false">
      <c r="A55" s="32" t="s">
        <v>222</v>
      </c>
      <c r="B55" s="32" t="s">
        <v>225</v>
      </c>
      <c r="C55" s="32" t="s">
        <v>164</v>
      </c>
      <c r="D55" s="60" t="n">
        <v>618</v>
      </c>
      <c r="E55" s="60" t="n">
        <v>623</v>
      </c>
      <c r="F55" s="69" t="n">
        <f aca="false">IF(E55="","",D55-E55)</f>
        <v>-5</v>
      </c>
      <c r="G55" s="60" t="n">
        <v>752</v>
      </c>
      <c r="H55" s="60" t="n">
        <v>726</v>
      </c>
      <c r="I55" s="69" t="n">
        <f aca="false">IF(H55="","",G55-H55)</f>
        <v>26</v>
      </c>
      <c r="J55" s="40" t="n">
        <f aca="false">IF(OR(D55="",D55+G55=0),"",D55/(D55+G55))</f>
        <v>0.451094890510949</v>
      </c>
      <c r="K55" s="40" t="n">
        <f aca="false">IF(E55="","",E55/(E55+H55))</f>
        <v>0.46182357301705</v>
      </c>
      <c r="L55" s="70" t="n">
        <f aca="false">IF(OR(K55="",J55=""),"",(J55-K55)*100)</f>
        <v>-1.07286825061008</v>
      </c>
      <c r="M55" s="36" t="n">
        <v>4.29619773844154</v>
      </c>
      <c r="N55" s="36" t="n">
        <v>2.59365293598209</v>
      </c>
      <c r="O55" s="36" t="n">
        <f aca="false">SQRT(M55^2+N55^2)</f>
        <v>5.01840119561188</v>
      </c>
      <c r="P55" s="40" t="n">
        <f aca="false">IF(J55="","",MAX(0,J55-1.96*O55/100))</f>
        <v>0.352734227076956</v>
      </c>
      <c r="Q55" s="40" t="n">
        <f aca="false">IF(J55="","",MIN(1,J55+1.96*O55/100))</f>
        <v>0.549455553944942</v>
      </c>
      <c r="R55" s="32" t="str">
        <f aca="false">IF(L55="","",IF(ABS(L55)&lt;=O55,"Yes","No"))</f>
        <v>Yes</v>
      </c>
      <c r="S55" s="32" t="str">
        <f aca="false">IF(L55="","",IF(ABS(L55)&lt;=1.96*O55,"Yes","No"))</f>
        <v>Yes</v>
      </c>
      <c r="T55" s="60" t="n">
        <f aca="false">IF(D55="","",ROUND(SQRT(((D55+G55)*O55/100)^2+(J55*(D55+G55)*0.07859)^2),0))</f>
        <v>84</v>
      </c>
      <c r="U55" s="32"/>
    </row>
    <row r="56" customFormat="false" ht="15" hidden="false" customHeight="false" outlineLevel="0" collapsed="false">
      <c r="A56" s="32" t="s">
        <v>222</v>
      </c>
      <c r="B56" s="32" t="s">
        <v>195</v>
      </c>
      <c r="C56" s="32" t="s">
        <v>164</v>
      </c>
      <c r="D56" s="60" t="n">
        <v>17028</v>
      </c>
      <c r="E56" s="60" t="n">
        <v>17416</v>
      </c>
      <c r="F56" s="69" t="n">
        <f aca="false">IF(E56="","",D56-E56)</f>
        <v>-388</v>
      </c>
      <c r="G56" s="60" t="n">
        <v>8555</v>
      </c>
      <c r="H56" s="60" t="n">
        <v>8640</v>
      </c>
      <c r="I56" s="69" t="n">
        <f aca="false">IF(H56="","",G56-H56)</f>
        <v>-85</v>
      </c>
      <c r="J56" s="40" t="n">
        <f aca="false">IF(OR(D56="",D56+G56=0),"",D56/(D56+G56))</f>
        <v>0.665598248837118</v>
      </c>
      <c r="K56" s="40" t="n">
        <f aca="false">IF(E56="","",E56/(E56+H56))</f>
        <v>0.668406509057415</v>
      </c>
      <c r="L56" s="70" t="n">
        <f aca="false">IF(OR(K56="",J56=""),"",(J56-K56)*100)</f>
        <v>-0.280826022029645</v>
      </c>
      <c r="M56" s="36" t="n">
        <v>2.03161354936355</v>
      </c>
      <c r="N56" s="36" t="n">
        <v>2.59365293598209</v>
      </c>
      <c r="O56" s="36" t="n">
        <f aca="false">SQRT(M56^2+N56^2)</f>
        <v>3.29461517726822</v>
      </c>
      <c r="P56" s="40" t="n">
        <f aca="false">IF(J56="","",MAX(0,J56-1.96*O56/100))</f>
        <v>0.601023791362661</v>
      </c>
      <c r="Q56" s="40" t="n">
        <f aca="false">IF(J56="","",MIN(1,J56+1.96*O56/100))</f>
        <v>0.730172706311575</v>
      </c>
      <c r="R56" s="32" t="str">
        <f aca="false">IF(L56="","",IF(ABS(L56)&lt;=O56,"Yes","No"))</f>
        <v>Yes</v>
      </c>
      <c r="S56" s="32" t="str">
        <f aca="false">IF(L56="","",IF(ABS(L56)&lt;=1.96*O56,"Yes","No"))</f>
        <v>Yes</v>
      </c>
      <c r="T56" s="60" t="n">
        <f aca="false">IF(D56="","",ROUND(SQRT(((D56+G56)*O56/100)^2+(J56*(D56+G56)*0.05464)^2),0))</f>
        <v>1255</v>
      </c>
      <c r="U56" s="32"/>
    </row>
    <row r="57" customFormat="false" ht="15" hidden="false" customHeight="false" outlineLevel="0" collapsed="false">
      <c r="A57" s="32" t="s">
        <v>222</v>
      </c>
      <c r="B57" s="32" t="s">
        <v>226</v>
      </c>
      <c r="C57" s="32" t="s">
        <v>164</v>
      </c>
      <c r="D57" s="60" t="n">
        <v>8261</v>
      </c>
      <c r="E57" s="60" t="n">
        <v>8595</v>
      </c>
      <c r="F57" s="69" t="n">
        <f aca="false">IF(E57="","",D57-E57)</f>
        <v>-334</v>
      </c>
      <c r="G57" s="60" t="n">
        <v>7672</v>
      </c>
      <c r="H57" s="60" t="n">
        <v>7440</v>
      </c>
      <c r="I57" s="69" t="n">
        <f aca="false">IF(H57="","",G57-H57)</f>
        <v>232</v>
      </c>
      <c r="J57" s="40" t="n">
        <f aca="false">IF(OR(D57="",D57+G57=0),"",D57/(D57+G57))</f>
        <v>0.518483650285571</v>
      </c>
      <c r="K57" s="40" t="n">
        <f aca="false">IF(E57="","",E57/(E57+H57))</f>
        <v>0.536014967259121</v>
      </c>
      <c r="L57" s="70" t="n">
        <f aca="false">IF(OR(K57="",J57=""),"",(J57-K57)*100)</f>
        <v>-1.75313169735498</v>
      </c>
      <c r="M57" s="36" t="n">
        <v>2.03161354936355</v>
      </c>
      <c r="N57" s="36" t="n">
        <v>2.59365293598209</v>
      </c>
      <c r="O57" s="36" t="n">
        <f aca="false">SQRT(M57^2+N57^2)</f>
        <v>3.29461517726822</v>
      </c>
      <c r="P57" s="40" t="n">
        <f aca="false">IF(J57="","",MAX(0,J57-1.96*O57/100))</f>
        <v>0.453909192811114</v>
      </c>
      <c r="Q57" s="40" t="n">
        <f aca="false">IF(J57="","",MIN(1,J57+1.96*O57/100))</f>
        <v>0.583058107760028</v>
      </c>
      <c r="R57" s="32" t="str">
        <f aca="false">IF(L57="","",IF(ABS(L57)&lt;=O57,"Yes","No"))</f>
        <v>Yes</v>
      </c>
      <c r="S57" s="32" t="str">
        <f aca="false">IF(L57="","",IF(ABS(L57)&lt;=1.96*O57,"Yes","No"))</f>
        <v>Yes</v>
      </c>
      <c r="T57" s="60" t="n">
        <f aca="false">IF(D57="","",ROUND(SQRT(((D57+G57)*O57/100)^2+(J57*(D57+G57)*0.05464)^2),0))</f>
        <v>692</v>
      </c>
      <c r="U57" s="32"/>
    </row>
    <row r="58" customFormat="false" ht="15" hidden="false" customHeight="false" outlineLevel="0" collapsed="false">
      <c r="A58" s="32" t="s">
        <v>222</v>
      </c>
      <c r="B58" s="32" t="s">
        <v>227</v>
      </c>
      <c r="C58" s="32" t="s">
        <v>164</v>
      </c>
      <c r="D58" s="60" t="n">
        <v>2056</v>
      </c>
      <c r="E58" s="60" t="n">
        <v>2169</v>
      </c>
      <c r="F58" s="69" t="n">
        <f aca="false">IF(E58="","",D58-E58)</f>
        <v>-113</v>
      </c>
      <c r="G58" s="60" t="n">
        <v>3559</v>
      </c>
      <c r="H58" s="60" t="n">
        <v>3459</v>
      </c>
      <c r="I58" s="69" t="n">
        <f aca="false">IF(H58="","",G58-H58)</f>
        <v>100</v>
      </c>
      <c r="J58" s="40" t="n">
        <f aca="false">IF(OR(D58="",D58+G58=0),"",D58/(D58+G58))</f>
        <v>0.366162065894924</v>
      </c>
      <c r="K58" s="40" t="n">
        <f aca="false">IF(E58="","",E58/(E58+H58))</f>
        <v>0.385394456289979</v>
      </c>
      <c r="L58" s="70" t="n">
        <f aca="false">IF(OR(K58="",J58=""),"",(J58-K58)*100)</f>
        <v>-1.92323903950544</v>
      </c>
      <c r="M58" s="36" t="n">
        <v>2.03161354936355</v>
      </c>
      <c r="N58" s="36" t="n">
        <v>2.59365293598209</v>
      </c>
      <c r="O58" s="36" t="n">
        <f aca="false">SQRT(M58^2+N58^2)</f>
        <v>3.29461517726822</v>
      </c>
      <c r="P58" s="40" t="n">
        <f aca="false">IF(J58="","",MAX(0,J58-1.96*O58/100))</f>
        <v>0.301587608420467</v>
      </c>
      <c r="Q58" s="40" t="n">
        <f aca="false">IF(J58="","",MIN(1,J58+1.96*O58/100))</f>
        <v>0.430736523369381</v>
      </c>
      <c r="R58" s="32" t="str">
        <f aca="false">IF(L58="","",IF(ABS(L58)&lt;=O58,"Yes","No"))</f>
        <v>Yes</v>
      </c>
      <c r="S58" s="32" t="str">
        <f aca="false">IF(L58="","",IF(ABS(L58)&lt;=1.96*O58,"Yes","No"))</f>
        <v>Yes</v>
      </c>
      <c r="T58" s="60" t="n">
        <f aca="false">IF(D58="","",ROUND(SQRT(((D58+G58)*O58/100)^2+(J58*(D58+G58)*0.05464)^2),0))</f>
        <v>216</v>
      </c>
      <c r="U58" s="32"/>
    </row>
    <row r="59" customFormat="false" ht="15" hidden="false" customHeight="false" outlineLevel="0" collapsed="false">
      <c r="A59" s="32" t="s">
        <v>222</v>
      </c>
      <c r="B59" s="32" t="s">
        <v>228</v>
      </c>
      <c r="C59" s="32" t="s">
        <v>164</v>
      </c>
      <c r="D59" s="60" t="n">
        <v>41</v>
      </c>
      <c r="E59" s="60" t="n">
        <v>40</v>
      </c>
      <c r="F59" s="69" t="n">
        <f aca="false">IF(E59="","",D59-E59)</f>
        <v>1</v>
      </c>
      <c r="G59" s="60" t="n">
        <v>80</v>
      </c>
      <c r="H59" s="60" t="n">
        <v>83</v>
      </c>
      <c r="I59" s="69" t="n">
        <f aca="false">IF(H59="","",G59-H59)</f>
        <v>-3</v>
      </c>
      <c r="J59" s="40" t="n">
        <f aca="false">IF(OR(D59="",D59+G59=0),"",D59/(D59+G59))</f>
        <v>0.338842975206612</v>
      </c>
      <c r="K59" s="40" t="n">
        <f aca="false">IF(E59="","",E59/(E59+H59))</f>
        <v>0.32520325203252</v>
      </c>
      <c r="L59" s="70" t="n">
        <f aca="false">IF(OR(K59="",J59=""),"",(J59-K59)*100)</f>
        <v>1.36397231740912</v>
      </c>
      <c r="M59" s="36" t="n">
        <v>4.29619773844154</v>
      </c>
      <c r="N59" s="36" t="n">
        <v>2.59365293598209</v>
      </c>
      <c r="O59" s="36" t="n">
        <f aca="false">SQRT(M59^2+N59^2)</f>
        <v>5.01840119561188</v>
      </c>
      <c r="P59" s="40" t="n">
        <f aca="false">IF(J59="","",MAX(0,J59-1.96*O59/100))</f>
        <v>0.240482311772619</v>
      </c>
      <c r="Q59" s="40" t="n">
        <f aca="false">IF(J59="","",MIN(1,J59+1.96*O59/100))</f>
        <v>0.437203638640604</v>
      </c>
      <c r="R59" s="32" t="str">
        <f aca="false">IF(L59="","",IF(ABS(L59)&lt;=O59,"Yes","No"))</f>
        <v>Yes</v>
      </c>
      <c r="S59" s="32" t="str">
        <f aca="false">IF(L59="","",IF(ABS(L59)&lt;=1.96*O59,"Yes","No"))</f>
        <v>Yes</v>
      </c>
      <c r="T59" s="60" t="n">
        <f aca="false">IF(D59="","",ROUND(SQRT(((D59+G59)*O59/100)^2+(J59*(D59+G59)*0.07859)^2),0))</f>
        <v>7</v>
      </c>
      <c r="U59" s="32"/>
    </row>
    <row r="60" customFormat="false" ht="15" hidden="false" customHeight="false" outlineLevel="0" collapsed="false">
      <c r="A60" s="32" t="s">
        <v>222</v>
      </c>
      <c r="B60" s="32" t="s">
        <v>229</v>
      </c>
      <c r="C60" s="32" t="s">
        <v>164</v>
      </c>
      <c r="D60" s="60" t="n">
        <v>1380</v>
      </c>
      <c r="E60" s="60" t="n">
        <v>1484</v>
      </c>
      <c r="F60" s="69" t="n">
        <f aca="false">IF(E60="","",D60-E60)</f>
        <v>-104</v>
      </c>
      <c r="G60" s="60" t="n">
        <v>1989</v>
      </c>
      <c r="H60" s="60" t="n">
        <v>1959</v>
      </c>
      <c r="I60" s="69" t="n">
        <f aca="false">IF(H60="","",G60-H60)</f>
        <v>30</v>
      </c>
      <c r="J60" s="40" t="n">
        <f aca="false">IF(OR(D60="",D60+G60=0),"",D60/(D60+G60))</f>
        <v>0.409617097061443</v>
      </c>
      <c r="K60" s="40" t="n">
        <f aca="false">IF(E60="","",E60/(E60+H60))</f>
        <v>0.431019459773453</v>
      </c>
      <c r="L60" s="70" t="n">
        <f aca="false">IF(OR(K60="",J60=""),"",(J60-K60)*100)</f>
        <v>-2.14023627120108</v>
      </c>
      <c r="M60" s="36" t="n">
        <v>2.57405307541446</v>
      </c>
      <c r="N60" s="36" t="n">
        <v>2.59365293598209</v>
      </c>
      <c r="O60" s="36" t="n">
        <f aca="false">SQRT(M60^2+N60^2)</f>
        <v>3.65414624603055</v>
      </c>
      <c r="P60" s="40" t="n">
        <f aca="false">IF(J60="","",MAX(0,J60-1.96*O60/100))</f>
        <v>0.337995830639244</v>
      </c>
      <c r="Q60" s="40" t="n">
        <f aca="false">IF(J60="","",MIN(1,J60+1.96*O60/100))</f>
        <v>0.481238363483641</v>
      </c>
      <c r="R60" s="32" t="str">
        <f aca="false">IF(L60="","",IF(ABS(L60)&lt;=O60,"Yes","No"))</f>
        <v>Yes</v>
      </c>
      <c r="S60" s="32" t="str">
        <f aca="false">IF(L60="","",IF(ABS(L60)&lt;=1.96*O60,"Yes","No"))</f>
        <v>Yes</v>
      </c>
      <c r="T60" s="60" t="n">
        <f aca="false">IF(D60="","",ROUND(SQRT(((D60+G60)*O60/100)^2+(J60*(D60+G60)*0.06092)^2),0))</f>
        <v>149</v>
      </c>
      <c r="U60" s="32"/>
    </row>
    <row r="61" customFormat="false" ht="15" hidden="false" customHeight="false" outlineLevel="0" collapsed="false">
      <c r="A61" s="32" t="s">
        <v>222</v>
      </c>
      <c r="B61" s="32" t="s">
        <v>230</v>
      </c>
      <c r="C61" s="32" t="s">
        <v>164</v>
      </c>
      <c r="D61" s="60" t="n">
        <v>184</v>
      </c>
      <c r="E61" s="60" t="n">
        <v>217</v>
      </c>
      <c r="F61" s="69" t="n">
        <f aca="false">IF(E61="","",D61-E61)</f>
        <v>-33</v>
      </c>
      <c r="G61" s="60" t="n">
        <v>327</v>
      </c>
      <c r="H61" s="60" t="n">
        <v>309</v>
      </c>
      <c r="I61" s="69" t="n">
        <f aca="false">IF(H61="","",G61-H61)</f>
        <v>18</v>
      </c>
      <c r="J61" s="40" t="n">
        <f aca="false">IF(OR(D61="",D61+G61=0),"",D61/(D61+G61))</f>
        <v>0.360078277886497</v>
      </c>
      <c r="K61" s="40" t="n">
        <f aca="false">IF(E61="","",E61/(E61+H61))</f>
        <v>0.41254752851711</v>
      </c>
      <c r="L61" s="70" t="n">
        <f aca="false">IF(OR(K61="",J61=""),"",(J61-K61)*100)</f>
        <v>-5.24692506306132</v>
      </c>
      <c r="M61" s="36" t="n">
        <v>4.29619773844154</v>
      </c>
      <c r="N61" s="36" t="n">
        <v>2.59365293598209</v>
      </c>
      <c r="O61" s="36" t="n">
        <f aca="false">SQRT(M61^2+N61^2)</f>
        <v>5.01840119561188</v>
      </c>
      <c r="P61" s="40" t="n">
        <f aca="false">IF(J61="","",MAX(0,J61-1.96*O61/100))</f>
        <v>0.261717614452504</v>
      </c>
      <c r="Q61" s="40" t="n">
        <f aca="false">IF(J61="","",MIN(1,J61+1.96*O61/100))</f>
        <v>0.45843894132049</v>
      </c>
      <c r="R61" s="32" t="str">
        <f aca="false">IF(L61="","",IF(ABS(L61)&lt;=O61,"Yes","No"))</f>
        <v>No</v>
      </c>
      <c r="S61" s="32" t="str">
        <f aca="false">IF(L61="","",IF(ABS(L61)&lt;=1.96*O61,"Yes","No"))</f>
        <v>Yes</v>
      </c>
      <c r="T61" s="60" t="n">
        <f aca="false">IF(D61="","",ROUND(SQRT(((D61+G61)*O61/100)^2+(J61*(D61+G61)*0.07859)^2),0))</f>
        <v>29</v>
      </c>
      <c r="U61" s="32"/>
    </row>
    <row r="62" customFormat="false" ht="15" hidden="false" customHeight="false" outlineLevel="0" collapsed="false">
      <c r="A62" s="32" t="s">
        <v>222</v>
      </c>
      <c r="B62" s="32" t="s">
        <v>231</v>
      </c>
      <c r="C62" s="32" t="s">
        <v>164</v>
      </c>
      <c r="D62" s="60" t="n">
        <v>7341</v>
      </c>
      <c r="E62" s="60" t="n">
        <v>7604</v>
      </c>
      <c r="F62" s="69" t="n">
        <f aca="false">IF(E62="","",D62-E62)</f>
        <v>-263</v>
      </c>
      <c r="G62" s="60" t="n">
        <v>3190</v>
      </c>
      <c r="H62" s="60" t="n">
        <v>3303</v>
      </c>
      <c r="I62" s="69" t="n">
        <f aca="false">IF(H62="","",G62-H62)</f>
        <v>-113</v>
      </c>
      <c r="J62" s="40" t="n">
        <f aca="false">IF(OR(D62="",D62+G62=0),"",D62/(D62+G62))</f>
        <v>0.697084797265217</v>
      </c>
      <c r="K62" s="40" t="n">
        <f aca="false">IF(E62="","",E62/(E62+H62))</f>
        <v>0.697166957000092</v>
      </c>
      <c r="L62" s="70" t="n">
        <f aca="false">IF(OR(K62="",J62=""),"",(J62-K62)*100)</f>
        <v>-0.00821597348746872</v>
      </c>
      <c r="M62" s="36" t="n">
        <v>2.03161354936355</v>
      </c>
      <c r="N62" s="36" t="n">
        <v>2.59365293598209</v>
      </c>
      <c r="O62" s="36" t="n">
        <f aca="false">SQRT(M62^2+N62^2)</f>
        <v>3.29461517726822</v>
      </c>
      <c r="P62" s="40" t="n">
        <f aca="false">IF(J62="","",MAX(0,J62-1.96*O62/100))</f>
        <v>0.63251033979076</v>
      </c>
      <c r="Q62" s="40" t="n">
        <f aca="false">IF(J62="","",MIN(1,J62+1.96*O62/100))</f>
        <v>0.761659254739674</v>
      </c>
      <c r="R62" s="32" t="str">
        <f aca="false">IF(L62="","",IF(ABS(L62)&lt;=O62,"Yes","No"))</f>
        <v>Yes</v>
      </c>
      <c r="S62" s="32" t="str">
        <f aca="false">IF(L62="","",IF(ABS(L62)&lt;=1.96*O62,"Yes","No"))</f>
        <v>Yes</v>
      </c>
      <c r="T62" s="60" t="n">
        <f aca="false">IF(D62="","",ROUND(SQRT(((D62+G62)*O62/100)^2+(J62*(D62+G62)*0.05464)^2),0))</f>
        <v>530</v>
      </c>
      <c r="U62" s="32"/>
    </row>
    <row r="63" customFormat="false" ht="15" hidden="false" customHeight="false" outlineLevel="0" collapsed="false">
      <c r="A63" s="32" t="s">
        <v>222</v>
      </c>
      <c r="B63" s="32" t="s">
        <v>232</v>
      </c>
      <c r="C63" s="32" t="s">
        <v>164</v>
      </c>
      <c r="D63" s="60" t="n">
        <v>5256</v>
      </c>
      <c r="E63" s="60" t="n">
        <v>5358</v>
      </c>
      <c r="F63" s="69" t="n">
        <f aca="false">IF(E63="","",D63-E63)</f>
        <v>-102</v>
      </c>
      <c r="G63" s="60" t="n">
        <v>5023</v>
      </c>
      <c r="H63" s="60" t="n">
        <v>5027</v>
      </c>
      <c r="I63" s="69" t="n">
        <f aca="false">IF(H63="","",G63-H63)</f>
        <v>-4</v>
      </c>
      <c r="J63" s="40" t="n">
        <f aca="false">IF(OR(D63="",D63+G63=0),"",D63/(D63+G63))</f>
        <v>0.511333787333398</v>
      </c>
      <c r="K63" s="40" t="n">
        <f aca="false">IF(E63="","",E63/(E63+H63))</f>
        <v>0.515936446798267</v>
      </c>
      <c r="L63" s="70" t="n">
        <f aca="false">IF(OR(K63="",J63=""),"",(J63-K63)*100)</f>
        <v>-0.46026594648686</v>
      </c>
      <c r="M63" s="36" t="n">
        <v>2.03161354936355</v>
      </c>
      <c r="N63" s="36" t="n">
        <v>2.59365293598209</v>
      </c>
      <c r="O63" s="36" t="n">
        <f aca="false">SQRT(M63^2+N63^2)</f>
        <v>3.29461517726822</v>
      </c>
      <c r="P63" s="40" t="n">
        <f aca="false">IF(J63="","",MAX(0,J63-1.96*O63/100))</f>
        <v>0.446759329858941</v>
      </c>
      <c r="Q63" s="40" t="n">
        <f aca="false">IF(J63="","",MIN(1,J63+1.96*O63/100))</f>
        <v>0.575908244807855</v>
      </c>
      <c r="R63" s="32" t="str">
        <f aca="false">IF(L63="","",IF(ABS(L63)&lt;=O63,"Yes","No"))</f>
        <v>Yes</v>
      </c>
      <c r="S63" s="32" t="str">
        <f aca="false">IF(L63="","",IF(ABS(L63)&lt;=1.96*O63,"Yes","No"))</f>
        <v>Yes</v>
      </c>
      <c r="T63" s="60" t="n">
        <f aca="false">IF(D63="","",ROUND(SQRT(((D63+G63)*O63/100)^2+(J63*(D63+G63)*0.05464)^2),0))</f>
        <v>444</v>
      </c>
      <c r="U63" s="32"/>
    </row>
    <row r="64" customFormat="false" ht="15" hidden="false" customHeight="false" outlineLevel="0" collapsed="false">
      <c r="A64" s="32" t="s">
        <v>222</v>
      </c>
      <c r="B64" s="32" t="s">
        <v>233</v>
      </c>
      <c r="C64" s="32" t="s">
        <v>164</v>
      </c>
      <c r="D64" s="60" t="n">
        <v>737</v>
      </c>
      <c r="E64" s="60" t="n">
        <v>714</v>
      </c>
      <c r="F64" s="69" t="n">
        <f aca="false">IF(E64="","",D64-E64)</f>
        <v>23</v>
      </c>
      <c r="G64" s="60" t="n">
        <v>528</v>
      </c>
      <c r="H64" s="60" t="n">
        <v>484</v>
      </c>
      <c r="I64" s="69" t="n">
        <f aca="false">IF(H64="","",G64-H64)</f>
        <v>44</v>
      </c>
      <c r="J64" s="40" t="n">
        <f aca="false">IF(OR(D64="",D64+G64=0),"",D64/(D64+G64))</f>
        <v>0.582608695652174</v>
      </c>
      <c r="K64" s="40" t="n">
        <f aca="false">IF(E64="","",E64/(E64+H64))</f>
        <v>0.595993322203673</v>
      </c>
      <c r="L64" s="70" t="n">
        <f aca="false">IF(OR(K64="",J64=""),"",(J64-K64)*100)</f>
        <v>-1.33846265514989</v>
      </c>
      <c r="M64" s="36" t="n">
        <v>4.29619773844154</v>
      </c>
      <c r="N64" s="36" t="n">
        <v>2.59365293598209</v>
      </c>
      <c r="O64" s="36" t="n">
        <f aca="false">SQRT(M64^2+N64^2)</f>
        <v>5.01840119561188</v>
      </c>
      <c r="P64" s="40" t="n">
        <f aca="false">IF(J64="","",MAX(0,J64-1.96*O64/100))</f>
        <v>0.484248032218181</v>
      </c>
      <c r="Q64" s="40" t="n">
        <f aca="false">IF(J64="","",MIN(1,J64+1.96*O64/100))</f>
        <v>0.680969359086167</v>
      </c>
      <c r="R64" s="32" t="str">
        <f aca="false">IF(L64="","",IF(ABS(L64)&lt;=O64,"Yes","No"))</f>
        <v>Yes</v>
      </c>
      <c r="S64" s="32" t="str">
        <f aca="false">IF(L64="","",IF(ABS(L64)&lt;=1.96*O64,"Yes","No"))</f>
        <v>Yes</v>
      </c>
      <c r="T64" s="60" t="n">
        <f aca="false">IF(D64="","",ROUND(SQRT(((D64+G64)*O64/100)^2+(J64*(D64+G64)*0.07859)^2),0))</f>
        <v>86</v>
      </c>
      <c r="U64" s="32"/>
    </row>
    <row r="65" customFormat="false" ht="15" hidden="false" customHeight="false" outlineLevel="0" collapsed="false">
      <c r="A65" s="32" t="s">
        <v>222</v>
      </c>
      <c r="B65" s="32" t="s">
        <v>234</v>
      </c>
      <c r="C65" s="32" t="s">
        <v>164</v>
      </c>
      <c r="D65" s="60" t="n">
        <v>103</v>
      </c>
      <c r="E65" s="60" t="n">
        <v>109</v>
      </c>
      <c r="F65" s="69" t="n">
        <f aca="false">IF(E65="","",D65-E65)</f>
        <v>-6</v>
      </c>
      <c r="G65" s="60" t="n">
        <v>102</v>
      </c>
      <c r="H65" s="60" t="n">
        <v>97</v>
      </c>
      <c r="I65" s="69" t="n">
        <f aca="false">IF(H65="","",G65-H65)</f>
        <v>5</v>
      </c>
      <c r="J65" s="40" t="n">
        <f aca="false">IF(OR(D65="",D65+G65=0),"",D65/(D65+G65))</f>
        <v>0.502439024390244</v>
      </c>
      <c r="K65" s="40" t="n">
        <f aca="false">IF(E65="","",E65/(E65+H65))</f>
        <v>0.529126213592233</v>
      </c>
      <c r="L65" s="70" t="n">
        <f aca="false">IF(OR(K65="",J65=""),"",(J65-K65)*100)</f>
        <v>-2.66871892019891</v>
      </c>
      <c r="M65" s="36" t="n">
        <v>4.29619773844154</v>
      </c>
      <c r="N65" s="36" t="n">
        <v>2.59365293598209</v>
      </c>
      <c r="O65" s="36" t="n">
        <f aca="false">SQRT(M65^2+N65^2)</f>
        <v>5.01840119561188</v>
      </c>
      <c r="P65" s="40" t="n">
        <f aca="false">IF(J65="","",MAX(0,J65-1.96*O65/100))</f>
        <v>0.404078360956251</v>
      </c>
      <c r="Q65" s="40" t="n">
        <f aca="false">IF(J65="","",MIN(1,J65+1.96*O65/100))</f>
        <v>0.600799687824237</v>
      </c>
      <c r="R65" s="32" t="str">
        <f aca="false">IF(L65="","",IF(ABS(L65)&lt;=O65,"Yes","No"))</f>
        <v>Yes</v>
      </c>
      <c r="S65" s="32" t="str">
        <f aca="false">IF(L65="","",IF(ABS(L65)&lt;=1.96*O65,"Yes","No"))</f>
        <v>Yes</v>
      </c>
      <c r="T65" s="60" t="n">
        <f aca="false">IF(D65="","",ROUND(SQRT(((D65+G65)*O65/100)^2+(J65*(D65+G65)*0.07859)^2),0))</f>
        <v>13</v>
      </c>
      <c r="U65" s="32"/>
    </row>
    <row r="66" customFormat="false" ht="15" hidden="false" customHeight="false" outlineLevel="0" collapsed="false">
      <c r="A66" s="32" t="s">
        <v>222</v>
      </c>
      <c r="B66" s="32" t="s">
        <v>201</v>
      </c>
      <c r="C66" s="32" t="s">
        <v>164</v>
      </c>
      <c r="D66" s="60" t="n">
        <v>4166</v>
      </c>
      <c r="E66" s="60" t="n">
        <v>4341</v>
      </c>
      <c r="F66" s="69" t="n">
        <f aca="false">IF(E66="","",D66-E66)</f>
        <v>-175</v>
      </c>
      <c r="G66" s="60" t="n">
        <v>3783</v>
      </c>
      <c r="H66" s="60" t="n">
        <v>3620</v>
      </c>
      <c r="I66" s="69" t="n">
        <f aca="false">IF(H66="","",G66-H66)</f>
        <v>163</v>
      </c>
      <c r="J66" s="40" t="n">
        <f aca="false">IF(OR(D66="",D66+G66=0),"",D66/(D66+G66))</f>
        <v>0.524091080639074</v>
      </c>
      <c r="K66" s="40" t="n">
        <f aca="false">IF(E66="","",E66/(E66+H66))</f>
        <v>0.545283255872378</v>
      </c>
      <c r="L66" s="70" t="n">
        <f aca="false">IF(OR(K66="",J66=""),"",(J66-K66)*100)</f>
        <v>-2.11921752333037</v>
      </c>
      <c r="M66" s="36" t="n">
        <v>2.03161354936355</v>
      </c>
      <c r="N66" s="36" t="n">
        <v>2.59365293598209</v>
      </c>
      <c r="O66" s="36" t="n">
        <f aca="false">SQRT(M66^2+N66^2)</f>
        <v>3.29461517726822</v>
      </c>
      <c r="P66" s="40" t="n">
        <f aca="false">IF(J66="","",MAX(0,J66-1.96*O66/100))</f>
        <v>0.459516623164617</v>
      </c>
      <c r="Q66" s="40" t="n">
        <f aca="false">IF(J66="","",MIN(1,J66+1.96*O66/100))</f>
        <v>0.588665538113531</v>
      </c>
      <c r="R66" s="32" t="str">
        <f aca="false">IF(L66="","",IF(ABS(L66)&lt;=O66,"Yes","No"))</f>
        <v>Yes</v>
      </c>
      <c r="S66" s="32" t="str">
        <f aca="false">IF(L66="","",IF(ABS(L66)&lt;=1.96*O66,"Yes","No"))</f>
        <v>Yes</v>
      </c>
      <c r="T66" s="60" t="n">
        <f aca="false">IF(D66="","",ROUND(SQRT(((D66+G66)*O66/100)^2+(J66*(D66+G66)*0.05464)^2),0))</f>
        <v>347</v>
      </c>
      <c r="U66" s="32"/>
    </row>
    <row r="67" customFormat="false" ht="15" hidden="false" customHeight="false" outlineLevel="0" collapsed="false">
      <c r="A67" s="32" t="s">
        <v>222</v>
      </c>
      <c r="B67" s="32" t="s">
        <v>235</v>
      </c>
      <c r="C67" s="32" t="s">
        <v>164</v>
      </c>
      <c r="D67" s="60" t="n">
        <v>1715</v>
      </c>
      <c r="E67" s="60" t="n">
        <v>1726</v>
      </c>
      <c r="F67" s="69" t="n">
        <f aca="false">IF(E67="","",D67-E67)</f>
        <v>-11</v>
      </c>
      <c r="G67" s="60" t="n">
        <v>1644</v>
      </c>
      <c r="H67" s="60" t="n">
        <v>1685</v>
      </c>
      <c r="I67" s="69" t="n">
        <f aca="false">IF(H67="","",G67-H67)</f>
        <v>-41</v>
      </c>
      <c r="J67" s="40" t="n">
        <f aca="false">IF(OR(D67="",D67+G67=0),"",D67/(D67+G67))</f>
        <v>0.510568621613576</v>
      </c>
      <c r="K67" s="40" t="n">
        <f aca="false">IF(E67="","",E67/(E67+H67))</f>
        <v>0.506009967751393</v>
      </c>
      <c r="L67" s="70" t="n">
        <f aca="false">IF(OR(K67="",J67=""),"",(J67-K67)*100)</f>
        <v>0.455865386218302</v>
      </c>
      <c r="M67" s="36" t="n">
        <v>2.57405307541446</v>
      </c>
      <c r="N67" s="36" t="n">
        <v>2.59365293598209</v>
      </c>
      <c r="O67" s="36" t="n">
        <f aca="false">SQRT(M67^2+N67^2)</f>
        <v>3.65414624603055</v>
      </c>
      <c r="P67" s="40" t="n">
        <f aca="false">IF(J67="","",MAX(0,J67-1.96*O67/100))</f>
        <v>0.438947355191377</v>
      </c>
      <c r="Q67" s="40" t="n">
        <f aca="false">IF(J67="","",MIN(1,J67+1.96*O67/100))</f>
        <v>0.582189888035774</v>
      </c>
      <c r="R67" s="32" t="str">
        <f aca="false">IF(L67="","",IF(ABS(L67)&lt;=O67,"Yes","No"))</f>
        <v>Yes</v>
      </c>
      <c r="S67" s="32" t="str">
        <f aca="false">IF(L67="","",IF(ABS(L67)&lt;=1.96*O67,"Yes","No"))</f>
        <v>Yes</v>
      </c>
      <c r="T67" s="60" t="n">
        <f aca="false">IF(D67="","",ROUND(SQRT(((D67+G67)*O67/100)^2+(J67*(D67+G67)*0.06092)^2),0))</f>
        <v>161</v>
      </c>
      <c r="U67" s="32"/>
    </row>
    <row r="68" customFormat="false" ht="15" hidden="false" customHeight="false" outlineLevel="0" collapsed="false">
      <c r="A68" s="32" t="s">
        <v>222</v>
      </c>
      <c r="B68" s="32" t="s">
        <v>236</v>
      </c>
      <c r="C68" s="32" t="s">
        <v>164</v>
      </c>
      <c r="D68" s="60" t="n">
        <v>2175</v>
      </c>
      <c r="E68" s="60" t="n">
        <v>2244</v>
      </c>
      <c r="F68" s="69" t="n">
        <f aca="false">IF(E68="","",D68-E68)</f>
        <v>-69</v>
      </c>
      <c r="G68" s="60" t="n">
        <v>4474</v>
      </c>
      <c r="H68" s="60" t="n">
        <v>4439</v>
      </c>
      <c r="I68" s="69" t="n">
        <f aca="false">IF(H68="","",G68-H68)</f>
        <v>35</v>
      </c>
      <c r="J68" s="40" t="n">
        <f aca="false">IF(OR(D68="",D68+G68=0),"",D68/(D68+G68))</f>
        <v>0.327116859678147</v>
      </c>
      <c r="K68" s="40" t="n">
        <f aca="false">IF(E68="","",E68/(E68+H68))</f>
        <v>0.335777345503516</v>
      </c>
      <c r="L68" s="70" t="n">
        <f aca="false">IF(OR(K68="",J68=""),"",(J68-K68)*100)</f>
        <v>-0.866048582536932</v>
      </c>
      <c r="M68" s="36" t="n">
        <v>2.03161354936355</v>
      </c>
      <c r="N68" s="36" t="n">
        <v>2.59365293598209</v>
      </c>
      <c r="O68" s="36" t="n">
        <f aca="false">SQRT(M68^2+N68^2)</f>
        <v>3.29461517726822</v>
      </c>
      <c r="P68" s="40" t="n">
        <f aca="false">IF(J68="","",MAX(0,J68-1.96*O68/100))</f>
        <v>0.26254240220369</v>
      </c>
      <c r="Q68" s="40" t="n">
        <f aca="false">IF(J68="","",MIN(1,J68+1.96*O68/100))</f>
        <v>0.391691317152604</v>
      </c>
      <c r="R68" s="32" t="str">
        <f aca="false">IF(L68="","",IF(ABS(L68)&lt;=O68,"Yes","No"))</f>
        <v>Yes</v>
      </c>
      <c r="S68" s="32" t="str">
        <f aca="false">IF(L68="","",IF(ABS(L68)&lt;=1.96*O68,"Yes","No"))</f>
        <v>Yes</v>
      </c>
      <c r="T68" s="60" t="n">
        <f aca="false">IF(D68="","",ROUND(SQRT(((D68+G68)*O68/100)^2+(J68*(D68+G68)*0.05464)^2),0))</f>
        <v>249</v>
      </c>
      <c r="U68" s="32"/>
    </row>
    <row r="69" customFormat="false" ht="15" hidden="false" customHeight="false" outlineLevel="0" collapsed="false">
      <c r="A69" s="32" t="s">
        <v>222</v>
      </c>
      <c r="B69" s="32" t="s">
        <v>237</v>
      </c>
      <c r="C69" s="32" t="s">
        <v>164</v>
      </c>
      <c r="D69" s="60" t="n">
        <v>605</v>
      </c>
      <c r="E69" s="60" t="n">
        <v>625</v>
      </c>
      <c r="F69" s="69" t="n">
        <f aca="false">IF(E69="","",D69-E69)</f>
        <v>-20</v>
      </c>
      <c r="G69" s="60" t="n">
        <v>1186</v>
      </c>
      <c r="H69" s="60" t="n">
        <v>1214</v>
      </c>
      <c r="I69" s="69" t="n">
        <f aca="false">IF(H69="","",G69-H69)</f>
        <v>-28</v>
      </c>
      <c r="J69" s="40" t="n">
        <f aca="false">IF(OR(D69="",D69+G69=0),"",D69/(D69+G69))</f>
        <v>0.337800111669458</v>
      </c>
      <c r="K69" s="40" t="n">
        <f aca="false">IF(E69="","",E69/(E69+H69))</f>
        <v>0.339858618814573</v>
      </c>
      <c r="L69" s="70" t="n">
        <f aca="false">IF(OR(K69="",J69=""),"",(J69-K69)*100)</f>
        <v>-0.205850714511474</v>
      </c>
      <c r="M69" s="36" t="n">
        <v>2.57405307541446</v>
      </c>
      <c r="N69" s="36" t="n">
        <v>2.59365293598209</v>
      </c>
      <c r="O69" s="36" t="n">
        <f aca="false">SQRT(M69^2+N69^2)</f>
        <v>3.65414624603055</v>
      </c>
      <c r="P69" s="40" t="n">
        <f aca="false">IF(J69="","",MAX(0,J69-1.96*O69/100))</f>
        <v>0.26617884524726</v>
      </c>
      <c r="Q69" s="40" t="n">
        <f aca="false">IF(J69="","",MIN(1,J69+1.96*O69/100))</f>
        <v>0.409421378091657</v>
      </c>
      <c r="R69" s="32" t="str">
        <f aca="false">IF(L69="","",IF(ABS(L69)&lt;=O69,"Yes","No"))</f>
        <v>Yes</v>
      </c>
      <c r="S69" s="32" t="str">
        <f aca="false">IF(L69="","",IF(ABS(L69)&lt;=1.96*O69,"Yes","No"))</f>
        <v>Yes</v>
      </c>
      <c r="T69" s="60" t="n">
        <f aca="false">IF(D69="","",ROUND(SQRT(((D69+G69)*O69/100)^2+(J69*(D69+G69)*0.06092)^2),0))</f>
        <v>75</v>
      </c>
      <c r="U69" s="32"/>
    </row>
    <row r="70" customFormat="false" ht="15" hidden="false" customHeight="false" outlineLevel="0" collapsed="false">
      <c r="A70" s="32" t="s">
        <v>222</v>
      </c>
      <c r="B70" s="32" t="s">
        <v>238</v>
      </c>
      <c r="C70" s="32" t="s">
        <v>164</v>
      </c>
      <c r="D70" s="60" t="n">
        <v>1885</v>
      </c>
      <c r="E70" s="60" t="n">
        <v>2047</v>
      </c>
      <c r="F70" s="69" t="n">
        <f aca="false">IF(E70="","",D70-E70)</f>
        <v>-162</v>
      </c>
      <c r="G70" s="60" t="n">
        <v>2670</v>
      </c>
      <c r="H70" s="60" t="n">
        <v>2499</v>
      </c>
      <c r="I70" s="69" t="n">
        <f aca="false">IF(H70="","",G70-H70)</f>
        <v>171</v>
      </c>
      <c r="J70" s="40" t="n">
        <f aca="false">IF(OR(D70="",D70+G70=0),"",D70/(D70+G70))</f>
        <v>0.413830954994512</v>
      </c>
      <c r="K70" s="40" t="n">
        <f aca="false">IF(E70="","",E70/(E70+H70))</f>
        <v>0.450285965684118</v>
      </c>
      <c r="L70" s="70" t="n">
        <f aca="false">IF(OR(K70="",J70=""),"",(J70-K70)*100)</f>
        <v>-3.64550106896064</v>
      </c>
      <c r="M70" s="36" t="n">
        <v>2.03161354936355</v>
      </c>
      <c r="N70" s="36" t="n">
        <v>2.59365293598209</v>
      </c>
      <c r="O70" s="36" t="n">
        <f aca="false">SQRT(M70^2+N70^2)</f>
        <v>3.29461517726822</v>
      </c>
      <c r="P70" s="40" t="n">
        <f aca="false">IF(J70="","",MAX(0,J70-1.96*O70/100))</f>
        <v>0.349256497520055</v>
      </c>
      <c r="Q70" s="40" t="n">
        <f aca="false">IF(J70="","",MIN(1,J70+1.96*O70/100))</f>
        <v>0.478405412468969</v>
      </c>
      <c r="R70" s="32" t="str">
        <f aca="false">IF(L70="","",IF(ABS(L70)&lt;=O70,"Yes","No"))</f>
        <v>No</v>
      </c>
      <c r="S70" s="32" t="str">
        <f aca="false">IF(L70="","",IF(ABS(L70)&lt;=1.96*O70,"Yes","No"))</f>
        <v>Yes</v>
      </c>
      <c r="T70" s="60" t="n">
        <f aca="false">IF(D70="","",ROUND(SQRT(((D70+G70)*O70/100)^2+(J70*(D70+G70)*0.05464)^2),0))</f>
        <v>182</v>
      </c>
      <c r="U70" s="32"/>
    </row>
    <row r="71" customFormat="false" ht="15" hidden="false" customHeight="false" outlineLevel="0" collapsed="false">
      <c r="A71" s="32" t="s">
        <v>222</v>
      </c>
      <c r="B71" s="32" t="s">
        <v>239</v>
      </c>
      <c r="C71" s="32" t="s">
        <v>164</v>
      </c>
      <c r="D71" s="60" t="n">
        <v>3401</v>
      </c>
      <c r="E71" s="60" t="n">
        <v>3457</v>
      </c>
      <c r="F71" s="69" t="n">
        <f aca="false">IF(E71="","",D71-E71)</f>
        <v>-56</v>
      </c>
      <c r="G71" s="60" t="n">
        <v>3822</v>
      </c>
      <c r="H71" s="60" t="n">
        <v>3805</v>
      </c>
      <c r="I71" s="69" t="n">
        <f aca="false">IF(H71="","",G71-H71)</f>
        <v>17</v>
      </c>
      <c r="J71" s="40" t="n">
        <f aca="false">IF(OR(D71="",D71+G71=0),"",D71/(D71+G71))</f>
        <v>0.470856984632424</v>
      </c>
      <c r="K71" s="40" t="n">
        <f aca="false">IF(E71="","",E71/(E71+H71))</f>
        <v>0.476039658496282</v>
      </c>
      <c r="L71" s="70" t="n">
        <f aca="false">IF(OR(K71="",J71=""),"",(J71-K71)*100)</f>
        <v>-0.518267386385779</v>
      </c>
      <c r="M71" s="36" t="n">
        <v>2.03161354936355</v>
      </c>
      <c r="N71" s="36" t="n">
        <v>2.59365293598209</v>
      </c>
      <c r="O71" s="36" t="n">
        <f aca="false">SQRT(M71^2+N71^2)</f>
        <v>3.29461517726822</v>
      </c>
      <c r="P71" s="40" t="n">
        <f aca="false">IF(J71="","",MAX(0,J71-1.96*O71/100))</f>
        <v>0.406282527157967</v>
      </c>
      <c r="Q71" s="40" t="n">
        <f aca="false">IF(J71="","",MIN(1,J71+1.96*O71/100))</f>
        <v>0.535431442106881</v>
      </c>
      <c r="R71" s="32" t="str">
        <f aca="false">IF(L71="","",IF(ABS(L71)&lt;=O71,"Yes","No"))</f>
        <v>Yes</v>
      </c>
      <c r="S71" s="32" t="str">
        <f aca="false">IF(L71="","",IF(ABS(L71)&lt;=1.96*O71,"Yes","No"))</f>
        <v>Yes</v>
      </c>
      <c r="T71" s="60" t="n">
        <f aca="false">IF(D71="","",ROUND(SQRT(((D71+G71)*O71/100)^2+(J71*(D71+G71)*0.05464)^2),0))</f>
        <v>302</v>
      </c>
      <c r="U71" s="32"/>
    </row>
    <row r="72" customFormat="false" ht="15" hidden="false" customHeight="false" outlineLevel="0" collapsed="false">
      <c r="A72" s="32" t="s">
        <v>222</v>
      </c>
      <c r="B72" s="32" t="s">
        <v>240</v>
      </c>
      <c r="C72" s="32" t="s">
        <v>164</v>
      </c>
      <c r="D72" s="60" t="n">
        <v>1950</v>
      </c>
      <c r="E72" s="60" t="n">
        <v>2006</v>
      </c>
      <c r="F72" s="69" t="n">
        <f aca="false">IF(E72="","",D72-E72)</f>
        <v>-56</v>
      </c>
      <c r="G72" s="60" t="n">
        <v>3997</v>
      </c>
      <c r="H72" s="60" t="n">
        <v>4057</v>
      </c>
      <c r="I72" s="69" t="n">
        <f aca="false">IF(H72="","",G72-H72)</f>
        <v>-60</v>
      </c>
      <c r="J72" s="40" t="n">
        <f aca="false">IF(OR(D72="",D72+G72=0),"",D72/(D72+G72))</f>
        <v>0.327896418362199</v>
      </c>
      <c r="K72" s="40" t="n">
        <f aca="false">IF(E72="","",E72/(E72+H72))</f>
        <v>0.330859310572324</v>
      </c>
      <c r="L72" s="70" t="n">
        <f aca="false">IF(OR(K72="",J72=""),"",(J72-K72)*100)</f>
        <v>-0.296289221012452</v>
      </c>
      <c r="M72" s="36" t="n">
        <v>2.03161354936355</v>
      </c>
      <c r="N72" s="36" t="n">
        <v>2.59365293598209</v>
      </c>
      <c r="O72" s="36" t="n">
        <f aca="false">SQRT(M72^2+N72^2)</f>
        <v>3.29461517726822</v>
      </c>
      <c r="P72" s="40" t="n">
        <f aca="false">IF(J72="","",MAX(0,J72-1.96*O72/100))</f>
        <v>0.263321960887742</v>
      </c>
      <c r="Q72" s="40" t="n">
        <f aca="false">IF(J72="","",MIN(1,J72+1.96*O72/100))</f>
        <v>0.392470875836656</v>
      </c>
      <c r="R72" s="32" t="str">
        <f aca="false">IF(L72="","",IF(ABS(L72)&lt;=O72,"Yes","No"))</f>
        <v>Yes</v>
      </c>
      <c r="S72" s="32" t="str">
        <f aca="false">IF(L72="","",IF(ABS(L72)&lt;=1.96*O72,"Yes","No"))</f>
        <v>Yes</v>
      </c>
      <c r="T72" s="60" t="n">
        <f aca="false">IF(D72="","",ROUND(SQRT(((D72+G72)*O72/100)^2+(J72*(D72+G72)*0.05464)^2),0))</f>
        <v>223</v>
      </c>
      <c r="U72" s="32"/>
    </row>
    <row r="73" customFormat="false" ht="15" hidden="false" customHeight="false" outlineLevel="0" collapsed="false">
      <c r="A73" s="32" t="s">
        <v>222</v>
      </c>
      <c r="B73" s="32" t="s">
        <v>241</v>
      </c>
      <c r="C73" s="32" t="s">
        <v>164</v>
      </c>
      <c r="D73" s="60" t="n">
        <v>1545</v>
      </c>
      <c r="E73" s="60" t="n">
        <v>1596</v>
      </c>
      <c r="F73" s="69" t="n">
        <f aca="false">IF(E73="","",D73-E73)</f>
        <v>-51</v>
      </c>
      <c r="G73" s="60" t="n">
        <v>1622</v>
      </c>
      <c r="H73" s="60" t="n">
        <v>1664</v>
      </c>
      <c r="I73" s="69" t="n">
        <f aca="false">IF(H73="","",G73-H73)</f>
        <v>-42</v>
      </c>
      <c r="J73" s="40" t="n">
        <f aca="false">IF(OR(D73="",D73+G73=0),"",D73/(D73+G73))</f>
        <v>0.487843384906852</v>
      </c>
      <c r="K73" s="40" t="n">
        <f aca="false">IF(E73="","",E73/(E73+H73))</f>
        <v>0.489570552147239</v>
      </c>
      <c r="L73" s="70" t="n">
        <f aca="false">IF(OR(K73="",J73=""),"",(J73-K73)*100)</f>
        <v>-0.172716724038735</v>
      </c>
      <c r="M73" s="36" t="n">
        <v>2.57405307541446</v>
      </c>
      <c r="N73" s="36" t="n">
        <v>2.59365293598209</v>
      </c>
      <c r="O73" s="36" t="n">
        <f aca="false">SQRT(M73^2+N73^2)</f>
        <v>3.65414624603055</v>
      </c>
      <c r="P73" s="40" t="n">
        <f aca="false">IF(J73="","",MAX(0,J73-1.96*O73/100))</f>
        <v>0.416222118484653</v>
      </c>
      <c r="Q73" s="40" t="n">
        <f aca="false">IF(J73="","",MIN(1,J73+1.96*O73/100))</f>
        <v>0.559464651329051</v>
      </c>
      <c r="R73" s="32" t="str">
        <f aca="false">IF(L73="","",IF(ABS(L73)&lt;=O73,"Yes","No"))</f>
        <v>Yes</v>
      </c>
      <c r="S73" s="32" t="str">
        <f aca="false">IF(L73="","",IF(ABS(L73)&lt;=1.96*O73,"Yes","No"))</f>
        <v>Yes</v>
      </c>
      <c r="T73" s="60" t="n">
        <f aca="false">IF(D73="","",ROUND(SQRT(((D73+G73)*O73/100)^2+(J73*(D73+G73)*0.06092)^2),0))</f>
        <v>149</v>
      </c>
      <c r="U73" s="32"/>
    </row>
    <row r="74" customFormat="false" ht="15" hidden="false" customHeight="false" outlineLevel="0" collapsed="false">
      <c r="A74" s="32" t="s">
        <v>222</v>
      </c>
      <c r="B74" s="32" t="s">
        <v>242</v>
      </c>
      <c r="C74" s="32" t="s">
        <v>164</v>
      </c>
      <c r="D74" s="60" t="n">
        <v>875</v>
      </c>
      <c r="E74" s="60" t="n">
        <v>847</v>
      </c>
      <c r="F74" s="69" t="n">
        <f aca="false">IF(E74="","",D74-E74)</f>
        <v>28</v>
      </c>
      <c r="G74" s="60" t="n">
        <v>900</v>
      </c>
      <c r="H74" s="60" t="n">
        <v>889</v>
      </c>
      <c r="I74" s="69" t="n">
        <f aca="false">IF(H74="","",G74-H74)</f>
        <v>11</v>
      </c>
      <c r="J74" s="40" t="n">
        <f aca="false">IF(OR(D74="",D74+G74=0),"",D74/(D74+G74))</f>
        <v>0.492957746478873</v>
      </c>
      <c r="K74" s="40" t="n">
        <f aca="false">IF(E74="","",E74/(E74+H74))</f>
        <v>0.487903225806452</v>
      </c>
      <c r="L74" s="70" t="n">
        <f aca="false">IF(OR(K74="",J74=""),"",(J74-K74)*100)</f>
        <v>0.505452067242163</v>
      </c>
      <c r="M74" s="36" t="n">
        <v>2.57405307541446</v>
      </c>
      <c r="N74" s="36" t="n">
        <v>2.59365293598209</v>
      </c>
      <c r="O74" s="36" t="n">
        <f aca="false">SQRT(M74^2+N74^2)</f>
        <v>3.65414624603055</v>
      </c>
      <c r="P74" s="40" t="n">
        <f aca="false">IF(J74="","",MAX(0,J74-1.96*O74/100))</f>
        <v>0.421336480056674</v>
      </c>
      <c r="Q74" s="40" t="n">
        <f aca="false">IF(J74="","",MIN(1,J74+1.96*O74/100))</f>
        <v>0.564579012901072</v>
      </c>
      <c r="R74" s="32" t="str">
        <f aca="false">IF(L74="","",IF(ABS(L74)&lt;=O74,"Yes","No"))</f>
        <v>Yes</v>
      </c>
      <c r="S74" s="32" t="str">
        <f aca="false">IF(L74="","",IF(ABS(L74)&lt;=1.96*O74,"Yes","No"))</f>
        <v>Yes</v>
      </c>
      <c r="T74" s="60" t="n">
        <f aca="false">IF(D74="","",ROUND(SQRT(((D74+G74)*O74/100)^2+(J74*(D74+G74)*0.06092)^2),0))</f>
        <v>84</v>
      </c>
      <c r="U74" s="32"/>
    </row>
    <row r="75" customFormat="false" ht="15" hidden="false" customHeight="false" outlineLevel="0" collapsed="false">
      <c r="A75" s="32" t="s">
        <v>222</v>
      </c>
      <c r="B75" s="32" t="s">
        <v>243</v>
      </c>
      <c r="C75" s="32" t="s">
        <v>164</v>
      </c>
      <c r="D75" s="60" t="n">
        <v>2758</v>
      </c>
      <c r="E75" s="60" t="n">
        <v>2573</v>
      </c>
      <c r="F75" s="69" t="n">
        <f aca="false">IF(E75="","",D75-E75)</f>
        <v>185</v>
      </c>
      <c r="G75" s="60" t="n">
        <v>2946</v>
      </c>
      <c r="H75" s="60" t="n">
        <v>3023</v>
      </c>
      <c r="I75" s="69" t="n">
        <f aca="false">IF(H75="","",G75-H75)</f>
        <v>-77</v>
      </c>
      <c r="J75" s="40" t="n">
        <f aca="false">IF(OR(D75="",D75+G75=0),"",D75/(D75+G75))</f>
        <v>0.483520336605891</v>
      </c>
      <c r="K75" s="40" t="n">
        <f aca="false">IF(E75="","",E75/(E75+H75))</f>
        <v>0.459792709077913</v>
      </c>
      <c r="L75" s="70" t="n">
        <f aca="false">IF(OR(K75="",J75=""),"",(J75-K75)*100)</f>
        <v>2.37276275279778</v>
      </c>
      <c r="M75" s="36" t="n">
        <v>2.03161354936355</v>
      </c>
      <c r="N75" s="36" t="n">
        <v>2.59365293598209</v>
      </c>
      <c r="O75" s="36" t="n">
        <f aca="false">SQRT(M75^2+N75^2)</f>
        <v>3.29461517726822</v>
      </c>
      <c r="P75" s="40" t="n">
        <f aca="false">IF(J75="","",MAX(0,J75-1.96*O75/100))</f>
        <v>0.418945879131434</v>
      </c>
      <c r="Q75" s="40" t="n">
        <f aca="false">IF(J75="","",MIN(1,J75+1.96*O75/100))</f>
        <v>0.548094794080348</v>
      </c>
      <c r="R75" s="32" t="str">
        <f aca="false">IF(L75="","",IF(ABS(L75)&lt;=O75,"Yes","No"))</f>
        <v>Yes</v>
      </c>
      <c r="S75" s="32" t="str">
        <f aca="false">IF(L75="","",IF(ABS(L75)&lt;=1.96*O75,"Yes","No"))</f>
        <v>Yes</v>
      </c>
      <c r="T75" s="60" t="n">
        <f aca="false">IF(D75="","",ROUND(SQRT(((D75+G75)*O75/100)^2+(J75*(D75+G75)*0.05464)^2),0))</f>
        <v>241</v>
      </c>
      <c r="U75" s="32"/>
    </row>
    <row r="76" customFormat="false" ht="15" hidden="false" customHeight="false" outlineLevel="0" collapsed="false">
      <c r="A76" s="32" t="s">
        <v>222</v>
      </c>
      <c r="B76" s="32" t="s">
        <v>244</v>
      </c>
      <c r="C76" s="32" t="s">
        <v>164</v>
      </c>
      <c r="D76" s="60" t="n">
        <v>7032</v>
      </c>
      <c r="E76" s="60" t="n">
        <v>6974</v>
      </c>
      <c r="F76" s="69" t="n">
        <f aca="false">IF(E76="","",D76-E76)</f>
        <v>58</v>
      </c>
      <c r="G76" s="60" t="n">
        <v>6762</v>
      </c>
      <c r="H76" s="60" t="n">
        <v>6736</v>
      </c>
      <c r="I76" s="69" t="n">
        <f aca="false">IF(H76="","",G76-H76)</f>
        <v>26</v>
      </c>
      <c r="J76" s="40" t="n">
        <f aca="false">IF(OR(D76="",D76+G76=0),"",D76/(D76+G76))</f>
        <v>0.50978686385385</v>
      </c>
      <c r="K76" s="40" t="n">
        <f aca="false">IF(E76="","",E76/(E76+H76))</f>
        <v>0.508679795769511</v>
      </c>
      <c r="L76" s="70" t="n">
        <f aca="false">IF(OR(K76="",J76=""),"",(J76-K76)*100)</f>
        <v>0.110706808433825</v>
      </c>
      <c r="M76" s="36" t="n">
        <v>2.03161354936355</v>
      </c>
      <c r="N76" s="36" t="n">
        <v>2.59365293598209</v>
      </c>
      <c r="O76" s="36" t="n">
        <f aca="false">SQRT(M76^2+N76^2)</f>
        <v>3.29461517726822</v>
      </c>
      <c r="P76" s="40" t="n">
        <f aca="false">IF(J76="","",MAX(0,J76-1.96*O76/100))</f>
        <v>0.445212406379393</v>
      </c>
      <c r="Q76" s="40" t="n">
        <f aca="false">IF(J76="","",MIN(1,J76+1.96*O76/100))</f>
        <v>0.574361321328307</v>
      </c>
      <c r="R76" s="32" t="str">
        <f aca="false">IF(L76="","",IF(ABS(L76)&lt;=O76,"Yes","No"))</f>
        <v>Yes</v>
      </c>
      <c r="S76" s="32" t="str">
        <f aca="false">IF(L76="","",IF(ABS(L76)&lt;=1.96*O76,"Yes","No"))</f>
        <v>Yes</v>
      </c>
      <c r="T76" s="60" t="n">
        <f aca="false">IF(D76="","",ROUND(SQRT(((D76+G76)*O76/100)^2+(J76*(D76+G76)*0.05464)^2),0))</f>
        <v>595</v>
      </c>
      <c r="U76" s="32"/>
    </row>
    <row r="77" customFormat="false" ht="15" hidden="false" customHeight="false" outlineLevel="0" collapsed="false">
      <c r="A77" s="32" t="s">
        <v>222</v>
      </c>
      <c r="B77" s="32" t="s">
        <v>245</v>
      </c>
      <c r="C77" s="32" t="s">
        <v>164</v>
      </c>
      <c r="D77" s="60" t="n">
        <v>693</v>
      </c>
      <c r="E77" s="60" t="n">
        <v>703</v>
      </c>
      <c r="F77" s="69" t="n">
        <f aca="false">IF(E77="","",D77-E77)</f>
        <v>-10</v>
      </c>
      <c r="G77" s="60" t="n">
        <v>1152</v>
      </c>
      <c r="H77" s="60" t="n">
        <v>1180</v>
      </c>
      <c r="I77" s="69" t="n">
        <f aca="false">IF(H77="","",G77-H77)</f>
        <v>-28</v>
      </c>
      <c r="J77" s="40" t="n">
        <f aca="false">IF(OR(D77="",D77+G77=0),"",D77/(D77+G77))</f>
        <v>0.375609756097561</v>
      </c>
      <c r="K77" s="40" t="n">
        <f aca="false">IF(E77="","",E77/(E77+H77))</f>
        <v>0.373340414232608</v>
      </c>
      <c r="L77" s="70" t="n">
        <f aca="false">IF(OR(K77="",J77=""),"",(J77-K77)*100)</f>
        <v>0.226934186495342</v>
      </c>
      <c r="M77" s="36" t="n">
        <v>2.57405307541446</v>
      </c>
      <c r="N77" s="36" t="n">
        <v>2.59365293598209</v>
      </c>
      <c r="O77" s="36" t="n">
        <f aca="false">SQRT(M77^2+N77^2)</f>
        <v>3.65414624603055</v>
      </c>
      <c r="P77" s="40" t="n">
        <f aca="false">IF(J77="","",MAX(0,J77-1.96*O77/100))</f>
        <v>0.303988489675362</v>
      </c>
      <c r="Q77" s="40" t="n">
        <f aca="false">IF(J77="","",MIN(1,J77+1.96*O77/100))</f>
        <v>0.44723102251976</v>
      </c>
      <c r="R77" s="32" t="str">
        <f aca="false">IF(L77="","",IF(ABS(L77)&lt;=O77,"Yes","No"))</f>
        <v>Yes</v>
      </c>
      <c r="S77" s="32" t="str">
        <f aca="false">IF(L77="","",IF(ABS(L77)&lt;=1.96*O77,"Yes","No"))</f>
        <v>Yes</v>
      </c>
      <c r="T77" s="60" t="n">
        <f aca="false">IF(D77="","",ROUND(SQRT(((D77+G77)*O77/100)^2+(J77*(D77+G77)*0.06092)^2),0))</f>
        <v>80</v>
      </c>
      <c r="U77" s="32"/>
    </row>
    <row r="78" customFormat="false" ht="15" hidden="false" customHeight="false" outlineLevel="0" collapsed="false">
      <c r="A78" s="32" t="s">
        <v>222</v>
      </c>
      <c r="B78" s="32" t="s">
        <v>246</v>
      </c>
      <c r="C78" s="32" t="s">
        <v>164</v>
      </c>
      <c r="D78" s="60" t="n">
        <v>1305</v>
      </c>
      <c r="E78" s="60" t="n">
        <v>1361</v>
      </c>
      <c r="F78" s="69" t="n">
        <f aca="false">IF(E78="","",D78-E78)</f>
        <v>-56</v>
      </c>
      <c r="G78" s="60" t="n">
        <v>2645</v>
      </c>
      <c r="H78" s="60" t="n">
        <v>2561</v>
      </c>
      <c r="I78" s="69" t="n">
        <f aca="false">IF(H78="","",G78-H78)</f>
        <v>84</v>
      </c>
      <c r="J78" s="40" t="n">
        <f aca="false">IF(OR(D78="",D78+G78=0),"",D78/(D78+G78))</f>
        <v>0.330379746835443</v>
      </c>
      <c r="K78" s="40" t="n">
        <f aca="false">IF(E78="","",E78/(E78+H78))</f>
        <v>0.347016828148904</v>
      </c>
      <c r="L78" s="70" t="n">
        <f aca="false">IF(OR(K78="",J78=""),"",(J78-K78)*100)</f>
        <v>-1.66370813134606</v>
      </c>
      <c r="M78" s="36" t="n">
        <v>2.03161354936355</v>
      </c>
      <c r="N78" s="36" t="n">
        <v>2.59365293598209</v>
      </c>
      <c r="O78" s="36" t="n">
        <f aca="false">SQRT(M78^2+N78^2)</f>
        <v>3.29461517726822</v>
      </c>
      <c r="P78" s="40" t="n">
        <f aca="false">IF(J78="","",MAX(0,J78-1.96*O78/100))</f>
        <v>0.265805289360986</v>
      </c>
      <c r="Q78" s="40" t="n">
        <f aca="false">IF(J78="","",MIN(1,J78+1.96*O78/100))</f>
        <v>0.3949542043099</v>
      </c>
      <c r="R78" s="32" t="str">
        <f aca="false">IF(L78="","",IF(ABS(L78)&lt;=O78,"Yes","No"))</f>
        <v>Yes</v>
      </c>
      <c r="S78" s="32" t="str">
        <f aca="false">IF(L78="","",IF(ABS(L78)&lt;=1.96*O78,"Yes","No"))</f>
        <v>Yes</v>
      </c>
      <c r="T78" s="60" t="n">
        <f aca="false">IF(D78="","",ROUND(SQRT(((D78+G78)*O78/100)^2+(J78*(D78+G78)*0.05464)^2),0))</f>
        <v>148</v>
      </c>
      <c r="U78" s="32"/>
    </row>
    <row r="79" customFormat="false" ht="15" hidden="false" customHeight="false" outlineLevel="0" collapsed="false">
      <c r="A79" s="32" t="s">
        <v>222</v>
      </c>
      <c r="B79" s="32" t="s">
        <v>247</v>
      </c>
      <c r="C79" s="32" t="s">
        <v>164</v>
      </c>
      <c r="D79" s="60" t="n">
        <v>80</v>
      </c>
      <c r="E79" s="60" t="n">
        <v>92</v>
      </c>
      <c r="F79" s="69" t="n">
        <f aca="false">IF(E79="","",D79-E79)</f>
        <v>-12</v>
      </c>
      <c r="G79" s="60" t="n">
        <v>169</v>
      </c>
      <c r="H79" s="60" t="n">
        <v>167</v>
      </c>
      <c r="I79" s="69" t="n">
        <f aca="false">IF(H79="","",G79-H79)</f>
        <v>2</v>
      </c>
      <c r="J79" s="40" t="n">
        <f aca="false">IF(OR(D79="",D79+G79=0),"",D79/(D79+G79))</f>
        <v>0.321285140562249</v>
      </c>
      <c r="K79" s="40" t="n">
        <f aca="false">IF(E79="","",E79/(E79+H79))</f>
        <v>0.355212355212355</v>
      </c>
      <c r="L79" s="70" t="n">
        <f aca="false">IF(OR(K79="",J79=""),"",(J79-K79)*100)</f>
        <v>-3.39272146501062</v>
      </c>
      <c r="M79" s="36" t="n">
        <v>4.29619773844154</v>
      </c>
      <c r="N79" s="36" t="n">
        <v>2.59365293598209</v>
      </c>
      <c r="O79" s="36" t="n">
        <f aca="false">SQRT(M79^2+N79^2)</f>
        <v>5.01840119561188</v>
      </c>
      <c r="P79" s="40" t="n">
        <f aca="false">IF(J79="","",MAX(0,J79-1.96*O79/100))</f>
        <v>0.222924477128256</v>
      </c>
      <c r="Q79" s="40" t="n">
        <f aca="false">IF(J79="","",MIN(1,J79+1.96*O79/100))</f>
        <v>0.419645803996242</v>
      </c>
      <c r="R79" s="32" t="str">
        <f aca="false">IF(L79="","",IF(ABS(L79)&lt;=O79,"Yes","No"))</f>
        <v>Yes</v>
      </c>
      <c r="S79" s="32" t="str">
        <f aca="false">IF(L79="","",IF(ABS(L79)&lt;=1.96*O79,"Yes","No"))</f>
        <v>Yes</v>
      </c>
      <c r="T79" s="60" t="n">
        <f aca="false">IF(D79="","",ROUND(SQRT(((D79+G79)*O79/100)^2+(J79*(D79+G79)*0.07859)^2),0))</f>
        <v>14</v>
      </c>
      <c r="U79" s="32"/>
    </row>
    <row r="80" customFormat="false" ht="15" hidden="false" customHeight="false" outlineLevel="0" collapsed="false">
      <c r="A80" s="32" t="s">
        <v>222</v>
      </c>
      <c r="B80" s="32" t="s">
        <v>248</v>
      </c>
      <c r="C80" s="32" t="s">
        <v>164</v>
      </c>
      <c r="D80" s="60" t="n">
        <v>340</v>
      </c>
      <c r="E80" s="60" t="n">
        <v>335</v>
      </c>
      <c r="F80" s="69" t="n">
        <f aca="false">IF(E80="","",D80-E80)</f>
        <v>5</v>
      </c>
      <c r="G80" s="60" t="n">
        <v>592</v>
      </c>
      <c r="H80" s="60" t="n">
        <v>581</v>
      </c>
      <c r="I80" s="69" t="n">
        <f aca="false">IF(H80="","",G80-H80)</f>
        <v>11</v>
      </c>
      <c r="J80" s="40" t="n">
        <f aca="false">IF(OR(D80="",D80+G80=0),"",D80/(D80+G80))</f>
        <v>0.36480686695279</v>
      </c>
      <c r="K80" s="40" t="n">
        <f aca="false">IF(E80="","",E80/(E80+H80))</f>
        <v>0.365720524017467</v>
      </c>
      <c r="L80" s="70" t="n">
        <f aca="false">IF(OR(K80="",J80=""),"",(J80-K80)*100)</f>
        <v>-0.0913657064677553</v>
      </c>
      <c r="M80" s="36" t="n">
        <v>4.29619773844154</v>
      </c>
      <c r="N80" s="36" t="n">
        <v>2.59365293598209</v>
      </c>
      <c r="O80" s="36" t="n">
        <f aca="false">SQRT(M80^2+N80^2)</f>
        <v>5.01840119561188</v>
      </c>
      <c r="P80" s="40" t="n">
        <f aca="false">IF(J80="","",MAX(0,J80-1.96*O80/100))</f>
        <v>0.266446203518797</v>
      </c>
      <c r="Q80" s="40" t="n">
        <f aca="false">IF(J80="","",MIN(1,J80+1.96*O80/100))</f>
        <v>0.463167530386783</v>
      </c>
      <c r="R80" s="32" t="str">
        <f aca="false">IF(L80="","",IF(ABS(L80)&lt;=O80,"Yes","No"))</f>
        <v>Yes</v>
      </c>
      <c r="S80" s="32" t="str">
        <f aca="false">IF(L80="","",IF(ABS(L80)&lt;=1.96*O80,"Yes","No"))</f>
        <v>Yes</v>
      </c>
      <c r="T80" s="60" t="n">
        <f aca="false">IF(D80="","",ROUND(SQRT(((D80+G80)*O80/100)^2+(J80*(D80+G80)*0.07859)^2),0))</f>
        <v>54</v>
      </c>
      <c r="U80" s="32"/>
    </row>
    <row r="81" customFormat="false" ht="15" hidden="false" customHeight="false" outlineLevel="0" collapsed="false">
      <c r="A81" s="32" t="s">
        <v>222</v>
      </c>
      <c r="B81" s="32" t="s">
        <v>249</v>
      </c>
      <c r="C81" s="32" t="s">
        <v>164</v>
      </c>
      <c r="D81" s="60" t="n">
        <v>213</v>
      </c>
      <c r="E81" s="60" t="n">
        <v>210</v>
      </c>
      <c r="F81" s="69" t="n">
        <f aca="false">IF(E81="","",D81-E81)</f>
        <v>3</v>
      </c>
      <c r="G81" s="60" t="n">
        <v>301</v>
      </c>
      <c r="H81" s="60" t="n">
        <v>309</v>
      </c>
      <c r="I81" s="69" t="n">
        <f aca="false">IF(H81="","",G81-H81)</f>
        <v>-8</v>
      </c>
      <c r="J81" s="40" t="n">
        <f aca="false">IF(OR(D81="",D81+G81=0),"",D81/(D81+G81))</f>
        <v>0.414396887159533</v>
      </c>
      <c r="K81" s="40" t="n">
        <f aca="false">IF(E81="","",E81/(E81+H81))</f>
        <v>0.404624277456647</v>
      </c>
      <c r="L81" s="70" t="n">
        <f aca="false">IF(OR(K81="",J81=""),"",(J81-K81)*100)</f>
        <v>0.977260970288568</v>
      </c>
      <c r="M81" s="36" t="n">
        <v>4.29619773844154</v>
      </c>
      <c r="N81" s="36" t="n">
        <v>2.59365293598209</v>
      </c>
      <c r="O81" s="36" t="n">
        <f aca="false">SQRT(M81^2+N81^2)</f>
        <v>5.01840119561188</v>
      </c>
      <c r="P81" s="40" t="n">
        <f aca="false">IF(J81="","",MAX(0,J81-1.96*O81/100))</f>
        <v>0.31603622372554</v>
      </c>
      <c r="Q81" s="40" t="n">
        <f aca="false">IF(J81="","",MIN(1,J81+1.96*O81/100))</f>
        <v>0.512757550593526</v>
      </c>
      <c r="R81" s="32" t="str">
        <f aca="false">IF(L81="","",IF(ABS(L81)&lt;=O81,"Yes","No"))</f>
        <v>Yes</v>
      </c>
      <c r="S81" s="32" t="str">
        <f aca="false">IF(L81="","",IF(ABS(L81)&lt;=1.96*O81,"Yes","No"))</f>
        <v>Yes</v>
      </c>
      <c r="T81" s="60" t="n">
        <f aca="false">IF(D81="","",ROUND(SQRT(((D81+G81)*O81/100)^2+(J81*(D81+G81)*0.07859)^2),0))</f>
        <v>31</v>
      </c>
      <c r="U81" s="32"/>
    </row>
    <row r="82" customFormat="false" ht="15" hidden="false" customHeight="false" outlineLevel="0" collapsed="false">
      <c r="A82" s="32" t="s">
        <v>222</v>
      </c>
      <c r="B82" s="32" t="s">
        <v>250</v>
      </c>
      <c r="C82" s="32" t="s">
        <v>164</v>
      </c>
      <c r="D82" s="60" t="n">
        <v>320</v>
      </c>
      <c r="E82" s="60" t="n">
        <v>331</v>
      </c>
      <c r="F82" s="69" t="n">
        <f aca="false">IF(E82="","",D82-E82)</f>
        <v>-11</v>
      </c>
      <c r="G82" s="60" t="n">
        <v>452</v>
      </c>
      <c r="H82" s="60" t="n">
        <v>458</v>
      </c>
      <c r="I82" s="69" t="n">
        <f aca="false">IF(H82="","",G82-H82)</f>
        <v>-6</v>
      </c>
      <c r="J82" s="40" t="n">
        <f aca="false">IF(OR(D82="",D82+G82=0),"",D82/(D82+G82))</f>
        <v>0.414507772020725</v>
      </c>
      <c r="K82" s="40" t="n">
        <f aca="false">IF(E82="","",E82/(E82+H82))</f>
        <v>0.419518377693283</v>
      </c>
      <c r="L82" s="70" t="n">
        <f aca="false">IF(OR(K82="",J82=""),"",(J82-K82)*100)</f>
        <v>-0.501060567255729</v>
      </c>
      <c r="M82" s="36" t="n">
        <v>4.29619773844154</v>
      </c>
      <c r="N82" s="36" t="n">
        <v>2.59365293598209</v>
      </c>
      <c r="O82" s="36" t="n">
        <f aca="false">SQRT(M82^2+N82^2)</f>
        <v>5.01840119561188</v>
      </c>
      <c r="P82" s="40" t="n">
        <f aca="false">IF(J82="","",MAX(0,J82-1.96*O82/100))</f>
        <v>0.316147108586733</v>
      </c>
      <c r="Q82" s="40" t="n">
        <f aca="false">IF(J82="","",MIN(1,J82+1.96*O82/100))</f>
        <v>0.512868435454718</v>
      </c>
      <c r="R82" s="32" t="str">
        <f aca="false">IF(L82="","",IF(ABS(L82)&lt;=O82,"Yes","No"))</f>
        <v>Yes</v>
      </c>
      <c r="S82" s="32" t="str">
        <f aca="false">IF(L82="","",IF(ABS(L82)&lt;=1.96*O82,"Yes","No"))</f>
        <v>Yes</v>
      </c>
      <c r="T82" s="60" t="n">
        <f aca="false">IF(D82="","",ROUND(SQRT(((D82+G82)*O82/100)^2+(J82*(D82+G82)*0.07859)^2),0))</f>
        <v>46</v>
      </c>
      <c r="U82" s="32"/>
    </row>
    <row r="83" customFormat="false" ht="15" hidden="false" customHeight="false" outlineLevel="0" collapsed="false">
      <c r="A83" s="32" t="s">
        <v>222</v>
      </c>
      <c r="B83" s="32" t="s">
        <v>251</v>
      </c>
      <c r="C83" s="32" t="s">
        <v>164</v>
      </c>
      <c r="D83" s="60" t="n">
        <v>1210</v>
      </c>
      <c r="E83" s="60" t="n">
        <v>1242</v>
      </c>
      <c r="F83" s="69" t="n">
        <f aca="false">IF(E83="","",D83-E83)</f>
        <v>-32</v>
      </c>
      <c r="G83" s="60" t="n">
        <v>2648</v>
      </c>
      <c r="H83" s="60" t="n">
        <v>2716</v>
      </c>
      <c r="I83" s="69" t="n">
        <f aca="false">IF(H83="","",G83-H83)</f>
        <v>-68</v>
      </c>
      <c r="J83" s="40" t="n">
        <f aca="false">IF(OR(D83="",D83+G83=0),"",D83/(D83+G83))</f>
        <v>0.313634007257646</v>
      </c>
      <c r="K83" s="40" t="n">
        <f aca="false">IF(E83="","",E83/(E83+H83))</f>
        <v>0.313794845881759</v>
      </c>
      <c r="L83" s="70" t="n">
        <f aca="false">IF(OR(K83="",J83=""),"",(J83-K83)*100)</f>
        <v>-0.0160838624112036</v>
      </c>
      <c r="M83" s="36" t="n">
        <v>2.03161354936355</v>
      </c>
      <c r="N83" s="36" t="n">
        <v>2.59365293598209</v>
      </c>
      <c r="O83" s="36" t="n">
        <f aca="false">SQRT(M83^2+N83^2)</f>
        <v>3.29461517726822</v>
      </c>
      <c r="P83" s="40" t="n">
        <f aca="false">IF(J83="","",MAX(0,J83-1.96*O83/100))</f>
        <v>0.249059549783189</v>
      </c>
      <c r="Q83" s="40" t="n">
        <f aca="false">IF(J83="","",MIN(1,J83+1.96*O83/100))</f>
        <v>0.378208464732103</v>
      </c>
      <c r="R83" s="32" t="str">
        <f aca="false">IF(L83="","",IF(ABS(L83)&lt;=O83,"Yes","No"))</f>
        <v>Yes</v>
      </c>
      <c r="S83" s="32" t="str">
        <f aca="false">IF(L83="","",IF(ABS(L83)&lt;=1.96*O83,"Yes","No"))</f>
        <v>Yes</v>
      </c>
      <c r="T83" s="60" t="n">
        <f aca="false">IF(D83="","",ROUND(SQRT(((D83+G83)*O83/100)^2+(J83*(D83+G83)*0.05464)^2),0))</f>
        <v>143</v>
      </c>
      <c r="U83" s="32"/>
    </row>
    <row r="84" customFormat="false" ht="15" hidden="false" customHeight="false" outlineLevel="0" collapsed="false">
      <c r="A84" s="32" t="s">
        <v>222</v>
      </c>
      <c r="B84" s="32" t="s">
        <v>252</v>
      </c>
      <c r="C84" s="32" t="s">
        <v>164</v>
      </c>
      <c r="D84" s="60" t="n">
        <v>1885</v>
      </c>
      <c r="E84" s="60" t="n">
        <v>1964</v>
      </c>
      <c r="F84" s="69" t="n">
        <f aca="false">IF(E84="","",D84-E84)</f>
        <v>-79</v>
      </c>
      <c r="G84" s="60" t="n">
        <v>2184</v>
      </c>
      <c r="H84" s="60" t="n">
        <v>2147</v>
      </c>
      <c r="I84" s="69" t="n">
        <f aca="false">IF(H84="","",G84-H84)</f>
        <v>37</v>
      </c>
      <c r="J84" s="40" t="n">
        <f aca="false">IF(OR(D84="",D84+G84=0),"",D84/(D84+G84))</f>
        <v>0.463258785942492</v>
      </c>
      <c r="K84" s="40" t="n">
        <f aca="false">IF(E84="","",E84/(E84+H84))</f>
        <v>0.477742641693019</v>
      </c>
      <c r="L84" s="70" t="n">
        <f aca="false">IF(OR(K84="",J84=""),"",(J84-K84)*100)</f>
        <v>-1.44838557505267</v>
      </c>
      <c r="M84" s="36" t="n">
        <v>2.03161354936355</v>
      </c>
      <c r="N84" s="36" t="n">
        <v>2.59365293598209</v>
      </c>
      <c r="O84" s="36" t="n">
        <f aca="false">SQRT(M84^2+N84^2)</f>
        <v>3.29461517726822</v>
      </c>
      <c r="P84" s="40" t="n">
        <f aca="false">IF(J84="","",MAX(0,J84-1.96*O84/100))</f>
        <v>0.398684328468035</v>
      </c>
      <c r="Q84" s="40" t="n">
        <f aca="false">IF(J84="","",MIN(1,J84+1.96*O84/100))</f>
        <v>0.527833243416949</v>
      </c>
      <c r="R84" s="32" t="str">
        <f aca="false">IF(L84="","",IF(ABS(L84)&lt;=O84,"Yes","No"))</f>
        <v>Yes</v>
      </c>
      <c r="S84" s="32" t="str">
        <f aca="false">IF(L84="","",IF(ABS(L84)&lt;=1.96*O84,"Yes","No"))</f>
        <v>Yes</v>
      </c>
      <c r="T84" s="60" t="n">
        <f aca="false">IF(D84="","",ROUND(SQRT(((D84+G84)*O84/100)^2+(J84*(D84+G84)*0.05464)^2),0))</f>
        <v>169</v>
      </c>
      <c r="U84" s="32"/>
    </row>
    <row r="85" customFormat="false" ht="15" hidden="false" customHeight="false" outlineLevel="0" collapsed="false">
      <c r="A85" s="32" t="s">
        <v>222</v>
      </c>
      <c r="B85" s="32" t="s">
        <v>253</v>
      </c>
      <c r="C85" s="32" t="s">
        <v>164</v>
      </c>
      <c r="D85" s="60" t="n">
        <v>433</v>
      </c>
      <c r="E85" s="60" t="n">
        <v>416</v>
      </c>
      <c r="F85" s="69" t="n">
        <f aca="false">IF(E85="","",D85-E85)</f>
        <v>17</v>
      </c>
      <c r="G85" s="60" t="n">
        <v>628</v>
      </c>
      <c r="H85" s="60" t="n">
        <v>658</v>
      </c>
      <c r="I85" s="69" t="n">
        <f aca="false">IF(H85="","",G85-H85)</f>
        <v>-30</v>
      </c>
      <c r="J85" s="40" t="n">
        <f aca="false">IF(OR(D85="",D85+G85=0),"",D85/(D85+G85))</f>
        <v>0.408105560791706</v>
      </c>
      <c r="K85" s="40" t="n">
        <f aca="false">IF(E85="","",E85/(E85+H85))</f>
        <v>0.387337057728119</v>
      </c>
      <c r="L85" s="70" t="n">
        <f aca="false">IF(OR(K85="",J85=""),"",(J85-K85)*100)</f>
        <v>2.07685030635868</v>
      </c>
      <c r="M85" s="36" t="n">
        <v>4.29619773844154</v>
      </c>
      <c r="N85" s="36" t="n">
        <v>2.59365293598209</v>
      </c>
      <c r="O85" s="36" t="n">
        <f aca="false">SQRT(M85^2+N85^2)</f>
        <v>5.01840119561188</v>
      </c>
      <c r="P85" s="40" t="n">
        <f aca="false">IF(J85="","",MAX(0,J85-1.96*O85/100))</f>
        <v>0.309744897357713</v>
      </c>
      <c r="Q85" s="40" t="n">
        <f aca="false">IF(J85="","",MIN(1,J85+1.96*O85/100))</f>
        <v>0.506466224225699</v>
      </c>
      <c r="R85" s="32" t="str">
        <f aca="false">IF(L85="","",IF(ABS(L85)&lt;=O85,"Yes","No"))</f>
        <v>Yes</v>
      </c>
      <c r="S85" s="32" t="str">
        <f aca="false">IF(L85="","",IF(ABS(L85)&lt;=1.96*O85,"Yes","No"))</f>
        <v>Yes</v>
      </c>
      <c r="T85" s="60" t="n">
        <f aca="false">IF(D85="","",ROUND(SQRT(((D85+G85)*O85/100)^2+(J85*(D85+G85)*0.07859)^2),0))</f>
        <v>63</v>
      </c>
      <c r="U85" s="32"/>
    </row>
    <row r="86" customFormat="false" ht="15" hidden="false" customHeight="false" outlineLevel="0" collapsed="false">
      <c r="A86" s="32" t="s">
        <v>222</v>
      </c>
      <c r="B86" s="32" t="s">
        <v>215</v>
      </c>
      <c r="C86" s="32" t="s">
        <v>164</v>
      </c>
      <c r="D86" s="60" t="n">
        <v>1023</v>
      </c>
      <c r="E86" s="60" t="n">
        <v>1041</v>
      </c>
      <c r="F86" s="69" t="n">
        <f aca="false">IF(E86="","",D86-E86)</f>
        <v>-18</v>
      </c>
      <c r="G86" s="60" t="n">
        <v>2053</v>
      </c>
      <c r="H86" s="60" t="n">
        <v>2088</v>
      </c>
      <c r="I86" s="69" t="n">
        <f aca="false">IF(H86="","",G86-H86)</f>
        <v>-35</v>
      </c>
      <c r="J86" s="40" t="n">
        <f aca="false">IF(OR(D86="",D86+G86=0),"",D86/(D86+G86))</f>
        <v>0.33257477243173</v>
      </c>
      <c r="K86" s="40" t="n">
        <f aca="false">IF(E86="","",E86/(E86+H86))</f>
        <v>0.332694151486098</v>
      </c>
      <c r="L86" s="70" t="n">
        <f aca="false">IF(OR(K86="",J86=""),"",(J86-K86)*100)</f>
        <v>-0.0119379054368318</v>
      </c>
      <c r="M86" s="36" t="n">
        <v>2.57405307541446</v>
      </c>
      <c r="N86" s="36" t="n">
        <v>2.59365293598209</v>
      </c>
      <c r="O86" s="36" t="n">
        <f aca="false">SQRT(M86^2+N86^2)</f>
        <v>3.65414624603055</v>
      </c>
      <c r="P86" s="40" t="n">
        <f aca="false">IF(J86="","",MAX(0,J86-1.96*O86/100))</f>
        <v>0.260953506009531</v>
      </c>
      <c r="Q86" s="40" t="n">
        <f aca="false">IF(J86="","",MIN(1,J86+1.96*O86/100))</f>
        <v>0.404196038853928</v>
      </c>
      <c r="R86" s="32" t="str">
        <f aca="false">IF(L86="","",IF(ABS(L86)&lt;=O86,"Yes","No"))</f>
        <v>Yes</v>
      </c>
      <c r="S86" s="32" t="str">
        <f aca="false">IF(L86="","",IF(ABS(L86)&lt;=1.96*O86,"Yes","No"))</f>
        <v>Yes</v>
      </c>
      <c r="T86" s="60" t="n">
        <f aca="false">IF(D86="","",ROUND(SQRT(((D86+G86)*O86/100)^2+(J86*(D86+G86)*0.06092)^2),0))</f>
        <v>129</v>
      </c>
      <c r="U86" s="32"/>
    </row>
    <row r="87" customFormat="false" ht="15" hidden="false" customHeight="false" outlineLevel="0" collapsed="false">
      <c r="A87" s="32" t="s">
        <v>222</v>
      </c>
      <c r="B87" s="32" t="s">
        <v>254</v>
      </c>
      <c r="C87" s="32" t="s">
        <v>164</v>
      </c>
      <c r="D87" s="60" t="n">
        <v>263</v>
      </c>
      <c r="E87" s="60" t="n">
        <v>281</v>
      </c>
      <c r="F87" s="69" t="n">
        <f aca="false">IF(E87="","",D87-E87)</f>
        <v>-18</v>
      </c>
      <c r="G87" s="60" t="n">
        <v>344</v>
      </c>
      <c r="H87" s="60" t="n">
        <v>310</v>
      </c>
      <c r="I87" s="69" t="n">
        <f aca="false">IF(H87="","",G87-H87)</f>
        <v>34</v>
      </c>
      <c r="J87" s="40" t="n">
        <f aca="false">IF(OR(D87="",D87+G87=0),"",D87/(D87+G87))</f>
        <v>0.4332784184514</v>
      </c>
      <c r="K87" s="40" t="n">
        <f aca="false">IF(E87="","",E87/(E87+H87))</f>
        <v>0.475465313028765</v>
      </c>
      <c r="L87" s="70" t="n">
        <f aca="false">IF(OR(K87="",J87=""),"",(J87-K87)*100)</f>
        <v>-4.21868945773645</v>
      </c>
      <c r="M87" s="36" t="n">
        <v>4.29619773844154</v>
      </c>
      <c r="N87" s="36" t="n">
        <v>2.59365293598209</v>
      </c>
      <c r="O87" s="36" t="n">
        <f aca="false">SQRT(M87^2+N87^2)</f>
        <v>5.01840119561188</v>
      </c>
      <c r="P87" s="40" t="n">
        <f aca="false">IF(J87="","",MAX(0,J87-1.96*O87/100))</f>
        <v>0.334917755017408</v>
      </c>
      <c r="Q87" s="40" t="n">
        <f aca="false">IF(J87="","",MIN(1,J87+1.96*O87/100))</f>
        <v>0.531639081885393</v>
      </c>
      <c r="R87" s="32" t="str">
        <f aca="false">IF(L87="","",IF(ABS(L87)&lt;=O87,"Yes","No"))</f>
        <v>Yes</v>
      </c>
      <c r="S87" s="32" t="str">
        <f aca="false">IF(L87="","",IF(ABS(L87)&lt;=1.96*O87,"Yes","No"))</f>
        <v>Yes</v>
      </c>
      <c r="T87" s="60" t="n">
        <f aca="false">IF(D87="","",ROUND(SQRT(((D87+G87)*O87/100)^2+(J87*(D87+G87)*0.07859)^2),0))</f>
        <v>37</v>
      </c>
      <c r="U87" s="32"/>
    </row>
    <row r="88" customFormat="false" ht="15" hidden="false" customHeight="false" outlineLevel="0" collapsed="false">
      <c r="A88" s="32" t="s">
        <v>222</v>
      </c>
      <c r="B88" s="32" t="s">
        <v>255</v>
      </c>
      <c r="C88" s="32" t="s">
        <v>164</v>
      </c>
      <c r="D88" s="60" t="n">
        <v>1724</v>
      </c>
      <c r="E88" s="60" t="n">
        <v>1847</v>
      </c>
      <c r="F88" s="69" t="n">
        <f aca="false">IF(E88="","",D88-E88)</f>
        <v>-123</v>
      </c>
      <c r="G88" s="60" t="n">
        <v>2465</v>
      </c>
      <c r="H88" s="60" t="n">
        <v>2401</v>
      </c>
      <c r="I88" s="69" t="n">
        <f aca="false">IF(H88="","",G88-H88)</f>
        <v>64</v>
      </c>
      <c r="J88" s="40" t="n">
        <f aca="false">IF(OR(D88="",D88+G88=0),"",D88/(D88+G88))</f>
        <v>0.411554070183815</v>
      </c>
      <c r="K88" s="40" t="n">
        <f aca="false">IF(E88="","",E88/(E88+H88))</f>
        <v>0.434792843691149</v>
      </c>
      <c r="L88" s="70" t="n">
        <f aca="false">IF(OR(K88="",J88=""),"",(J88-K88)*100)</f>
        <v>-2.32387735073341</v>
      </c>
      <c r="M88" s="36" t="n">
        <v>2.03161354936355</v>
      </c>
      <c r="N88" s="36" t="n">
        <v>2.59365293598209</v>
      </c>
      <c r="O88" s="36" t="n">
        <f aca="false">SQRT(M88^2+N88^2)</f>
        <v>3.29461517726822</v>
      </c>
      <c r="P88" s="40" t="n">
        <f aca="false">IF(J88="","",MAX(0,J88-1.96*O88/100))</f>
        <v>0.346979612709358</v>
      </c>
      <c r="Q88" s="40" t="n">
        <f aca="false">IF(J88="","",MIN(1,J88+1.96*O88/100))</f>
        <v>0.476128527658272</v>
      </c>
      <c r="R88" s="32" t="str">
        <f aca="false">IF(L88="","",IF(ABS(L88)&lt;=O88,"Yes","No"))</f>
        <v>Yes</v>
      </c>
      <c r="S88" s="32" t="str">
        <f aca="false">IF(L88="","",IF(ABS(L88)&lt;=1.96*O88,"Yes","No"))</f>
        <v>Yes</v>
      </c>
      <c r="T88" s="60" t="n">
        <f aca="false">IF(D88="","",ROUND(SQRT(((D88+G88)*O88/100)^2+(J88*(D88+G88)*0.05464)^2),0))</f>
        <v>167</v>
      </c>
      <c r="U88" s="32"/>
    </row>
    <row r="89" customFormat="false" ht="15" hidden="false" customHeight="false" outlineLevel="0" collapsed="false">
      <c r="A89" s="32" t="s">
        <v>222</v>
      </c>
      <c r="B89" s="32" t="s">
        <v>256</v>
      </c>
      <c r="C89" s="32" t="s">
        <v>164</v>
      </c>
      <c r="D89" s="60" t="n">
        <v>1881</v>
      </c>
      <c r="E89" s="60" t="n">
        <v>1897</v>
      </c>
      <c r="F89" s="69" t="n">
        <f aca="false">IF(E89="","",D89-E89)</f>
        <v>-16</v>
      </c>
      <c r="G89" s="60" t="n">
        <v>1525</v>
      </c>
      <c r="H89" s="60" t="n">
        <v>1538</v>
      </c>
      <c r="I89" s="69" t="n">
        <f aca="false">IF(H89="","",G89-H89)</f>
        <v>-13</v>
      </c>
      <c r="J89" s="40" t="n">
        <f aca="false">IF(OR(D89="",D89+G89=0),"",D89/(D89+G89))</f>
        <v>0.552260716382854</v>
      </c>
      <c r="K89" s="40" t="n">
        <f aca="false">IF(E89="","",E89/(E89+H89))</f>
        <v>0.552256186317322</v>
      </c>
      <c r="L89" s="70" t="n">
        <f aca="false">IF(OR(K89="",J89=""),"",(J89-K89)*100)</f>
        <v>0.000453006553213786</v>
      </c>
      <c r="M89" s="36" t="n">
        <v>2.57405307541446</v>
      </c>
      <c r="N89" s="36" t="n">
        <v>2.59365293598209</v>
      </c>
      <c r="O89" s="36" t="n">
        <f aca="false">SQRT(M89^2+N89^2)</f>
        <v>3.65414624603055</v>
      </c>
      <c r="P89" s="40" t="n">
        <f aca="false">IF(J89="","",MAX(0,J89-1.96*O89/100))</f>
        <v>0.480639449960655</v>
      </c>
      <c r="Q89" s="40" t="n">
        <f aca="false">IF(J89="","",MIN(1,J89+1.96*O89/100))</f>
        <v>0.623881982805053</v>
      </c>
      <c r="R89" s="32" t="str">
        <f aca="false">IF(L89="","",IF(ABS(L89)&lt;=O89,"Yes","No"))</f>
        <v>Yes</v>
      </c>
      <c r="S89" s="32" t="str">
        <f aca="false">IF(L89="","",IF(ABS(L89)&lt;=1.96*O89,"Yes","No"))</f>
        <v>Yes</v>
      </c>
      <c r="T89" s="60" t="n">
        <f aca="false">IF(D89="","",ROUND(SQRT(((D89+G89)*O89/100)^2+(J89*(D89+G89)*0.06092)^2),0))</f>
        <v>169</v>
      </c>
      <c r="U89" s="32"/>
    </row>
    <row r="90" customFormat="false" ht="15" hidden="false" customHeight="false" outlineLevel="0" collapsed="false">
      <c r="A90" s="32" t="s">
        <v>222</v>
      </c>
      <c r="B90" s="32" t="s">
        <v>257</v>
      </c>
      <c r="C90" s="32" t="s">
        <v>164</v>
      </c>
      <c r="D90" s="60" t="n">
        <v>627</v>
      </c>
      <c r="E90" s="60" t="n">
        <v>634</v>
      </c>
      <c r="F90" s="69" t="n">
        <f aca="false">IF(E90="","",D90-E90)</f>
        <v>-7</v>
      </c>
      <c r="G90" s="60" t="n">
        <v>899</v>
      </c>
      <c r="H90" s="60" t="n">
        <v>856</v>
      </c>
      <c r="I90" s="69" t="n">
        <f aca="false">IF(H90="","",G90-H90)</f>
        <v>43</v>
      </c>
      <c r="J90" s="40" t="n">
        <f aca="false">IF(OR(D90="",D90+G90=0),"",D90/(D90+G90))</f>
        <v>0.410878112712975</v>
      </c>
      <c r="K90" s="40" t="n">
        <f aca="false">IF(E90="","",E90/(E90+H90))</f>
        <v>0.425503355704698</v>
      </c>
      <c r="L90" s="70" t="n">
        <f aca="false">IF(OR(K90="",J90=""),"",(J90-K90)*100)</f>
        <v>-1.46252429917229</v>
      </c>
      <c r="M90" s="36" t="n">
        <v>4.29619773844154</v>
      </c>
      <c r="N90" s="36" t="n">
        <v>2.59365293598209</v>
      </c>
      <c r="O90" s="36" t="n">
        <f aca="false">SQRT(M90^2+N90^2)</f>
        <v>5.01840119561188</v>
      </c>
      <c r="P90" s="40" t="n">
        <f aca="false">IF(J90="","",MAX(0,J90-1.96*O90/100))</f>
        <v>0.312517449278982</v>
      </c>
      <c r="Q90" s="40" t="n">
        <f aca="false">IF(J90="","",MIN(1,J90+1.96*O90/100))</f>
        <v>0.509238776146968</v>
      </c>
      <c r="R90" s="32" t="str">
        <f aca="false">IF(L90="","",IF(ABS(L90)&lt;=O90,"Yes","No"))</f>
        <v>Yes</v>
      </c>
      <c r="S90" s="32" t="str">
        <f aca="false">IF(L90="","",IF(ABS(L90)&lt;=1.96*O90,"Yes","No"))</f>
        <v>Yes</v>
      </c>
      <c r="T90" s="60" t="n">
        <f aca="false">IF(D90="","",ROUND(SQRT(((D90+G90)*O90/100)^2+(J90*(D90+G90)*0.07859)^2),0))</f>
        <v>91</v>
      </c>
      <c r="U90" s="32"/>
    </row>
    <row r="92" customFormat="false" ht="15" hidden="false" customHeight="false" outlineLevel="0" collapsed="false">
      <c r="A92" s="20" t="s">
        <v>377</v>
      </c>
      <c r="B92" s="71"/>
      <c r="C92" s="71"/>
      <c r="D92" s="72" t="n">
        <f aca="false">SUMIF(E2:E90,"&lt;&gt;",D2:D90)</f>
        <v>197928</v>
      </c>
      <c r="E92" s="72" t="n">
        <f aca="false">SUM(E2:E90)</f>
        <v>199626</v>
      </c>
      <c r="F92" s="73" t="n">
        <f aca="false">D92-E92</f>
        <v>-1698</v>
      </c>
      <c r="G92" s="72" t="n">
        <f aca="false">SUMIF(H2:H90,"&lt;&gt;",G2:G90)</f>
        <v>203195</v>
      </c>
      <c r="H92" s="72" t="n">
        <f aca="false">SUM(H2:H90)</f>
        <v>203688</v>
      </c>
      <c r="I92" s="73" t="n">
        <f aca="false">G92-H92</f>
        <v>-493</v>
      </c>
      <c r="J92" s="74" t="n">
        <f aca="false">D92/(D92+G92)</f>
        <v>0.49343468212992</v>
      </c>
      <c r="K92" s="74" t="n">
        <f aca="false">E92/(E92+H92)</f>
        <v>0.49496422142549</v>
      </c>
      <c r="L92" s="75" t="n">
        <f aca="false">(J92-K92)*100</f>
        <v>-0.152953929556954</v>
      </c>
      <c r="M92" s="76" t="n">
        <v>0</v>
      </c>
      <c r="N92" s="76" t="n">
        <v>2.59365293598209</v>
      </c>
      <c r="O92" s="76" t="n">
        <f aca="false">SQRT(M92^2+N92^2)</f>
        <v>2.59365293598209</v>
      </c>
      <c r="P92" s="74" t="n">
        <f aca="false">J92-1.96*O92/100</f>
        <v>0.442599084584671</v>
      </c>
      <c r="Q92" s="74" t="n">
        <f aca="false">J92+1.96*O92/100</f>
        <v>0.544270279675169</v>
      </c>
      <c r="R92" s="71" t="str">
        <f aca="false">IF(ABS(L92)&lt;=O92,"Yes","No")</f>
        <v>Yes</v>
      </c>
      <c r="S92" s="71" t="str">
        <f aca="false">IF(ABS(L92)&lt;=1.96*O92,"Yes","No")</f>
        <v>Yes</v>
      </c>
      <c r="T92" s="72" t="n">
        <f aca="false">ROUND(SQRT(((D92+G92)*O92/100)^2+(J92*(D92+G92)*0.04269)^2),0)</f>
        <v>13403</v>
      </c>
    </row>
    <row r="93" customFormat="false" ht="15" hidden="false" customHeight="false" outlineLevel="0" collapsed="false">
      <c r="A93" s="20" t="s">
        <v>378</v>
      </c>
      <c r="B93" s="71"/>
      <c r="C93" s="71"/>
      <c r="D93" s="72" t="n">
        <f aca="false">SUM(D2:D90)</f>
        <v>197928</v>
      </c>
      <c r="E93" s="72"/>
      <c r="F93" s="73"/>
      <c r="G93" s="72" t="n">
        <f aca="false">SUM(G2:G90)</f>
        <v>203195</v>
      </c>
      <c r="H93" s="72"/>
      <c r="I93" s="73"/>
      <c r="J93" s="74" t="n">
        <f aca="false">D93/(D93+G93)</f>
        <v>0.49343468212992</v>
      </c>
      <c r="K93" s="74"/>
      <c r="L93" s="75"/>
      <c r="M93" s="76"/>
      <c r="N93" s="76"/>
      <c r="O93" s="76"/>
      <c r="P93" s="74"/>
      <c r="Q93" s="74"/>
      <c r="R93" s="71"/>
      <c r="S93" s="71"/>
      <c r="T93" s="72"/>
    </row>
    <row r="95" customFormat="false" ht="15" hidden="false" customHeight="false" outlineLevel="0" collapsed="false">
      <c r="A95" s="2" t="s">
        <v>379</v>
      </c>
      <c r="F95" s="77" t="n">
        <f aca="false">(SUMIF(F2:F90,"&gt;0")-SUMIF(F2:F90,"&lt;0"))/COUNT(F2:F90)</f>
        <v>69.3707865168539</v>
      </c>
    </row>
    <row r="96" customFormat="false" ht="15" hidden="false" customHeight="false" outlineLevel="0" collapsed="false">
      <c r="A96" s="2" t="s">
        <v>380</v>
      </c>
      <c r="F96" s="77" t="n">
        <f aca="false">(SUMIF(I2:I90,"&gt;0")-SUMIF(I2:I90,"&lt;0"))/COUNT(I2:I90)</f>
        <v>65.561797752809</v>
      </c>
    </row>
    <row r="97" customFormat="false" ht="15" hidden="false" customHeight="false" outlineLevel="0" collapsed="false">
      <c r="A97" s="2" t="s">
        <v>381</v>
      </c>
      <c r="F97" s="78" t="n">
        <f aca="false">(SUMIF(L2:L90,"&gt;0")-SUMIF(L2:L90,"&lt;0"))/COUNT(L2:L90)</f>
        <v>1.35180926155058</v>
      </c>
    </row>
    <row r="98" customFormat="false" ht="15" hidden="false" customHeight="false" outlineLevel="0" collapsed="false">
      <c r="A98" s="5" t="s">
        <v>382</v>
      </c>
      <c r="F98" s="79" t="n">
        <f aca="false">SQRT(SUMSQ(L2:L90)/COUNT(L2:L90))</f>
        <v>1.80152552673782</v>
      </c>
    </row>
    <row r="99" customFormat="false" ht="15" hidden="false" customHeight="false" outlineLevel="0" collapsed="false">
      <c r="A99" s="5" t="s">
        <v>383</v>
      </c>
      <c r="F99" s="80" t="n">
        <f aca="false">L92</f>
        <v>-0.152953929556954</v>
      </c>
    </row>
    <row r="100" customFormat="false" ht="15" hidden="false" customHeight="false" outlineLevel="0" collapsed="false">
      <c r="A100" s="5" t="s">
        <v>384</v>
      </c>
      <c r="F100" s="79" t="n">
        <f aca="false">SQRT((SUMSQ(L2:L90)-2*L92*SUM(L2:L90)+COUNT(L2:L90)*L92^2)/COUNT(L2:L90))</f>
        <v>1.77988754636038</v>
      </c>
    </row>
    <row r="101" customFormat="false" ht="15" hidden="false" customHeight="false" outlineLevel="0" collapsed="false">
      <c r="A101" s="2" t="s">
        <v>385</v>
      </c>
      <c r="F101" s="81" t="n">
        <f aca="false">D92/E92-1</f>
        <v>-0.00850590604430279</v>
      </c>
    </row>
    <row r="102" customFormat="false" ht="15" hidden="false" customHeight="false" outlineLevel="0" collapsed="false">
      <c r="A102" s="5" t="s">
        <v>386</v>
      </c>
      <c r="F102" s="82" t="n">
        <f aca="false">G92/H92-1</f>
        <v>-0.00242036840658266</v>
      </c>
    </row>
    <row r="103" customFormat="false" ht="15" hidden="false" customHeight="false" outlineLevel="0" collapsed="false">
      <c r="A103" s="2" t="s">
        <v>387</v>
      </c>
      <c r="F103" s="81" t="n">
        <f aca="false">(D92+G92)/(E92+H92)-1</f>
        <v>-0.00543249180539229</v>
      </c>
    </row>
    <row r="104" customFormat="false" ht="15" hidden="false" customHeight="false" outlineLevel="0" collapsed="false">
      <c r="A104" s="2" t="s">
        <v>388</v>
      </c>
      <c r="F104" s="78" t="n">
        <f aca="false">AVERAGE(O2:O90)</f>
        <v>3.99281721709313</v>
      </c>
    </row>
    <row r="105" customFormat="false" ht="15" hidden="false" customHeight="false" outlineLevel="0" collapsed="false">
      <c r="A105" s="5" t="s">
        <v>389</v>
      </c>
      <c r="F105" s="83" t="n">
        <f aca="false">COUNTIF(R2:R90,"Yes")/(COUNTIF(R2:R90,"Yes")+COUNTIF(R2:R90,"No"))</f>
        <v>0.97752808988764</v>
      </c>
    </row>
    <row r="106" customFormat="false" ht="15" hidden="false" customHeight="false" outlineLevel="0" collapsed="false">
      <c r="A106" s="5" t="s">
        <v>390</v>
      </c>
      <c r="F106" s="83" t="n">
        <f aca="false">COUNTIF(S2:S90,"Yes")/(COUNTIF(S2:S90,"Yes")+COUNTIF(S2:S90,"No"))</f>
        <v>1</v>
      </c>
    </row>
    <row r="107" customFormat="false" ht="15" hidden="false" customHeight="false" outlineLevel="0" collapsed="false">
      <c r="A107" s="2" t="s">
        <v>391</v>
      </c>
      <c r="F107" s="84" t="n">
        <f aca="false">COUNTIFS(L2:L90,"&gt;=-3",L2:L90,"&lt;=3")/COUNT(L2:L90)</f>
        <v>0.910112359550562</v>
      </c>
    </row>
    <row r="108" customFormat="false" ht="15" hidden="false" customHeight="false" outlineLevel="0" collapsed="false">
      <c r="A108" s="2" t="s">
        <v>392</v>
      </c>
      <c r="F108" s="85" t="n">
        <f aca="false">COUNT(E2:E90)</f>
        <v>89</v>
      </c>
    </row>
    <row r="109" customFormat="false" ht="15" hidden="false" customHeight="false" outlineLevel="0" collapsed="false">
      <c r="A109" s="2" t="s">
        <v>393</v>
      </c>
      <c r="F109" s="85" t="n">
        <f aca="false">COUNTA(A2:A90)</f>
        <v>89</v>
      </c>
    </row>
    <row r="110" customFormat="false" ht="15" hidden="false" customHeight="false" outlineLevel="0" collapsed="false">
      <c r="A110" s="5" t="s">
        <v>394</v>
      </c>
    </row>
    <row r="111" customFormat="false" ht="15" hidden="false" customHeight="false" outlineLevel="0" collapsed="false">
      <c r="A111" s="2" t="s">
        <v>395</v>
      </c>
      <c r="F111" s="86" t="n">
        <f aca="false">((D92+G92)-(E92+H92))*K92</f>
        <v>-1084.46660914325</v>
      </c>
    </row>
    <row r="112" customFormat="false" ht="15" hidden="false" customHeight="false" outlineLevel="0" collapsed="false">
      <c r="A112" s="2" t="s">
        <v>396</v>
      </c>
      <c r="F112" s="86" t="n">
        <f aca="false">F92-((D92+G92)-(E92+H92))*K92</f>
        <v>-613.533390856752</v>
      </c>
    </row>
    <row r="113" customFormat="false" ht="15" hidden="false" customHeight="false" outlineLevel="0" collapsed="false">
      <c r="A113" s="2" t="s">
        <v>397</v>
      </c>
      <c r="F113" s="86" t="n">
        <f aca="false">((D92+G92)-(E92+H92))*(1-K92)</f>
        <v>-1106.53339085675</v>
      </c>
    </row>
    <row r="114" customFormat="false" ht="15" hidden="false" customHeight="false" outlineLevel="0" collapsed="false">
      <c r="A114" s="2" t="s">
        <v>398</v>
      </c>
      <c r="F114" s="86" t="n">
        <f aca="false">I92-((D92+G92)-(E92+H92))*(1-K92)</f>
        <v>613.533390856752</v>
      </c>
    </row>
    <row r="115" customFormat="false" ht="15" hidden="false" customHeight="false" outlineLevel="0" collapsed="false">
      <c r="A115" s="2" t="s">
        <v>399</v>
      </c>
      <c r="F115" s="81" t="n">
        <f aca="false">(F92-((D92+G92)-(E92+H92))*K92)/E92</f>
        <v>-0.00307341423891052</v>
      </c>
    </row>
    <row r="116" customFormat="false" ht="15" hidden="false" customHeight="false" outlineLevel="0" collapsed="false">
      <c r="A116" s="2" t="s">
        <v>400</v>
      </c>
      <c r="F116" s="81" t="n">
        <f aca="false">(I92-((D92+G92)-(E92+H92))*(1-K92))/H92</f>
        <v>0.00301212339880971</v>
      </c>
    </row>
    <row r="118" customFormat="false" ht="15" hidden="false" customHeight="false" outlineLevel="0" collapsed="false">
      <c r="U118" s="5" t="s">
        <v>139</v>
      </c>
    </row>
    <row r="119" customFormat="false" ht="28.35" hidden="false" customHeight="false" outlineLevel="0" collapsed="false">
      <c r="U119" s="68" t="s">
        <v>401</v>
      </c>
    </row>
    <row r="120" customFormat="false" ht="15" hidden="false" customHeight="false" outlineLevel="0" collapsed="false">
      <c r="U120" s="68" t="s">
        <v>402</v>
      </c>
    </row>
    <row r="121" customFormat="false" ht="41.75" hidden="false" customHeight="false" outlineLevel="0" collapsed="false">
      <c r="U121" s="68" t="s">
        <v>410</v>
      </c>
    </row>
    <row r="122" customFormat="false" ht="15" hidden="false" customHeight="false" outlineLevel="0" collapsed="false">
      <c r="U122" s="68" t="s">
        <v>404</v>
      </c>
    </row>
    <row r="123" customFormat="false" ht="41.75" hidden="false" customHeight="false" outlineLevel="0" collapsed="false">
      <c r="U123" s="68" t="s">
        <v>405</v>
      </c>
    </row>
    <row r="124" customFormat="false" ht="28.35" hidden="false" customHeight="false" outlineLevel="0" collapsed="false">
      <c r="U124" s="68" t="s">
        <v>406</v>
      </c>
    </row>
    <row r="125" customFormat="false" ht="28.35" hidden="false" customHeight="false" outlineLevel="0" collapsed="false">
      <c r="U125" s="68" t="s">
        <v>407</v>
      </c>
    </row>
    <row r="126" customFormat="false" ht="41.75" hidden="false" customHeight="false" outlineLevel="0" collapsed="false">
      <c r="U126" s="68" t="s">
        <v>408</v>
      </c>
    </row>
    <row r="127" customFormat="false" ht="15" hidden="false" customHeight="false" outlineLevel="0" collapsed="false">
      <c r="U127" s="68" t="s">
        <v>409</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360</v>
      </c>
      <c r="E1" s="8" t="s">
        <v>361</v>
      </c>
      <c r="F1" s="8" t="s">
        <v>362</v>
      </c>
      <c r="G1" s="8" t="s">
        <v>363</v>
      </c>
      <c r="H1" s="8" t="s">
        <v>364</v>
      </c>
      <c r="I1" s="8" t="s">
        <v>365</v>
      </c>
      <c r="J1" s="8" t="s">
        <v>366</v>
      </c>
      <c r="K1" s="8" t="s">
        <v>367</v>
      </c>
      <c r="L1" s="8" t="s">
        <v>368</v>
      </c>
      <c r="M1" s="8" t="s">
        <v>369</v>
      </c>
      <c r="N1" s="8" t="s">
        <v>370</v>
      </c>
      <c r="O1" s="8" t="s">
        <v>142</v>
      </c>
      <c r="P1" s="8" t="s">
        <v>371</v>
      </c>
      <c r="Q1" s="8" t="s">
        <v>372</v>
      </c>
      <c r="R1" s="8" t="s">
        <v>373</v>
      </c>
      <c r="S1" s="8" t="s">
        <v>374</v>
      </c>
      <c r="T1" s="8" t="s">
        <v>375</v>
      </c>
      <c r="U1" s="8" t="s">
        <v>376</v>
      </c>
    </row>
    <row r="2" customFormat="false" ht="15" hidden="false" customHeight="false" outlineLevel="0" collapsed="false">
      <c r="A2" s="32" t="s">
        <v>162</v>
      </c>
      <c r="B2" s="32" t="s">
        <v>163</v>
      </c>
      <c r="C2" s="32" t="s">
        <v>164</v>
      </c>
      <c r="D2" s="60" t="n">
        <v>152</v>
      </c>
      <c r="E2" s="60" t="n">
        <v>181</v>
      </c>
      <c r="F2" s="69" t="n">
        <f aca="false">IF(E2="","",D2-E2)</f>
        <v>-29</v>
      </c>
      <c r="G2" s="60" t="n">
        <v>286</v>
      </c>
      <c r="H2" s="60" t="n">
        <v>285</v>
      </c>
      <c r="I2" s="69" t="n">
        <f aca="false">IF(H2="","",G2-H2)</f>
        <v>1</v>
      </c>
      <c r="J2" s="40" t="n">
        <f aca="false">IF(OR(D2="",D2+G2=0),"",D2/(D2+G2))</f>
        <v>0.34703196347032</v>
      </c>
      <c r="K2" s="40" t="n">
        <f aca="false">IF(E2="","",E2/(E2+H2))</f>
        <v>0.388412017167382</v>
      </c>
      <c r="L2" s="70" t="n">
        <f aca="false">IF(OR(K2="",J2=""),"",(J2-K2)*100)</f>
        <v>-4.13800536970624</v>
      </c>
      <c r="M2" s="36" t="n">
        <v>3.75884140229675</v>
      </c>
      <c r="N2" s="36" t="n">
        <v>2.59292838795783</v>
      </c>
      <c r="O2" s="36" t="n">
        <f aca="false">SQRT(M2^2+N2^2)</f>
        <v>4.56641722937116</v>
      </c>
      <c r="P2" s="40" t="n">
        <f aca="false">IF(J2="","",MAX(0,J2-1.96*O2/100))</f>
        <v>0.257530185774645</v>
      </c>
      <c r="Q2" s="40" t="n">
        <f aca="false">IF(J2="","",MIN(1,J2+1.96*O2/100))</f>
        <v>0.436533741165994</v>
      </c>
      <c r="R2" s="32" t="str">
        <f aca="false">IF(L2="","",IF(ABS(L2)&lt;=O2,"Yes","No"))</f>
        <v>Yes</v>
      </c>
      <c r="S2" s="32" t="str">
        <f aca="false">IF(L2="","",IF(ABS(L2)&lt;=1.96*O2,"Yes","No"))</f>
        <v>Yes</v>
      </c>
      <c r="T2" s="60" t="n">
        <f aca="false">IF(D2="","",ROUND(SQRT(((D2+G2)*O2/100)^2+(J2*(D2+G2)*0.07859)^2),0))</f>
        <v>23</v>
      </c>
      <c r="U2" s="32"/>
    </row>
    <row r="3" customFormat="false" ht="15" hidden="false" customHeight="false" outlineLevel="0" collapsed="false">
      <c r="A3" s="32" t="s">
        <v>162</v>
      </c>
      <c r="B3" s="32" t="s">
        <v>168</v>
      </c>
      <c r="C3" s="32" t="s">
        <v>164</v>
      </c>
      <c r="D3" s="60" t="n">
        <v>100</v>
      </c>
      <c r="E3" s="60" t="n">
        <v>118</v>
      </c>
      <c r="F3" s="69" t="n">
        <f aca="false">IF(E3="","",D3-E3)</f>
        <v>-18</v>
      </c>
      <c r="G3" s="60" t="n">
        <v>304</v>
      </c>
      <c r="H3" s="60" t="n">
        <v>300</v>
      </c>
      <c r="I3" s="69" t="n">
        <f aca="false">IF(H3="","",G3-H3)</f>
        <v>4</v>
      </c>
      <c r="J3" s="40" t="n">
        <f aca="false">IF(OR(D3="",D3+G3=0),"",D3/(D3+G3))</f>
        <v>0.247524752475248</v>
      </c>
      <c r="K3" s="40" t="n">
        <f aca="false">IF(E3="","",E3/(E3+H3))</f>
        <v>0.282296650717703</v>
      </c>
      <c r="L3" s="70" t="n">
        <f aca="false">IF(OR(K3="",J3=""),"",(J3-K3)*100)</f>
        <v>-3.47718982424558</v>
      </c>
      <c r="M3" s="36" t="n">
        <v>3.75884140229675</v>
      </c>
      <c r="N3" s="36" t="n">
        <v>2.59292838795783</v>
      </c>
      <c r="O3" s="36" t="n">
        <f aca="false">SQRT(M3^2+N3^2)</f>
        <v>4.56641722937116</v>
      </c>
      <c r="P3" s="40" t="n">
        <f aca="false">IF(J3="","",MAX(0,J3-1.96*O3/100))</f>
        <v>0.158022974779573</v>
      </c>
      <c r="Q3" s="40" t="n">
        <f aca="false">IF(J3="","",MIN(1,J3+1.96*O3/100))</f>
        <v>0.337026530170922</v>
      </c>
      <c r="R3" s="32" t="str">
        <f aca="false">IF(L3="","",IF(ABS(L3)&lt;=O3,"Yes","No"))</f>
        <v>Yes</v>
      </c>
      <c r="S3" s="32" t="str">
        <f aca="false">IF(L3="","",IF(ABS(L3)&lt;=1.96*O3,"Yes","No"))</f>
        <v>Yes</v>
      </c>
      <c r="T3" s="60" t="n">
        <f aca="false">IF(D3="","",ROUND(SQRT(((D3+G3)*O3/100)^2+(J3*(D3+G3)*0.07859)^2),0))</f>
        <v>20</v>
      </c>
      <c r="U3" s="32"/>
    </row>
    <row r="4" customFormat="false" ht="15" hidden="false" customHeight="false" outlineLevel="0" collapsed="false">
      <c r="A4" s="32" t="s">
        <v>162</v>
      </c>
      <c r="B4" s="32" t="s">
        <v>169</v>
      </c>
      <c r="C4" s="32" t="s">
        <v>164</v>
      </c>
      <c r="D4" s="60" t="n">
        <v>121</v>
      </c>
      <c r="E4" s="60" t="n">
        <v>144</v>
      </c>
      <c r="F4" s="69" t="n">
        <f aca="false">IF(E4="","",D4-E4)</f>
        <v>-23</v>
      </c>
      <c r="G4" s="60" t="n">
        <v>282</v>
      </c>
      <c r="H4" s="60" t="n">
        <v>310</v>
      </c>
      <c r="I4" s="69" t="n">
        <f aca="false">IF(H4="","",G4-H4)</f>
        <v>-28</v>
      </c>
      <c r="J4" s="40" t="n">
        <f aca="false">IF(OR(D4="",D4+G4=0),"",D4/(D4+G4))</f>
        <v>0.300248138957816</v>
      </c>
      <c r="K4" s="40" t="n">
        <f aca="false">IF(E4="","",E4/(E4+H4))</f>
        <v>0.317180616740088</v>
      </c>
      <c r="L4" s="70" t="n">
        <f aca="false">IF(OR(K4="",J4=""),"",(J4-K4)*100)</f>
        <v>-1.69324777822717</v>
      </c>
      <c r="M4" s="36" t="n">
        <v>3.75884140229675</v>
      </c>
      <c r="N4" s="36" t="n">
        <v>2.59292838795783</v>
      </c>
      <c r="O4" s="36" t="n">
        <f aca="false">SQRT(M4^2+N4^2)</f>
        <v>4.56641722937116</v>
      </c>
      <c r="P4" s="40" t="n">
        <f aca="false">IF(J4="","",MAX(0,J4-1.96*O4/100))</f>
        <v>0.210746361262142</v>
      </c>
      <c r="Q4" s="40" t="n">
        <f aca="false">IF(J4="","",MIN(1,J4+1.96*O4/100))</f>
        <v>0.389749916653491</v>
      </c>
      <c r="R4" s="32" t="str">
        <f aca="false">IF(L4="","",IF(ABS(L4)&lt;=O4,"Yes","No"))</f>
        <v>Yes</v>
      </c>
      <c r="S4" s="32" t="str">
        <f aca="false">IF(L4="","",IF(ABS(L4)&lt;=1.96*O4,"Yes","No"))</f>
        <v>Yes</v>
      </c>
      <c r="T4" s="60" t="n">
        <f aca="false">IF(D4="","",ROUND(SQRT(((D4+G4)*O4/100)^2+(J4*(D4+G4)*0.07859)^2),0))</f>
        <v>21</v>
      </c>
      <c r="U4" s="32"/>
    </row>
    <row r="5" customFormat="false" ht="15" hidden="false" customHeight="false" outlineLevel="0" collapsed="false">
      <c r="A5" s="32" t="s">
        <v>162</v>
      </c>
      <c r="B5" s="32" t="s">
        <v>170</v>
      </c>
      <c r="C5" s="32" t="s">
        <v>164</v>
      </c>
      <c r="D5" s="60" t="n">
        <v>402</v>
      </c>
      <c r="E5" s="60" t="n">
        <v>438</v>
      </c>
      <c r="F5" s="69" t="n">
        <f aca="false">IF(E5="","",D5-E5)</f>
        <v>-36</v>
      </c>
      <c r="G5" s="60" t="n">
        <v>1173</v>
      </c>
      <c r="H5" s="60" t="n">
        <v>1253</v>
      </c>
      <c r="I5" s="69" t="n">
        <f aca="false">IF(H5="","",G5-H5)</f>
        <v>-80</v>
      </c>
      <c r="J5" s="40" t="n">
        <f aca="false">IF(OR(D5="",D5+G5=0),"",D5/(D5+G5))</f>
        <v>0.255238095238095</v>
      </c>
      <c r="K5" s="40" t="n">
        <f aca="false">IF(E5="","",E5/(E5+H5))</f>
        <v>0.259018332347723</v>
      </c>
      <c r="L5" s="70" t="n">
        <f aca="false">IF(OR(K5="",J5=""),"",(J5-K5)*100)</f>
        <v>-0.378023710962799</v>
      </c>
      <c r="M5" s="36" t="n">
        <v>2.24971735258761</v>
      </c>
      <c r="N5" s="36" t="n">
        <v>2.59292838795783</v>
      </c>
      <c r="O5" s="36" t="n">
        <f aca="false">SQRT(M5^2+N5^2)</f>
        <v>3.43285679742272</v>
      </c>
      <c r="P5" s="40" t="n">
        <f aca="false">IF(J5="","",MAX(0,J5-1.96*O5/100))</f>
        <v>0.18795410200861</v>
      </c>
      <c r="Q5" s="40" t="n">
        <f aca="false">IF(J5="","",MIN(1,J5+1.96*O5/100))</f>
        <v>0.322522088467581</v>
      </c>
      <c r="R5" s="32" t="str">
        <f aca="false">IF(L5="","",IF(ABS(L5)&lt;=O5,"Yes","No"))</f>
        <v>Yes</v>
      </c>
      <c r="S5" s="32" t="str">
        <f aca="false">IF(L5="","",IF(ABS(L5)&lt;=1.96*O5,"Yes","No"))</f>
        <v>Yes</v>
      </c>
      <c r="T5" s="60" t="n">
        <f aca="false">IF(D5="","",ROUND(SQRT(((D5+G5)*O5/100)^2+(J5*(D5+G5)*0.06092)^2),0))</f>
        <v>59</v>
      </c>
      <c r="U5" s="32"/>
    </row>
    <row r="6" customFormat="false" ht="15" hidden="false" customHeight="false" outlineLevel="0" collapsed="false">
      <c r="A6" s="32" t="s">
        <v>162</v>
      </c>
      <c r="B6" s="32" t="s">
        <v>172</v>
      </c>
      <c r="C6" s="32" t="s">
        <v>164</v>
      </c>
      <c r="D6" s="60" t="n">
        <v>37</v>
      </c>
      <c r="E6" s="60" t="n">
        <v>38</v>
      </c>
      <c r="F6" s="69" t="n">
        <f aca="false">IF(E6="","",D6-E6)</f>
        <v>-1</v>
      </c>
      <c r="G6" s="60" t="n">
        <v>75</v>
      </c>
      <c r="H6" s="60" t="n">
        <v>78</v>
      </c>
      <c r="I6" s="69" t="n">
        <f aca="false">IF(H6="","",G6-H6)</f>
        <v>-3</v>
      </c>
      <c r="J6" s="40" t="n">
        <f aca="false">IF(OR(D6="",D6+G6=0),"",D6/(D6+G6))</f>
        <v>0.330357142857143</v>
      </c>
      <c r="K6" s="40" t="n">
        <f aca="false">IF(E6="","",E6/(E6+H6))</f>
        <v>0.327586206896552</v>
      </c>
      <c r="L6" s="70" t="n">
        <f aca="false">IF(OR(K6="",J6=""),"",(J6-K6)*100)</f>
        <v>0.277093596059114</v>
      </c>
      <c r="M6" s="36" t="n">
        <v>3.75884140229675</v>
      </c>
      <c r="N6" s="36" t="n">
        <v>2.59292838795783</v>
      </c>
      <c r="O6" s="36" t="n">
        <f aca="false">SQRT(M6^2+N6^2)</f>
        <v>4.56641722937116</v>
      </c>
      <c r="P6" s="40" t="n">
        <f aca="false">IF(J6="","",MAX(0,J6-1.96*O6/100))</f>
        <v>0.240855365161468</v>
      </c>
      <c r="Q6" s="40" t="n">
        <f aca="false">IF(J6="","",MIN(1,J6+1.96*O6/100))</f>
        <v>0.419858920552818</v>
      </c>
      <c r="R6" s="32" t="str">
        <f aca="false">IF(L6="","",IF(ABS(L6)&lt;=O6,"Yes","No"))</f>
        <v>Yes</v>
      </c>
      <c r="S6" s="32" t="str">
        <f aca="false">IF(L6="","",IF(ABS(L6)&lt;=1.96*O6,"Yes","No"))</f>
        <v>Yes</v>
      </c>
      <c r="T6" s="60" t="n">
        <f aca="false">IF(D6="","",ROUND(SQRT(((D6+G6)*O6/100)^2+(J6*(D6+G6)*0.07859)^2),0))</f>
        <v>6</v>
      </c>
      <c r="U6" s="32"/>
    </row>
    <row r="7" customFormat="false" ht="15" hidden="false" customHeight="false" outlineLevel="0" collapsed="false">
      <c r="A7" s="32" t="s">
        <v>162</v>
      </c>
      <c r="B7" s="32" t="s">
        <v>173</v>
      </c>
      <c r="C7" s="32" t="s">
        <v>164</v>
      </c>
      <c r="D7" s="60" t="n">
        <v>624</v>
      </c>
      <c r="E7" s="60" t="n">
        <v>708</v>
      </c>
      <c r="F7" s="69" t="n">
        <f aca="false">IF(E7="","",D7-E7)</f>
        <v>-84</v>
      </c>
      <c r="G7" s="60" t="n">
        <v>1808</v>
      </c>
      <c r="H7" s="60" t="n">
        <v>1846</v>
      </c>
      <c r="I7" s="69" t="n">
        <f aca="false">IF(H7="","",G7-H7)</f>
        <v>-38</v>
      </c>
      <c r="J7" s="40" t="n">
        <f aca="false">IF(OR(D7="",D7+G7=0),"",D7/(D7+G7))</f>
        <v>0.256578947368421</v>
      </c>
      <c r="K7" s="40" t="n">
        <f aca="false">IF(E7="","",E7/(E7+H7))</f>
        <v>0.277212216131558</v>
      </c>
      <c r="L7" s="70" t="n">
        <f aca="false">IF(OR(K7="",J7=""),"",(J7-K7)*100)</f>
        <v>-2.06332687631373</v>
      </c>
      <c r="M7" s="36" t="n">
        <v>2.24971735258761</v>
      </c>
      <c r="N7" s="36" t="n">
        <v>2.59292838795783</v>
      </c>
      <c r="O7" s="36" t="n">
        <f aca="false">SQRT(M7^2+N7^2)</f>
        <v>3.43285679742272</v>
      </c>
      <c r="P7" s="40" t="n">
        <f aca="false">IF(J7="","",MAX(0,J7-1.96*O7/100))</f>
        <v>0.189294954138936</v>
      </c>
      <c r="Q7" s="40" t="n">
        <f aca="false">IF(J7="","",MIN(1,J7+1.96*O7/100))</f>
        <v>0.323862940597906</v>
      </c>
      <c r="R7" s="32" t="str">
        <f aca="false">IF(L7="","",IF(ABS(L7)&lt;=O7,"Yes","No"))</f>
        <v>Yes</v>
      </c>
      <c r="S7" s="32" t="str">
        <f aca="false">IF(L7="","",IF(ABS(L7)&lt;=1.96*O7,"Yes","No"))</f>
        <v>Yes</v>
      </c>
      <c r="T7" s="60" t="n">
        <f aca="false">IF(D7="","",ROUND(SQRT(((D7+G7)*O7/100)^2+(J7*(D7+G7)*0.06092)^2),0))</f>
        <v>92</v>
      </c>
      <c r="U7" s="32"/>
    </row>
    <row r="8" customFormat="false" ht="15" hidden="false" customHeight="false" outlineLevel="0" collapsed="false">
      <c r="A8" s="32" t="s">
        <v>162</v>
      </c>
      <c r="B8" s="32" t="s">
        <v>174</v>
      </c>
      <c r="C8" s="32" t="s">
        <v>164</v>
      </c>
      <c r="D8" s="60" t="n">
        <v>1066</v>
      </c>
      <c r="E8" s="60" t="n">
        <v>1104</v>
      </c>
      <c r="F8" s="69" t="n">
        <f aca="false">IF(E8="","",D8-E8)</f>
        <v>-38</v>
      </c>
      <c r="G8" s="60" t="n">
        <v>1359</v>
      </c>
      <c r="H8" s="60" t="n">
        <v>1481</v>
      </c>
      <c r="I8" s="69" t="n">
        <f aca="false">IF(H8="","",G8-H8)</f>
        <v>-122</v>
      </c>
      <c r="J8" s="40" t="n">
        <f aca="false">IF(OR(D8="",D8+G8=0),"",D8/(D8+G8))</f>
        <v>0.439587628865979</v>
      </c>
      <c r="K8" s="40" t="n">
        <f aca="false">IF(E8="","",E8/(E8+H8))</f>
        <v>0.427079303675048</v>
      </c>
      <c r="L8" s="70" t="n">
        <f aca="false">IF(OR(K8="",J8=""),"",(J8-K8)*100)</f>
        <v>1.2508325190931</v>
      </c>
      <c r="M8" s="36" t="n">
        <v>2.24971735258761</v>
      </c>
      <c r="N8" s="36" t="n">
        <v>2.59292838795783</v>
      </c>
      <c r="O8" s="36" t="n">
        <f aca="false">SQRT(M8^2+N8^2)</f>
        <v>3.43285679742272</v>
      </c>
      <c r="P8" s="40" t="n">
        <f aca="false">IF(J8="","",MAX(0,J8-1.96*O8/100))</f>
        <v>0.372303635636494</v>
      </c>
      <c r="Q8" s="40" t="n">
        <f aca="false">IF(J8="","",MIN(1,J8+1.96*O8/100))</f>
        <v>0.506871622095465</v>
      </c>
      <c r="R8" s="32" t="str">
        <f aca="false">IF(L8="","",IF(ABS(L8)&lt;=O8,"Yes","No"))</f>
        <v>Yes</v>
      </c>
      <c r="S8" s="32" t="str">
        <f aca="false">IF(L8="","",IF(ABS(L8)&lt;=1.96*O8,"Yes","No"))</f>
        <v>Yes</v>
      </c>
      <c r="T8" s="60" t="n">
        <f aca="false">IF(D8="","",ROUND(SQRT(((D8+G8)*O8/100)^2+(J8*(D8+G8)*0.06092)^2),0))</f>
        <v>106</v>
      </c>
      <c r="U8" s="32"/>
    </row>
    <row r="9" customFormat="false" ht="15" hidden="false" customHeight="false" outlineLevel="0" collapsed="false">
      <c r="A9" s="32" t="s">
        <v>162</v>
      </c>
      <c r="B9" s="32" t="s">
        <v>175</v>
      </c>
      <c r="C9" s="32" t="s">
        <v>164</v>
      </c>
      <c r="D9" s="60" t="n">
        <v>315</v>
      </c>
      <c r="E9" s="60" t="n">
        <v>351</v>
      </c>
      <c r="F9" s="69" t="n">
        <f aca="false">IF(E9="","",D9-E9)</f>
        <v>-36</v>
      </c>
      <c r="G9" s="60" t="n">
        <v>721</v>
      </c>
      <c r="H9" s="60" t="n">
        <v>697</v>
      </c>
      <c r="I9" s="69" t="n">
        <f aca="false">IF(H9="","",G9-H9)</f>
        <v>24</v>
      </c>
      <c r="J9" s="40" t="n">
        <f aca="false">IF(OR(D9="",D9+G9=0),"",D9/(D9+G9))</f>
        <v>0.304054054054054</v>
      </c>
      <c r="K9" s="40" t="n">
        <f aca="false">IF(E9="","",E9/(E9+H9))</f>
        <v>0.334923664122137</v>
      </c>
      <c r="L9" s="70" t="n">
        <f aca="false">IF(OR(K9="",J9=""),"",(J9-K9)*100)</f>
        <v>-3.08696100680834</v>
      </c>
      <c r="M9" s="36" t="n">
        <v>3.75884140229675</v>
      </c>
      <c r="N9" s="36" t="n">
        <v>2.59292838795783</v>
      </c>
      <c r="O9" s="36" t="n">
        <f aca="false">SQRT(M9^2+N9^2)</f>
        <v>4.56641722937116</v>
      </c>
      <c r="P9" s="40" t="n">
        <f aca="false">IF(J9="","",MAX(0,J9-1.96*O9/100))</f>
        <v>0.214552276358379</v>
      </c>
      <c r="Q9" s="40" t="n">
        <f aca="false">IF(J9="","",MIN(1,J9+1.96*O9/100))</f>
        <v>0.393555831749729</v>
      </c>
      <c r="R9" s="32" t="str">
        <f aca="false">IF(L9="","",IF(ABS(L9)&lt;=O9,"Yes","No"))</f>
        <v>Yes</v>
      </c>
      <c r="S9" s="32" t="str">
        <f aca="false">IF(L9="","",IF(ABS(L9)&lt;=1.96*O9,"Yes","No"))</f>
        <v>Yes</v>
      </c>
      <c r="T9" s="60" t="n">
        <f aca="false">IF(D9="","",ROUND(SQRT(((D9+G9)*O9/100)^2+(J9*(D9+G9)*0.07859)^2),0))</f>
        <v>53</v>
      </c>
      <c r="U9" s="32"/>
    </row>
    <row r="10" customFormat="false" ht="15" hidden="false" customHeight="false" outlineLevel="0" collapsed="false">
      <c r="A10" s="32" t="s">
        <v>162</v>
      </c>
      <c r="B10" s="32" t="s">
        <v>176</v>
      </c>
      <c r="C10" s="32" t="s">
        <v>164</v>
      </c>
      <c r="D10" s="60" t="n">
        <v>569</v>
      </c>
      <c r="E10" s="60" t="n">
        <v>575</v>
      </c>
      <c r="F10" s="69" t="n">
        <f aca="false">IF(E10="","",D10-E10)</f>
        <v>-6</v>
      </c>
      <c r="G10" s="60" t="n">
        <v>840</v>
      </c>
      <c r="H10" s="60" t="n">
        <v>880</v>
      </c>
      <c r="I10" s="69" t="n">
        <f aca="false">IF(H10="","",G10-H10)</f>
        <v>-40</v>
      </c>
      <c r="J10" s="40" t="n">
        <f aca="false">IF(OR(D10="",D10+G10=0),"",D10/(D10+G10))</f>
        <v>0.403832505322924</v>
      </c>
      <c r="K10" s="40" t="n">
        <f aca="false">IF(E10="","",E10/(E10+H10))</f>
        <v>0.395189003436426</v>
      </c>
      <c r="L10" s="70" t="n">
        <f aca="false">IF(OR(K10="",J10=""),"",(J10-K10)*100)</f>
        <v>0.864350188649798</v>
      </c>
      <c r="M10" s="36" t="n">
        <v>3.75884140229675</v>
      </c>
      <c r="N10" s="36" t="n">
        <v>2.59292838795783</v>
      </c>
      <c r="O10" s="36" t="n">
        <f aca="false">SQRT(M10^2+N10^2)</f>
        <v>4.56641722937116</v>
      </c>
      <c r="P10" s="40" t="n">
        <f aca="false">IF(J10="","",MAX(0,J10-1.96*O10/100))</f>
        <v>0.314330727627249</v>
      </c>
      <c r="Q10" s="40" t="n">
        <f aca="false">IF(J10="","",MIN(1,J10+1.96*O10/100))</f>
        <v>0.493334283018599</v>
      </c>
      <c r="R10" s="32" t="str">
        <f aca="false">IF(L10="","",IF(ABS(L10)&lt;=O10,"Yes","No"))</f>
        <v>Yes</v>
      </c>
      <c r="S10" s="32" t="str">
        <f aca="false">IF(L10="","",IF(ABS(L10)&lt;=1.96*O10,"Yes","No"))</f>
        <v>Yes</v>
      </c>
      <c r="T10" s="60" t="n">
        <f aca="false">IF(D10="","",ROUND(SQRT(((D10+G10)*O10/100)^2+(J10*(D10+G10)*0.07859)^2),0))</f>
        <v>78</v>
      </c>
      <c r="U10" s="32"/>
    </row>
    <row r="11" customFormat="false" ht="15" hidden="false" customHeight="false" outlineLevel="0" collapsed="false">
      <c r="A11" s="32" t="s">
        <v>162</v>
      </c>
      <c r="B11" s="32" t="s">
        <v>177</v>
      </c>
      <c r="C11" s="32" t="s">
        <v>164</v>
      </c>
      <c r="D11" s="60" t="n">
        <v>38</v>
      </c>
      <c r="E11" s="60" t="n">
        <v>38</v>
      </c>
      <c r="F11" s="69" t="n">
        <f aca="false">IF(E11="","",D11-E11)</f>
        <v>0</v>
      </c>
      <c r="G11" s="60" t="n">
        <v>101</v>
      </c>
      <c r="H11" s="60" t="n">
        <v>107</v>
      </c>
      <c r="I11" s="69" t="n">
        <f aca="false">IF(H11="","",G11-H11)</f>
        <v>-6</v>
      </c>
      <c r="J11" s="40" t="n">
        <f aca="false">IF(OR(D11="",D11+G11=0),"",D11/(D11+G11))</f>
        <v>0.273381294964029</v>
      </c>
      <c r="K11" s="40" t="n">
        <f aca="false">IF(E11="","",E11/(E11+H11))</f>
        <v>0.262068965517241</v>
      </c>
      <c r="L11" s="70" t="n">
        <f aca="false">IF(OR(K11="",J11=""),"",(J11-K11)*100)</f>
        <v>1.13123294467874</v>
      </c>
      <c r="M11" s="36" t="n">
        <v>3.75884140229675</v>
      </c>
      <c r="N11" s="36" t="n">
        <v>2.59292838795783</v>
      </c>
      <c r="O11" s="36" t="n">
        <f aca="false">SQRT(M11^2+N11^2)</f>
        <v>4.56641722937116</v>
      </c>
      <c r="P11" s="40" t="n">
        <f aca="false">IF(J11="","",MAX(0,J11-1.96*O11/100))</f>
        <v>0.183879517268354</v>
      </c>
      <c r="Q11" s="40" t="n">
        <f aca="false">IF(J11="","",MIN(1,J11+1.96*O11/100))</f>
        <v>0.362883072659704</v>
      </c>
      <c r="R11" s="32" t="str">
        <f aca="false">IF(L11="","",IF(ABS(L11)&lt;=O11,"Yes","No"))</f>
        <v>Yes</v>
      </c>
      <c r="S11" s="32" t="str">
        <f aca="false">IF(L11="","",IF(ABS(L11)&lt;=1.96*O11,"Yes","No"))</f>
        <v>Yes</v>
      </c>
      <c r="T11" s="60" t="n">
        <f aca="false">IF(D11="","",ROUND(SQRT(((D11+G11)*O11/100)^2+(J11*(D11+G11)*0.07859)^2),0))</f>
        <v>7</v>
      </c>
      <c r="U11" s="32"/>
    </row>
    <row r="12" customFormat="false" ht="15" hidden="false" customHeight="false" outlineLevel="0" collapsed="false">
      <c r="A12" s="32" t="s">
        <v>162</v>
      </c>
      <c r="B12" s="32" t="s">
        <v>178</v>
      </c>
      <c r="C12" s="32" t="s">
        <v>164</v>
      </c>
      <c r="D12" s="60" t="n">
        <v>45</v>
      </c>
      <c r="E12" s="60" t="n">
        <v>58</v>
      </c>
      <c r="F12" s="69" t="n">
        <f aca="false">IF(E12="","",D12-E12)</f>
        <v>-13</v>
      </c>
      <c r="G12" s="60" t="n">
        <v>219</v>
      </c>
      <c r="H12" s="60" t="n">
        <v>216</v>
      </c>
      <c r="I12" s="69" t="n">
        <f aca="false">IF(H12="","",G12-H12)</f>
        <v>3</v>
      </c>
      <c r="J12" s="40" t="n">
        <f aca="false">IF(OR(D12="",D12+G12=0),"",D12/(D12+G12))</f>
        <v>0.170454545454545</v>
      </c>
      <c r="K12" s="40" t="n">
        <f aca="false">IF(E12="","",E12/(E12+H12))</f>
        <v>0.211678832116788</v>
      </c>
      <c r="L12" s="70" t="n">
        <f aca="false">IF(OR(K12="",J12=""),"",(J12-K12)*100)</f>
        <v>-4.12242866622429</v>
      </c>
      <c r="M12" s="36" t="n">
        <v>3.75884140229675</v>
      </c>
      <c r="N12" s="36" t="n">
        <v>2.59292838795783</v>
      </c>
      <c r="O12" s="36" t="n">
        <f aca="false">SQRT(M12^2+N12^2)</f>
        <v>4.56641722937116</v>
      </c>
      <c r="P12" s="40" t="n">
        <f aca="false">IF(J12="","",MAX(0,J12-1.96*O12/100))</f>
        <v>0.0809527677588707</v>
      </c>
      <c r="Q12" s="40" t="n">
        <f aca="false">IF(J12="","",MIN(1,J12+1.96*O12/100))</f>
        <v>0.25995632315022</v>
      </c>
      <c r="R12" s="32" t="str">
        <f aca="false">IF(L12="","",IF(ABS(L12)&lt;=O12,"Yes","No"))</f>
        <v>Yes</v>
      </c>
      <c r="S12" s="32" t="str">
        <f aca="false">IF(L12="","",IF(ABS(L12)&lt;=1.96*O12,"Yes","No"))</f>
        <v>Yes</v>
      </c>
      <c r="T12" s="60" t="n">
        <f aca="false">IF(D12="","",ROUND(SQRT(((D12+G12)*O12/100)^2+(J12*(D12+G12)*0.07859)^2),0))</f>
        <v>13</v>
      </c>
      <c r="U12" s="32"/>
    </row>
    <row r="13" customFormat="false" ht="15" hidden="false" customHeight="false" outlineLevel="0" collapsed="false">
      <c r="A13" s="32" t="s">
        <v>162</v>
      </c>
      <c r="B13" s="32" t="s">
        <v>179</v>
      </c>
      <c r="C13" s="32" t="s">
        <v>164</v>
      </c>
      <c r="D13" s="60" t="n">
        <v>874</v>
      </c>
      <c r="E13" s="60" t="n">
        <v>944</v>
      </c>
      <c r="F13" s="69" t="n">
        <f aca="false">IF(E13="","",D13-E13)</f>
        <v>-70</v>
      </c>
      <c r="G13" s="60" t="n">
        <v>1390</v>
      </c>
      <c r="H13" s="60" t="n">
        <v>1486</v>
      </c>
      <c r="I13" s="69" t="n">
        <f aca="false">IF(H13="","",G13-H13)</f>
        <v>-96</v>
      </c>
      <c r="J13" s="40" t="n">
        <f aca="false">IF(OR(D13="",D13+G13=0),"",D13/(D13+G13))</f>
        <v>0.386042402826855</v>
      </c>
      <c r="K13" s="40" t="n">
        <f aca="false">IF(E13="","",E13/(E13+H13))</f>
        <v>0.388477366255144</v>
      </c>
      <c r="L13" s="70" t="n">
        <f aca="false">IF(OR(K13="",J13=""),"",(J13-K13)*100)</f>
        <v>-0.243496342828886</v>
      </c>
      <c r="M13" s="36" t="n">
        <v>2.24971735258761</v>
      </c>
      <c r="N13" s="36" t="n">
        <v>2.59292838795783</v>
      </c>
      <c r="O13" s="36" t="n">
        <f aca="false">SQRT(M13^2+N13^2)</f>
        <v>3.43285679742272</v>
      </c>
      <c r="P13" s="40" t="n">
        <f aca="false">IF(J13="","",MAX(0,J13-1.96*O13/100))</f>
        <v>0.31875840959737</v>
      </c>
      <c r="Q13" s="40" t="n">
        <f aca="false">IF(J13="","",MIN(1,J13+1.96*O13/100))</f>
        <v>0.453326396056341</v>
      </c>
      <c r="R13" s="32" t="str">
        <f aca="false">IF(L13="","",IF(ABS(L13)&lt;=O13,"Yes","No"))</f>
        <v>Yes</v>
      </c>
      <c r="S13" s="32" t="str">
        <f aca="false">IF(L13="","",IF(ABS(L13)&lt;=1.96*O13,"Yes","No"))</f>
        <v>Yes</v>
      </c>
      <c r="T13" s="60" t="n">
        <f aca="false">IF(D13="","",ROUND(SQRT(((D13+G13)*O13/100)^2+(J13*(D13+G13)*0.06092)^2),0))</f>
        <v>94</v>
      </c>
      <c r="U13" s="32"/>
    </row>
    <row r="14" customFormat="false" ht="15" hidden="false" customHeight="false" outlineLevel="0" collapsed="false">
      <c r="A14" s="32" t="s">
        <v>162</v>
      </c>
      <c r="B14" s="32" t="s">
        <v>180</v>
      </c>
      <c r="C14" s="32" t="s">
        <v>164</v>
      </c>
      <c r="D14" s="60" t="n">
        <v>474</v>
      </c>
      <c r="E14" s="60" t="n">
        <v>515</v>
      </c>
      <c r="F14" s="69" t="n">
        <f aca="false">IF(E14="","",D14-E14)</f>
        <v>-41</v>
      </c>
      <c r="G14" s="60" t="n">
        <v>1207</v>
      </c>
      <c r="H14" s="60" t="n">
        <v>1293</v>
      </c>
      <c r="I14" s="69" t="n">
        <f aca="false">IF(H14="","",G14-H14)</f>
        <v>-86</v>
      </c>
      <c r="J14" s="40" t="n">
        <f aca="false">IF(OR(D14="",D14+G14=0),"",D14/(D14+G14))</f>
        <v>0.2819750148721</v>
      </c>
      <c r="K14" s="40" t="n">
        <f aca="false">IF(E14="","",E14/(E14+H14))</f>
        <v>0.284845132743363</v>
      </c>
      <c r="L14" s="70" t="n">
        <f aca="false">IF(OR(K14="",J14=""),"",(J14-K14)*100)</f>
        <v>-0.28701178712629</v>
      </c>
      <c r="M14" s="36" t="n">
        <v>2.24971735258761</v>
      </c>
      <c r="N14" s="36" t="n">
        <v>2.59292838795783</v>
      </c>
      <c r="O14" s="36" t="n">
        <f aca="false">SQRT(M14^2+N14^2)</f>
        <v>3.43285679742272</v>
      </c>
      <c r="P14" s="40" t="n">
        <f aca="false">IF(J14="","",MAX(0,J14-1.96*O14/100))</f>
        <v>0.214691021642615</v>
      </c>
      <c r="Q14" s="40" t="n">
        <f aca="false">IF(J14="","",MIN(1,J14+1.96*O14/100))</f>
        <v>0.349259008101585</v>
      </c>
      <c r="R14" s="32" t="str">
        <f aca="false">IF(L14="","",IF(ABS(L14)&lt;=O14,"Yes","No"))</f>
        <v>Yes</v>
      </c>
      <c r="S14" s="32" t="str">
        <f aca="false">IF(L14="","",IF(ABS(L14)&lt;=1.96*O14,"Yes","No"))</f>
        <v>Yes</v>
      </c>
      <c r="T14" s="60" t="n">
        <f aca="false">IF(D14="","",ROUND(SQRT(((D14+G14)*O14/100)^2+(J14*(D14+G14)*0.06092)^2),0))</f>
        <v>65</v>
      </c>
      <c r="U14" s="32"/>
    </row>
    <row r="15" customFormat="false" ht="15" hidden="false" customHeight="false" outlineLevel="0" collapsed="false">
      <c r="A15" s="32" t="s">
        <v>162</v>
      </c>
      <c r="B15" s="32" t="s">
        <v>181</v>
      </c>
      <c r="C15" s="32" t="s">
        <v>164</v>
      </c>
      <c r="D15" s="60" t="n">
        <v>566</v>
      </c>
      <c r="E15" s="60" t="n">
        <v>694</v>
      </c>
      <c r="F15" s="69" t="n">
        <f aca="false">IF(E15="","",D15-E15)</f>
        <v>-128</v>
      </c>
      <c r="G15" s="60" t="n">
        <v>1623</v>
      </c>
      <c r="H15" s="60" t="n">
        <v>1695</v>
      </c>
      <c r="I15" s="69" t="n">
        <f aca="false">IF(H15="","",G15-H15)</f>
        <v>-72</v>
      </c>
      <c r="J15" s="40" t="n">
        <f aca="false">IF(OR(D15="",D15+G15=0),"",D15/(D15+G15))</f>
        <v>0.258565555047967</v>
      </c>
      <c r="K15" s="40" t="n">
        <f aca="false">IF(E15="","",E15/(E15+H15))</f>
        <v>0.290498116366681</v>
      </c>
      <c r="L15" s="70" t="n">
        <f aca="false">IF(OR(K15="",J15=""),"",(J15-K15)*100)</f>
        <v>-3.19325613187135</v>
      </c>
      <c r="M15" s="36" t="n">
        <v>2.24971735258761</v>
      </c>
      <c r="N15" s="36" t="n">
        <v>2.59292838795783</v>
      </c>
      <c r="O15" s="36" t="n">
        <f aca="false">SQRT(M15^2+N15^2)</f>
        <v>3.43285679742272</v>
      </c>
      <c r="P15" s="40" t="n">
        <f aca="false">IF(J15="","",MAX(0,J15-1.96*O15/100))</f>
        <v>0.191281561818482</v>
      </c>
      <c r="Q15" s="40" t="n">
        <f aca="false">IF(J15="","",MIN(1,J15+1.96*O15/100))</f>
        <v>0.325849548277453</v>
      </c>
      <c r="R15" s="32" t="str">
        <f aca="false">IF(L15="","",IF(ABS(L15)&lt;=O15,"Yes","No"))</f>
        <v>Yes</v>
      </c>
      <c r="S15" s="32" t="str">
        <f aca="false">IF(L15="","",IF(ABS(L15)&lt;=1.96*O15,"Yes","No"))</f>
        <v>Yes</v>
      </c>
      <c r="T15" s="60" t="n">
        <f aca="false">IF(D15="","",ROUND(SQRT(((D15+G15)*O15/100)^2+(J15*(D15+G15)*0.06092)^2),0))</f>
        <v>83</v>
      </c>
      <c r="U15" s="32"/>
    </row>
    <row r="16" customFormat="false" ht="15" hidden="false" customHeight="false" outlineLevel="0" collapsed="false">
      <c r="A16" s="32" t="s">
        <v>162</v>
      </c>
      <c r="B16" s="32" t="s">
        <v>182</v>
      </c>
      <c r="C16" s="32" t="s">
        <v>164</v>
      </c>
      <c r="D16" s="60" t="n">
        <v>570</v>
      </c>
      <c r="E16" s="60" t="n">
        <v>601</v>
      </c>
      <c r="F16" s="69" t="n">
        <f aca="false">IF(E16="","",D16-E16)</f>
        <v>-31</v>
      </c>
      <c r="G16" s="60" t="n">
        <v>886</v>
      </c>
      <c r="H16" s="60" t="n">
        <v>955</v>
      </c>
      <c r="I16" s="69" t="n">
        <f aca="false">IF(H16="","",G16-H16)</f>
        <v>-69</v>
      </c>
      <c r="J16" s="40" t="n">
        <f aca="false">IF(OR(D16="",D16+G16=0),"",D16/(D16+G16))</f>
        <v>0.391483516483517</v>
      </c>
      <c r="K16" s="40" t="n">
        <f aca="false">IF(E16="","",E16/(E16+H16))</f>
        <v>0.386246786632391</v>
      </c>
      <c r="L16" s="70" t="n">
        <f aca="false">IF(OR(K16="",J16=""),"",(J16-K16)*100)</f>
        <v>0.523672985112572</v>
      </c>
      <c r="M16" s="36" t="n">
        <v>3.75884140229675</v>
      </c>
      <c r="N16" s="36" t="n">
        <v>2.59292838795783</v>
      </c>
      <c r="O16" s="36" t="n">
        <f aca="false">SQRT(M16^2+N16^2)</f>
        <v>4.56641722937116</v>
      </c>
      <c r="P16" s="40" t="n">
        <f aca="false">IF(J16="","",MAX(0,J16-1.96*O16/100))</f>
        <v>0.301981738787842</v>
      </c>
      <c r="Q16" s="40" t="n">
        <f aca="false">IF(J16="","",MIN(1,J16+1.96*O16/100))</f>
        <v>0.480985294179191</v>
      </c>
      <c r="R16" s="32" t="str">
        <f aca="false">IF(L16="","",IF(ABS(L16)&lt;=O16,"Yes","No"))</f>
        <v>Yes</v>
      </c>
      <c r="S16" s="32" t="str">
        <f aca="false">IF(L16="","",IF(ABS(L16)&lt;=1.96*O16,"Yes","No"))</f>
        <v>Yes</v>
      </c>
      <c r="T16" s="60" t="n">
        <f aca="false">IF(D16="","",ROUND(SQRT(((D16+G16)*O16/100)^2+(J16*(D16+G16)*0.07859)^2),0))</f>
        <v>80</v>
      </c>
      <c r="U16" s="32"/>
    </row>
    <row r="17" customFormat="false" ht="15" hidden="false" customHeight="false" outlineLevel="0" collapsed="false">
      <c r="A17" s="32" t="s">
        <v>162</v>
      </c>
      <c r="B17" s="32" t="s">
        <v>183</v>
      </c>
      <c r="C17" s="32" t="s">
        <v>164</v>
      </c>
      <c r="D17" s="60" t="n">
        <v>93</v>
      </c>
      <c r="E17" s="60" t="n">
        <v>134</v>
      </c>
      <c r="F17" s="69" t="n">
        <f aca="false">IF(E17="","",D17-E17)</f>
        <v>-41</v>
      </c>
      <c r="G17" s="60" t="n">
        <v>502</v>
      </c>
      <c r="H17" s="60" t="n">
        <v>505</v>
      </c>
      <c r="I17" s="69" t="n">
        <f aca="false">IF(H17="","",G17-H17)</f>
        <v>-3</v>
      </c>
      <c r="J17" s="40" t="n">
        <f aca="false">IF(OR(D17="",D17+G17=0),"",D17/(D17+G17))</f>
        <v>0.156302521008403</v>
      </c>
      <c r="K17" s="40" t="n">
        <f aca="false">IF(E17="","",E17/(E17+H17))</f>
        <v>0.209702660406886</v>
      </c>
      <c r="L17" s="70" t="n">
        <f aca="false">IF(OR(K17="",J17=""),"",(J17-K17)*100)</f>
        <v>-5.34001393984824</v>
      </c>
      <c r="M17" s="36" t="n">
        <v>3.75884140229675</v>
      </c>
      <c r="N17" s="36" t="n">
        <v>2.59292838795783</v>
      </c>
      <c r="O17" s="36" t="n">
        <f aca="false">SQRT(M17^2+N17^2)</f>
        <v>4.56641722937116</v>
      </c>
      <c r="P17" s="40" t="n">
        <f aca="false">IF(J17="","",MAX(0,J17-1.96*O17/100))</f>
        <v>0.0668007433127286</v>
      </c>
      <c r="Q17" s="40" t="n">
        <f aca="false">IF(J17="","",MIN(1,J17+1.96*O17/100))</f>
        <v>0.245804298704078</v>
      </c>
      <c r="R17" s="32" t="str">
        <f aca="false">IF(L17="","",IF(ABS(L17)&lt;=O17,"Yes","No"))</f>
        <v>No</v>
      </c>
      <c r="S17" s="32" t="str">
        <f aca="false">IF(L17="","",IF(ABS(L17)&lt;=1.96*O17,"Yes","No"))</f>
        <v>Yes</v>
      </c>
      <c r="T17" s="60" t="n">
        <f aca="false">IF(D17="","",ROUND(SQRT(((D17+G17)*O17/100)^2+(J17*(D17+G17)*0.07859)^2),0))</f>
        <v>28</v>
      </c>
      <c r="U17" s="32"/>
    </row>
    <row r="18" customFormat="false" ht="15" hidden="false" customHeight="false" outlineLevel="0" collapsed="false">
      <c r="A18" s="32" t="s">
        <v>162</v>
      </c>
      <c r="B18" s="32" t="s">
        <v>184</v>
      </c>
      <c r="C18" s="32" t="s">
        <v>164</v>
      </c>
      <c r="D18" s="60" t="n">
        <v>895</v>
      </c>
      <c r="E18" s="60" t="n">
        <v>981</v>
      </c>
      <c r="F18" s="69" t="n">
        <f aca="false">IF(E18="","",D18-E18)</f>
        <v>-86</v>
      </c>
      <c r="G18" s="60" t="n">
        <v>1665</v>
      </c>
      <c r="H18" s="60" t="n">
        <v>1740</v>
      </c>
      <c r="I18" s="69" t="n">
        <f aca="false">IF(H18="","",G18-H18)</f>
        <v>-75</v>
      </c>
      <c r="J18" s="40" t="n">
        <f aca="false">IF(OR(D18="",D18+G18=0),"",D18/(D18+G18))</f>
        <v>0.349609375</v>
      </c>
      <c r="K18" s="40" t="n">
        <f aca="false">IF(E18="","",E18/(E18+H18))</f>
        <v>0.360529217199559</v>
      </c>
      <c r="L18" s="70" t="n">
        <f aca="false">IF(OR(K18="",J18=""),"",(J18-K18)*100)</f>
        <v>-1.0919842199559</v>
      </c>
      <c r="M18" s="36" t="n">
        <v>2.24971735258761</v>
      </c>
      <c r="N18" s="36" t="n">
        <v>2.59292838795783</v>
      </c>
      <c r="O18" s="36" t="n">
        <f aca="false">SQRT(M18^2+N18^2)</f>
        <v>3.43285679742272</v>
      </c>
      <c r="P18" s="40" t="n">
        <f aca="false">IF(J18="","",MAX(0,J18-1.96*O18/100))</f>
        <v>0.282325381770515</v>
      </c>
      <c r="Q18" s="40" t="n">
        <f aca="false">IF(J18="","",MIN(1,J18+1.96*O18/100))</f>
        <v>0.416893368229485</v>
      </c>
      <c r="R18" s="32" t="str">
        <f aca="false">IF(L18="","",IF(ABS(L18)&lt;=O18,"Yes","No"))</f>
        <v>Yes</v>
      </c>
      <c r="S18" s="32" t="str">
        <f aca="false">IF(L18="","",IF(ABS(L18)&lt;=1.96*O18,"Yes","No"))</f>
        <v>Yes</v>
      </c>
      <c r="T18" s="60" t="n">
        <f aca="false">IF(D18="","",ROUND(SQRT(((D18+G18)*O18/100)^2+(J18*(D18+G18)*0.06092)^2),0))</f>
        <v>103</v>
      </c>
      <c r="U18" s="32"/>
    </row>
    <row r="19" customFormat="false" ht="15" hidden="false" customHeight="false" outlineLevel="0" collapsed="false">
      <c r="A19" s="32" t="s">
        <v>162</v>
      </c>
      <c r="B19" s="32" t="s">
        <v>185</v>
      </c>
      <c r="C19" s="32" t="s">
        <v>164</v>
      </c>
      <c r="D19" s="60" t="n">
        <v>53</v>
      </c>
      <c r="E19" s="60" t="n">
        <v>74</v>
      </c>
      <c r="F19" s="69" t="n">
        <f aca="false">IF(E19="","",D19-E19)</f>
        <v>-21</v>
      </c>
      <c r="G19" s="60" t="n">
        <v>162</v>
      </c>
      <c r="H19" s="60" t="n">
        <v>162</v>
      </c>
      <c r="I19" s="69" t="n">
        <f aca="false">IF(H19="","",G19-H19)</f>
        <v>0</v>
      </c>
      <c r="J19" s="40" t="n">
        <f aca="false">IF(OR(D19="",D19+G19=0),"",D19/(D19+G19))</f>
        <v>0.246511627906977</v>
      </c>
      <c r="K19" s="40" t="n">
        <f aca="false">IF(E19="","",E19/(E19+H19))</f>
        <v>0.313559322033898</v>
      </c>
      <c r="L19" s="70" t="n">
        <f aca="false">IF(OR(K19="",J19=""),"",(J19-K19)*100)</f>
        <v>-6.70476941269216</v>
      </c>
      <c r="M19" s="36" t="n">
        <v>3.75884140229675</v>
      </c>
      <c r="N19" s="36" t="n">
        <v>2.59292838795783</v>
      </c>
      <c r="O19" s="36" t="n">
        <f aca="false">SQRT(M19^2+N19^2)</f>
        <v>4.56641722937116</v>
      </c>
      <c r="P19" s="40" t="n">
        <f aca="false">IF(J19="","",MAX(0,J19-1.96*O19/100))</f>
        <v>0.157009850211302</v>
      </c>
      <c r="Q19" s="40" t="n">
        <f aca="false">IF(J19="","",MIN(1,J19+1.96*O19/100))</f>
        <v>0.336013405602652</v>
      </c>
      <c r="R19" s="32" t="str">
        <f aca="false">IF(L19="","",IF(ABS(L19)&lt;=O19,"Yes","No"))</f>
        <v>No</v>
      </c>
      <c r="S19" s="32" t="str">
        <f aca="false">IF(L19="","",IF(ABS(L19)&lt;=1.96*O19,"Yes","No"))</f>
        <v>Yes</v>
      </c>
      <c r="T19" s="60" t="n">
        <f aca="false">IF(D19="","",ROUND(SQRT(((D19+G19)*O19/100)^2+(J19*(D19+G19)*0.07859)^2),0))</f>
        <v>11</v>
      </c>
      <c r="U19" s="32"/>
    </row>
    <row r="20" customFormat="false" ht="15" hidden="false" customHeight="false" outlineLevel="0" collapsed="false">
      <c r="A20" s="32" t="s">
        <v>162</v>
      </c>
      <c r="B20" s="32" t="s">
        <v>186</v>
      </c>
      <c r="C20" s="32" t="s">
        <v>164</v>
      </c>
      <c r="D20" s="60" t="n">
        <v>1805</v>
      </c>
      <c r="E20" s="60" t="n">
        <v>2047</v>
      </c>
      <c r="F20" s="69" t="n">
        <f aca="false">IF(E20="","",D20-E20)</f>
        <v>-242</v>
      </c>
      <c r="G20" s="60" t="n">
        <v>3428</v>
      </c>
      <c r="H20" s="60" t="n">
        <v>3702</v>
      </c>
      <c r="I20" s="69" t="n">
        <f aca="false">IF(H20="","",G20-H20)</f>
        <v>-274</v>
      </c>
      <c r="J20" s="40" t="n">
        <f aca="false">IF(OR(D20="",D20+G20=0),"",D20/(D20+G20))</f>
        <v>0.344926428434932</v>
      </c>
      <c r="K20" s="40" t="n">
        <f aca="false">IF(E20="","",E20/(E20+H20))</f>
        <v>0.356061923812837</v>
      </c>
      <c r="L20" s="70" t="n">
        <f aca="false">IF(OR(K20="",J20=""),"",(J20-K20)*100)</f>
        <v>-1.11354953779049</v>
      </c>
      <c r="M20" s="36" t="n">
        <v>2.20874386721077</v>
      </c>
      <c r="N20" s="36" t="n">
        <v>2.59292838795783</v>
      </c>
      <c r="O20" s="36" t="n">
        <f aca="false">SQRT(M20^2+N20^2)</f>
        <v>3.40614548955543</v>
      </c>
      <c r="P20" s="40" t="n">
        <f aca="false">IF(J20="","",MAX(0,J20-1.96*O20/100))</f>
        <v>0.278165976839646</v>
      </c>
      <c r="Q20" s="40" t="n">
        <f aca="false">IF(J20="","",MIN(1,J20+1.96*O20/100))</f>
        <v>0.411686880030219</v>
      </c>
      <c r="R20" s="32" t="str">
        <f aca="false">IF(L20="","",IF(ABS(L20)&lt;=O20,"Yes","No"))</f>
        <v>Yes</v>
      </c>
      <c r="S20" s="32" t="str">
        <f aca="false">IF(L20="","",IF(ABS(L20)&lt;=1.96*O20,"Yes","No"))</f>
        <v>Yes</v>
      </c>
      <c r="T20" s="60" t="n">
        <f aca="false">IF(D20="","",ROUND(SQRT(((D20+G20)*O20/100)^2+(J20*(D20+G20)*0.05464)^2),0))</f>
        <v>204</v>
      </c>
      <c r="U20" s="32"/>
    </row>
    <row r="21" customFormat="false" ht="15" hidden="false" customHeight="false" outlineLevel="0" collapsed="false">
      <c r="A21" s="32" t="s">
        <v>162</v>
      </c>
      <c r="B21" s="32" t="s">
        <v>188</v>
      </c>
      <c r="C21" s="32" t="s">
        <v>164</v>
      </c>
      <c r="D21" s="60" t="n">
        <v>642</v>
      </c>
      <c r="E21" s="60" t="n">
        <v>660</v>
      </c>
      <c r="F21" s="69" t="n">
        <f aca="false">IF(E21="","",D21-E21)</f>
        <v>-18</v>
      </c>
      <c r="G21" s="60" t="n">
        <v>896</v>
      </c>
      <c r="H21" s="60" t="n">
        <v>913</v>
      </c>
      <c r="I21" s="69" t="n">
        <f aca="false">IF(H21="","",G21-H21)</f>
        <v>-17</v>
      </c>
      <c r="J21" s="40" t="n">
        <f aca="false">IF(OR(D21="",D21+G21=0),"",D21/(D21+G21))</f>
        <v>0.417425227568271</v>
      </c>
      <c r="K21" s="40" t="n">
        <f aca="false">IF(E21="","",E21/(E21+H21))</f>
        <v>0.41958041958042</v>
      </c>
      <c r="L21" s="70" t="n">
        <f aca="false">IF(OR(K21="",J21=""),"",(J21-K21)*100)</f>
        <v>-0.215519201214909</v>
      </c>
      <c r="M21" s="36" t="n">
        <v>3.75884140229675</v>
      </c>
      <c r="N21" s="36" t="n">
        <v>2.59292838795783</v>
      </c>
      <c r="O21" s="36" t="n">
        <f aca="false">SQRT(M21^2+N21^2)</f>
        <v>4.56641722937116</v>
      </c>
      <c r="P21" s="40" t="n">
        <f aca="false">IF(J21="","",MAX(0,J21-1.96*O21/100))</f>
        <v>0.327923449872596</v>
      </c>
      <c r="Q21" s="40" t="n">
        <f aca="false">IF(J21="","",MIN(1,J21+1.96*O21/100))</f>
        <v>0.506927005263945</v>
      </c>
      <c r="R21" s="32" t="str">
        <f aca="false">IF(L21="","",IF(ABS(L21)&lt;=O21,"Yes","No"))</f>
        <v>Yes</v>
      </c>
      <c r="S21" s="32" t="str">
        <f aca="false">IF(L21="","",IF(ABS(L21)&lt;=1.96*O21,"Yes","No"))</f>
        <v>Yes</v>
      </c>
      <c r="T21" s="60" t="n">
        <f aca="false">IF(D21="","",ROUND(SQRT(((D21+G21)*O21/100)^2+(J21*(D21+G21)*0.07859)^2),0))</f>
        <v>86</v>
      </c>
      <c r="U21" s="32"/>
    </row>
    <row r="22" customFormat="false" ht="15" hidden="false" customHeight="false" outlineLevel="0" collapsed="false">
      <c r="A22" s="32" t="s">
        <v>162</v>
      </c>
      <c r="B22" s="32" t="s">
        <v>189</v>
      </c>
      <c r="C22" s="32" t="s">
        <v>164</v>
      </c>
      <c r="D22" s="60" t="n">
        <v>669</v>
      </c>
      <c r="E22" s="60" t="n">
        <v>802</v>
      </c>
      <c r="F22" s="69" t="n">
        <f aca="false">IF(E22="","",D22-E22)</f>
        <v>-133</v>
      </c>
      <c r="G22" s="60" t="n">
        <v>1975</v>
      </c>
      <c r="H22" s="60" t="n">
        <v>1955</v>
      </c>
      <c r="I22" s="69" t="n">
        <f aca="false">IF(H22="","",G22-H22)</f>
        <v>20</v>
      </c>
      <c r="J22" s="40" t="n">
        <f aca="false">IF(OR(D22="",D22+G22=0),"",D22/(D22+G22))</f>
        <v>0.253025718608169</v>
      </c>
      <c r="K22" s="40" t="n">
        <f aca="false">IF(E22="","",E22/(E22+H22))</f>
        <v>0.290895901342038</v>
      </c>
      <c r="L22" s="70" t="n">
        <f aca="false">IF(OR(K22="",J22=""),"",(J22-K22)*100)</f>
        <v>-3.78701827338691</v>
      </c>
      <c r="M22" s="36" t="n">
        <v>2.24971735258761</v>
      </c>
      <c r="N22" s="36" t="n">
        <v>2.59292838795783</v>
      </c>
      <c r="O22" s="36" t="n">
        <f aca="false">SQRT(M22^2+N22^2)</f>
        <v>3.43285679742272</v>
      </c>
      <c r="P22" s="40" t="n">
        <f aca="false">IF(J22="","",MAX(0,J22-1.96*O22/100))</f>
        <v>0.185741725378684</v>
      </c>
      <c r="Q22" s="40" t="n">
        <f aca="false">IF(J22="","",MIN(1,J22+1.96*O22/100))</f>
        <v>0.320309711837655</v>
      </c>
      <c r="R22" s="32" t="str">
        <f aca="false">IF(L22="","",IF(ABS(L22)&lt;=O22,"Yes","No"))</f>
        <v>No</v>
      </c>
      <c r="S22" s="32" t="str">
        <f aca="false">IF(L22="","",IF(ABS(L22)&lt;=1.96*O22,"Yes","No"))</f>
        <v>Yes</v>
      </c>
      <c r="T22" s="60" t="n">
        <f aca="false">IF(D22="","",ROUND(SQRT(((D22+G22)*O22/100)^2+(J22*(D22+G22)*0.06092)^2),0))</f>
        <v>99</v>
      </c>
      <c r="U22" s="32"/>
    </row>
    <row r="23" customFormat="false" ht="15" hidden="false" customHeight="false" outlineLevel="0" collapsed="false">
      <c r="A23" s="32" t="s">
        <v>162</v>
      </c>
      <c r="B23" s="32" t="s">
        <v>190</v>
      </c>
      <c r="C23" s="32" t="s">
        <v>164</v>
      </c>
      <c r="D23" s="60" t="n">
        <v>307</v>
      </c>
      <c r="E23" s="60" t="n">
        <v>351</v>
      </c>
      <c r="F23" s="69" t="n">
        <f aca="false">IF(E23="","",D23-E23)</f>
        <v>-44</v>
      </c>
      <c r="G23" s="60" t="n">
        <v>882</v>
      </c>
      <c r="H23" s="60" t="n">
        <v>849</v>
      </c>
      <c r="I23" s="69" t="n">
        <f aca="false">IF(H23="","",G23-H23)</f>
        <v>33</v>
      </c>
      <c r="J23" s="40" t="n">
        <f aca="false">IF(OR(D23="",D23+G23=0),"",D23/(D23+G23))</f>
        <v>0.258200168208579</v>
      </c>
      <c r="K23" s="40" t="n">
        <f aca="false">IF(E23="","",E23/(E23+H23))</f>
        <v>0.2925</v>
      </c>
      <c r="L23" s="70" t="n">
        <f aca="false">IF(OR(K23="",J23=""),"",(J23-K23)*100)</f>
        <v>-3.42998317914213</v>
      </c>
      <c r="M23" s="36" t="n">
        <v>3.75884140229675</v>
      </c>
      <c r="N23" s="36" t="n">
        <v>2.59292838795783</v>
      </c>
      <c r="O23" s="36" t="n">
        <f aca="false">SQRT(M23^2+N23^2)</f>
        <v>4.56641722937116</v>
      </c>
      <c r="P23" s="40" t="n">
        <f aca="false">IF(J23="","",MAX(0,J23-1.96*O23/100))</f>
        <v>0.168698390512904</v>
      </c>
      <c r="Q23" s="40" t="n">
        <f aca="false">IF(J23="","",MIN(1,J23+1.96*O23/100))</f>
        <v>0.347701945904253</v>
      </c>
      <c r="R23" s="32" t="str">
        <f aca="false">IF(L23="","",IF(ABS(L23)&lt;=O23,"Yes","No"))</f>
        <v>Yes</v>
      </c>
      <c r="S23" s="32" t="str">
        <f aca="false">IF(L23="","",IF(ABS(L23)&lt;=1.96*O23,"Yes","No"))</f>
        <v>Yes</v>
      </c>
      <c r="T23" s="60" t="n">
        <f aca="false">IF(D23="","",ROUND(SQRT(((D23+G23)*O23/100)^2+(J23*(D23+G23)*0.07859)^2),0))</f>
        <v>59</v>
      </c>
      <c r="U23" s="32"/>
    </row>
    <row r="24" customFormat="false" ht="15" hidden="false" customHeight="false" outlineLevel="0" collapsed="false">
      <c r="A24" s="32" t="s">
        <v>162</v>
      </c>
      <c r="B24" s="32" t="s">
        <v>191</v>
      </c>
      <c r="C24" s="32" t="s">
        <v>164</v>
      </c>
      <c r="D24" s="60" t="n">
        <v>53</v>
      </c>
      <c r="E24" s="60" t="n">
        <v>58</v>
      </c>
      <c r="F24" s="69" t="n">
        <f aca="false">IF(E24="","",D24-E24)</f>
        <v>-5</v>
      </c>
      <c r="G24" s="60" t="n">
        <v>90</v>
      </c>
      <c r="H24" s="60" t="n">
        <v>105</v>
      </c>
      <c r="I24" s="69" t="n">
        <f aca="false">IF(H24="","",G24-H24)</f>
        <v>-15</v>
      </c>
      <c r="J24" s="40" t="n">
        <f aca="false">IF(OR(D24="",D24+G24=0),"",D24/(D24+G24))</f>
        <v>0.370629370629371</v>
      </c>
      <c r="K24" s="40" t="n">
        <f aca="false">IF(E24="","",E24/(E24+H24))</f>
        <v>0.355828220858896</v>
      </c>
      <c r="L24" s="70" t="n">
        <f aca="false">IF(OR(K24="",J24=""),"",(J24-K24)*100)</f>
        <v>1.48011497704749</v>
      </c>
      <c r="M24" s="36" t="n">
        <v>3.75884140229675</v>
      </c>
      <c r="N24" s="36" t="n">
        <v>2.59292838795783</v>
      </c>
      <c r="O24" s="36" t="n">
        <f aca="false">SQRT(M24^2+N24^2)</f>
        <v>4.56641722937116</v>
      </c>
      <c r="P24" s="40" t="n">
        <f aca="false">IF(J24="","",MAX(0,J24-1.96*O24/100))</f>
        <v>0.281127592933696</v>
      </c>
      <c r="Q24" s="40" t="n">
        <f aca="false">IF(J24="","",MIN(1,J24+1.96*O24/100))</f>
        <v>0.460131148325045</v>
      </c>
      <c r="R24" s="32" t="str">
        <f aca="false">IF(L24="","",IF(ABS(L24)&lt;=O24,"Yes","No"))</f>
        <v>Yes</v>
      </c>
      <c r="S24" s="32" t="str">
        <f aca="false">IF(L24="","",IF(ABS(L24)&lt;=1.96*O24,"Yes","No"))</f>
        <v>Yes</v>
      </c>
      <c r="T24" s="60" t="n">
        <f aca="false">IF(D24="","",ROUND(SQRT(((D24+G24)*O24/100)^2+(J24*(D24+G24)*0.07859)^2),0))</f>
        <v>8</v>
      </c>
      <c r="U24" s="32"/>
    </row>
    <row r="25" customFormat="false" ht="15" hidden="false" customHeight="false" outlineLevel="0" collapsed="false">
      <c r="A25" s="32" t="s">
        <v>192</v>
      </c>
      <c r="B25" s="32" t="s">
        <v>193</v>
      </c>
      <c r="C25" s="32" t="s">
        <v>164</v>
      </c>
      <c r="D25" s="60" t="n">
        <v>660</v>
      </c>
      <c r="E25" s="60" t="n">
        <v>601</v>
      </c>
      <c r="F25" s="69" t="n">
        <f aca="false">IF(E25="","",D25-E25)</f>
        <v>59</v>
      </c>
      <c r="G25" s="60" t="n">
        <v>754</v>
      </c>
      <c r="H25" s="60" t="n">
        <v>766</v>
      </c>
      <c r="I25" s="69" t="n">
        <f aca="false">IF(H25="","",G25-H25)</f>
        <v>-12</v>
      </c>
      <c r="J25" s="40" t="n">
        <f aca="false">IF(OR(D25="",D25+G25=0),"",D25/(D25+G25))</f>
        <v>0.466760961810467</v>
      </c>
      <c r="K25" s="40" t="n">
        <f aca="false">IF(E25="","",E25/(E25+H25))</f>
        <v>0.439648866130212</v>
      </c>
      <c r="L25" s="70" t="n">
        <f aca="false">IF(OR(K25="",J25=""),"",(J25-K25)*100)</f>
        <v>2.71120956802546</v>
      </c>
      <c r="M25" s="36" t="n">
        <v>3.75884140229675</v>
      </c>
      <c r="N25" s="36" t="n">
        <v>2.59292838795783</v>
      </c>
      <c r="O25" s="36" t="n">
        <f aca="false">SQRT(M25^2+N25^2)</f>
        <v>4.56641722937116</v>
      </c>
      <c r="P25" s="40" t="n">
        <f aca="false">IF(J25="","",MAX(0,J25-1.96*O25/100))</f>
        <v>0.377259184114792</v>
      </c>
      <c r="Q25" s="40" t="n">
        <f aca="false">IF(J25="","",MIN(1,J25+1.96*O25/100))</f>
        <v>0.556262739506142</v>
      </c>
      <c r="R25" s="32" t="str">
        <f aca="false">IF(L25="","",IF(ABS(L25)&lt;=O25,"Yes","No"))</f>
        <v>Yes</v>
      </c>
      <c r="S25" s="32" t="str">
        <f aca="false">IF(L25="","",IF(ABS(L25)&lt;=1.96*O25,"Yes","No"))</f>
        <v>Yes</v>
      </c>
      <c r="T25" s="60" t="n">
        <f aca="false">IF(D25="","",ROUND(SQRT(((D25+G25)*O25/100)^2+(J25*(D25+G25)*0.07859)^2),0))</f>
        <v>83</v>
      </c>
      <c r="U25" s="32"/>
    </row>
    <row r="26" customFormat="false" ht="15" hidden="false" customHeight="false" outlineLevel="0" collapsed="false">
      <c r="A26" s="32" t="s">
        <v>192</v>
      </c>
      <c r="B26" s="32" t="s">
        <v>194</v>
      </c>
      <c r="C26" s="32" t="s">
        <v>164</v>
      </c>
      <c r="D26" s="60" t="n">
        <v>28414</v>
      </c>
      <c r="E26" s="60" t="n">
        <v>26568</v>
      </c>
      <c r="F26" s="69" t="n">
        <f aca="false">IF(E26="","",D26-E26)</f>
        <v>1846</v>
      </c>
      <c r="G26" s="60" t="n">
        <v>13271</v>
      </c>
      <c r="H26" s="60" t="n">
        <v>14583</v>
      </c>
      <c r="I26" s="69" t="n">
        <f aca="false">IF(H26="","",G26-H26)</f>
        <v>-1312</v>
      </c>
      <c r="J26" s="40" t="n">
        <f aca="false">IF(OR(D26="",D26+G26=0),"",D26/(D26+G26))</f>
        <v>0.681636080124745</v>
      </c>
      <c r="K26" s="40" t="n">
        <f aca="false">IF(E26="","",E26/(E26+H26))</f>
        <v>0.645622220602172</v>
      </c>
      <c r="L26" s="70" t="n">
        <f aca="false">IF(OR(K26="",J26=""),"",(J26-K26)*100)</f>
        <v>3.60138595225726</v>
      </c>
      <c r="M26" s="36" t="n">
        <v>2.20874386721077</v>
      </c>
      <c r="N26" s="36" t="n">
        <v>2.59292838795783</v>
      </c>
      <c r="O26" s="36" t="n">
        <f aca="false">SQRT(M26^2+N26^2)</f>
        <v>3.40614548955543</v>
      </c>
      <c r="P26" s="40" t="n">
        <f aca="false">IF(J26="","",MAX(0,J26-1.96*O26/100))</f>
        <v>0.614875628529459</v>
      </c>
      <c r="Q26" s="40" t="n">
        <f aca="false">IF(J26="","",MIN(1,J26+1.96*O26/100))</f>
        <v>0.748396531720032</v>
      </c>
      <c r="R26" s="32" t="str">
        <f aca="false">IF(L26="","",IF(ABS(L26)&lt;=O26,"Yes","No"))</f>
        <v>No</v>
      </c>
      <c r="S26" s="32" t="str">
        <f aca="false">IF(L26="","",IF(ABS(L26)&lt;=1.96*O26,"Yes","No"))</f>
        <v>Yes</v>
      </c>
      <c r="T26" s="60" t="n">
        <f aca="false">IF(D26="","",ROUND(SQRT(((D26+G26)*O26/100)^2+(J26*(D26+G26)*0.05464)^2),0))</f>
        <v>2104</v>
      </c>
      <c r="U26" s="32"/>
    </row>
    <row r="27" customFormat="false" ht="15" hidden="false" customHeight="false" outlineLevel="0" collapsed="false">
      <c r="A27" s="32" t="s">
        <v>192</v>
      </c>
      <c r="B27" s="32" t="s">
        <v>195</v>
      </c>
      <c r="C27" s="32" t="s">
        <v>164</v>
      </c>
      <c r="D27" s="60" t="n">
        <v>6799</v>
      </c>
      <c r="E27" s="60" t="n">
        <v>6612</v>
      </c>
      <c r="F27" s="69" t="n">
        <f aca="false">IF(E27="","",D27-E27)</f>
        <v>187</v>
      </c>
      <c r="G27" s="60" t="n">
        <v>3841</v>
      </c>
      <c r="H27" s="60" t="n">
        <v>3834</v>
      </c>
      <c r="I27" s="69" t="n">
        <f aca="false">IF(H27="","",G27-H27)</f>
        <v>7</v>
      </c>
      <c r="J27" s="40" t="n">
        <f aca="false">IF(OR(D27="",D27+G27=0),"",D27/(D27+G27))</f>
        <v>0.639003759398496</v>
      </c>
      <c r="K27" s="40" t="n">
        <f aca="false">IF(E27="","",E27/(E27+H27))</f>
        <v>0.632969557725445</v>
      </c>
      <c r="L27" s="70" t="n">
        <f aca="false">IF(OR(K27="",J27=""),"",(J27-K27)*100)</f>
        <v>0.603420167305113</v>
      </c>
      <c r="M27" s="36" t="n">
        <v>2.20874386721077</v>
      </c>
      <c r="N27" s="36" t="n">
        <v>2.59292838795783</v>
      </c>
      <c r="O27" s="36" t="n">
        <f aca="false">SQRT(M27^2+N27^2)</f>
        <v>3.40614548955543</v>
      </c>
      <c r="P27" s="40" t="n">
        <f aca="false">IF(J27="","",MAX(0,J27-1.96*O27/100))</f>
        <v>0.57224330780321</v>
      </c>
      <c r="Q27" s="40" t="n">
        <f aca="false">IF(J27="","",MIN(1,J27+1.96*O27/100))</f>
        <v>0.705764210993783</v>
      </c>
      <c r="R27" s="32" t="str">
        <f aca="false">IF(L27="","",IF(ABS(L27)&lt;=O27,"Yes","No"))</f>
        <v>Yes</v>
      </c>
      <c r="S27" s="32" t="str">
        <f aca="false">IF(L27="","",IF(ABS(L27)&lt;=1.96*O27,"Yes","No"))</f>
        <v>Yes</v>
      </c>
      <c r="T27" s="60" t="n">
        <f aca="false">IF(D27="","",ROUND(SQRT(((D27+G27)*O27/100)^2+(J27*(D27+G27)*0.05464)^2),0))</f>
        <v>519</v>
      </c>
      <c r="U27" s="32"/>
    </row>
    <row r="28" customFormat="false" ht="15" hidden="false" customHeight="false" outlineLevel="0" collapsed="false">
      <c r="A28" s="32" t="s">
        <v>192</v>
      </c>
      <c r="B28" s="32" t="s">
        <v>196</v>
      </c>
      <c r="C28" s="32" t="s">
        <v>164</v>
      </c>
      <c r="D28" s="60" t="n">
        <v>1604</v>
      </c>
      <c r="E28" s="60" t="n">
        <v>1560</v>
      </c>
      <c r="F28" s="69" t="n">
        <f aca="false">IF(E28="","",D28-E28)</f>
        <v>44</v>
      </c>
      <c r="G28" s="60" t="n">
        <v>1482</v>
      </c>
      <c r="H28" s="60" t="n">
        <v>1491</v>
      </c>
      <c r="I28" s="69" t="n">
        <f aca="false">IF(H28="","",G28-H28)</f>
        <v>-9</v>
      </c>
      <c r="J28" s="40" t="n">
        <f aca="false">IF(OR(D28="",D28+G28=0),"",D28/(D28+G28))</f>
        <v>0.519766688269605</v>
      </c>
      <c r="K28" s="40" t="n">
        <f aca="false">IF(E28="","",E28/(E28+H28))</f>
        <v>0.511307767944936</v>
      </c>
      <c r="L28" s="70" t="n">
        <f aca="false">IF(OR(K28="",J28=""),"",(J28-K28)*100)</f>
        <v>0.845892032466866</v>
      </c>
      <c r="M28" s="36" t="n">
        <v>2.24971735258761</v>
      </c>
      <c r="N28" s="36" t="n">
        <v>2.59292838795783</v>
      </c>
      <c r="O28" s="36" t="n">
        <f aca="false">SQRT(M28^2+N28^2)</f>
        <v>3.43285679742272</v>
      </c>
      <c r="P28" s="40" t="n">
        <f aca="false">IF(J28="","",MAX(0,J28-1.96*O28/100))</f>
        <v>0.452482695040119</v>
      </c>
      <c r="Q28" s="40" t="n">
        <f aca="false">IF(J28="","",MIN(1,J28+1.96*O28/100))</f>
        <v>0.58705068149909</v>
      </c>
      <c r="R28" s="32" t="str">
        <f aca="false">IF(L28="","",IF(ABS(L28)&lt;=O28,"Yes","No"))</f>
        <v>Yes</v>
      </c>
      <c r="S28" s="32" t="str">
        <f aca="false">IF(L28="","",IF(ABS(L28)&lt;=1.96*O28,"Yes","No"))</f>
        <v>Yes</v>
      </c>
      <c r="T28" s="60" t="n">
        <f aca="false">IF(D28="","",ROUND(SQRT(((D28+G28)*O28/100)^2+(J28*(D28+G28)*0.06092)^2),0))</f>
        <v>144</v>
      </c>
      <c r="U28" s="32"/>
    </row>
    <row r="29" customFormat="false" ht="15" hidden="false" customHeight="false" outlineLevel="0" collapsed="false">
      <c r="A29" s="32" t="s">
        <v>192</v>
      </c>
      <c r="B29" s="32" t="s">
        <v>197</v>
      </c>
      <c r="C29" s="32" t="s">
        <v>164</v>
      </c>
      <c r="D29" s="60" t="n">
        <v>740</v>
      </c>
      <c r="E29" s="60" t="n">
        <v>735</v>
      </c>
      <c r="F29" s="69" t="n">
        <f aca="false">IF(E29="","",D29-E29)</f>
        <v>5</v>
      </c>
      <c r="G29" s="60" t="n">
        <v>831</v>
      </c>
      <c r="H29" s="60" t="n">
        <v>804</v>
      </c>
      <c r="I29" s="69" t="n">
        <f aca="false">IF(H29="","",G29-H29)</f>
        <v>27</v>
      </c>
      <c r="J29" s="40" t="n">
        <f aca="false">IF(OR(D29="",D29+G29=0),"",D29/(D29+G29))</f>
        <v>0.471037555697008</v>
      </c>
      <c r="K29" s="40" t="n">
        <f aca="false">IF(E29="","",E29/(E29+H29))</f>
        <v>0.477582846003899</v>
      </c>
      <c r="L29" s="70" t="n">
        <f aca="false">IF(OR(K29="",J29=""),"",(J29-K29)*100)</f>
        <v>-0.654529030689033</v>
      </c>
      <c r="M29" s="36" t="n">
        <v>2.24971735258761</v>
      </c>
      <c r="N29" s="36" t="n">
        <v>2.59292838795783</v>
      </c>
      <c r="O29" s="36" t="n">
        <f aca="false">SQRT(M29^2+N29^2)</f>
        <v>3.43285679742272</v>
      </c>
      <c r="P29" s="40" t="n">
        <f aca="false">IF(J29="","",MAX(0,J29-1.96*O29/100))</f>
        <v>0.403753562467523</v>
      </c>
      <c r="Q29" s="40" t="n">
        <f aca="false">IF(J29="","",MIN(1,J29+1.96*O29/100))</f>
        <v>0.538321548926494</v>
      </c>
      <c r="R29" s="32" t="str">
        <f aca="false">IF(L29="","",IF(ABS(L29)&lt;=O29,"Yes","No"))</f>
        <v>Yes</v>
      </c>
      <c r="S29" s="32" t="str">
        <f aca="false">IF(L29="","",IF(ABS(L29)&lt;=1.96*O29,"Yes","No"))</f>
        <v>Yes</v>
      </c>
      <c r="T29" s="60" t="n">
        <f aca="false">IF(D29="","",ROUND(SQRT(((D29+G29)*O29/100)^2+(J29*(D29+G29)*0.06092)^2),0))</f>
        <v>70</v>
      </c>
      <c r="U29" s="32"/>
    </row>
    <row r="30" customFormat="false" ht="15" hidden="false" customHeight="false" outlineLevel="0" collapsed="false">
      <c r="A30" s="32" t="s">
        <v>192</v>
      </c>
      <c r="B30" s="32" t="s">
        <v>198</v>
      </c>
      <c r="C30" s="32" t="s">
        <v>164</v>
      </c>
      <c r="D30" s="60" t="n">
        <v>939</v>
      </c>
      <c r="E30" s="60" t="n">
        <v>899</v>
      </c>
      <c r="F30" s="69" t="n">
        <f aca="false">IF(E30="","",D30-E30)</f>
        <v>40</v>
      </c>
      <c r="G30" s="60" t="n">
        <v>898</v>
      </c>
      <c r="H30" s="60" t="n">
        <v>898</v>
      </c>
      <c r="I30" s="69" t="n">
        <f aca="false">IF(H30="","",G30-H30)</f>
        <v>0</v>
      </c>
      <c r="J30" s="40" t="n">
        <f aca="false">IF(OR(D30="",D30+G30=0),"",D30/(D30+G30))</f>
        <v>0.511159499183451</v>
      </c>
      <c r="K30" s="40" t="n">
        <f aca="false">IF(E30="","",E30/(E30+H30))</f>
        <v>0.500278241513634</v>
      </c>
      <c r="L30" s="70" t="n">
        <f aca="false">IF(OR(K30="",J30=""),"",(J30-K30)*100)</f>
        <v>1.08812576698174</v>
      </c>
      <c r="M30" s="36" t="n">
        <v>2.24971735258761</v>
      </c>
      <c r="N30" s="36" t="n">
        <v>2.59292838795783</v>
      </c>
      <c r="O30" s="36" t="n">
        <f aca="false">SQRT(M30^2+N30^2)</f>
        <v>3.43285679742272</v>
      </c>
      <c r="P30" s="40" t="n">
        <f aca="false">IF(J30="","",MAX(0,J30-1.96*O30/100))</f>
        <v>0.443875505953966</v>
      </c>
      <c r="Q30" s="40" t="n">
        <f aca="false">IF(J30="","",MIN(1,J30+1.96*O30/100))</f>
        <v>0.578443492412937</v>
      </c>
      <c r="R30" s="32" t="str">
        <f aca="false">IF(L30="","",IF(ABS(L30)&lt;=O30,"Yes","No"))</f>
        <v>Yes</v>
      </c>
      <c r="S30" s="32" t="str">
        <f aca="false">IF(L30="","",IF(ABS(L30)&lt;=1.96*O30,"Yes","No"))</f>
        <v>Yes</v>
      </c>
      <c r="T30" s="60" t="n">
        <f aca="false">IF(D30="","",ROUND(SQRT(((D30+G30)*O30/100)^2+(J30*(D30+G30)*0.06092)^2),0))</f>
        <v>85</v>
      </c>
      <c r="U30" s="32"/>
    </row>
    <row r="31" customFormat="false" ht="15" hidden="false" customHeight="false" outlineLevel="0" collapsed="false">
      <c r="A31" s="32" t="s">
        <v>192</v>
      </c>
      <c r="B31" s="32" t="s">
        <v>199</v>
      </c>
      <c r="C31" s="32" t="s">
        <v>164</v>
      </c>
      <c r="D31" s="60" t="n">
        <v>3646</v>
      </c>
      <c r="E31" s="60" t="n">
        <v>3663</v>
      </c>
      <c r="F31" s="69" t="n">
        <f aca="false">IF(E31="","",D31-E31)</f>
        <v>-17</v>
      </c>
      <c r="G31" s="60" t="n">
        <v>3212</v>
      </c>
      <c r="H31" s="60" t="n">
        <v>3236</v>
      </c>
      <c r="I31" s="69" t="n">
        <f aca="false">IF(H31="","",G31-H31)</f>
        <v>-24</v>
      </c>
      <c r="J31" s="40" t="n">
        <f aca="false">IF(OR(D31="",D31+G31=0),"",D31/(D31+G31))</f>
        <v>0.531641878098571</v>
      </c>
      <c r="K31" s="40" t="n">
        <f aca="false">IF(E31="","",E31/(E31+H31))</f>
        <v>0.530946513987535</v>
      </c>
      <c r="L31" s="70" t="n">
        <f aca="false">IF(OR(K31="",J31=""),"",(J31-K31)*100)</f>
        <v>0.0695364111036545</v>
      </c>
      <c r="M31" s="36" t="n">
        <v>2.20874386721077</v>
      </c>
      <c r="N31" s="36" t="n">
        <v>2.59292838795783</v>
      </c>
      <c r="O31" s="36" t="n">
        <f aca="false">SQRT(M31^2+N31^2)</f>
        <v>3.40614548955543</v>
      </c>
      <c r="P31" s="40" t="n">
        <f aca="false">IF(J31="","",MAX(0,J31-1.96*O31/100))</f>
        <v>0.464881426503285</v>
      </c>
      <c r="Q31" s="40" t="n">
        <f aca="false">IF(J31="","",MIN(1,J31+1.96*O31/100))</f>
        <v>0.598402329693857</v>
      </c>
      <c r="R31" s="32" t="str">
        <f aca="false">IF(L31="","",IF(ABS(L31)&lt;=O31,"Yes","No"))</f>
        <v>Yes</v>
      </c>
      <c r="S31" s="32" t="str">
        <f aca="false">IF(L31="","",IF(ABS(L31)&lt;=1.96*O31,"Yes","No"))</f>
        <v>Yes</v>
      </c>
      <c r="T31" s="60" t="n">
        <f aca="false">IF(D31="","",ROUND(SQRT(((D31+G31)*O31/100)^2+(J31*(D31+G31)*0.05464)^2),0))</f>
        <v>307</v>
      </c>
      <c r="U31" s="32"/>
    </row>
    <row r="32" customFormat="false" ht="15" hidden="false" customHeight="false" outlineLevel="0" collapsed="false">
      <c r="A32" s="32" t="s">
        <v>192</v>
      </c>
      <c r="B32" s="32" t="s">
        <v>200</v>
      </c>
      <c r="C32" s="32" t="s">
        <v>164</v>
      </c>
      <c r="D32" s="60" t="n">
        <v>1588</v>
      </c>
      <c r="E32" s="60" t="n">
        <v>1433</v>
      </c>
      <c r="F32" s="69" t="n">
        <f aca="false">IF(E32="","",D32-E32)</f>
        <v>155</v>
      </c>
      <c r="G32" s="60" t="n">
        <v>753</v>
      </c>
      <c r="H32" s="60" t="n">
        <v>793</v>
      </c>
      <c r="I32" s="69" t="n">
        <f aca="false">IF(H32="","",G32-H32)</f>
        <v>-40</v>
      </c>
      <c r="J32" s="40" t="n">
        <f aca="false">IF(OR(D32="",D32+G32=0),"",D32/(D32+G32))</f>
        <v>0.678342588637334</v>
      </c>
      <c r="K32" s="40" t="n">
        <f aca="false">IF(E32="","",E32/(E32+H32))</f>
        <v>0.643755615453729</v>
      </c>
      <c r="L32" s="70" t="n">
        <f aca="false">IF(OR(K32="",J32=""),"",(J32-K32)*100)</f>
        <v>3.45869731836058</v>
      </c>
      <c r="M32" s="36" t="n">
        <v>2.24971735258761</v>
      </c>
      <c r="N32" s="36" t="n">
        <v>2.59292838795783</v>
      </c>
      <c r="O32" s="36" t="n">
        <f aca="false">SQRT(M32^2+N32^2)</f>
        <v>3.43285679742272</v>
      </c>
      <c r="P32" s="40" t="n">
        <f aca="false">IF(J32="","",MAX(0,J32-1.96*O32/100))</f>
        <v>0.611058595407849</v>
      </c>
      <c r="Q32" s="40" t="n">
        <f aca="false">IF(J32="","",MIN(1,J32+1.96*O32/100))</f>
        <v>0.74562658186682</v>
      </c>
      <c r="R32" s="32" t="str">
        <f aca="false">IF(L32="","",IF(ABS(L32)&lt;=O32,"Yes","No"))</f>
        <v>No</v>
      </c>
      <c r="S32" s="32" t="str">
        <f aca="false">IF(L32="","",IF(ABS(L32)&lt;=1.96*O32,"Yes","No"))</f>
        <v>Yes</v>
      </c>
      <c r="T32" s="60" t="n">
        <f aca="false">IF(D32="","",ROUND(SQRT(((D32+G32)*O32/100)^2+(J32*(D32+G32)*0.06092)^2),0))</f>
        <v>126</v>
      </c>
      <c r="U32" s="32"/>
    </row>
    <row r="33" customFormat="false" ht="15" hidden="false" customHeight="false" outlineLevel="0" collapsed="false">
      <c r="A33" s="32" t="s">
        <v>192</v>
      </c>
      <c r="B33" s="32" t="s">
        <v>201</v>
      </c>
      <c r="C33" s="32" t="s">
        <v>164</v>
      </c>
      <c r="D33" s="60" t="n">
        <v>401</v>
      </c>
      <c r="E33" s="60" t="n">
        <v>379</v>
      </c>
      <c r="F33" s="69" t="n">
        <f aca="false">IF(E33="","",D33-E33)</f>
        <v>22</v>
      </c>
      <c r="G33" s="60" t="n">
        <v>338</v>
      </c>
      <c r="H33" s="60" t="n">
        <v>330</v>
      </c>
      <c r="I33" s="69" t="n">
        <f aca="false">IF(H33="","",G33-H33)</f>
        <v>8</v>
      </c>
      <c r="J33" s="40" t="n">
        <f aca="false">IF(OR(D33="",D33+G33=0),"",D33/(D33+G33))</f>
        <v>0.542625169147497</v>
      </c>
      <c r="K33" s="40" t="n">
        <f aca="false">IF(E33="","",E33/(E33+H33))</f>
        <v>0.534555712270804</v>
      </c>
      <c r="L33" s="70" t="n">
        <f aca="false">IF(OR(K33="",J33=""),"",(J33-K33)*100)</f>
        <v>0.806945687669269</v>
      </c>
      <c r="M33" s="36" t="n">
        <v>3.75884140229675</v>
      </c>
      <c r="N33" s="36" t="n">
        <v>2.59292838795783</v>
      </c>
      <c r="O33" s="36" t="n">
        <f aca="false">SQRT(M33^2+N33^2)</f>
        <v>4.56641722937116</v>
      </c>
      <c r="P33" s="40" t="n">
        <f aca="false">IF(J33="","",MAX(0,J33-1.96*O33/100))</f>
        <v>0.453123391451822</v>
      </c>
      <c r="Q33" s="40" t="n">
        <f aca="false">IF(J33="","",MIN(1,J33+1.96*O33/100))</f>
        <v>0.632126946843171</v>
      </c>
      <c r="R33" s="32" t="str">
        <f aca="false">IF(L33="","",IF(ABS(L33)&lt;=O33,"Yes","No"))</f>
        <v>Yes</v>
      </c>
      <c r="S33" s="32" t="str">
        <f aca="false">IF(L33="","",IF(ABS(L33)&lt;=1.96*O33,"Yes","No"))</f>
        <v>Yes</v>
      </c>
      <c r="T33" s="60" t="n">
        <f aca="false">IF(D33="","",ROUND(SQRT(((D33+G33)*O33/100)^2+(J33*(D33+G33)*0.07859)^2),0))</f>
        <v>46</v>
      </c>
      <c r="U33" s="32"/>
    </row>
    <row r="34" customFormat="false" ht="15" hidden="false" customHeight="false" outlineLevel="0" collapsed="false">
      <c r="A34" s="32" t="s">
        <v>192</v>
      </c>
      <c r="B34" s="32" t="s">
        <v>202</v>
      </c>
      <c r="C34" s="32" t="s">
        <v>164</v>
      </c>
      <c r="D34" s="60" t="n">
        <v>595</v>
      </c>
      <c r="E34" s="60" t="n">
        <v>654</v>
      </c>
      <c r="F34" s="69" t="n">
        <f aca="false">IF(E34="","",D34-E34)</f>
        <v>-59</v>
      </c>
      <c r="G34" s="60" t="n">
        <v>1459</v>
      </c>
      <c r="H34" s="60" t="n">
        <v>1439</v>
      </c>
      <c r="I34" s="69" t="n">
        <f aca="false">IF(H34="","",G34-H34)</f>
        <v>20</v>
      </c>
      <c r="J34" s="40" t="n">
        <f aca="false">IF(OR(D34="",D34+G34=0),"",D34/(D34+G34))</f>
        <v>0.289678675754625</v>
      </c>
      <c r="K34" s="40" t="n">
        <f aca="false">IF(E34="","",E34/(E34+H34))</f>
        <v>0.312470138557095</v>
      </c>
      <c r="L34" s="70" t="n">
        <f aca="false">IF(OR(K34="",J34=""),"",(J34-K34)*100)</f>
        <v>-2.279146280247</v>
      </c>
      <c r="M34" s="36" t="n">
        <v>2.24971735258761</v>
      </c>
      <c r="N34" s="36" t="n">
        <v>2.59292838795783</v>
      </c>
      <c r="O34" s="36" t="n">
        <f aca="false">SQRT(M34^2+N34^2)</f>
        <v>3.43285679742272</v>
      </c>
      <c r="P34" s="40" t="n">
        <f aca="false">IF(J34="","",MAX(0,J34-1.96*O34/100))</f>
        <v>0.22239468252514</v>
      </c>
      <c r="Q34" s="40" t="n">
        <f aca="false">IF(J34="","",MIN(1,J34+1.96*O34/100))</f>
        <v>0.356962668984111</v>
      </c>
      <c r="R34" s="32" t="str">
        <f aca="false">IF(L34="","",IF(ABS(L34)&lt;=O34,"Yes","No"))</f>
        <v>Yes</v>
      </c>
      <c r="S34" s="32" t="str">
        <f aca="false">IF(L34="","",IF(ABS(L34)&lt;=1.96*O34,"Yes","No"))</f>
        <v>Yes</v>
      </c>
      <c r="T34" s="60" t="n">
        <f aca="false">IF(D34="","",ROUND(SQRT(((D34+G34)*O34/100)^2+(J34*(D34+G34)*0.06092)^2),0))</f>
        <v>79</v>
      </c>
      <c r="U34" s="32"/>
    </row>
    <row r="35" customFormat="false" ht="15" hidden="false" customHeight="false" outlineLevel="0" collapsed="false">
      <c r="A35" s="32" t="s">
        <v>192</v>
      </c>
      <c r="B35" s="32" t="s">
        <v>203</v>
      </c>
      <c r="C35" s="32" t="s">
        <v>164</v>
      </c>
      <c r="D35" s="60" t="n">
        <v>10220</v>
      </c>
      <c r="E35" s="60" t="n">
        <v>10021</v>
      </c>
      <c r="F35" s="69" t="n">
        <f aca="false">IF(E35="","",D35-E35)</f>
        <v>199</v>
      </c>
      <c r="G35" s="60" t="n">
        <v>10216</v>
      </c>
      <c r="H35" s="60" t="n">
        <v>10199</v>
      </c>
      <c r="I35" s="69" t="n">
        <f aca="false">IF(H35="","",G35-H35)</f>
        <v>17</v>
      </c>
      <c r="J35" s="40" t="n">
        <f aca="false">IF(OR(D35="",D35+G35=0),"",D35/(D35+G35))</f>
        <v>0.50009786651008</v>
      </c>
      <c r="K35" s="40" t="n">
        <f aca="false">IF(E35="","",E35/(E35+H35))</f>
        <v>0.495598417408506</v>
      </c>
      <c r="L35" s="70" t="n">
        <f aca="false">IF(OR(K35="",J35=""),"",(J35-K35)*100)</f>
        <v>0.449944910157385</v>
      </c>
      <c r="M35" s="36" t="n">
        <v>2.20874386721077</v>
      </c>
      <c r="N35" s="36" t="n">
        <v>2.59292838795783</v>
      </c>
      <c r="O35" s="36" t="n">
        <f aca="false">SQRT(M35^2+N35^2)</f>
        <v>3.40614548955543</v>
      </c>
      <c r="P35" s="40" t="n">
        <f aca="false">IF(J35="","",MAX(0,J35-1.96*O35/100))</f>
        <v>0.433337414914794</v>
      </c>
      <c r="Q35" s="40" t="n">
        <f aca="false">IF(J35="","",MIN(1,J35+1.96*O35/100))</f>
        <v>0.566858318105367</v>
      </c>
      <c r="R35" s="32" t="str">
        <f aca="false">IF(L35="","",IF(ABS(L35)&lt;=O35,"Yes","No"))</f>
        <v>Yes</v>
      </c>
      <c r="S35" s="32" t="str">
        <f aca="false">IF(L35="","",IF(ABS(L35)&lt;=1.96*O35,"Yes","No"))</f>
        <v>Yes</v>
      </c>
      <c r="T35" s="60" t="n">
        <f aca="false">IF(D35="","",ROUND(SQRT(((D35+G35)*O35/100)^2+(J35*(D35+G35)*0.05464)^2),0))</f>
        <v>892</v>
      </c>
      <c r="U35" s="32"/>
    </row>
    <row r="36" customFormat="false" ht="15" hidden="false" customHeight="false" outlineLevel="0" collapsed="false">
      <c r="A36" s="32" t="s">
        <v>192</v>
      </c>
      <c r="B36" s="32" t="s">
        <v>204</v>
      </c>
      <c r="C36" s="32" t="s">
        <v>164</v>
      </c>
      <c r="D36" s="60" t="n">
        <v>897</v>
      </c>
      <c r="E36" s="60" t="n">
        <v>985</v>
      </c>
      <c r="F36" s="69" t="n">
        <f aca="false">IF(E36="","",D36-E36)</f>
        <v>-88</v>
      </c>
      <c r="G36" s="60" t="n">
        <v>1704</v>
      </c>
      <c r="H36" s="60" t="n">
        <v>1586</v>
      </c>
      <c r="I36" s="69" t="n">
        <f aca="false">IF(H36="","",G36-H36)</f>
        <v>118</v>
      </c>
      <c r="J36" s="40" t="n">
        <f aca="false">IF(OR(D36="",D36+G36=0),"",D36/(D36+G36))</f>
        <v>0.344867358708189</v>
      </c>
      <c r="K36" s="40" t="n">
        <f aca="false">IF(E36="","",E36/(E36+H36))</f>
        <v>0.383119408790354</v>
      </c>
      <c r="L36" s="70" t="n">
        <f aca="false">IF(OR(K36="",J36=""),"",(J36-K36)*100)</f>
        <v>-3.82520500821648</v>
      </c>
      <c r="M36" s="36" t="n">
        <v>2.24971735258761</v>
      </c>
      <c r="N36" s="36" t="n">
        <v>2.59292838795783</v>
      </c>
      <c r="O36" s="36" t="n">
        <f aca="false">SQRT(M36^2+N36^2)</f>
        <v>3.43285679742272</v>
      </c>
      <c r="P36" s="40" t="n">
        <f aca="false">IF(J36="","",MAX(0,J36-1.96*O36/100))</f>
        <v>0.277583365478704</v>
      </c>
      <c r="Q36" s="40" t="n">
        <f aca="false">IF(J36="","",MIN(1,J36+1.96*O36/100))</f>
        <v>0.412151351937675</v>
      </c>
      <c r="R36" s="32" t="str">
        <f aca="false">IF(L36="","",IF(ABS(L36)&lt;=O36,"Yes","No"))</f>
        <v>No</v>
      </c>
      <c r="S36" s="32" t="str">
        <f aca="false">IF(L36="","",IF(ABS(L36)&lt;=1.96*O36,"Yes","No"))</f>
        <v>Yes</v>
      </c>
      <c r="T36" s="60" t="n">
        <f aca="false">IF(D36="","",ROUND(SQRT(((D36+G36)*O36/100)^2+(J36*(D36+G36)*0.06092)^2),0))</f>
        <v>105</v>
      </c>
      <c r="U36" s="32"/>
    </row>
    <row r="37" customFormat="false" ht="15" hidden="false" customHeight="false" outlineLevel="0" collapsed="false">
      <c r="A37" s="32" t="s">
        <v>192</v>
      </c>
      <c r="B37" s="32" t="s">
        <v>205</v>
      </c>
      <c r="C37" s="32" t="s">
        <v>164</v>
      </c>
      <c r="D37" s="60" t="n">
        <v>520</v>
      </c>
      <c r="E37" s="60" t="n">
        <v>543</v>
      </c>
      <c r="F37" s="69" t="n">
        <f aca="false">IF(E37="","",D37-E37)</f>
        <v>-23</v>
      </c>
      <c r="G37" s="60" t="n">
        <v>1043</v>
      </c>
      <c r="H37" s="60" t="n">
        <v>990</v>
      </c>
      <c r="I37" s="69" t="n">
        <f aca="false">IF(H37="","",G37-H37)</f>
        <v>53</v>
      </c>
      <c r="J37" s="40" t="n">
        <f aca="false">IF(OR(D37="",D37+G37=0),"",D37/(D37+G37))</f>
        <v>0.332693538067818</v>
      </c>
      <c r="K37" s="40" t="n">
        <f aca="false">IF(E37="","",E37/(E37+H37))</f>
        <v>0.354207436399217</v>
      </c>
      <c r="L37" s="70" t="n">
        <f aca="false">IF(OR(K37="",J37=""),"",(J37-K37)*100)</f>
        <v>-2.15138983313989</v>
      </c>
      <c r="M37" s="36" t="n">
        <v>2.24971735258761</v>
      </c>
      <c r="N37" s="36" t="n">
        <v>2.59292838795783</v>
      </c>
      <c r="O37" s="36" t="n">
        <f aca="false">SQRT(M37^2+N37^2)</f>
        <v>3.43285679742272</v>
      </c>
      <c r="P37" s="40" t="n">
        <f aca="false">IF(J37="","",MAX(0,J37-1.96*O37/100))</f>
        <v>0.265409544838333</v>
      </c>
      <c r="Q37" s="40" t="n">
        <f aca="false">IF(J37="","",MIN(1,J37+1.96*O37/100))</f>
        <v>0.399977531297304</v>
      </c>
      <c r="R37" s="32" t="str">
        <f aca="false">IF(L37="","",IF(ABS(L37)&lt;=O37,"Yes","No"))</f>
        <v>Yes</v>
      </c>
      <c r="S37" s="32" t="str">
        <f aca="false">IF(L37="","",IF(ABS(L37)&lt;=1.96*O37,"Yes","No"))</f>
        <v>Yes</v>
      </c>
      <c r="T37" s="60" t="n">
        <f aca="false">IF(D37="","",ROUND(SQRT(((D37+G37)*O37/100)^2+(J37*(D37+G37)*0.06092)^2),0))</f>
        <v>62</v>
      </c>
      <c r="U37" s="32"/>
    </row>
    <row r="38" customFormat="false" ht="15" hidden="false" customHeight="false" outlineLevel="0" collapsed="false">
      <c r="A38" s="32" t="s">
        <v>192</v>
      </c>
      <c r="B38" s="32" t="s">
        <v>206</v>
      </c>
      <c r="C38" s="32" t="s">
        <v>164</v>
      </c>
      <c r="D38" s="60" t="n">
        <v>795</v>
      </c>
      <c r="E38" s="60" t="n">
        <v>850</v>
      </c>
      <c r="F38" s="69" t="n">
        <f aca="false">IF(E38="","",D38-E38)</f>
        <v>-55</v>
      </c>
      <c r="G38" s="60" t="n">
        <v>1904</v>
      </c>
      <c r="H38" s="60" t="n">
        <v>1856</v>
      </c>
      <c r="I38" s="69" t="n">
        <f aca="false">IF(H38="","",G38-H38)</f>
        <v>48</v>
      </c>
      <c r="J38" s="40" t="n">
        <f aca="false">IF(OR(D38="",D38+G38=0),"",D38/(D38+G38))</f>
        <v>0.294553538347536</v>
      </c>
      <c r="K38" s="40" t="n">
        <f aca="false">IF(E38="","",E38/(E38+H38))</f>
        <v>0.314116777531412</v>
      </c>
      <c r="L38" s="70" t="n">
        <f aca="false">IF(OR(K38="",J38=""),"",(J38-K38)*100)</f>
        <v>-1.95632391838755</v>
      </c>
      <c r="M38" s="36" t="n">
        <v>2.24971735258761</v>
      </c>
      <c r="N38" s="36" t="n">
        <v>2.59292838795783</v>
      </c>
      <c r="O38" s="36" t="n">
        <f aca="false">SQRT(M38^2+N38^2)</f>
        <v>3.43285679742272</v>
      </c>
      <c r="P38" s="40" t="n">
        <f aca="false">IF(J38="","",MAX(0,J38-1.96*O38/100))</f>
        <v>0.227269545118051</v>
      </c>
      <c r="Q38" s="40" t="n">
        <f aca="false">IF(J38="","",MIN(1,J38+1.96*O38/100))</f>
        <v>0.361837531577022</v>
      </c>
      <c r="R38" s="32" t="str">
        <f aca="false">IF(L38="","",IF(ABS(L38)&lt;=O38,"Yes","No"))</f>
        <v>Yes</v>
      </c>
      <c r="S38" s="32" t="str">
        <f aca="false">IF(L38="","",IF(ABS(L38)&lt;=1.96*O38,"Yes","No"))</f>
        <v>Yes</v>
      </c>
      <c r="T38" s="60" t="n">
        <f aca="false">IF(D38="","",ROUND(SQRT(((D38+G38)*O38/100)^2+(J38*(D38+G38)*0.06092)^2),0))</f>
        <v>105</v>
      </c>
      <c r="U38" s="32"/>
    </row>
    <row r="39" customFormat="false" ht="15" hidden="false" customHeight="false" outlineLevel="0" collapsed="false">
      <c r="A39" s="32" t="s">
        <v>192</v>
      </c>
      <c r="B39" s="32" t="s">
        <v>207</v>
      </c>
      <c r="C39" s="32" t="s">
        <v>164</v>
      </c>
      <c r="D39" s="60" t="n">
        <v>980</v>
      </c>
      <c r="E39" s="60" t="n">
        <v>980</v>
      </c>
      <c r="F39" s="69" t="n">
        <f aca="false">IF(E39="","",D39-E39)</f>
        <v>0</v>
      </c>
      <c r="G39" s="60" t="n">
        <v>913</v>
      </c>
      <c r="H39" s="60" t="n">
        <v>872</v>
      </c>
      <c r="I39" s="69" t="n">
        <f aca="false">IF(H39="","",G39-H39)</f>
        <v>41</v>
      </c>
      <c r="J39" s="40" t="n">
        <f aca="false">IF(OR(D39="",D39+G39=0),"",D39/(D39+G39))</f>
        <v>0.51769677760169</v>
      </c>
      <c r="K39" s="40" t="n">
        <f aca="false">IF(E39="","",E39/(E39+H39))</f>
        <v>0.529157667386609</v>
      </c>
      <c r="L39" s="70" t="n">
        <f aca="false">IF(OR(K39="",J39=""),"",(J39-K39)*100)</f>
        <v>-1.14608897849187</v>
      </c>
      <c r="M39" s="36" t="n">
        <v>2.24971735258761</v>
      </c>
      <c r="N39" s="36" t="n">
        <v>2.59292838795783</v>
      </c>
      <c r="O39" s="36" t="n">
        <f aca="false">SQRT(M39^2+N39^2)</f>
        <v>3.43285679742272</v>
      </c>
      <c r="P39" s="40" t="n">
        <f aca="false">IF(J39="","",MAX(0,J39-1.96*O39/100))</f>
        <v>0.450412784372205</v>
      </c>
      <c r="Q39" s="40" t="n">
        <f aca="false">IF(J39="","",MIN(1,J39+1.96*O39/100))</f>
        <v>0.584980770831176</v>
      </c>
      <c r="R39" s="32" t="str">
        <f aca="false">IF(L39="","",IF(ABS(L39)&lt;=O39,"Yes","No"))</f>
        <v>Yes</v>
      </c>
      <c r="S39" s="32" t="str">
        <f aca="false">IF(L39="","",IF(ABS(L39)&lt;=1.96*O39,"Yes","No"))</f>
        <v>Yes</v>
      </c>
      <c r="T39" s="60" t="n">
        <f aca="false">IF(D39="","",ROUND(SQRT(((D39+G39)*O39/100)^2+(J39*(D39+G39)*0.06092)^2),0))</f>
        <v>88</v>
      </c>
      <c r="U39" s="32"/>
    </row>
    <row r="40" customFormat="false" ht="15" hidden="false" customHeight="false" outlineLevel="0" collapsed="false">
      <c r="A40" s="32" t="s">
        <v>192</v>
      </c>
      <c r="B40" s="32" t="s">
        <v>208</v>
      </c>
      <c r="C40" s="32" t="s">
        <v>164</v>
      </c>
      <c r="D40" s="60" t="n">
        <v>3988</v>
      </c>
      <c r="E40" s="60" t="n">
        <v>4022</v>
      </c>
      <c r="F40" s="69" t="n">
        <f aca="false">IF(E40="","",D40-E40)</f>
        <v>-34</v>
      </c>
      <c r="G40" s="60" t="n">
        <v>6049</v>
      </c>
      <c r="H40" s="60" t="n">
        <v>5915</v>
      </c>
      <c r="I40" s="69" t="n">
        <f aca="false">IF(H40="","",G40-H40)</f>
        <v>134</v>
      </c>
      <c r="J40" s="40" t="n">
        <f aca="false">IF(OR(D40="",D40+G40=0),"",D40/(D40+G40))</f>
        <v>0.39732987944605</v>
      </c>
      <c r="K40" s="40" t="n">
        <f aca="false">IF(E40="","",E40/(E40+H40))</f>
        <v>0.404749924524504</v>
      </c>
      <c r="L40" s="70" t="n">
        <f aca="false">IF(OR(K40="",J40=""),"",(J40-K40)*100)</f>
        <v>-0.742004507845473</v>
      </c>
      <c r="M40" s="36" t="n">
        <v>2.20874386721077</v>
      </c>
      <c r="N40" s="36" t="n">
        <v>2.59292838795783</v>
      </c>
      <c r="O40" s="36" t="n">
        <f aca="false">SQRT(M40^2+N40^2)</f>
        <v>3.40614548955543</v>
      </c>
      <c r="P40" s="40" t="n">
        <f aca="false">IF(J40="","",MAX(0,J40-1.96*O40/100))</f>
        <v>0.330569427850763</v>
      </c>
      <c r="Q40" s="40" t="n">
        <f aca="false">IF(J40="","",MIN(1,J40+1.96*O40/100))</f>
        <v>0.464090331041336</v>
      </c>
      <c r="R40" s="32" t="str">
        <f aca="false">IF(L40="","",IF(ABS(L40)&lt;=O40,"Yes","No"))</f>
        <v>Yes</v>
      </c>
      <c r="S40" s="32" t="str">
        <f aca="false">IF(L40="","",IF(ABS(L40)&lt;=1.96*O40,"Yes","No"))</f>
        <v>Yes</v>
      </c>
      <c r="T40" s="60" t="n">
        <f aca="false">IF(D40="","",ROUND(SQRT(((D40+G40)*O40/100)^2+(J40*(D40+G40)*0.05464)^2),0))</f>
        <v>405</v>
      </c>
      <c r="U40" s="32"/>
    </row>
    <row r="41" customFormat="false" ht="15" hidden="false" customHeight="false" outlineLevel="0" collapsed="false">
      <c r="A41" s="32" t="s">
        <v>192</v>
      </c>
      <c r="B41" s="32" t="s">
        <v>209</v>
      </c>
      <c r="C41" s="32" t="s">
        <v>164</v>
      </c>
      <c r="D41" s="60" t="n">
        <v>3965</v>
      </c>
      <c r="E41" s="60" t="n">
        <v>4010</v>
      </c>
      <c r="F41" s="69" t="n">
        <f aca="false">IF(E41="","",D41-E41)</f>
        <v>-45</v>
      </c>
      <c r="G41" s="60" t="n">
        <v>4201</v>
      </c>
      <c r="H41" s="60" t="n">
        <v>4104</v>
      </c>
      <c r="I41" s="69" t="n">
        <f aca="false">IF(H41="","",G41-H41)</f>
        <v>97</v>
      </c>
      <c r="J41" s="40" t="n">
        <f aca="false">IF(OR(D41="",D41+G41=0),"",D41/(D41+G41))</f>
        <v>0.485549840803331</v>
      </c>
      <c r="K41" s="40" t="n">
        <f aca="false">IF(E41="","",E41/(E41+H41))</f>
        <v>0.494207542519103</v>
      </c>
      <c r="L41" s="70" t="n">
        <f aca="false">IF(OR(K41="",J41=""),"",(J41-K41)*100)</f>
        <v>-0.86577017157719</v>
      </c>
      <c r="M41" s="36" t="n">
        <v>2.20874386721077</v>
      </c>
      <c r="N41" s="36" t="n">
        <v>2.59292838795783</v>
      </c>
      <c r="O41" s="36" t="n">
        <f aca="false">SQRT(M41^2+N41^2)</f>
        <v>3.40614548955543</v>
      </c>
      <c r="P41" s="40" t="n">
        <f aca="false">IF(J41="","",MAX(0,J41-1.96*O41/100))</f>
        <v>0.418789389208045</v>
      </c>
      <c r="Q41" s="40" t="n">
        <f aca="false">IF(J41="","",MIN(1,J41+1.96*O41/100))</f>
        <v>0.552310292398617</v>
      </c>
      <c r="R41" s="32" t="str">
        <f aca="false">IF(L41="","",IF(ABS(L41)&lt;=O41,"Yes","No"))</f>
        <v>Yes</v>
      </c>
      <c r="S41" s="32" t="str">
        <f aca="false">IF(L41="","",IF(ABS(L41)&lt;=1.96*O41,"Yes","No"))</f>
        <v>Yes</v>
      </c>
      <c r="T41" s="60" t="n">
        <f aca="false">IF(D41="","",ROUND(SQRT(((D41+G41)*O41/100)^2+(J41*(D41+G41)*0.05464)^2),0))</f>
        <v>353</v>
      </c>
      <c r="U41" s="32"/>
    </row>
    <row r="42" customFormat="false" ht="15" hidden="false" customHeight="false" outlineLevel="0" collapsed="false">
      <c r="A42" s="32" t="s">
        <v>192</v>
      </c>
      <c r="B42" s="32" t="s">
        <v>210</v>
      </c>
      <c r="C42" s="32" t="s">
        <v>164</v>
      </c>
      <c r="D42" s="60" t="n">
        <v>813</v>
      </c>
      <c r="E42" s="60" t="n">
        <v>800</v>
      </c>
      <c r="F42" s="69" t="n">
        <f aca="false">IF(E42="","",D42-E42)</f>
        <v>13</v>
      </c>
      <c r="G42" s="60" t="n">
        <v>1185</v>
      </c>
      <c r="H42" s="60" t="n">
        <v>1156</v>
      </c>
      <c r="I42" s="69" t="n">
        <f aca="false">IF(H42="","",G42-H42)</f>
        <v>29</v>
      </c>
      <c r="J42" s="40" t="n">
        <f aca="false">IF(OR(D42="",D42+G42=0),"",D42/(D42+G42))</f>
        <v>0.406906906906907</v>
      </c>
      <c r="K42" s="40" t="n">
        <f aca="false">IF(E42="","",E42/(E42+H42))</f>
        <v>0.408997955010225</v>
      </c>
      <c r="L42" s="70" t="n">
        <f aca="false">IF(OR(K42="",J42=""),"",(J42-K42)*100)</f>
        <v>-0.209104810331806</v>
      </c>
      <c r="M42" s="36" t="n">
        <v>2.24971735258761</v>
      </c>
      <c r="N42" s="36" t="n">
        <v>2.59292838795783</v>
      </c>
      <c r="O42" s="36" t="n">
        <f aca="false">SQRT(M42^2+N42^2)</f>
        <v>3.43285679742272</v>
      </c>
      <c r="P42" s="40" t="n">
        <f aca="false">IF(J42="","",MAX(0,J42-1.96*O42/100))</f>
        <v>0.339622913677422</v>
      </c>
      <c r="Q42" s="40" t="n">
        <f aca="false">IF(J42="","",MIN(1,J42+1.96*O42/100))</f>
        <v>0.474190900136392</v>
      </c>
      <c r="R42" s="32" t="str">
        <f aca="false">IF(L42="","",IF(ABS(L42)&lt;=O42,"Yes","No"))</f>
        <v>Yes</v>
      </c>
      <c r="S42" s="32" t="str">
        <f aca="false">IF(L42="","",IF(ABS(L42)&lt;=1.96*O42,"Yes","No"))</f>
        <v>Yes</v>
      </c>
      <c r="T42" s="60" t="n">
        <f aca="false">IF(D42="","",ROUND(SQRT(((D42+G42)*O42/100)^2+(J42*(D42+G42)*0.06092)^2),0))</f>
        <v>85</v>
      </c>
      <c r="U42" s="32"/>
    </row>
    <row r="43" customFormat="false" ht="15" hidden="false" customHeight="false" outlineLevel="0" collapsed="false">
      <c r="A43" s="32" t="s">
        <v>192</v>
      </c>
      <c r="B43" s="32" t="s">
        <v>211</v>
      </c>
      <c r="C43" s="32" t="s">
        <v>164</v>
      </c>
      <c r="D43" s="60" t="n">
        <v>6948</v>
      </c>
      <c r="E43" s="60" t="n">
        <v>7019</v>
      </c>
      <c r="F43" s="69" t="n">
        <f aca="false">IF(E43="","",D43-E43)</f>
        <v>-71</v>
      </c>
      <c r="G43" s="60" t="n">
        <v>6250</v>
      </c>
      <c r="H43" s="60" t="n">
        <v>6110</v>
      </c>
      <c r="I43" s="69" t="n">
        <f aca="false">IF(H43="","",G43-H43)</f>
        <v>140</v>
      </c>
      <c r="J43" s="40" t="n">
        <f aca="false">IF(OR(D43="",D43+G43=0),"",D43/(D43+G43))</f>
        <v>0.52644340051523</v>
      </c>
      <c r="K43" s="40" t="n">
        <f aca="false">IF(E43="","",E43/(E43+H43))</f>
        <v>0.534618021174499</v>
      </c>
      <c r="L43" s="70" t="n">
        <f aca="false">IF(OR(K43="",J43=""),"",(J43-K43)*100)</f>
        <v>-0.817462065926966</v>
      </c>
      <c r="M43" s="36" t="n">
        <v>2.20874386721077</v>
      </c>
      <c r="N43" s="36" t="n">
        <v>2.59292838795783</v>
      </c>
      <c r="O43" s="36" t="n">
        <f aca="false">SQRT(M43^2+N43^2)</f>
        <v>3.40614548955543</v>
      </c>
      <c r="P43" s="40" t="n">
        <f aca="false">IF(J43="","",MAX(0,J43-1.96*O43/100))</f>
        <v>0.459682948919943</v>
      </c>
      <c r="Q43" s="40" t="n">
        <f aca="false">IF(J43="","",MIN(1,J43+1.96*O43/100))</f>
        <v>0.593203852110516</v>
      </c>
      <c r="R43" s="32" t="str">
        <f aca="false">IF(L43="","",IF(ABS(L43)&lt;=O43,"Yes","No"))</f>
        <v>Yes</v>
      </c>
      <c r="S43" s="32" t="str">
        <f aca="false">IF(L43="","",IF(ABS(L43)&lt;=1.96*O43,"Yes","No"))</f>
        <v>Yes</v>
      </c>
      <c r="T43" s="60" t="n">
        <f aca="false">IF(D43="","",ROUND(SQRT(((D43+G43)*O43/100)^2+(J43*(D43+G43)*0.05464)^2),0))</f>
        <v>588</v>
      </c>
      <c r="U43" s="32"/>
    </row>
    <row r="44" customFormat="false" ht="15" hidden="false" customHeight="false" outlineLevel="0" collapsed="false">
      <c r="A44" s="32" t="s">
        <v>192</v>
      </c>
      <c r="B44" s="32" t="s">
        <v>212</v>
      </c>
      <c r="C44" s="32" t="s">
        <v>164</v>
      </c>
      <c r="D44" s="60" t="n">
        <v>8246</v>
      </c>
      <c r="E44" s="60" t="n">
        <v>8020</v>
      </c>
      <c r="F44" s="69" t="n">
        <f aca="false">IF(E44="","",D44-E44)</f>
        <v>226</v>
      </c>
      <c r="G44" s="60" t="n">
        <v>7714</v>
      </c>
      <c r="H44" s="60" t="n">
        <v>7607</v>
      </c>
      <c r="I44" s="69" t="n">
        <f aca="false">IF(H44="","",G44-H44)</f>
        <v>107</v>
      </c>
      <c r="J44" s="40" t="n">
        <f aca="false">IF(OR(D44="",D44+G44=0),"",D44/(D44+G44))</f>
        <v>0.516666666666667</v>
      </c>
      <c r="K44" s="40" t="n">
        <f aca="false">IF(E44="","",E44/(E44+H44))</f>
        <v>0.513214308568503</v>
      </c>
      <c r="L44" s="70" t="n">
        <f aca="false">IF(OR(K44="",J44=""),"",(J44-K44)*100)</f>
        <v>0.345235809816347</v>
      </c>
      <c r="M44" s="36" t="n">
        <v>2.20874386721077</v>
      </c>
      <c r="N44" s="36" t="n">
        <v>2.59292838795783</v>
      </c>
      <c r="O44" s="36" t="n">
        <f aca="false">SQRT(M44^2+N44^2)</f>
        <v>3.40614548955543</v>
      </c>
      <c r="P44" s="40" t="n">
        <f aca="false">IF(J44="","",MAX(0,J44-1.96*O44/100))</f>
        <v>0.44990621507138</v>
      </c>
      <c r="Q44" s="40" t="n">
        <f aca="false">IF(J44="","",MIN(1,J44+1.96*O44/100))</f>
        <v>0.583427118261953</v>
      </c>
      <c r="R44" s="32" t="str">
        <f aca="false">IF(L44="","",IF(ABS(L44)&lt;=O44,"Yes","No"))</f>
        <v>Yes</v>
      </c>
      <c r="S44" s="32" t="str">
        <f aca="false">IF(L44="","",IF(ABS(L44)&lt;=1.96*O44,"Yes","No"))</f>
        <v>Yes</v>
      </c>
      <c r="T44" s="60" t="n">
        <f aca="false">IF(D44="","",ROUND(SQRT(((D44+G44)*O44/100)^2+(J44*(D44+G44)*0.05464)^2),0))</f>
        <v>706</v>
      </c>
      <c r="U44" s="32"/>
    </row>
    <row r="45" customFormat="false" ht="15" hidden="false" customHeight="false" outlineLevel="0" collapsed="false">
      <c r="A45" s="32" t="s">
        <v>192</v>
      </c>
      <c r="B45" s="32" t="s">
        <v>213</v>
      </c>
      <c r="C45" s="32" t="s">
        <v>164</v>
      </c>
      <c r="D45" s="60" t="n">
        <v>2231</v>
      </c>
      <c r="E45" s="60" t="n">
        <v>2380</v>
      </c>
      <c r="F45" s="69" t="n">
        <f aca="false">IF(E45="","",D45-E45)</f>
        <v>-149</v>
      </c>
      <c r="G45" s="60" t="n">
        <v>3223</v>
      </c>
      <c r="H45" s="60" t="n">
        <v>3135</v>
      </c>
      <c r="I45" s="69" t="n">
        <f aca="false">IF(H45="","",G45-H45)</f>
        <v>88</v>
      </c>
      <c r="J45" s="40" t="n">
        <f aca="false">IF(OR(D45="",D45+G45=0),"",D45/(D45+G45))</f>
        <v>0.409057572423909</v>
      </c>
      <c r="K45" s="40" t="n">
        <f aca="false">IF(E45="","",E45/(E45+H45))</f>
        <v>0.43155031731641</v>
      </c>
      <c r="L45" s="70" t="n">
        <f aca="false">IF(OR(K45="",J45=""),"",(J45-K45)*100)</f>
        <v>-2.24927448925008</v>
      </c>
      <c r="M45" s="36" t="n">
        <v>2.20874386721077</v>
      </c>
      <c r="N45" s="36" t="n">
        <v>2.59292838795783</v>
      </c>
      <c r="O45" s="36" t="n">
        <f aca="false">SQRT(M45^2+N45^2)</f>
        <v>3.40614548955543</v>
      </c>
      <c r="P45" s="40" t="n">
        <f aca="false">IF(J45="","",MAX(0,J45-1.96*O45/100))</f>
        <v>0.342297120828623</v>
      </c>
      <c r="Q45" s="40" t="n">
        <f aca="false">IF(J45="","",MIN(1,J45+1.96*O45/100))</f>
        <v>0.475818024019195</v>
      </c>
      <c r="R45" s="32" t="str">
        <f aca="false">IF(L45="","",IF(ABS(L45)&lt;=O45,"Yes","No"))</f>
        <v>Yes</v>
      </c>
      <c r="S45" s="32" t="str">
        <f aca="false">IF(L45="","",IF(ABS(L45)&lt;=1.96*O45,"Yes","No"))</f>
        <v>Yes</v>
      </c>
      <c r="T45" s="60" t="n">
        <f aca="false">IF(D45="","",ROUND(SQRT(((D45+G45)*O45/100)^2+(J45*(D45+G45)*0.05464)^2),0))</f>
        <v>222</v>
      </c>
      <c r="U45" s="32"/>
    </row>
    <row r="46" customFormat="false" ht="15" hidden="false" customHeight="false" outlineLevel="0" collapsed="false">
      <c r="A46" s="32" t="s">
        <v>192</v>
      </c>
      <c r="B46" s="32" t="s">
        <v>214</v>
      </c>
      <c r="C46" s="32" t="s">
        <v>164</v>
      </c>
      <c r="D46" s="60" t="n">
        <v>5252</v>
      </c>
      <c r="E46" s="60" t="n">
        <v>5462</v>
      </c>
      <c r="F46" s="69" t="n">
        <f aca="false">IF(E46="","",D46-E46)</f>
        <v>-210</v>
      </c>
      <c r="G46" s="60" t="n">
        <v>5934</v>
      </c>
      <c r="H46" s="60" t="n">
        <v>5740</v>
      </c>
      <c r="I46" s="69" t="n">
        <f aca="false">IF(H46="","",G46-H46)</f>
        <v>194</v>
      </c>
      <c r="J46" s="40" t="n">
        <f aca="false">IF(OR(D46="",D46+G46=0),"",D46/(D46+G46))</f>
        <v>0.469515465760772</v>
      </c>
      <c r="K46" s="40" t="n">
        <f aca="false">IF(E46="","",E46/(E46+H46))</f>
        <v>0.487591501517586</v>
      </c>
      <c r="L46" s="70" t="n">
        <f aca="false">IF(OR(K46="",J46=""),"",(J46-K46)*100)</f>
        <v>-1.80760357568137</v>
      </c>
      <c r="M46" s="36" t="n">
        <v>2.20874386721077</v>
      </c>
      <c r="N46" s="36" t="n">
        <v>2.59292838795783</v>
      </c>
      <c r="O46" s="36" t="n">
        <f aca="false">SQRT(M46^2+N46^2)</f>
        <v>3.40614548955543</v>
      </c>
      <c r="P46" s="40" t="n">
        <f aca="false">IF(J46="","",MAX(0,J46-1.96*O46/100))</f>
        <v>0.402755014165486</v>
      </c>
      <c r="Q46" s="40" t="n">
        <f aca="false">IF(J46="","",MIN(1,J46+1.96*O46/100))</f>
        <v>0.536275917356059</v>
      </c>
      <c r="R46" s="32" t="str">
        <f aca="false">IF(L46="","",IF(ABS(L46)&lt;=O46,"Yes","No"))</f>
        <v>Yes</v>
      </c>
      <c r="S46" s="32" t="str">
        <f aca="false">IF(L46="","",IF(ABS(L46)&lt;=1.96*O46,"Yes","No"))</f>
        <v>Yes</v>
      </c>
      <c r="T46" s="60" t="n">
        <f aca="false">IF(D46="","",ROUND(SQRT(((D46+G46)*O46/100)^2+(J46*(D46+G46)*0.05464)^2),0))</f>
        <v>477</v>
      </c>
      <c r="U46" s="32"/>
    </row>
    <row r="47" customFormat="false" ht="15" hidden="false" customHeight="false" outlineLevel="0" collapsed="false">
      <c r="A47" s="32" t="s">
        <v>192</v>
      </c>
      <c r="B47" s="32" t="s">
        <v>215</v>
      </c>
      <c r="C47" s="32" t="s">
        <v>164</v>
      </c>
      <c r="D47" s="60" t="n">
        <v>1214</v>
      </c>
      <c r="E47" s="60" t="n">
        <v>1266</v>
      </c>
      <c r="F47" s="69" t="n">
        <f aca="false">IF(E47="","",D47-E47)</f>
        <v>-52</v>
      </c>
      <c r="G47" s="60" t="n">
        <v>2719</v>
      </c>
      <c r="H47" s="60" t="n">
        <v>2669</v>
      </c>
      <c r="I47" s="69" t="n">
        <f aca="false">IF(H47="","",G47-H47)</f>
        <v>50</v>
      </c>
      <c r="J47" s="40" t="n">
        <f aca="false">IF(OR(D47="",D47+G47=0),"",D47/(D47+G47))</f>
        <v>0.308670226290364</v>
      </c>
      <c r="K47" s="40" t="n">
        <f aca="false">IF(E47="","",E47/(E47+H47))</f>
        <v>0.321728081321474</v>
      </c>
      <c r="L47" s="70" t="n">
        <f aca="false">IF(OR(K47="",J47=""),"",(J47-K47)*100)</f>
        <v>-1.30578550311103</v>
      </c>
      <c r="M47" s="36" t="n">
        <v>2.20874386721077</v>
      </c>
      <c r="N47" s="36" t="n">
        <v>2.59292838795783</v>
      </c>
      <c r="O47" s="36" t="n">
        <f aca="false">SQRT(M47^2+N47^2)</f>
        <v>3.40614548955543</v>
      </c>
      <c r="P47" s="40" t="n">
        <f aca="false">IF(J47="","",MAX(0,J47-1.96*O47/100))</f>
        <v>0.241909774695077</v>
      </c>
      <c r="Q47" s="40" t="n">
        <f aca="false">IF(J47="","",MIN(1,J47+1.96*O47/100))</f>
        <v>0.37543067788565</v>
      </c>
      <c r="R47" s="32" t="str">
        <f aca="false">IF(L47="","",IF(ABS(L47)&lt;=O47,"Yes","No"))</f>
        <v>Yes</v>
      </c>
      <c r="S47" s="32" t="str">
        <f aca="false">IF(L47="","",IF(ABS(L47)&lt;=1.96*O47,"Yes","No"))</f>
        <v>Yes</v>
      </c>
      <c r="T47" s="60" t="n">
        <f aca="false">IF(D47="","",ROUND(SQRT(((D47+G47)*O47/100)^2+(J47*(D47+G47)*0.05464)^2),0))</f>
        <v>149</v>
      </c>
      <c r="U47" s="32"/>
    </row>
    <row r="48" customFormat="false" ht="15" hidden="false" customHeight="false" outlineLevel="0" collapsed="false">
      <c r="A48" s="32" t="s">
        <v>192</v>
      </c>
      <c r="B48" s="32" t="s">
        <v>216</v>
      </c>
      <c r="C48" s="32" t="s">
        <v>164</v>
      </c>
      <c r="D48" s="60" t="n">
        <v>1109</v>
      </c>
      <c r="E48" s="60" t="n">
        <v>1172</v>
      </c>
      <c r="F48" s="69" t="n">
        <f aca="false">IF(E48="","",D48-E48)</f>
        <v>-63</v>
      </c>
      <c r="G48" s="60" t="n">
        <v>2269</v>
      </c>
      <c r="H48" s="60" t="n">
        <v>2201</v>
      </c>
      <c r="I48" s="69" t="n">
        <f aca="false">IF(H48="","",G48-H48)</f>
        <v>68</v>
      </c>
      <c r="J48" s="40" t="n">
        <f aca="false">IF(OR(D48="",D48+G48=0),"",D48/(D48+G48))</f>
        <v>0.328300769686205</v>
      </c>
      <c r="K48" s="40" t="n">
        <f aca="false">IF(E48="","",E48/(E48+H48))</f>
        <v>0.347465164541951</v>
      </c>
      <c r="L48" s="70" t="n">
        <f aca="false">IF(OR(K48="",J48=""),"",(J48-K48)*100)</f>
        <v>-1.91643948557459</v>
      </c>
      <c r="M48" s="36" t="n">
        <v>2.24971735258761</v>
      </c>
      <c r="N48" s="36" t="n">
        <v>2.59292838795783</v>
      </c>
      <c r="O48" s="36" t="n">
        <f aca="false">SQRT(M48^2+N48^2)</f>
        <v>3.43285679742272</v>
      </c>
      <c r="P48" s="40" t="n">
        <f aca="false">IF(J48="","",MAX(0,J48-1.96*O48/100))</f>
        <v>0.26101677645672</v>
      </c>
      <c r="Q48" s="40" t="n">
        <f aca="false">IF(J48="","",MIN(1,J48+1.96*O48/100))</f>
        <v>0.39558476291569</v>
      </c>
      <c r="R48" s="32" t="str">
        <f aca="false">IF(L48="","",IF(ABS(L48)&lt;=O48,"Yes","No"))</f>
        <v>Yes</v>
      </c>
      <c r="S48" s="32" t="str">
        <f aca="false">IF(L48="","",IF(ABS(L48)&lt;=1.96*O48,"Yes","No"))</f>
        <v>Yes</v>
      </c>
      <c r="T48" s="60" t="n">
        <f aca="false">IF(D48="","",ROUND(SQRT(((D48+G48)*O48/100)^2+(J48*(D48+G48)*0.06092)^2),0))</f>
        <v>134</v>
      </c>
      <c r="U48" s="32"/>
    </row>
    <row r="49" customFormat="false" ht="15" hidden="false" customHeight="false" outlineLevel="0" collapsed="false">
      <c r="A49" s="32" t="s">
        <v>192</v>
      </c>
      <c r="B49" s="32" t="s">
        <v>217</v>
      </c>
      <c r="C49" s="32" t="s">
        <v>164</v>
      </c>
      <c r="D49" s="60" t="n">
        <v>7475</v>
      </c>
      <c r="E49" s="60" t="n">
        <v>7383</v>
      </c>
      <c r="F49" s="69" t="n">
        <f aca="false">IF(E49="","",D49-E49)</f>
        <v>92</v>
      </c>
      <c r="G49" s="60" t="n">
        <v>7005</v>
      </c>
      <c r="H49" s="60" t="n">
        <v>7036</v>
      </c>
      <c r="I49" s="69" t="n">
        <f aca="false">IF(H49="","",G49-H49)</f>
        <v>-31</v>
      </c>
      <c r="J49" s="40" t="n">
        <f aca="false">IF(OR(D49="",D49+G49=0),"",D49/(D49+G49))</f>
        <v>0.516229281767956</v>
      </c>
      <c r="K49" s="40" t="n">
        <f aca="false">IF(E49="","",E49/(E49+H49))</f>
        <v>0.51203273458631</v>
      </c>
      <c r="L49" s="70" t="n">
        <f aca="false">IF(OR(K49="",J49=""),"",(J49-K49)*100)</f>
        <v>0.419654718164608</v>
      </c>
      <c r="M49" s="36" t="n">
        <v>2.20874386721077</v>
      </c>
      <c r="N49" s="36" t="n">
        <v>2.59292838795783</v>
      </c>
      <c r="O49" s="36" t="n">
        <f aca="false">SQRT(M49^2+N49^2)</f>
        <v>3.40614548955543</v>
      </c>
      <c r="P49" s="40" t="n">
        <f aca="false">IF(J49="","",MAX(0,J49-1.96*O49/100))</f>
        <v>0.449468830172669</v>
      </c>
      <c r="Q49" s="40" t="n">
        <f aca="false">IF(J49="","",MIN(1,J49+1.96*O49/100))</f>
        <v>0.582989733363242</v>
      </c>
      <c r="R49" s="32" t="str">
        <f aca="false">IF(L49="","",IF(ABS(L49)&lt;=O49,"Yes","No"))</f>
        <v>Yes</v>
      </c>
      <c r="S49" s="32" t="str">
        <f aca="false">IF(L49="","",IF(ABS(L49)&lt;=1.96*O49,"Yes","No"))</f>
        <v>Yes</v>
      </c>
      <c r="T49" s="60" t="n">
        <f aca="false">IF(D49="","",ROUND(SQRT(((D49+G49)*O49/100)^2+(J49*(D49+G49)*0.05464)^2),0))</f>
        <v>640</v>
      </c>
      <c r="U49" s="32"/>
    </row>
    <row r="50" customFormat="false" ht="15" hidden="false" customHeight="false" outlineLevel="0" collapsed="false">
      <c r="A50" s="32" t="s">
        <v>218</v>
      </c>
      <c r="B50" s="32" t="s">
        <v>219</v>
      </c>
      <c r="C50" s="32" t="s">
        <v>164</v>
      </c>
      <c r="D50" s="60" t="n">
        <v>424</v>
      </c>
      <c r="E50" s="60" t="n">
        <v>471</v>
      </c>
      <c r="F50" s="69" t="n">
        <f aca="false">IF(E50="","",D50-E50)</f>
        <v>-47</v>
      </c>
      <c r="G50" s="60" t="n">
        <v>1120</v>
      </c>
      <c r="H50" s="60" t="n">
        <v>1124</v>
      </c>
      <c r="I50" s="69" t="n">
        <f aca="false">IF(H50="","",G50-H50)</f>
        <v>-4</v>
      </c>
      <c r="J50" s="40" t="n">
        <f aca="false">IF(OR(D50="",D50+G50=0),"",D50/(D50+G50))</f>
        <v>0.274611398963731</v>
      </c>
      <c r="K50" s="40" t="n">
        <f aca="false">IF(E50="","",E50/(E50+H50))</f>
        <v>0.295297805642633</v>
      </c>
      <c r="L50" s="70" t="n">
        <f aca="false">IF(OR(K50="",J50=""),"",(J50-K50)*100)</f>
        <v>-2.06864066789027</v>
      </c>
      <c r="M50" s="36" t="n">
        <v>3.75884140229675</v>
      </c>
      <c r="N50" s="36" t="n">
        <v>2.59292838795783</v>
      </c>
      <c r="O50" s="36" t="n">
        <f aca="false">SQRT(M50^2+N50^2)</f>
        <v>4.56641722937116</v>
      </c>
      <c r="P50" s="40" t="n">
        <f aca="false">IF(J50="","",MAX(0,J50-1.96*O50/100))</f>
        <v>0.185109621268056</v>
      </c>
      <c r="Q50" s="40" t="n">
        <f aca="false">IF(J50="","",MIN(1,J50+1.96*O50/100))</f>
        <v>0.364113176659405</v>
      </c>
      <c r="R50" s="32" t="str">
        <f aca="false">IF(L50="","",IF(ABS(L50)&lt;=O50,"Yes","No"))</f>
        <v>Yes</v>
      </c>
      <c r="S50" s="32" t="str">
        <f aca="false">IF(L50="","",IF(ABS(L50)&lt;=1.96*O50,"Yes","No"))</f>
        <v>Yes</v>
      </c>
      <c r="T50" s="60" t="n">
        <f aca="false">IF(D50="","",ROUND(SQRT(((D50+G50)*O50/100)^2+(J50*(D50+G50)*0.07859)^2),0))</f>
        <v>78</v>
      </c>
      <c r="U50" s="32"/>
    </row>
    <row r="51" customFormat="false" ht="15" hidden="false" customHeight="false" outlineLevel="0" collapsed="false">
      <c r="A51" s="32" t="s">
        <v>218</v>
      </c>
      <c r="B51" s="32" t="s">
        <v>220</v>
      </c>
      <c r="C51" s="32" t="s">
        <v>164</v>
      </c>
      <c r="D51" s="60" t="n">
        <v>1302</v>
      </c>
      <c r="E51" s="60" t="n">
        <v>1414</v>
      </c>
      <c r="F51" s="69" t="n">
        <f aca="false">IF(E51="","",D51-E51)</f>
        <v>-112</v>
      </c>
      <c r="G51" s="60" t="n">
        <v>2867</v>
      </c>
      <c r="H51" s="60" t="n">
        <v>2894</v>
      </c>
      <c r="I51" s="69" t="n">
        <f aca="false">IF(H51="","",G51-H51)</f>
        <v>-27</v>
      </c>
      <c r="J51" s="40" t="n">
        <f aca="false">IF(OR(D51="",D51+G51=0),"",D51/(D51+G51))</f>
        <v>0.312305109138882</v>
      </c>
      <c r="K51" s="40" t="n">
        <f aca="false">IF(E51="","",E51/(E51+H51))</f>
        <v>0.328226555246054</v>
      </c>
      <c r="L51" s="70" t="n">
        <f aca="false">IF(OR(K51="",J51=""),"",(J51-K51)*100)</f>
        <v>-1.59214461071717</v>
      </c>
      <c r="M51" s="36" t="n">
        <v>2.20874386721077</v>
      </c>
      <c r="N51" s="36" t="n">
        <v>2.59292838795783</v>
      </c>
      <c r="O51" s="36" t="n">
        <f aca="false">SQRT(M51^2+N51^2)</f>
        <v>3.40614548955543</v>
      </c>
      <c r="P51" s="40" t="n">
        <f aca="false">IF(J51="","",MAX(0,J51-1.96*O51/100))</f>
        <v>0.245544657543596</v>
      </c>
      <c r="Q51" s="40" t="n">
        <f aca="false">IF(J51="","",MIN(1,J51+1.96*O51/100))</f>
        <v>0.379065560734169</v>
      </c>
      <c r="R51" s="32" t="str">
        <f aca="false">IF(L51="","",IF(ABS(L51)&lt;=O51,"Yes","No"))</f>
        <v>Yes</v>
      </c>
      <c r="S51" s="32" t="str">
        <f aca="false">IF(L51="","",IF(ABS(L51)&lt;=1.96*O51,"Yes","No"))</f>
        <v>Yes</v>
      </c>
      <c r="T51" s="60" t="n">
        <f aca="false">IF(D51="","",ROUND(SQRT(((D51+G51)*O51/100)^2+(J51*(D51+G51)*0.05464)^2),0))</f>
        <v>159</v>
      </c>
      <c r="U51" s="32"/>
    </row>
    <row r="52" customFormat="false" ht="15" hidden="false" customHeight="false" outlineLevel="0" collapsed="false">
      <c r="A52" s="32" t="s">
        <v>218</v>
      </c>
      <c r="B52" s="32" t="s">
        <v>221</v>
      </c>
      <c r="C52" s="32" t="s">
        <v>164</v>
      </c>
      <c r="D52" s="60" t="n">
        <v>428</v>
      </c>
      <c r="E52" s="60" t="n">
        <v>521</v>
      </c>
      <c r="F52" s="69" t="n">
        <f aca="false">IF(E52="","",D52-E52)</f>
        <v>-93</v>
      </c>
      <c r="G52" s="60" t="n">
        <v>882</v>
      </c>
      <c r="H52" s="60" t="n">
        <v>997</v>
      </c>
      <c r="I52" s="69" t="n">
        <f aca="false">IF(H52="","",G52-H52)</f>
        <v>-115</v>
      </c>
      <c r="J52" s="40" t="n">
        <f aca="false">IF(OR(D52="",D52+G52=0),"",D52/(D52+G52))</f>
        <v>0.326717557251908</v>
      </c>
      <c r="K52" s="40" t="n">
        <f aca="false">IF(E52="","",E52/(E52+H52))</f>
        <v>0.343214756258235</v>
      </c>
      <c r="L52" s="70" t="n">
        <f aca="false">IF(OR(K52="",J52=""),"",(J52-K52)*100)</f>
        <v>-1.64971990063261</v>
      </c>
      <c r="M52" s="36" t="n">
        <v>3.75884140229675</v>
      </c>
      <c r="N52" s="36" t="n">
        <v>2.59292838795783</v>
      </c>
      <c r="O52" s="36" t="n">
        <f aca="false">SQRT(M52^2+N52^2)</f>
        <v>4.56641722937116</v>
      </c>
      <c r="P52" s="40" t="n">
        <f aca="false">IF(J52="","",MAX(0,J52-1.96*O52/100))</f>
        <v>0.237215779556234</v>
      </c>
      <c r="Q52" s="40" t="n">
        <f aca="false">IF(J52="","",MIN(1,J52+1.96*O52/100))</f>
        <v>0.416219334947583</v>
      </c>
      <c r="R52" s="32" t="str">
        <f aca="false">IF(L52="","",IF(ABS(L52)&lt;=O52,"Yes","No"))</f>
        <v>Yes</v>
      </c>
      <c r="S52" s="32" t="str">
        <f aca="false">IF(L52="","",IF(ABS(L52)&lt;=1.96*O52,"Yes","No"))</f>
        <v>Yes</v>
      </c>
      <c r="T52" s="60" t="n">
        <f aca="false">IF(D52="","",ROUND(SQRT(((D52+G52)*O52/100)^2+(J52*(D52+G52)*0.07859)^2),0))</f>
        <v>69</v>
      </c>
      <c r="U52" s="32"/>
    </row>
    <row r="53" customFormat="false" ht="15" hidden="false" customHeight="false" outlineLevel="0" collapsed="false">
      <c r="A53" s="32" t="s">
        <v>222</v>
      </c>
      <c r="B53" s="32" t="s">
        <v>223</v>
      </c>
      <c r="C53" s="32" t="s">
        <v>164</v>
      </c>
      <c r="D53" s="60" t="n">
        <v>1446</v>
      </c>
      <c r="E53" s="60" t="n">
        <v>1511</v>
      </c>
      <c r="F53" s="69" t="n">
        <f aca="false">IF(E53="","",D53-E53)</f>
        <v>-65</v>
      </c>
      <c r="G53" s="60" t="n">
        <v>2018</v>
      </c>
      <c r="H53" s="60" t="n">
        <v>2018</v>
      </c>
      <c r="I53" s="69" t="n">
        <f aca="false">IF(H53="","",G53-H53)</f>
        <v>0</v>
      </c>
      <c r="J53" s="40" t="n">
        <f aca="false">IF(OR(D53="",D53+G53=0),"",D53/(D53+G53))</f>
        <v>0.41743648960739</v>
      </c>
      <c r="K53" s="40" t="n">
        <f aca="false">IF(E53="","",E53/(E53+H53))</f>
        <v>0.428166619438935</v>
      </c>
      <c r="L53" s="70" t="n">
        <f aca="false">IF(OR(K53="",J53=""),"",(J53-K53)*100)</f>
        <v>-1.07301298315442</v>
      </c>
      <c r="M53" s="36" t="n">
        <v>2.24971735258761</v>
      </c>
      <c r="N53" s="36" t="n">
        <v>2.59292838795783</v>
      </c>
      <c r="O53" s="36" t="n">
        <f aca="false">SQRT(M53^2+N53^2)</f>
        <v>3.43285679742272</v>
      </c>
      <c r="P53" s="40" t="n">
        <f aca="false">IF(J53="","",MAX(0,J53-1.96*O53/100))</f>
        <v>0.350152496377905</v>
      </c>
      <c r="Q53" s="40" t="n">
        <f aca="false">IF(J53="","",MIN(1,J53+1.96*O53/100))</f>
        <v>0.484720482836876</v>
      </c>
      <c r="R53" s="32" t="str">
        <f aca="false">IF(L53="","",IF(ABS(L53)&lt;=O53,"Yes","No"))</f>
        <v>Yes</v>
      </c>
      <c r="S53" s="32" t="str">
        <f aca="false">IF(L53="","",IF(ABS(L53)&lt;=1.96*O53,"Yes","No"))</f>
        <v>Yes</v>
      </c>
      <c r="T53" s="60" t="n">
        <f aca="false">IF(D53="","",ROUND(SQRT(((D53+G53)*O53/100)^2+(J53*(D53+G53)*0.06092)^2),0))</f>
        <v>148</v>
      </c>
      <c r="U53" s="32"/>
    </row>
    <row r="54" customFormat="false" ht="15" hidden="false" customHeight="false" outlineLevel="0" collapsed="false">
      <c r="A54" s="32" t="s">
        <v>222</v>
      </c>
      <c r="B54" s="32" t="s">
        <v>224</v>
      </c>
      <c r="C54" s="32" t="s">
        <v>164</v>
      </c>
      <c r="D54" s="60" t="n">
        <v>945</v>
      </c>
      <c r="E54" s="60" t="n">
        <v>959</v>
      </c>
      <c r="F54" s="69" t="n">
        <f aca="false">IF(E54="","",D54-E54)</f>
        <v>-14</v>
      </c>
      <c r="G54" s="60" t="n">
        <v>1391</v>
      </c>
      <c r="H54" s="60" t="n">
        <v>1364</v>
      </c>
      <c r="I54" s="69" t="n">
        <f aca="false">IF(H54="","",G54-H54)</f>
        <v>27</v>
      </c>
      <c r="J54" s="40" t="n">
        <f aca="false">IF(OR(D54="",D54+G54=0),"",D54/(D54+G54))</f>
        <v>0.404537671232877</v>
      </c>
      <c r="K54" s="40" t="n">
        <f aca="false">IF(E54="","",E54/(E54+H54))</f>
        <v>0.412828239345674</v>
      </c>
      <c r="L54" s="70" t="n">
        <f aca="false">IF(OR(K54="",J54=""),"",(J54-K54)*100)</f>
        <v>-0.829056811279699</v>
      </c>
      <c r="M54" s="36" t="n">
        <v>2.24971735258761</v>
      </c>
      <c r="N54" s="36" t="n">
        <v>2.59292838795783</v>
      </c>
      <c r="O54" s="36" t="n">
        <f aca="false">SQRT(M54^2+N54^2)</f>
        <v>3.43285679742272</v>
      </c>
      <c r="P54" s="40" t="n">
        <f aca="false">IF(J54="","",MAX(0,J54-1.96*O54/100))</f>
        <v>0.337253678003391</v>
      </c>
      <c r="Q54" s="40" t="n">
        <f aca="false">IF(J54="","",MIN(1,J54+1.96*O54/100))</f>
        <v>0.471821664462362</v>
      </c>
      <c r="R54" s="32" t="str">
        <f aca="false">IF(L54="","",IF(ABS(L54)&lt;=O54,"Yes","No"))</f>
        <v>Yes</v>
      </c>
      <c r="S54" s="32" t="str">
        <f aca="false">IF(L54="","",IF(ABS(L54)&lt;=1.96*O54,"Yes","No"))</f>
        <v>Yes</v>
      </c>
      <c r="T54" s="60" t="n">
        <f aca="false">IF(D54="","",ROUND(SQRT(((D54+G54)*O54/100)^2+(J54*(D54+G54)*0.06092)^2),0))</f>
        <v>99</v>
      </c>
      <c r="U54" s="32"/>
    </row>
    <row r="55" customFormat="false" ht="15" hidden="false" customHeight="false" outlineLevel="0" collapsed="false">
      <c r="A55" s="32" t="s">
        <v>222</v>
      </c>
      <c r="B55" s="32" t="s">
        <v>225</v>
      </c>
      <c r="C55" s="32" t="s">
        <v>164</v>
      </c>
      <c r="D55" s="60" t="n">
        <v>618</v>
      </c>
      <c r="E55" s="60" t="n">
        <v>623</v>
      </c>
      <c r="F55" s="69" t="n">
        <f aca="false">IF(E55="","",D55-E55)</f>
        <v>-5</v>
      </c>
      <c r="G55" s="60" t="n">
        <v>752</v>
      </c>
      <c r="H55" s="60" t="n">
        <v>726</v>
      </c>
      <c r="I55" s="69" t="n">
        <f aca="false">IF(H55="","",G55-H55)</f>
        <v>26</v>
      </c>
      <c r="J55" s="40" t="n">
        <f aca="false">IF(OR(D55="",D55+G55=0),"",D55/(D55+G55))</f>
        <v>0.451094890510949</v>
      </c>
      <c r="K55" s="40" t="n">
        <f aca="false">IF(E55="","",E55/(E55+H55))</f>
        <v>0.46182357301705</v>
      </c>
      <c r="L55" s="70" t="n">
        <f aca="false">IF(OR(K55="",J55=""),"",(J55-K55)*100)</f>
        <v>-1.07286825061008</v>
      </c>
      <c r="M55" s="36" t="n">
        <v>3.75884140229675</v>
      </c>
      <c r="N55" s="36" t="n">
        <v>2.59292838795783</v>
      </c>
      <c r="O55" s="36" t="n">
        <f aca="false">SQRT(M55^2+N55^2)</f>
        <v>4.56641722937116</v>
      </c>
      <c r="P55" s="40" t="n">
        <f aca="false">IF(J55="","",MAX(0,J55-1.96*O55/100))</f>
        <v>0.361593112815274</v>
      </c>
      <c r="Q55" s="40" t="n">
        <f aca="false">IF(J55="","",MIN(1,J55+1.96*O55/100))</f>
        <v>0.540596668206624</v>
      </c>
      <c r="R55" s="32" t="str">
        <f aca="false">IF(L55="","",IF(ABS(L55)&lt;=O55,"Yes","No"))</f>
        <v>Yes</v>
      </c>
      <c r="S55" s="32" t="str">
        <f aca="false">IF(L55="","",IF(ABS(L55)&lt;=1.96*O55,"Yes","No"))</f>
        <v>Yes</v>
      </c>
      <c r="T55" s="60" t="n">
        <f aca="false">IF(D55="","",ROUND(SQRT(((D55+G55)*O55/100)^2+(J55*(D55+G55)*0.07859)^2),0))</f>
        <v>79</v>
      </c>
      <c r="U55" s="32"/>
    </row>
    <row r="56" customFormat="false" ht="15" hidden="false" customHeight="false" outlineLevel="0" collapsed="false">
      <c r="A56" s="32" t="s">
        <v>222</v>
      </c>
      <c r="B56" s="32" t="s">
        <v>195</v>
      </c>
      <c r="C56" s="32" t="s">
        <v>164</v>
      </c>
      <c r="D56" s="60" t="n">
        <v>17435</v>
      </c>
      <c r="E56" s="60" t="n">
        <v>17416</v>
      </c>
      <c r="F56" s="69" t="n">
        <f aca="false">IF(E56="","",D56-E56)</f>
        <v>19</v>
      </c>
      <c r="G56" s="60" t="n">
        <v>8148</v>
      </c>
      <c r="H56" s="60" t="n">
        <v>8640</v>
      </c>
      <c r="I56" s="69" t="n">
        <f aca="false">IF(H56="","",G56-H56)</f>
        <v>-492</v>
      </c>
      <c r="J56" s="40" t="n">
        <f aca="false">IF(OR(D56="",D56+G56=0),"",D56/(D56+G56))</f>
        <v>0.681507250908807</v>
      </c>
      <c r="K56" s="40" t="n">
        <f aca="false">IF(E56="","",E56/(E56+H56))</f>
        <v>0.668406509057415</v>
      </c>
      <c r="L56" s="70" t="n">
        <f aca="false">IF(OR(K56="",J56=""),"",(J56-K56)*100)</f>
        <v>1.31007418513918</v>
      </c>
      <c r="M56" s="36" t="n">
        <v>2.20874386721077</v>
      </c>
      <c r="N56" s="36" t="n">
        <v>2.59292838795783</v>
      </c>
      <c r="O56" s="36" t="n">
        <f aca="false">SQRT(M56^2+N56^2)</f>
        <v>3.40614548955543</v>
      </c>
      <c r="P56" s="40" t="n">
        <f aca="false">IF(J56="","",MAX(0,J56-1.96*O56/100))</f>
        <v>0.61474679931352</v>
      </c>
      <c r="Q56" s="40" t="n">
        <f aca="false">IF(J56="","",MIN(1,J56+1.96*O56/100))</f>
        <v>0.748267702504093</v>
      </c>
      <c r="R56" s="32" t="str">
        <f aca="false">IF(L56="","",IF(ABS(L56)&lt;=O56,"Yes","No"))</f>
        <v>Yes</v>
      </c>
      <c r="S56" s="32" t="str">
        <f aca="false">IF(L56="","",IF(ABS(L56)&lt;=1.96*O56,"Yes","No"))</f>
        <v>Yes</v>
      </c>
      <c r="T56" s="60" t="n">
        <f aca="false">IF(D56="","",ROUND(SQRT(((D56+G56)*O56/100)^2+(J56*(D56+G56)*0.05464)^2),0))</f>
        <v>1291</v>
      </c>
      <c r="U56" s="32"/>
    </row>
    <row r="57" customFormat="false" ht="15" hidden="false" customHeight="false" outlineLevel="0" collapsed="false">
      <c r="A57" s="32" t="s">
        <v>222</v>
      </c>
      <c r="B57" s="32" t="s">
        <v>226</v>
      </c>
      <c r="C57" s="32" t="s">
        <v>164</v>
      </c>
      <c r="D57" s="60" t="n">
        <v>8189</v>
      </c>
      <c r="E57" s="60" t="n">
        <v>8595</v>
      </c>
      <c r="F57" s="69" t="n">
        <f aca="false">IF(E57="","",D57-E57)</f>
        <v>-406</v>
      </c>
      <c r="G57" s="60" t="n">
        <v>7744</v>
      </c>
      <c r="H57" s="60" t="n">
        <v>7440</v>
      </c>
      <c r="I57" s="69" t="n">
        <f aca="false">IF(H57="","",G57-H57)</f>
        <v>304</v>
      </c>
      <c r="J57" s="40" t="n">
        <f aca="false">IF(OR(D57="",D57+G57=0),"",D57/(D57+G57))</f>
        <v>0.51396472729555</v>
      </c>
      <c r="K57" s="40" t="n">
        <f aca="false">IF(E57="","",E57/(E57+H57))</f>
        <v>0.536014967259121</v>
      </c>
      <c r="L57" s="70" t="n">
        <f aca="false">IF(OR(K57="",J57=""),"",(J57-K57)*100)</f>
        <v>-2.20502399635706</v>
      </c>
      <c r="M57" s="36" t="n">
        <v>2.20874386721077</v>
      </c>
      <c r="N57" s="36" t="n">
        <v>2.59292838795783</v>
      </c>
      <c r="O57" s="36" t="n">
        <f aca="false">SQRT(M57^2+N57^2)</f>
        <v>3.40614548955543</v>
      </c>
      <c r="P57" s="40" t="n">
        <f aca="false">IF(J57="","",MAX(0,J57-1.96*O57/100))</f>
        <v>0.447204275700264</v>
      </c>
      <c r="Q57" s="40" t="n">
        <f aca="false">IF(J57="","",MIN(1,J57+1.96*O57/100))</f>
        <v>0.580725178890837</v>
      </c>
      <c r="R57" s="32" t="str">
        <f aca="false">IF(L57="","",IF(ABS(L57)&lt;=O57,"Yes","No"))</f>
        <v>Yes</v>
      </c>
      <c r="S57" s="32" t="str">
        <f aca="false">IF(L57="","",IF(ABS(L57)&lt;=1.96*O57,"Yes","No"))</f>
        <v>Yes</v>
      </c>
      <c r="T57" s="60" t="n">
        <f aca="false">IF(D57="","",ROUND(SQRT(((D57+G57)*O57/100)^2+(J57*(D57+G57)*0.05464)^2),0))</f>
        <v>703</v>
      </c>
      <c r="U57" s="32"/>
    </row>
    <row r="58" customFormat="false" ht="15" hidden="false" customHeight="false" outlineLevel="0" collapsed="false">
      <c r="A58" s="32" t="s">
        <v>222</v>
      </c>
      <c r="B58" s="32" t="s">
        <v>227</v>
      </c>
      <c r="C58" s="32" t="s">
        <v>164</v>
      </c>
      <c r="D58" s="60" t="n">
        <v>1978</v>
      </c>
      <c r="E58" s="60" t="n">
        <v>2169</v>
      </c>
      <c r="F58" s="69" t="n">
        <f aca="false">IF(E58="","",D58-E58)</f>
        <v>-191</v>
      </c>
      <c r="G58" s="60" t="n">
        <v>3637</v>
      </c>
      <c r="H58" s="60" t="n">
        <v>3459</v>
      </c>
      <c r="I58" s="69" t="n">
        <f aca="false">IF(H58="","",G58-H58)</f>
        <v>178</v>
      </c>
      <c r="J58" s="40" t="n">
        <f aca="false">IF(OR(D58="",D58+G58=0),"",D58/(D58+G58))</f>
        <v>0.352270703472841</v>
      </c>
      <c r="K58" s="40" t="n">
        <f aca="false">IF(E58="","",E58/(E58+H58))</f>
        <v>0.385394456289979</v>
      </c>
      <c r="L58" s="70" t="n">
        <f aca="false">IF(OR(K58="",J58=""),"",(J58-K58)*100)</f>
        <v>-3.31237528171381</v>
      </c>
      <c r="M58" s="36" t="n">
        <v>2.20874386721077</v>
      </c>
      <c r="N58" s="36" t="n">
        <v>2.59292838795783</v>
      </c>
      <c r="O58" s="36" t="n">
        <f aca="false">SQRT(M58^2+N58^2)</f>
        <v>3.40614548955543</v>
      </c>
      <c r="P58" s="40" t="n">
        <f aca="false">IF(J58="","",MAX(0,J58-1.96*O58/100))</f>
        <v>0.285510251877554</v>
      </c>
      <c r="Q58" s="40" t="n">
        <f aca="false">IF(J58="","",MIN(1,J58+1.96*O58/100))</f>
        <v>0.419031155068127</v>
      </c>
      <c r="R58" s="32" t="str">
        <f aca="false">IF(L58="","",IF(ABS(L58)&lt;=O58,"Yes","No"))</f>
        <v>Yes</v>
      </c>
      <c r="S58" s="32" t="str">
        <f aca="false">IF(L58="","",IF(ABS(L58)&lt;=1.96*O58,"Yes","No"))</f>
        <v>Yes</v>
      </c>
      <c r="T58" s="60" t="n">
        <f aca="false">IF(D58="","",ROUND(SQRT(((D58+G58)*O58/100)^2+(J58*(D58+G58)*0.05464)^2),0))</f>
        <v>220</v>
      </c>
      <c r="U58" s="32"/>
    </row>
    <row r="59" customFormat="false" ht="15" hidden="false" customHeight="false" outlineLevel="0" collapsed="false">
      <c r="A59" s="32" t="s">
        <v>222</v>
      </c>
      <c r="B59" s="32" t="s">
        <v>228</v>
      </c>
      <c r="C59" s="32" t="s">
        <v>164</v>
      </c>
      <c r="D59" s="60" t="n">
        <v>41</v>
      </c>
      <c r="E59" s="60" t="n">
        <v>40</v>
      </c>
      <c r="F59" s="69" t="n">
        <f aca="false">IF(E59="","",D59-E59)</f>
        <v>1</v>
      </c>
      <c r="G59" s="60" t="n">
        <v>80</v>
      </c>
      <c r="H59" s="60" t="n">
        <v>83</v>
      </c>
      <c r="I59" s="69" t="n">
        <f aca="false">IF(H59="","",G59-H59)</f>
        <v>-3</v>
      </c>
      <c r="J59" s="40" t="n">
        <f aca="false">IF(OR(D59="",D59+G59=0),"",D59/(D59+G59))</f>
        <v>0.338842975206612</v>
      </c>
      <c r="K59" s="40" t="n">
        <f aca="false">IF(E59="","",E59/(E59+H59))</f>
        <v>0.32520325203252</v>
      </c>
      <c r="L59" s="70" t="n">
        <f aca="false">IF(OR(K59="",J59=""),"",(J59-K59)*100)</f>
        <v>1.36397231740912</v>
      </c>
      <c r="M59" s="36" t="n">
        <v>3.75884140229675</v>
      </c>
      <c r="N59" s="36" t="n">
        <v>2.59292838795783</v>
      </c>
      <c r="O59" s="36" t="n">
        <f aca="false">SQRT(M59^2+N59^2)</f>
        <v>4.56641722937116</v>
      </c>
      <c r="P59" s="40" t="n">
        <f aca="false">IF(J59="","",MAX(0,J59-1.96*O59/100))</f>
        <v>0.249341197510937</v>
      </c>
      <c r="Q59" s="40" t="n">
        <f aca="false">IF(J59="","",MIN(1,J59+1.96*O59/100))</f>
        <v>0.428344752902286</v>
      </c>
      <c r="R59" s="32" t="str">
        <f aca="false">IF(L59="","",IF(ABS(L59)&lt;=O59,"Yes","No"))</f>
        <v>Yes</v>
      </c>
      <c r="S59" s="32" t="str">
        <f aca="false">IF(L59="","",IF(ABS(L59)&lt;=1.96*O59,"Yes","No"))</f>
        <v>Yes</v>
      </c>
      <c r="T59" s="60" t="n">
        <f aca="false">IF(D59="","",ROUND(SQRT(((D59+G59)*O59/100)^2+(J59*(D59+G59)*0.07859)^2),0))</f>
        <v>6</v>
      </c>
      <c r="U59" s="32"/>
    </row>
    <row r="60" customFormat="false" ht="15" hidden="false" customHeight="false" outlineLevel="0" collapsed="false">
      <c r="A60" s="32" t="s">
        <v>222</v>
      </c>
      <c r="B60" s="32" t="s">
        <v>229</v>
      </c>
      <c r="C60" s="32" t="s">
        <v>164</v>
      </c>
      <c r="D60" s="60" t="n">
        <v>1390</v>
      </c>
      <c r="E60" s="60" t="n">
        <v>1484</v>
      </c>
      <c r="F60" s="69" t="n">
        <f aca="false">IF(E60="","",D60-E60)</f>
        <v>-94</v>
      </c>
      <c r="G60" s="60" t="n">
        <v>1979</v>
      </c>
      <c r="H60" s="60" t="n">
        <v>1959</v>
      </c>
      <c r="I60" s="69" t="n">
        <f aca="false">IF(H60="","",G60-H60)</f>
        <v>20</v>
      </c>
      <c r="J60" s="40" t="n">
        <f aca="false">IF(OR(D60="",D60+G60=0),"",D60/(D60+G60))</f>
        <v>0.412585336895221</v>
      </c>
      <c r="K60" s="40" t="n">
        <f aca="false">IF(E60="","",E60/(E60+H60))</f>
        <v>0.431019459773453</v>
      </c>
      <c r="L60" s="70" t="n">
        <f aca="false">IF(OR(K60="",J60=""),"",(J60-K60)*100)</f>
        <v>-1.84341228782323</v>
      </c>
      <c r="M60" s="36" t="n">
        <v>2.24971735258761</v>
      </c>
      <c r="N60" s="36" t="n">
        <v>2.59292838795783</v>
      </c>
      <c r="O60" s="36" t="n">
        <f aca="false">SQRT(M60^2+N60^2)</f>
        <v>3.43285679742272</v>
      </c>
      <c r="P60" s="40" t="n">
        <f aca="false">IF(J60="","",MAX(0,J60-1.96*O60/100))</f>
        <v>0.345301343665736</v>
      </c>
      <c r="Q60" s="40" t="n">
        <f aca="false">IF(J60="","",MIN(1,J60+1.96*O60/100))</f>
        <v>0.479869330124707</v>
      </c>
      <c r="R60" s="32" t="str">
        <f aca="false">IF(L60="","",IF(ABS(L60)&lt;=O60,"Yes","No"))</f>
        <v>Yes</v>
      </c>
      <c r="S60" s="32" t="str">
        <f aca="false">IF(L60="","",IF(ABS(L60)&lt;=1.96*O60,"Yes","No"))</f>
        <v>Yes</v>
      </c>
      <c r="T60" s="60" t="n">
        <f aca="false">IF(D60="","",ROUND(SQRT(((D60+G60)*O60/100)^2+(J60*(D60+G60)*0.06092)^2),0))</f>
        <v>143</v>
      </c>
      <c r="U60" s="32"/>
    </row>
    <row r="61" customFormat="false" ht="15" hidden="false" customHeight="false" outlineLevel="0" collapsed="false">
      <c r="A61" s="32" t="s">
        <v>222</v>
      </c>
      <c r="B61" s="32" t="s">
        <v>230</v>
      </c>
      <c r="C61" s="32" t="s">
        <v>164</v>
      </c>
      <c r="D61" s="60" t="n">
        <v>177</v>
      </c>
      <c r="E61" s="60" t="n">
        <v>217</v>
      </c>
      <c r="F61" s="69" t="n">
        <f aca="false">IF(E61="","",D61-E61)</f>
        <v>-40</v>
      </c>
      <c r="G61" s="60" t="n">
        <v>334</v>
      </c>
      <c r="H61" s="60" t="n">
        <v>309</v>
      </c>
      <c r="I61" s="69" t="n">
        <f aca="false">IF(H61="","",G61-H61)</f>
        <v>25</v>
      </c>
      <c r="J61" s="40" t="n">
        <f aca="false">IF(OR(D61="",D61+G61=0),"",D61/(D61+G61))</f>
        <v>0.346379647749511</v>
      </c>
      <c r="K61" s="40" t="n">
        <f aca="false">IF(E61="","",E61/(E61+H61))</f>
        <v>0.41254752851711</v>
      </c>
      <c r="L61" s="70" t="n">
        <f aca="false">IF(OR(K61="",J61=""),"",(J61-K61)*100)</f>
        <v>-6.61678807675995</v>
      </c>
      <c r="M61" s="36" t="n">
        <v>3.75884140229675</v>
      </c>
      <c r="N61" s="36" t="n">
        <v>2.59292838795783</v>
      </c>
      <c r="O61" s="36" t="n">
        <f aca="false">SQRT(M61^2+N61^2)</f>
        <v>4.56641722937116</v>
      </c>
      <c r="P61" s="40" t="n">
        <f aca="false">IF(J61="","",MAX(0,J61-1.96*O61/100))</f>
        <v>0.256877870053836</v>
      </c>
      <c r="Q61" s="40" t="n">
        <f aca="false">IF(J61="","",MIN(1,J61+1.96*O61/100))</f>
        <v>0.435881425445186</v>
      </c>
      <c r="R61" s="32" t="str">
        <f aca="false">IF(L61="","",IF(ABS(L61)&lt;=O61,"Yes","No"))</f>
        <v>No</v>
      </c>
      <c r="S61" s="32" t="str">
        <f aca="false">IF(L61="","",IF(ABS(L61)&lt;=1.96*O61,"Yes","No"))</f>
        <v>Yes</v>
      </c>
      <c r="T61" s="60" t="n">
        <f aca="false">IF(D61="","",ROUND(SQRT(((D61+G61)*O61/100)^2+(J61*(D61+G61)*0.07859)^2),0))</f>
        <v>27</v>
      </c>
      <c r="U61" s="32"/>
    </row>
    <row r="62" customFormat="false" ht="15" hidden="false" customHeight="false" outlineLevel="0" collapsed="false">
      <c r="A62" s="32" t="s">
        <v>222</v>
      </c>
      <c r="B62" s="32" t="s">
        <v>231</v>
      </c>
      <c r="C62" s="32" t="s">
        <v>164</v>
      </c>
      <c r="D62" s="60" t="n">
        <v>7446</v>
      </c>
      <c r="E62" s="60" t="n">
        <v>7604</v>
      </c>
      <c r="F62" s="69" t="n">
        <f aca="false">IF(E62="","",D62-E62)</f>
        <v>-158</v>
      </c>
      <c r="G62" s="60" t="n">
        <v>3085</v>
      </c>
      <c r="H62" s="60" t="n">
        <v>3303</v>
      </c>
      <c r="I62" s="69" t="n">
        <f aca="false">IF(H62="","",G62-H62)</f>
        <v>-218</v>
      </c>
      <c r="J62" s="40" t="n">
        <f aca="false">IF(OR(D62="",D62+G62=0),"",D62/(D62+G62))</f>
        <v>0.707055360364638</v>
      </c>
      <c r="K62" s="40" t="n">
        <f aca="false">IF(E62="","",E62/(E62+H62))</f>
        <v>0.697166957000092</v>
      </c>
      <c r="L62" s="70" t="n">
        <f aca="false">IF(OR(K62="",J62=""),"",(J62-K62)*100)</f>
        <v>0.988840336454611</v>
      </c>
      <c r="M62" s="36" t="n">
        <v>2.20874386721077</v>
      </c>
      <c r="N62" s="36" t="n">
        <v>2.59292838795783</v>
      </c>
      <c r="O62" s="36" t="n">
        <f aca="false">SQRT(M62^2+N62^2)</f>
        <v>3.40614548955543</v>
      </c>
      <c r="P62" s="40" t="n">
        <f aca="false">IF(J62="","",MAX(0,J62-1.96*O62/100))</f>
        <v>0.640294908769351</v>
      </c>
      <c r="Q62" s="40" t="n">
        <f aca="false">IF(J62="","",MIN(1,J62+1.96*O62/100))</f>
        <v>0.773815811959924</v>
      </c>
      <c r="R62" s="32" t="str">
        <f aca="false">IF(L62="","",IF(ABS(L62)&lt;=O62,"Yes","No"))</f>
        <v>Yes</v>
      </c>
      <c r="S62" s="32" t="str">
        <f aca="false">IF(L62="","",IF(ABS(L62)&lt;=1.96*O62,"Yes","No"))</f>
        <v>Yes</v>
      </c>
      <c r="T62" s="60" t="n">
        <f aca="false">IF(D62="","",ROUND(SQRT(((D62+G62)*O62/100)^2+(J62*(D62+G62)*0.05464)^2),0))</f>
        <v>542</v>
      </c>
      <c r="U62" s="32"/>
    </row>
    <row r="63" customFormat="false" ht="15" hidden="false" customHeight="false" outlineLevel="0" collapsed="false">
      <c r="A63" s="32" t="s">
        <v>222</v>
      </c>
      <c r="B63" s="32" t="s">
        <v>232</v>
      </c>
      <c r="C63" s="32" t="s">
        <v>164</v>
      </c>
      <c r="D63" s="60" t="n">
        <v>5267</v>
      </c>
      <c r="E63" s="60" t="n">
        <v>5358</v>
      </c>
      <c r="F63" s="69" t="n">
        <f aca="false">IF(E63="","",D63-E63)</f>
        <v>-91</v>
      </c>
      <c r="G63" s="60" t="n">
        <v>5012</v>
      </c>
      <c r="H63" s="60" t="n">
        <v>5027</v>
      </c>
      <c r="I63" s="69" t="n">
        <f aca="false">IF(H63="","",G63-H63)</f>
        <v>-15</v>
      </c>
      <c r="J63" s="40" t="n">
        <f aca="false">IF(OR(D63="",D63+G63=0),"",D63/(D63+G63))</f>
        <v>0.512403930343419</v>
      </c>
      <c r="K63" s="40" t="n">
        <f aca="false">IF(E63="","",E63/(E63+H63))</f>
        <v>0.515936446798267</v>
      </c>
      <c r="L63" s="70" t="n">
        <f aca="false">IF(OR(K63="",J63=""),"",(J63-K63)*100)</f>
        <v>-0.35325164548482</v>
      </c>
      <c r="M63" s="36" t="n">
        <v>2.20874386721077</v>
      </c>
      <c r="N63" s="36" t="n">
        <v>2.59292838795783</v>
      </c>
      <c r="O63" s="36" t="n">
        <f aca="false">SQRT(M63^2+N63^2)</f>
        <v>3.40614548955543</v>
      </c>
      <c r="P63" s="40" t="n">
        <f aca="false">IF(J63="","",MAX(0,J63-1.96*O63/100))</f>
        <v>0.445643478748132</v>
      </c>
      <c r="Q63" s="40" t="n">
        <f aca="false">IF(J63="","",MIN(1,J63+1.96*O63/100))</f>
        <v>0.579164381938705</v>
      </c>
      <c r="R63" s="32" t="str">
        <f aca="false">IF(L63="","",IF(ABS(L63)&lt;=O63,"Yes","No"))</f>
        <v>Yes</v>
      </c>
      <c r="S63" s="32" t="str">
        <f aca="false">IF(L63="","",IF(ABS(L63)&lt;=1.96*O63,"Yes","No"))</f>
        <v>Yes</v>
      </c>
      <c r="T63" s="60" t="n">
        <f aca="false">IF(D63="","",ROUND(SQRT(((D63+G63)*O63/100)^2+(J63*(D63+G63)*0.05464)^2),0))</f>
        <v>453</v>
      </c>
      <c r="U63" s="32"/>
    </row>
    <row r="64" customFormat="false" ht="15" hidden="false" customHeight="false" outlineLevel="0" collapsed="false">
      <c r="A64" s="32" t="s">
        <v>222</v>
      </c>
      <c r="B64" s="32" t="s">
        <v>233</v>
      </c>
      <c r="C64" s="32" t="s">
        <v>164</v>
      </c>
      <c r="D64" s="60" t="n">
        <v>742</v>
      </c>
      <c r="E64" s="60" t="n">
        <v>714</v>
      </c>
      <c r="F64" s="69" t="n">
        <f aca="false">IF(E64="","",D64-E64)</f>
        <v>28</v>
      </c>
      <c r="G64" s="60" t="n">
        <v>523</v>
      </c>
      <c r="H64" s="60" t="n">
        <v>484</v>
      </c>
      <c r="I64" s="69" t="n">
        <f aca="false">IF(H64="","",G64-H64)</f>
        <v>39</v>
      </c>
      <c r="J64" s="40" t="n">
        <f aca="false">IF(OR(D64="",D64+G64=0),"",D64/(D64+G64))</f>
        <v>0.586561264822134</v>
      </c>
      <c r="K64" s="40" t="n">
        <f aca="false">IF(E64="","",E64/(E64+H64))</f>
        <v>0.595993322203673</v>
      </c>
      <c r="L64" s="70" t="n">
        <f aca="false">IF(OR(K64="",J64=""),"",(J64-K64)*100)</f>
        <v>-0.94320573815383</v>
      </c>
      <c r="M64" s="36" t="n">
        <v>3.75884140229675</v>
      </c>
      <c r="N64" s="36" t="n">
        <v>2.59292838795783</v>
      </c>
      <c r="O64" s="36" t="n">
        <f aca="false">SQRT(M64^2+N64^2)</f>
        <v>4.56641722937116</v>
      </c>
      <c r="P64" s="40" t="n">
        <f aca="false">IF(J64="","",MAX(0,J64-1.96*O64/100))</f>
        <v>0.49705948712646</v>
      </c>
      <c r="Q64" s="40" t="n">
        <f aca="false">IF(J64="","",MIN(1,J64+1.96*O64/100))</f>
        <v>0.676063042517809</v>
      </c>
      <c r="R64" s="32" t="str">
        <f aca="false">IF(L64="","",IF(ABS(L64)&lt;=O64,"Yes","No"))</f>
        <v>Yes</v>
      </c>
      <c r="S64" s="32" t="str">
        <f aca="false">IF(L64="","",IF(ABS(L64)&lt;=1.96*O64,"Yes","No"))</f>
        <v>Yes</v>
      </c>
      <c r="T64" s="60" t="n">
        <f aca="false">IF(D64="","",ROUND(SQRT(((D64+G64)*O64/100)^2+(J64*(D64+G64)*0.07859)^2),0))</f>
        <v>82</v>
      </c>
      <c r="U64" s="32"/>
    </row>
    <row r="65" customFormat="false" ht="15" hidden="false" customHeight="false" outlineLevel="0" collapsed="false">
      <c r="A65" s="32" t="s">
        <v>222</v>
      </c>
      <c r="B65" s="32" t="s">
        <v>234</v>
      </c>
      <c r="C65" s="32" t="s">
        <v>164</v>
      </c>
      <c r="D65" s="60" t="n">
        <v>102</v>
      </c>
      <c r="E65" s="60" t="n">
        <v>109</v>
      </c>
      <c r="F65" s="69" t="n">
        <f aca="false">IF(E65="","",D65-E65)</f>
        <v>-7</v>
      </c>
      <c r="G65" s="60" t="n">
        <v>103</v>
      </c>
      <c r="H65" s="60" t="n">
        <v>97</v>
      </c>
      <c r="I65" s="69" t="n">
        <f aca="false">IF(H65="","",G65-H65)</f>
        <v>6</v>
      </c>
      <c r="J65" s="40" t="n">
        <f aca="false">IF(OR(D65="",D65+G65=0),"",D65/(D65+G65))</f>
        <v>0.497560975609756</v>
      </c>
      <c r="K65" s="40" t="n">
        <f aca="false">IF(E65="","",E65/(E65+H65))</f>
        <v>0.529126213592233</v>
      </c>
      <c r="L65" s="70" t="n">
        <f aca="false">IF(OR(K65="",J65=""),"",(J65-K65)*100)</f>
        <v>-3.15652379824769</v>
      </c>
      <c r="M65" s="36" t="n">
        <v>3.75884140229675</v>
      </c>
      <c r="N65" s="36" t="n">
        <v>2.59292838795783</v>
      </c>
      <c r="O65" s="36" t="n">
        <f aca="false">SQRT(M65^2+N65^2)</f>
        <v>4.56641722937116</v>
      </c>
      <c r="P65" s="40" t="n">
        <f aca="false">IF(J65="","",MAX(0,J65-1.96*O65/100))</f>
        <v>0.408059197914081</v>
      </c>
      <c r="Q65" s="40" t="n">
        <f aca="false">IF(J65="","",MIN(1,J65+1.96*O65/100))</f>
        <v>0.587062753305431</v>
      </c>
      <c r="R65" s="32" t="str">
        <f aca="false">IF(L65="","",IF(ABS(L65)&lt;=O65,"Yes","No"))</f>
        <v>Yes</v>
      </c>
      <c r="S65" s="32" t="str">
        <f aca="false">IF(L65="","",IF(ABS(L65)&lt;=1.96*O65,"Yes","No"))</f>
        <v>Yes</v>
      </c>
      <c r="T65" s="60" t="n">
        <f aca="false">IF(D65="","",ROUND(SQRT(((D65+G65)*O65/100)^2+(J65*(D65+G65)*0.07859)^2),0))</f>
        <v>12</v>
      </c>
      <c r="U65" s="32"/>
    </row>
    <row r="66" customFormat="false" ht="15" hidden="false" customHeight="false" outlineLevel="0" collapsed="false">
      <c r="A66" s="32" t="s">
        <v>222</v>
      </c>
      <c r="B66" s="32" t="s">
        <v>201</v>
      </c>
      <c r="C66" s="32" t="s">
        <v>164</v>
      </c>
      <c r="D66" s="60" t="n">
        <v>4178</v>
      </c>
      <c r="E66" s="60" t="n">
        <v>4341</v>
      </c>
      <c r="F66" s="69" t="n">
        <f aca="false">IF(E66="","",D66-E66)</f>
        <v>-163</v>
      </c>
      <c r="G66" s="60" t="n">
        <v>3771</v>
      </c>
      <c r="H66" s="60" t="n">
        <v>3620</v>
      </c>
      <c r="I66" s="69" t="n">
        <f aca="false">IF(H66="","",G66-H66)</f>
        <v>151</v>
      </c>
      <c r="J66" s="40" t="n">
        <f aca="false">IF(OR(D66="",D66+G66=0),"",D66/(D66+G66))</f>
        <v>0.525600704491131</v>
      </c>
      <c r="K66" s="40" t="n">
        <f aca="false">IF(E66="","",E66/(E66+H66))</f>
        <v>0.545283255872378</v>
      </c>
      <c r="L66" s="70" t="n">
        <f aca="false">IF(OR(K66="",J66=""),"",(J66-K66)*100)</f>
        <v>-1.96825513812469</v>
      </c>
      <c r="M66" s="36" t="n">
        <v>2.20874386721077</v>
      </c>
      <c r="N66" s="36" t="n">
        <v>2.59292838795783</v>
      </c>
      <c r="O66" s="36" t="n">
        <f aca="false">SQRT(M66^2+N66^2)</f>
        <v>3.40614548955543</v>
      </c>
      <c r="P66" s="40" t="n">
        <f aca="false">IF(J66="","",MAX(0,J66-1.96*O66/100))</f>
        <v>0.458840252895845</v>
      </c>
      <c r="Q66" s="40" t="n">
        <f aca="false">IF(J66="","",MIN(1,J66+1.96*O66/100))</f>
        <v>0.592361156086417</v>
      </c>
      <c r="R66" s="32" t="str">
        <f aca="false">IF(L66="","",IF(ABS(L66)&lt;=O66,"Yes","No"))</f>
        <v>Yes</v>
      </c>
      <c r="S66" s="32" t="str">
        <f aca="false">IF(L66="","",IF(ABS(L66)&lt;=1.96*O66,"Yes","No"))</f>
        <v>Yes</v>
      </c>
      <c r="T66" s="60" t="n">
        <f aca="false">IF(D66="","",ROUND(SQRT(((D66+G66)*O66/100)^2+(J66*(D66+G66)*0.05464)^2),0))</f>
        <v>354</v>
      </c>
      <c r="U66" s="32"/>
    </row>
    <row r="67" customFormat="false" ht="15" hidden="false" customHeight="false" outlineLevel="0" collapsed="false">
      <c r="A67" s="32" t="s">
        <v>222</v>
      </c>
      <c r="B67" s="32" t="s">
        <v>235</v>
      </c>
      <c r="C67" s="32" t="s">
        <v>164</v>
      </c>
      <c r="D67" s="60" t="n">
        <v>1713</v>
      </c>
      <c r="E67" s="60" t="n">
        <v>1726</v>
      </c>
      <c r="F67" s="69" t="n">
        <f aca="false">IF(E67="","",D67-E67)</f>
        <v>-13</v>
      </c>
      <c r="G67" s="60" t="n">
        <v>1646</v>
      </c>
      <c r="H67" s="60" t="n">
        <v>1685</v>
      </c>
      <c r="I67" s="69" t="n">
        <f aca="false">IF(H67="","",G67-H67)</f>
        <v>-39</v>
      </c>
      <c r="J67" s="40" t="n">
        <f aca="false">IF(OR(D67="",D67+G67=0),"",D67/(D67+G67))</f>
        <v>0.509973206311402</v>
      </c>
      <c r="K67" s="40" t="n">
        <f aca="false">IF(E67="","",E67/(E67+H67))</f>
        <v>0.506009967751393</v>
      </c>
      <c r="L67" s="70" t="n">
        <f aca="false">IF(OR(K67="",J67=""),"",(J67-K67)*100)</f>
        <v>0.396323856000969</v>
      </c>
      <c r="M67" s="36" t="n">
        <v>2.24971735258761</v>
      </c>
      <c r="N67" s="36" t="n">
        <v>2.59292838795783</v>
      </c>
      <c r="O67" s="36" t="n">
        <f aca="false">SQRT(M67^2+N67^2)</f>
        <v>3.43285679742272</v>
      </c>
      <c r="P67" s="40" t="n">
        <f aca="false">IF(J67="","",MAX(0,J67-1.96*O67/100))</f>
        <v>0.442689213081917</v>
      </c>
      <c r="Q67" s="40" t="n">
        <f aca="false">IF(J67="","",MIN(1,J67+1.96*O67/100))</f>
        <v>0.577257199540888</v>
      </c>
      <c r="R67" s="32" t="str">
        <f aca="false">IF(L67="","",IF(ABS(L67)&lt;=O67,"Yes","No"))</f>
        <v>Yes</v>
      </c>
      <c r="S67" s="32" t="str">
        <f aca="false">IF(L67="","",IF(ABS(L67)&lt;=1.96*O67,"Yes","No"))</f>
        <v>Yes</v>
      </c>
      <c r="T67" s="60" t="n">
        <f aca="false">IF(D67="","",ROUND(SQRT(((D67+G67)*O67/100)^2+(J67*(D67+G67)*0.06092)^2),0))</f>
        <v>156</v>
      </c>
      <c r="U67" s="32"/>
    </row>
    <row r="68" customFormat="false" ht="15" hidden="false" customHeight="false" outlineLevel="0" collapsed="false">
      <c r="A68" s="32" t="s">
        <v>222</v>
      </c>
      <c r="B68" s="32" t="s">
        <v>236</v>
      </c>
      <c r="C68" s="32" t="s">
        <v>164</v>
      </c>
      <c r="D68" s="60" t="n">
        <v>2111</v>
      </c>
      <c r="E68" s="60" t="n">
        <v>2244</v>
      </c>
      <c r="F68" s="69" t="n">
        <f aca="false">IF(E68="","",D68-E68)</f>
        <v>-133</v>
      </c>
      <c r="G68" s="60" t="n">
        <v>4538</v>
      </c>
      <c r="H68" s="60" t="n">
        <v>4439</v>
      </c>
      <c r="I68" s="69" t="n">
        <f aca="false">IF(H68="","",G68-H68)</f>
        <v>99</v>
      </c>
      <c r="J68" s="40" t="n">
        <f aca="false">IF(OR(D68="",D68+G68=0),"",D68/(D68+G68))</f>
        <v>0.31749135208302</v>
      </c>
      <c r="K68" s="40" t="n">
        <f aca="false">IF(E68="","",E68/(E68+H68))</f>
        <v>0.335777345503516</v>
      </c>
      <c r="L68" s="70" t="n">
        <f aca="false">IF(OR(K68="",J68=""),"",(J68-K68)*100)</f>
        <v>-1.82859934204964</v>
      </c>
      <c r="M68" s="36" t="n">
        <v>2.20874386721077</v>
      </c>
      <c r="N68" s="36" t="n">
        <v>2.59292838795783</v>
      </c>
      <c r="O68" s="36" t="n">
        <f aca="false">SQRT(M68^2+N68^2)</f>
        <v>3.40614548955543</v>
      </c>
      <c r="P68" s="40" t="n">
        <f aca="false">IF(J68="","",MAX(0,J68-1.96*O68/100))</f>
        <v>0.250730900487734</v>
      </c>
      <c r="Q68" s="40" t="n">
        <f aca="false">IF(J68="","",MIN(1,J68+1.96*O68/100))</f>
        <v>0.384251803678306</v>
      </c>
      <c r="R68" s="32" t="str">
        <f aca="false">IF(L68="","",IF(ABS(L68)&lt;=O68,"Yes","No"))</f>
        <v>Yes</v>
      </c>
      <c r="S68" s="32" t="str">
        <f aca="false">IF(L68="","",IF(ABS(L68)&lt;=1.96*O68,"Yes","No"))</f>
        <v>Yes</v>
      </c>
      <c r="T68" s="60" t="n">
        <f aca="false">IF(D68="","",ROUND(SQRT(((D68+G68)*O68/100)^2+(J68*(D68+G68)*0.05464)^2),0))</f>
        <v>254</v>
      </c>
      <c r="U68" s="32"/>
    </row>
    <row r="69" customFormat="false" ht="15" hidden="false" customHeight="false" outlineLevel="0" collapsed="false">
      <c r="A69" s="32" t="s">
        <v>222</v>
      </c>
      <c r="B69" s="32" t="s">
        <v>237</v>
      </c>
      <c r="C69" s="32" t="s">
        <v>164</v>
      </c>
      <c r="D69" s="60" t="n">
        <v>563</v>
      </c>
      <c r="E69" s="60" t="n">
        <v>625</v>
      </c>
      <c r="F69" s="69" t="n">
        <f aca="false">IF(E69="","",D69-E69)</f>
        <v>-62</v>
      </c>
      <c r="G69" s="60" t="n">
        <v>1228</v>
      </c>
      <c r="H69" s="60" t="n">
        <v>1214</v>
      </c>
      <c r="I69" s="69" t="n">
        <f aca="false">IF(H69="","",G69-H69)</f>
        <v>14</v>
      </c>
      <c r="J69" s="40" t="n">
        <f aca="false">IF(OR(D69="",D69+G69=0),"",D69/(D69+G69))</f>
        <v>0.314349525404802</v>
      </c>
      <c r="K69" s="40" t="n">
        <f aca="false">IF(E69="","",E69/(E69+H69))</f>
        <v>0.339858618814573</v>
      </c>
      <c r="L69" s="70" t="n">
        <f aca="false">IF(OR(K69="",J69=""),"",(J69-K69)*100)</f>
        <v>-2.55090934097714</v>
      </c>
      <c r="M69" s="36" t="n">
        <v>2.24971735258761</v>
      </c>
      <c r="N69" s="36" t="n">
        <v>2.59292838795783</v>
      </c>
      <c r="O69" s="36" t="n">
        <f aca="false">SQRT(M69^2+N69^2)</f>
        <v>3.43285679742272</v>
      </c>
      <c r="P69" s="40" t="n">
        <f aca="false">IF(J69="","",MAX(0,J69-1.96*O69/100))</f>
        <v>0.247065532175316</v>
      </c>
      <c r="Q69" s="40" t="n">
        <f aca="false">IF(J69="","",MIN(1,J69+1.96*O69/100))</f>
        <v>0.381633518634287</v>
      </c>
      <c r="R69" s="32" t="str">
        <f aca="false">IF(L69="","",IF(ABS(L69)&lt;=O69,"Yes","No"))</f>
        <v>Yes</v>
      </c>
      <c r="S69" s="32" t="str">
        <f aca="false">IF(L69="","",IF(ABS(L69)&lt;=1.96*O69,"Yes","No"))</f>
        <v>Yes</v>
      </c>
      <c r="T69" s="60" t="n">
        <f aca="false">IF(D69="","",ROUND(SQRT(((D69+G69)*O69/100)^2+(J69*(D69+G69)*0.06092)^2),0))</f>
        <v>70</v>
      </c>
      <c r="U69" s="32"/>
    </row>
    <row r="70" customFormat="false" ht="15" hidden="false" customHeight="false" outlineLevel="0" collapsed="false">
      <c r="A70" s="32" t="s">
        <v>222</v>
      </c>
      <c r="B70" s="32" t="s">
        <v>238</v>
      </c>
      <c r="C70" s="32" t="s">
        <v>164</v>
      </c>
      <c r="D70" s="60" t="n">
        <v>1867</v>
      </c>
      <c r="E70" s="60" t="n">
        <v>2047</v>
      </c>
      <c r="F70" s="69" t="n">
        <f aca="false">IF(E70="","",D70-E70)</f>
        <v>-180</v>
      </c>
      <c r="G70" s="60" t="n">
        <v>2688</v>
      </c>
      <c r="H70" s="60" t="n">
        <v>2499</v>
      </c>
      <c r="I70" s="69" t="n">
        <f aca="false">IF(H70="","",G70-H70)</f>
        <v>189</v>
      </c>
      <c r="J70" s="40" t="n">
        <f aca="false">IF(OR(D70="",D70+G70=0),"",D70/(D70+G70))</f>
        <v>0.409879253567508</v>
      </c>
      <c r="K70" s="40" t="n">
        <f aca="false">IF(E70="","",E70/(E70+H70))</f>
        <v>0.450285965684118</v>
      </c>
      <c r="L70" s="70" t="n">
        <f aca="false">IF(OR(K70="",J70=""),"",(J70-K70)*100)</f>
        <v>-4.04067121166097</v>
      </c>
      <c r="M70" s="36" t="n">
        <v>2.20874386721077</v>
      </c>
      <c r="N70" s="36" t="n">
        <v>2.59292838795783</v>
      </c>
      <c r="O70" s="36" t="n">
        <f aca="false">SQRT(M70^2+N70^2)</f>
        <v>3.40614548955543</v>
      </c>
      <c r="P70" s="40" t="n">
        <f aca="false">IF(J70="","",MAX(0,J70-1.96*O70/100))</f>
        <v>0.343118801972222</v>
      </c>
      <c r="Q70" s="40" t="n">
        <f aca="false">IF(J70="","",MIN(1,J70+1.96*O70/100))</f>
        <v>0.476639705162795</v>
      </c>
      <c r="R70" s="32" t="str">
        <f aca="false">IF(L70="","",IF(ABS(L70)&lt;=O70,"Yes","No"))</f>
        <v>No</v>
      </c>
      <c r="S70" s="32" t="str">
        <f aca="false">IF(L70="","",IF(ABS(L70)&lt;=1.96*O70,"Yes","No"))</f>
        <v>Yes</v>
      </c>
      <c r="T70" s="60" t="n">
        <f aca="false">IF(D70="","",ROUND(SQRT(((D70+G70)*O70/100)^2+(J70*(D70+G70)*0.05464)^2),0))</f>
        <v>186</v>
      </c>
      <c r="U70" s="32"/>
    </row>
    <row r="71" customFormat="false" ht="15" hidden="false" customHeight="false" outlineLevel="0" collapsed="false">
      <c r="A71" s="32" t="s">
        <v>222</v>
      </c>
      <c r="B71" s="32" t="s">
        <v>239</v>
      </c>
      <c r="C71" s="32" t="s">
        <v>164</v>
      </c>
      <c r="D71" s="60" t="n">
        <v>3393</v>
      </c>
      <c r="E71" s="60" t="n">
        <v>3457</v>
      </c>
      <c r="F71" s="69" t="n">
        <f aca="false">IF(E71="","",D71-E71)</f>
        <v>-64</v>
      </c>
      <c r="G71" s="60" t="n">
        <v>3830</v>
      </c>
      <c r="H71" s="60" t="n">
        <v>3805</v>
      </c>
      <c r="I71" s="69" t="n">
        <f aca="false">IF(H71="","",G71-H71)</f>
        <v>25</v>
      </c>
      <c r="J71" s="40" t="n">
        <f aca="false">IF(OR(D71="",D71+G71=0),"",D71/(D71+G71))</f>
        <v>0.469749411601828</v>
      </c>
      <c r="K71" s="40" t="n">
        <f aca="false">IF(E71="","",E71/(E71+H71))</f>
        <v>0.476039658496282</v>
      </c>
      <c r="L71" s="70" t="n">
        <f aca="false">IF(OR(K71="",J71=""),"",(J71-K71)*100)</f>
        <v>-0.629024689445451</v>
      </c>
      <c r="M71" s="36" t="n">
        <v>2.20874386721077</v>
      </c>
      <c r="N71" s="36" t="n">
        <v>2.59292838795783</v>
      </c>
      <c r="O71" s="36" t="n">
        <f aca="false">SQRT(M71^2+N71^2)</f>
        <v>3.40614548955543</v>
      </c>
      <c r="P71" s="40" t="n">
        <f aca="false">IF(J71="","",MAX(0,J71-1.96*O71/100))</f>
        <v>0.402988960006541</v>
      </c>
      <c r="Q71" s="40" t="n">
        <f aca="false">IF(J71="","",MIN(1,J71+1.96*O71/100))</f>
        <v>0.536509863197114</v>
      </c>
      <c r="R71" s="32" t="str">
        <f aca="false">IF(L71="","",IF(ABS(L71)&lt;=O71,"Yes","No"))</f>
        <v>Yes</v>
      </c>
      <c r="S71" s="32" t="str">
        <f aca="false">IF(L71="","",IF(ABS(L71)&lt;=1.96*O71,"Yes","No"))</f>
        <v>Yes</v>
      </c>
      <c r="T71" s="60" t="n">
        <f aca="false">IF(D71="","",ROUND(SQRT(((D71+G71)*O71/100)^2+(J71*(D71+G71)*0.05464)^2),0))</f>
        <v>308</v>
      </c>
      <c r="U71" s="32"/>
    </row>
    <row r="72" customFormat="false" ht="15" hidden="false" customHeight="false" outlineLevel="0" collapsed="false">
      <c r="A72" s="32" t="s">
        <v>222</v>
      </c>
      <c r="B72" s="32" t="s">
        <v>240</v>
      </c>
      <c r="C72" s="32" t="s">
        <v>164</v>
      </c>
      <c r="D72" s="60" t="n">
        <v>1839</v>
      </c>
      <c r="E72" s="60" t="n">
        <v>2006</v>
      </c>
      <c r="F72" s="69" t="n">
        <f aca="false">IF(E72="","",D72-E72)</f>
        <v>-167</v>
      </c>
      <c r="G72" s="60" t="n">
        <v>4108</v>
      </c>
      <c r="H72" s="60" t="n">
        <v>4057</v>
      </c>
      <c r="I72" s="69" t="n">
        <f aca="false">IF(H72="","",G72-H72)</f>
        <v>51</v>
      </c>
      <c r="J72" s="40" t="n">
        <f aca="false">IF(OR(D72="",D72+G72=0),"",D72/(D72+G72))</f>
        <v>0.309231545316967</v>
      </c>
      <c r="K72" s="40" t="n">
        <f aca="false">IF(E72="","",E72/(E72+H72))</f>
        <v>0.330859310572324</v>
      </c>
      <c r="L72" s="70" t="n">
        <f aca="false">IF(OR(K72="",J72=""),"",(J72-K72)*100)</f>
        <v>-2.16277652553574</v>
      </c>
      <c r="M72" s="36" t="n">
        <v>2.20874386721077</v>
      </c>
      <c r="N72" s="36" t="n">
        <v>2.59292838795783</v>
      </c>
      <c r="O72" s="36" t="n">
        <f aca="false">SQRT(M72^2+N72^2)</f>
        <v>3.40614548955543</v>
      </c>
      <c r="P72" s="40" t="n">
        <f aca="false">IF(J72="","",MAX(0,J72-1.96*O72/100))</f>
        <v>0.24247109372168</v>
      </c>
      <c r="Q72" s="40" t="n">
        <f aca="false">IF(J72="","",MIN(1,J72+1.96*O72/100))</f>
        <v>0.375991996912253</v>
      </c>
      <c r="R72" s="32" t="str">
        <f aca="false">IF(L72="","",IF(ABS(L72)&lt;=O72,"Yes","No"))</f>
        <v>Yes</v>
      </c>
      <c r="S72" s="32" t="str">
        <f aca="false">IF(L72="","",IF(ABS(L72)&lt;=1.96*O72,"Yes","No"))</f>
        <v>Yes</v>
      </c>
      <c r="T72" s="60" t="n">
        <f aca="false">IF(D72="","",ROUND(SQRT(((D72+G72)*O72/100)^2+(J72*(D72+G72)*0.05464)^2),0))</f>
        <v>226</v>
      </c>
      <c r="U72" s="32"/>
    </row>
    <row r="73" customFormat="false" ht="15" hidden="false" customHeight="false" outlineLevel="0" collapsed="false">
      <c r="A73" s="32" t="s">
        <v>222</v>
      </c>
      <c r="B73" s="32" t="s">
        <v>241</v>
      </c>
      <c r="C73" s="32" t="s">
        <v>164</v>
      </c>
      <c r="D73" s="60" t="n">
        <v>1555</v>
      </c>
      <c r="E73" s="60" t="n">
        <v>1596</v>
      </c>
      <c r="F73" s="69" t="n">
        <f aca="false">IF(E73="","",D73-E73)</f>
        <v>-41</v>
      </c>
      <c r="G73" s="60" t="n">
        <v>1612</v>
      </c>
      <c r="H73" s="60" t="n">
        <v>1664</v>
      </c>
      <c r="I73" s="69" t="n">
        <f aca="false">IF(H73="","",G73-H73)</f>
        <v>-52</v>
      </c>
      <c r="J73" s="40" t="n">
        <f aca="false">IF(OR(D73="",D73+G73=0),"",D73/(D73+G73))</f>
        <v>0.491000947268709</v>
      </c>
      <c r="K73" s="40" t="n">
        <f aca="false">IF(E73="","",E73/(E73+H73))</f>
        <v>0.489570552147239</v>
      </c>
      <c r="L73" s="70" t="n">
        <f aca="false">IF(OR(K73="",J73=""),"",(J73-K73)*100)</f>
        <v>0.143039512146931</v>
      </c>
      <c r="M73" s="36" t="n">
        <v>2.24971735258761</v>
      </c>
      <c r="N73" s="36" t="n">
        <v>2.59292838795783</v>
      </c>
      <c r="O73" s="36" t="n">
        <f aca="false">SQRT(M73^2+N73^2)</f>
        <v>3.43285679742272</v>
      </c>
      <c r="P73" s="40" t="n">
        <f aca="false">IF(J73="","",MAX(0,J73-1.96*O73/100))</f>
        <v>0.423716954039223</v>
      </c>
      <c r="Q73" s="40" t="n">
        <f aca="false">IF(J73="","",MIN(1,J73+1.96*O73/100))</f>
        <v>0.558284940498194</v>
      </c>
      <c r="R73" s="32" t="str">
        <f aca="false">IF(L73="","",IF(ABS(L73)&lt;=O73,"Yes","No"))</f>
        <v>Yes</v>
      </c>
      <c r="S73" s="32" t="str">
        <f aca="false">IF(L73="","",IF(ABS(L73)&lt;=1.96*O73,"Yes","No"))</f>
        <v>Yes</v>
      </c>
      <c r="T73" s="60" t="n">
        <f aca="false">IF(D73="","",ROUND(SQRT(((D73+G73)*O73/100)^2+(J73*(D73+G73)*0.06092)^2),0))</f>
        <v>144</v>
      </c>
      <c r="U73" s="32"/>
    </row>
    <row r="74" customFormat="false" ht="15" hidden="false" customHeight="false" outlineLevel="0" collapsed="false">
      <c r="A74" s="32" t="s">
        <v>222</v>
      </c>
      <c r="B74" s="32" t="s">
        <v>242</v>
      </c>
      <c r="C74" s="32" t="s">
        <v>164</v>
      </c>
      <c r="D74" s="60" t="n">
        <v>850</v>
      </c>
      <c r="E74" s="60" t="n">
        <v>847</v>
      </c>
      <c r="F74" s="69" t="n">
        <f aca="false">IF(E74="","",D74-E74)</f>
        <v>3</v>
      </c>
      <c r="G74" s="60" t="n">
        <v>925</v>
      </c>
      <c r="H74" s="60" t="n">
        <v>889</v>
      </c>
      <c r="I74" s="69" t="n">
        <f aca="false">IF(H74="","",G74-H74)</f>
        <v>36</v>
      </c>
      <c r="J74" s="40" t="n">
        <f aca="false">IF(OR(D74="",D74+G74=0),"",D74/(D74+G74))</f>
        <v>0.47887323943662</v>
      </c>
      <c r="K74" s="40" t="n">
        <f aca="false">IF(E74="","",E74/(E74+H74))</f>
        <v>0.487903225806452</v>
      </c>
      <c r="L74" s="70" t="n">
        <f aca="false">IF(OR(K74="",J74=""),"",(J74-K74)*100)</f>
        <v>-0.902998636983193</v>
      </c>
      <c r="M74" s="36" t="n">
        <v>2.24971735258761</v>
      </c>
      <c r="N74" s="36" t="n">
        <v>2.59292838795783</v>
      </c>
      <c r="O74" s="36" t="n">
        <f aca="false">SQRT(M74^2+N74^2)</f>
        <v>3.43285679742272</v>
      </c>
      <c r="P74" s="40" t="n">
        <f aca="false">IF(J74="","",MAX(0,J74-1.96*O74/100))</f>
        <v>0.411589246207134</v>
      </c>
      <c r="Q74" s="40" t="n">
        <f aca="false">IF(J74="","",MIN(1,J74+1.96*O74/100))</f>
        <v>0.546157232666105</v>
      </c>
      <c r="R74" s="32" t="str">
        <f aca="false">IF(L74="","",IF(ABS(L74)&lt;=O74,"Yes","No"))</f>
        <v>Yes</v>
      </c>
      <c r="S74" s="32" t="str">
        <f aca="false">IF(L74="","",IF(ABS(L74)&lt;=1.96*O74,"Yes","No"))</f>
        <v>Yes</v>
      </c>
      <c r="T74" s="60" t="n">
        <f aca="false">IF(D74="","",ROUND(SQRT(((D74+G74)*O74/100)^2+(J74*(D74+G74)*0.06092)^2),0))</f>
        <v>80</v>
      </c>
      <c r="U74" s="32"/>
    </row>
    <row r="75" customFormat="false" ht="15" hidden="false" customHeight="false" outlineLevel="0" collapsed="false">
      <c r="A75" s="32" t="s">
        <v>222</v>
      </c>
      <c r="B75" s="32" t="s">
        <v>243</v>
      </c>
      <c r="C75" s="32" t="s">
        <v>164</v>
      </c>
      <c r="D75" s="60" t="n">
        <v>2683</v>
      </c>
      <c r="E75" s="60" t="n">
        <v>2573</v>
      </c>
      <c r="F75" s="69" t="n">
        <f aca="false">IF(E75="","",D75-E75)</f>
        <v>110</v>
      </c>
      <c r="G75" s="60" t="n">
        <v>3021</v>
      </c>
      <c r="H75" s="60" t="n">
        <v>3023</v>
      </c>
      <c r="I75" s="69" t="n">
        <f aca="false">IF(H75="","",G75-H75)</f>
        <v>-2</v>
      </c>
      <c r="J75" s="40" t="n">
        <f aca="false">IF(OR(D75="",D75+G75=0),"",D75/(D75+G75))</f>
        <v>0.470371669004208</v>
      </c>
      <c r="K75" s="40" t="n">
        <f aca="false">IF(E75="","",E75/(E75+H75))</f>
        <v>0.459792709077913</v>
      </c>
      <c r="L75" s="70" t="n">
        <f aca="false">IF(OR(K75="",J75=""),"",(J75-K75)*100)</f>
        <v>1.05789599262948</v>
      </c>
      <c r="M75" s="36" t="n">
        <v>2.20874386721077</v>
      </c>
      <c r="N75" s="36" t="n">
        <v>2.59292838795783</v>
      </c>
      <c r="O75" s="36" t="n">
        <f aca="false">SQRT(M75^2+N75^2)</f>
        <v>3.40614548955543</v>
      </c>
      <c r="P75" s="40" t="n">
        <f aca="false">IF(J75="","",MAX(0,J75-1.96*O75/100))</f>
        <v>0.403611217408921</v>
      </c>
      <c r="Q75" s="40" t="n">
        <f aca="false">IF(J75="","",MIN(1,J75+1.96*O75/100))</f>
        <v>0.537132120599494</v>
      </c>
      <c r="R75" s="32" t="str">
        <f aca="false">IF(L75="","",IF(ABS(L75)&lt;=O75,"Yes","No"))</f>
        <v>Yes</v>
      </c>
      <c r="S75" s="32" t="str">
        <f aca="false">IF(L75="","",IF(ABS(L75)&lt;=1.96*O75,"Yes","No"))</f>
        <v>Yes</v>
      </c>
      <c r="T75" s="60" t="n">
        <f aca="false">IF(D75="","",ROUND(SQRT(((D75+G75)*O75/100)^2+(J75*(D75+G75)*0.05464)^2),0))</f>
        <v>243</v>
      </c>
      <c r="U75" s="32"/>
    </row>
    <row r="76" customFormat="false" ht="15" hidden="false" customHeight="false" outlineLevel="0" collapsed="false">
      <c r="A76" s="32" t="s">
        <v>222</v>
      </c>
      <c r="B76" s="32" t="s">
        <v>244</v>
      </c>
      <c r="C76" s="32" t="s">
        <v>164</v>
      </c>
      <c r="D76" s="60" t="n">
        <v>6983</v>
      </c>
      <c r="E76" s="60" t="n">
        <v>6974</v>
      </c>
      <c r="F76" s="69" t="n">
        <f aca="false">IF(E76="","",D76-E76)</f>
        <v>9</v>
      </c>
      <c r="G76" s="60" t="n">
        <v>6811</v>
      </c>
      <c r="H76" s="60" t="n">
        <v>6736</v>
      </c>
      <c r="I76" s="69" t="n">
        <f aca="false">IF(H76="","",G76-H76)</f>
        <v>75</v>
      </c>
      <c r="J76" s="40" t="n">
        <f aca="false">IF(OR(D76="",D76+G76=0),"",D76/(D76+G76))</f>
        <v>0.506234594751341</v>
      </c>
      <c r="K76" s="40" t="n">
        <f aca="false">IF(E76="","",E76/(E76+H76))</f>
        <v>0.508679795769511</v>
      </c>
      <c r="L76" s="70" t="n">
        <f aca="false">IF(OR(K76="",J76=""),"",(J76-K76)*100)</f>
        <v>-0.244520101817014</v>
      </c>
      <c r="M76" s="36" t="n">
        <v>2.20874386721077</v>
      </c>
      <c r="N76" s="36" t="n">
        <v>2.59292838795783</v>
      </c>
      <c r="O76" s="36" t="n">
        <f aca="false">SQRT(M76^2+N76^2)</f>
        <v>3.40614548955543</v>
      </c>
      <c r="P76" s="40" t="n">
        <f aca="false">IF(J76="","",MAX(0,J76-1.96*O76/100))</f>
        <v>0.439474143156055</v>
      </c>
      <c r="Q76" s="40" t="n">
        <f aca="false">IF(J76="","",MIN(1,J76+1.96*O76/100))</f>
        <v>0.572995046346628</v>
      </c>
      <c r="R76" s="32" t="str">
        <f aca="false">IF(L76="","",IF(ABS(L76)&lt;=O76,"Yes","No"))</f>
        <v>Yes</v>
      </c>
      <c r="S76" s="32" t="str">
        <f aca="false">IF(L76="","",IF(ABS(L76)&lt;=1.96*O76,"Yes","No"))</f>
        <v>Yes</v>
      </c>
      <c r="T76" s="60" t="n">
        <f aca="false">IF(D76="","",ROUND(SQRT(((D76+G76)*O76/100)^2+(J76*(D76+G76)*0.05464)^2),0))</f>
        <v>605</v>
      </c>
      <c r="U76" s="32"/>
    </row>
    <row r="77" customFormat="false" ht="15" hidden="false" customHeight="false" outlineLevel="0" collapsed="false">
      <c r="A77" s="32" t="s">
        <v>222</v>
      </c>
      <c r="B77" s="32" t="s">
        <v>245</v>
      </c>
      <c r="C77" s="32" t="s">
        <v>164</v>
      </c>
      <c r="D77" s="60" t="n">
        <v>675</v>
      </c>
      <c r="E77" s="60" t="n">
        <v>703</v>
      </c>
      <c r="F77" s="69" t="n">
        <f aca="false">IF(E77="","",D77-E77)</f>
        <v>-28</v>
      </c>
      <c r="G77" s="60" t="n">
        <v>1170</v>
      </c>
      <c r="H77" s="60" t="n">
        <v>1180</v>
      </c>
      <c r="I77" s="69" t="n">
        <f aca="false">IF(H77="","",G77-H77)</f>
        <v>-10</v>
      </c>
      <c r="J77" s="40" t="n">
        <f aca="false">IF(OR(D77="",D77+G77=0),"",D77/(D77+G77))</f>
        <v>0.365853658536585</v>
      </c>
      <c r="K77" s="40" t="n">
        <f aca="false">IF(E77="","",E77/(E77+H77))</f>
        <v>0.373340414232608</v>
      </c>
      <c r="L77" s="70" t="n">
        <f aca="false">IF(OR(K77="",J77=""),"",(J77-K77)*100)</f>
        <v>-0.74867556960222</v>
      </c>
      <c r="M77" s="36" t="n">
        <v>2.24971735258761</v>
      </c>
      <c r="N77" s="36" t="n">
        <v>2.59292838795783</v>
      </c>
      <c r="O77" s="36" t="n">
        <f aca="false">SQRT(M77^2+N77^2)</f>
        <v>3.43285679742272</v>
      </c>
      <c r="P77" s="40" t="n">
        <f aca="false">IF(J77="","",MAX(0,J77-1.96*O77/100))</f>
        <v>0.2985696653071</v>
      </c>
      <c r="Q77" s="40" t="n">
        <f aca="false">IF(J77="","",MIN(1,J77+1.96*O77/100))</f>
        <v>0.433137651766071</v>
      </c>
      <c r="R77" s="32" t="str">
        <f aca="false">IF(L77="","",IF(ABS(L77)&lt;=O77,"Yes","No"))</f>
        <v>Yes</v>
      </c>
      <c r="S77" s="32" t="str">
        <f aca="false">IF(L77="","",IF(ABS(L77)&lt;=1.96*O77,"Yes","No"))</f>
        <v>Yes</v>
      </c>
      <c r="T77" s="60" t="n">
        <f aca="false">IF(D77="","",ROUND(SQRT(((D77+G77)*O77/100)^2+(J77*(D77+G77)*0.06092)^2),0))</f>
        <v>76</v>
      </c>
      <c r="U77" s="32"/>
    </row>
    <row r="78" customFormat="false" ht="15" hidden="false" customHeight="false" outlineLevel="0" collapsed="false">
      <c r="A78" s="32" t="s">
        <v>222</v>
      </c>
      <c r="B78" s="32" t="s">
        <v>246</v>
      </c>
      <c r="C78" s="32" t="s">
        <v>164</v>
      </c>
      <c r="D78" s="60" t="n">
        <v>1263</v>
      </c>
      <c r="E78" s="60" t="n">
        <v>1361</v>
      </c>
      <c r="F78" s="69" t="n">
        <f aca="false">IF(E78="","",D78-E78)</f>
        <v>-98</v>
      </c>
      <c r="G78" s="60" t="n">
        <v>2687</v>
      </c>
      <c r="H78" s="60" t="n">
        <v>2561</v>
      </c>
      <c r="I78" s="69" t="n">
        <f aca="false">IF(H78="","",G78-H78)</f>
        <v>126</v>
      </c>
      <c r="J78" s="40" t="n">
        <f aca="false">IF(OR(D78="",D78+G78=0),"",D78/(D78+G78))</f>
        <v>0.319746835443038</v>
      </c>
      <c r="K78" s="40" t="n">
        <f aca="false">IF(E78="","",E78/(E78+H78))</f>
        <v>0.347016828148904</v>
      </c>
      <c r="L78" s="70" t="n">
        <f aca="false">IF(OR(K78="",J78=""),"",(J78-K78)*100)</f>
        <v>-2.72699927058656</v>
      </c>
      <c r="M78" s="36" t="n">
        <v>2.20874386721077</v>
      </c>
      <c r="N78" s="36" t="n">
        <v>2.59292838795783</v>
      </c>
      <c r="O78" s="36" t="n">
        <f aca="false">SQRT(M78^2+N78^2)</f>
        <v>3.40614548955543</v>
      </c>
      <c r="P78" s="40" t="n">
        <f aca="false">IF(J78="","",MAX(0,J78-1.96*O78/100))</f>
        <v>0.252986383847752</v>
      </c>
      <c r="Q78" s="40" t="n">
        <f aca="false">IF(J78="","",MIN(1,J78+1.96*O78/100))</f>
        <v>0.386507287038324</v>
      </c>
      <c r="R78" s="32" t="str">
        <f aca="false">IF(L78="","",IF(ABS(L78)&lt;=O78,"Yes","No"))</f>
        <v>Yes</v>
      </c>
      <c r="S78" s="32" t="str">
        <f aca="false">IF(L78="","",IF(ABS(L78)&lt;=1.96*O78,"Yes","No"))</f>
        <v>Yes</v>
      </c>
      <c r="T78" s="60" t="n">
        <f aca="false">IF(D78="","",ROUND(SQRT(((D78+G78)*O78/100)^2+(J78*(D78+G78)*0.05464)^2),0))</f>
        <v>151</v>
      </c>
      <c r="U78" s="32"/>
    </row>
    <row r="79" customFormat="false" ht="15" hidden="false" customHeight="false" outlineLevel="0" collapsed="false">
      <c r="A79" s="32" t="s">
        <v>222</v>
      </c>
      <c r="B79" s="32" t="s">
        <v>247</v>
      </c>
      <c r="C79" s="32" t="s">
        <v>164</v>
      </c>
      <c r="D79" s="60" t="n">
        <v>75</v>
      </c>
      <c r="E79" s="60" t="n">
        <v>92</v>
      </c>
      <c r="F79" s="69" t="n">
        <f aca="false">IF(E79="","",D79-E79)</f>
        <v>-17</v>
      </c>
      <c r="G79" s="60" t="n">
        <v>174</v>
      </c>
      <c r="H79" s="60" t="n">
        <v>167</v>
      </c>
      <c r="I79" s="69" t="n">
        <f aca="false">IF(H79="","",G79-H79)</f>
        <v>7</v>
      </c>
      <c r="J79" s="40" t="n">
        <f aca="false">IF(OR(D79="",D79+G79=0),"",D79/(D79+G79))</f>
        <v>0.301204819277108</v>
      </c>
      <c r="K79" s="40" t="n">
        <f aca="false">IF(E79="","",E79/(E79+H79))</f>
        <v>0.355212355212355</v>
      </c>
      <c r="L79" s="70" t="n">
        <f aca="false">IF(OR(K79="",J79=""),"",(J79-K79)*100)</f>
        <v>-5.40075359352468</v>
      </c>
      <c r="M79" s="36" t="n">
        <v>3.75884140229675</v>
      </c>
      <c r="N79" s="36" t="n">
        <v>2.59292838795783</v>
      </c>
      <c r="O79" s="36" t="n">
        <f aca="false">SQRT(M79^2+N79^2)</f>
        <v>4.56641722937116</v>
      </c>
      <c r="P79" s="40" t="n">
        <f aca="false">IF(J79="","",MAX(0,J79-1.96*O79/100))</f>
        <v>0.211703041581434</v>
      </c>
      <c r="Q79" s="40" t="n">
        <f aca="false">IF(J79="","",MIN(1,J79+1.96*O79/100))</f>
        <v>0.390706596972783</v>
      </c>
      <c r="R79" s="32" t="str">
        <f aca="false">IF(L79="","",IF(ABS(L79)&lt;=O79,"Yes","No"))</f>
        <v>No</v>
      </c>
      <c r="S79" s="32" t="str">
        <f aca="false">IF(L79="","",IF(ABS(L79)&lt;=1.96*O79,"Yes","No"))</f>
        <v>Yes</v>
      </c>
      <c r="T79" s="60" t="n">
        <f aca="false">IF(D79="","",ROUND(SQRT(((D79+G79)*O79/100)^2+(J79*(D79+G79)*0.07859)^2),0))</f>
        <v>13</v>
      </c>
      <c r="U79" s="32"/>
    </row>
    <row r="80" customFormat="false" ht="15" hidden="false" customHeight="false" outlineLevel="0" collapsed="false">
      <c r="A80" s="32" t="s">
        <v>222</v>
      </c>
      <c r="B80" s="32" t="s">
        <v>248</v>
      </c>
      <c r="C80" s="32" t="s">
        <v>164</v>
      </c>
      <c r="D80" s="60" t="n">
        <v>327</v>
      </c>
      <c r="E80" s="60" t="n">
        <v>335</v>
      </c>
      <c r="F80" s="69" t="n">
        <f aca="false">IF(E80="","",D80-E80)</f>
        <v>-8</v>
      </c>
      <c r="G80" s="60" t="n">
        <v>605</v>
      </c>
      <c r="H80" s="60" t="n">
        <v>581</v>
      </c>
      <c r="I80" s="69" t="n">
        <f aca="false">IF(H80="","",G80-H80)</f>
        <v>24</v>
      </c>
      <c r="J80" s="40" t="n">
        <f aca="false">IF(OR(D80="",D80+G80=0),"",D80/(D80+G80))</f>
        <v>0.350858369098712</v>
      </c>
      <c r="K80" s="40" t="n">
        <f aca="false">IF(E80="","",E80/(E80+H80))</f>
        <v>0.365720524017467</v>
      </c>
      <c r="L80" s="70" t="n">
        <f aca="false">IF(OR(K80="",J80=""),"",(J80-K80)*100)</f>
        <v>-1.48621549187548</v>
      </c>
      <c r="M80" s="36" t="n">
        <v>3.75884140229675</v>
      </c>
      <c r="N80" s="36" t="n">
        <v>2.59292838795783</v>
      </c>
      <c r="O80" s="36" t="n">
        <f aca="false">SQRT(M80^2+N80^2)</f>
        <v>4.56641722937116</v>
      </c>
      <c r="P80" s="40" t="n">
        <f aca="false">IF(J80="","",MAX(0,J80-1.96*O80/100))</f>
        <v>0.261356591403038</v>
      </c>
      <c r="Q80" s="40" t="n">
        <f aca="false">IF(J80="","",MIN(1,J80+1.96*O80/100))</f>
        <v>0.440360146794387</v>
      </c>
      <c r="R80" s="32" t="str">
        <f aca="false">IF(L80="","",IF(ABS(L80)&lt;=O80,"Yes","No"))</f>
        <v>Yes</v>
      </c>
      <c r="S80" s="32" t="str">
        <f aca="false">IF(L80="","",IF(ABS(L80)&lt;=1.96*O80,"Yes","No"))</f>
        <v>Yes</v>
      </c>
      <c r="T80" s="60" t="n">
        <f aca="false">IF(D80="","",ROUND(SQRT(((D80+G80)*O80/100)^2+(J80*(D80+G80)*0.07859)^2),0))</f>
        <v>50</v>
      </c>
      <c r="U80" s="32"/>
    </row>
    <row r="81" customFormat="false" ht="15" hidden="false" customHeight="false" outlineLevel="0" collapsed="false">
      <c r="A81" s="32" t="s">
        <v>222</v>
      </c>
      <c r="B81" s="32" t="s">
        <v>249</v>
      </c>
      <c r="C81" s="32" t="s">
        <v>164</v>
      </c>
      <c r="D81" s="60" t="n">
        <v>203</v>
      </c>
      <c r="E81" s="60" t="n">
        <v>210</v>
      </c>
      <c r="F81" s="69" t="n">
        <f aca="false">IF(E81="","",D81-E81)</f>
        <v>-7</v>
      </c>
      <c r="G81" s="60" t="n">
        <v>311</v>
      </c>
      <c r="H81" s="60" t="n">
        <v>309</v>
      </c>
      <c r="I81" s="69" t="n">
        <f aca="false">IF(H81="","",G81-H81)</f>
        <v>2</v>
      </c>
      <c r="J81" s="40" t="n">
        <f aca="false">IF(OR(D81="",D81+G81=0),"",D81/(D81+G81))</f>
        <v>0.394941634241245</v>
      </c>
      <c r="K81" s="40" t="n">
        <f aca="false">IF(E81="","",E81/(E81+H81))</f>
        <v>0.404624277456647</v>
      </c>
      <c r="L81" s="70" t="n">
        <f aca="false">IF(OR(K81="",J81=""),"",(J81-K81)*100)</f>
        <v>-0.96826432154023</v>
      </c>
      <c r="M81" s="36" t="n">
        <v>3.75884140229675</v>
      </c>
      <c r="N81" s="36" t="n">
        <v>2.59292838795783</v>
      </c>
      <c r="O81" s="36" t="n">
        <f aca="false">SQRT(M81^2+N81^2)</f>
        <v>4.56641722937116</v>
      </c>
      <c r="P81" s="40" t="n">
        <f aca="false">IF(J81="","",MAX(0,J81-1.96*O81/100))</f>
        <v>0.30543985654557</v>
      </c>
      <c r="Q81" s="40" t="n">
        <f aca="false">IF(J81="","",MIN(1,J81+1.96*O81/100))</f>
        <v>0.48444341193692</v>
      </c>
      <c r="R81" s="32" t="str">
        <f aca="false">IF(L81="","",IF(ABS(L81)&lt;=O81,"Yes","No"))</f>
        <v>Yes</v>
      </c>
      <c r="S81" s="32" t="str">
        <f aca="false">IF(L81="","",IF(ABS(L81)&lt;=1.96*O81,"Yes","No"))</f>
        <v>Yes</v>
      </c>
      <c r="T81" s="60" t="n">
        <f aca="false">IF(D81="","",ROUND(SQRT(((D81+G81)*O81/100)^2+(J81*(D81+G81)*0.07859)^2),0))</f>
        <v>28</v>
      </c>
      <c r="U81" s="32"/>
    </row>
    <row r="82" customFormat="false" ht="15" hidden="false" customHeight="false" outlineLevel="0" collapsed="false">
      <c r="A82" s="32" t="s">
        <v>222</v>
      </c>
      <c r="B82" s="32" t="s">
        <v>250</v>
      </c>
      <c r="C82" s="32" t="s">
        <v>164</v>
      </c>
      <c r="D82" s="60" t="n">
        <v>312</v>
      </c>
      <c r="E82" s="60" t="n">
        <v>331</v>
      </c>
      <c r="F82" s="69" t="n">
        <f aca="false">IF(E82="","",D82-E82)</f>
        <v>-19</v>
      </c>
      <c r="G82" s="60" t="n">
        <v>460</v>
      </c>
      <c r="H82" s="60" t="n">
        <v>458</v>
      </c>
      <c r="I82" s="69" t="n">
        <f aca="false">IF(H82="","",G82-H82)</f>
        <v>2</v>
      </c>
      <c r="J82" s="40" t="n">
        <f aca="false">IF(OR(D82="",D82+G82=0),"",D82/(D82+G82))</f>
        <v>0.404145077720207</v>
      </c>
      <c r="K82" s="40" t="n">
        <f aca="false">IF(E82="","",E82/(E82+H82))</f>
        <v>0.419518377693283</v>
      </c>
      <c r="L82" s="70" t="n">
        <f aca="false">IF(OR(K82="",J82=""),"",(J82-K82)*100)</f>
        <v>-1.53732999730754</v>
      </c>
      <c r="M82" s="36" t="n">
        <v>3.75884140229675</v>
      </c>
      <c r="N82" s="36" t="n">
        <v>2.59292838795783</v>
      </c>
      <c r="O82" s="36" t="n">
        <f aca="false">SQRT(M82^2+N82^2)</f>
        <v>4.56641722937116</v>
      </c>
      <c r="P82" s="40" t="n">
        <f aca="false">IF(J82="","",MAX(0,J82-1.96*O82/100))</f>
        <v>0.314643300024533</v>
      </c>
      <c r="Q82" s="40" t="n">
        <f aca="false">IF(J82="","",MIN(1,J82+1.96*O82/100))</f>
        <v>0.493646855415882</v>
      </c>
      <c r="R82" s="32" t="str">
        <f aca="false">IF(L82="","",IF(ABS(L82)&lt;=O82,"Yes","No"))</f>
        <v>Yes</v>
      </c>
      <c r="S82" s="32" t="str">
        <f aca="false">IF(L82="","",IF(ABS(L82)&lt;=1.96*O82,"Yes","No"))</f>
        <v>Yes</v>
      </c>
      <c r="T82" s="60" t="n">
        <f aca="false">IF(D82="","",ROUND(SQRT(((D82+G82)*O82/100)^2+(J82*(D82+G82)*0.07859)^2),0))</f>
        <v>43</v>
      </c>
      <c r="U82" s="32"/>
    </row>
    <row r="83" customFormat="false" ht="15" hidden="false" customHeight="false" outlineLevel="0" collapsed="false">
      <c r="A83" s="32" t="s">
        <v>222</v>
      </c>
      <c r="B83" s="32" t="s">
        <v>251</v>
      </c>
      <c r="C83" s="32" t="s">
        <v>164</v>
      </c>
      <c r="D83" s="60" t="n">
        <v>1132</v>
      </c>
      <c r="E83" s="60" t="n">
        <v>1242</v>
      </c>
      <c r="F83" s="69" t="n">
        <f aca="false">IF(E83="","",D83-E83)</f>
        <v>-110</v>
      </c>
      <c r="G83" s="60" t="n">
        <v>2726</v>
      </c>
      <c r="H83" s="60" t="n">
        <v>2716</v>
      </c>
      <c r="I83" s="69" t="n">
        <f aca="false">IF(H83="","",G83-H83)</f>
        <v>10</v>
      </c>
      <c r="J83" s="40" t="n">
        <f aca="false">IF(OR(D83="",D83+G83=0),"",D83/(D83+G83))</f>
        <v>0.293416277864178</v>
      </c>
      <c r="K83" s="40" t="n">
        <f aca="false">IF(E83="","",E83/(E83+H83))</f>
        <v>0.313794845881759</v>
      </c>
      <c r="L83" s="70" t="n">
        <f aca="false">IF(OR(K83="",J83=""),"",(J83-K83)*100)</f>
        <v>-2.03785680175801</v>
      </c>
      <c r="M83" s="36" t="n">
        <v>2.20874386721077</v>
      </c>
      <c r="N83" s="36" t="n">
        <v>2.59292838795783</v>
      </c>
      <c r="O83" s="36" t="n">
        <f aca="false">SQRT(M83^2+N83^2)</f>
        <v>3.40614548955543</v>
      </c>
      <c r="P83" s="40" t="n">
        <f aca="false">IF(J83="","",MAX(0,J83-1.96*O83/100))</f>
        <v>0.226655826268892</v>
      </c>
      <c r="Q83" s="40" t="n">
        <f aca="false">IF(J83="","",MIN(1,J83+1.96*O83/100))</f>
        <v>0.360176729459465</v>
      </c>
      <c r="R83" s="32" t="str">
        <f aca="false">IF(L83="","",IF(ABS(L83)&lt;=O83,"Yes","No"))</f>
        <v>Yes</v>
      </c>
      <c r="S83" s="32" t="str">
        <f aca="false">IF(L83="","",IF(ABS(L83)&lt;=1.96*O83,"Yes","No"))</f>
        <v>Yes</v>
      </c>
      <c r="T83" s="60" t="n">
        <f aca="false">IF(D83="","",ROUND(SQRT(((D83+G83)*O83/100)^2+(J83*(D83+G83)*0.05464)^2),0))</f>
        <v>145</v>
      </c>
      <c r="U83" s="32"/>
    </row>
    <row r="84" customFormat="false" ht="15" hidden="false" customHeight="false" outlineLevel="0" collapsed="false">
      <c r="A84" s="32" t="s">
        <v>222</v>
      </c>
      <c r="B84" s="32" t="s">
        <v>252</v>
      </c>
      <c r="C84" s="32" t="s">
        <v>164</v>
      </c>
      <c r="D84" s="60" t="n">
        <v>1879</v>
      </c>
      <c r="E84" s="60" t="n">
        <v>1964</v>
      </c>
      <c r="F84" s="69" t="n">
        <f aca="false">IF(E84="","",D84-E84)</f>
        <v>-85</v>
      </c>
      <c r="G84" s="60" t="n">
        <v>2190</v>
      </c>
      <c r="H84" s="60" t="n">
        <v>2147</v>
      </c>
      <c r="I84" s="69" t="n">
        <f aca="false">IF(H84="","",G84-H84)</f>
        <v>43</v>
      </c>
      <c r="J84" s="40" t="n">
        <f aca="false">IF(OR(D84="",D84+G84=0),"",D84/(D84+G84))</f>
        <v>0.461784222167609</v>
      </c>
      <c r="K84" s="40" t="n">
        <f aca="false">IF(E84="","",E84/(E84+H84))</f>
        <v>0.477742641693019</v>
      </c>
      <c r="L84" s="70" t="n">
        <f aca="false">IF(OR(K84="",J84=""),"",(J84-K84)*100)</f>
        <v>-1.595841952541</v>
      </c>
      <c r="M84" s="36" t="n">
        <v>2.20874386721077</v>
      </c>
      <c r="N84" s="36" t="n">
        <v>2.59292838795783</v>
      </c>
      <c r="O84" s="36" t="n">
        <f aca="false">SQRT(M84^2+N84^2)</f>
        <v>3.40614548955543</v>
      </c>
      <c r="P84" s="40" t="n">
        <f aca="false">IF(J84="","",MAX(0,J84-1.96*O84/100))</f>
        <v>0.395023770572322</v>
      </c>
      <c r="Q84" s="40" t="n">
        <f aca="false">IF(J84="","",MIN(1,J84+1.96*O84/100))</f>
        <v>0.528544673762895</v>
      </c>
      <c r="R84" s="32" t="str">
        <f aca="false">IF(L84="","",IF(ABS(L84)&lt;=O84,"Yes","No"))</f>
        <v>Yes</v>
      </c>
      <c r="S84" s="32" t="str">
        <f aca="false">IF(L84="","",IF(ABS(L84)&lt;=1.96*O84,"Yes","No"))</f>
        <v>Yes</v>
      </c>
      <c r="T84" s="60" t="n">
        <f aca="false">IF(D84="","",ROUND(SQRT(((D84+G84)*O84/100)^2+(J84*(D84+G84)*0.05464)^2),0))</f>
        <v>172</v>
      </c>
      <c r="U84" s="32"/>
    </row>
    <row r="85" customFormat="false" ht="15" hidden="false" customHeight="false" outlineLevel="0" collapsed="false">
      <c r="A85" s="32" t="s">
        <v>222</v>
      </c>
      <c r="B85" s="32" t="s">
        <v>253</v>
      </c>
      <c r="C85" s="32" t="s">
        <v>164</v>
      </c>
      <c r="D85" s="60" t="n">
        <v>410</v>
      </c>
      <c r="E85" s="60" t="n">
        <v>416</v>
      </c>
      <c r="F85" s="69" t="n">
        <f aca="false">IF(E85="","",D85-E85)</f>
        <v>-6</v>
      </c>
      <c r="G85" s="60" t="n">
        <v>651</v>
      </c>
      <c r="H85" s="60" t="n">
        <v>658</v>
      </c>
      <c r="I85" s="69" t="n">
        <f aca="false">IF(H85="","",G85-H85)</f>
        <v>-7</v>
      </c>
      <c r="J85" s="40" t="n">
        <f aca="false">IF(OR(D85="",D85+G85=0),"",D85/(D85+G85))</f>
        <v>0.386427898209237</v>
      </c>
      <c r="K85" s="40" t="n">
        <f aca="false">IF(E85="","",E85/(E85+H85))</f>
        <v>0.387337057728119</v>
      </c>
      <c r="L85" s="70" t="n">
        <f aca="false">IF(OR(K85="",J85=""),"",(J85-K85)*100)</f>
        <v>-0.0909159518882596</v>
      </c>
      <c r="M85" s="36" t="n">
        <v>3.75884140229675</v>
      </c>
      <c r="N85" s="36" t="n">
        <v>2.59292838795783</v>
      </c>
      <c r="O85" s="36" t="n">
        <f aca="false">SQRT(M85^2+N85^2)</f>
        <v>4.56641722937116</v>
      </c>
      <c r="P85" s="40" t="n">
        <f aca="false">IF(J85="","",MAX(0,J85-1.96*O85/100))</f>
        <v>0.296926120513562</v>
      </c>
      <c r="Q85" s="40" t="n">
        <f aca="false">IF(J85="","",MIN(1,J85+1.96*O85/100))</f>
        <v>0.475929675904911</v>
      </c>
      <c r="R85" s="32" t="str">
        <f aca="false">IF(L85="","",IF(ABS(L85)&lt;=O85,"Yes","No"))</f>
        <v>Yes</v>
      </c>
      <c r="S85" s="32" t="str">
        <f aca="false">IF(L85="","",IF(ABS(L85)&lt;=1.96*O85,"Yes","No"))</f>
        <v>Yes</v>
      </c>
      <c r="T85" s="60" t="n">
        <f aca="false">IF(D85="","",ROUND(SQRT(((D85+G85)*O85/100)^2+(J85*(D85+G85)*0.07859)^2),0))</f>
        <v>58</v>
      </c>
      <c r="U85" s="32"/>
    </row>
    <row r="86" customFormat="false" ht="15" hidden="false" customHeight="false" outlineLevel="0" collapsed="false">
      <c r="A86" s="32" t="s">
        <v>222</v>
      </c>
      <c r="B86" s="32" t="s">
        <v>215</v>
      </c>
      <c r="C86" s="32" t="s">
        <v>164</v>
      </c>
      <c r="D86" s="60" t="n">
        <v>983</v>
      </c>
      <c r="E86" s="60" t="n">
        <v>1041</v>
      </c>
      <c r="F86" s="69" t="n">
        <f aca="false">IF(E86="","",D86-E86)</f>
        <v>-58</v>
      </c>
      <c r="G86" s="60" t="n">
        <v>2093</v>
      </c>
      <c r="H86" s="60" t="n">
        <v>2088</v>
      </c>
      <c r="I86" s="69" t="n">
        <f aca="false">IF(H86="","",G86-H86)</f>
        <v>5</v>
      </c>
      <c r="J86" s="40" t="n">
        <f aca="false">IF(OR(D86="",D86+G86=0),"",D86/(D86+G86))</f>
        <v>0.319570871261378</v>
      </c>
      <c r="K86" s="40" t="n">
        <f aca="false">IF(E86="","",E86/(E86+H86))</f>
        <v>0.332694151486098</v>
      </c>
      <c r="L86" s="70" t="n">
        <f aca="false">IF(OR(K86="",J86=""),"",(J86-K86)*100)</f>
        <v>-1.31232802247194</v>
      </c>
      <c r="M86" s="36" t="n">
        <v>2.24971735258761</v>
      </c>
      <c r="N86" s="36" t="n">
        <v>2.59292838795783</v>
      </c>
      <c r="O86" s="36" t="n">
        <f aca="false">SQRT(M86^2+N86^2)</f>
        <v>3.43285679742272</v>
      </c>
      <c r="P86" s="40" t="n">
        <f aca="false">IF(J86="","",MAX(0,J86-1.96*O86/100))</f>
        <v>0.252286878031893</v>
      </c>
      <c r="Q86" s="40" t="n">
        <f aca="false">IF(J86="","",MIN(1,J86+1.96*O86/100))</f>
        <v>0.386854864490864</v>
      </c>
      <c r="R86" s="32" t="str">
        <f aca="false">IF(L86="","",IF(ABS(L86)&lt;=O86,"Yes","No"))</f>
        <v>Yes</v>
      </c>
      <c r="S86" s="32" t="str">
        <f aca="false">IF(L86="","",IF(ABS(L86)&lt;=1.96*O86,"Yes","No"))</f>
        <v>Yes</v>
      </c>
      <c r="T86" s="60" t="n">
        <f aca="false">IF(D86="","",ROUND(SQRT(((D86+G86)*O86/100)^2+(J86*(D86+G86)*0.06092)^2),0))</f>
        <v>121</v>
      </c>
      <c r="U86" s="32"/>
    </row>
    <row r="87" customFormat="false" ht="15" hidden="false" customHeight="false" outlineLevel="0" collapsed="false">
      <c r="A87" s="32" t="s">
        <v>222</v>
      </c>
      <c r="B87" s="32" t="s">
        <v>254</v>
      </c>
      <c r="C87" s="32" t="s">
        <v>164</v>
      </c>
      <c r="D87" s="60" t="n">
        <v>257</v>
      </c>
      <c r="E87" s="60" t="n">
        <v>281</v>
      </c>
      <c r="F87" s="69" t="n">
        <f aca="false">IF(E87="","",D87-E87)</f>
        <v>-24</v>
      </c>
      <c r="G87" s="60" t="n">
        <v>350</v>
      </c>
      <c r="H87" s="60" t="n">
        <v>310</v>
      </c>
      <c r="I87" s="69" t="n">
        <f aca="false">IF(H87="","",G87-H87)</f>
        <v>40</v>
      </c>
      <c r="J87" s="40" t="n">
        <f aca="false">IF(OR(D87="",D87+G87=0),"",D87/(D87+G87))</f>
        <v>0.42339373970346</v>
      </c>
      <c r="K87" s="40" t="n">
        <f aca="false">IF(E87="","",E87/(E87+H87))</f>
        <v>0.475465313028765</v>
      </c>
      <c r="L87" s="70" t="n">
        <f aca="false">IF(OR(K87="",J87=""),"",(J87-K87)*100)</f>
        <v>-5.20715733253052</v>
      </c>
      <c r="M87" s="36" t="n">
        <v>3.75884140229675</v>
      </c>
      <c r="N87" s="36" t="n">
        <v>2.59292838795783</v>
      </c>
      <c r="O87" s="36" t="n">
        <f aca="false">SQRT(M87^2+N87^2)</f>
        <v>4.56641722937116</v>
      </c>
      <c r="P87" s="40" t="n">
        <f aca="false">IF(J87="","",MAX(0,J87-1.96*O87/100))</f>
        <v>0.333891962007785</v>
      </c>
      <c r="Q87" s="40" t="n">
        <f aca="false">IF(J87="","",MIN(1,J87+1.96*O87/100))</f>
        <v>0.512895517399134</v>
      </c>
      <c r="R87" s="32" t="str">
        <f aca="false">IF(L87="","",IF(ABS(L87)&lt;=O87,"Yes","No"))</f>
        <v>No</v>
      </c>
      <c r="S87" s="32" t="str">
        <f aca="false">IF(L87="","",IF(ABS(L87)&lt;=1.96*O87,"Yes","No"))</f>
        <v>Yes</v>
      </c>
      <c r="T87" s="60" t="n">
        <f aca="false">IF(D87="","",ROUND(SQRT(((D87+G87)*O87/100)^2+(J87*(D87+G87)*0.07859)^2),0))</f>
        <v>34</v>
      </c>
      <c r="U87" s="32"/>
    </row>
    <row r="88" customFormat="false" ht="15" hidden="false" customHeight="false" outlineLevel="0" collapsed="false">
      <c r="A88" s="32" t="s">
        <v>222</v>
      </c>
      <c r="B88" s="32" t="s">
        <v>255</v>
      </c>
      <c r="C88" s="32" t="s">
        <v>164</v>
      </c>
      <c r="D88" s="60" t="n">
        <v>1729</v>
      </c>
      <c r="E88" s="60" t="n">
        <v>1847</v>
      </c>
      <c r="F88" s="69" t="n">
        <f aca="false">IF(E88="","",D88-E88)</f>
        <v>-118</v>
      </c>
      <c r="G88" s="60" t="n">
        <v>2460</v>
      </c>
      <c r="H88" s="60" t="n">
        <v>2401</v>
      </c>
      <c r="I88" s="69" t="n">
        <f aca="false">IF(H88="","",G88-H88)</f>
        <v>59</v>
      </c>
      <c r="J88" s="40" t="n">
        <f aca="false">IF(OR(D88="",D88+G88=0),"",D88/(D88+G88))</f>
        <v>0.412747672475531</v>
      </c>
      <c r="K88" s="40" t="n">
        <f aca="false">IF(E88="","",E88/(E88+H88))</f>
        <v>0.434792843691149</v>
      </c>
      <c r="L88" s="70" t="n">
        <f aca="false">IF(OR(K88="",J88=""),"",(J88-K88)*100)</f>
        <v>-2.20451712156176</v>
      </c>
      <c r="M88" s="36" t="n">
        <v>2.20874386721077</v>
      </c>
      <c r="N88" s="36" t="n">
        <v>2.59292838795783</v>
      </c>
      <c r="O88" s="36" t="n">
        <f aca="false">SQRT(M88^2+N88^2)</f>
        <v>3.40614548955543</v>
      </c>
      <c r="P88" s="40" t="n">
        <f aca="false">IF(J88="","",MAX(0,J88-1.96*O88/100))</f>
        <v>0.345987220880245</v>
      </c>
      <c r="Q88" s="40" t="n">
        <f aca="false">IF(J88="","",MIN(1,J88+1.96*O88/100))</f>
        <v>0.479508124070818</v>
      </c>
      <c r="R88" s="32" t="str">
        <f aca="false">IF(L88="","",IF(ABS(L88)&lt;=O88,"Yes","No"))</f>
        <v>Yes</v>
      </c>
      <c r="S88" s="32" t="str">
        <f aca="false">IF(L88="","",IF(ABS(L88)&lt;=1.96*O88,"Yes","No"))</f>
        <v>Yes</v>
      </c>
      <c r="T88" s="60" t="n">
        <f aca="false">IF(D88="","",ROUND(SQRT(((D88+G88)*O88/100)^2+(J88*(D88+G88)*0.05464)^2),0))</f>
        <v>171</v>
      </c>
      <c r="U88" s="32"/>
    </row>
    <row r="89" customFormat="false" ht="15" hidden="false" customHeight="false" outlineLevel="0" collapsed="false">
      <c r="A89" s="32" t="s">
        <v>222</v>
      </c>
      <c r="B89" s="32" t="s">
        <v>256</v>
      </c>
      <c r="C89" s="32" t="s">
        <v>164</v>
      </c>
      <c r="D89" s="60" t="n">
        <v>1892</v>
      </c>
      <c r="E89" s="60" t="n">
        <v>1897</v>
      </c>
      <c r="F89" s="69" t="n">
        <f aca="false">IF(E89="","",D89-E89)</f>
        <v>-5</v>
      </c>
      <c r="G89" s="60" t="n">
        <v>1514</v>
      </c>
      <c r="H89" s="60" t="n">
        <v>1538</v>
      </c>
      <c r="I89" s="69" t="n">
        <f aca="false">IF(H89="","",G89-H89)</f>
        <v>-24</v>
      </c>
      <c r="J89" s="40" t="n">
        <f aca="false">IF(OR(D89="",D89+G89=0),"",D89/(D89+G89))</f>
        <v>0.555490311215502</v>
      </c>
      <c r="K89" s="40" t="n">
        <f aca="false">IF(E89="","",E89/(E89+H89))</f>
        <v>0.552256186317322</v>
      </c>
      <c r="L89" s="70" t="n">
        <f aca="false">IF(OR(K89="",J89=""),"",(J89-K89)*100)</f>
        <v>0.323412489818042</v>
      </c>
      <c r="M89" s="36" t="n">
        <v>2.24971735258761</v>
      </c>
      <c r="N89" s="36" t="n">
        <v>2.59292838795783</v>
      </c>
      <c r="O89" s="36" t="n">
        <f aca="false">SQRT(M89^2+N89^2)</f>
        <v>3.43285679742272</v>
      </c>
      <c r="P89" s="40" t="n">
        <f aca="false">IF(J89="","",MAX(0,J89-1.96*O89/100))</f>
        <v>0.488206317986017</v>
      </c>
      <c r="Q89" s="40" t="n">
        <f aca="false">IF(J89="","",MIN(1,J89+1.96*O89/100))</f>
        <v>0.622774304444987</v>
      </c>
      <c r="R89" s="32" t="str">
        <f aca="false">IF(L89="","",IF(ABS(L89)&lt;=O89,"Yes","No"))</f>
        <v>Yes</v>
      </c>
      <c r="S89" s="32" t="str">
        <f aca="false">IF(L89="","",IF(ABS(L89)&lt;=1.96*O89,"Yes","No"))</f>
        <v>Yes</v>
      </c>
      <c r="T89" s="60" t="n">
        <f aca="false">IF(D89="","",ROUND(SQRT(((D89+G89)*O89/100)^2+(J89*(D89+G89)*0.06092)^2),0))</f>
        <v>164</v>
      </c>
      <c r="U89" s="32"/>
    </row>
    <row r="90" customFormat="false" ht="15" hidden="false" customHeight="false" outlineLevel="0" collapsed="false">
      <c r="A90" s="32" t="s">
        <v>222</v>
      </c>
      <c r="B90" s="32" t="s">
        <v>257</v>
      </c>
      <c r="C90" s="32" t="s">
        <v>164</v>
      </c>
      <c r="D90" s="60" t="n">
        <v>613</v>
      </c>
      <c r="E90" s="60" t="n">
        <v>634</v>
      </c>
      <c r="F90" s="69" t="n">
        <f aca="false">IF(E90="","",D90-E90)</f>
        <v>-21</v>
      </c>
      <c r="G90" s="60" t="n">
        <v>913</v>
      </c>
      <c r="H90" s="60" t="n">
        <v>856</v>
      </c>
      <c r="I90" s="69" t="n">
        <f aca="false">IF(H90="","",G90-H90)</f>
        <v>57</v>
      </c>
      <c r="J90" s="40" t="n">
        <f aca="false">IF(OR(D90="",D90+G90=0),"",D90/(D90+G90))</f>
        <v>0.40170380078637</v>
      </c>
      <c r="K90" s="40" t="n">
        <f aca="false">IF(E90="","",E90/(E90+H90))</f>
        <v>0.425503355704698</v>
      </c>
      <c r="L90" s="70" t="n">
        <f aca="false">IF(OR(K90="",J90=""),"",(J90-K90)*100)</f>
        <v>-2.37995549183284</v>
      </c>
      <c r="M90" s="36" t="n">
        <v>3.75884140229675</v>
      </c>
      <c r="N90" s="36" t="n">
        <v>2.59292838795783</v>
      </c>
      <c r="O90" s="36" t="n">
        <f aca="false">SQRT(M90^2+N90^2)</f>
        <v>4.56641722937116</v>
      </c>
      <c r="P90" s="40" t="n">
        <f aca="false">IF(J90="","",MAX(0,J90-1.96*O90/100))</f>
        <v>0.312202023090695</v>
      </c>
      <c r="Q90" s="40" t="n">
        <f aca="false">IF(J90="","",MIN(1,J90+1.96*O90/100))</f>
        <v>0.491205578482044</v>
      </c>
      <c r="R90" s="32" t="str">
        <f aca="false">IF(L90="","",IF(ABS(L90)&lt;=O90,"Yes","No"))</f>
        <v>Yes</v>
      </c>
      <c r="S90" s="32" t="str">
        <f aca="false">IF(L90="","",IF(ABS(L90)&lt;=1.96*O90,"Yes","No"))</f>
        <v>Yes</v>
      </c>
      <c r="T90" s="60" t="n">
        <f aca="false">IF(D90="","",ROUND(SQRT(((D90+G90)*O90/100)^2+(J90*(D90+G90)*0.07859)^2),0))</f>
        <v>85</v>
      </c>
      <c r="U90" s="32"/>
    </row>
    <row r="92" customFormat="false" ht="15" hidden="false" customHeight="false" outlineLevel="0" collapsed="false">
      <c r="A92" s="20" t="s">
        <v>377</v>
      </c>
      <c r="B92" s="71"/>
      <c r="C92" s="71"/>
      <c r="D92" s="72" t="n">
        <f aca="false">SUMIF(E2:E90,"&lt;&gt;",D2:D90)</f>
        <v>197924</v>
      </c>
      <c r="E92" s="72" t="n">
        <f aca="false">SUM(E2:E90)</f>
        <v>199626</v>
      </c>
      <c r="F92" s="73" t="n">
        <f aca="false">D92-E92</f>
        <v>-1702</v>
      </c>
      <c r="G92" s="72" t="n">
        <f aca="false">SUMIF(H2:H90,"&lt;&gt;",G2:G90)</f>
        <v>203199</v>
      </c>
      <c r="H92" s="72" t="n">
        <f aca="false">SUM(H2:H90)</f>
        <v>203688</v>
      </c>
      <c r="I92" s="73" t="n">
        <f aca="false">G92-H92</f>
        <v>-489</v>
      </c>
      <c r="J92" s="74" t="n">
        <f aca="false">D92/(D92+G92)</f>
        <v>0.49342471012632</v>
      </c>
      <c r="K92" s="74" t="n">
        <f aca="false">E92/(E92+H92)</f>
        <v>0.49496422142549</v>
      </c>
      <c r="L92" s="75" t="n">
        <f aca="false">(J92-K92)*100</f>
        <v>-0.153951129916946</v>
      </c>
      <c r="M92" s="76" t="n">
        <v>0</v>
      </c>
      <c r="N92" s="76" t="n">
        <v>2.59292838795783</v>
      </c>
      <c r="O92" s="76" t="n">
        <f aca="false">SQRT(M92^2+N92^2)</f>
        <v>2.59292838795783</v>
      </c>
      <c r="P92" s="74" t="n">
        <f aca="false">J92-1.96*O92/100</f>
        <v>0.442603313722347</v>
      </c>
      <c r="Q92" s="74" t="n">
        <f aca="false">J92+1.96*O92/100</f>
        <v>0.544246106530294</v>
      </c>
      <c r="R92" s="71" t="str">
        <f aca="false">IF(ABS(L92)&lt;=O92,"Yes","No")</f>
        <v>Yes</v>
      </c>
      <c r="S92" s="71" t="str">
        <f aca="false">IF(ABS(L92)&lt;=1.96*O92,"Yes","No")</f>
        <v>Yes</v>
      </c>
      <c r="T92" s="72" t="n">
        <f aca="false">ROUND(SQRT(((D92+G92)*O92/100)^2+(J92*(D92+G92)*0.04269)^2),0)</f>
        <v>13400</v>
      </c>
    </row>
    <row r="93" customFormat="false" ht="15" hidden="false" customHeight="false" outlineLevel="0" collapsed="false">
      <c r="A93" s="20" t="s">
        <v>378</v>
      </c>
      <c r="B93" s="71"/>
      <c r="C93" s="71"/>
      <c r="D93" s="72" t="n">
        <f aca="false">SUM(D2:D90)</f>
        <v>197924</v>
      </c>
      <c r="E93" s="72"/>
      <c r="F93" s="73"/>
      <c r="G93" s="72" t="n">
        <f aca="false">SUM(G2:G90)</f>
        <v>203199</v>
      </c>
      <c r="H93" s="72"/>
      <c r="I93" s="73"/>
      <c r="J93" s="74" t="n">
        <f aca="false">D93/(D93+G93)</f>
        <v>0.49342471012632</v>
      </c>
      <c r="K93" s="74"/>
      <c r="L93" s="75"/>
      <c r="M93" s="76"/>
      <c r="N93" s="76"/>
      <c r="O93" s="76"/>
      <c r="P93" s="74"/>
      <c r="Q93" s="74"/>
      <c r="R93" s="71"/>
      <c r="S93" s="71"/>
      <c r="T93" s="72"/>
    </row>
    <row r="95" customFormat="false" ht="15" hidden="false" customHeight="false" outlineLevel="0" collapsed="false">
      <c r="A95" s="2" t="s">
        <v>379</v>
      </c>
      <c r="F95" s="77" t="n">
        <f aca="false">(SUMIF(F2:F90,"&gt;0")-SUMIF(F2:F90,"&lt;0"))/COUNT(F2:F90)</f>
        <v>87.8426966292135</v>
      </c>
    </row>
    <row r="96" customFormat="false" ht="15" hidden="false" customHeight="false" outlineLevel="0" collapsed="false">
      <c r="A96" s="2" t="s">
        <v>380</v>
      </c>
      <c r="F96" s="77" t="n">
        <f aca="false">(SUMIF(I2:I90,"&gt;0")-SUMIF(I2:I90,"&lt;0"))/COUNT(I2:I90)</f>
        <v>72.2584269662921</v>
      </c>
    </row>
    <row r="97" customFormat="false" ht="15" hidden="false" customHeight="false" outlineLevel="0" collapsed="false">
      <c r="A97" s="2" t="s">
        <v>381</v>
      </c>
      <c r="F97" s="78" t="n">
        <f aca="false">(SUMIF(L2:L90,"&gt;0")-SUMIF(L2:L90,"&lt;0"))/COUNT(L2:L90)</f>
        <v>1.80385850689666</v>
      </c>
    </row>
    <row r="98" customFormat="false" ht="15" hidden="false" customHeight="false" outlineLevel="0" collapsed="false">
      <c r="A98" s="5" t="s">
        <v>382</v>
      </c>
      <c r="F98" s="79" t="n">
        <f aca="false">SQRT(SUMSQ(L2:L90)/COUNT(L2:L90))</f>
        <v>2.32279958191408</v>
      </c>
    </row>
    <row r="99" customFormat="false" ht="15" hidden="false" customHeight="false" outlineLevel="0" collapsed="false">
      <c r="A99" s="5" t="s">
        <v>383</v>
      </c>
      <c r="F99" s="80" t="n">
        <f aca="false">L92</f>
        <v>-0.153951129916946</v>
      </c>
    </row>
    <row r="100" customFormat="false" ht="15" hidden="false" customHeight="false" outlineLevel="0" collapsed="false">
      <c r="A100" s="5" t="s">
        <v>384</v>
      </c>
      <c r="F100" s="79" t="n">
        <f aca="false">SQRT((SUMSQ(L2:L90)-2*L92*SUM(L2:L90)+COUNT(L2:L90)*L92^2)/COUNT(L2:L90))</f>
        <v>2.24503909969786</v>
      </c>
    </row>
    <row r="101" customFormat="false" ht="15" hidden="false" customHeight="false" outlineLevel="0" collapsed="false">
      <c r="A101" s="2" t="s">
        <v>385</v>
      </c>
      <c r="F101" s="81" t="n">
        <f aca="false">D92/E92-1</f>
        <v>-0.00852594351437186</v>
      </c>
    </row>
    <row r="102" customFormat="false" ht="15" hidden="false" customHeight="false" outlineLevel="0" collapsed="false">
      <c r="A102" s="5" t="s">
        <v>386</v>
      </c>
      <c r="F102" s="82" t="n">
        <f aca="false">G92/H92-1</f>
        <v>-0.00240073052904444</v>
      </c>
    </row>
    <row r="103" customFormat="false" ht="15" hidden="false" customHeight="false" outlineLevel="0" collapsed="false">
      <c r="A103" s="2" t="s">
        <v>387</v>
      </c>
      <c r="F103" s="81" t="n">
        <f aca="false">(D92+G92)/(E92+H92)-1</f>
        <v>-0.00543249180539229</v>
      </c>
    </row>
    <row r="104" customFormat="false" ht="15" hidden="false" customHeight="false" outlineLevel="0" collapsed="false">
      <c r="A104" s="2" t="s">
        <v>388</v>
      </c>
      <c r="F104" s="78" t="n">
        <f aca="false">AVERAGE(O2:O90)</f>
        <v>3.80595200778715</v>
      </c>
    </row>
    <row r="105" customFormat="false" ht="15" hidden="false" customHeight="false" outlineLevel="0" collapsed="false">
      <c r="A105" s="5" t="s">
        <v>389</v>
      </c>
      <c r="F105" s="83" t="n">
        <f aca="false">COUNTIF(R2:R90,"Yes")/(COUNTIF(R2:R90,"Yes")+COUNTIF(R2:R90,"No"))</f>
        <v>0.887640449438202</v>
      </c>
    </row>
    <row r="106" customFormat="false" ht="15" hidden="false" customHeight="false" outlineLevel="0" collapsed="false">
      <c r="A106" s="5" t="s">
        <v>390</v>
      </c>
      <c r="F106" s="83" t="n">
        <f aca="false">COUNTIF(S2:S90,"Yes")/(COUNTIF(S2:S90,"Yes")+COUNTIF(S2:S90,"No"))</f>
        <v>1</v>
      </c>
    </row>
    <row r="107" customFormat="false" ht="15" hidden="false" customHeight="false" outlineLevel="0" collapsed="false">
      <c r="A107" s="2" t="s">
        <v>391</v>
      </c>
      <c r="F107" s="84" t="n">
        <f aca="false">COUNTIFS(L2:L90,"&gt;=-3",L2:L90,"&lt;=3")/COUNT(L2:L90)</f>
        <v>0.797752808988764</v>
      </c>
    </row>
    <row r="108" customFormat="false" ht="15" hidden="false" customHeight="false" outlineLevel="0" collapsed="false">
      <c r="A108" s="2" t="s">
        <v>392</v>
      </c>
      <c r="F108" s="85" t="n">
        <f aca="false">COUNT(E2:E90)</f>
        <v>89</v>
      </c>
    </row>
    <row r="109" customFormat="false" ht="15" hidden="false" customHeight="false" outlineLevel="0" collapsed="false">
      <c r="A109" s="2" t="s">
        <v>393</v>
      </c>
      <c r="F109" s="85" t="n">
        <f aca="false">COUNTA(A2:A90)</f>
        <v>89</v>
      </c>
    </row>
    <row r="110" customFormat="false" ht="15" hidden="false" customHeight="false" outlineLevel="0" collapsed="false">
      <c r="A110" s="5" t="s">
        <v>394</v>
      </c>
    </row>
    <row r="111" customFormat="false" ht="15" hidden="false" customHeight="false" outlineLevel="0" collapsed="false">
      <c r="A111" s="2" t="s">
        <v>395</v>
      </c>
      <c r="F111" s="86" t="n">
        <f aca="false">((D92+G92)-(E92+H92))*K92</f>
        <v>-1084.46660914325</v>
      </c>
    </row>
    <row r="112" customFormat="false" ht="15" hidden="false" customHeight="false" outlineLevel="0" collapsed="false">
      <c r="A112" s="2" t="s">
        <v>396</v>
      </c>
      <c r="F112" s="86" t="n">
        <f aca="false">F92-((D92+G92)-(E92+H92))*K92</f>
        <v>-617.533390856752</v>
      </c>
    </row>
    <row r="113" customFormat="false" ht="15" hidden="false" customHeight="false" outlineLevel="0" collapsed="false">
      <c r="A113" s="2" t="s">
        <v>397</v>
      </c>
      <c r="F113" s="86" t="n">
        <f aca="false">((D92+G92)-(E92+H92))*(1-K92)</f>
        <v>-1106.53339085675</v>
      </c>
    </row>
    <row r="114" customFormat="false" ht="15" hidden="false" customHeight="false" outlineLevel="0" collapsed="false">
      <c r="A114" s="2" t="s">
        <v>398</v>
      </c>
      <c r="F114" s="86" t="n">
        <f aca="false">I92-((D92+G92)-(E92+H92))*(1-K92)</f>
        <v>617.533390856752</v>
      </c>
    </row>
    <row r="115" customFormat="false" ht="15" hidden="false" customHeight="false" outlineLevel="0" collapsed="false">
      <c r="A115" s="2" t="s">
        <v>399</v>
      </c>
      <c r="F115" s="81" t="n">
        <f aca="false">(F92-((D92+G92)-(E92+H92))*K92)/E92</f>
        <v>-0.00309345170897955</v>
      </c>
    </row>
    <row r="116" customFormat="false" ht="15" hidden="false" customHeight="false" outlineLevel="0" collapsed="false">
      <c r="A116" s="2" t="s">
        <v>400</v>
      </c>
      <c r="F116" s="81" t="n">
        <f aca="false">(I92-((D92+G92)-(E92+H92))*(1-K92))/H92</f>
        <v>0.0030317612763479</v>
      </c>
    </row>
    <row r="118" customFormat="false" ht="15" hidden="false" customHeight="false" outlineLevel="0" collapsed="false">
      <c r="U118" s="5" t="s">
        <v>139</v>
      </c>
    </row>
    <row r="119" customFormat="false" ht="28.35" hidden="false" customHeight="false" outlineLevel="0" collapsed="false">
      <c r="U119" s="68" t="s">
        <v>401</v>
      </c>
    </row>
    <row r="120" customFormat="false" ht="15" hidden="false" customHeight="false" outlineLevel="0" collapsed="false">
      <c r="U120" s="68" t="s">
        <v>402</v>
      </c>
    </row>
    <row r="121" customFormat="false" ht="41.75" hidden="false" customHeight="false" outlineLevel="0" collapsed="false">
      <c r="U121" s="68" t="s">
        <v>411</v>
      </c>
    </row>
    <row r="122" customFormat="false" ht="15" hidden="false" customHeight="false" outlineLevel="0" collapsed="false">
      <c r="U122" s="68" t="s">
        <v>404</v>
      </c>
    </row>
    <row r="123" customFormat="false" ht="41.75" hidden="false" customHeight="false" outlineLevel="0" collapsed="false">
      <c r="U123" s="68" t="s">
        <v>405</v>
      </c>
    </row>
    <row r="124" customFormat="false" ht="28.35" hidden="false" customHeight="false" outlineLevel="0" collapsed="false">
      <c r="U124" s="68" t="s">
        <v>406</v>
      </c>
    </row>
    <row r="125" customFormat="false" ht="28.35" hidden="false" customHeight="false" outlineLevel="0" collapsed="false">
      <c r="U125" s="68" t="s">
        <v>407</v>
      </c>
    </row>
    <row r="126" customFormat="false" ht="41.75" hidden="false" customHeight="false" outlineLevel="0" collapsed="false">
      <c r="U126" s="68" t="s">
        <v>408</v>
      </c>
    </row>
    <row r="127" customFormat="false" ht="15" hidden="false" customHeight="false" outlineLevel="0" collapsed="false">
      <c r="U127" s="68" t="s">
        <v>409</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360</v>
      </c>
      <c r="E1" s="8" t="s">
        <v>361</v>
      </c>
      <c r="F1" s="8" t="s">
        <v>362</v>
      </c>
      <c r="G1" s="8" t="s">
        <v>412</v>
      </c>
      <c r="H1" s="8" t="s">
        <v>364</v>
      </c>
      <c r="I1" s="8" t="s">
        <v>365</v>
      </c>
      <c r="J1" s="8" t="s">
        <v>366</v>
      </c>
      <c r="K1" s="8" t="s">
        <v>367</v>
      </c>
      <c r="L1" s="8" t="s">
        <v>368</v>
      </c>
      <c r="M1" s="8" t="s">
        <v>413</v>
      </c>
      <c r="N1" s="8" t="s">
        <v>414</v>
      </c>
      <c r="O1" s="8" t="s">
        <v>142</v>
      </c>
      <c r="P1" s="8" t="s">
        <v>371</v>
      </c>
      <c r="Q1" s="8" t="s">
        <v>372</v>
      </c>
      <c r="R1" s="8" t="s">
        <v>373</v>
      </c>
      <c r="S1" s="8" t="s">
        <v>374</v>
      </c>
      <c r="T1" s="8" t="s">
        <v>375</v>
      </c>
      <c r="U1" s="8" t="s">
        <v>376</v>
      </c>
    </row>
    <row r="2" customFormat="false" ht="15" hidden="false" customHeight="false" outlineLevel="0" collapsed="false">
      <c r="A2" s="32" t="s">
        <v>162</v>
      </c>
      <c r="B2" s="32" t="s">
        <v>163</v>
      </c>
      <c r="C2" s="32" t="s">
        <v>164</v>
      </c>
      <c r="D2" s="60" t="n">
        <v>134</v>
      </c>
      <c r="E2" s="60" t="n">
        <v>137</v>
      </c>
      <c r="F2" s="69" t="n">
        <f aca="false">IF(E2="","",D2-E2)</f>
        <v>-3</v>
      </c>
      <c r="G2" s="60" t="n">
        <v>211</v>
      </c>
      <c r="H2" s="60" t="n">
        <v>249</v>
      </c>
      <c r="I2" s="69" t="n">
        <f aca="false">IF(H2="","",G2-H2)</f>
        <v>-38</v>
      </c>
      <c r="J2" s="40" t="n">
        <f aca="false">IF(OR(D2="",D2+G2=0),"",D2/(D2+G2))</f>
        <v>0.388405797101449</v>
      </c>
      <c r="K2" s="40" t="n">
        <f aca="false">IF(E2="","",E2/(E2+H2))</f>
        <v>0.354922279792746</v>
      </c>
      <c r="L2" s="70" t="n">
        <f aca="false">IF(OR(K2="",J2=""),"",(J2-K2)*100)</f>
        <v>3.34835173087032</v>
      </c>
      <c r="M2" s="36" t="n">
        <v>3.29910770631353</v>
      </c>
      <c r="N2" s="36" t="n">
        <v>2.13758839273281</v>
      </c>
      <c r="O2" s="36" t="n">
        <f aca="false">SQRT(M2^2+N2^2)</f>
        <v>3.93108074129791</v>
      </c>
      <c r="P2" s="40" t="n">
        <f aca="false">IF(J2="","",MAX(0,J2-1.96*O2/100))</f>
        <v>0.31135661457201</v>
      </c>
      <c r="Q2" s="40" t="n">
        <f aca="false">IF(J2="","",MIN(1,J2+1.96*O2/100))</f>
        <v>0.465454979630888</v>
      </c>
      <c r="R2" s="32" t="str">
        <f aca="false">IF(L2="","",IF(ABS(L2)&lt;=O2,"Yes","No"))</f>
        <v>Yes</v>
      </c>
      <c r="S2" s="32" t="str">
        <f aca="false">IF(L2="","",IF(ABS(L2)&lt;=1.96*O2,"Yes","No"))</f>
        <v>Yes</v>
      </c>
      <c r="T2" s="60" t="n">
        <f aca="false">IF(D2="","",ROUND(SQRT(((D2+G2)*O2/100)^2+(J2*(D2+G2)*0.0534)^2),0))</f>
        <v>15</v>
      </c>
      <c r="U2" s="32"/>
    </row>
    <row r="3" customFormat="false" ht="15" hidden="false" customHeight="false" outlineLevel="0" collapsed="false">
      <c r="A3" s="32" t="s">
        <v>162</v>
      </c>
      <c r="B3" s="32" t="s">
        <v>168</v>
      </c>
      <c r="C3" s="32" t="s">
        <v>164</v>
      </c>
      <c r="D3" s="60" t="n">
        <v>86</v>
      </c>
      <c r="E3" s="60" t="n">
        <v>84</v>
      </c>
      <c r="F3" s="69" t="n">
        <f aca="false">IF(E3="","",D3-E3)</f>
        <v>2</v>
      </c>
      <c r="G3" s="60" t="n">
        <v>192</v>
      </c>
      <c r="H3" s="60" t="n">
        <v>230</v>
      </c>
      <c r="I3" s="69" t="n">
        <f aca="false">IF(H3="","",G3-H3)</f>
        <v>-38</v>
      </c>
      <c r="J3" s="40" t="n">
        <f aca="false">IF(OR(D3="",D3+G3=0),"",D3/(D3+G3))</f>
        <v>0.309352517985612</v>
      </c>
      <c r="K3" s="40" t="n">
        <f aca="false">IF(E3="","",E3/(E3+H3))</f>
        <v>0.267515923566879</v>
      </c>
      <c r="L3" s="70" t="n">
        <f aca="false">IF(OR(K3="",J3=""),"",(J3-K3)*100)</f>
        <v>4.18365944187326</v>
      </c>
      <c r="M3" s="36" t="n">
        <v>3.29910770631353</v>
      </c>
      <c r="N3" s="36" t="n">
        <v>2.13758839273281</v>
      </c>
      <c r="O3" s="36" t="n">
        <f aca="false">SQRT(M3^2+N3^2)</f>
        <v>3.93108074129791</v>
      </c>
      <c r="P3" s="40" t="n">
        <f aca="false">IF(J3="","",MAX(0,J3-1.96*O3/100))</f>
        <v>0.232303335456173</v>
      </c>
      <c r="Q3" s="40" t="n">
        <f aca="false">IF(J3="","",MIN(1,J3+1.96*O3/100))</f>
        <v>0.386401700515051</v>
      </c>
      <c r="R3" s="32" t="str">
        <f aca="false">IF(L3="","",IF(ABS(L3)&lt;=O3,"Yes","No"))</f>
        <v>No</v>
      </c>
      <c r="S3" s="32" t="str">
        <f aca="false">IF(L3="","",IF(ABS(L3)&lt;=1.96*O3,"Yes","No"))</f>
        <v>Yes</v>
      </c>
      <c r="T3" s="60" t="n">
        <f aca="false">IF(D3="","",ROUND(SQRT(((D3+G3)*O3/100)^2+(J3*(D3+G3)*0.0534)^2),0))</f>
        <v>12</v>
      </c>
      <c r="U3" s="32"/>
    </row>
    <row r="4" customFormat="false" ht="15" hidden="false" customHeight="false" outlineLevel="0" collapsed="false">
      <c r="A4" s="32" t="s">
        <v>162</v>
      </c>
      <c r="B4" s="32" t="s">
        <v>169</v>
      </c>
      <c r="C4" s="32" t="s">
        <v>164</v>
      </c>
      <c r="D4" s="60" t="n">
        <v>87</v>
      </c>
      <c r="E4" s="60" t="n">
        <v>125</v>
      </c>
      <c r="F4" s="69" t="n">
        <f aca="false">IF(E4="","",D4-E4)</f>
        <v>-38</v>
      </c>
      <c r="G4" s="60" t="n">
        <v>201</v>
      </c>
      <c r="H4" s="60" t="n">
        <v>223</v>
      </c>
      <c r="I4" s="69" t="n">
        <f aca="false">IF(H4="","",G4-H4)</f>
        <v>-22</v>
      </c>
      <c r="J4" s="40" t="n">
        <f aca="false">IF(OR(D4="",D4+G4=0),"",D4/(D4+G4))</f>
        <v>0.302083333333333</v>
      </c>
      <c r="K4" s="40" t="n">
        <f aca="false">IF(E4="","",E4/(E4+H4))</f>
        <v>0.359195402298851</v>
      </c>
      <c r="L4" s="70" t="n">
        <f aca="false">IF(OR(K4="",J4=""),"",(J4-K4)*100)</f>
        <v>-5.71120689655172</v>
      </c>
      <c r="M4" s="36" t="n">
        <v>3.29910770631353</v>
      </c>
      <c r="N4" s="36" t="n">
        <v>2.13758839273281</v>
      </c>
      <c r="O4" s="36" t="n">
        <f aca="false">SQRT(M4^2+N4^2)</f>
        <v>3.93108074129791</v>
      </c>
      <c r="P4" s="40" t="n">
        <f aca="false">IF(J4="","",MAX(0,J4-1.96*O4/100))</f>
        <v>0.225034150803894</v>
      </c>
      <c r="Q4" s="40" t="n">
        <f aca="false">IF(J4="","",MIN(1,J4+1.96*O4/100))</f>
        <v>0.379132515862772</v>
      </c>
      <c r="R4" s="32" t="str">
        <f aca="false">IF(L4="","",IF(ABS(L4)&lt;=O4,"Yes","No"))</f>
        <v>No</v>
      </c>
      <c r="S4" s="32" t="str">
        <f aca="false">IF(L4="","",IF(ABS(L4)&lt;=1.96*O4,"Yes","No"))</f>
        <v>Yes</v>
      </c>
      <c r="T4" s="60" t="n">
        <f aca="false">IF(D4="","",ROUND(SQRT(((D4+G4)*O4/100)^2+(J4*(D4+G4)*0.0534)^2),0))</f>
        <v>12</v>
      </c>
      <c r="U4" s="32"/>
    </row>
    <row r="5" customFormat="false" ht="15" hidden="false" customHeight="false" outlineLevel="0" collapsed="false">
      <c r="A5" s="32" t="s">
        <v>162</v>
      </c>
      <c r="B5" s="32" t="s">
        <v>170</v>
      </c>
      <c r="C5" s="32" t="s">
        <v>164</v>
      </c>
      <c r="D5" s="60" t="n">
        <v>343</v>
      </c>
      <c r="E5" s="60" t="n">
        <v>372</v>
      </c>
      <c r="F5" s="69" t="n">
        <f aca="false">IF(E5="","",D5-E5)</f>
        <v>-29</v>
      </c>
      <c r="G5" s="60" t="n">
        <v>788</v>
      </c>
      <c r="H5" s="60" t="n">
        <v>925</v>
      </c>
      <c r="I5" s="69" t="n">
        <f aca="false">IF(H5="","",G5-H5)</f>
        <v>-137</v>
      </c>
      <c r="J5" s="40" t="n">
        <f aca="false">IF(OR(D5="",D5+G5=0),"",D5/(D5+G5))</f>
        <v>0.303271441202476</v>
      </c>
      <c r="K5" s="40" t="n">
        <f aca="false">IF(E5="","",E5/(E5+H5))</f>
        <v>0.286815728604472</v>
      </c>
      <c r="L5" s="70" t="n">
        <f aca="false">IF(OR(K5="",J5=""),"",(J5-K5)*100)</f>
        <v>1.64557125980038</v>
      </c>
      <c r="M5" s="36" t="n">
        <v>2.14836094977141</v>
      </c>
      <c r="N5" s="36" t="n">
        <v>2.13758839273281</v>
      </c>
      <c r="O5" s="36" t="n">
        <f aca="false">SQRT(M5^2+N5^2)</f>
        <v>3.03063341683694</v>
      </c>
      <c r="P5" s="40" t="n">
        <f aca="false">IF(J5="","",MAX(0,J5-1.96*O5/100))</f>
        <v>0.243871026232472</v>
      </c>
      <c r="Q5" s="40" t="n">
        <f aca="false">IF(J5="","",MIN(1,J5+1.96*O5/100))</f>
        <v>0.36267185617248</v>
      </c>
      <c r="R5" s="32" t="str">
        <f aca="false">IF(L5="","",IF(ABS(L5)&lt;=O5,"Yes","No"))</f>
        <v>Yes</v>
      </c>
      <c r="S5" s="32" t="str">
        <f aca="false">IF(L5="","",IF(ABS(L5)&lt;=1.96*O5,"Yes","No"))</f>
        <v>Yes</v>
      </c>
      <c r="T5" s="60" t="n">
        <f aca="false">IF(D5="","",ROUND(SQRT(((D5+G5)*O5/100)^2+(J5*(D5+G5)*0.03811)^2),0))</f>
        <v>37</v>
      </c>
      <c r="U5" s="32"/>
    </row>
    <row r="6" customFormat="false" ht="15" hidden="false" customHeight="false" outlineLevel="0" collapsed="false">
      <c r="A6" s="32" t="s">
        <v>162</v>
      </c>
      <c r="B6" s="32" t="s">
        <v>172</v>
      </c>
      <c r="C6" s="32" t="s">
        <v>164</v>
      </c>
      <c r="D6" s="60" t="n">
        <v>32</v>
      </c>
      <c r="E6" s="60" t="n">
        <v>33</v>
      </c>
      <c r="F6" s="69" t="n">
        <f aca="false">IF(E6="","",D6-E6)</f>
        <v>-1</v>
      </c>
      <c r="G6" s="60" t="n">
        <v>44</v>
      </c>
      <c r="H6" s="60" t="n">
        <v>61</v>
      </c>
      <c r="I6" s="69" t="n">
        <f aca="false">IF(H6="","",G6-H6)</f>
        <v>-17</v>
      </c>
      <c r="J6" s="40" t="n">
        <f aca="false">IF(OR(D6="",D6+G6=0),"",D6/(D6+G6))</f>
        <v>0.421052631578947</v>
      </c>
      <c r="K6" s="40" t="n">
        <f aca="false">IF(E6="","",E6/(E6+H6))</f>
        <v>0.351063829787234</v>
      </c>
      <c r="L6" s="70" t="n">
        <f aca="false">IF(OR(K6="",J6=""),"",(J6-K6)*100)</f>
        <v>6.99888017917133</v>
      </c>
      <c r="M6" s="36" t="n">
        <v>3.29910770631353</v>
      </c>
      <c r="N6" s="36" t="n">
        <v>2.13758839273281</v>
      </c>
      <c r="O6" s="36" t="n">
        <f aca="false">SQRT(M6^2+N6^2)</f>
        <v>3.93108074129791</v>
      </c>
      <c r="P6" s="40" t="n">
        <f aca="false">IF(J6="","",MAX(0,J6-1.96*O6/100))</f>
        <v>0.344003449049508</v>
      </c>
      <c r="Q6" s="40" t="n">
        <f aca="false">IF(J6="","",MIN(1,J6+1.96*O6/100))</f>
        <v>0.498101814108386</v>
      </c>
      <c r="R6" s="32" t="str">
        <f aca="false">IF(L6="","",IF(ABS(L6)&lt;=O6,"Yes","No"))</f>
        <v>No</v>
      </c>
      <c r="S6" s="32" t="str">
        <f aca="false">IF(L6="","",IF(ABS(L6)&lt;=1.96*O6,"Yes","No"))</f>
        <v>Yes</v>
      </c>
      <c r="T6" s="60" t="n">
        <f aca="false">IF(D6="","",ROUND(SQRT(((D6+G6)*O6/100)^2+(J6*(D6+G6)*0.0534)^2),0))</f>
        <v>3</v>
      </c>
      <c r="U6" s="32"/>
    </row>
    <row r="7" customFormat="false" ht="15" hidden="false" customHeight="false" outlineLevel="0" collapsed="false">
      <c r="A7" s="32" t="s">
        <v>162</v>
      </c>
      <c r="B7" s="32" t="s">
        <v>173</v>
      </c>
      <c r="C7" s="32" t="s">
        <v>164</v>
      </c>
      <c r="D7" s="60" t="n">
        <v>531</v>
      </c>
      <c r="E7" s="60" t="n">
        <v>560</v>
      </c>
      <c r="F7" s="69" t="n">
        <f aca="false">IF(E7="","",D7-E7)</f>
        <v>-29</v>
      </c>
      <c r="G7" s="60" t="n">
        <v>1198</v>
      </c>
      <c r="H7" s="60" t="n">
        <v>1398</v>
      </c>
      <c r="I7" s="69" t="n">
        <f aca="false">IF(H7="","",G7-H7)</f>
        <v>-200</v>
      </c>
      <c r="J7" s="40" t="n">
        <f aca="false">IF(OR(D7="",D7+G7=0),"",D7/(D7+G7))</f>
        <v>0.307113938692886</v>
      </c>
      <c r="K7" s="40" t="n">
        <f aca="false">IF(E7="","",E7/(E7+H7))</f>
        <v>0.286006128702758</v>
      </c>
      <c r="L7" s="70" t="n">
        <f aca="false">IF(OR(K7="",J7=""),"",(J7-K7)*100)</f>
        <v>2.11078099901281</v>
      </c>
      <c r="M7" s="36" t="n">
        <v>2.14836094977141</v>
      </c>
      <c r="N7" s="36" t="n">
        <v>2.13758839273281</v>
      </c>
      <c r="O7" s="36" t="n">
        <f aca="false">SQRT(M7^2+N7^2)</f>
        <v>3.03063341683694</v>
      </c>
      <c r="P7" s="40" t="n">
        <f aca="false">IF(J7="","",MAX(0,J7-1.96*O7/100))</f>
        <v>0.247713523722882</v>
      </c>
      <c r="Q7" s="40" t="n">
        <f aca="false">IF(J7="","",MIN(1,J7+1.96*O7/100))</f>
        <v>0.36651435366289</v>
      </c>
      <c r="R7" s="32" t="str">
        <f aca="false">IF(L7="","",IF(ABS(L7)&lt;=O7,"Yes","No"))</f>
        <v>Yes</v>
      </c>
      <c r="S7" s="32" t="str">
        <f aca="false">IF(L7="","",IF(ABS(L7)&lt;=1.96*O7,"Yes","No"))</f>
        <v>Yes</v>
      </c>
      <c r="T7" s="60" t="n">
        <f aca="false">IF(D7="","",ROUND(SQRT(((D7+G7)*O7/100)^2+(J7*(D7+G7)*0.03811)^2),0))</f>
        <v>56</v>
      </c>
      <c r="U7" s="32"/>
    </row>
    <row r="8" customFormat="false" ht="15" hidden="false" customHeight="false" outlineLevel="0" collapsed="false">
      <c r="A8" s="32" t="s">
        <v>162</v>
      </c>
      <c r="B8" s="32" t="s">
        <v>174</v>
      </c>
      <c r="C8" s="32" t="s">
        <v>164</v>
      </c>
      <c r="D8" s="60" t="n">
        <v>793</v>
      </c>
      <c r="E8" s="60" t="n">
        <v>979</v>
      </c>
      <c r="F8" s="69" t="n">
        <f aca="false">IF(E8="","",D8-E8)</f>
        <v>-186</v>
      </c>
      <c r="G8" s="60" t="n">
        <v>1058</v>
      </c>
      <c r="H8" s="60" t="n">
        <v>1157</v>
      </c>
      <c r="I8" s="69" t="n">
        <f aca="false">IF(H8="","",G8-H8)</f>
        <v>-99</v>
      </c>
      <c r="J8" s="40" t="n">
        <f aca="false">IF(OR(D8="",D8+G8=0),"",D8/(D8+G8))</f>
        <v>0.428417071853052</v>
      </c>
      <c r="K8" s="40" t="n">
        <f aca="false">IF(E8="","",E8/(E8+H8))</f>
        <v>0.458333333333333</v>
      </c>
      <c r="L8" s="70" t="n">
        <f aca="false">IF(OR(K8="",J8=""),"",(J8-K8)*100)</f>
        <v>-2.99162614802809</v>
      </c>
      <c r="M8" s="36" t="n">
        <v>2.14836094977141</v>
      </c>
      <c r="N8" s="36" t="n">
        <v>2.13758839273281</v>
      </c>
      <c r="O8" s="36" t="n">
        <f aca="false">SQRT(M8^2+N8^2)</f>
        <v>3.03063341683694</v>
      </c>
      <c r="P8" s="40" t="n">
        <f aca="false">IF(J8="","",MAX(0,J8-1.96*O8/100))</f>
        <v>0.369016656883048</v>
      </c>
      <c r="Q8" s="40" t="n">
        <f aca="false">IF(J8="","",MIN(1,J8+1.96*O8/100))</f>
        <v>0.487817486823056</v>
      </c>
      <c r="R8" s="32" t="str">
        <f aca="false">IF(L8="","",IF(ABS(L8)&lt;=O8,"Yes","No"))</f>
        <v>Yes</v>
      </c>
      <c r="S8" s="32" t="str">
        <f aca="false">IF(L8="","",IF(ABS(L8)&lt;=1.96*O8,"Yes","No"))</f>
        <v>Yes</v>
      </c>
      <c r="T8" s="60" t="n">
        <f aca="false">IF(D8="","",ROUND(SQRT(((D8+G8)*O8/100)^2+(J8*(D8+G8)*0.03811)^2),0))</f>
        <v>64</v>
      </c>
      <c r="U8" s="32"/>
    </row>
    <row r="9" customFormat="false" ht="15" hidden="false" customHeight="false" outlineLevel="0" collapsed="false">
      <c r="A9" s="32" t="s">
        <v>162</v>
      </c>
      <c r="B9" s="32" t="s">
        <v>175</v>
      </c>
      <c r="C9" s="32" t="s">
        <v>164</v>
      </c>
      <c r="D9" s="60" t="n">
        <v>273</v>
      </c>
      <c r="E9" s="60" t="n">
        <v>277</v>
      </c>
      <c r="F9" s="69" t="n">
        <f aca="false">IF(E9="","",D9-E9)</f>
        <v>-4</v>
      </c>
      <c r="G9" s="60" t="n">
        <v>536</v>
      </c>
      <c r="H9" s="60" t="n">
        <v>560</v>
      </c>
      <c r="I9" s="69" t="n">
        <f aca="false">IF(H9="","",G9-H9)</f>
        <v>-24</v>
      </c>
      <c r="J9" s="40" t="n">
        <f aca="false">IF(OR(D9="",D9+G9=0),"",D9/(D9+G9))</f>
        <v>0.337453646477132</v>
      </c>
      <c r="K9" s="40" t="n">
        <f aca="false">IF(E9="","",E9/(E9+H9))</f>
        <v>0.330943847072879</v>
      </c>
      <c r="L9" s="70" t="n">
        <f aca="false">IF(OR(K9="",J9=""),"",(J9-K9)*100)</f>
        <v>0.650979940425295</v>
      </c>
      <c r="M9" s="36" t="n">
        <v>3.29910770631353</v>
      </c>
      <c r="N9" s="36" t="n">
        <v>2.13758839273281</v>
      </c>
      <c r="O9" s="36" t="n">
        <f aca="false">SQRT(M9^2+N9^2)</f>
        <v>3.93108074129791</v>
      </c>
      <c r="P9" s="40" t="n">
        <f aca="false">IF(J9="","",MAX(0,J9-1.96*O9/100))</f>
        <v>0.260404463947693</v>
      </c>
      <c r="Q9" s="40" t="n">
        <f aca="false">IF(J9="","",MIN(1,J9+1.96*O9/100))</f>
        <v>0.414502829006571</v>
      </c>
      <c r="R9" s="32" t="str">
        <f aca="false">IF(L9="","",IF(ABS(L9)&lt;=O9,"Yes","No"))</f>
        <v>Yes</v>
      </c>
      <c r="S9" s="32" t="str">
        <f aca="false">IF(L9="","",IF(ABS(L9)&lt;=1.96*O9,"Yes","No"))</f>
        <v>Yes</v>
      </c>
      <c r="T9" s="60" t="n">
        <f aca="false">IF(D9="","",ROUND(SQRT(((D9+G9)*O9/100)^2+(J9*(D9+G9)*0.0534)^2),0))</f>
        <v>35</v>
      </c>
      <c r="U9" s="32"/>
    </row>
    <row r="10" customFormat="false" ht="15" hidden="false" customHeight="false" outlineLevel="0" collapsed="false">
      <c r="A10" s="32" t="s">
        <v>162</v>
      </c>
      <c r="B10" s="32" t="s">
        <v>176</v>
      </c>
      <c r="C10" s="32" t="s">
        <v>164</v>
      </c>
      <c r="D10" s="60" t="n">
        <v>395</v>
      </c>
      <c r="E10" s="60" t="n">
        <v>420</v>
      </c>
      <c r="F10" s="69" t="n">
        <f aca="false">IF(E10="","",D10-E10)</f>
        <v>-25</v>
      </c>
      <c r="G10" s="60" t="n">
        <v>516</v>
      </c>
      <c r="H10" s="60" t="n">
        <v>580</v>
      </c>
      <c r="I10" s="69" t="n">
        <f aca="false">IF(H10="","",G10-H10)</f>
        <v>-64</v>
      </c>
      <c r="J10" s="40" t="n">
        <f aca="false">IF(OR(D10="",D10+G10=0),"",D10/(D10+G10))</f>
        <v>0.433589462129528</v>
      </c>
      <c r="K10" s="40" t="n">
        <f aca="false">IF(E10="","",E10/(E10+H10))</f>
        <v>0.42</v>
      </c>
      <c r="L10" s="70" t="n">
        <f aca="false">IF(OR(K10="",J10=""),"",(J10-K10)*100)</f>
        <v>1.3589462129528</v>
      </c>
      <c r="M10" s="36" t="n">
        <v>3.29910770631353</v>
      </c>
      <c r="N10" s="36" t="n">
        <v>2.13758839273281</v>
      </c>
      <c r="O10" s="36" t="n">
        <f aca="false">SQRT(M10^2+N10^2)</f>
        <v>3.93108074129791</v>
      </c>
      <c r="P10" s="40" t="n">
        <f aca="false">IF(J10="","",MAX(0,J10-1.96*O10/100))</f>
        <v>0.356540279600089</v>
      </c>
      <c r="Q10" s="40" t="n">
        <f aca="false">IF(J10="","",MIN(1,J10+1.96*O10/100))</f>
        <v>0.510638644658967</v>
      </c>
      <c r="R10" s="32" t="str">
        <f aca="false">IF(L10="","",IF(ABS(L10)&lt;=O10,"Yes","No"))</f>
        <v>Yes</v>
      </c>
      <c r="S10" s="32" t="str">
        <f aca="false">IF(L10="","",IF(ABS(L10)&lt;=1.96*O10,"Yes","No"))</f>
        <v>Yes</v>
      </c>
      <c r="T10" s="60" t="n">
        <f aca="false">IF(D10="","",ROUND(SQRT(((D10+G10)*O10/100)^2+(J10*(D10+G10)*0.0534)^2),0))</f>
        <v>42</v>
      </c>
      <c r="U10" s="32"/>
    </row>
    <row r="11" customFormat="false" ht="15" hidden="false" customHeight="false" outlineLevel="0" collapsed="false">
      <c r="A11" s="32" t="s">
        <v>162</v>
      </c>
      <c r="B11" s="32" t="s">
        <v>177</v>
      </c>
      <c r="C11" s="32" t="s">
        <v>164</v>
      </c>
      <c r="D11" s="60" t="n">
        <v>28</v>
      </c>
      <c r="E11" s="60" t="n">
        <v>36</v>
      </c>
      <c r="F11" s="69" t="n">
        <f aca="false">IF(E11="","",D11-E11)</f>
        <v>-8</v>
      </c>
      <c r="G11" s="60" t="n">
        <v>63</v>
      </c>
      <c r="H11" s="60" t="n">
        <v>79</v>
      </c>
      <c r="I11" s="69" t="n">
        <f aca="false">IF(H11="","",G11-H11)</f>
        <v>-16</v>
      </c>
      <c r="J11" s="40" t="n">
        <f aca="false">IF(OR(D11="",D11+G11=0),"",D11/(D11+G11))</f>
        <v>0.307692307692308</v>
      </c>
      <c r="K11" s="40" t="n">
        <f aca="false">IF(E11="","",E11/(E11+H11))</f>
        <v>0.31304347826087</v>
      </c>
      <c r="L11" s="70" t="n">
        <f aca="false">IF(OR(K11="",J11=""),"",(J11-K11)*100)</f>
        <v>-0.535117056856188</v>
      </c>
      <c r="M11" s="36" t="n">
        <v>3.29910770631353</v>
      </c>
      <c r="N11" s="36" t="n">
        <v>2.13758839273281</v>
      </c>
      <c r="O11" s="36" t="n">
        <f aca="false">SQRT(M11^2+N11^2)</f>
        <v>3.93108074129791</v>
      </c>
      <c r="P11" s="40" t="n">
        <f aca="false">IF(J11="","",MAX(0,J11-1.96*O11/100))</f>
        <v>0.230643125162869</v>
      </c>
      <c r="Q11" s="40" t="n">
        <f aca="false">IF(J11="","",MIN(1,J11+1.96*O11/100))</f>
        <v>0.384741490221747</v>
      </c>
      <c r="R11" s="32" t="str">
        <f aca="false">IF(L11="","",IF(ABS(L11)&lt;=O11,"Yes","No"))</f>
        <v>Yes</v>
      </c>
      <c r="S11" s="32" t="str">
        <f aca="false">IF(L11="","",IF(ABS(L11)&lt;=1.96*O11,"Yes","No"))</f>
        <v>Yes</v>
      </c>
      <c r="T11" s="60" t="n">
        <f aca="false">IF(D11="","",ROUND(SQRT(((D11+G11)*O11/100)^2+(J11*(D11+G11)*0.0534)^2),0))</f>
        <v>4</v>
      </c>
      <c r="U11" s="32"/>
    </row>
    <row r="12" customFormat="false" ht="15" hidden="false" customHeight="false" outlineLevel="0" collapsed="false">
      <c r="A12" s="32" t="s">
        <v>162</v>
      </c>
      <c r="B12" s="32" t="s">
        <v>178</v>
      </c>
      <c r="C12" s="32" t="s">
        <v>164</v>
      </c>
      <c r="D12" s="60" t="n">
        <v>54</v>
      </c>
      <c r="E12" s="60" t="n">
        <v>52</v>
      </c>
      <c r="F12" s="69" t="n">
        <f aca="false">IF(E12="","",D12-E12)</f>
        <v>2</v>
      </c>
      <c r="G12" s="60" t="n">
        <v>145</v>
      </c>
      <c r="H12" s="60" t="n">
        <v>189</v>
      </c>
      <c r="I12" s="69" t="n">
        <f aca="false">IF(H12="","",G12-H12)</f>
        <v>-44</v>
      </c>
      <c r="J12" s="40" t="n">
        <f aca="false">IF(OR(D12="",D12+G12=0),"",D12/(D12+G12))</f>
        <v>0.271356783919598</v>
      </c>
      <c r="K12" s="40" t="n">
        <f aca="false">IF(E12="","",E12/(E12+H12))</f>
        <v>0.215767634854772</v>
      </c>
      <c r="L12" s="70" t="n">
        <f aca="false">IF(OR(K12="",J12=""),"",(J12-K12)*100)</f>
        <v>5.55891490648262</v>
      </c>
      <c r="M12" s="36" t="n">
        <v>3.29910770631353</v>
      </c>
      <c r="N12" s="36" t="n">
        <v>2.13758839273281</v>
      </c>
      <c r="O12" s="36" t="n">
        <f aca="false">SQRT(M12^2+N12^2)</f>
        <v>3.93108074129791</v>
      </c>
      <c r="P12" s="40" t="n">
        <f aca="false">IF(J12="","",MAX(0,J12-1.96*O12/100))</f>
        <v>0.194307601390159</v>
      </c>
      <c r="Q12" s="40" t="n">
        <f aca="false">IF(J12="","",MIN(1,J12+1.96*O12/100))</f>
        <v>0.348405966449037</v>
      </c>
      <c r="R12" s="32" t="str">
        <f aca="false">IF(L12="","",IF(ABS(L12)&lt;=O12,"Yes","No"))</f>
        <v>No</v>
      </c>
      <c r="S12" s="32" t="str">
        <f aca="false">IF(L12="","",IF(ABS(L12)&lt;=1.96*O12,"Yes","No"))</f>
        <v>Yes</v>
      </c>
      <c r="T12" s="60" t="n">
        <f aca="false">IF(D12="","",ROUND(SQRT(((D12+G12)*O12/100)^2+(J12*(D12+G12)*0.0534)^2),0))</f>
        <v>8</v>
      </c>
      <c r="U12" s="32"/>
    </row>
    <row r="13" customFormat="false" ht="15" hidden="false" customHeight="false" outlineLevel="0" collapsed="false">
      <c r="A13" s="32" t="s">
        <v>162</v>
      </c>
      <c r="B13" s="32" t="s">
        <v>179</v>
      </c>
      <c r="C13" s="32" t="s">
        <v>164</v>
      </c>
      <c r="D13" s="60" t="n">
        <v>609</v>
      </c>
      <c r="E13" s="60" t="n">
        <v>719</v>
      </c>
      <c r="F13" s="69" t="n">
        <f aca="false">IF(E13="","",D13-E13)</f>
        <v>-110</v>
      </c>
      <c r="G13" s="60" t="n">
        <v>867</v>
      </c>
      <c r="H13" s="60" t="n">
        <v>948</v>
      </c>
      <c r="I13" s="69" t="n">
        <f aca="false">IF(H13="","",G13-H13)</f>
        <v>-81</v>
      </c>
      <c r="J13" s="40" t="n">
        <f aca="false">IF(OR(D13="",D13+G13=0),"",D13/(D13+G13))</f>
        <v>0.41260162601626</v>
      </c>
      <c r="K13" s="40" t="n">
        <f aca="false">IF(E13="","",E13/(E13+H13))</f>
        <v>0.43131373725255</v>
      </c>
      <c r="L13" s="70" t="n">
        <f aca="false">IF(OR(K13="",J13=""),"",(J13-K13)*100)</f>
        <v>-1.87121112362894</v>
      </c>
      <c r="M13" s="36" t="n">
        <v>2.14836094977141</v>
      </c>
      <c r="N13" s="36" t="n">
        <v>2.13758839273281</v>
      </c>
      <c r="O13" s="36" t="n">
        <f aca="false">SQRT(M13^2+N13^2)</f>
        <v>3.03063341683694</v>
      </c>
      <c r="P13" s="40" t="n">
        <f aca="false">IF(J13="","",MAX(0,J13-1.96*O13/100))</f>
        <v>0.353201211046256</v>
      </c>
      <c r="Q13" s="40" t="n">
        <f aca="false">IF(J13="","",MIN(1,J13+1.96*O13/100))</f>
        <v>0.472002040986264</v>
      </c>
      <c r="R13" s="32" t="str">
        <f aca="false">IF(L13="","",IF(ABS(L13)&lt;=O13,"Yes","No"))</f>
        <v>Yes</v>
      </c>
      <c r="S13" s="32" t="str">
        <f aca="false">IF(L13="","",IF(ABS(L13)&lt;=1.96*O13,"Yes","No"))</f>
        <v>Yes</v>
      </c>
      <c r="T13" s="60" t="n">
        <f aca="false">IF(D13="","",ROUND(SQRT(((D13+G13)*O13/100)^2+(J13*(D13+G13)*0.03811)^2),0))</f>
        <v>50</v>
      </c>
      <c r="U13" s="32"/>
    </row>
    <row r="14" customFormat="false" ht="15" hidden="false" customHeight="false" outlineLevel="0" collapsed="false">
      <c r="A14" s="32" t="s">
        <v>162</v>
      </c>
      <c r="B14" s="32" t="s">
        <v>180</v>
      </c>
      <c r="C14" s="32" t="s">
        <v>164</v>
      </c>
      <c r="D14" s="60" t="n">
        <v>391</v>
      </c>
      <c r="E14" s="60" t="n">
        <v>430</v>
      </c>
      <c r="F14" s="69" t="n">
        <f aca="false">IF(E14="","",D14-E14)</f>
        <v>-39</v>
      </c>
      <c r="G14" s="60" t="n">
        <v>765</v>
      </c>
      <c r="H14" s="60" t="n">
        <v>916</v>
      </c>
      <c r="I14" s="69" t="n">
        <f aca="false">IF(H14="","",G14-H14)</f>
        <v>-151</v>
      </c>
      <c r="J14" s="40" t="n">
        <f aca="false">IF(OR(D14="",D14+G14=0),"",D14/(D14+G14))</f>
        <v>0.338235294117647</v>
      </c>
      <c r="K14" s="40" t="n">
        <f aca="false">IF(E14="","",E14/(E14+H14))</f>
        <v>0.319465081723626</v>
      </c>
      <c r="L14" s="70" t="n">
        <f aca="false">IF(OR(K14="",J14=""),"",(J14-K14)*100)</f>
        <v>1.87702123940215</v>
      </c>
      <c r="M14" s="36" t="n">
        <v>2.14836094977141</v>
      </c>
      <c r="N14" s="36" t="n">
        <v>2.13758839273281</v>
      </c>
      <c r="O14" s="36" t="n">
        <f aca="false">SQRT(M14^2+N14^2)</f>
        <v>3.03063341683694</v>
      </c>
      <c r="P14" s="40" t="n">
        <f aca="false">IF(J14="","",MAX(0,J14-1.96*O14/100))</f>
        <v>0.278834879147643</v>
      </c>
      <c r="Q14" s="40" t="n">
        <f aca="false">IF(J14="","",MIN(1,J14+1.96*O14/100))</f>
        <v>0.397635709087651</v>
      </c>
      <c r="R14" s="32" t="str">
        <f aca="false">IF(L14="","",IF(ABS(L14)&lt;=O14,"Yes","No"))</f>
        <v>Yes</v>
      </c>
      <c r="S14" s="32" t="str">
        <f aca="false">IF(L14="","",IF(ABS(L14)&lt;=1.96*O14,"Yes","No"))</f>
        <v>Yes</v>
      </c>
      <c r="T14" s="60" t="n">
        <f aca="false">IF(D14="","",ROUND(SQRT(((D14+G14)*O14/100)^2+(J14*(D14+G14)*0.03811)^2),0))</f>
        <v>38</v>
      </c>
      <c r="U14" s="32"/>
    </row>
    <row r="15" customFormat="false" ht="15" hidden="false" customHeight="false" outlineLevel="0" collapsed="false">
      <c r="A15" s="32" t="s">
        <v>162</v>
      </c>
      <c r="B15" s="32" t="s">
        <v>181</v>
      </c>
      <c r="C15" s="32" t="s">
        <v>164</v>
      </c>
      <c r="D15" s="60" t="n">
        <v>477</v>
      </c>
      <c r="E15" s="60" t="n">
        <v>546</v>
      </c>
      <c r="F15" s="69" t="n">
        <f aca="false">IF(E15="","",D15-E15)</f>
        <v>-69</v>
      </c>
      <c r="G15" s="60" t="n">
        <v>1082</v>
      </c>
      <c r="H15" s="60" t="n">
        <v>1227</v>
      </c>
      <c r="I15" s="69" t="n">
        <f aca="false">IF(H15="","",G15-H15)</f>
        <v>-145</v>
      </c>
      <c r="J15" s="40" t="n">
        <f aca="false">IF(OR(D15="",D15+G15=0),"",D15/(D15+G15))</f>
        <v>0.305965362411802</v>
      </c>
      <c r="K15" s="40" t="n">
        <f aca="false">IF(E15="","",E15/(E15+H15))</f>
        <v>0.307952622673435</v>
      </c>
      <c r="L15" s="70" t="n">
        <f aca="false">IF(OR(K15="",J15=""),"",(J15-K15)*100)</f>
        <v>-0.198726026163243</v>
      </c>
      <c r="M15" s="36" t="n">
        <v>2.14836094977141</v>
      </c>
      <c r="N15" s="36" t="n">
        <v>2.13758839273281</v>
      </c>
      <c r="O15" s="36" t="n">
        <f aca="false">SQRT(M15^2+N15^2)</f>
        <v>3.03063341683694</v>
      </c>
      <c r="P15" s="40" t="n">
        <f aca="false">IF(J15="","",MAX(0,J15-1.96*O15/100))</f>
        <v>0.246564947441798</v>
      </c>
      <c r="Q15" s="40" t="n">
        <f aca="false">IF(J15="","",MIN(1,J15+1.96*O15/100))</f>
        <v>0.365365777381806</v>
      </c>
      <c r="R15" s="32" t="str">
        <f aca="false">IF(L15="","",IF(ABS(L15)&lt;=O15,"Yes","No"))</f>
        <v>Yes</v>
      </c>
      <c r="S15" s="32" t="str">
        <f aca="false">IF(L15="","",IF(ABS(L15)&lt;=1.96*O15,"Yes","No"))</f>
        <v>Yes</v>
      </c>
      <c r="T15" s="60" t="n">
        <f aca="false">IF(D15="","",ROUND(SQRT(((D15+G15)*O15/100)^2+(J15*(D15+G15)*0.03811)^2),0))</f>
        <v>51</v>
      </c>
      <c r="U15" s="32"/>
    </row>
    <row r="16" customFormat="false" ht="15" hidden="false" customHeight="false" outlineLevel="0" collapsed="false">
      <c r="A16" s="32" t="s">
        <v>162</v>
      </c>
      <c r="B16" s="32" t="s">
        <v>182</v>
      </c>
      <c r="C16" s="32" t="s">
        <v>164</v>
      </c>
      <c r="D16" s="60" t="n">
        <v>415</v>
      </c>
      <c r="E16" s="60" t="n">
        <v>488</v>
      </c>
      <c r="F16" s="69" t="n">
        <f aca="false">IF(E16="","",D16-E16)</f>
        <v>-73</v>
      </c>
      <c r="G16" s="60" t="n">
        <v>608</v>
      </c>
      <c r="H16" s="60" t="n">
        <v>706</v>
      </c>
      <c r="I16" s="69" t="n">
        <f aca="false">IF(H16="","",G16-H16)</f>
        <v>-98</v>
      </c>
      <c r="J16" s="40" t="n">
        <f aca="false">IF(OR(D16="",D16+G16=0),"",D16/(D16+G16))</f>
        <v>0.405669599217986</v>
      </c>
      <c r="K16" s="40" t="n">
        <f aca="false">IF(E16="","",E16/(E16+H16))</f>
        <v>0.408710217755444</v>
      </c>
      <c r="L16" s="70" t="n">
        <f aca="false">IF(OR(K16="",J16=""),"",(J16-K16)*100)</f>
        <v>-0.304061853745757</v>
      </c>
      <c r="M16" s="36" t="n">
        <v>3.29910770631353</v>
      </c>
      <c r="N16" s="36" t="n">
        <v>2.13758839273281</v>
      </c>
      <c r="O16" s="36" t="n">
        <f aca="false">SQRT(M16^2+N16^2)</f>
        <v>3.93108074129791</v>
      </c>
      <c r="P16" s="40" t="n">
        <f aca="false">IF(J16="","",MAX(0,J16-1.96*O16/100))</f>
        <v>0.328620416688547</v>
      </c>
      <c r="Q16" s="40" t="n">
        <f aca="false">IF(J16="","",MIN(1,J16+1.96*O16/100))</f>
        <v>0.482718781747425</v>
      </c>
      <c r="R16" s="32" t="str">
        <f aca="false">IF(L16="","",IF(ABS(L16)&lt;=O16,"Yes","No"))</f>
        <v>Yes</v>
      </c>
      <c r="S16" s="32" t="str">
        <f aca="false">IF(L16="","",IF(ABS(L16)&lt;=1.96*O16,"Yes","No"))</f>
        <v>Yes</v>
      </c>
      <c r="T16" s="60" t="n">
        <f aca="false">IF(D16="","",ROUND(SQRT(((D16+G16)*O16/100)^2+(J16*(D16+G16)*0.0534)^2),0))</f>
        <v>46</v>
      </c>
      <c r="U16" s="32"/>
    </row>
    <row r="17" customFormat="false" ht="15" hidden="false" customHeight="false" outlineLevel="0" collapsed="false">
      <c r="A17" s="32" t="s">
        <v>162</v>
      </c>
      <c r="B17" s="32" t="s">
        <v>183</v>
      </c>
      <c r="C17" s="32" t="s">
        <v>164</v>
      </c>
      <c r="D17" s="60" t="n">
        <v>129</v>
      </c>
      <c r="E17" s="60" t="n">
        <v>96</v>
      </c>
      <c r="F17" s="69" t="n">
        <f aca="false">IF(E17="","",D17-E17)</f>
        <v>33</v>
      </c>
      <c r="G17" s="60" t="n">
        <v>363</v>
      </c>
      <c r="H17" s="60" t="n">
        <v>444</v>
      </c>
      <c r="I17" s="69" t="n">
        <f aca="false">IF(H17="","",G17-H17)</f>
        <v>-81</v>
      </c>
      <c r="J17" s="40" t="n">
        <f aca="false">IF(OR(D17="",D17+G17=0),"",D17/(D17+G17))</f>
        <v>0.26219512195122</v>
      </c>
      <c r="K17" s="40" t="n">
        <f aca="false">IF(E17="","",E17/(E17+H17))</f>
        <v>0.177777777777778</v>
      </c>
      <c r="L17" s="70" t="n">
        <f aca="false">IF(OR(K17="",J17=""),"",(J17-K17)*100)</f>
        <v>8.44173441734417</v>
      </c>
      <c r="M17" s="36" t="n">
        <v>3.29910770631353</v>
      </c>
      <c r="N17" s="36" t="n">
        <v>2.13758839273281</v>
      </c>
      <c r="O17" s="36" t="n">
        <f aca="false">SQRT(M17^2+N17^2)</f>
        <v>3.93108074129791</v>
      </c>
      <c r="P17" s="40" t="n">
        <f aca="false">IF(J17="","",MAX(0,J17-1.96*O17/100))</f>
        <v>0.18514593942178</v>
      </c>
      <c r="Q17" s="40" t="n">
        <f aca="false">IF(J17="","",MIN(1,J17+1.96*O17/100))</f>
        <v>0.339244304480659</v>
      </c>
      <c r="R17" s="32" t="str">
        <f aca="false">IF(L17="","",IF(ABS(L17)&lt;=O17,"Yes","No"))</f>
        <v>No</v>
      </c>
      <c r="S17" s="32" t="str">
        <f aca="false">IF(L17="","",IF(ABS(L17)&lt;=1.96*O17,"Yes","No"))</f>
        <v>No</v>
      </c>
      <c r="T17" s="60" t="n">
        <f aca="false">IF(D17="","",ROUND(SQRT(((D17+G17)*O17/100)^2+(J17*(D17+G17)*0.0534)^2),0))</f>
        <v>21</v>
      </c>
      <c r="U17" s="32"/>
    </row>
    <row r="18" customFormat="false" ht="15" hidden="false" customHeight="false" outlineLevel="0" collapsed="false">
      <c r="A18" s="32" t="s">
        <v>162</v>
      </c>
      <c r="B18" s="32" t="s">
        <v>184</v>
      </c>
      <c r="C18" s="32" t="s">
        <v>164</v>
      </c>
      <c r="D18" s="60" t="n">
        <v>670</v>
      </c>
      <c r="E18" s="60" t="n">
        <v>737</v>
      </c>
      <c r="F18" s="69" t="n">
        <f aca="false">IF(E18="","",D18-E18)</f>
        <v>-67</v>
      </c>
      <c r="G18" s="60" t="n">
        <v>1064</v>
      </c>
      <c r="H18" s="60" t="n">
        <v>1172</v>
      </c>
      <c r="I18" s="69" t="n">
        <f aca="false">IF(H18="","",G18-H18)</f>
        <v>-108</v>
      </c>
      <c r="J18" s="40" t="n">
        <f aca="false">IF(OR(D18="",D18+G18=0),"",D18/(D18+G18))</f>
        <v>0.38638985005767</v>
      </c>
      <c r="K18" s="40" t="n">
        <f aca="false">IF(E18="","",E18/(E18+H18))</f>
        <v>0.386066003143007</v>
      </c>
      <c r="L18" s="70" t="n">
        <f aca="false">IF(OR(K18="",J18=""),"",(J18-K18)*100)</f>
        <v>0.0323846914663306</v>
      </c>
      <c r="M18" s="36" t="n">
        <v>2.14836094977141</v>
      </c>
      <c r="N18" s="36" t="n">
        <v>2.13758839273281</v>
      </c>
      <c r="O18" s="36" t="n">
        <f aca="false">SQRT(M18^2+N18^2)</f>
        <v>3.03063341683694</v>
      </c>
      <c r="P18" s="40" t="n">
        <f aca="false">IF(J18="","",MAX(0,J18-1.96*O18/100))</f>
        <v>0.326989435087666</v>
      </c>
      <c r="Q18" s="40" t="n">
        <f aca="false">IF(J18="","",MIN(1,J18+1.96*O18/100))</f>
        <v>0.445790265027674</v>
      </c>
      <c r="R18" s="32" t="str">
        <f aca="false">IF(L18="","",IF(ABS(L18)&lt;=O18,"Yes","No"))</f>
        <v>Yes</v>
      </c>
      <c r="S18" s="32" t="str">
        <f aca="false">IF(L18="","",IF(ABS(L18)&lt;=1.96*O18,"Yes","No"))</f>
        <v>Yes</v>
      </c>
      <c r="T18" s="60" t="n">
        <f aca="false">IF(D18="","",ROUND(SQRT(((D18+G18)*O18/100)^2+(J18*(D18+G18)*0.03811)^2),0))</f>
        <v>58</v>
      </c>
      <c r="U18" s="32"/>
    </row>
    <row r="19" customFormat="false" ht="15" hidden="false" customHeight="false" outlineLevel="0" collapsed="false">
      <c r="A19" s="32" t="s">
        <v>162</v>
      </c>
      <c r="B19" s="32" t="s">
        <v>185</v>
      </c>
      <c r="C19" s="32" t="s">
        <v>164</v>
      </c>
      <c r="D19" s="60" t="n">
        <v>54</v>
      </c>
      <c r="E19" s="60" t="n">
        <v>51</v>
      </c>
      <c r="F19" s="69" t="n">
        <f aca="false">IF(E19="","",D19-E19)</f>
        <v>3</v>
      </c>
      <c r="G19" s="60" t="n">
        <v>121</v>
      </c>
      <c r="H19" s="60" t="n">
        <v>136</v>
      </c>
      <c r="I19" s="69" t="n">
        <f aca="false">IF(H19="","",G19-H19)</f>
        <v>-15</v>
      </c>
      <c r="J19" s="40" t="n">
        <f aca="false">IF(OR(D19="",D19+G19=0),"",D19/(D19+G19))</f>
        <v>0.308571428571429</v>
      </c>
      <c r="K19" s="40" t="n">
        <f aca="false">IF(E19="","",E19/(E19+H19))</f>
        <v>0.272727272727273</v>
      </c>
      <c r="L19" s="70" t="n">
        <f aca="false">IF(OR(K19="",J19=""),"",(J19-K19)*100)</f>
        <v>3.58441558441558</v>
      </c>
      <c r="M19" s="36" t="n">
        <v>3.29910770631353</v>
      </c>
      <c r="N19" s="36" t="n">
        <v>2.13758839273281</v>
      </c>
      <c r="O19" s="36" t="n">
        <f aca="false">SQRT(M19^2+N19^2)</f>
        <v>3.93108074129791</v>
      </c>
      <c r="P19" s="40" t="n">
        <f aca="false">IF(J19="","",MAX(0,J19-1.96*O19/100))</f>
        <v>0.23152224604199</v>
      </c>
      <c r="Q19" s="40" t="n">
        <f aca="false">IF(J19="","",MIN(1,J19+1.96*O19/100))</f>
        <v>0.385620611100868</v>
      </c>
      <c r="R19" s="32" t="str">
        <f aca="false">IF(L19="","",IF(ABS(L19)&lt;=O19,"Yes","No"))</f>
        <v>Yes</v>
      </c>
      <c r="S19" s="32" t="str">
        <f aca="false">IF(L19="","",IF(ABS(L19)&lt;=1.96*O19,"Yes","No"))</f>
        <v>Yes</v>
      </c>
      <c r="T19" s="60" t="n">
        <f aca="false">IF(D19="","",ROUND(SQRT(((D19+G19)*O19/100)^2+(J19*(D19+G19)*0.0534)^2),0))</f>
        <v>7</v>
      </c>
      <c r="U19" s="32"/>
    </row>
    <row r="20" customFormat="false" ht="15" hidden="false" customHeight="false" outlineLevel="0" collapsed="false">
      <c r="A20" s="32" t="s">
        <v>162</v>
      </c>
      <c r="B20" s="32" t="s">
        <v>186</v>
      </c>
      <c r="C20" s="32" t="s">
        <v>164</v>
      </c>
      <c r="D20" s="60" t="n">
        <v>1445</v>
      </c>
      <c r="E20" s="60" t="n">
        <v>1574</v>
      </c>
      <c r="F20" s="69" t="n">
        <f aca="false">IF(E20="","",D20-E20)</f>
        <v>-129</v>
      </c>
      <c r="G20" s="60" t="n">
        <v>2199</v>
      </c>
      <c r="H20" s="60" t="n">
        <v>2750</v>
      </c>
      <c r="I20" s="69" t="n">
        <f aca="false">IF(H20="","",G20-H20)</f>
        <v>-551</v>
      </c>
      <c r="J20" s="40" t="n">
        <f aca="false">IF(OR(D20="",D20+G20=0),"",D20/(D20+G20))</f>
        <v>0.396542261251372</v>
      </c>
      <c r="K20" s="40" t="n">
        <f aca="false">IF(E20="","",E20/(E20+H20))</f>
        <v>0.364014801110083</v>
      </c>
      <c r="L20" s="70" t="n">
        <f aca="false">IF(OR(K20="",J20=""),"",(J20-K20)*100)</f>
        <v>3.25274601412888</v>
      </c>
      <c r="M20" s="36" t="n">
        <v>1.13665371541994</v>
      </c>
      <c r="N20" s="36" t="n">
        <v>2.13758839273281</v>
      </c>
      <c r="O20" s="36" t="n">
        <f aca="false">SQRT(M20^2+N20^2)</f>
        <v>2.4210051229859</v>
      </c>
      <c r="P20" s="40" t="n">
        <f aca="false">IF(J20="","",MAX(0,J20-1.96*O20/100))</f>
        <v>0.349090560840848</v>
      </c>
      <c r="Q20" s="40" t="n">
        <f aca="false">IF(J20="","",MIN(1,J20+1.96*O20/100))</f>
        <v>0.443993961661896</v>
      </c>
      <c r="R20" s="32" t="str">
        <f aca="false">IF(L20="","",IF(ABS(L20)&lt;=O20,"Yes","No"))</f>
        <v>No</v>
      </c>
      <c r="S20" s="32" t="str">
        <f aca="false">IF(L20="","",IF(ABS(L20)&lt;=1.96*O20,"Yes","No"))</f>
        <v>Yes</v>
      </c>
      <c r="T20" s="60" t="n">
        <f aca="false">IF(D20="","",ROUND(SQRT(((D20+G20)*O20/100)^2+(J20*(D20+G20)*0.02225)^2),0))</f>
        <v>94</v>
      </c>
      <c r="U20" s="32"/>
    </row>
    <row r="21" customFormat="false" ht="15" hidden="false" customHeight="false" outlineLevel="0" collapsed="false">
      <c r="A21" s="32" t="s">
        <v>162</v>
      </c>
      <c r="B21" s="32" t="s">
        <v>188</v>
      </c>
      <c r="C21" s="32" t="s">
        <v>164</v>
      </c>
      <c r="D21" s="60" t="n">
        <v>495</v>
      </c>
      <c r="E21" s="60" t="n">
        <v>557</v>
      </c>
      <c r="F21" s="69" t="n">
        <f aca="false">IF(E21="","",D21-E21)</f>
        <v>-62</v>
      </c>
      <c r="G21" s="60" t="n">
        <v>649</v>
      </c>
      <c r="H21" s="60" t="n">
        <v>678</v>
      </c>
      <c r="I21" s="69" t="n">
        <f aca="false">IF(H21="","",G21-H21)</f>
        <v>-29</v>
      </c>
      <c r="J21" s="40" t="n">
        <f aca="false">IF(OR(D21="",D21+G21=0),"",D21/(D21+G21))</f>
        <v>0.432692307692308</v>
      </c>
      <c r="K21" s="40" t="n">
        <f aca="false">IF(E21="","",E21/(E21+H21))</f>
        <v>0.451012145748988</v>
      </c>
      <c r="L21" s="70" t="n">
        <f aca="false">IF(OR(K21="",J21=""),"",(J21-K21)*100)</f>
        <v>-1.83198380566801</v>
      </c>
      <c r="M21" s="36" t="n">
        <v>2.14836094977141</v>
      </c>
      <c r="N21" s="36" t="n">
        <v>2.13758839273281</v>
      </c>
      <c r="O21" s="36" t="n">
        <f aca="false">SQRT(M21^2+N21^2)</f>
        <v>3.03063341683694</v>
      </c>
      <c r="P21" s="40" t="n">
        <f aca="false">IF(J21="","",MAX(0,J21-1.96*O21/100))</f>
        <v>0.373291892722304</v>
      </c>
      <c r="Q21" s="40" t="n">
        <f aca="false">IF(J21="","",MIN(1,J21+1.96*O21/100))</f>
        <v>0.492092722662312</v>
      </c>
      <c r="R21" s="32" t="str">
        <f aca="false">IF(L21="","",IF(ABS(L21)&lt;=O21,"Yes","No"))</f>
        <v>Yes</v>
      </c>
      <c r="S21" s="32" t="str">
        <f aca="false">IF(L21="","",IF(ABS(L21)&lt;=1.96*O21,"Yes","No"))</f>
        <v>Yes</v>
      </c>
      <c r="T21" s="60" t="n">
        <f aca="false">IF(D21="","",ROUND(SQRT(((D21+G21)*O21/100)^2+(J21*(D21+G21)*0.03811)^2),0))</f>
        <v>39</v>
      </c>
      <c r="U21" s="32"/>
    </row>
    <row r="22" customFormat="false" ht="15" hidden="false" customHeight="false" outlineLevel="0" collapsed="false">
      <c r="A22" s="32" t="s">
        <v>162</v>
      </c>
      <c r="B22" s="32" t="s">
        <v>189</v>
      </c>
      <c r="C22" s="32" t="s">
        <v>164</v>
      </c>
      <c r="D22" s="60" t="n">
        <v>584</v>
      </c>
      <c r="E22" s="60" t="n">
        <v>625</v>
      </c>
      <c r="F22" s="69" t="n">
        <f aca="false">IF(E22="","",D22-E22)</f>
        <v>-41</v>
      </c>
      <c r="G22" s="60" t="n">
        <v>1263</v>
      </c>
      <c r="H22" s="60" t="n">
        <v>1506</v>
      </c>
      <c r="I22" s="69" t="n">
        <f aca="false">IF(H22="","",G22-H22)</f>
        <v>-243</v>
      </c>
      <c r="J22" s="40" t="n">
        <f aca="false">IF(OR(D22="",D22+G22=0),"",D22/(D22+G22))</f>
        <v>0.316188413643747</v>
      </c>
      <c r="K22" s="40" t="n">
        <f aca="false">IF(E22="","",E22/(E22+H22))</f>
        <v>0.293289535429376</v>
      </c>
      <c r="L22" s="70" t="n">
        <f aca="false">IF(OR(K22="",J22=""),"",(J22-K22)*100)</f>
        <v>2.28988782143708</v>
      </c>
      <c r="M22" s="36" t="n">
        <v>2.14836094977141</v>
      </c>
      <c r="N22" s="36" t="n">
        <v>2.13758839273281</v>
      </c>
      <c r="O22" s="36" t="n">
        <f aca="false">SQRT(M22^2+N22^2)</f>
        <v>3.03063341683694</v>
      </c>
      <c r="P22" s="40" t="n">
        <f aca="false">IF(J22="","",MAX(0,J22-1.96*O22/100))</f>
        <v>0.256787998673743</v>
      </c>
      <c r="Q22" s="40" t="n">
        <f aca="false">IF(J22="","",MIN(1,J22+1.96*O22/100))</f>
        <v>0.375588828613751</v>
      </c>
      <c r="R22" s="32" t="str">
        <f aca="false">IF(L22="","",IF(ABS(L22)&lt;=O22,"Yes","No"))</f>
        <v>Yes</v>
      </c>
      <c r="S22" s="32" t="str">
        <f aca="false">IF(L22="","",IF(ABS(L22)&lt;=1.96*O22,"Yes","No"))</f>
        <v>Yes</v>
      </c>
      <c r="T22" s="60" t="n">
        <f aca="false">IF(D22="","",ROUND(SQRT(((D22+G22)*O22/100)^2+(J22*(D22+G22)*0.03811)^2),0))</f>
        <v>60</v>
      </c>
      <c r="U22" s="32"/>
    </row>
    <row r="23" customFormat="false" ht="15" hidden="false" customHeight="false" outlineLevel="0" collapsed="false">
      <c r="A23" s="32" t="s">
        <v>162</v>
      </c>
      <c r="B23" s="32" t="s">
        <v>190</v>
      </c>
      <c r="C23" s="32" t="s">
        <v>164</v>
      </c>
      <c r="D23" s="60" t="n">
        <v>268</v>
      </c>
      <c r="E23" s="60" t="n">
        <v>245</v>
      </c>
      <c r="F23" s="69" t="n">
        <f aca="false">IF(E23="","",D23-E23)</f>
        <v>23</v>
      </c>
      <c r="G23" s="60" t="n">
        <v>582</v>
      </c>
      <c r="H23" s="60" t="n">
        <v>656</v>
      </c>
      <c r="I23" s="69" t="n">
        <f aca="false">IF(H23="","",G23-H23)</f>
        <v>-74</v>
      </c>
      <c r="J23" s="40" t="n">
        <f aca="false">IF(OR(D23="",D23+G23=0),"",D23/(D23+G23))</f>
        <v>0.315294117647059</v>
      </c>
      <c r="K23" s="40" t="n">
        <f aca="false">IF(E23="","",E23/(E23+H23))</f>
        <v>0.271920088790233</v>
      </c>
      <c r="L23" s="70" t="n">
        <f aca="false">IF(OR(K23="",J23=""),"",(J23-K23)*100)</f>
        <v>4.33740288568258</v>
      </c>
      <c r="M23" s="36" t="n">
        <v>3.29910770631353</v>
      </c>
      <c r="N23" s="36" t="n">
        <v>2.13758839273281</v>
      </c>
      <c r="O23" s="36" t="n">
        <f aca="false">SQRT(M23^2+N23^2)</f>
        <v>3.93108074129791</v>
      </c>
      <c r="P23" s="40" t="n">
        <f aca="false">IF(J23="","",MAX(0,J23-1.96*O23/100))</f>
        <v>0.23824493511762</v>
      </c>
      <c r="Q23" s="40" t="n">
        <f aca="false">IF(J23="","",MIN(1,J23+1.96*O23/100))</f>
        <v>0.392343300176498</v>
      </c>
      <c r="R23" s="32" t="str">
        <f aca="false">IF(L23="","",IF(ABS(L23)&lt;=O23,"Yes","No"))</f>
        <v>No</v>
      </c>
      <c r="S23" s="32" t="str">
        <f aca="false">IF(L23="","",IF(ABS(L23)&lt;=1.96*O23,"Yes","No"))</f>
        <v>Yes</v>
      </c>
      <c r="T23" s="60" t="n">
        <f aca="false">IF(D23="","",ROUND(SQRT(((D23+G23)*O23/100)^2+(J23*(D23+G23)*0.0534)^2),0))</f>
        <v>36</v>
      </c>
      <c r="U23" s="32"/>
    </row>
    <row r="24" customFormat="false" ht="15" hidden="false" customHeight="false" outlineLevel="0" collapsed="false">
      <c r="A24" s="32" t="s">
        <v>162</v>
      </c>
      <c r="B24" s="32" t="s">
        <v>191</v>
      </c>
      <c r="C24" s="32" t="s">
        <v>164</v>
      </c>
      <c r="D24" s="60" t="n">
        <v>37</v>
      </c>
      <c r="E24" s="60" t="n">
        <v>46</v>
      </c>
      <c r="F24" s="69" t="n">
        <f aca="false">IF(E24="","",D24-E24)</f>
        <v>-9</v>
      </c>
      <c r="G24" s="60" t="n">
        <v>55</v>
      </c>
      <c r="H24" s="60" t="n">
        <v>54</v>
      </c>
      <c r="I24" s="69" t="n">
        <f aca="false">IF(H24="","",G24-H24)</f>
        <v>1</v>
      </c>
      <c r="J24" s="40" t="n">
        <f aca="false">IF(OR(D24="",D24+G24=0),"",D24/(D24+G24))</f>
        <v>0.402173913043478</v>
      </c>
      <c r="K24" s="40" t="n">
        <f aca="false">IF(E24="","",E24/(E24+H24))</f>
        <v>0.46</v>
      </c>
      <c r="L24" s="70" t="n">
        <f aca="false">IF(OR(K24="",J24=""),"",(J24-K24)*100)</f>
        <v>-5.78260869565218</v>
      </c>
      <c r="M24" s="36" t="n">
        <v>3.29910770631353</v>
      </c>
      <c r="N24" s="36" t="n">
        <v>2.13758839273281</v>
      </c>
      <c r="O24" s="36" t="n">
        <f aca="false">SQRT(M24^2+N24^2)</f>
        <v>3.93108074129791</v>
      </c>
      <c r="P24" s="40" t="n">
        <f aca="false">IF(J24="","",MAX(0,J24-1.96*O24/100))</f>
        <v>0.325124730514039</v>
      </c>
      <c r="Q24" s="40" t="n">
        <f aca="false">IF(J24="","",MIN(1,J24+1.96*O24/100))</f>
        <v>0.479223095572917</v>
      </c>
      <c r="R24" s="32" t="str">
        <f aca="false">IF(L24="","",IF(ABS(L24)&lt;=O24,"Yes","No"))</f>
        <v>No</v>
      </c>
      <c r="S24" s="32" t="str">
        <f aca="false">IF(L24="","",IF(ABS(L24)&lt;=1.96*O24,"Yes","No"))</f>
        <v>Yes</v>
      </c>
      <c r="T24" s="60" t="n">
        <f aca="false">IF(D24="","",ROUND(SQRT(((D24+G24)*O24/100)^2+(J24*(D24+G24)*0.0534)^2),0))</f>
        <v>4</v>
      </c>
      <c r="U24" s="32"/>
    </row>
    <row r="25" customFormat="false" ht="15" hidden="false" customHeight="false" outlineLevel="0" collapsed="false">
      <c r="A25" s="32" t="s">
        <v>192</v>
      </c>
      <c r="B25" s="32" t="s">
        <v>193</v>
      </c>
      <c r="C25" s="32" t="s">
        <v>164</v>
      </c>
      <c r="D25" s="60" t="n">
        <v>453</v>
      </c>
      <c r="E25" s="60" t="n">
        <v>494</v>
      </c>
      <c r="F25" s="69" t="n">
        <f aca="false">IF(E25="","",D25-E25)</f>
        <v>-41</v>
      </c>
      <c r="G25" s="60" t="n">
        <v>473</v>
      </c>
      <c r="H25" s="60" t="n">
        <v>519</v>
      </c>
      <c r="I25" s="69" t="n">
        <f aca="false">IF(H25="","",G25-H25)</f>
        <v>-46</v>
      </c>
      <c r="J25" s="40" t="n">
        <f aca="false">IF(OR(D25="",D25+G25=0),"",D25/(D25+G25))</f>
        <v>0.489200863930886</v>
      </c>
      <c r="K25" s="40" t="n">
        <f aca="false">IF(E25="","",E25/(E25+H25))</f>
        <v>0.487660414610069</v>
      </c>
      <c r="L25" s="70" t="n">
        <f aca="false">IF(OR(K25="",J25=""),"",(J25-K25)*100)</f>
        <v>0.154044932081643</v>
      </c>
      <c r="M25" s="36" t="n">
        <v>3.29910770631353</v>
      </c>
      <c r="N25" s="36" t="n">
        <v>2.13758839273281</v>
      </c>
      <c r="O25" s="36" t="n">
        <f aca="false">SQRT(M25^2+N25^2)</f>
        <v>3.93108074129791</v>
      </c>
      <c r="P25" s="40" t="n">
        <f aca="false">IF(J25="","",MAX(0,J25-1.96*O25/100))</f>
        <v>0.412151681401447</v>
      </c>
      <c r="Q25" s="40" t="n">
        <f aca="false">IF(J25="","",MIN(1,J25+1.96*O25/100))</f>
        <v>0.566250046460325</v>
      </c>
      <c r="R25" s="32" t="str">
        <f aca="false">IF(L25="","",IF(ABS(L25)&lt;=O25,"Yes","No"))</f>
        <v>Yes</v>
      </c>
      <c r="S25" s="32" t="str">
        <f aca="false">IF(L25="","",IF(ABS(L25)&lt;=1.96*O25,"Yes","No"))</f>
        <v>Yes</v>
      </c>
      <c r="T25" s="60" t="n">
        <f aca="false">IF(D25="","",ROUND(SQRT(((D25+G25)*O25/100)^2+(J25*(D25+G25)*0.0534)^2),0))</f>
        <v>44</v>
      </c>
      <c r="U25" s="32"/>
    </row>
    <row r="26" customFormat="false" ht="15" hidden="false" customHeight="false" outlineLevel="0" collapsed="false">
      <c r="A26" s="32" t="s">
        <v>192</v>
      </c>
      <c r="B26" s="32" t="s">
        <v>194</v>
      </c>
      <c r="C26" s="32" t="s">
        <v>164</v>
      </c>
      <c r="D26" s="60" t="n">
        <v>16227</v>
      </c>
      <c r="E26" s="60" t="n">
        <v>16965</v>
      </c>
      <c r="F26" s="69" t="n">
        <f aca="false">IF(E26="","",D26-E26)</f>
        <v>-738</v>
      </c>
      <c r="G26" s="60" t="n">
        <v>10576</v>
      </c>
      <c r="H26" s="60" t="n">
        <v>7936</v>
      </c>
      <c r="I26" s="69" t="n">
        <f aca="false">IF(H26="","",G26-H26)</f>
        <v>2640</v>
      </c>
      <c r="J26" s="40" t="n">
        <f aca="false">IF(OR(D26="",D26+G26=0),"",D26/(D26+G26))</f>
        <v>0.605417304033131</v>
      </c>
      <c r="K26" s="40" t="n">
        <f aca="false">IF(E26="","",E26/(E26+H26))</f>
        <v>0.681297939841773</v>
      </c>
      <c r="L26" s="70" t="n">
        <f aca="false">IF(OR(K26="",J26=""),"",(J26-K26)*100)</f>
        <v>-7.58806358086428</v>
      </c>
      <c r="M26" s="36" t="n">
        <v>1.13665371541994</v>
      </c>
      <c r="N26" s="36" t="n">
        <v>2.13758839273281</v>
      </c>
      <c r="O26" s="36" t="n">
        <f aca="false">SQRT(M26^2+N26^2)</f>
        <v>2.4210051229859</v>
      </c>
      <c r="P26" s="40" t="n">
        <f aca="false">IF(J26="","",MAX(0,J26-1.96*O26/100))</f>
        <v>0.557965603622607</v>
      </c>
      <c r="Q26" s="40" t="n">
        <f aca="false">IF(J26="","",MIN(1,J26+1.96*O26/100))</f>
        <v>0.652869004443654</v>
      </c>
      <c r="R26" s="32" t="str">
        <f aca="false">IF(L26="","",IF(ABS(L26)&lt;=O26,"Yes","No"))</f>
        <v>No</v>
      </c>
      <c r="S26" s="32" t="str">
        <f aca="false">IF(L26="","",IF(ABS(L26)&lt;=1.96*O26,"Yes","No"))</f>
        <v>No</v>
      </c>
      <c r="T26" s="60" t="n">
        <f aca="false">IF(D26="","",ROUND(SQRT(((D26+G26)*O26/100)^2+(J26*(D26+G26)*0.02225)^2),0))</f>
        <v>743</v>
      </c>
      <c r="U26" s="32"/>
    </row>
    <row r="27" customFormat="false" ht="15" hidden="false" customHeight="false" outlineLevel="0" collapsed="false">
      <c r="A27" s="32" t="s">
        <v>192</v>
      </c>
      <c r="B27" s="32" t="s">
        <v>195</v>
      </c>
      <c r="C27" s="32" t="s">
        <v>164</v>
      </c>
      <c r="D27" s="60" t="n">
        <v>4392</v>
      </c>
      <c r="E27" s="60" t="n">
        <v>5186</v>
      </c>
      <c r="F27" s="69" t="n">
        <f aca="false">IF(E27="","",D27-E27)</f>
        <v>-794</v>
      </c>
      <c r="G27" s="60" t="n">
        <v>3122</v>
      </c>
      <c r="H27" s="60" t="n">
        <v>2705</v>
      </c>
      <c r="I27" s="69" t="n">
        <f aca="false">IF(H27="","",G27-H27)</f>
        <v>417</v>
      </c>
      <c r="J27" s="40" t="n">
        <f aca="false">IF(OR(D27="",D27+G27=0),"",D27/(D27+G27))</f>
        <v>0.584508916688848</v>
      </c>
      <c r="K27" s="40" t="n">
        <f aca="false">IF(E27="","",E27/(E27+H27))</f>
        <v>0.657204410087441</v>
      </c>
      <c r="L27" s="70" t="n">
        <f aca="false">IF(OR(K27="",J27=""),"",(J27-K27)*100)</f>
        <v>-7.26954933985938</v>
      </c>
      <c r="M27" s="36" t="n">
        <v>1.13665371541994</v>
      </c>
      <c r="N27" s="36" t="n">
        <v>2.13758839273281</v>
      </c>
      <c r="O27" s="36" t="n">
        <f aca="false">SQRT(M27^2+N27^2)</f>
        <v>2.4210051229859</v>
      </c>
      <c r="P27" s="40" t="n">
        <f aca="false">IF(J27="","",MAX(0,J27-1.96*O27/100))</f>
        <v>0.537057216278324</v>
      </c>
      <c r="Q27" s="40" t="n">
        <f aca="false">IF(J27="","",MIN(1,J27+1.96*O27/100))</f>
        <v>0.631960617099371</v>
      </c>
      <c r="R27" s="32" t="str">
        <f aca="false">IF(L27="","",IF(ABS(L27)&lt;=O27,"Yes","No"))</f>
        <v>No</v>
      </c>
      <c r="S27" s="32" t="str">
        <f aca="false">IF(L27="","",IF(ABS(L27)&lt;=1.96*O27,"Yes","No"))</f>
        <v>No</v>
      </c>
      <c r="T27" s="60" t="n">
        <f aca="false">IF(D27="","",ROUND(SQRT(((D27+G27)*O27/100)^2+(J27*(D27+G27)*0.02225)^2),0))</f>
        <v>207</v>
      </c>
      <c r="U27" s="32"/>
    </row>
    <row r="28" customFormat="false" ht="15" hidden="false" customHeight="false" outlineLevel="0" collapsed="false">
      <c r="A28" s="32" t="s">
        <v>192</v>
      </c>
      <c r="B28" s="32" t="s">
        <v>196</v>
      </c>
      <c r="C28" s="32" t="s">
        <v>164</v>
      </c>
      <c r="D28" s="60" t="n">
        <v>1058</v>
      </c>
      <c r="E28" s="60" t="n">
        <v>1135</v>
      </c>
      <c r="F28" s="69" t="n">
        <f aca="false">IF(E28="","",D28-E28)</f>
        <v>-77</v>
      </c>
      <c r="G28" s="60" t="n">
        <v>985</v>
      </c>
      <c r="H28" s="60" t="n">
        <v>975</v>
      </c>
      <c r="I28" s="69" t="n">
        <f aca="false">IF(H28="","",G28-H28)</f>
        <v>10</v>
      </c>
      <c r="J28" s="40" t="n">
        <f aca="false">IF(OR(D28="",D28+G28=0),"",D28/(D28+G28))</f>
        <v>0.51786588350465</v>
      </c>
      <c r="K28" s="40" t="n">
        <f aca="false">IF(E28="","",E28/(E28+H28))</f>
        <v>0.537914691943128</v>
      </c>
      <c r="L28" s="70" t="n">
        <f aca="false">IF(OR(K28="",J28=""),"",(J28-K28)*100)</f>
        <v>-2.00488084384779</v>
      </c>
      <c r="M28" s="36" t="n">
        <v>2.14836094977141</v>
      </c>
      <c r="N28" s="36" t="n">
        <v>2.13758839273281</v>
      </c>
      <c r="O28" s="36" t="n">
        <f aca="false">SQRT(M28^2+N28^2)</f>
        <v>3.03063341683694</v>
      </c>
      <c r="P28" s="40" t="n">
        <f aca="false">IF(J28="","",MAX(0,J28-1.96*O28/100))</f>
        <v>0.458465468534646</v>
      </c>
      <c r="Q28" s="40" t="n">
        <f aca="false">IF(J28="","",MIN(1,J28+1.96*O28/100))</f>
        <v>0.577266298474654</v>
      </c>
      <c r="R28" s="32" t="str">
        <f aca="false">IF(L28="","",IF(ABS(L28)&lt;=O28,"Yes","No"))</f>
        <v>Yes</v>
      </c>
      <c r="S28" s="32" t="str">
        <f aca="false">IF(L28="","",IF(ABS(L28)&lt;=1.96*O28,"Yes","No"))</f>
        <v>Yes</v>
      </c>
      <c r="T28" s="60" t="n">
        <f aca="false">IF(D28="","",ROUND(SQRT(((D28+G28)*O28/100)^2+(J28*(D28+G28)*0.03811)^2),0))</f>
        <v>74</v>
      </c>
      <c r="U28" s="32"/>
    </row>
    <row r="29" customFormat="false" ht="15" hidden="false" customHeight="false" outlineLevel="0" collapsed="false">
      <c r="A29" s="32" t="s">
        <v>192</v>
      </c>
      <c r="B29" s="32" t="s">
        <v>197</v>
      </c>
      <c r="C29" s="32" t="s">
        <v>164</v>
      </c>
      <c r="D29" s="60" t="n">
        <v>522</v>
      </c>
      <c r="E29" s="60" t="n">
        <v>621</v>
      </c>
      <c r="F29" s="69" t="n">
        <f aca="false">IF(E29="","",D29-E29)</f>
        <v>-99</v>
      </c>
      <c r="G29" s="60" t="n">
        <v>565</v>
      </c>
      <c r="H29" s="60" t="n">
        <v>598</v>
      </c>
      <c r="I29" s="69" t="n">
        <f aca="false">IF(H29="","",G29-H29)</f>
        <v>-33</v>
      </c>
      <c r="J29" s="40" t="n">
        <f aca="false">IF(OR(D29="",D29+G29=0),"",D29/(D29+G29))</f>
        <v>0.480220791168353</v>
      </c>
      <c r="K29" s="40" t="n">
        <f aca="false">IF(E29="","",E29/(E29+H29))</f>
        <v>0.509433962264151</v>
      </c>
      <c r="L29" s="70" t="n">
        <f aca="false">IF(OR(K29="",J29=""),"",(J29-K29)*100)</f>
        <v>-2.92131710957977</v>
      </c>
      <c r="M29" s="36" t="n">
        <v>3.29910770631353</v>
      </c>
      <c r="N29" s="36" t="n">
        <v>2.13758839273281</v>
      </c>
      <c r="O29" s="36" t="n">
        <f aca="false">SQRT(M29^2+N29^2)</f>
        <v>3.93108074129791</v>
      </c>
      <c r="P29" s="40" t="n">
        <f aca="false">IF(J29="","",MAX(0,J29-1.96*O29/100))</f>
        <v>0.403171608638914</v>
      </c>
      <c r="Q29" s="40" t="n">
        <f aca="false">IF(J29="","",MIN(1,J29+1.96*O29/100))</f>
        <v>0.557269973697792</v>
      </c>
      <c r="R29" s="32" t="str">
        <f aca="false">IF(L29="","",IF(ABS(L29)&lt;=O29,"Yes","No"))</f>
        <v>Yes</v>
      </c>
      <c r="S29" s="32" t="str">
        <f aca="false">IF(L29="","",IF(ABS(L29)&lt;=1.96*O29,"Yes","No"))</f>
        <v>Yes</v>
      </c>
      <c r="T29" s="60" t="n">
        <f aca="false">IF(D29="","",ROUND(SQRT(((D29+G29)*O29/100)^2+(J29*(D29+G29)*0.0534)^2),0))</f>
        <v>51</v>
      </c>
      <c r="U29" s="32"/>
    </row>
    <row r="30" customFormat="false" ht="15" hidden="false" customHeight="false" outlineLevel="0" collapsed="false">
      <c r="A30" s="32" t="s">
        <v>192</v>
      </c>
      <c r="B30" s="32" t="s">
        <v>198</v>
      </c>
      <c r="C30" s="32" t="s">
        <v>164</v>
      </c>
      <c r="D30" s="60" t="n">
        <v>644</v>
      </c>
      <c r="E30" s="60" t="n">
        <v>691</v>
      </c>
      <c r="F30" s="69" t="n">
        <f aca="false">IF(E30="","",D30-E30)</f>
        <v>-47</v>
      </c>
      <c r="G30" s="60" t="n">
        <v>614</v>
      </c>
      <c r="H30" s="60" t="n">
        <v>606</v>
      </c>
      <c r="I30" s="69" t="n">
        <f aca="false">IF(H30="","",G30-H30)</f>
        <v>8</v>
      </c>
      <c r="J30" s="40" t="n">
        <f aca="false">IF(OR(D30="",D30+G30=0),"",D30/(D30+G30))</f>
        <v>0.511923688394277</v>
      </c>
      <c r="K30" s="40" t="n">
        <f aca="false">IF(E30="","",E30/(E30+H30))</f>
        <v>0.532767925983038</v>
      </c>
      <c r="L30" s="70" t="n">
        <f aca="false">IF(OR(K30="",J30=""),"",(J30-K30)*100)</f>
        <v>-2.08442375887612</v>
      </c>
      <c r="M30" s="36" t="n">
        <v>2.14836094977141</v>
      </c>
      <c r="N30" s="36" t="n">
        <v>2.13758839273281</v>
      </c>
      <c r="O30" s="36" t="n">
        <f aca="false">SQRT(M30^2+N30^2)</f>
        <v>3.03063341683694</v>
      </c>
      <c r="P30" s="40" t="n">
        <f aca="false">IF(J30="","",MAX(0,J30-1.96*O30/100))</f>
        <v>0.452523273424273</v>
      </c>
      <c r="Q30" s="40" t="n">
        <f aca="false">IF(J30="","",MIN(1,J30+1.96*O30/100))</f>
        <v>0.571324103364281</v>
      </c>
      <c r="R30" s="32" t="str">
        <f aca="false">IF(L30="","",IF(ABS(L30)&lt;=O30,"Yes","No"))</f>
        <v>Yes</v>
      </c>
      <c r="S30" s="32" t="str">
        <f aca="false">IF(L30="","",IF(ABS(L30)&lt;=1.96*O30,"Yes","No"))</f>
        <v>Yes</v>
      </c>
      <c r="T30" s="60" t="n">
        <f aca="false">IF(D30="","",ROUND(SQRT(((D30+G30)*O30/100)^2+(J30*(D30+G30)*0.03811)^2),0))</f>
        <v>45</v>
      </c>
      <c r="U30" s="32"/>
    </row>
    <row r="31" customFormat="false" ht="15" hidden="false" customHeight="false" outlineLevel="0" collapsed="false">
      <c r="A31" s="32" t="s">
        <v>192</v>
      </c>
      <c r="B31" s="32" t="s">
        <v>199</v>
      </c>
      <c r="C31" s="32" t="s">
        <v>164</v>
      </c>
      <c r="D31" s="60" t="n">
        <v>2452</v>
      </c>
      <c r="E31" s="60" t="n">
        <v>2834</v>
      </c>
      <c r="F31" s="69" t="n">
        <f aca="false">IF(E31="","",D31-E31)</f>
        <v>-382</v>
      </c>
      <c r="G31" s="60" t="n">
        <v>2261</v>
      </c>
      <c r="H31" s="60" t="n">
        <v>2250</v>
      </c>
      <c r="I31" s="69" t="n">
        <f aca="false">IF(H31="","",G31-H31)</f>
        <v>11</v>
      </c>
      <c r="J31" s="40" t="n">
        <f aca="false">IF(OR(D31="",D31+G31=0),"",D31/(D31+G31))</f>
        <v>0.520263102058137</v>
      </c>
      <c r="K31" s="40" t="n">
        <f aca="false">IF(E31="","",E31/(E31+H31))</f>
        <v>0.557435090479937</v>
      </c>
      <c r="L31" s="70" t="n">
        <f aca="false">IF(OR(K31="",J31=""),"",(J31-K31)*100)</f>
        <v>-3.71719884218</v>
      </c>
      <c r="M31" s="36" t="n">
        <v>1.13665371541994</v>
      </c>
      <c r="N31" s="36" t="n">
        <v>2.13758839273281</v>
      </c>
      <c r="O31" s="36" t="n">
        <f aca="false">SQRT(M31^2+N31^2)</f>
        <v>2.4210051229859</v>
      </c>
      <c r="P31" s="40" t="n">
        <f aca="false">IF(J31="","",MAX(0,J31-1.96*O31/100))</f>
        <v>0.472811401647613</v>
      </c>
      <c r="Q31" s="40" t="n">
        <f aca="false">IF(J31="","",MIN(1,J31+1.96*O31/100))</f>
        <v>0.567714802468661</v>
      </c>
      <c r="R31" s="32" t="str">
        <f aca="false">IF(L31="","",IF(ABS(L31)&lt;=O31,"Yes","No"))</f>
        <v>No</v>
      </c>
      <c r="S31" s="32" t="str">
        <f aca="false">IF(L31="","",IF(ABS(L31)&lt;=1.96*O31,"Yes","No"))</f>
        <v>Yes</v>
      </c>
      <c r="T31" s="60" t="n">
        <f aca="false">IF(D31="","",ROUND(SQRT(((D31+G31)*O31/100)^2+(J31*(D31+G31)*0.02225)^2),0))</f>
        <v>126</v>
      </c>
      <c r="U31" s="32"/>
    </row>
    <row r="32" customFormat="false" ht="15" hidden="false" customHeight="false" outlineLevel="0" collapsed="false">
      <c r="A32" s="32" t="s">
        <v>192</v>
      </c>
      <c r="B32" s="32" t="s">
        <v>200</v>
      </c>
      <c r="C32" s="32" t="s">
        <v>164</v>
      </c>
      <c r="D32" s="60" t="n">
        <v>963</v>
      </c>
      <c r="E32" s="60" t="n">
        <v>1070</v>
      </c>
      <c r="F32" s="69" t="n">
        <f aca="false">IF(E32="","",D32-E32)</f>
        <v>-107</v>
      </c>
      <c r="G32" s="60" t="n">
        <v>652</v>
      </c>
      <c r="H32" s="60" t="n">
        <v>479</v>
      </c>
      <c r="I32" s="69" t="n">
        <f aca="false">IF(H32="","",G32-H32)</f>
        <v>173</v>
      </c>
      <c r="J32" s="40" t="n">
        <f aca="false">IF(OR(D32="",D32+G32=0),"",D32/(D32+G32))</f>
        <v>0.596284829721362</v>
      </c>
      <c r="K32" s="40" t="n">
        <f aca="false">IF(E32="","",E32/(E32+H32))</f>
        <v>0.690768237572628</v>
      </c>
      <c r="L32" s="70" t="n">
        <f aca="false">IF(OR(K32="",J32=""),"",(J32-K32)*100)</f>
        <v>-9.44834078512653</v>
      </c>
      <c r="M32" s="36" t="n">
        <v>2.14836094977141</v>
      </c>
      <c r="N32" s="36" t="n">
        <v>2.13758839273281</v>
      </c>
      <c r="O32" s="36" t="n">
        <f aca="false">SQRT(M32^2+N32^2)</f>
        <v>3.03063341683694</v>
      </c>
      <c r="P32" s="40" t="n">
        <f aca="false">IF(J32="","",MAX(0,J32-1.96*O32/100))</f>
        <v>0.536884414751358</v>
      </c>
      <c r="Q32" s="40" t="n">
        <f aca="false">IF(J32="","",MIN(1,J32+1.96*O32/100))</f>
        <v>0.655685244691366</v>
      </c>
      <c r="R32" s="32" t="str">
        <f aca="false">IF(L32="","",IF(ABS(L32)&lt;=O32,"Yes","No"))</f>
        <v>No</v>
      </c>
      <c r="S32" s="32" t="str">
        <f aca="false">IF(L32="","",IF(ABS(L32)&lt;=1.96*O32,"Yes","No"))</f>
        <v>No</v>
      </c>
      <c r="T32" s="60" t="n">
        <f aca="false">IF(D32="","",ROUND(SQRT(((D32+G32)*O32/100)^2+(J32*(D32+G32)*0.03811)^2),0))</f>
        <v>61</v>
      </c>
      <c r="U32" s="32"/>
    </row>
    <row r="33" customFormat="false" ht="15" hidden="false" customHeight="false" outlineLevel="0" collapsed="false">
      <c r="A33" s="32" t="s">
        <v>192</v>
      </c>
      <c r="B33" s="32" t="s">
        <v>201</v>
      </c>
      <c r="C33" s="32" t="s">
        <v>164</v>
      </c>
      <c r="D33" s="60" t="n">
        <v>258</v>
      </c>
      <c r="E33" s="60" t="n">
        <v>262</v>
      </c>
      <c r="F33" s="69" t="n">
        <f aca="false">IF(E33="","",D33-E33)</f>
        <v>-4</v>
      </c>
      <c r="G33" s="60" t="n">
        <v>231</v>
      </c>
      <c r="H33" s="60" t="n">
        <v>205</v>
      </c>
      <c r="I33" s="69" t="n">
        <f aca="false">IF(H33="","",G33-H33)</f>
        <v>26</v>
      </c>
      <c r="J33" s="40" t="n">
        <f aca="false">IF(OR(D33="",D33+G33=0),"",D33/(D33+G33))</f>
        <v>0.52760736196319</v>
      </c>
      <c r="K33" s="40" t="n">
        <f aca="false">IF(E33="","",E33/(E33+H33))</f>
        <v>0.561027837259101</v>
      </c>
      <c r="L33" s="70" t="n">
        <f aca="false">IF(OR(K33="",J33=""),"",(J33-K33)*100)</f>
        <v>-3.34204752959105</v>
      </c>
      <c r="M33" s="36" t="n">
        <v>3.29910770631353</v>
      </c>
      <c r="N33" s="36" t="n">
        <v>2.13758839273281</v>
      </c>
      <c r="O33" s="36" t="n">
        <f aca="false">SQRT(M33^2+N33^2)</f>
        <v>3.93108074129791</v>
      </c>
      <c r="P33" s="40" t="n">
        <f aca="false">IF(J33="","",MAX(0,J33-1.96*O33/100))</f>
        <v>0.450558179433751</v>
      </c>
      <c r="Q33" s="40" t="n">
        <f aca="false">IF(J33="","",MIN(1,J33+1.96*O33/100))</f>
        <v>0.604656544492629</v>
      </c>
      <c r="R33" s="32" t="str">
        <f aca="false">IF(L33="","",IF(ABS(L33)&lt;=O33,"Yes","No"))</f>
        <v>Yes</v>
      </c>
      <c r="S33" s="32" t="str">
        <f aca="false">IF(L33="","",IF(ABS(L33)&lt;=1.96*O33,"Yes","No"))</f>
        <v>Yes</v>
      </c>
      <c r="T33" s="60" t="n">
        <f aca="false">IF(D33="","",ROUND(SQRT(((D33+G33)*O33/100)^2+(J33*(D33+G33)*0.0534)^2),0))</f>
        <v>24</v>
      </c>
      <c r="U33" s="32"/>
    </row>
    <row r="34" customFormat="false" ht="15" hidden="false" customHeight="false" outlineLevel="0" collapsed="false">
      <c r="A34" s="32" t="s">
        <v>192</v>
      </c>
      <c r="B34" s="32" t="s">
        <v>202</v>
      </c>
      <c r="C34" s="32" t="s">
        <v>164</v>
      </c>
      <c r="D34" s="60" t="n">
        <v>499</v>
      </c>
      <c r="E34" s="60" t="n">
        <v>532</v>
      </c>
      <c r="F34" s="69" t="n">
        <f aca="false">IF(E34="","",D34-E34)</f>
        <v>-33</v>
      </c>
      <c r="G34" s="60" t="n">
        <v>974</v>
      </c>
      <c r="H34" s="60" t="n">
        <v>1068</v>
      </c>
      <c r="I34" s="69" t="n">
        <f aca="false">IF(H34="","",G34-H34)</f>
        <v>-94</v>
      </c>
      <c r="J34" s="40" t="n">
        <f aca="false">IF(OR(D34="",D34+G34=0),"",D34/(D34+G34))</f>
        <v>0.338764426340801</v>
      </c>
      <c r="K34" s="40" t="n">
        <f aca="false">IF(E34="","",E34/(E34+H34))</f>
        <v>0.3325</v>
      </c>
      <c r="L34" s="70" t="n">
        <f aca="false">IF(OR(K34="",J34=""),"",(J34-K34)*100)</f>
        <v>0.626442634080104</v>
      </c>
      <c r="M34" s="36" t="n">
        <v>2.14836094977141</v>
      </c>
      <c r="N34" s="36" t="n">
        <v>2.13758839273281</v>
      </c>
      <c r="O34" s="36" t="n">
        <f aca="false">SQRT(M34^2+N34^2)</f>
        <v>3.03063341683694</v>
      </c>
      <c r="P34" s="40" t="n">
        <f aca="false">IF(J34="","",MAX(0,J34-1.96*O34/100))</f>
        <v>0.279364011370797</v>
      </c>
      <c r="Q34" s="40" t="n">
        <f aca="false">IF(J34="","",MIN(1,J34+1.96*O34/100))</f>
        <v>0.398164841310805</v>
      </c>
      <c r="R34" s="32" t="str">
        <f aca="false">IF(L34="","",IF(ABS(L34)&lt;=O34,"Yes","No"))</f>
        <v>Yes</v>
      </c>
      <c r="S34" s="32" t="str">
        <f aca="false">IF(L34="","",IF(ABS(L34)&lt;=1.96*O34,"Yes","No"))</f>
        <v>Yes</v>
      </c>
      <c r="T34" s="60" t="n">
        <f aca="false">IF(D34="","",ROUND(SQRT(((D34+G34)*O34/100)^2+(J34*(D34+G34)*0.03811)^2),0))</f>
        <v>49</v>
      </c>
      <c r="U34" s="32"/>
    </row>
    <row r="35" customFormat="false" ht="15" hidden="false" customHeight="false" outlineLevel="0" collapsed="false">
      <c r="A35" s="32" t="s">
        <v>192</v>
      </c>
      <c r="B35" s="32" t="s">
        <v>203</v>
      </c>
      <c r="C35" s="32" t="s">
        <v>164</v>
      </c>
      <c r="D35" s="60" t="n">
        <v>7596</v>
      </c>
      <c r="E35" s="60" t="n">
        <v>8358</v>
      </c>
      <c r="F35" s="69" t="n">
        <f aca="false">IF(E35="","",D35-E35)</f>
        <v>-762</v>
      </c>
      <c r="G35" s="60" t="n">
        <v>7466</v>
      </c>
      <c r="H35" s="60" t="n">
        <v>7595</v>
      </c>
      <c r="I35" s="69" t="n">
        <f aca="false">IF(H35="","",G35-H35)</f>
        <v>-129</v>
      </c>
      <c r="J35" s="40" t="n">
        <f aca="false">IF(OR(D35="",D35+G35=0),"",D35/(D35+G35))</f>
        <v>0.504315495950073</v>
      </c>
      <c r="K35" s="40" t="n">
        <f aca="false">IF(E35="","",E35/(E35+H35))</f>
        <v>0.523913997367266</v>
      </c>
      <c r="L35" s="70" t="n">
        <f aca="false">IF(OR(K35="",J35=""),"",(J35-K35)*100)</f>
        <v>-1.95985014171932</v>
      </c>
      <c r="M35" s="36" t="n">
        <v>1.13665371541994</v>
      </c>
      <c r="N35" s="36" t="n">
        <v>2.13758839273281</v>
      </c>
      <c r="O35" s="36" t="n">
        <f aca="false">SQRT(M35^2+N35^2)</f>
        <v>2.4210051229859</v>
      </c>
      <c r="P35" s="40" t="n">
        <f aca="false">IF(J35="","",MAX(0,J35-1.96*O35/100))</f>
        <v>0.456863795539549</v>
      </c>
      <c r="Q35" s="40" t="n">
        <f aca="false">IF(J35="","",MIN(1,J35+1.96*O35/100))</f>
        <v>0.551767196360597</v>
      </c>
      <c r="R35" s="32" t="str">
        <f aca="false">IF(L35="","",IF(ABS(L35)&lt;=O35,"Yes","No"))</f>
        <v>Yes</v>
      </c>
      <c r="S35" s="32" t="str">
        <f aca="false">IF(L35="","",IF(ABS(L35)&lt;=1.96*O35,"Yes","No"))</f>
        <v>Yes</v>
      </c>
      <c r="T35" s="60" t="n">
        <f aca="false">IF(D35="","",ROUND(SQRT(((D35+G35)*O35/100)^2+(J35*(D35+G35)*0.02225)^2),0))</f>
        <v>402</v>
      </c>
      <c r="U35" s="32"/>
    </row>
    <row r="36" customFormat="false" ht="15" hidden="false" customHeight="false" outlineLevel="0" collapsed="false">
      <c r="A36" s="32" t="s">
        <v>192</v>
      </c>
      <c r="B36" s="32" t="s">
        <v>204</v>
      </c>
      <c r="C36" s="32" t="s">
        <v>164</v>
      </c>
      <c r="D36" s="60" t="n">
        <v>772</v>
      </c>
      <c r="E36" s="60" t="n">
        <v>850</v>
      </c>
      <c r="F36" s="69" t="n">
        <f aca="false">IF(E36="","",D36-E36)</f>
        <v>-78</v>
      </c>
      <c r="G36" s="60" t="n">
        <v>1240</v>
      </c>
      <c r="H36" s="60" t="n">
        <v>1311</v>
      </c>
      <c r="I36" s="69" t="n">
        <f aca="false">IF(H36="","",G36-H36)</f>
        <v>-71</v>
      </c>
      <c r="J36" s="40" t="n">
        <f aca="false">IF(OR(D36="",D36+G36=0),"",D36/(D36+G36))</f>
        <v>0.383697813121272</v>
      </c>
      <c r="K36" s="40" t="n">
        <f aca="false">IF(E36="","",E36/(E36+H36))</f>
        <v>0.39333641832485</v>
      </c>
      <c r="L36" s="70" t="n">
        <f aca="false">IF(OR(K36="",J36=""),"",(J36-K36)*100)</f>
        <v>-0.963860520357723</v>
      </c>
      <c r="M36" s="36" t="n">
        <v>2.14836094977141</v>
      </c>
      <c r="N36" s="36" t="n">
        <v>2.13758839273281</v>
      </c>
      <c r="O36" s="36" t="n">
        <f aca="false">SQRT(M36^2+N36^2)</f>
        <v>3.03063341683694</v>
      </c>
      <c r="P36" s="40" t="n">
        <f aca="false">IF(J36="","",MAX(0,J36-1.96*O36/100))</f>
        <v>0.324297398151268</v>
      </c>
      <c r="Q36" s="40" t="n">
        <f aca="false">IF(J36="","",MIN(1,J36+1.96*O36/100))</f>
        <v>0.443098228091276</v>
      </c>
      <c r="R36" s="32" t="str">
        <f aca="false">IF(L36="","",IF(ABS(L36)&lt;=O36,"Yes","No"))</f>
        <v>Yes</v>
      </c>
      <c r="S36" s="32" t="str">
        <f aca="false">IF(L36="","",IF(ABS(L36)&lt;=1.96*O36,"Yes","No"))</f>
        <v>Yes</v>
      </c>
      <c r="T36" s="60" t="n">
        <f aca="false">IF(D36="","",ROUND(SQRT(((D36+G36)*O36/100)^2+(J36*(D36+G36)*0.03811)^2),0))</f>
        <v>68</v>
      </c>
      <c r="U36" s="32"/>
    </row>
    <row r="37" customFormat="false" ht="15" hidden="false" customHeight="false" outlineLevel="0" collapsed="false">
      <c r="A37" s="32" t="s">
        <v>192</v>
      </c>
      <c r="B37" s="32" t="s">
        <v>205</v>
      </c>
      <c r="C37" s="32" t="s">
        <v>164</v>
      </c>
      <c r="D37" s="60" t="n">
        <v>440</v>
      </c>
      <c r="E37" s="60" t="n">
        <v>457</v>
      </c>
      <c r="F37" s="69" t="n">
        <f aca="false">IF(E37="","",D37-E37)</f>
        <v>-17</v>
      </c>
      <c r="G37" s="60" t="n">
        <v>738</v>
      </c>
      <c r="H37" s="60" t="n">
        <v>760</v>
      </c>
      <c r="I37" s="69" t="n">
        <f aca="false">IF(H37="","",G37-H37)</f>
        <v>-22</v>
      </c>
      <c r="J37" s="40" t="n">
        <f aca="false">IF(OR(D37="",D37+G37=0),"",D37/(D37+G37))</f>
        <v>0.373514431239389</v>
      </c>
      <c r="K37" s="40" t="n">
        <f aca="false">IF(E37="","",E37/(E37+H37))</f>
        <v>0.375513557929334</v>
      </c>
      <c r="L37" s="70" t="n">
        <f aca="false">IF(OR(K37="",J37=""),"",(J37-K37)*100)</f>
        <v>-0.199912668994562</v>
      </c>
      <c r="M37" s="36" t="n">
        <v>2.14836094977141</v>
      </c>
      <c r="N37" s="36" t="n">
        <v>2.13758839273281</v>
      </c>
      <c r="O37" s="36" t="n">
        <f aca="false">SQRT(M37^2+N37^2)</f>
        <v>3.03063341683694</v>
      </c>
      <c r="P37" s="40" t="n">
        <f aca="false">IF(J37="","",MAX(0,J37-1.96*O37/100))</f>
        <v>0.314114016269385</v>
      </c>
      <c r="Q37" s="40" t="n">
        <f aca="false">IF(J37="","",MIN(1,J37+1.96*O37/100))</f>
        <v>0.432914846209393</v>
      </c>
      <c r="R37" s="32" t="str">
        <f aca="false">IF(L37="","",IF(ABS(L37)&lt;=O37,"Yes","No"))</f>
        <v>Yes</v>
      </c>
      <c r="S37" s="32" t="str">
        <f aca="false">IF(L37="","",IF(ABS(L37)&lt;=1.96*O37,"Yes","No"))</f>
        <v>Yes</v>
      </c>
      <c r="T37" s="60" t="n">
        <f aca="false">IF(D37="","",ROUND(SQRT(((D37+G37)*O37/100)^2+(J37*(D37+G37)*0.03811)^2),0))</f>
        <v>39</v>
      </c>
      <c r="U37" s="32"/>
    </row>
    <row r="38" customFormat="false" ht="15" hidden="false" customHeight="false" outlineLevel="0" collapsed="false">
      <c r="A38" s="32" t="s">
        <v>192</v>
      </c>
      <c r="B38" s="32" t="s">
        <v>206</v>
      </c>
      <c r="C38" s="32" t="s">
        <v>164</v>
      </c>
      <c r="D38" s="60" t="n">
        <v>686</v>
      </c>
      <c r="E38" s="60" t="n">
        <v>719</v>
      </c>
      <c r="F38" s="69" t="n">
        <f aca="false">IF(E38="","",D38-E38)</f>
        <v>-33</v>
      </c>
      <c r="G38" s="60" t="n">
        <v>1306</v>
      </c>
      <c r="H38" s="60" t="n">
        <v>1434</v>
      </c>
      <c r="I38" s="69" t="n">
        <f aca="false">IF(H38="","",G38-H38)</f>
        <v>-128</v>
      </c>
      <c r="J38" s="40" t="n">
        <f aca="false">IF(OR(D38="",D38+G38=0),"",D38/(D38+G38))</f>
        <v>0.344377510040161</v>
      </c>
      <c r="K38" s="40" t="n">
        <f aca="false">IF(E38="","",E38/(E38+H38))</f>
        <v>0.333952624245239</v>
      </c>
      <c r="L38" s="70" t="n">
        <f aca="false">IF(OR(K38="",J38=""),"",(J38-K38)*100)</f>
        <v>1.04248857949215</v>
      </c>
      <c r="M38" s="36" t="n">
        <v>2.14836094977141</v>
      </c>
      <c r="N38" s="36" t="n">
        <v>2.13758839273281</v>
      </c>
      <c r="O38" s="36" t="n">
        <f aca="false">SQRT(M38^2+N38^2)</f>
        <v>3.03063341683694</v>
      </c>
      <c r="P38" s="40" t="n">
        <f aca="false">IF(J38="","",MAX(0,J38-1.96*O38/100))</f>
        <v>0.284977095070157</v>
      </c>
      <c r="Q38" s="40" t="n">
        <f aca="false">IF(J38="","",MIN(1,J38+1.96*O38/100))</f>
        <v>0.403777925010165</v>
      </c>
      <c r="R38" s="32" t="str">
        <f aca="false">IF(L38="","",IF(ABS(L38)&lt;=O38,"Yes","No"))</f>
        <v>Yes</v>
      </c>
      <c r="S38" s="32" t="str">
        <f aca="false">IF(L38="","",IF(ABS(L38)&lt;=1.96*O38,"Yes","No"))</f>
        <v>Yes</v>
      </c>
      <c r="T38" s="60" t="n">
        <f aca="false">IF(D38="","",ROUND(SQRT(((D38+G38)*O38/100)^2+(J38*(D38+G38)*0.03811)^2),0))</f>
        <v>66</v>
      </c>
      <c r="U38" s="32"/>
    </row>
    <row r="39" customFormat="false" ht="15" hidden="false" customHeight="false" outlineLevel="0" collapsed="false">
      <c r="A39" s="32" t="s">
        <v>192</v>
      </c>
      <c r="B39" s="32" t="s">
        <v>207</v>
      </c>
      <c r="C39" s="32" t="s">
        <v>164</v>
      </c>
      <c r="D39" s="60" t="n">
        <v>690</v>
      </c>
      <c r="E39" s="60" t="n">
        <v>788</v>
      </c>
      <c r="F39" s="69" t="n">
        <f aca="false">IF(E39="","",D39-E39)</f>
        <v>-98</v>
      </c>
      <c r="G39" s="60" t="n">
        <v>655</v>
      </c>
      <c r="H39" s="60" t="n">
        <v>628</v>
      </c>
      <c r="I39" s="69" t="n">
        <f aca="false">IF(H39="","",G39-H39)</f>
        <v>27</v>
      </c>
      <c r="J39" s="40" t="n">
        <f aca="false">IF(OR(D39="",D39+G39=0),"",D39/(D39+G39))</f>
        <v>0.513011152416357</v>
      </c>
      <c r="K39" s="40" t="n">
        <f aca="false">IF(E39="","",E39/(E39+H39))</f>
        <v>0.556497175141243</v>
      </c>
      <c r="L39" s="70" t="n">
        <f aca="false">IF(OR(K39="",J39=""),"",(J39-K39)*100)</f>
        <v>-4.34860227248861</v>
      </c>
      <c r="M39" s="36" t="n">
        <v>2.14836094977141</v>
      </c>
      <c r="N39" s="36" t="n">
        <v>2.13758839273281</v>
      </c>
      <c r="O39" s="36" t="n">
        <f aca="false">SQRT(M39^2+N39^2)</f>
        <v>3.03063341683694</v>
      </c>
      <c r="P39" s="40" t="n">
        <f aca="false">IF(J39="","",MAX(0,J39-1.96*O39/100))</f>
        <v>0.453610737446353</v>
      </c>
      <c r="Q39" s="40" t="n">
        <f aca="false">IF(J39="","",MIN(1,J39+1.96*O39/100))</f>
        <v>0.572411567386361</v>
      </c>
      <c r="R39" s="32" t="str">
        <f aca="false">IF(L39="","",IF(ABS(L39)&lt;=O39,"Yes","No"))</f>
        <v>No</v>
      </c>
      <c r="S39" s="32" t="str">
        <f aca="false">IF(L39="","",IF(ABS(L39)&lt;=1.96*O39,"Yes","No"))</f>
        <v>Yes</v>
      </c>
      <c r="T39" s="60" t="n">
        <f aca="false">IF(D39="","",ROUND(SQRT(((D39+G39)*O39/100)^2+(J39*(D39+G39)*0.03811)^2),0))</f>
        <v>49</v>
      </c>
      <c r="U39" s="32"/>
    </row>
    <row r="40" customFormat="false" ht="15" hidden="false" customHeight="false" outlineLevel="0" collapsed="false">
      <c r="A40" s="32" t="s">
        <v>192</v>
      </c>
      <c r="B40" s="32" t="s">
        <v>208</v>
      </c>
      <c r="C40" s="32" t="s">
        <v>164</v>
      </c>
      <c r="D40" s="60" t="n">
        <v>2999</v>
      </c>
      <c r="E40" s="60" t="n">
        <v>3255</v>
      </c>
      <c r="F40" s="69" t="n">
        <f aca="false">IF(E40="","",D40-E40)</f>
        <v>-256</v>
      </c>
      <c r="G40" s="60" t="n">
        <v>4019</v>
      </c>
      <c r="H40" s="60" t="n">
        <v>4462</v>
      </c>
      <c r="I40" s="69" t="n">
        <f aca="false">IF(H40="","",G40-H40)</f>
        <v>-443</v>
      </c>
      <c r="J40" s="40" t="n">
        <f aca="false">IF(OR(D40="",D40+G40=0),"",D40/(D40+G40))</f>
        <v>0.427329723567968</v>
      </c>
      <c r="K40" s="40" t="n">
        <f aca="false">IF(E40="","",E40/(E40+H40))</f>
        <v>0.421796034728521</v>
      </c>
      <c r="L40" s="70" t="n">
        <f aca="false">IF(OR(K40="",J40=""),"",(J40-K40)*100)</f>
        <v>0.55336888394466</v>
      </c>
      <c r="M40" s="36" t="n">
        <v>1.13665371541994</v>
      </c>
      <c r="N40" s="36" t="n">
        <v>2.13758839273281</v>
      </c>
      <c r="O40" s="36" t="n">
        <f aca="false">SQRT(M40^2+N40^2)</f>
        <v>2.4210051229859</v>
      </c>
      <c r="P40" s="40" t="n">
        <f aca="false">IF(J40="","",MAX(0,J40-1.96*O40/100))</f>
        <v>0.379878023157444</v>
      </c>
      <c r="Q40" s="40" t="n">
        <f aca="false">IF(J40="","",MIN(1,J40+1.96*O40/100))</f>
        <v>0.474781423978492</v>
      </c>
      <c r="R40" s="32" t="str">
        <f aca="false">IF(L40="","",IF(ABS(L40)&lt;=O40,"Yes","No"))</f>
        <v>Yes</v>
      </c>
      <c r="S40" s="32" t="str">
        <f aca="false">IF(L40="","",IF(ABS(L40)&lt;=1.96*O40,"Yes","No"))</f>
        <v>Yes</v>
      </c>
      <c r="T40" s="60" t="n">
        <f aca="false">IF(D40="","",ROUND(SQRT(((D40+G40)*O40/100)^2+(J40*(D40+G40)*0.02225)^2),0))</f>
        <v>183</v>
      </c>
      <c r="U40" s="32"/>
    </row>
    <row r="41" customFormat="false" ht="15" hidden="false" customHeight="false" outlineLevel="0" collapsed="false">
      <c r="A41" s="32" t="s">
        <v>192</v>
      </c>
      <c r="B41" s="32" t="s">
        <v>209</v>
      </c>
      <c r="C41" s="32" t="s">
        <v>164</v>
      </c>
      <c r="D41" s="60" t="n">
        <v>3058</v>
      </c>
      <c r="E41" s="60" t="n">
        <v>3239</v>
      </c>
      <c r="F41" s="69" t="n">
        <f aca="false">IF(E41="","",D41-E41)</f>
        <v>-181</v>
      </c>
      <c r="G41" s="60" t="n">
        <v>2965</v>
      </c>
      <c r="H41" s="60" t="n">
        <v>3129</v>
      </c>
      <c r="I41" s="69" t="n">
        <f aca="false">IF(H41="","",G41-H41)</f>
        <v>-164</v>
      </c>
      <c r="J41" s="40" t="n">
        <f aca="false">IF(OR(D41="",D41+G41=0),"",D41/(D41+G41))</f>
        <v>0.507720405113731</v>
      </c>
      <c r="K41" s="40" t="n">
        <f aca="false">IF(E41="","",E41/(E41+H41))</f>
        <v>0.508636934673367</v>
      </c>
      <c r="L41" s="70" t="n">
        <f aca="false">IF(OR(K41="",J41=""),"",(J41-K41)*100)</f>
        <v>-0.0916529559636059</v>
      </c>
      <c r="M41" s="36" t="n">
        <v>1.13665371541994</v>
      </c>
      <c r="N41" s="36" t="n">
        <v>2.13758839273281</v>
      </c>
      <c r="O41" s="36" t="n">
        <f aca="false">SQRT(M41^2+N41^2)</f>
        <v>2.4210051229859</v>
      </c>
      <c r="P41" s="40" t="n">
        <f aca="false">IF(J41="","",MAX(0,J41-1.96*O41/100))</f>
        <v>0.460268704703207</v>
      </c>
      <c r="Q41" s="40" t="n">
        <f aca="false">IF(J41="","",MIN(1,J41+1.96*O41/100))</f>
        <v>0.555172105524254</v>
      </c>
      <c r="R41" s="32" t="str">
        <f aca="false">IF(L41="","",IF(ABS(L41)&lt;=O41,"Yes","No"))</f>
        <v>Yes</v>
      </c>
      <c r="S41" s="32" t="str">
        <f aca="false">IF(L41="","",IF(ABS(L41)&lt;=1.96*O41,"Yes","No"))</f>
        <v>Yes</v>
      </c>
      <c r="T41" s="60" t="n">
        <f aca="false">IF(D41="","",ROUND(SQRT(((D41+G41)*O41/100)^2+(J41*(D41+G41)*0.02225)^2),0))</f>
        <v>161</v>
      </c>
      <c r="U41" s="32"/>
    </row>
    <row r="42" customFormat="false" ht="15" hidden="false" customHeight="false" outlineLevel="0" collapsed="false">
      <c r="A42" s="32" t="s">
        <v>192</v>
      </c>
      <c r="B42" s="32" t="s">
        <v>210</v>
      </c>
      <c r="C42" s="32" t="s">
        <v>164</v>
      </c>
      <c r="D42" s="60" t="n">
        <v>559</v>
      </c>
      <c r="E42" s="60" t="n">
        <v>611</v>
      </c>
      <c r="F42" s="69" t="n">
        <f aca="false">IF(E42="","",D42-E42)</f>
        <v>-52</v>
      </c>
      <c r="G42" s="60" t="n">
        <v>754</v>
      </c>
      <c r="H42" s="60" t="n">
        <v>740</v>
      </c>
      <c r="I42" s="69" t="n">
        <f aca="false">IF(H42="","",G42-H42)</f>
        <v>14</v>
      </c>
      <c r="J42" s="40" t="n">
        <f aca="false">IF(OR(D42="",D42+G42=0),"",D42/(D42+G42))</f>
        <v>0.425742574257426</v>
      </c>
      <c r="K42" s="40" t="n">
        <f aca="false">IF(E42="","",E42/(E42+H42))</f>
        <v>0.452257586972613</v>
      </c>
      <c r="L42" s="70" t="n">
        <f aca="false">IF(OR(K42="",J42=""),"",(J42-K42)*100)</f>
        <v>-2.65150127151871</v>
      </c>
      <c r="M42" s="36" t="n">
        <v>2.14836094977141</v>
      </c>
      <c r="N42" s="36" t="n">
        <v>2.13758839273281</v>
      </c>
      <c r="O42" s="36" t="n">
        <f aca="false">SQRT(M42^2+N42^2)</f>
        <v>3.03063341683694</v>
      </c>
      <c r="P42" s="40" t="n">
        <f aca="false">IF(J42="","",MAX(0,J42-1.96*O42/100))</f>
        <v>0.366342159287422</v>
      </c>
      <c r="Q42" s="40" t="n">
        <f aca="false">IF(J42="","",MIN(1,J42+1.96*O42/100))</f>
        <v>0.48514298922743</v>
      </c>
      <c r="R42" s="32" t="str">
        <f aca="false">IF(L42="","",IF(ABS(L42)&lt;=O42,"Yes","No"))</f>
        <v>Yes</v>
      </c>
      <c r="S42" s="32" t="str">
        <f aca="false">IF(L42="","",IF(ABS(L42)&lt;=1.96*O42,"Yes","No"))</f>
        <v>Yes</v>
      </c>
      <c r="T42" s="60" t="n">
        <f aca="false">IF(D42="","",ROUND(SQRT(((D42+G42)*O42/100)^2+(J42*(D42+G42)*0.03811)^2),0))</f>
        <v>45</v>
      </c>
      <c r="U42" s="32"/>
    </row>
    <row r="43" customFormat="false" ht="15" hidden="false" customHeight="false" outlineLevel="0" collapsed="false">
      <c r="A43" s="32" t="s">
        <v>192</v>
      </c>
      <c r="B43" s="32" t="s">
        <v>211</v>
      </c>
      <c r="C43" s="32" t="s">
        <v>164</v>
      </c>
      <c r="D43" s="60" t="n">
        <v>5047</v>
      </c>
      <c r="E43" s="60" t="n">
        <v>5699</v>
      </c>
      <c r="F43" s="69" t="n">
        <f aca="false">IF(E43="","",D43-E43)</f>
        <v>-652</v>
      </c>
      <c r="G43" s="60" t="n">
        <v>4612</v>
      </c>
      <c r="H43" s="60" t="n">
        <v>4420</v>
      </c>
      <c r="I43" s="69" t="n">
        <f aca="false">IF(H43="","",G43-H43)</f>
        <v>192</v>
      </c>
      <c r="J43" s="40" t="n">
        <f aca="false">IF(OR(D43="",D43+G43=0),"",D43/(D43+G43))</f>
        <v>0.522517858991614</v>
      </c>
      <c r="K43" s="40" t="n">
        <f aca="false">IF(E43="","",E43/(E43+H43))</f>
        <v>0.563197944460915</v>
      </c>
      <c r="L43" s="70" t="n">
        <f aca="false">IF(OR(K43="",J43=""),"",(J43-K43)*100)</f>
        <v>-4.0680085469301</v>
      </c>
      <c r="M43" s="36" t="n">
        <v>1.13665371541994</v>
      </c>
      <c r="N43" s="36" t="n">
        <v>2.13758839273281</v>
      </c>
      <c r="O43" s="36" t="n">
        <f aca="false">SQRT(M43^2+N43^2)</f>
        <v>2.4210051229859</v>
      </c>
      <c r="P43" s="40" t="n">
        <f aca="false">IF(J43="","",MAX(0,J43-1.96*O43/100))</f>
        <v>0.47506615858109</v>
      </c>
      <c r="Q43" s="40" t="n">
        <f aca="false">IF(J43="","",MIN(1,J43+1.96*O43/100))</f>
        <v>0.569969559402138</v>
      </c>
      <c r="R43" s="32" t="str">
        <f aca="false">IF(L43="","",IF(ABS(L43)&lt;=O43,"Yes","No"))</f>
        <v>No</v>
      </c>
      <c r="S43" s="32" t="str">
        <f aca="false">IF(L43="","",IF(ABS(L43)&lt;=1.96*O43,"Yes","No"))</f>
        <v>Yes</v>
      </c>
      <c r="T43" s="60" t="n">
        <f aca="false">IF(D43="","",ROUND(SQRT(((D43+G43)*O43/100)^2+(J43*(D43+G43)*0.02225)^2),0))</f>
        <v>259</v>
      </c>
      <c r="U43" s="32"/>
    </row>
    <row r="44" customFormat="false" ht="15" hidden="false" customHeight="false" outlineLevel="0" collapsed="false">
      <c r="A44" s="32" t="s">
        <v>192</v>
      </c>
      <c r="B44" s="32" t="s">
        <v>212</v>
      </c>
      <c r="C44" s="32" t="s">
        <v>164</v>
      </c>
      <c r="D44" s="60" t="n">
        <v>5589</v>
      </c>
      <c r="E44" s="60" t="n">
        <v>6009</v>
      </c>
      <c r="F44" s="69" t="n">
        <f aca="false">IF(E44="","",D44-E44)</f>
        <v>-420</v>
      </c>
      <c r="G44" s="60" t="n">
        <v>5212</v>
      </c>
      <c r="H44" s="60" t="n">
        <v>5257</v>
      </c>
      <c r="I44" s="69" t="n">
        <f aca="false">IF(H44="","",G44-H44)</f>
        <v>-45</v>
      </c>
      <c r="J44" s="40" t="n">
        <f aca="false">IF(OR(D44="",D44+G44=0),"",D44/(D44+G44))</f>
        <v>0.517452087769651</v>
      </c>
      <c r="K44" s="40" t="n">
        <f aca="false">IF(E44="","",E44/(E44+H44))</f>
        <v>0.533374755902716</v>
      </c>
      <c r="L44" s="70" t="n">
        <f aca="false">IF(OR(K44="",J44=""),"",(J44-K44)*100)</f>
        <v>-1.59226681330652</v>
      </c>
      <c r="M44" s="36" t="n">
        <v>1.13665371541994</v>
      </c>
      <c r="N44" s="36" t="n">
        <v>2.13758839273281</v>
      </c>
      <c r="O44" s="36" t="n">
        <f aca="false">SQRT(M44^2+N44^2)</f>
        <v>2.4210051229859</v>
      </c>
      <c r="P44" s="40" t="n">
        <f aca="false">IF(J44="","",MAX(0,J44-1.96*O44/100))</f>
        <v>0.470000387359127</v>
      </c>
      <c r="Q44" s="40" t="n">
        <f aca="false">IF(J44="","",MIN(1,J44+1.96*O44/100))</f>
        <v>0.564903788180175</v>
      </c>
      <c r="R44" s="32" t="str">
        <f aca="false">IF(L44="","",IF(ABS(L44)&lt;=O44,"Yes","No"))</f>
        <v>Yes</v>
      </c>
      <c r="S44" s="32" t="str">
        <f aca="false">IF(L44="","",IF(ABS(L44)&lt;=1.96*O44,"Yes","No"))</f>
        <v>Yes</v>
      </c>
      <c r="T44" s="60" t="n">
        <f aca="false">IF(D44="","",ROUND(SQRT(((D44+G44)*O44/100)^2+(J44*(D44+G44)*0.02225)^2),0))</f>
        <v>290</v>
      </c>
      <c r="U44" s="32"/>
    </row>
    <row r="45" customFormat="false" ht="15" hidden="false" customHeight="false" outlineLevel="0" collapsed="false">
      <c r="A45" s="32" t="s">
        <v>192</v>
      </c>
      <c r="B45" s="32" t="s">
        <v>213</v>
      </c>
      <c r="C45" s="32" t="s">
        <v>164</v>
      </c>
      <c r="D45" s="60" t="n">
        <v>1776</v>
      </c>
      <c r="E45" s="60" t="n">
        <v>2032</v>
      </c>
      <c r="F45" s="69" t="n">
        <f aca="false">IF(E45="","",D45-E45)</f>
        <v>-256</v>
      </c>
      <c r="G45" s="60" t="n">
        <v>2360</v>
      </c>
      <c r="H45" s="60" t="n">
        <v>2450</v>
      </c>
      <c r="I45" s="69" t="n">
        <f aca="false">IF(H45="","",G45-H45)</f>
        <v>-90</v>
      </c>
      <c r="J45" s="40" t="n">
        <f aca="false">IF(OR(D45="",D45+G45=0),"",D45/(D45+G45))</f>
        <v>0.429400386847195</v>
      </c>
      <c r="K45" s="40" t="n">
        <f aca="false">IF(E45="","",E45/(E45+H45))</f>
        <v>0.453369031682285</v>
      </c>
      <c r="L45" s="70" t="n">
        <f aca="false">IF(OR(K45="",J45=""),"",(J45-K45)*100)</f>
        <v>-2.39686448350894</v>
      </c>
      <c r="M45" s="36" t="n">
        <v>1.13665371541994</v>
      </c>
      <c r="N45" s="36" t="n">
        <v>2.13758839273281</v>
      </c>
      <c r="O45" s="36" t="n">
        <f aca="false">SQRT(M45^2+N45^2)</f>
        <v>2.4210051229859</v>
      </c>
      <c r="P45" s="40" t="n">
        <f aca="false">IF(J45="","",MAX(0,J45-1.96*O45/100))</f>
        <v>0.381948686436672</v>
      </c>
      <c r="Q45" s="40" t="n">
        <f aca="false">IF(J45="","",MIN(1,J45+1.96*O45/100))</f>
        <v>0.476852087257719</v>
      </c>
      <c r="R45" s="32" t="str">
        <f aca="false">IF(L45="","",IF(ABS(L45)&lt;=O45,"Yes","No"))</f>
        <v>Yes</v>
      </c>
      <c r="S45" s="32" t="str">
        <f aca="false">IF(L45="","",IF(ABS(L45)&lt;=1.96*O45,"Yes","No"))</f>
        <v>Yes</v>
      </c>
      <c r="T45" s="60" t="n">
        <f aca="false">IF(D45="","",ROUND(SQRT(((D45+G45)*O45/100)^2+(J45*(D45+G45)*0.02225)^2),0))</f>
        <v>108</v>
      </c>
      <c r="U45" s="32"/>
    </row>
    <row r="46" customFormat="false" ht="15" hidden="false" customHeight="false" outlineLevel="0" collapsed="false">
      <c r="A46" s="32" t="s">
        <v>192</v>
      </c>
      <c r="B46" s="32" t="s">
        <v>214</v>
      </c>
      <c r="C46" s="32" t="s">
        <v>164</v>
      </c>
      <c r="D46" s="60" t="n">
        <v>3924</v>
      </c>
      <c r="E46" s="60" t="n">
        <v>4406</v>
      </c>
      <c r="F46" s="69" t="n">
        <f aca="false">IF(E46="","",D46-E46)</f>
        <v>-482</v>
      </c>
      <c r="G46" s="60" t="n">
        <v>4165</v>
      </c>
      <c r="H46" s="60" t="n">
        <v>4369</v>
      </c>
      <c r="I46" s="69" t="n">
        <f aca="false">IF(H46="","",G46-H46)</f>
        <v>-204</v>
      </c>
      <c r="J46" s="40" t="n">
        <f aca="false">IF(OR(D46="",D46+G46=0),"",D46/(D46+G46))</f>
        <v>0.48510322660403</v>
      </c>
      <c r="K46" s="40" t="n">
        <f aca="false">IF(E46="","",E46/(E46+H46))</f>
        <v>0.502108262108262</v>
      </c>
      <c r="L46" s="70" t="n">
        <f aca="false">IF(OR(K46="",J46=""),"",(J46-K46)*100)</f>
        <v>-1.70050355042319</v>
      </c>
      <c r="M46" s="36" t="n">
        <v>1.13665371541994</v>
      </c>
      <c r="N46" s="36" t="n">
        <v>2.13758839273281</v>
      </c>
      <c r="O46" s="36" t="n">
        <f aca="false">SQRT(M46^2+N46^2)</f>
        <v>2.4210051229859</v>
      </c>
      <c r="P46" s="40" t="n">
        <f aca="false">IF(J46="","",MAX(0,J46-1.96*O46/100))</f>
        <v>0.437651526193506</v>
      </c>
      <c r="Q46" s="40" t="n">
        <f aca="false">IF(J46="","",MIN(1,J46+1.96*O46/100))</f>
        <v>0.532554927014554</v>
      </c>
      <c r="R46" s="32" t="str">
        <f aca="false">IF(L46="","",IF(ABS(L46)&lt;=O46,"Yes","No"))</f>
        <v>Yes</v>
      </c>
      <c r="S46" s="32" t="str">
        <f aca="false">IF(L46="","",IF(ABS(L46)&lt;=1.96*O46,"Yes","No"))</f>
        <v>Yes</v>
      </c>
      <c r="T46" s="60" t="n">
        <f aca="false">IF(D46="","",ROUND(SQRT(((D46+G46)*O46/100)^2+(J46*(D46+G46)*0.02225)^2),0))</f>
        <v>214</v>
      </c>
      <c r="U46" s="32"/>
    </row>
    <row r="47" customFormat="false" ht="15" hidden="false" customHeight="false" outlineLevel="0" collapsed="false">
      <c r="A47" s="32" t="s">
        <v>192</v>
      </c>
      <c r="B47" s="32" t="s">
        <v>215</v>
      </c>
      <c r="C47" s="32" t="s">
        <v>164</v>
      </c>
      <c r="D47" s="60" t="n">
        <v>926</v>
      </c>
      <c r="E47" s="60" t="n">
        <v>1054</v>
      </c>
      <c r="F47" s="69" t="n">
        <f aca="false">IF(E47="","",D47-E47)</f>
        <v>-128</v>
      </c>
      <c r="G47" s="60" t="n">
        <v>1727</v>
      </c>
      <c r="H47" s="60" t="n">
        <v>1952</v>
      </c>
      <c r="I47" s="69" t="n">
        <f aca="false">IF(H47="","",G47-H47)</f>
        <v>-225</v>
      </c>
      <c r="J47" s="40" t="n">
        <f aca="false">IF(OR(D47="",D47+G47=0),"",D47/(D47+G47))</f>
        <v>0.349038823972861</v>
      </c>
      <c r="K47" s="40" t="n">
        <f aca="false">IF(E47="","",E47/(E47+H47))</f>
        <v>0.350632069194943</v>
      </c>
      <c r="L47" s="70" t="n">
        <f aca="false">IF(OR(K47="",J47=""),"",(J47-K47)*100)</f>
        <v>-0.159324522208254</v>
      </c>
      <c r="M47" s="36" t="n">
        <v>1.13665371541994</v>
      </c>
      <c r="N47" s="36" t="n">
        <v>2.13758839273281</v>
      </c>
      <c r="O47" s="36" t="n">
        <f aca="false">SQRT(M47^2+N47^2)</f>
        <v>2.4210051229859</v>
      </c>
      <c r="P47" s="40" t="n">
        <f aca="false">IF(J47="","",MAX(0,J47-1.96*O47/100))</f>
        <v>0.301587123562337</v>
      </c>
      <c r="Q47" s="40" t="n">
        <f aca="false">IF(J47="","",MIN(1,J47+1.96*O47/100))</f>
        <v>0.396490524383385</v>
      </c>
      <c r="R47" s="32" t="str">
        <f aca="false">IF(L47="","",IF(ABS(L47)&lt;=O47,"Yes","No"))</f>
        <v>Yes</v>
      </c>
      <c r="S47" s="32" t="str">
        <f aca="false">IF(L47="","",IF(ABS(L47)&lt;=1.96*O47,"Yes","No"))</f>
        <v>Yes</v>
      </c>
      <c r="T47" s="60" t="n">
        <f aca="false">IF(D47="","",ROUND(SQRT(((D47+G47)*O47/100)^2+(J47*(D47+G47)*0.02225)^2),0))</f>
        <v>67</v>
      </c>
      <c r="U47" s="32"/>
    </row>
    <row r="48" customFormat="false" ht="15" hidden="false" customHeight="false" outlineLevel="0" collapsed="false">
      <c r="A48" s="32" t="s">
        <v>192</v>
      </c>
      <c r="B48" s="32" t="s">
        <v>216</v>
      </c>
      <c r="C48" s="32" t="s">
        <v>164</v>
      </c>
      <c r="D48" s="60" t="n">
        <v>885</v>
      </c>
      <c r="E48" s="60" t="n">
        <v>981</v>
      </c>
      <c r="F48" s="69" t="n">
        <f aca="false">IF(E48="","",D48-E48)</f>
        <v>-96</v>
      </c>
      <c r="G48" s="60" t="n">
        <v>1644</v>
      </c>
      <c r="H48" s="60" t="n">
        <v>1711</v>
      </c>
      <c r="I48" s="69" t="n">
        <f aca="false">IF(H48="","",G48-H48)</f>
        <v>-67</v>
      </c>
      <c r="J48" s="40" t="n">
        <f aca="false">IF(OR(D48="",D48+G48=0),"",D48/(D48+G48))</f>
        <v>0.34994068801898</v>
      </c>
      <c r="K48" s="40" t="n">
        <f aca="false">IF(E48="","",E48/(E48+H48))</f>
        <v>0.364413075780089</v>
      </c>
      <c r="L48" s="70" t="n">
        <f aca="false">IF(OR(K48="",J48=""),"",(J48-K48)*100)</f>
        <v>-1.44723877611093</v>
      </c>
      <c r="M48" s="36" t="n">
        <v>2.14836094977141</v>
      </c>
      <c r="N48" s="36" t="n">
        <v>2.13758839273281</v>
      </c>
      <c r="O48" s="36" t="n">
        <f aca="false">SQRT(M48^2+N48^2)</f>
        <v>3.03063341683694</v>
      </c>
      <c r="P48" s="40" t="n">
        <f aca="false">IF(J48="","",MAX(0,J48-1.96*O48/100))</f>
        <v>0.290540273048976</v>
      </c>
      <c r="Q48" s="40" t="n">
        <f aca="false">IF(J48="","",MIN(1,J48+1.96*O48/100))</f>
        <v>0.409341102988984</v>
      </c>
      <c r="R48" s="32" t="str">
        <f aca="false">IF(L48="","",IF(ABS(L48)&lt;=O48,"Yes","No"))</f>
        <v>Yes</v>
      </c>
      <c r="S48" s="32" t="str">
        <f aca="false">IF(L48="","",IF(ABS(L48)&lt;=1.96*O48,"Yes","No"))</f>
        <v>Yes</v>
      </c>
      <c r="T48" s="60" t="n">
        <f aca="false">IF(D48="","",ROUND(SQRT(((D48+G48)*O48/100)^2+(J48*(D48+G48)*0.03811)^2),0))</f>
        <v>84</v>
      </c>
      <c r="U48" s="32"/>
    </row>
    <row r="49" customFormat="false" ht="15" hidden="false" customHeight="false" outlineLevel="0" collapsed="false">
      <c r="A49" s="32" t="s">
        <v>192</v>
      </c>
      <c r="B49" s="32" t="s">
        <v>217</v>
      </c>
      <c r="C49" s="32" t="s">
        <v>164</v>
      </c>
      <c r="D49" s="60" t="n">
        <v>5125</v>
      </c>
      <c r="E49" s="60" t="n">
        <v>5508</v>
      </c>
      <c r="F49" s="69" t="n">
        <f aca="false">IF(E49="","",D49-E49)</f>
        <v>-383</v>
      </c>
      <c r="G49" s="60" t="n">
        <v>4735</v>
      </c>
      <c r="H49" s="60" t="n">
        <v>4784</v>
      </c>
      <c r="I49" s="69" t="n">
        <f aca="false">IF(H49="","",G49-H49)</f>
        <v>-49</v>
      </c>
      <c r="J49" s="40" t="n">
        <f aca="false">IF(OR(D49="",D49+G49=0),"",D49/(D49+G49))</f>
        <v>0.519776876267749</v>
      </c>
      <c r="K49" s="40" t="n">
        <f aca="false">IF(E49="","",E49/(E49+H49))</f>
        <v>0.535172949863972</v>
      </c>
      <c r="L49" s="70" t="n">
        <f aca="false">IF(OR(K49="",J49=""),"",(J49-K49)*100)</f>
        <v>-1.53960735962235</v>
      </c>
      <c r="M49" s="36" t="n">
        <v>1.13665371541994</v>
      </c>
      <c r="N49" s="36" t="n">
        <v>2.13758839273281</v>
      </c>
      <c r="O49" s="36" t="n">
        <f aca="false">SQRT(M49^2+N49^2)</f>
        <v>2.4210051229859</v>
      </c>
      <c r="P49" s="40" t="n">
        <f aca="false">IF(J49="","",MAX(0,J49-1.96*O49/100))</f>
        <v>0.472325175857225</v>
      </c>
      <c r="Q49" s="40" t="n">
        <f aca="false">IF(J49="","",MIN(1,J49+1.96*O49/100))</f>
        <v>0.567228576678272</v>
      </c>
      <c r="R49" s="32" t="str">
        <f aca="false">IF(L49="","",IF(ABS(L49)&lt;=O49,"Yes","No"))</f>
        <v>Yes</v>
      </c>
      <c r="S49" s="32" t="str">
        <f aca="false">IF(L49="","",IF(ABS(L49)&lt;=1.96*O49,"Yes","No"))</f>
        <v>Yes</v>
      </c>
      <c r="T49" s="60" t="n">
        <f aca="false">IF(D49="","",ROUND(SQRT(((D49+G49)*O49/100)^2+(J49*(D49+G49)*0.02225)^2),0))</f>
        <v>265</v>
      </c>
      <c r="U49" s="32"/>
    </row>
    <row r="50" customFormat="false" ht="15" hidden="false" customHeight="false" outlineLevel="0" collapsed="false">
      <c r="A50" s="32" t="s">
        <v>218</v>
      </c>
      <c r="B50" s="32" t="s">
        <v>219</v>
      </c>
      <c r="C50" s="32" t="s">
        <v>164</v>
      </c>
      <c r="D50" s="60" t="n">
        <v>382</v>
      </c>
      <c r="E50" s="60" t="n">
        <v>361</v>
      </c>
      <c r="F50" s="69" t="n">
        <f aca="false">IF(E50="","",D50-E50)</f>
        <v>21</v>
      </c>
      <c r="G50" s="60" t="n">
        <v>666</v>
      </c>
      <c r="H50" s="60" t="n">
        <v>824</v>
      </c>
      <c r="I50" s="69" t="n">
        <f aca="false">IF(H50="","",G50-H50)</f>
        <v>-158</v>
      </c>
      <c r="J50" s="40" t="n">
        <f aca="false">IF(OR(D50="",D50+G50=0),"",D50/(D50+G50))</f>
        <v>0.364503816793893</v>
      </c>
      <c r="K50" s="40" t="n">
        <f aca="false">IF(E50="","",E50/(E50+H50))</f>
        <v>0.30464135021097</v>
      </c>
      <c r="L50" s="70" t="n">
        <f aca="false">IF(OR(K50="",J50=""),"",(J50-K50)*100)</f>
        <v>5.98624665829227</v>
      </c>
      <c r="M50" s="36" t="n">
        <v>3.29910770631353</v>
      </c>
      <c r="N50" s="36" t="n">
        <v>2.13758839273281</v>
      </c>
      <c r="O50" s="36" t="n">
        <f aca="false">SQRT(M50^2+N50^2)</f>
        <v>3.93108074129791</v>
      </c>
      <c r="P50" s="40" t="n">
        <f aca="false">IF(J50="","",MAX(0,J50-1.96*O50/100))</f>
        <v>0.287454634264454</v>
      </c>
      <c r="Q50" s="40" t="n">
        <f aca="false">IF(J50="","",MIN(1,J50+1.96*O50/100))</f>
        <v>0.441552999323332</v>
      </c>
      <c r="R50" s="32" t="str">
        <f aca="false">IF(L50="","",IF(ABS(L50)&lt;=O50,"Yes","No"))</f>
        <v>No</v>
      </c>
      <c r="S50" s="32" t="str">
        <f aca="false">IF(L50="","",IF(ABS(L50)&lt;=1.96*O50,"Yes","No"))</f>
        <v>Yes</v>
      </c>
      <c r="T50" s="60" t="n">
        <f aca="false">IF(D50="","",ROUND(SQRT(((D50+G50)*O50/100)^2+(J50*(D50+G50)*0.0534)^2),0))</f>
        <v>46</v>
      </c>
      <c r="U50" s="32"/>
    </row>
    <row r="51" customFormat="false" ht="15" hidden="false" customHeight="false" outlineLevel="0" collapsed="false">
      <c r="A51" s="32" t="s">
        <v>218</v>
      </c>
      <c r="B51" s="32" t="s">
        <v>220</v>
      </c>
      <c r="C51" s="32" t="s">
        <v>164</v>
      </c>
      <c r="D51" s="60" t="n">
        <v>1052</v>
      </c>
      <c r="E51" s="60" t="n">
        <v>1021</v>
      </c>
      <c r="F51" s="69" t="n">
        <f aca="false">IF(E51="","",D51-E51)</f>
        <v>31</v>
      </c>
      <c r="G51" s="60" t="n">
        <v>1736</v>
      </c>
      <c r="H51" s="60" t="n">
        <v>1984</v>
      </c>
      <c r="I51" s="69" t="n">
        <f aca="false">IF(H51="","",G51-H51)</f>
        <v>-248</v>
      </c>
      <c r="J51" s="40" t="n">
        <f aca="false">IF(OR(D51="",D51+G51=0),"",D51/(D51+G51))</f>
        <v>0.377331420373027</v>
      </c>
      <c r="K51" s="40" t="n">
        <f aca="false">IF(E51="","",E51/(E51+H51))</f>
        <v>0.339767054908486</v>
      </c>
      <c r="L51" s="70" t="n">
        <f aca="false">IF(OR(K51="",J51=""),"",(J51-K51)*100)</f>
        <v>3.75643654645414</v>
      </c>
      <c r="M51" s="36" t="n">
        <v>1.13665371541994</v>
      </c>
      <c r="N51" s="36" t="n">
        <v>2.13758839273281</v>
      </c>
      <c r="O51" s="36" t="n">
        <f aca="false">SQRT(M51^2+N51^2)</f>
        <v>2.4210051229859</v>
      </c>
      <c r="P51" s="40" t="n">
        <f aca="false">IF(J51="","",MAX(0,J51-1.96*O51/100))</f>
        <v>0.329879719962504</v>
      </c>
      <c r="Q51" s="40" t="n">
        <f aca="false">IF(J51="","",MIN(1,J51+1.96*O51/100))</f>
        <v>0.424783120783551</v>
      </c>
      <c r="R51" s="32" t="str">
        <f aca="false">IF(L51="","",IF(ABS(L51)&lt;=O51,"Yes","No"))</f>
        <v>No</v>
      </c>
      <c r="S51" s="32" t="str">
        <f aca="false">IF(L51="","",IF(ABS(L51)&lt;=1.96*O51,"Yes","No"))</f>
        <v>Yes</v>
      </c>
      <c r="T51" s="60" t="n">
        <f aca="false">IF(D51="","",ROUND(SQRT(((D51+G51)*O51/100)^2+(J51*(D51+G51)*0.02225)^2),0))</f>
        <v>71</v>
      </c>
      <c r="U51" s="32"/>
    </row>
    <row r="52" customFormat="false" ht="15" hidden="false" customHeight="false" outlineLevel="0" collapsed="false">
      <c r="A52" s="32" t="s">
        <v>218</v>
      </c>
      <c r="B52" s="32" t="s">
        <v>221</v>
      </c>
      <c r="C52" s="32" t="s">
        <v>164</v>
      </c>
      <c r="D52" s="60" t="n">
        <v>349</v>
      </c>
      <c r="E52" s="60" t="n">
        <v>380</v>
      </c>
      <c r="F52" s="69" t="n">
        <f aca="false">IF(E52="","",D52-E52)</f>
        <v>-31</v>
      </c>
      <c r="G52" s="60" t="n">
        <v>515</v>
      </c>
      <c r="H52" s="60" t="n">
        <v>732</v>
      </c>
      <c r="I52" s="69" t="n">
        <f aca="false">IF(H52="","",G52-H52)</f>
        <v>-217</v>
      </c>
      <c r="J52" s="40" t="n">
        <f aca="false">IF(OR(D52="",D52+G52=0),"",D52/(D52+G52))</f>
        <v>0.403935185185185</v>
      </c>
      <c r="K52" s="40" t="n">
        <f aca="false">IF(E52="","",E52/(E52+H52))</f>
        <v>0.341726618705036</v>
      </c>
      <c r="L52" s="70" t="n">
        <f aca="false">IF(OR(K52="",J52=""),"",(J52-K52)*100)</f>
        <v>6.22085664801492</v>
      </c>
      <c r="M52" s="36" t="n">
        <v>3.29910770631353</v>
      </c>
      <c r="N52" s="36" t="n">
        <v>2.13758839273281</v>
      </c>
      <c r="O52" s="36" t="n">
        <f aca="false">SQRT(M52^2+N52^2)</f>
        <v>3.93108074129791</v>
      </c>
      <c r="P52" s="40" t="n">
        <f aca="false">IF(J52="","",MAX(0,J52-1.96*O52/100))</f>
        <v>0.326886002655746</v>
      </c>
      <c r="Q52" s="40" t="n">
        <f aca="false">IF(J52="","",MIN(1,J52+1.96*O52/100))</f>
        <v>0.480984367714624</v>
      </c>
      <c r="R52" s="32" t="str">
        <f aca="false">IF(L52="","",IF(ABS(L52)&lt;=O52,"Yes","No"))</f>
        <v>No</v>
      </c>
      <c r="S52" s="32" t="str">
        <f aca="false">IF(L52="","",IF(ABS(L52)&lt;=1.96*O52,"Yes","No"))</f>
        <v>Yes</v>
      </c>
      <c r="T52" s="60" t="n">
        <f aca="false">IF(D52="","",ROUND(SQRT(((D52+G52)*O52/100)^2+(J52*(D52+G52)*0.0534)^2),0))</f>
        <v>39</v>
      </c>
      <c r="U52" s="32"/>
    </row>
    <row r="53" customFormat="false" ht="15" hidden="false" customHeight="false" outlineLevel="0" collapsed="false">
      <c r="A53" s="32" t="s">
        <v>222</v>
      </c>
      <c r="B53" s="32" t="s">
        <v>223</v>
      </c>
      <c r="C53" s="32" t="s">
        <v>164</v>
      </c>
      <c r="D53" s="60" t="n">
        <v>1027</v>
      </c>
      <c r="E53" s="60" t="n">
        <v>1174</v>
      </c>
      <c r="F53" s="69" t="n">
        <f aca="false">IF(E53="","",D53-E53)</f>
        <v>-147</v>
      </c>
      <c r="G53" s="60" t="n">
        <v>1320</v>
      </c>
      <c r="H53" s="60" t="n">
        <v>1426</v>
      </c>
      <c r="I53" s="69" t="n">
        <f aca="false">IF(H53="","",G53-H53)</f>
        <v>-106</v>
      </c>
      <c r="J53" s="40" t="n">
        <f aca="false">IF(OR(D53="",D53+G53=0),"",D53/(D53+G53))</f>
        <v>0.437579889220281</v>
      </c>
      <c r="K53" s="40" t="n">
        <f aca="false">IF(E53="","",E53/(E53+H53))</f>
        <v>0.451538461538462</v>
      </c>
      <c r="L53" s="70" t="n">
        <f aca="false">IF(OR(K53="",J53=""),"",(J53-K53)*100)</f>
        <v>-1.39585723181803</v>
      </c>
      <c r="M53" s="36" t="n">
        <v>2.14836094977141</v>
      </c>
      <c r="N53" s="36" t="n">
        <v>2.13758839273281</v>
      </c>
      <c r="O53" s="36" t="n">
        <f aca="false">SQRT(M53^2+N53^2)</f>
        <v>3.03063341683694</v>
      </c>
      <c r="P53" s="40" t="n">
        <f aca="false">IF(J53="","",MAX(0,J53-1.96*O53/100))</f>
        <v>0.378179474250277</v>
      </c>
      <c r="Q53" s="40" t="n">
        <f aca="false">IF(J53="","",MIN(1,J53+1.96*O53/100))</f>
        <v>0.496980304190285</v>
      </c>
      <c r="R53" s="32" t="str">
        <f aca="false">IF(L53="","",IF(ABS(L53)&lt;=O53,"Yes","No"))</f>
        <v>Yes</v>
      </c>
      <c r="S53" s="32" t="str">
        <f aca="false">IF(L53="","",IF(ABS(L53)&lt;=1.96*O53,"Yes","No"))</f>
        <v>Yes</v>
      </c>
      <c r="T53" s="60" t="n">
        <f aca="false">IF(D53="","",ROUND(SQRT(((D53+G53)*O53/100)^2+(J53*(D53+G53)*0.03811)^2),0))</f>
        <v>81</v>
      </c>
      <c r="U53" s="32"/>
    </row>
    <row r="54" customFormat="false" ht="15" hidden="false" customHeight="false" outlineLevel="0" collapsed="false">
      <c r="A54" s="32" t="s">
        <v>222</v>
      </c>
      <c r="B54" s="32" t="s">
        <v>224</v>
      </c>
      <c r="C54" s="32" t="s">
        <v>164</v>
      </c>
      <c r="D54" s="60" t="n">
        <v>676</v>
      </c>
      <c r="E54" s="60" t="n">
        <v>729</v>
      </c>
      <c r="F54" s="69" t="n">
        <f aca="false">IF(E54="","",D54-E54)</f>
        <v>-53</v>
      </c>
      <c r="G54" s="60" t="n">
        <v>898</v>
      </c>
      <c r="H54" s="60" t="n">
        <v>928</v>
      </c>
      <c r="I54" s="69" t="n">
        <f aca="false">IF(H54="","",G54-H54)</f>
        <v>-30</v>
      </c>
      <c r="J54" s="40" t="n">
        <f aca="false">IF(OR(D54="",D54+G54=0),"",D54/(D54+G54))</f>
        <v>0.429479034307497</v>
      </c>
      <c r="K54" s="40" t="n">
        <f aca="false">IF(E54="","",E54/(E54+H54))</f>
        <v>0.43995171997586</v>
      </c>
      <c r="L54" s="70" t="n">
        <f aca="false">IF(OR(K54="",J54=""),"",(J54-K54)*100)</f>
        <v>-1.04726856683631</v>
      </c>
      <c r="M54" s="36" t="n">
        <v>2.14836094977141</v>
      </c>
      <c r="N54" s="36" t="n">
        <v>2.13758839273281</v>
      </c>
      <c r="O54" s="36" t="n">
        <f aca="false">SQRT(M54^2+N54^2)</f>
        <v>3.03063341683694</v>
      </c>
      <c r="P54" s="40" t="n">
        <f aca="false">IF(J54="","",MAX(0,J54-1.96*O54/100))</f>
        <v>0.370078619337493</v>
      </c>
      <c r="Q54" s="40" t="n">
        <f aca="false">IF(J54="","",MIN(1,J54+1.96*O54/100))</f>
        <v>0.488879449277501</v>
      </c>
      <c r="R54" s="32" t="str">
        <f aca="false">IF(L54="","",IF(ABS(L54)&lt;=O54,"Yes","No"))</f>
        <v>Yes</v>
      </c>
      <c r="S54" s="32" t="str">
        <f aca="false">IF(L54="","",IF(ABS(L54)&lt;=1.96*O54,"Yes","No"))</f>
        <v>Yes</v>
      </c>
      <c r="T54" s="60" t="n">
        <f aca="false">IF(D54="","",ROUND(SQRT(((D54+G54)*O54/100)^2+(J54*(D54+G54)*0.03811)^2),0))</f>
        <v>54</v>
      </c>
      <c r="U54" s="32"/>
    </row>
    <row r="55" customFormat="false" ht="15" hidden="false" customHeight="false" outlineLevel="0" collapsed="false">
      <c r="A55" s="32" t="s">
        <v>222</v>
      </c>
      <c r="B55" s="32" t="s">
        <v>225</v>
      </c>
      <c r="C55" s="32" t="s">
        <v>164</v>
      </c>
      <c r="D55" s="60" t="n">
        <v>416</v>
      </c>
      <c r="E55" s="60" t="n">
        <v>441</v>
      </c>
      <c r="F55" s="69" t="n">
        <f aca="false">IF(E55="","",D55-E55)</f>
        <v>-25</v>
      </c>
      <c r="G55" s="60" t="n">
        <v>458</v>
      </c>
      <c r="H55" s="60" t="n">
        <v>513</v>
      </c>
      <c r="I55" s="69" t="n">
        <f aca="false">IF(H55="","",G55-H55)</f>
        <v>-55</v>
      </c>
      <c r="J55" s="40" t="n">
        <f aca="false">IF(OR(D55="",D55+G55=0),"",D55/(D55+G55))</f>
        <v>0.475972540045767</v>
      </c>
      <c r="K55" s="40" t="n">
        <f aca="false">IF(E55="","",E55/(E55+H55))</f>
        <v>0.462264150943396</v>
      </c>
      <c r="L55" s="70" t="n">
        <f aca="false">IF(OR(K55="",J55=""),"",(J55-K55)*100)</f>
        <v>1.37083891023704</v>
      </c>
      <c r="M55" s="36" t="n">
        <v>3.29910770631353</v>
      </c>
      <c r="N55" s="36" t="n">
        <v>2.13758839273281</v>
      </c>
      <c r="O55" s="36" t="n">
        <f aca="false">SQRT(M55^2+N55^2)</f>
        <v>3.93108074129791</v>
      </c>
      <c r="P55" s="40" t="n">
        <f aca="false">IF(J55="","",MAX(0,J55-1.96*O55/100))</f>
        <v>0.398923357516328</v>
      </c>
      <c r="Q55" s="40" t="n">
        <f aca="false">IF(J55="","",MIN(1,J55+1.96*O55/100))</f>
        <v>0.553021722575206</v>
      </c>
      <c r="R55" s="32" t="str">
        <f aca="false">IF(L55="","",IF(ABS(L55)&lt;=O55,"Yes","No"))</f>
        <v>Yes</v>
      </c>
      <c r="S55" s="32" t="str">
        <f aca="false">IF(L55="","",IF(ABS(L55)&lt;=1.96*O55,"Yes","No"))</f>
        <v>Yes</v>
      </c>
      <c r="T55" s="60" t="n">
        <f aca="false">IF(D55="","",ROUND(SQRT(((D55+G55)*O55/100)^2+(J55*(D55+G55)*0.0534)^2),0))</f>
        <v>41</v>
      </c>
      <c r="U55" s="32"/>
    </row>
    <row r="56" customFormat="false" ht="15" hidden="false" customHeight="false" outlineLevel="0" collapsed="false">
      <c r="A56" s="32" t="s">
        <v>222</v>
      </c>
      <c r="B56" s="32" t="s">
        <v>195</v>
      </c>
      <c r="C56" s="32" t="s">
        <v>164</v>
      </c>
      <c r="D56" s="60" t="n">
        <v>10611</v>
      </c>
      <c r="E56" s="60" t="n">
        <v>12402</v>
      </c>
      <c r="F56" s="69" t="n">
        <f aca="false">IF(E56="","",D56-E56)</f>
        <v>-1791</v>
      </c>
      <c r="G56" s="60" t="n">
        <v>7057</v>
      </c>
      <c r="H56" s="60" t="n">
        <v>5692</v>
      </c>
      <c r="I56" s="69" t="n">
        <f aca="false">IF(H56="","",G56-H56)</f>
        <v>1365</v>
      </c>
      <c r="J56" s="40" t="n">
        <f aca="false">IF(OR(D56="",D56+G56=0),"",D56/(D56+G56))</f>
        <v>0.600577314919629</v>
      </c>
      <c r="K56" s="40" t="n">
        <f aca="false">IF(E56="","",E56/(E56+H56))</f>
        <v>0.685420581408202</v>
      </c>
      <c r="L56" s="70" t="n">
        <f aca="false">IF(OR(K56="",J56=""),"",(J56-K56)*100)</f>
        <v>-8.48432664885729</v>
      </c>
      <c r="M56" s="36" t="n">
        <v>1.13665371541994</v>
      </c>
      <c r="N56" s="36" t="n">
        <v>2.13758839273281</v>
      </c>
      <c r="O56" s="36" t="n">
        <f aca="false">SQRT(M56^2+N56^2)</f>
        <v>2.4210051229859</v>
      </c>
      <c r="P56" s="40" t="n">
        <f aca="false">IF(J56="","",MAX(0,J56-1.96*O56/100))</f>
        <v>0.553125614509105</v>
      </c>
      <c r="Q56" s="40" t="n">
        <f aca="false">IF(J56="","",MIN(1,J56+1.96*O56/100))</f>
        <v>0.648029015330152</v>
      </c>
      <c r="R56" s="32" t="str">
        <f aca="false">IF(L56="","",IF(ABS(L56)&lt;=O56,"Yes","No"))</f>
        <v>No</v>
      </c>
      <c r="S56" s="32" t="str">
        <f aca="false">IF(L56="","",IF(ABS(L56)&lt;=1.96*O56,"Yes","No"))</f>
        <v>No</v>
      </c>
      <c r="T56" s="60" t="n">
        <f aca="false">IF(D56="","",ROUND(SQRT(((D56+G56)*O56/100)^2+(J56*(D56+G56)*0.02225)^2),0))</f>
        <v>489</v>
      </c>
      <c r="U56" s="32"/>
    </row>
    <row r="57" customFormat="false" ht="15" hidden="false" customHeight="false" outlineLevel="0" collapsed="false">
      <c r="A57" s="32" t="s">
        <v>222</v>
      </c>
      <c r="B57" s="32" t="s">
        <v>226</v>
      </c>
      <c r="C57" s="32" t="s">
        <v>164</v>
      </c>
      <c r="D57" s="60" t="n">
        <v>5810</v>
      </c>
      <c r="E57" s="60" t="n">
        <v>6681</v>
      </c>
      <c r="F57" s="69" t="n">
        <f aca="false">IF(E57="","",D57-E57)</f>
        <v>-871</v>
      </c>
      <c r="G57" s="60" t="n">
        <v>5391</v>
      </c>
      <c r="H57" s="60" t="n">
        <v>5562</v>
      </c>
      <c r="I57" s="69" t="n">
        <f aca="false">IF(H57="","",G57-H57)</f>
        <v>-171</v>
      </c>
      <c r="J57" s="40" t="n">
        <f aca="false">IF(OR(D57="",D57+G57=0),"",D57/(D57+G57))</f>
        <v>0.518703687170788</v>
      </c>
      <c r="K57" s="40" t="n">
        <f aca="false">IF(E57="","",E57/(E57+H57))</f>
        <v>0.545699583435433</v>
      </c>
      <c r="L57" s="70" t="n">
        <f aca="false">IF(OR(K57="",J57=""),"",(J57-K57)*100)</f>
        <v>-2.69958962646442</v>
      </c>
      <c r="M57" s="36" t="n">
        <v>1.13665371541994</v>
      </c>
      <c r="N57" s="36" t="n">
        <v>2.13758839273281</v>
      </c>
      <c r="O57" s="36" t="n">
        <f aca="false">SQRT(M57^2+N57^2)</f>
        <v>2.4210051229859</v>
      </c>
      <c r="P57" s="40" t="n">
        <f aca="false">IF(J57="","",MAX(0,J57-1.96*O57/100))</f>
        <v>0.471251986760265</v>
      </c>
      <c r="Q57" s="40" t="n">
        <f aca="false">IF(J57="","",MIN(1,J57+1.96*O57/100))</f>
        <v>0.566155387581312</v>
      </c>
      <c r="R57" s="32" t="str">
        <f aca="false">IF(L57="","",IF(ABS(L57)&lt;=O57,"Yes","No"))</f>
        <v>No</v>
      </c>
      <c r="S57" s="32" t="str">
        <f aca="false">IF(L57="","",IF(ABS(L57)&lt;=1.96*O57,"Yes","No"))</f>
        <v>Yes</v>
      </c>
      <c r="T57" s="60" t="n">
        <f aca="false">IF(D57="","",ROUND(SQRT(((D57+G57)*O57/100)^2+(J57*(D57+G57)*0.02225)^2),0))</f>
        <v>300</v>
      </c>
      <c r="U57" s="32"/>
    </row>
    <row r="58" customFormat="false" ht="15" hidden="false" customHeight="false" outlineLevel="0" collapsed="false">
      <c r="A58" s="32" t="s">
        <v>222</v>
      </c>
      <c r="B58" s="32" t="s">
        <v>227</v>
      </c>
      <c r="C58" s="32" t="s">
        <v>164</v>
      </c>
      <c r="D58" s="60" t="n">
        <v>1549</v>
      </c>
      <c r="E58" s="60" t="n">
        <v>1737</v>
      </c>
      <c r="F58" s="69" t="n">
        <f aca="false">IF(E58="","",D58-E58)</f>
        <v>-188</v>
      </c>
      <c r="G58" s="60" t="n">
        <v>2293</v>
      </c>
      <c r="H58" s="60" t="n">
        <v>2662</v>
      </c>
      <c r="I58" s="69" t="n">
        <f aca="false">IF(H58="","",G58-H58)</f>
        <v>-369</v>
      </c>
      <c r="J58" s="40" t="n">
        <f aca="false">IF(OR(D58="",D58+G58=0),"",D58/(D58+G58))</f>
        <v>0.403175429463821</v>
      </c>
      <c r="K58" s="40" t="n">
        <f aca="false">IF(E58="","",E58/(E58+H58))</f>
        <v>0.394862468742896</v>
      </c>
      <c r="L58" s="70" t="n">
        <f aca="false">IF(OR(K58="",J58=""),"",(J58-K58)*100)</f>
        <v>0.83129607209248</v>
      </c>
      <c r="M58" s="36" t="n">
        <v>1.13665371541994</v>
      </c>
      <c r="N58" s="36" t="n">
        <v>2.13758839273281</v>
      </c>
      <c r="O58" s="36" t="n">
        <f aca="false">SQRT(M58^2+N58^2)</f>
        <v>2.4210051229859</v>
      </c>
      <c r="P58" s="40" t="n">
        <f aca="false">IF(J58="","",MAX(0,J58-1.96*O58/100))</f>
        <v>0.355723729053297</v>
      </c>
      <c r="Q58" s="40" t="n">
        <f aca="false">IF(J58="","",MIN(1,J58+1.96*O58/100))</f>
        <v>0.450627129874345</v>
      </c>
      <c r="R58" s="32" t="str">
        <f aca="false">IF(L58="","",IF(ABS(L58)&lt;=O58,"Yes","No"))</f>
        <v>Yes</v>
      </c>
      <c r="S58" s="32" t="str">
        <f aca="false">IF(L58="","",IF(ABS(L58)&lt;=1.96*O58,"Yes","No"))</f>
        <v>Yes</v>
      </c>
      <c r="T58" s="60" t="n">
        <f aca="false">IF(D58="","",ROUND(SQRT(((D58+G58)*O58/100)^2+(J58*(D58+G58)*0.02225)^2),0))</f>
        <v>99</v>
      </c>
      <c r="U58" s="32"/>
    </row>
    <row r="59" customFormat="false" ht="15" hidden="false" customHeight="false" outlineLevel="0" collapsed="false">
      <c r="A59" s="32" t="s">
        <v>222</v>
      </c>
      <c r="B59" s="32" t="s">
        <v>228</v>
      </c>
      <c r="C59" s="32" t="s">
        <v>164</v>
      </c>
      <c r="D59" s="60" t="n">
        <v>25</v>
      </c>
      <c r="E59" s="60" t="n">
        <v>31</v>
      </c>
      <c r="F59" s="69" t="n">
        <f aca="false">IF(E59="","",D59-E59)</f>
        <v>-6</v>
      </c>
      <c r="G59" s="60" t="n">
        <v>43</v>
      </c>
      <c r="H59" s="60" t="n">
        <v>55</v>
      </c>
      <c r="I59" s="69" t="n">
        <f aca="false">IF(H59="","",G59-H59)</f>
        <v>-12</v>
      </c>
      <c r="J59" s="40" t="n">
        <f aca="false">IF(OR(D59="",D59+G59=0),"",D59/(D59+G59))</f>
        <v>0.367647058823529</v>
      </c>
      <c r="K59" s="40" t="n">
        <f aca="false">IF(E59="","",E59/(E59+H59))</f>
        <v>0.36046511627907</v>
      </c>
      <c r="L59" s="70" t="n">
        <f aca="false">IF(OR(K59="",J59=""),"",(J59-K59)*100)</f>
        <v>0.71819425444597</v>
      </c>
      <c r="M59" s="36" t="n">
        <v>3.29910770631353</v>
      </c>
      <c r="N59" s="36" t="n">
        <v>2.13758839273281</v>
      </c>
      <c r="O59" s="36" t="n">
        <f aca="false">SQRT(M59^2+N59^2)</f>
        <v>3.93108074129791</v>
      </c>
      <c r="P59" s="40" t="n">
        <f aca="false">IF(J59="","",MAX(0,J59-1.96*O59/100))</f>
        <v>0.29059787629409</v>
      </c>
      <c r="Q59" s="40" t="n">
        <f aca="false">IF(J59="","",MIN(1,J59+1.96*O59/100))</f>
        <v>0.444696241352969</v>
      </c>
      <c r="R59" s="32" t="str">
        <f aca="false">IF(L59="","",IF(ABS(L59)&lt;=O59,"Yes","No"))</f>
        <v>Yes</v>
      </c>
      <c r="S59" s="32" t="str">
        <f aca="false">IF(L59="","",IF(ABS(L59)&lt;=1.96*O59,"Yes","No"))</f>
        <v>Yes</v>
      </c>
      <c r="T59" s="60" t="n">
        <f aca="false">IF(D59="","",ROUND(SQRT(((D59+G59)*O59/100)^2+(J59*(D59+G59)*0.0534)^2),0))</f>
        <v>3</v>
      </c>
      <c r="U59" s="32"/>
    </row>
    <row r="60" customFormat="false" ht="15" hidden="false" customHeight="false" outlineLevel="0" collapsed="false">
      <c r="A60" s="32" t="s">
        <v>222</v>
      </c>
      <c r="B60" s="32" t="s">
        <v>229</v>
      </c>
      <c r="C60" s="32" t="s">
        <v>164</v>
      </c>
      <c r="D60" s="60" t="n">
        <v>977</v>
      </c>
      <c r="E60" s="60" t="n">
        <v>1109</v>
      </c>
      <c r="F60" s="69" t="n">
        <f aca="false">IF(E60="","",D60-E60)</f>
        <v>-132</v>
      </c>
      <c r="G60" s="60" t="n">
        <v>1286</v>
      </c>
      <c r="H60" s="60" t="n">
        <v>1408</v>
      </c>
      <c r="I60" s="69" t="n">
        <f aca="false">IF(H60="","",G60-H60)</f>
        <v>-122</v>
      </c>
      <c r="J60" s="40" t="n">
        <f aca="false">IF(OR(D60="",D60+G60=0),"",D60/(D60+G60))</f>
        <v>0.431727794962439</v>
      </c>
      <c r="K60" s="40" t="n">
        <f aca="false">IF(E60="","",E60/(E60+H60))</f>
        <v>0.440603893524037</v>
      </c>
      <c r="L60" s="70" t="n">
        <f aca="false">IF(OR(K60="",J60=""),"",(J60-K60)*100)</f>
        <v>-0.887609856159732</v>
      </c>
      <c r="M60" s="36" t="n">
        <v>2.14836094977141</v>
      </c>
      <c r="N60" s="36" t="n">
        <v>2.13758839273281</v>
      </c>
      <c r="O60" s="36" t="n">
        <f aca="false">SQRT(M60^2+N60^2)</f>
        <v>3.03063341683694</v>
      </c>
      <c r="P60" s="40" t="n">
        <f aca="false">IF(J60="","",MAX(0,J60-1.96*O60/100))</f>
        <v>0.372327379992435</v>
      </c>
      <c r="Q60" s="40" t="n">
        <f aca="false">IF(J60="","",MIN(1,J60+1.96*O60/100))</f>
        <v>0.491128209932443</v>
      </c>
      <c r="R60" s="32" t="str">
        <f aca="false">IF(L60="","",IF(ABS(L60)&lt;=O60,"Yes","No"))</f>
        <v>Yes</v>
      </c>
      <c r="S60" s="32" t="str">
        <f aca="false">IF(L60="","",IF(ABS(L60)&lt;=1.96*O60,"Yes","No"))</f>
        <v>Yes</v>
      </c>
      <c r="T60" s="60" t="n">
        <f aca="false">IF(D60="","",ROUND(SQRT(((D60+G60)*O60/100)^2+(J60*(D60+G60)*0.03811)^2),0))</f>
        <v>78</v>
      </c>
      <c r="U60" s="32"/>
    </row>
    <row r="61" customFormat="false" ht="15" hidden="false" customHeight="false" outlineLevel="0" collapsed="false">
      <c r="A61" s="32" t="s">
        <v>222</v>
      </c>
      <c r="B61" s="32" t="s">
        <v>230</v>
      </c>
      <c r="C61" s="32" t="s">
        <v>164</v>
      </c>
      <c r="D61" s="60" t="n">
        <v>129</v>
      </c>
      <c r="E61" s="60" t="n">
        <v>137</v>
      </c>
      <c r="F61" s="69" t="n">
        <f aca="false">IF(E61="","",D61-E61)</f>
        <v>-8</v>
      </c>
      <c r="G61" s="60" t="n">
        <v>219</v>
      </c>
      <c r="H61" s="60" t="n">
        <v>214</v>
      </c>
      <c r="I61" s="69" t="n">
        <f aca="false">IF(H61="","",G61-H61)</f>
        <v>5</v>
      </c>
      <c r="J61" s="40" t="n">
        <f aca="false">IF(OR(D61="",D61+G61=0),"",D61/(D61+G61))</f>
        <v>0.370689655172414</v>
      </c>
      <c r="K61" s="40" t="n">
        <f aca="false">IF(E61="","",E61/(E61+H61))</f>
        <v>0.39031339031339</v>
      </c>
      <c r="L61" s="70" t="n">
        <f aca="false">IF(OR(K61="",J61=""),"",(J61-K61)*100)</f>
        <v>-1.96237351409765</v>
      </c>
      <c r="M61" s="36" t="n">
        <v>3.29910770631353</v>
      </c>
      <c r="N61" s="36" t="n">
        <v>2.13758839273281</v>
      </c>
      <c r="O61" s="36" t="n">
        <f aca="false">SQRT(M61^2+N61^2)</f>
        <v>3.93108074129791</v>
      </c>
      <c r="P61" s="40" t="n">
        <f aca="false">IF(J61="","",MAX(0,J61-1.96*O61/100))</f>
        <v>0.293640472642975</v>
      </c>
      <c r="Q61" s="40" t="n">
        <f aca="false">IF(J61="","",MIN(1,J61+1.96*O61/100))</f>
        <v>0.447738837701853</v>
      </c>
      <c r="R61" s="32" t="str">
        <f aca="false">IF(L61="","",IF(ABS(L61)&lt;=O61,"Yes","No"))</f>
        <v>Yes</v>
      </c>
      <c r="S61" s="32" t="str">
        <f aca="false">IF(L61="","",IF(ABS(L61)&lt;=1.96*O61,"Yes","No"))</f>
        <v>Yes</v>
      </c>
      <c r="T61" s="60" t="n">
        <f aca="false">IF(D61="","",ROUND(SQRT(((D61+G61)*O61/100)^2+(J61*(D61+G61)*0.0534)^2),0))</f>
        <v>15</v>
      </c>
      <c r="U61" s="32"/>
    </row>
    <row r="62" customFormat="false" ht="15" hidden="false" customHeight="false" outlineLevel="0" collapsed="false">
      <c r="A62" s="32" t="s">
        <v>222</v>
      </c>
      <c r="B62" s="32" t="s">
        <v>231</v>
      </c>
      <c r="C62" s="32" t="s">
        <v>164</v>
      </c>
      <c r="D62" s="60" t="n">
        <v>4214</v>
      </c>
      <c r="E62" s="60" t="n">
        <v>5210</v>
      </c>
      <c r="F62" s="69" t="n">
        <f aca="false">IF(E62="","",D62-E62)</f>
        <v>-996</v>
      </c>
      <c r="G62" s="60" t="n">
        <v>2736</v>
      </c>
      <c r="H62" s="60" t="n">
        <v>1883</v>
      </c>
      <c r="I62" s="69" t="n">
        <f aca="false">IF(H62="","",G62-H62)</f>
        <v>853</v>
      </c>
      <c r="J62" s="40" t="n">
        <f aca="false">IF(OR(D62="",D62+G62=0),"",D62/(D62+G62))</f>
        <v>0.606330935251799</v>
      </c>
      <c r="K62" s="40" t="n">
        <f aca="false">IF(E62="","",E62/(E62+H62))</f>
        <v>0.734526998449175</v>
      </c>
      <c r="L62" s="70" t="n">
        <f aca="false">IF(OR(K62="",J62=""),"",(J62-K62)*100)</f>
        <v>-12.8196063197377</v>
      </c>
      <c r="M62" s="36" t="n">
        <v>1.13665371541994</v>
      </c>
      <c r="N62" s="36" t="n">
        <v>2.13758839273281</v>
      </c>
      <c r="O62" s="36" t="n">
        <f aca="false">SQRT(M62^2+N62^2)</f>
        <v>2.4210051229859</v>
      </c>
      <c r="P62" s="40" t="n">
        <f aca="false">IF(J62="","",MAX(0,J62-1.96*O62/100))</f>
        <v>0.558879234841275</v>
      </c>
      <c r="Q62" s="40" t="n">
        <f aca="false">IF(J62="","",MIN(1,J62+1.96*O62/100))</f>
        <v>0.653782635662322</v>
      </c>
      <c r="R62" s="32" t="str">
        <f aca="false">IF(L62="","",IF(ABS(L62)&lt;=O62,"Yes","No"))</f>
        <v>No</v>
      </c>
      <c r="S62" s="32" t="str">
        <f aca="false">IF(L62="","",IF(ABS(L62)&lt;=1.96*O62,"Yes","No"))</f>
        <v>No</v>
      </c>
      <c r="T62" s="60" t="n">
        <f aca="false">IF(D62="","",ROUND(SQRT(((D62+G62)*O62/100)^2+(J62*(D62+G62)*0.02225)^2),0))</f>
        <v>193</v>
      </c>
      <c r="U62" s="32"/>
    </row>
    <row r="63" customFormat="false" ht="15" hidden="false" customHeight="false" outlineLevel="0" collapsed="false">
      <c r="A63" s="32" t="s">
        <v>222</v>
      </c>
      <c r="B63" s="32" t="s">
        <v>232</v>
      </c>
      <c r="C63" s="32" t="s">
        <v>164</v>
      </c>
      <c r="D63" s="60" t="n">
        <v>3749</v>
      </c>
      <c r="E63" s="60" t="n">
        <v>4158</v>
      </c>
      <c r="F63" s="69" t="n">
        <f aca="false">IF(E63="","",D63-E63)</f>
        <v>-409</v>
      </c>
      <c r="G63" s="60" t="n">
        <v>3506</v>
      </c>
      <c r="H63" s="60" t="n">
        <v>3782</v>
      </c>
      <c r="I63" s="69" t="n">
        <f aca="false">IF(H63="","",G63-H63)</f>
        <v>-276</v>
      </c>
      <c r="J63" s="40" t="n">
        <f aca="false">IF(OR(D63="",D63+G63=0),"",D63/(D63+G63))</f>
        <v>0.516747070985527</v>
      </c>
      <c r="K63" s="40" t="n">
        <f aca="false">IF(E63="","",E63/(E63+H63))</f>
        <v>0.52367758186398</v>
      </c>
      <c r="L63" s="70" t="n">
        <f aca="false">IF(OR(K63="",J63=""),"",(J63-K63)*100)</f>
        <v>-0.693051087845265</v>
      </c>
      <c r="M63" s="36" t="n">
        <v>1.13665371541994</v>
      </c>
      <c r="N63" s="36" t="n">
        <v>2.13758839273281</v>
      </c>
      <c r="O63" s="36" t="n">
        <f aca="false">SQRT(M63^2+N63^2)</f>
        <v>2.4210051229859</v>
      </c>
      <c r="P63" s="40" t="n">
        <f aca="false">IF(J63="","",MAX(0,J63-1.96*O63/100))</f>
        <v>0.469295370575004</v>
      </c>
      <c r="Q63" s="40" t="n">
        <f aca="false">IF(J63="","",MIN(1,J63+1.96*O63/100))</f>
        <v>0.564198771396051</v>
      </c>
      <c r="R63" s="32" t="str">
        <f aca="false">IF(L63="","",IF(ABS(L63)&lt;=O63,"Yes","No"))</f>
        <v>Yes</v>
      </c>
      <c r="S63" s="32" t="str">
        <f aca="false">IF(L63="","",IF(ABS(L63)&lt;=1.96*O63,"Yes","No"))</f>
        <v>Yes</v>
      </c>
      <c r="T63" s="60" t="n">
        <f aca="false">IF(D63="","",ROUND(SQRT(((D63+G63)*O63/100)^2+(J63*(D63+G63)*0.02225)^2),0))</f>
        <v>194</v>
      </c>
      <c r="U63" s="32"/>
    </row>
    <row r="64" customFormat="false" ht="15" hidden="false" customHeight="false" outlineLevel="0" collapsed="false">
      <c r="A64" s="32" t="s">
        <v>222</v>
      </c>
      <c r="B64" s="32" t="s">
        <v>233</v>
      </c>
      <c r="C64" s="32" t="s">
        <v>164</v>
      </c>
      <c r="D64" s="60" t="n">
        <v>477</v>
      </c>
      <c r="E64" s="60" t="n">
        <v>480</v>
      </c>
      <c r="F64" s="69" t="n">
        <f aca="false">IF(E64="","",D64-E64)</f>
        <v>-3</v>
      </c>
      <c r="G64" s="60" t="n">
        <v>354</v>
      </c>
      <c r="H64" s="60" t="n">
        <v>330</v>
      </c>
      <c r="I64" s="69" t="n">
        <f aca="false">IF(H64="","",G64-H64)</f>
        <v>24</v>
      </c>
      <c r="J64" s="40" t="n">
        <f aca="false">IF(OR(D64="",D64+G64=0),"",D64/(D64+G64))</f>
        <v>0.574007220216607</v>
      </c>
      <c r="K64" s="40" t="n">
        <f aca="false">IF(E64="","",E64/(E64+H64))</f>
        <v>0.592592592592593</v>
      </c>
      <c r="L64" s="70" t="n">
        <f aca="false">IF(OR(K64="",J64=""),"",(J64-K64)*100)</f>
        <v>-1.8585372375986</v>
      </c>
      <c r="M64" s="36" t="n">
        <v>3.29910770631353</v>
      </c>
      <c r="N64" s="36" t="n">
        <v>2.13758839273281</v>
      </c>
      <c r="O64" s="36" t="n">
        <f aca="false">SQRT(M64^2+N64^2)</f>
        <v>3.93108074129791</v>
      </c>
      <c r="P64" s="40" t="n">
        <f aca="false">IF(J64="","",MAX(0,J64-1.96*O64/100))</f>
        <v>0.496958037687168</v>
      </c>
      <c r="Q64" s="40" t="n">
        <f aca="false">IF(J64="","",MIN(1,J64+1.96*O64/100))</f>
        <v>0.651056402746046</v>
      </c>
      <c r="R64" s="32" t="str">
        <f aca="false">IF(L64="","",IF(ABS(L64)&lt;=O64,"Yes","No"))</f>
        <v>Yes</v>
      </c>
      <c r="S64" s="32" t="str">
        <f aca="false">IF(L64="","",IF(ABS(L64)&lt;=1.96*O64,"Yes","No"))</f>
        <v>Yes</v>
      </c>
      <c r="T64" s="60" t="n">
        <f aca="false">IF(D64="","",ROUND(SQRT(((D64+G64)*O64/100)^2+(J64*(D64+G64)*0.0534)^2),0))</f>
        <v>41</v>
      </c>
      <c r="U64" s="32"/>
    </row>
    <row r="65" customFormat="false" ht="15" hidden="false" customHeight="false" outlineLevel="0" collapsed="false">
      <c r="A65" s="32" t="s">
        <v>222</v>
      </c>
      <c r="B65" s="32" t="s">
        <v>234</v>
      </c>
      <c r="C65" s="32" t="s">
        <v>164</v>
      </c>
      <c r="D65" s="60" t="n">
        <v>65</v>
      </c>
      <c r="E65" s="60" t="n">
        <v>72</v>
      </c>
      <c r="F65" s="69" t="n">
        <f aca="false">IF(E65="","",D65-E65)</f>
        <v>-7</v>
      </c>
      <c r="G65" s="60" t="n">
        <v>63</v>
      </c>
      <c r="H65" s="60" t="n">
        <v>69</v>
      </c>
      <c r="I65" s="69" t="n">
        <f aca="false">IF(H65="","",G65-H65)</f>
        <v>-6</v>
      </c>
      <c r="J65" s="40" t="n">
        <f aca="false">IF(OR(D65="",D65+G65=0),"",D65/(D65+G65))</f>
        <v>0.5078125</v>
      </c>
      <c r="K65" s="40" t="n">
        <f aca="false">IF(E65="","",E65/(E65+H65))</f>
        <v>0.51063829787234</v>
      </c>
      <c r="L65" s="70" t="n">
        <f aca="false">IF(OR(K65="",J65=""),"",(J65-K65)*100)</f>
        <v>-0.282579787234039</v>
      </c>
      <c r="M65" s="36" t="n">
        <v>3.29910770631353</v>
      </c>
      <c r="N65" s="36" t="n">
        <v>2.13758839273281</v>
      </c>
      <c r="O65" s="36" t="n">
        <f aca="false">SQRT(M65^2+N65^2)</f>
        <v>3.93108074129791</v>
      </c>
      <c r="P65" s="40" t="n">
        <f aca="false">IF(J65="","",MAX(0,J65-1.96*O65/100))</f>
        <v>0.430763317470561</v>
      </c>
      <c r="Q65" s="40" t="n">
        <f aca="false">IF(J65="","",MIN(1,J65+1.96*O65/100))</f>
        <v>0.584861682529439</v>
      </c>
      <c r="R65" s="32" t="str">
        <f aca="false">IF(L65="","",IF(ABS(L65)&lt;=O65,"Yes","No"))</f>
        <v>Yes</v>
      </c>
      <c r="S65" s="32" t="str">
        <f aca="false">IF(L65="","",IF(ABS(L65)&lt;=1.96*O65,"Yes","No"))</f>
        <v>Yes</v>
      </c>
      <c r="T65" s="60" t="n">
        <f aca="false">IF(D65="","",ROUND(SQRT(((D65+G65)*O65/100)^2+(J65*(D65+G65)*0.0534)^2),0))</f>
        <v>6</v>
      </c>
      <c r="U65" s="32"/>
    </row>
    <row r="66" customFormat="false" ht="15" hidden="false" customHeight="false" outlineLevel="0" collapsed="false">
      <c r="A66" s="32" t="s">
        <v>222</v>
      </c>
      <c r="B66" s="32" t="s">
        <v>201</v>
      </c>
      <c r="C66" s="32" t="s">
        <v>164</v>
      </c>
      <c r="D66" s="60" t="n">
        <v>3135</v>
      </c>
      <c r="E66" s="60" t="n">
        <v>3570</v>
      </c>
      <c r="F66" s="69" t="n">
        <f aca="false">IF(E66="","",D66-E66)</f>
        <v>-435</v>
      </c>
      <c r="G66" s="60" t="n">
        <v>2869</v>
      </c>
      <c r="H66" s="60" t="n">
        <v>2883</v>
      </c>
      <c r="I66" s="69" t="n">
        <f aca="false">IF(H66="","",G66-H66)</f>
        <v>-14</v>
      </c>
      <c r="J66" s="40" t="n">
        <f aca="false">IF(OR(D66="",D66+G66=0),"",D66/(D66+G66))</f>
        <v>0.522151898734177</v>
      </c>
      <c r="K66" s="40" t="n">
        <f aca="false">IF(E66="","",E66/(E66+H66))</f>
        <v>0.553231055323106</v>
      </c>
      <c r="L66" s="70" t="n">
        <f aca="false">IF(OR(K66="",J66=""),"",(J66-K66)*100)</f>
        <v>-3.10791565889283</v>
      </c>
      <c r="M66" s="36" t="n">
        <v>1.13665371541994</v>
      </c>
      <c r="N66" s="36" t="n">
        <v>2.13758839273281</v>
      </c>
      <c r="O66" s="36" t="n">
        <f aca="false">SQRT(M66^2+N66^2)</f>
        <v>2.4210051229859</v>
      </c>
      <c r="P66" s="40" t="n">
        <f aca="false">IF(J66="","",MAX(0,J66-1.96*O66/100))</f>
        <v>0.474700198323654</v>
      </c>
      <c r="Q66" s="40" t="n">
        <f aca="false">IF(J66="","",MIN(1,J66+1.96*O66/100))</f>
        <v>0.569603599144701</v>
      </c>
      <c r="R66" s="32" t="str">
        <f aca="false">IF(L66="","",IF(ABS(L66)&lt;=O66,"Yes","No"))</f>
        <v>No</v>
      </c>
      <c r="S66" s="32" t="str">
        <f aca="false">IF(L66="","",IF(ABS(L66)&lt;=1.96*O66,"Yes","No"))</f>
        <v>Yes</v>
      </c>
      <c r="T66" s="60" t="n">
        <f aca="false">IF(D66="","",ROUND(SQRT(((D66+G66)*O66/100)^2+(J66*(D66+G66)*0.02225)^2),0))</f>
        <v>161</v>
      </c>
      <c r="U66" s="32"/>
    </row>
    <row r="67" customFormat="false" ht="15" hidden="false" customHeight="false" outlineLevel="0" collapsed="false">
      <c r="A67" s="32" t="s">
        <v>222</v>
      </c>
      <c r="B67" s="32" t="s">
        <v>235</v>
      </c>
      <c r="C67" s="32" t="s">
        <v>164</v>
      </c>
      <c r="D67" s="60" t="n">
        <v>1249</v>
      </c>
      <c r="E67" s="60" t="n">
        <v>1372</v>
      </c>
      <c r="F67" s="69" t="n">
        <f aca="false">IF(E67="","",D67-E67)</f>
        <v>-123</v>
      </c>
      <c r="G67" s="60" t="n">
        <v>1174</v>
      </c>
      <c r="H67" s="60" t="n">
        <v>1201</v>
      </c>
      <c r="I67" s="69" t="n">
        <f aca="false">IF(H67="","",G67-H67)</f>
        <v>-27</v>
      </c>
      <c r="J67" s="40" t="n">
        <f aca="false">IF(OR(D67="",D67+G67=0),"",D67/(D67+G67))</f>
        <v>0.515476681799422</v>
      </c>
      <c r="K67" s="40" t="n">
        <f aca="false">IF(E67="","",E67/(E67+H67))</f>
        <v>0.53322969296541</v>
      </c>
      <c r="L67" s="70" t="n">
        <f aca="false">IF(OR(K67="",J67=""),"",(J67-K67)*100)</f>
        <v>-1.77530111659878</v>
      </c>
      <c r="M67" s="36" t="n">
        <v>2.14836094977141</v>
      </c>
      <c r="N67" s="36" t="n">
        <v>2.13758839273281</v>
      </c>
      <c r="O67" s="36" t="n">
        <f aca="false">SQRT(M67^2+N67^2)</f>
        <v>3.03063341683694</v>
      </c>
      <c r="P67" s="40" t="n">
        <f aca="false">IF(J67="","",MAX(0,J67-1.96*O67/100))</f>
        <v>0.456076266829418</v>
      </c>
      <c r="Q67" s="40" t="n">
        <f aca="false">IF(J67="","",MIN(1,J67+1.96*O67/100))</f>
        <v>0.574877096769426</v>
      </c>
      <c r="R67" s="32" t="str">
        <f aca="false">IF(L67="","",IF(ABS(L67)&lt;=O67,"Yes","No"))</f>
        <v>Yes</v>
      </c>
      <c r="S67" s="32" t="str">
        <f aca="false">IF(L67="","",IF(ABS(L67)&lt;=1.96*O67,"Yes","No"))</f>
        <v>Yes</v>
      </c>
      <c r="T67" s="60" t="n">
        <f aca="false">IF(D67="","",ROUND(SQRT(((D67+G67)*O67/100)^2+(J67*(D67+G67)*0.03811)^2),0))</f>
        <v>88</v>
      </c>
      <c r="U67" s="32"/>
    </row>
    <row r="68" customFormat="false" ht="15" hidden="false" customHeight="false" outlineLevel="0" collapsed="false">
      <c r="A68" s="32" t="s">
        <v>222</v>
      </c>
      <c r="B68" s="32" t="s">
        <v>236</v>
      </c>
      <c r="C68" s="32" t="s">
        <v>164</v>
      </c>
      <c r="D68" s="60" t="n">
        <v>1643</v>
      </c>
      <c r="E68" s="60" t="n">
        <v>1803</v>
      </c>
      <c r="F68" s="69" t="n">
        <f aca="false">IF(E68="","",D68-E68)</f>
        <v>-160</v>
      </c>
      <c r="G68" s="60" t="n">
        <v>2946</v>
      </c>
      <c r="H68" s="60" t="n">
        <v>3303</v>
      </c>
      <c r="I68" s="69" t="n">
        <f aca="false">IF(H68="","",G68-H68)</f>
        <v>-357</v>
      </c>
      <c r="J68" s="40" t="n">
        <f aca="false">IF(OR(D68="",D68+G68=0),"",D68/(D68+G68))</f>
        <v>0.358030071911092</v>
      </c>
      <c r="K68" s="40" t="n">
        <f aca="false">IF(E68="","",E68/(E68+H68))</f>
        <v>0.353113983548766</v>
      </c>
      <c r="L68" s="70" t="n">
        <f aca="false">IF(OR(K68="",J68=""),"",(J68-K68)*100)</f>
        <v>0.49160883623256</v>
      </c>
      <c r="M68" s="36" t="n">
        <v>1.13665371541994</v>
      </c>
      <c r="N68" s="36" t="n">
        <v>2.13758839273281</v>
      </c>
      <c r="O68" s="36" t="n">
        <f aca="false">SQRT(M68^2+N68^2)</f>
        <v>2.4210051229859</v>
      </c>
      <c r="P68" s="40" t="n">
        <f aca="false">IF(J68="","",MAX(0,J68-1.96*O68/100))</f>
        <v>0.310578371500568</v>
      </c>
      <c r="Q68" s="40" t="n">
        <f aca="false">IF(J68="","",MIN(1,J68+1.96*O68/100))</f>
        <v>0.405481772321616</v>
      </c>
      <c r="R68" s="32" t="str">
        <f aca="false">IF(L68="","",IF(ABS(L68)&lt;=O68,"Yes","No"))</f>
        <v>Yes</v>
      </c>
      <c r="S68" s="32" t="str">
        <f aca="false">IF(L68="","",IF(ABS(L68)&lt;=1.96*O68,"Yes","No"))</f>
        <v>Yes</v>
      </c>
      <c r="T68" s="60" t="n">
        <f aca="false">IF(D68="","",ROUND(SQRT(((D68+G68)*O68/100)^2+(J68*(D68+G68)*0.02225)^2),0))</f>
        <v>117</v>
      </c>
      <c r="U68" s="32"/>
    </row>
    <row r="69" customFormat="false" ht="15" hidden="false" customHeight="false" outlineLevel="0" collapsed="false">
      <c r="A69" s="32" t="s">
        <v>222</v>
      </c>
      <c r="B69" s="32" t="s">
        <v>237</v>
      </c>
      <c r="C69" s="32" t="s">
        <v>164</v>
      </c>
      <c r="D69" s="60" t="n">
        <v>434</v>
      </c>
      <c r="E69" s="60" t="n">
        <v>511</v>
      </c>
      <c r="F69" s="69" t="n">
        <f aca="false">IF(E69="","",D69-E69)</f>
        <v>-77</v>
      </c>
      <c r="G69" s="60" t="n">
        <v>776</v>
      </c>
      <c r="H69" s="60" t="n">
        <v>889</v>
      </c>
      <c r="I69" s="69" t="n">
        <f aca="false">IF(H69="","",G69-H69)</f>
        <v>-113</v>
      </c>
      <c r="J69" s="40" t="n">
        <f aca="false">IF(OR(D69="",D69+G69=0),"",D69/(D69+G69))</f>
        <v>0.358677685950413</v>
      </c>
      <c r="K69" s="40" t="n">
        <f aca="false">IF(E69="","",E69/(E69+H69))</f>
        <v>0.365</v>
      </c>
      <c r="L69" s="70" t="n">
        <f aca="false">IF(OR(K69="",J69=""),"",(J69-K69)*100)</f>
        <v>-0.632231404958678</v>
      </c>
      <c r="M69" s="36" t="n">
        <v>2.14836094977141</v>
      </c>
      <c r="N69" s="36" t="n">
        <v>2.13758839273281</v>
      </c>
      <c r="O69" s="36" t="n">
        <f aca="false">SQRT(M69^2+N69^2)</f>
        <v>3.03063341683694</v>
      </c>
      <c r="P69" s="40" t="n">
        <f aca="false">IF(J69="","",MAX(0,J69-1.96*O69/100))</f>
        <v>0.299277270980409</v>
      </c>
      <c r="Q69" s="40" t="n">
        <f aca="false">IF(J69="","",MIN(1,J69+1.96*O69/100))</f>
        <v>0.418078100920417</v>
      </c>
      <c r="R69" s="32" t="str">
        <f aca="false">IF(L69="","",IF(ABS(L69)&lt;=O69,"Yes","No"))</f>
        <v>Yes</v>
      </c>
      <c r="S69" s="32" t="str">
        <f aca="false">IF(L69="","",IF(ABS(L69)&lt;=1.96*O69,"Yes","No"))</f>
        <v>Yes</v>
      </c>
      <c r="T69" s="60" t="n">
        <f aca="false">IF(D69="","",ROUND(SQRT(((D69+G69)*O69/100)^2+(J69*(D69+G69)*0.03811)^2),0))</f>
        <v>40</v>
      </c>
      <c r="U69" s="32"/>
    </row>
    <row r="70" customFormat="false" ht="15" hidden="false" customHeight="false" outlineLevel="0" collapsed="false">
      <c r="A70" s="32" t="s">
        <v>222</v>
      </c>
      <c r="B70" s="32" t="s">
        <v>238</v>
      </c>
      <c r="C70" s="32" t="s">
        <v>164</v>
      </c>
      <c r="D70" s="60" t="n">
        <v>1449</v>
      </c>
      <c r="E70" s="60" t="n">
        <v>1632</v>
      </c>
      <c r="F70" s="69" t="n">
        <f aca="false">IF(E70="","",D70-E70)</f>
        <v>-183</v>
      </c>
      <c r="G70" s="60" t="n">
        <v>1897</v>
      </c>
      <c r="H70" s="60" t="n">
        <v>2067</v>
      </c>
      <c r="I70" s="69" t="n">
        <f aca="false">IF(H70="","",G70-H70)</f>
        <v>-170</v>
      </c>
      <c r="J70" s="40" t="n">
        <f aca="false">IF(OR(D70="",D70+G70=0),"",D70/(D70+G70))</f>
        <v>0.433054393305439</v>
      </c>
      <c r="K70" s="40" t="n">
        <f aca="false">IF(E70="","",E70/(E70+H70))</f>
        <v>0.441200324412003</v>
      </c>
      <c r="L70" s="70" t="n">
        <f aca="false">IF(OR(K70="",J70=""),"",(J70-K70)*100)</f>
        <v>-0.814593110656392</v>
      </c>
      <c r="M70" s="36" t="n">
        <v>1.13665371541994</v>
      </c>
      <c r="N70" s="36" t="n">
        <v>2.13758839273281</v>
      </c>
      <c r="O70" s="36" t="n">
        <f aca="false">SQRT(M70^2+N70^2)</f>
        <v>2.4210051229859</v>
      </c>
      <c r="P70" s="40" t="n">
        <f aca="false">IF(J70="","",MAX(0,J70-1.96*O70/100))</f>
        <v>0.385602692894916</v>
      </c>
      <c r="Q70" s="40" t="n">
        <f aca="false">IF(J70="","",MIN(1,J70+1.96*O70/100))</f>
        <v>0.480506093715963</v>
      </c>
      <c r="R70" s="32" t="str">
        <f aca="false">IF(L70="","",IF(ABS(L70)&lt;=O70,"Yes","No"))</f>
        <v>Yes</v>
      </c>
      <c r="S70" s="32" t="str">
        <f aca="false">IF(L70="","",IF(ABS(L70)&lt;=1.96*O70,"Yes","No"))</f>
        <v>Yes</v>
      </c>
      <c r="T70" s="60" t="n">
        <f aca="false">IF(D70="","",ROUND(SQRT(((D70+G70)*O70/100)^2+(J70*(D70+G70)*0.02225)^2),0))</f>
        <v>87</v>
      </c>
      <c r="U70" s="32"/>
    </row>
    <row r="71" customFormat="false" ht="15" hidden="false" customHeight="false" outlineLevel="0" collapsed="false">
      <c r="A71" s="32" t="s">
        <v>222</v>
      </c>
      <c r="B71" s="32" t="s">
        <v>239</v>
      </c>
      <c r="C71" s="32" t="s">
        <v>164</v>
      </c>
      <c r="D71" s="60" t="n">
        <v>2647</v>
      </c>
      <c r="E71" s="60" t="n">
        <v>2919</v>
      </c>
      <c r="F71" s="69" t="n">
        <f aca="false">IF(E71="","",D71-E71)</f>
        <v>-272</v>
      </c>
      <c r="G71" s="60" t="n">
        <v>2807</v>
      </c>
      <c r="H71" s="60" t="n">
        <v>3008</v>
      </c>
      <c r="I71" s="69" t="n">
        <f aca="false">IF(H71="","",G71-H71)</f>
        <v>-201</v>
      </c>
      <c r="J71" s="40" t="n">
        <f aca="false">IF(OR(D71="",D71+G71=0),"",D71/(D71+G71))</f>
        <v>0.485331866519985</v>
      </c>
      <c r="K71" s="40" t="n">
        <f aca="false">IF(E71="","",E71/(E71+H71))</f>
        <v>0.492491985827569</v>
      </c>
      <c r="L71" s="70" t="n">
        <f aca="false">IF(OR(K71="",J71=""),"",(J71-K71)*100)</f>
        <v>-0.716011930758342</v>
      </c>
      <c r="M71" s="36" t="n">
        <v>1.13665371541994</v>
      </c>
      <c r="N71" s="36" t="n">
        <v>2.13758839273281</v>
      </c>
      <c r="O71" s="36" t="n">
        <f aca="false">SQRT(M71^2+N71^2)</f>
        <v>2.4210051229859</v>
      </c>
      <c r="P71" s="40" t="n">
        <f aca="false">IF(J71="","",MAX(0,J71-1.96*O71/100))</f>
        <v>0.437880166109462</v>
      </c>
      <c r="Q71" s="40" t="n">
        <f aca="false">IF(J71="","",MIN(1,J71+1.96*O71/100))</f>
        <v>0.532783566930509</v>
      </c>
      <c r="R71" s="32" t="str">
        <f aca="false">IF(L71="","",IF(ABS(L71)&lt;=O71,"Yes","No"))</f>
        <v>Yes</v>
      </c>
      <c r="S71" s="32" t="str">
        <f aca="false">IF(L71="","",IF(ABS(L71)&lt;=1.96*O71,"Yes","No"))</f>
        <v>Yes</v>
      </c>
      <c r="T71" s="60" t="n">
        <f aca="false">IF(D71="","",ROUND(SQRT(((D71+G71)*O71/100)^2+(J71*(D71+G71)*0.02225)^2),0))</f>
        <v>145</v>
      </c>
      <c r="U71" s="32"/>
    </row>
    <row r="72" customFormat="false" ht="15" hidden="false" customHeight="false" outlineLevel="0" collapsed="false">
      <c r="A72" s="32" t="s">
        <v>222</v>
      </c>
      <c r="B72" s="32" t="s">
        <v>240</v>
      </c>
      <c r="C72" s="32" t="s">
        <v>164</v>
      </c>
      <c r="D72" s="60" t="n">
        <v>1492</v>
      </c>
      <c r="E72" s="60" t="n">
        <v>1661</v>
      </c>
      <c r="F72" s="69" t="n">
        <f aca="false">IF(E72="","",D72-E72)</f>
        <v>-169</v>
      </c>
      <c r="G72" s="60" t="n">
        <v>2782</v>
      </c>
      <c r="H72" s="60" t="n">
        <v>3091</v>
      </c>
      <c r="I72" s="69" t="n">
        <f aca="false">IF(H72="","",G72-H72)</f>
        <v>-309</v>
      </c>
      <c r="J72" s="40" t="n">
        <f aca="false">IF(OR(D72="",D72+G72=0),"",D72/(D72+G72))</f>
        <v>0.349087505849321</v>
      </c>
      <c r="K72" s="40" t="n">
        <f aca="false">IF(E72="","",E72/(E72+H72))</f>
        <v>0.349537037037037</v>
      </c>
      <c r="L72" s="70" t="n">
        <f aca="false">IF(OR(K72="",J72=""),"",(J72-K72)*100)</f>
        <v>-0.0449531187715568</v>
      </c>
      <c r="M72" s="36" t="n">
        <v>1.13665371541994</v>
      </c>
      <c r="N72" s="36" t="n">
        <v>2.13758839273281</v>
      </c>
      <c r="O72" s="36" t="n">
        <f aca="false">SQRT(M72^2+N72^2)</f>
        <v>2.4210051229859</v>
      </c>
      <c r="P72" s="40" t="n">
        <f aca="false">IF(J72="","",MAX(0,J72-1.96*O72/100))</f>
        <v>0.301635805438798</v>
      </c>
      <c r="Q72" s="40" t="n">
        <f aca="false">IF(J72="","",MIN(1,J72+1.96*O72/100))</f>
        <v>0.396539206259845</v>
      </c>
      <c r="R72" s="32" t="str">
        <f aca="false">IF(L72="","",IF(ABS(L72)&lt;=O72,"Yes","No"))</f>
        <v>Yes</v>
      </c>
      <c r="S72" s="32" t="str">
        <f aca="false">IF(L72="","",IF(ABS(L72)&lt;=1.96*O72,"Yes","No"))</f>
        <v>Yes</v>
      </c>
      <c r="T72" s="60" t="n">
        <f aca="false">IF(D72="","",ROUND(SQRT(((D72+G72)*O72/100)^2+(J72*(D72+G72)*0.02225)^2),0))</f>
        <v>109</v>
      </c>
      <c r="U72" s="32"/>
    </row>
    <row r="73" customFormat="false" ht="15" hidden="false" customHeight="false" outlineLevel="0" collapsed="false">
      <c r="A73" s="32" t="s">
        <v>222</v>
      </c>
      <c r="B73" s="32" t="s">
        <v>241</v>
      </c>
      <c r="C73" s="32" t="s">
        <v>164</v>
      </c>
      <c r="D73" s="60" t="n">
        <v>1100</v>
      </c>
      <c r="E73" s="60" t="n">
        <v>1272</v>
      </c>
      <c r="F73" s="69" t="n">
        <f aca="false">IF(E73="","",D73-E73)</f>
        <v>-172</v>
      </c>
      <c r="G73" s="60" t="n">
        <v>1126</v>
      </c>
      <c r="H73" s="60" t="n">
        <v>1188</v>
      </c>
      <c r="I73" s="69" t="n">
        <f aca="false">IF(H73="","",G73-H73)</f>
        <v>-62</v>
      </c>
      <c r="J73" s="40" t="n">
        <f aca="false">IF(OR(D73="",D73+G73=0),"",D73/(D73+G73))</f>
        <v>0.494159928122192</v>
      </c>
      <c r="K73" s="40" t="n">
        <f aca="false">IF(E73="","",E73/(E73+H73))</f>
        <v>0.517073170731707</v>
      </c>
      <c r="L73" s="70" t="n">
        <f aca="false">IF(OR(K73="",J73=""),"",(J73-K73)*100)</f>
        <v>-2.29132426095151</v>
      </c>
      <c r="M73" s="36" t="n">
        <v>2.14836094977141</v>
      </c>
      <c r="N73" s="36" t="n">
        <v>2.13758839273281</v>
      </c>
      <c r="O73" s="36" t="n">
        <f aca="false">SQRT(M73^2+N73^2)</f>
        <v>3.03063341683694</v>
      </c>
      <c r="P73" s="40" t="n">
        <f aca="false">IF(J73="","",MAX(0,J73-1.96*O73/100))</f>
        <v>0.434759513152188</v>
      </c>
      <c r="Q73" s="40" t="n">
        <f aca="false">IF(J73="","",MIN(1,J73+1.96*O73/100))</f>
        <v>0.553560343092196</v>
      </c>
      <c r="R73" s="32" t="str">
        <f aca="false">IF(L73="","",IF(ABS(L73)&lt;=O73,"Yes","No"))</f>
        <v>Yes</v>
      </c>
      <c r="S73" s="32" t="str">
        <f aca="false">IF(L73="","",IF(ABS(L73)&lt;=1.96*O73,"Yes","No"))</f>
        <v>Yes</v>
      </c>
      <c r="T73" s="60" t="n">
        <f aca="false">IF(D73="","",ROUND(SQRT(((D73+G73)*O73/100)^2+(J73*(D73+G73)*0.03811)^2),0))</f>
        <v>79</v>
      </c>
      <c r="U73" s="32"/>
    </row>
    <row r="74" customFormat="false" ht="15" hidden="false" customHeight="false" outlineLevel="0" collapsed="false">
      <c r="A74" s="32" t="s">
        <v>222</v>
      </c>
      <c r="B74" s="32" t="s">
        <v>242</v>
      </c>
      <c r="C74" s="32" t="s">
        <v>164</v>
      </c>
      <c r="D74" s="60" t="n">
        <v>565</v>
      </c>
      <c r="E74" s="60" t="n">
        <v>644</v>
      </c>
      <c r="F74" s="69" t="n">
        <f aca="false">IF(E74="","",D74-E74)</f>
        <v>-79</v>
      </c>
      <c r="G74" s="60" t="n">
        <v>612</v>
      </c>
      <c r="H74" s="60" t="n">
        <v>634</v>
      </c>
      <c r="I74" s="69" t="n">
        <f aca="false">IF(H74="","",G74-H74)</f>
        <v>-22</v>
      </c>
      <c r="J74" s="40" t="n">
        <f aca="false">IF(OR(D74="",D74+G74=0),"",D74/(D74+G74))</f>
        <v>0.480033984706882</v>
      </c>
      <c r="K74" s="40" t="n">
        <f aca="false">IF(E74="","",E74/(E74+H74))</f>
        <v>0.503912363067293</v>
      </c>
      <c r="L74" s="70" t="n">
        <f aca="false">IF(OR(K74="",J74=""),"",(J74-K74)*100)</f>
        <v>-2.38783783604107</v>
      </c>
      <c r="M74" s="36" t="n">
        <v>2.14836094977141</v>
      </c>
      <c r="N74" s="36" t="n">
        <v>2.13758839273281</v>
      </c>
      <c r="O74" s="36" t="n">
        <f aca="false">SQRT(M74^2+N74^2)</f>
        <v>3.03063341683694</v>
      </c>
      <c r="P74" s="40" t="n">
        <f aca="false">IF(J74="","",MAX(0,J74-1.96*O74/100))</f>
        <v>0.420633569736878</v>
      </c>
      <c r="Q74" s="40" t="n">
        <f aca="false">IF(J74="","",MIN(1,J74+1.96*O74/100))</f>
        <v>0.539434399676886</v>
      </c>
      <c r="R74" s="32" t="str">
        <f aca="false">IF(L74="","",IF(ABS(L74)&lt;=O74,"Yes","No"))</f>
        <v>Yes</v>
      </c>
      <c r="S74" s="32" t="str">
        <f aca="false">IF(L74="","",IF(ABS(L74)&lt;=1.96*O74,"Yes","No"))</f>
        <v>Yes</v>
      </c>
      <c r="T74" s="60" t="n">
        <f aca="false">IF(D74="","",ROUND(SQRT(((D74+G74)*O74/100)^2+(J74*(D74+G74)*0.03811)^2),0))</f>
        <v>42</v>
      </c>
      <c r="U74" s="32"/>
    </row>
    <row r="75" customFormat="false" ht="15" hidden="false" customHeight="false" outlineLevel="0" collapsed="false">
      <c r="A75" s="32" t="s">
        <v>222</v>
      </c>
      <c r="B75" s="32" t="s">
        <v>243</v>
      </c>
      <c r="C75" s="32" t="s">
        <v>164</v>
      </c>
      <c r="D75" s="60" t="n">
        <v>1738</v>
      </c>
      <c r="E75" s="60" t="n">
        <v>1957</v>
      </c>
      <c r="F75" s="69" t="n">
        <f aca="false">IF(E75="","",D75-E75)</f>
        <v>-219</v>
      </c>
      <c r="G75" s="60" t="n">
        <v>1891</v>
      </c>
      <c r="H75" s="60" t="n">
        <v>1970</v>
      </c>
      <c r="I75" s="69" t="n">
        <f aca="false">IF(H75="","",G75-H75)</f>
        <v>-79</v>
      </c>
      <c r="J75" s="40" t="n">
        <f aca="false">IF(OR(D75="",D75+G75=0),"",D75/(D75+G75))</f>
        <v>0.478919812620557</v>
      </c>
      <c r="K75" s="40" t="n">
        <f aca="false">IF(E75="","",E75/(E75+H75))</f>
        <v>0.49834479246244</v>
      </c>
      <c r="L75" s="70" t="n">
        <f aca="false">IF(OR(K75="",J75=""),"",(J75-K75)*100)</f>
        <v>-1.94249798418829</v>
      </c>
      <c r="M75" s="36" t="n">
        <v>1.13665371541994</v>
      </c>
      <c r="N75" s="36" t="n">
        <v>2.13758839273281</v>
      </c>
      <c r="O75" s="36" t="n">
        <f aca="false">SQRT(M75^2+N75^2)</f>
        <v>2.4210051229859</v>
      </c>
      <c r="P75" s="40" t="n">
        <f aca="false">IF(J75="","",MAX(0,J75-1.96*O75/100))</f>
        <v>0.431468112210033</v>
      </c>
      <c r="Q75" s="40" t="n">
        <f aca="false">IF(J75="","",MIN(1,J75+1.96*O75/100))</f>
        <v>0.52637151303108</v>
      </c>
      <c r="R75" s="32" t="str">
        <f aca="false">IF(L75="","",IF(ABS(L75)&lt;=O75,"Yes","No"))</f>
        <v>Yes</v>
      </c>
      <c r="S75" s="32" t="str">
        <f aca="false">IF(L75="","",IF(ABS(L75)&lt;=1.96*O75,"Yes","No"))</f>
        <v>Yes</v>
      </c>
      <c r="T75" s="60" t="n">
        <f aca="false">IF(D75="","",ROUND(SQRT(((D75+G75)*O75/100)^2+(J75*(D75+G75)*0.02225)^2),0))</f>
        <v>96</v>
      </c>
      <c r="U75" s="32"/>
    </row>
    <row r="76" customFormat="false" ht="15" hidden="false" customHeight="false" outlineLevel="0" collapsed="false">
      <c r="A76" s="32" t="s">
        <v>222</v>
      </c>
      <c r="B76" s="32" t="s">
        <v>244</v>
      </c>
      <c r="C76" s="32" t="s">
        <v>164</v>
      </c>
      <c r="D76" s="60" t="n">
        <v>4995</v>
      </c>
      <c r="E76" s="60" t="n">
        <v>5403</v>
      </c>
      <c r="F76" s="69" t="n">
        <f aca="false">IF(E76="","",D76-E76)</f>
        <v>-408</v>
      </c>
      <c r="G76" s="60" t="n">
        <v>4682</v>
      </c>
      <c r="H76" s="60" t="n">
        <v>4910</v>
      </c>
      <c r="I76" s="69" t="n">
        <f aca="false">IF(H76="","",G76-H76)</f>
        <v>-228</v>
      </c>
      <c r="J76" s="40" t="n">
        <f aca="false">IF(OR(D76="",D76+G76=0),"",D76/(D76+G76))</f>
        <v>0.516172367469257</v>
      </c>
      <c r="K76" s="40" t="n">
        <f aca="false">IF(E76="","",E76/(E76+H76))</f>
        <v>0.523901871424416</v>
      </c>
      <c r="L76" s="70" t="n">
        <f aca="false">IF(OR(K76="",J76=""),"",(J76-K76)*100)</f>
        <v>-0.772950395515881</v>
      </c>
      <c r="M76" s="36" t="n">
        <v>1.13665371541994</v>
      </c>
      <c r="N76" s="36" t="n">
        <v>2.13758839273281</v>
      </c>
      <c r="O76" s="36" t="n">
        <f aca="false">SQRT(M76^2+N76^2)</f>
        <v>2.4210051229859</v>
      </c>
      <c r="P76" s="40" t="n">
        <f aca="false">IF(J76="","",MAX(0,J76-1.96*O76/100))</f>
        <v>0.468720667058733</v>
      </c>
      <c r="Q76" s="40" t="n">
        <f aca="false">IF(J76="","",MIN(1,J76+1.96*O76/100))</f>
        <v>0.563624067879781</v>
      </c>
      <c r="R76" s="32" t="str">
        <f aca="false">IF(L76="","",IF(ABS(L76)&lt;=O76,"Yes","No"))</f>
        <v>Yes</v>
      </c>
      <c r="S76" s="32" t="str">
        <f aca="false">IF(L76="","",IF(ABS(L76)&lt;=1.96*O76,"Yes","No"))</f>
        <v>Yes</v>
      </c>
      <c r="T76" s="60" t="n">
        <f aca="false">IF(D76="","",ROUND(SQRT(((D76+G76)*O76/100)^2+(J76*(D76+G76)*0.02225)^2),0))</f>
        <v>259</v>
      </c>
      <c r="U76" s="32"/>
    </row>
    <row r="77" customFormat="false" ht="15" hidden="false" customHeight="false" outlineLevel="0" collapsed="false">
      <c r="A77" s="32" t="s">
        <v>222</v>
      </c>
      <c r="B77" s="32" t="s">
        <v>245</v>
      </c>
      <c r="C77" s="32" t="s">
        <v>164</v>
      </c>
      <c r="D77" s="60" t="n">
        <v>495</v>
      </c>
      <c r="E77" s="60" t="n">
        <v>511</v>
      </c>
      <c r="F77" s="69" t="n">
        <f aca="false">IF(E77="","",D77-E77)</f>
        <v>-16</v>
      </c>
      <c r="G77" s="60" t="n">
        <v>710</v>
      </c>
      <c r="H77" s="60" t="n">
        <v>778</v>
      </c>
      <c r="I77" s="69" t="n">
        <f aca="false">IF(H77="","",G77-H77)</f>
        <v>-68</v>
      </c>
      <c r="J77" s="40" t="n">
        <f aca="false">IF(OR(D77="",D77+G77=0),"",D77/(D77+G77))</f>
        <v>0.410788381742739</v>
      </c>
      <c r="K77" s="40" t="n">
        <f aca="false">IF(E77="","",E77/(E77+H77))</f>
        <v>0.396431342125679</v>
      </c>
      <c r="L77" s="70" t="n">
        <f aca="false">IF(OR(K77="",J77=""),"",(J77-K77)*100)</f>
        <v>1.43570396170598</v>
      </c>
      <c r="M77" s="36" t="n">
        <v>2.14836094977141</v>
      </c>
      <c r="N77" s="36" t="n">
        <v>2.13758839273281</v>
      </c>
      <c r="O77" s="36" t="n">
        <f aca="false">SQRT(M77^2+N77^2)</f>
        <v>3.03063341683694</v>
      </c>
      <c r="P77" s="40" t="n">
        <f aca="false">IF(J77="","",MAX(0,J77-1.96*O77/100))</f>
        <v>0.351387966772735</v>
      </c>
      <c r="Q77" s="40" t="n">
        <f aca="false">IF(J77="","",MIN(1,J77+1.96*O77/100))</f>
        <v>0.470188796712743</v>
      </c>
      <c r="R77" s="32" t="str">
        <f aca="false">IF(L77="","",IF(ABS(L77)&lt;=O77,"Yes","No"))</f>
        <v>Yes</v>
      </c>
      <c r="S77" s="32" t="str">
        <f aca="false">IF(L77="","",IF(ABS(L77)&lt;=1.96*O77,"Yes","No"))</f>
        <v>Yes</v>
      </c>
      <c r="T77" s="60" t="n">
        <f aca="false">IF(D77="","",ROUND(SQRT(((D77+G77)*O77/100)^2+(J77*(D77+G77)*0.03811)^2),0))</f>
        <v>41</v>
      </c>
      <c r="U77" s="32"/>
    </row>
    <row r="78" customFormat="false" ht="15" hidden="false" customHeight="false" outlineLevel="0" collapsed="false">
      <c r="A78" s="32" t="s">
        <v>222</v>
      </c>
      <c r="B78" s="32" t="s">
        <v>246</v>
      </c>
      <c r="C78" s="32" t="s">
        <v>164</v>
      </c>
      <c r="D78" s="60" t="n">
        <v>1023</v>
      </c>
      <c r="E78" s="60" t="n">
        <v>1076</v>
      </c>
      <c r="F78" s="69" t="n">
        <f aca="false">IF(E78="","",D78-E78)</f>
        <v>-53</v>
      </c>
      <c r="G78" s="60" t="n">
        <v>1727</v>
      </c>
      <c r="H78" s="60" t="n">
        <v>1998</v>
      </c>
      <c r="I78" s="69" t="n">
        <f aca="false">IF(H78="","",G78-H78)</f>
        <v>-271</v>
      </c>
      <c r="J78" s="40" t="n">
        <f aca="false">IF(OR(D78="",D78+G78=0),"",D78/(D78+G78))</f>
        <v>0.372</v>
      </c>
      <c r="K78" s="40" t="n">
        <f aca="false">IF(E78="","",E78/(E78+H78))</f>
        <v>0.350032530904359</v>
      </c>
      <c r="L78" s="70" t="n">
        <f aca="false">IF(OR(K78="",J78=""),"",(J78-K78)*100)</f>
        <v>2.19674690956408</v>
      </c>
      <c r="M78" s="36" t="n">
        <v>1.13665371541994</v>
      </c>
      <c r="N78" s="36" t="n">
        <v>2.13758839273281</v>
      </c>
      <c r="O78" s="36" t="n">
        <f aca="false">SQRT(M78^2+N78^2)</f>
        <v>2.4210051229859</v>
      </c>
      <c r="P78" s="40" t="n">
        <f aca="false">IF(J78="","",MAX(0,J78-1.96*O78/100))</f>
        <v>0.324548299589476</v>
      </c>
      <c r="Q78" s="40" t="n">
        <f aca="false">IF(J78="","",MIN(1,J78+1.96*O78/100))</f>
        <v>0.419451700410524</v>
      </c>
      <c r="R78" s="32" t="str">
        <f aca="false">IF(L78="","",IF(ABS(L78)&lt;=O78,"Yes","No"))</f>
        <v>Yes</v>
      </c>
      <c r="S78" s="32" t="str">
        <f aca="false">IF(L78="","",IF(ABS(L78)&lt;=1.96*O78,"Yes","No"))</f>
        <v>Yes</v>
      </c>
      <c r="T78" s="60" t="n">
        <f aca="false">IF(D78="","",ROUND(SQRT(((D78+G78)*O78/100)^2+(J78*(D78+G78)*0.02225)^2),0))</f>
        <v>70</v>
      </c>
      <c r="U78" s="32"/>
    </row>
    <row r="79" customFormat="false" ht="15" hidden="false" customHeight="false" outlineLevel="0" collapsed="false">
      <c r="A79" s="32" t="s">
        <v>222</v>
      </c>
      <c r="B79" s="32" t="s">
        <v>247</v>
      </c>
      <c r="C79" s="32" t="s">
        <v>164</v>
      </c>
      <c r="D79" s="60" t="n">
        <v>62</v>
      </c>
      <c r="E79" s="60" t="n">
        <v>65</v>
      </c>
      <c r="F79" s="69" t="n">
        <f aca="false">IF(E79="","",D79-E79)</f>
        <v>-3</v>
      </c>
      <c r="G79" s="60" t="n">
        <v>116</v>
      </c>
      <c r="H79" s="60" t="n">
        <v>129</v>
      </c>
      <c r="I79" s="69" t="n">
        <f aca="false">IF(H79="","",G79-H79)</f>
        <v>-13</v>
      </c>
      <c r="J79" s="40" t="n">
        <f aca="false">IF(OR(D79="",D79+G79=0),"",D79/(D79+G79))</f>
        <v>0.348314606741573</v>
      </c>
      <c r="K79" s="40" t="n">
        <f aca="false">IF(E79="","",E79/(E79+H79))</f>
        <v>0.335051546391753</v>
      </c>
      <c r="L79" s="70" t="n">
        <f aca="false">IF(OR(K79="",J79=""),"",(J79-K79)*100)</f>
        <v>1.32630603498205</v>
      </c>
      <c r="M79" s="36" t="n">
        <v>3.29910770631353</v>
      </c>
      <c r="N79" s="36" t="n">
        <v>2.13758839273281</v>
      </c>
      <c r="O79" s="36" t="n">
        <f aca="false">SQRT(M79^2+N79^2)</f>
        <v>3.93108074129791</v>
      </c>
      <c r="P79" s="40" t="n">
        <f aca="false">IF(J79="","",MAX(0,J79-1.96*O79/100))</f>
        <v>0.271265424212134</v>
      </c>
      <c r="Q79" s="40" t="n">
        <f aca="false">IF(J79="","",MIN(1,J79+1.96*O79/100))</f>
        <v>0.425363789271012</v>
      </c>
      <c r="R79" s="32" t="str">
        <f aca="false">IF(L79="","",IF(ABS(L79)&lt;=O79,"Yes","No"))</f>
        <v>Yes</v>
      </c>
      <c r="S79" s="32" t="str">
        <f aca="false">IF(L79="","",IF(ABS(L79)&lt;=1.96*O79,"Yes","No"))</f>
        <v>Yes</v>
      </c>
      <c r="T79" s="60" t="n">
        <f aca="false">IF(D79="","",ROUND(SQRT(((D79+G79)*O79/100)^2+(J79*(D79+G79)*0.0534)^2),0))</f>
        <v>8</v>
      </c>
      <c r="U79" s="32"/>
    </row>
    <row r="80" customFormat="false" ht="15" hidden="false" customHeight="false" outlineLevel="0" collapsed="false">
      <c r="A80" s="32" t="s">
        <v>222</v>
      </c>
      <c r="B80" s="32" t="s">
        <v>248</v>
      </c>
      <c r="C80" s="32" t="s">
        <v>164</v>
      </c>
      <c r="D80" s="60" t="n">
        <v>263</v>
      </c>
      <c r="E80" s="60" t="n">
        <v>258</v>
      </c>
      <c r="F80" s="69" t="n">
        <f aca="false">IF(E80="","",D80-E80)</f>
        <v>5</v>
      </c>
      <c r="G80" s="60" t="n">
        <v>392</v>
      </c>
      <c r="H80" s="60" t="n">
        <v>418</v>
      </c>
      <c r="I80" s="69" t="n">
        <f aca="false">IF(H80="","",G80-H80)</f>
        <v>-26</v>
      </c>
      <c r="J80" s="40" t="n">
        <f aca="false">IF(OR(D80="",D80+G80=0),"",D80/(D80+G80))</f>
        <v>0.401526717557252</v>
      </c>
      <c r="K80" s="40" t="n">
        <f aca="false">IF(E80="","",E80/(E80+H80))</f>
        <v>0.381656804733728</v>
      </c>
      <c r="L80" s="70" t="n">
        <f aca="false">IF(OR(K80="",J80=""),"",(J80-K80)*100)</f>
        <v>1.98699128235241</v>
      </c>
      <c r="M80" s="36" t="n">
        <v>3.29910770631353</v>
      </c>
      <c r="N80" s="36" t="n">
        <v>2.13758839273281</v>
      </c>
      <c r="O80" s="36" t="n">
        <f aca="false">SQRT(M80^2+N80^2)</f>
        <v>3.93108074129791</v>
      </c>
      <c r="P80" s="40" t="n">
        <f aca="false">IF(J80="","",MAX(0,J80-1.96*O80/100))</f>
        <v>0.324477535027813</v>
      </c>
      <c r="Q80" s="40" t="n">
        <f aca="false">IF(J80="","",MIN(1,J80+1.96*O80/100))</f>
        <v>0.478575900086691</v>
      </c>
      <c r="R80" s="32" t="str">
        <f aca="false">IF(L80="","",IF(ABS(L80)&lt;=O80,"Yes","No"))</f>
        <v>Yes</v>
      </c>
      <c r="S80" s="32" t="str">
        <f aca="false">IF(L80="","",IF(ABS(L80)&lt;=1.96*O80,"Yes","No"))</f>
        <v>Yes</v>
      </c>
      <c r="T80" s="60" t="n">
        <f aca="false">IF(D80="","",ROUND(SQRT(((D80+G80)*O80/100)^2+(J80*(D80+G80)*0.0534)^2),0))</f>
        <v>29</v>
      </c>
      <c r="U80" s="32"/>
    </row>
    <row r="81" customFormat="false" ht="15" hidden="false" customHeight="false" outlineLevel="0" collapsed="false">
      <c r="A81" s="32" t="s">
        <v>222</v>
      </c>
      <c r="B81" s="32" t="s">
        <v>249</v>
      </c>
      <c r="C81" s="32" t="s">
        <v>164</v>
      </c>
      <c r="D81" s="60" t="n">
        <v>140</v>
      </c>
      <c r="E81" s="60" t="n">
        <v>160</v>
      </c>
      <c r="F81" s="69" t="n">
        <f aca="false">IF(E81="","",D81-E81)</f>
        <v>-20</v>
      </c>
      <c r="G81" s="60" t="n">
        <v>194</v>
      </c>
      <c r="H81" s="60" t="n">
        <v>227</v>
      </c>
      <c r="I81" s="69" t="n">
        <f aca="false">IF(H81="","",G81-H81)</f>
        <v>-33</v>
      </c>
      <c r="J81" s="40" t="n">
        <f aca="false">IF(OR(D81="",D81+G81=0),"",D81/(D81+G81))</f>
        <v>0.419161676646707</v>
      </c>
      <c r="K81" s="40" t="n">
        <f aca="false">IF(E81="","",E81/(E81+H81))</f>
        <v>0.41343669250646</v>
      </c>
      <c r="L81" s="70" t="n">
        <f aca="false">IF(OR(K81="",J81=""),"",(J81-K81)*100)</f>
        <v>0.572498414024664</v>
      </c>
      <c r="M81" s="36" t="n">
        <v>3.29910770631353</v>
      </c>
      <c r="N81" s="36" t="n">
        <v>2.13758839273281</v>
      </c>
      <c r="O81" s="36" t="n">
        <f aca="false">SQRT(M81^2+N81^2)</f>
        <v>3.93108074129791</v>
      </c>
      <c r="P81" s="40" t="n">
        <f aca="false">IF(J81="","",MAX(0,J81-1.96*O81/100))</f>
        <v>0.342112494117268</v>
      </c>
      <c r="Q81" s="40" t="n">
        <f aca="false">IF(J81="","",MIN(1,J81+1.96*O81/100))</f>
        <v>0.496210859176146</v>
      </c>
      <c r="R81" s="32" t="str">
        <f aca="false">IF(L81="","",IF(ABS(L81)&lt;=O81,"Yes","No"))</f>
        <v>Yes</v>
      </c>
      <c r="S81" s="32" t="str">
        <f aca="false">IF(L81="","",IF(ABS(L81)&lt;=1.96*O81,"Yes","No"))</f>
        <v>Yes</v>
      </c>
      <c r="T81" s="60" t="n">
        <f aca="false">IF(D81="","",ROUND(SQRT(((D81+G81)*O81/100)^2+(J81*(D81+G81)*0.0534)^2),0))</f>
        <v>15</v>
      </c>
      <c r="U81" s="32"/>
    </row>
    <row r="82" customFormat="false" ht="15" hidden="false" customHeight="false" outlineLevel="0" collapsed="false">
      <c r="A82" s="32" t="s">
        <v>222</v>
      </c>
      <c r="B82" s="32" t="s">
        <v>250</v>
      </c>
      <c r="C82" s="32" t="s">
        <v>164</v>
      </c>
      <c r="D82" s="60" t="n">
        <v>224</v>
      </c>
      <c r="E82" s="60" t="n">
        <v>243</v>
      </c>
      <c r="F82" s="69" t="n">
        <f aca="false">IF(E82="","",D82-E82)</f>
        <v>-19</v>
      </c>
      <c r="G82" s="60" t="n">
        <v>299</v>
      </c>
      <c r="H82" s="60" t="n">
        <v>318</v>
      </c>
      <c r="I82" s="69" t="n">
        <f aca="false">IF(H82="","",G82-H82)</f>
        <v>-19</v>
      </c>
      <c r="J82" s="40" t="n">
        <f aca="false">IF(OR(D82="",D82+G82=0),"",D82/(D82+G82))</f>
        <v>0.4282982791587</v>
      </c>
      <c r="K82" s="40" t="n">
        <f aca="false">IF(E82="","",E82/(E82+H82))</f>
        <v>0.433155080213904</v>
      </c>
      <c r="L82" s="70" t="n">
        <f aca="false">IF(OR(K82="",J82=""),"",(J82-K82)*100)</f>
        <v>-0.485680105520392</v>
      </c>
      <c r="M82" s="36" t="n">
        <v>3.29910770631353</v>
      </c>
      <c r="N82" s="36" t="n">
        <v>2.13758839273281</v>
      </c>
      <c r="O82" s="36" t="n">
        <f aca="false">SQRT(M82^2+N82^2)</f>
        <v>3.93108074129791</v>
      </c>
      <c r="P82" s="40" t="n">
        <f aca="false">IF(J82="","",MAX(0,J82-1.96*O82/100))</f>
        <v>0.351249096629261</v>
      </c>
      <c r="Q82" s="40" t="n">
        <f aca="false">IF(J82="","",MIN(1,J82+1.96*O82/100))</f>
        <v>0.505347461688139</v>
      </c>
      <c r="R82" s="32" t="str">
        <f aca="false">IF(L82="","",IF(ABS(L82)&lt;=O82,"Yes","No"))</f>
        <v>Yes</v>
      </c>
      <c r="S82" s="32" t="str">
        <f aca="false">IF(L82="","",IF(ABS(L82)&lt;=1.96*O82,"Yes","No"))</f>
        <v>Yes</v>
      </c>
      <c r="T82" s="60" t="n">
        <f aca="false">IF(D82="","",ROUND(SQRT(((D82+G82)*O82/100)^2+(J82*(D82+G82)*0.0534)^2),0))</f>
        <v>24</v>
      </c>
      <c r="U82" s="32"/>
    </row>
    <row r="83" customFormat="false" ht="15" hidden="false" customHeight="false" outlineLevel="0" collapsed="false">
      <c r="A83" s="32" t="s">
        <v>222</v>
      </c>
      <c r="B83" s="32" t="s">
        <v>251</v>
      </c>
      <c r="C83" s="32" t="s">
        <v>164</v>
      </c>
      <c r="D83" s="60" t="n">
        <v>994</v>
      </c>
      <c r="E83" s="60" t="n">
        <v>1030</v>
      </c>
      <c r="F83" s="69" t="n">
        <f aca="false">IF(E83="","",D83-E83)</f>
        <v>-36</v>
      </c>
      <c r="G83" s="60" t="n">
        <v>1853</v>
      </c>
      <c r="H83" s="60" t="n">
        <v>2095</v>
      </c>
      <c r="I83" s="69" t="n">
        <f aca="false">IF(H83="","",G83-H83)</f>
        <v>-242</v>
      </c>
      <c r="J83" s="40" t="n">
        <f aca="false">IF(OR(D83="",D83+G83=0),"",D83/(D83+G83))</f>
        <v>0.349139445029856</v>
      </c>
      <c r="K83" s="40" t="n">
        <f aca="false">IF(E83="","",E83/(E83+H83))</f>
        <v>0.3296</v>
      </c>
      <c r="L83" s="70" t="n">
        <f aca="false">IF(OR(K83="",J83=""),"",(J83-K83)*100)</f>
        <v>1.9539445029856</v>
      </c>
      <c r="M83" s="36" t="n">
        <v>1.13665371541994</v>
      </c>
      <c r="N83" s="36" t="n">
        <v>2.13758839273281</v>
      </c>
      <c r="O83" s="36" t="n">
        <f aca="false">SQRT(M83^2+N83^2)</f>
        <v>2.4210051229859</v>
      </c>
      <c r="P83" s="40" t="n">
        <f aca="false">IF(J83="","",MAX(0,J83-1.96*O83/100))</f>
        <v>0.301687744619332</v>
      </c>
      <c r="Q83" s="40" t="n">
        <f aca="false">IF(J83="","",MIN(1,J83+1.96*O83/100))</f>
        <v>0.39659114544038</v>
      </c>
      <c r="R83" s="32" t="str">
        <f aca="false">IF(L83="","",IF(ABS(L83)&lt;=O83,"Yes","No"))</f>
        <v>Yes</v>
      </c>
      <c r="S83" s="32" t="str">
        <f aca="false">IF(L83="","",IF(ABS(L83)&lt;=1.96*O83,"Yes","No"))</f>
        <v>Yes</v>
      </c>
      <c r="T83" s="60" t="n">
        <f aca="false">IF(D83="","",ROUND(SQRT(((D83+G83)*O83/100)^2+(J83*(D83+G83)*0.02225)^2),0))</f>
        <v>72</v>
      </c>
      <c r="U83" s="32"/>
    </row>
    <row r="84" customFormat="false" ht="15" hidden="false" customHeight="false" outlineLevel="0" collapsed="false">
      <c r="A84" s="32" t="s">
        <v>222</v>
      </c>
      <c r="B84" s="32" t="s">
        <v>252</v>
      </c>
      <c r="C84" s="32" t="s">
        <v>164</v>
      </c>
      <c r="D84" s="60" t="n">
        <v>1348</v>
      </c>
      <c r="E84" s="60" t="n">
        <v>1575</v>
      </c>
      <c r="F84" s="69" t="n">
        <f aca="false">IF(E84="","",D84-E84)</f>
        <v>-227</v>
      </c>
      <c r="G84" s="60" t="n">
        <v>1439</v>
      </c>
      <c r="H84" s="60" t="n">
        <v>1588</v>
      </c>
      <c r="I84" s="69" t="n">
        <f aca="false">IF(H84="","",G84-H84)</f>
        <v>-149</v>
      </c>
      <c r="J84" s="40" t="n">
        <f aca="false">IF(OR(D84="",D84+G84=0),"",D84/(D84+G84))</f>
        <v>0.48367420165052</v>
      </c>
      <c r="K84" s="40" t="n">
        <f aca="false">IF(E84="","",E84/(E84+H84))</f>
        <v>0.497944988934556</v>
      </c>
      <c r="L84" s="70" t="n">
        <f aca="false">IF(OR(K84="",J84=""),"",(J84-K84)*100)</f>
        <v>-1.42707872840355</v>
      </c>
      <c r="M84" s="36" t="n">
        <v>1.13665371541994</v>
      </c>
      <c r="N84" s="36" t="n">
        <v>2.13758839273281</v>
      </c>
      <c r="O84" s="36" t="n">
        <f aca="false">SQRT(M84^2+N84^2)</f>
        <v>2.4210051229859</v>
      </c>
      <c r="P84" s="40" t="n">
        <f aca="false">IF(J84="","",MAX(0,J84-1.96*O84/100))</f>
        <v>0.436222501239997</v>
      </c>
      <c r="Q84" s="40" t="n">
        <f aca="false">IF(J84="","",MIN(1,J84+1.96*O84/100))</f>
        <v>0.531125902061044</v>
      </c>
      <c r="R84" s="32" t="str">
        <f aca="false">IF(L84="","",IF(ABS(L84)&lt;=O84,"Yes","No"))</f>
        <v>Yes</v>
      </c>
      <c r="S84" s="32" t="str">
        <f aca="false">IF(L84="","",IF(ABS(L84)&lt;=1.96*O84,"Yes","No"))</f>
        <v>Yes</v>
      </c>
      <c r="T84" s="60" t="n">
        <f aca="false">IF(D84="","",ROUND(SQRT(((D84+G84)*O84/100)^2+(J84*(D84+G84)*0.02225)^2),0))</f>
        <v>74</v>
      </c>
      <c r="U84" s="32"/>
    </row>
    <row r="85" customFormat="false" ht="15" hidden="false" customHeight="false" outlineLevel="0" collapsed="false">
      <c r="A85" s="32" t="s">
        <v>222</v>
      </c>
      <c r="B85" s="32" t="s">
        <v>253</v>
      </c>
      <c r="C85" s="32" t="s">
        <v>164</v>
      </c>
      <c r="D85" s="60" t="n">
        <v>277</v>
      </c>
      <c r="E85" s="60" t="n">
        <v>305</v>
      </c>
      <c r="F85" s="69" t="n">
        <f aca="false">IF(E85="","",D85-E85)</f>
        <v>-28</v>
      </c>
      <c r="G85" s="60" t="n">
        <v>389</v>
      </c>
      <c r="H85" s="60" t="n">
        <v>419</v>
      </c>
      <c r="I85" s="69" t="n">
        <f aca="false">IF(H85="","",G85-H85)</f>
        <v>-30</v>
      </c>
      <c r="J85" s="40" t="n">
        <f aca="false">IF(OR(D85="",D85+G85=0),"",D85/(D85+G85))</f>
        <v>0.415915915915916</v>
      </c>
      <c r="K85" s="40" t="n">
        <f aca="false">IF(E85="","",E85/(E85+H85))</f>
        <v>0.421270718232044</v>
      </c>
      <c r="L85" s="70" t="n">
        <f aca="false">IF(OR(K85="",J85=""),"",(J85-K85)*100)</f>
        <v>-0.535480231612828</v>
      </c>
      <c r="M85" s="36" t="n">
        <v>3.29910770631353</v>
      </c>
      <c r="N85" s="36" t="n">
        <v>2.13758839273281</v>
      </c>
      <c r="O85" s="36" t="n">
        <f aca="false">SQRT(M85^2+N85^2)</f>
        <v>3.93108074129791</v>
      </c>
      <c r="P85" s="40" t="n">
        <f aca="false">IF(J85="","",MAX(0,J85-1.96*O85/100))</f>
        <v>0.338866733386477</v>
      </c>
      <c r="Q85" s="40" t="n">
        <f aca="false">IF(J85="","",MIN(1,J85+1.96*O85/100))</f>
        <v>0.492965098445355</v>
      </c>
      <c r="R85" s="32" t="str">
        <f aca="false">IF(L85="","",IF(ABS(L85)&lt;=O85,"Yes","No"))</f>
        <v>Yes</v>
      </c>
      <c r="S85" s="32" t="str">
        <f aca="false">IF(L85="","",IF(ABS(L85)&lt;=1.96*O85,"Yes","No"))</f>
        <v>Yes</v>
      </c>
      <c r="T85" s="60" t="n">
        <f aca="false">IF(D85="","",ROUND(SQRT(((D85+G85)*O85/100)^2+(J85*(D85+G85)*0.0534)^2),0))</f>
        <v>30</v>
      </c>
      <c r="U85" s="32"/>
    </row>
    <row r="86" customFormat="false" ht="15" hidden="false" customHeight="false" outlineLevel="0" collapsed="false">
      <c r="A86" s="32" t="s">
        <v>222</v>
      </c>
      <c r="B86" s="32" t="s">
        <v>215</v>
      </c>
      <c r="C86" s="32" t="s">
        <v>164</v>
      </c>
      <c r="D86" s="60" t="n">
        <v>748</v>
      </c>
      <c r="E86" s="60" t="n">
        <v>840</v>
      </c>
      <c r="F86" s="69" t="n">
        <f aca="false">IF(E86="","",D86-E86)</f>
        <v>-92</v>
      </c>
      <c r="G86" s="60" t="n">
        <v>1291</v>
      </c>
      <c r="H86" s="60" t="n">
        <v>1533</v>
      </c>
      <c r="I86" s="69" t="n">
        <f aca="false">IF(H86="","",G86-H86)</f>
        <v>-242</v>
      </c>
      <c r="J86" s="40" t="n">
        <f aca="false">IF(OR(D86="",D86+G86=0),"",D86/(D86+G86))</f>
        <v>0.366846493379107</v>
      </c>
      <c r="K86" s="40" t="n">
        <f aca="false">IF(E86="","",E86/(E86+H86))</f>
        <v>0.353982300884956</v>
      </c>
      <c r="L86" s="70" t="n">
        <f aca="false">IF(OR(K86="",J86=""),"",(J86-K86)*100)</f>
        <v>1.28641924941517</v>
      </c>
      <c r="M86" s="36" t="n">
        <v>2.14836094977141</v>
      </c>
      <c r="N86" s="36" t="n">
        <v>2.13758839273281</v>
      </c>
      <c r="O86" s="36" t="n">
        <f aca="false">SQRT(M86^2+N86^2)</f>
        <v>3.03063341683694</v>
      </c>
      <c r="P86" s="40" t="n">
        <f aca="false">IF(J86="","",MAX(0,J86-1.96*O86/100))</f>
        <v>0.307446078409103</v>
      </c>
      <c r="Q86" s="40" t="n">
        <f aca="false">IF(J86="","",MIN(1,J86+1.96*O86/100))</f>
        <v>0.426246908349111</v>
      </c>
      <c r="R86" s="32" t="str">
        <f aca="false">IF(L86="","",IF(ABS(L86)&lt;=O86,"Yes","No"))</f>
        <v>Yes</v>
      </c>
      <c r="S86" s="32" t="str">
        <f aca="false">IF(L86="","",IF(ABS(L86)&lt;=1.96*O86,"Yes","No"))</f>
        <v>Yes</v>
      </c>
      <c r="T86" s="60" t="n">
        <f aca="false">IF(D86="","",ROUND(SQRT(((D86+G86)*O86/100)^2+(J86*(D86+G86)*0.03811)^2),0))</f>
        <v>68</v>
      </c>
      <c r="U86" s="32"/>
    </row>
    <row r="87" customFormat="false" ht="15" hidden="false" customHeight="false" outlineLevel="0" collapsed="false">
      <c r="A87" s="32" t="s">
        <v>222</v>
      </c>
      <c r="B87" s="32" t="s">
        <v>254</v>
      </c>
      <c r="C87" s="32" t="s">
        <v>164</v>
      </c>
      <c r="D87" s="60" t="n">
        <v>169</v>
      </c>
      <c r="E87" s="60" t="n">
        <v>199</v>
      </c>
      <c r="F87" s="69" t="n">
        <f aca="false">IF(E87="","",D87-E87)</f>
        <v>-30</v>
      </c>
      <c r="G87" s="60" t="n">
        <v>199</v>
      </c>
      <c r="H87" s="60" t="n">
        <v>215</v>
      </c>
      <c r="I87" s="69" t="n">
        <f aca="false">IF(H87="","",G87-H87)</f>
        <v>-16</v>
      </c>
      <c r="J87" s="40" t="n">
        <f aca="false">IF(OR(D87="",D87+G87=0),"",D87/(D87+G87))</f>
        <v>0.459239130434783</v>
      </c>
      <c r="K87" s="40" t="n">
        <f aca="false">IF(E87="","",E87/(E87+H87))</f>
        <v>0.480676328502416</v>
      </c>
      <c r="L87" s="70" t="n">
        <f aca="false">IF(OR(K87="",J87=""),"",(J87-K87)*100)</f>
        <v>-2.14371980676329</v>
      </c>
      <c r="M87" s="36" t="n">
        <v>3.29910770631353</v>
      </c>
      <c r="N87" s="36" t="n">
        <v>2.13758839273281</v>
      </c>
      <c r="O87" s="36" t="n">
        <f aca="false">SQRT(M87^2+N87^2)</f>
        <v>3.93108074129791</v>
      </c>
      <c r="P87" s="40" t="n">
        <f aca="false">IF(J87="","",MAX(0,J87-1.96*O87/100))</f>
        <v>0.382189947905344</v>
      </c>
      <c r="Q87" s="40" t="n">
        <f aca="false">IF(J87="","",MIN(1,J87+1.96*O87/100))</f>
        <v>0.536288312964222</v>
      </c>
      <c r="R87" s="32" t="str">
        <f aca="false">IF(L87="","",IF(ABS(L87)&lt;=O87,"Yes","No"))</f>
        <v>Yes</v>
      </c>
      <c r="S87" s="32" t="str">
        <f aca="false">IF(L87="","",IF(ABS(L87)&lt;=1.96*O87,"Yes","No"))</f>
        <v>Yes</v>
      </c>
      <c r="T87" s="60" t="n">
        <f aca="false">IF(D87="","",ROUND(SQRT(((D87+G87)*O87/100)^2+(J87*(D87+G87)*0.0534)^2),0))</f>
        <v>17</v>
      </c>
      <c r="U87" s="32"/>
    </row>
    <row r="88" customFormat="false" ht="15" hidden="false" customHeight="false" outlineLevel="0" collapsed="false">
      <c r="A88" s="32" t="s">
        <v>222</v>
      </c>
      <c r="B88" s="32" t="s">
        <v>255</v>
      </c>
      <c r="C88" s="32" t="s">
        <v>164</v>
      </c>
      <c r="D88" s="60" t="n">
        <v>1340</v>
      </c>
      <c r="E88" s="60" t="n">
        <v>1456</v>
      </c>
      <c r="F88" s="69" t="n">
        <f aca="false">IF(E88="","",D88-E88)</f>
        <v>-116</v>
      </c>
      <c r="G88" s="60" t="n">
        <v>1711</v>
      </c>
      <c r="H88" s="60" t="n">
        <v>1860</v>
      </c>
      <c r="I88" s="69" t="n">
        <f aca="false">IF(H88="","",G88-H88)</f>
        <v>-149</v>
      </c>
      <c r="J88" s="40" t="n">
        <f aca="false">IF(OR(D88="",D88+G88=0),"",D88/(D88+G88))</f>
        <v>0.439200262209112</v>
      </c>
      <c r="K88" s="40" t="n">
        <f aca="false">IF(E88="","",E88/(E88+H88))</f>
        <v>0.439083232810615</v>
      </c>
      <c r="L88" s="70" t="n">
        <f aca="false">IF(OR(K88="",J88=""),"",(J88-K88)*100)</f>
        <v>0.0117029398496615</v>
      </c>
      <c r="M88" s="36" t="n">
        <v>1.13665371541994</v>
      </c>
      <c r="N88" s="36" t="n">
        <v>2.13758839273281</v>
      </c>
      <c r="O88" s="36" t="n">
        <f aca="false">SQRT(M88^2+N88^2)</f>
        <v>2.4210051229859</v>
      </c>
      <c r="P88" s="40" t="n">
        <f aca="false">IF(J88="","",MAX(0,J88-1.96*O88/100))</f>
        <v>0.391748561798588</v>
      </c>
      <c r="Q88" s="40" t="n">
        <f aca="false">IF(J88="","",MIN(1,J88+1.96*O88/100))</f>
        <v>0.486651962619636</v>
      </c>
      <c r="R88" s="32" t="str">
        <f aca="false">IF(L88="","",IF(ABS(L88)&lt;=O88,"Yes","No"))</f>
        <v>Yes</v>
      </c>
      <c r="S88" s="32" t="str">
        <f aca="false">IF(L88="","",IF(ABS(L88)&lt;=1.96*O88,"Yes","No"))</f>
        <v>Yes</v>
      </c>
      <c r="T88" s="60" t="n">
        <f aca="false">IF(D88="","",ROUND(SQRT(((D88+G88)*O88/100)^2+(J88*(D88+G88)*0.02225)^2),0))</f>
        <v>80</v>
      </c>
      <c r="U88" s="32"/>
    </row>
    <row r="89" customFormat="false" ht="15" hidden="false" customHeight="false" outlineLevel="0" collapsed="false">
      <c r="A89" s="32" t="s">
        <v>222</v>
      </c>
      <c r="B89" s="32" t="s">
        <v>256</v>
      </c>
      <c r="C89" s="32" t="s">
        <v>164</v>
      </c>
      <c r="D89" s="60" t="n">
        <v>1138</v>
      </c>
      <c r="E89" s="60" t="n">
        <v>1340</v>
      </c>
      <c r="F89" s="69" t="n">
        <f aca="false">IF(E89="","",D89-E89)</f>
        <v>-202</v>
      </c>
      <c r="G89" s="60" t="n">
        <v>990</v>
      </c>
      <c r="H89" s="60" t="n">
        <v>953</v>
      </c>
      <c r="I89" s="69" t="n">
        <f aca="false">IF(H89="","",G89-H89)</f>
        <v>37</v>
      </c>
      <c r="J89" s="40" t="n">
        <f aca="false">IF(OR(D89="",D89+G89=0),"",D89/(D89+G89))</f>
        <v>0.534774436090226</v>
      </c>
      <c r="K89" s="40" t="n">
        <f aca="false">IF(E89="","",E89/(E89+H89))</f>
        <v>0.584387265590929</v>
      </c>
      <c r="L89" s="70" t="n">
        <f aca="false">IF(OR(K89="",J89=""),"",(J89-K89)*100)</f>
        <v>-4.96128295007033</v>
      </c>
      <c r="M89" s="36" t="n">
        <v>2.14836094977141</v>
      </c>
      <c r="N89" s="36" t="n">
        <v>2.13758839273281</v>
      </c>
      <c r="O89" s="36" t="n">
        <f aca="false">SQRT(M89^2+N89^2)</f>
        <v>3.03063341683694</v>
      </c>
      <c r="P89" s="40" t="n">
        <f aca="false">IF(J89="","",MAX(0,J89-1.96*O89/100))</f>
        <v>0.475374021120222</v>
      </c>
      <c r="Q89" s="40" t="n">
        <f aca="false">IF(J89="","",MIN(1,J89+1.96*O89/100))</f>
        <v>0.59417485106023</v>
      </c>
      <c r="R89" s="32" t="str">
        <f aca="false">IF(L89="","",IF(ABS(L89)&lt;=O89,"Yes","No"))</f>
        <v>No</v>
      </c>
      <c r="S89" s="32" t="str">
        <f aca="false">IF(L89="","",IF(ABS(L89)&lt;=1.96*O89,"Yes","No"))</f>
        <v>Yes</v>
      </c>
      <c r="T89" s="60" t="n">
        <f aca="false">IF(D89="","",ROUND(SQRT(((D89+G89)*O89/100)^2+(J89*(D89+G89)*0.03811)^2),0))</f>
        <v>78</v>
      </c>
      <c r="U89" s="32"/>
    </row>
    <row r="90" customFormat="false" ht="15" hidden="false" customHeight="false" outlineLevel="0" collapsed="false">
      <c r="A90" s="32" t="s">
        <v>222</v>
      </c>
      <c r="B90" s="32" t="s">
        <v>257</v>
      </c>
      <c r="C90" s="32" t="s">
        <v>164</v>
      </c>
      <c r="D90" s="60" t="n">
        <v>416</v>
      </c>
      <c r="E90" s="60" t="n">
        <v>494</v>
      </c>
      <c r="F90" s="69" t="n">
        <f aca="false">IF(E90="","",D90-E90)</f>
        <v>-78</v>
      </c>
      <c r="G90" s="60" t="n">
        <v>551</v>
      </c>
      <c r="H90" s="60" t="n">
        <v>601</v>
      </c>
      <c r="I90" s="69" t="n">
        <f aca="false">IF(H90="","",G90-H90)</f>
        <v>-50</v>
      </c>
      <c r="J90" s="40" t="n">
        <f aca="false">IF(OR(D90="",D90+G90=0),"",D90/(D90+G90))</f>
        <v>0.430196483971045</v>
      </c>
      <c r="K90" s="40" t="n">
        <f aca="false">IF(E90="","",E90/(E90+H90))</f>
        <v>0.451141552511416</v>
      </c>
      <c r="L90" s="70" t="n">
        <f aca="false">IF(OR(K90="",J90=""),"",(J90-K90)*100)</f>
        <v>-2.0945068540371</v>
      </c>
      <c r="M90" s="36" t="n">
        <v>3.29910770631353</v>
      </c>
      <c r="N90" s="36" t="n">
        <v>2.13758839273281</v>
      </c>
      <c r="O90" s="36" t="n">
        <f aca="false">SQRT(M90^2+N90^2)</f>
        <v>3.93108074129791</v>
      </c>
      <c r="P90" s="40" t="n">
        <f aca="false">IF(J90="","",MAX(0,J90-1.96*O90/100))</f>
        <v>0.353147301441605</v>
      </c>
      <c r="Q90" s="40" t="n">
        <f aca="false">IF(J90="","",MIN(1,J90+1.96*O90/100))</f>
        <v>0.507245666500484</v>
      </c>
      <c r="R90" s="32" t="str">
        <f aca="false">IF(L90="","",IF(ABS(L90)&lt;=O90,"Yes","No"))</f>
        <v>Yes</v>
      </c>
      <c r="S90" s="32" t="str">
        <f aca="false">IF(L90="","",IF(ABS(L90)&lt;=1.96*O90,"Yes","No"))</f>
        <v>Yes</v>
      </c>
      <c r="T90" s="60" t="n">
        <f aca="false">IF(D90="","",ROUND(SQRT(((D90+G90)*O90/100)^2+(J90*(D90+G90)*0.0534)^2),0))</f>
        <v>44</v>
      </c>
      <c r="U90" s="32"/>
    </row>
    <row r="92" customFormat="false" ht="15" hidden="false" customHeight="false" outlineLevel="0" collapsed="false">
      <c r="A92" s="20" t="s">
        <v>377</v>
      </c>
      <c r="B92" s="71"/>
      <c r="C92" s="71"/>
      <c r="D92" s="72" t="n">
        <f aca="false">SUMIF(E2:E90,"&lt;&gt;",D2:D90)</f>
        <v>136462</v>
      </c>
      <c r="E92" s="72" t="n">
        <f aca="false">SUM(E2:E90)</f>
        <v>151364</v>
      </c>
      <c r="F92" s="73" t="n">
        <f aca="false">D92-E92</f>
        <v>-14902</v>
      </c>
      <c r="G92" s="72" t="n">
        <f aca="false">SUMIF(H2:H90,"&lt;&gt;",G2:G90)</f>
        <v>142585</v>
      </c>
      <c r="H92" s="72" t="n">
        <f aca="false">SUM(H2:H90)</f>
        <v>145527</v>
      </c>
      <c r="I92" s="73" t="n">
        <f aca="false">G92-H92</f>
        <v>-2942</v>
      </c>
      <c r="J92" s="74" t="n">
        <f aca="false">D92/(D92+G92)</f>
        <v>0.489028729927217</v>
      </c>
      <c r="K92" s="74" t="n">
        <f aca="false">E92/(E92+H92)</f>
        <v>0.509830207045683</v>
      </c>
      <c r="L92" s="75" t="n">
        <f aca="false">(J92-K92)*100</f>
        <v>-2.08014771184668</v>
      </c>
      <c r="M92" s="76" t="n">
        <v>0</v>
      </c>
      <c r="N92" s="76" t="n">
        <v>2.13758839273281</v>
      </c>
      <c r="O92" s="76" t="n">
        <f aca="false">SQRT(M92^2+N92^2)</f>
        <v>2.13758839273281</v>
      </c>
      <c r="P92" s="74" t="n">
        <f aca="false">J92-1.96*O92/100</f>
        <v>0.447131997429654</v>
      </c>
      <c r="Q92" s="74" t="n">
        <f aca="false">J92+1.96*O92/100</f>
        <v>0.53092546242478</v>
      </c>
      <c r="R92" s="71" t="str">
        <f aca="false">IF(ABS(L92)&lt;=O92,"Yes","No")</f>
        <v>Yes</v>
      </c>
      <c r="S92" s="71" t="str">
        <f aca="false">IF(ABS(L92)&lt;=1.96*O92,"Yes","No")</f>
        <v>Yes</v>
      </c>
      <c r="T92" s="72" t="n">
        <f aca="false">ROUND(SQRT(((D92+G92)*O92/100)^2+(J92*(D92+G92)*0.00561)^2),0)</f>
        <v>6014</v>
      </c>
    </row>
    <row r="93" customFormat="false" ht="15" hidden="false" customHeight="false" outlineLevel="0" collapsed="false">
      <c r="A93" s="20" t="s">
        <v>378</v>
      </c>
      <c r="B93" s="71"/>
      <c r="C93" s="71"/>
      <c r="D93" s="72" t="n">
        <f aca="false">SUM(D2:D90)</f>
        <v>136462</v>
      </c>
      <c r="E93" s="72"/>
      <c r="F93" s="73"/>
      <c r="G93" s="72" t="n">
        <f aca="false">SUM(G2:G90)</f>
        <v>142585</v>
      </c>
      <c r="H93" s="72"/>
      <c r="I93" s="73"/>
      <c r="J93" s="74" t="n">
        <f aca="false">D93/(D93+G93)</f>
        <v>0.489028729927217</v>
      </c>
      <c r="K93" s="74"/>
      <c r="L93" s="75"/>
      <c r="M93" s="76"/>
      <c r="N93" s="76"/>
      <c r="O93" s="76"/>
      <c r="P93" s="74"/>
      <c r="Q93" s="74"/>
      <c r="R93" s="71"/>
      <c r="S93" s="71"/>
      <c r="T93" s="72"/>
    </row>
    <row r="95" customFormat="false" ht="15" hidden="false" customHeight="false" outlineLevel="0" collapsed="false">
      <c r="A95" s="2" t="s">
        <v>379</v>
      </c>
      <c r="F95" s="77" t="n">
        <f aca="false">(SUMIF(F2:F90,"&gt;0")-SUMIF(F2:F90,"&lt;0"))/COUNT(F2:F90)</f>
        <v>170.134831460674</v>
      </c>
    </row>
    <row r="96" customFormat="false" ht="15" hidden="false" customHeight="false" outlineLevel="0" collapsed="false">
      <c r="A96" s="2" t="s">
        <v>380</v>
      </c>
      <c r="F96" s="77" t="n">
        <f aca="false">(SUMIF(I2:I90,"&gt;0")-SUMIF(I2:I90,"&lt;0"))/COUNT(I2:I90)</f>
        <v>163.460674157303</v>
      </c>
    </row>
    <row r="97" customFormat="false" ht="15" hidden="false" customHeight="false" outlineLevel="0" collapsed="false">
      <c r="A97" s="2" t="s">
        <v>381</v>
      </c>
      <c r="F97" s="78" t="n">
        <f aca="false">(SUMIF(L2:L90,"&gt;0")-SUMIF(L2:L90,"&lt;0"))/COUNT(L2:L90)</f>
        <v>2.48516332836489</v>
      </c>
    </row>
    <row r="98" customFormat="false" ht="15" hidden="false" customHeight="false" outlineLevel="0" collapsed="false">
      <c r="A98" s="5" t="s">
        <v>382</v>
      </c>
      <c r="F98" s="79" t="n">
        <f aca="false">SQRT(SUMSQ(L2:L90)/COUNT(L2:L90))</f>
        <v>3.45191131417464</v>
      </c>
    </row>
    <row r="99" customFormat="false" ht="15" hidden="false" customHeight="false" outlineLevel="0" collapsed="false">
      <c r="A99" s="5" t="s">
        <v>383</v>
      </c>
      <c r="F99" s="80" t="n">
        <f aca="false">L92</f>
        <v>-2.08014771184668</v>
      </c>
    </row>
    <row r="100" customFormat="false" ht="15" hidden="false" customHeight="false" outlineLevel="0" collapsed="false">
      <c r="A100" s="5" t="s">
        <v>384</v>
      </c>
      <c r="F100" s="79" t="n">
        <f aca="false">SQRT((SUMSQ(L2:L90)-2*L92*SUM(L2:L90)+COUNT(L2:L90)*L92^2)/COUNT(L2:L90))</f>
        <v>3.68618699268832</v>
      </c>
    </row>
    <row r="101" customFormat="false" ht="15" hidden="false" customHeight="false" outlineLevel="0" collapsed="false">
      <c r="A101" s="2" t="s">
        <v>385</v>
      </c>
      <c r="F101" s="81" t="n">
        <f aca="false">D92/E92-1</f>
        <v>-0.0984514151317354</v>
      </c>
    </row>
    <row r="102" customFormat="false" ht="15" hidden="false" customHeight="false" outlineLevel="0" collapsed="false">
      <c r="A102" s="5" t="s">
        <v>386</v>
      </c>
      <c r="F102" s="82" t="n">
        <f aca="false">G92/H92-1</f>
        <v>-0.0202161798154294</v>
      </c>
    </row>
    <row r="103" customFormat="false" ht="15" hidden="false" customHeight="false" outlineLevel="0" collapsed="false">
      <c r="A103" s="2" t="s">
        <v>387</v>
      </c>
      <c r="F103" s="81" t="n">
        <f aca="false">(D92+G92)/(E92+H92)-1</f>
        <v>-0.0601028660350095</v>
      </c>
    </row>
    <row r="104" customFormat="false" ht="15" hidden="false" customHeight="false" outlineLevel="0" collapsed="false">
      <c r="A104" s="2" t="s">
        <v>388</v>
      </c>
      <c r="F104" s="78" t="n">
        <f aca="false">AVERAGE(O2:O90)</f>
        <v>3.12866230355939</v>
      </c>
    </row>
    <row r="105" customFormat="false" ht="15" hidden="false" customHeight="false" outlineLevel="0" collapsed="false">
      <c r="A105" s="5" t="s">
        <v>389</v>
      </c>
      <c r="F105" s="83" t="n">
        <f aca="false">COUNTIF(R2:R90,"Yes")/(COUNTIF(R2:R90,"Yes")+COUNTIF(R2:R90,"No"))</f>
        <v>0.752808988764045</v>
      </c>
    </row>
    <row r="106" customFormat="false" ht="15" hidden="false" customHeight="false" outlineLevel="0" collapsed="false">
      <c r="A106" s="5" t="s">
        <v>390</v>
      </c>
      <c r="F106" s="83" t="n">
        <f aca="false">COUNTIF(S2:S90,"Yes")/(COUNTIF(S2:S90,"Yes")+COUNTIF(S2:S90,"No"))</f>
        <v>0.932584269662921</v>
      </c>
    </row>
    <row r="107" customFormat="false" ht="15" hidden="false" customHeight="false" outlineLevel="0" collapsed="false">
      <c r="A107" s="2" t="s">
        <v>391</v>
      </c>
      <c r="F107" s="84" t="n">
        <f aca="false">COUNTIFS(L2:L90,"&gt;=-3",L2:L90,"&lt;=3")/COUNT(L2:L90)</f>
        <v>0.730337078651685</v>
      </c>
    </row>
    <row r="108" customFormat="false" ht="15" hidden="false" customHeight="false" outlineLevel="0" collapsed="false">
      <c r="A108" s="2" t="s">
        <v>415</v>
      </c>
      <c r="F108" s="85" t="n">
        <f aca="false">COUNT(E2:E90)</f>
        <v>89</v>
      </c>
    </row>
    <row r="109" customFormat="false" ht="15" hidden="false" customHeight="false" outlineLevel="0" collapsed="false">
      <c r="A109" s="2" t="s">
        <v>393</v>
      </c>
      <c r="F109" s="85" t="n">
        <f aca="false">COUNTA(A2:A90)</f>
        <v>89</v>
      </c>
    </row>
    <row r="110" customFormat="false" ht="15" hidden="false" customHeight="false" outlineLevel="0" collapsed="false">
      <c r="A110" s="5" t="s">
        <v>394</v>
      </c>
    </row>
    <row r="111" customFormat="false" ht="15" hidden="false" customHeight="false" outlineLevel="0" collapsed="false">
      <c r="A111" s="2" t="s">
        <v>395</v>
      </c>
      <c r="F111" s="86" t="n">
        <f aca="false">((D92+G92)-(E92+H92))*K92</f>
        <v>-9097.41021452317</v>
      </c>
    </row>
    <row r="112" customFormat="false" ht="15" hidden="false" customHeight="false" outlineLevel="0" collapsed="false">
      <c r="A112" s="2" t="s">
        <v>396</v>
      </c>
      <c r="F112" s="86" t="n">
        <f aca="false">F92-((D92+G92)-(E92+H92))*K92</f>
        <v>-5804.58978547683</v>
      </c>
    </row>
    <row r="113" customFormat="false" ht="15" hidden="false" customHeight="false" outlineLevel="0" collapsed="false">
      <c r="A113" s="2" t="s">
        <v>397</v>
      </c>
      <c r="F113" s="86" t="n">
        <f aca="false">((D92+G92)-(E92+H92))*(1-K92)</f>
        <v>-8746.58978547683</v>
      </c>
    </row>
    <row r="114" customFormat="false" ht="15" hidden="false" customHeight="false" outlineLevel="0" collapsed="false">
      <c r="A114" s="2" t="s">
        <v>398</v>
      </c>
      <c r="F114" s="86" t="n">
        <f aca="false">I92-((D92+G92)-(E92+H92))*(1-K92)</f>
        <v>5804.58978547683</v>
      </c>
    </row>
    <row r="115" customFormat="false" ht="15" hidden="false" customHeight="false" outlineLevel="0" collapsed="false">
      <c r="A115" s="2" t="s">
        <v>399</v>
      </c>
      <c r="F115" s="81" t="n">
        <f aca="false">(F92-((D92+G92)-(E92+H92))*K92)/E92</f>
        <v>-0.038348549096726</v>
      </c>
    </row>
    <row r="116" customFormat="false" ht="15" hidden="false" customHeight="false" outlineLevel="0" collapsed="false">
      <c r="A116" s="2" t="s">
        <v>400</v>
      </c>
      <c r="F116" s="81" t="n">
        <f aca="false">(I92-((D92+G92)-(E92+H92))*(1-K92))/H92</f>
        <v>0.0398866862195801</v>
      </c>
    </row>
    <row r="118" customFormat="false" ht="15" hidden="false" customHeight="false" outlineLevel="0" collapsed="false">
      <c r="U118" s="5" t="s">
        <v>139</v>
      </c>
    </row>
    <row r="119" customFormat="false" ht="28.35" hidden="false" customHeight="false" outlineLevel="0" collapsed="false">
      <c r="U119" s="68" t="s">
        <v>416</v>
      </c>
    </row>
    <row r="120" customFormat="false" ht="15" hidden="false" customHeight="false" outlineLevel="0" collapsed="false">
      <c r="U120" s="68" t="s">
        <v>402</v>
      </c>
    </row>
    <row r="121" customFormat="false" ht="15" hidden="false" customHeight="false" outlineLevel="0" collapsed="false">
      <c r="U121" s="68" t="s">
        <v>417</v>
      </c>
    </row>
    <row r="122" customFormat="false" ht="15" hidden="false" customHeight="false" outlineLevel="0" collapsed="false">
      <c r="U122" s="68" t="s">
        <v>418</v>
      </c>
    </row>
    <row r="123" customFormat="false" ht="28.35" hidden="false" customHeight="false" outlineLevel="0" collapsed="false">
      <c r="U123" s="68" t="s">
        <v>419</v>
      </c>
    </row>
    <row r="124" customFormat="false" ht="28.35" hidden="false" customHeight="false" outlineLevel="0" collapsed="false">
      <c r="U124" s="68" t="s">
        <v>420</v>
      </c>
    </row>
    <row r="125" customFormat="false" ht="28.35" hidden="false" customHeight="false" outlineLevel="0" collapsed="false">
      <c r="U125" s="68" t="s">
        <v>407</v>
      </c>
    </row>
    <row r="126" customFormat="false" ht="41.75" hidden="false" customHeight="false" outlineLevel="0" collapsed="false">
      <c r="U126" s="68" t="s">
        <v>421</v>
      </c>
    </row>
    <row r="127" customFormat="false" ht="15" hidden="false" customHeight="false" outlineLevel="0" collapsed="false">
      <c r="U127" s="68" t="s">
        <v>422</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360</v>
      </c>
      <c r="E1" s="8" t="s">
        <v>361</v>
      </c>
      <c r="F1" s="8" t="s">
        <v>362</v>
      </c>
      <c r="G1" s="8" t="s">
        <v>412</v>
      </c>
      <c r="H1" s="8" t="s">
        <v>364</v>
      </c>
      <c r="I1" s="8" t="s">
        <v>365</v>
      </c>
      <c r="J1" s="8" t="s">
        <v>366</v>
      </c>
      <c r="K1" s="8" t="s">
        <v>367</v>
      </c>
      <c r="L1" s="8" t="s">
        <v>368</v>
      </c>
      <c r="M1" s="8" t="s">
        <v>413</v>
      </c>
      <c r="N1" s="8" t="s">
        <v>414</v>
      </c>
      <c r="O1" s="8" t="s">
        <v>142</v>
      </c>
      <c r="P1" s="8" t="s">
        <v>371</v>
      </c>
      <c r="Q1" s="8" t="s">
        <v>372</v>
      </c>
      <c r="R1" s="8" t="s">
        <v>373</v>
      </c>
      <c r="S1" s="8" t="s">
        <v>374</v>
      </c>
      <c r="T1" s="8" t="s">
        <v>375</v>
      </c>
      <c r="U1" s="8" t="s">
        <v>376</v>
      </c>
    </row>
    <row r="2" customFormat="false" ht="15" hidden="false" customHeight="false" outlineLevel="0" collapsed="false">
      <c r="A2" s="32" t="s">
        <v>162</v>
      </c>
      <c r="B2" s="32" t="s">
        <v>163</v>
      </c>
      <c r="C2" s="32" t="s">
        <v>164</v>
      </c>
      <c r="D2" s="60" t="n">
        <v>143</v>
      </c>
      <c r="E2" s="60" t="n">
        <v>137</v>
      </c>
      <c r="F2" s="69" t="n">
        <f aca="false">IF(E2="","",D2-E2)</f>
        <v>6</v>
      </c>
      <c r="G2" s="60" t="n">
        <v>202</v>
      </c>
      <c r="H2" s="60" t="n">
        <v>249</v>
      </c>
      <c r="I2" s="69" t="n">
        <f aca="false">IF(H2="","",G2-H2)</f>
        <v>-47</v>
      </c>
      <c r="J2" s="40" t="n">
        <f aca="false">IF(OR(D2="",D2+G2=0),"",D2/(D2+G2))</f>
        <v>0.414492753623188</v>
      </c>
      <c r="K2" s="40" t="n">
        <f aca="false">IF(E2="","",E2/(E2+H2))</f>
        <v>0.354922279792746</v>
      </c>
      <c r="L2" s="70" t="n">
        <f aca="false">IF(OR(K2="",J2=""),"",(J2-K2)*100)</f>
        <v>5.95704738304423</v>
      </c>
      <c r="M2" s="36" t="n">
        <v>3.39287279657052</v>
      </c>
      <c r="N2" s="36" t="n">
        <v>2.13740766541741</v>
      </c>
      <c r="O2" s="36" t="n">
        <f aca="false">SQRT(M2^2+N2^2)</f>
        <v>4.00999966856525</v>
      </c>
      <c r="P2" s="40" t="n">
        <f aca="false">IF(J2="","",MAX(0,J2-1.96*O2/100))</f>
        <v>0.33589676011931</v>
      </c>
      <c r="Q2" s="40" t="n">
        <f aca="false">IF(J2="","",MIN(1,J2+1.96*O2/100))</f>
        <v>0.493088747127067</v>
      </c>
      <c r="R2" s="32" t="str">
        <f aca="false">IF(L2="","",IF(ABS(L2)&lt;=O2,"Yes","No"))</f>
        <v>No</v>
      </c>
      <c r="S2" s="32" t="str">
        <f aca="false">IF(L2="","",IF(ABS(L2)&lt;=1.96*O2,"Yes","No"))</f>
        <v>Yes</v>
      </c>
      <c r="T2" s="60" t="n">
        <f aca="false">IF(D2="","",ROUND(SQRT(((D2+G2)*O2/100)^2+(J2*(D2+G2)*0.0534)^2),0))</f>
        <v>16</v>
      </c>
      <c r="U2" s="32"/>
    </row>
    <row r="3" customFormat="false" ht="15" hidden="false" customHeight="false" outlineLevel="0" collapsed="false">
      <c r="A3" s="32" t="s">
        <v>162</v>
      </c>
      <c r="B3" s="32" t="s">
        <v>168</v>
      </c>
      <c r="C3" s="32" t="s">
        <v>164</v>
      </c>
      <c r="D3" s="60" t="n">
        <v>86</v>
      </c>
      <c r="E3" s="60" t="n">
        <v>84</v>
      </c>
      <c r="F3" s="69" t="n">
        <f aca="false">IF(E3="","",D3-E3)</f>
        <v>2</v>
      </c>
      <c r="G3" s="60" t="n">
        <v>192</v>
      </c>
      <c r="H3" s="60" t="n">
        <v>230</v>
      </c>
      <c r="I3" s="69" t="n">
        <f aca="false">IF(H3="","",G3-H3)</f>
        <v>-38</v>
      </c>
      <c r="J3" s="40" t="n">
        <f aca="false">IF(OR(D3="",D3+G3=0),"",D3/(D3+G3))</f>
        <v>0.309352517985612</v>
      </c>
      <c r="K3" s="40" t="n">
        <f aca="false">IF(E3="","",E3/(E3+H3))</f>
        <v>0.267515923566879</v>
      </c>
      <c r="L3" s="70" t="n">
        <f aca="false">IF(OR(K3="",J3=""),"",(J3-K3)*100)</f>
        <v>4.18365944187326</v>
      </c>
      <c r="M3" s="36" t="n">
        <v>3.39287279657052</v>
      </c>
      <c r="N3" s="36" t="n">
        <v>2.13740766541741</v>
      </c>
      <c r="O3" s="36" t="n">
        <f aca="false">SQRT(M3^2+N3^2)</f>
        <v>4.00999966856525</v>
      </c>
      <c r="P3" s="40" t="n">
        <f aca="false">IF(J3="","",MAX(0,J3-1.96*O3/100))</f>
        <v>0.230756524481733</v>
      </c>
      <c r="Q3" s="40" t="n">
        <f aca="false">IF(J3="","",MIN(1,J3+1.96*O3/100))</f>
        <v>0.38794851148949</v>
      </c>
      <c r="R3" s="32" t="str">
        <f aca="false">IF(L3="","",IF(ABS(L3)&lt;=O3,"Yes","No"))</f>
        <v>No</v>
      </c>
      <c r="S3" s="32" t="str">
        <f aca="false">IF(L3="","",IF(ABS(L3)&lt;=1.96*O3,"Yes","No"))</f>
        <v>Yes</v>
      </c>
      <c r="T3" s="60" t="n">
        <f aca="false">IF(D3="","",ROUND(SQRT(((D3+G3)*O3/100)^2+(J3*(D3+G3)*0.0534)^2),0))</f>
        <v>12</v>
      </c>
      <c r="U3" s="32"/>
    </row>
    <row r="4" customFormat="false" ht="15" hidden="false" customHeight="false" outlineLevel="0" collapsed="false">
      <c r="A4" s="32" t="s">
        <v>162</v>
      </c>
      <c r="B4" s="32" t="s">
        <v>169</v>
      </c>
      <c r="C4" s="32" t="s">
        <v>164</v>
      </c>
      <c r="D4" s="60" t="n">
        <v>88</v>
      </c>
      <c r="E4" s="60" t="n">
        <v>125</v>
      </c>
      <c r="F4" s="69" t="n">
        <f aca="false">IF(E4="","",D4-E4)</f>
        <v>-37</v>
      </c>
      <c r="G4" s="60" t="n">
        <v>200</v>
      </c>
      <c r="H4" s="60" t="n">
        <v>223</v>
      </c>
      <c r="I4" s="69" t="n">
        <f aca="false">IF(H4="","",G4-H4)</f>
        <v>-23</v>
      </c>
      <c r="J4" s="40" t="n">
        <f aca="false">IF(OR(D4="",D4+G4=0),"",D4/(D4+G4))</f>
        <v>0.305555555555556</v>
      </c>
      <c r="K4" s="40" t="n">
        <f aca="false">IF(E4="","",E4/(E4+H4))</f>
        <v>0.359195402298851</v>
      </c>
      <c r="L4" s="70" t="n">
        <f aca="false">IF(OR(K4="",J4=""),"",(J4-K4)*100)</f>
        <v>-5.3639846743295</v>
      </c>
      <c r="M4" s="36" t="n">
        <v>3.39287279657052</v>
      </c>
      <c r="N4" s="36" t="n">
        <v>2.13740766541741</v>
      </c>
      <c r="O4" s="36" t="n">
        <f aca="false">SQRT(M4^2+N4^2)</f>
        <v>4.00999966856525</v>
      </c>
      <c r="P4" s="40" t="n">
        <f aca="false">IF(J4="","",MAX(0,J4-1.96*O4/100))</f>
        <v>0.226959562051677</v>
      </c>
      <c r="Q4" s="40" t="n">
        <f aca="false">IF(J4="","",MIN(1,J4+1.96*O4/100))</f>
        <v>0.384151549059434</v>
      </c>
      <c r="R4" s="32" t="str">
        <f aca="false">IF(L4="","",IF(ABS(L4)&lt;=O4,"Yes","No"))</f>
        <v>No</v>
      </c>
      <c r="S4" s="32" t="str">
        <f aca="false">IF(L4="","",IF(ABS(L4)&lt;=1.96*O4,"Yes","No"))</f>
        <v>Yes</v>
      </c>
      <c r="T4" s="60" t="n">
        <f aca="false">IF(D4="","",ROUND(SQRT(((D4+G4)*O4/100)^2+(J4*(D4+G4)*0.0534)^2),0))</f>
        <v>12</v>
      </c>
      <c r="U4" s="32"/>
    </row>
    <row r="5" customFormat="false" ht="15" hidden="false" customHeight="false" outlineLevel="0" collapsed="false">
      <c r="A5" s="32" t="s">
        <v>162</v>
      </c>
      <c r="B5" s="32" t="s">
        <v>170</v>
      </c>
      <c r="C5" s="32" t="s">
        <v>164</v>
      </c>
      <c r="D5" s="60" t="n">
        <v>350</v>
      </c>
      <c r="E5" s="60" t="n">
        <v>372</v>
      </c>
      <c r="F5" s="69" t="n">
        <f aca="false">IF(E5="","",D5-E5)</f>
        <v>-22</v>
      </c>
      <c r="G5" s="60" t="n">
        <v>781</v>
      </c>
      <c r="H5" s="60" t="n">
        <v>925</v>
      </c>
      <c r="I5" s="69" t="n">
        <f aca="false">IF(H5="","",G5-H5)</f>
        <v>-144</v>
      </c>
      <c r="J5" s="40" t="n">
        <f aca="false">IF(OR(D5="",D5+G5=0),"",D5/(D5+G5))</f>
        <v>0.309460654288241</v>
      </c>
      <c r="K5" s="40" t="n">
        <f aca="false">IF(E5="","",E5/(E5+H5))</f>
        <v>0.286815728604472</v>
      </c>
      <c r="L5" s="70" t="n">
        <f aca="false">IF(OR(K5="",J5=""),"",(J5-K5)*100)</f>
        <v>2.26449256837686</v>
      </c>
      <c r="M5" s="36" t="n">
        <v>2.25632701588549</v>
      </c>
      <c r="N5" s="36" t="n">
        <v>2.13740766541741</v>
      </c>
      <c r="O5" s="36" t="n">
        <f aca="false">SQRT(M5^2+N5^2)</f>
        <v>3.10797733756214</v>
      </c>
      <c r="P5" s="40" t="n">
        <f aca="false">IF(J5="","",MAX(0,J5-1.96*O5/100))</f>
        <v>0.248544298472023</v>
      </c>
      <c r="Q5" s="40" t="n">
        <f aca="false">IF(J5="","",MIN(1,J5+1.96*O5/100))</f>
        <v>0.370377010104458</v>
      </c>
      <c r="R5" s="32" t="str">
        <f aca="false">IF(L5="","",IF(ABS(L5)&lt;=O5,"Yes","No"))</f>
        <v>Yes</v>
      </c>
      <c r="S5" s="32" t="str">
        <f aca="false">IF(L5="","",IF(ABS(L5)&lt;=1.96*O5,"Yes","No"))</f>
        <v>Yes</v>
      </c>
      <c r="T5" s="60" t="n">
        <f aca="false">IF(D5="","",ROUND(SQRT(((D5+G5)*O5/100)^2+(J5*(D5+G5)*0.03811)^2),0))</f>
        <v>38</v>
      </c>
      <c r="U5" s="32"/>
    </row>
    <row r="6" customFormat="false" ht="15" hidden="false" customHeight="false" outlineLevel="0" collapsed="false">
      <c r="A6" s="32" t="s">
        <v>162</v>
      </c>
      <c r="B6" s="32" t="s">
        <v>172</v>
      </c>
      <c r="C6" s="32" t="s">
        <v>164</v>
      </c>
      <c r="D6" s="60" t="n">
        <v>32</v>
      </c>
      <c r="E6" s="60" t="n">
        <v>33</v>
      </c>
      <c r="F6" s="69" t="n">
        <f aca="false">IF(E6="","",D6-E6)</f>
        <v>-1</v>
      </c>
      <c r="G6" s="60" t="n">
        <v>44</v>
      </c>
      <c r="H6" s="60" t="n">
        <v>61</v>
      </c>
      <c r="I6" s="69" t="n">
        <f aca="false">IF(H6="","",G6-H6)</f>
        <v>-17</v>
      </c>
      <c r="J6" s="40" t="n">
        <f aca="false">IF(OR(D6="",D6+G6=0),"",D6/(D6+G6))</f>
        <v>0.421052631578947</v>
      </c>
      <c r="K6" s="40" t="n">
        <f aca="false">IF(E6="","",E6/(E6+H6))</f>
        <v>0.351063829787234</v>
      </c>
      <c r="L6" s="70" t="n">
        <f aca="false">IF(OR(K6="",J6=""),"",(J6-K6)*100)</f>
        <v>6.99888017917133</v>
      </c>
      <c r="M6" s="36" t="n">
        <v>3.39287279657052</v>
      </c>
      <c r="N6" s="36" t="n">
        <v>2.13740766541741</v>
      </c>
      <c r="O6" s="36" t="n">
        <f aca="false">SQRT(M6^2+N6^2)</f>
        <v>4.00999966856525</v>
      </c>
      <c r="P6" s="40" t="n">
        <f aca="false">IF(J6="","",MAX(0,J6-1.96*O6/100))</f>
        <v>0.342456638075069</v>
      </c>
      <c r="Q6" s="40" t="n">
        <f aca="false">IF(J6="","",MIN(1,J6+1.96*O6/100))</f>
        <v>0.499648625082826</v>
      </c>
      <c r="R6" s="32" t="str">
        <f aca="false">IF(L6="","",IF(ABS(L6)&lt;=O6,"Yes","No"))</f>
        <v>No</v>
      </c>
      <c r="S6" s="32" t="str">
        <f aca="false">IF(L6="","",IF(ABS(L6)&lt;=1.96*O6,"Yes","No"))</f>
        <v>Yes</v>
      </c>
      <c r="T6" s="60" t="n">
        <f aca="false">IF(D6="","",ROUND(SQRT(((D6+G6)*O6/100)^2+(J6*(D6+G6)*0.0534)^2),0))</f>
        <v>3</v>
      </c>
      <c r="U6" s="32"/>
    </row>
    <row r="7" customFormat="false" ht="15" hidden="false" customHeight="false" outlineLevel="0" collapsed="false">
      <c r="A7" s="32" t="s">
        <v>162</v>
      </c>
      <c r="B7" s="32" t="s">
        <v>173</v>
      </c>
      <c r="C7" s="32" t="s">
        <v>164</v>
      </c>
      <c r="D7" s="60" t="n">
        <v>529</v>
      </c>
      <c r="E7" s="60" t="n">
        <v>560</v>
      </c>
      <c r="F7" s="69" t="n">
        <f aca="false">IF(E7="","",D7-E7)</f>
        <v>-31</v>
      </c>
      <c r="G7" s="60" t="n">
        <v>1200</v>
      </c>
      <c r="H7" s="60" t="n">
        <v>1398</v>
      </c>
      <c r="I7" s="69" t="n">
        <f aca="false">IF(H7="","",G7-H7)</f>
        <v>-198</v>
      </c>
      <c r="J7" s="40" t="n">
        <f aca="false">IF(OR(D7="",D7+G7=0),"",D7/(D7+G7))</f>
        <v>0.305957200694043</v>
      </c>
      <c r="K7" s="40" t="n">
        <f aca="false">IF(E7="","",E7/(E7+H7))</f>
        <v>0.286006128702758</v>
      </c>
      <c r="L7" s="70" t="n">
        <f aca="false">IF(OR(K7="",J7=""),"",(J7-K7)*100)</f>
        <v>1.99510719912849</v>
      </c>
      <c r="M7" s="36" t="n">
        <v>2.25632701588549</v>
      </c>
      <c r="N7" s="36" t="n">
        <v>2.13740766541741</v>
      </c>
      <c r="O7" s="36" t="n">
        <f aca="false">SQRT(M7^2+N7^2)</f>
        <v>3.10797733756214</v>
      </c>
      <c r="P7" s="40" t="n">
        <f aca="false">IF(J7="","",MAX(0,J7-1.96*O7/100))</f>
        <v>0.245040844877825</v>
      </c>
      <c r="Q7" s="40" t="n">
        <f aca="false">IF(J7="","",MIN(1,J7+1.96*O7/100))</f>
        <v>0.366873556510261</v>
      </c>
      <c r="R7" s="32" t="str">
        <f aca="false">IF(L7="","",IF(ABS(L7)&lt;=O7,"Yes","No"))</f>
        <v>Yes</v>
      </c>
      <c r="S7" s="32" t="str">
        <f aca="false">IF(L7="","",IF(ABS(L7)&lt;=1.96*O7,"Yes","No"))</f>
        <v>Yes</v>
      </c>
      <c r="T7" s="60" t="n">
        <f aca="false">IF(D7="","",ROUND(SQRT(((D7+G7)*O7/100)^2+(J7*(D7+G7)*0.03811)^2),0))</f>
        <v>57</v>
      </c>
      <c r="U7" s="32"/>
    </row>
    <row r="8" customFormat="false" ht="15" hidden="false" customHeight="false" outlineLevel="0" collapsed="false">
      <c r="A8" s="32" t="s">
        <v>162</v>
      </c>
      <c r="B8" s="32" t="s">
        <v>174</v>
      </c>
      <c r="C8" s="32" t="s">
        <v>164</v>
      </c>
      <c r="D8" s="60" t="n">
        <v>797</v>
      </c>
      <c r="E8" s="60" t="n">
        <v>979</v>
      </c>
      <c r="F8" s="69" t="n">
        <f aca="false">IF(E8="","",D8-E8)</f>
        <v>-182</v>
      </c>
      <c r="G8" s="60" t="n">
        <v>1054</v>
      </c>
      <c r="H8" s="60" t="n">
        <v>1157</v>
      </c>
      <c r="I8" s="69" t="n">
        <f aca="false">IF(H8="","",G8-H8)</f>
        <v>-103</v>
      </c>
      <c r="J8" s="40" t="n">
        <f aca="false">IF(OR(D8="",D8+G8=0),"",D8/(D8+G8))</f>
        <v>0.430578065910319</v>
      </c>
      <c r="K8" s="40" t="n">
        <f aca="false">IF(E8="","",E8/(E8+H8))</f>
        <v>0.458333333333333</v>
      </c>
      <c r="L8" s="70" t="n">
        <f aca="false">IF(OR(K8="",J8=""),"",(J8-K8)*100)</f>
        <v>-2.77552674230146</v>
      </c>
      <c r="M8" s="36" t="n">
        <v>2.25632701588549</v>
      </c>
      <c r="N8" s="36" t="n">
        <v>2.13740766541741</v>
      </c>
      <c r="O8" s="36" t="n">
        <f aca="false">SQRT(M8^2+N8^2)</f>
        <v>3.10797733756214</v>
      </c>
      <c r="P8" s="40" t="n">
        <f aca="false">IF(J8="","",MAX(0,J8-1.96*O8/100))</f>
        <v>0.369661710094101</v>
      </c>
      <c r="Q8" s="40" t="n">
        <f aca="false">IF(J8="","",MIN(1,J8+1.96*O8/100))</f>
        <v>0.491494421726537</v>
      </c>
      <c r="R8" s="32" t="str">
        <f aca="false">IF(L8="","",IF(ABS(L8)&lt;=O8,"Yes","No"))</f>
        <v>Yes</v>
      </c>
      <c r="S8" s="32" t="str">
        <f aca="false">IF(L8="","",IF(ABS(L8)&lt;=1.96*O8,"Yes","No"))</f>
        <v>Yes</v>
      </c>
      <c r="T8" s="60" t="n">
        <f aca="false">IF(D8="","",ROUND(SQRT(((D8+G8)*O8/100)^2+(J8*(D8+G8)*0.03811)^2),0))</f>
        <v>65</v>
      </c>
      <c r="U8" s="32"/>
    </row>
    <row r="9" customFormat="false" ht="15" hidden="false" customHeight="false" outlineLevel="0" collapsed="false">
      <c r="A9" s="32" t="s">
        <v>162</v>
      </c>
      <c r="B9" s="32" t="s">
        <v>175</v>
      </c>
      <c r="C9" s="32" t="s">
        <v>164</v>
      </c>
      <c r="D9" s="60" t="n">
        <v>281</v>
      </c>
      <c r="E9" s="60" t="n">
        <v>277</v>
      </c>
      <c r="F9" s="69" t="n">
        <f aca="false">IF(E9="","",D9-E9)</f>
        <v>4</v>
      </c>
      <c r="G9" s="60" t="n">
        <v>528</v>
      </c>
      <c r="H9" s="60" t="n">
        <v>560</v>
      </c>
      <c r="I9" s="69" t="n">
        <f aca="false">IF(H9="","",G9-H9)</f>
        <v>-32</v>
      </c>
      <c r="J9" s="40" t="n">
        <f aca="false">IF(OR(D9="",D9+G9=0),"",D9/(D9+G9))</f>
        <v>0.34734239802225</v>
      </c>
      <c r="K9" s="40" t="n">
        <f aca="false">IF(E9="","",E9/(E9+H9))</f>
        <v>0.330943847072879</v>
      </c>
      <c r="L9" s="70" t="n">
        <f aca="false">IF(OR(K9="",J9=""),"",(J9-K9)*100)</f>
        <v>1.63985509493704</v>
      </c>
      <c r="M9" s="36" t="n">
        <v>3.39287279657052</v>
      </c>
      <c r="N9" s="36" t="n">
        <v>2.13740766541741</v>
      </c>
      <c r="O9" s="36" t="n">
        <f aca="false">SQRT(M9^2+N9^2)</f>
        <v>4.00999966856525</v>
      </c>
      <c r="P9" s="40" t="n">
        <f aca="false">IF(J9="","",MAX(0,J9-1.96*O9/100))</f>
        <v>0.268746404518371</v>
      </c>
      <c r="Q9" s="40" t="n">
        <f aca="false">IF(J9="","",MIN(1,J9+1.96*O9/100))</f>
        <v>0.425938391526129</v>
      </c>
      <c r="R9" s="32" t="str">
        <f aca="false">IF(L9="","",IF(ABS(L9)&lt;=O9,"Yes","No"))</f>
        <v>Yes</v>
      </c>
      <c r="S9" s="32" t="str">
        <f aca="false">IF(L9="","",IF(ABS(L9)&lt;=1.96*O9,"Yes","No"))</f>
        <v>Yes</v>
      </c>
      <c r="T9" s="60" t="n">
        <f aca="false">IF(D9="","",ROUND(SQRT(((D9+G9)*O9/100)^2+(J9*(D9+G9)*0.0534)^2),0))</f>
        <v>36</v>
      </c>
      <c r="U9" s="32"/>
    </row>
    <row r="10" customFormat="false" ht="15" hidden="false" customHeight="false" outlineLevel="0" collapsed="false">
      <c r="A10" s="32" t="s">
        <v>162</v>
      </c>
      <c r="B10" s="32" t="s">
        <v>176</v>
      </c>
      <c r="C10" s="32" t="s">
        <v>164</v>
      </c>
      <c r="D10" s="60" t="n">
        <v>398</v>
      </c>
      <c r="E10" s="60" t="n">
        <v>420</v>
      </c>
      <c r="F10" s="69" t="n">
        <f aca="false">IF(E10="","",D10-E10)</f>
        <v>-22</v>
      </c>
      <c r="G10" s="60" t="n">
        <v>513</v>
      </c>
      <c r="H10" s="60" t="n">
        <v>580</v>
      </c>
      <c r="I10" s="69" t="n">
        <f aca="false">IF(H10="","",G10-H10)</f>
        <v>-67</v>
      </c>
      <c r="J10" s="40" t="n">
        <f aca="false">IF(OR(D10="",D10+G10=0),"",D10/(D10+G10))</f>
        <v>0.436882546652031</v>
      </c>
      <c r="K10" s="40" t="n">
        <f aca="false">IF(E10="","",E10/(E10+H10))</f>
        <v>0.42</v>
      </c>
      <c r="L10" s="70" t="n">
        <f aca="false">IF(OR(K10="",J10=""),"",(J10-K10)*100)</f>
        <v>1.68825466520308</v>
      </c>
      <c r="M10" s="36" t="n">
        <v>3.39287279657052</v>
      </c>
      <c r="N10" s="36" t="n">
        <v>2.13740766541741</v>
      </c>
      <c r="O10" s="36" t="n">
        <f aca="false">SQRT(M10^2+N10^2)</f>
        <v>4.00999966856525</v>
      </c>
      <c r="P10" s="40" t="n">
        <f aca="false">IF(J10="","",MAX(0,J10-1.96*O10/100))</f>
        <v>0.358286553148152</v>
      </c>
      <c r="Q10" s="40" t="n">
        <f aca="false">IF(J10="","",MIN(1,J10+1.96*O10/100))</f>
        <v>0.51547854015591</v>
      </c>
      <c r="R10" s="32" t="str">
        <f aca="false">IF(L10="","",IF(ABS(L10)&lt;=O10,"Yes","No"))</f>
        <v>Yes</v>
      </c>
      <c r="S10" s="32" t="str">
        <f aca="false">IF(L10="","",IF(ABS(L10)&lt;=1.96*O10,"Yes","No"))</f>
        <v>Yes</v>
      </c>
      <c r="T10" s="60" t="n">
        <f aca="false">IF(D10="","",ROUND(SQRT(((D10+G10)*O10/100)^2+(J10*(D10+G10)*0.0534)^2),0))</f>
        <v>42</v>
      </c>
      <c r="U10" s="32"/>
    </row>
    <row r="11" customFormat="false" ht="15" hidden="false" customHeight="false" outlineLevel="0" collapsed="false">
      <c r="A11" s="32" t="s">
        <v>162</v>
      </c>
      <c r="B11" s="32" t="s">
        <v>177</v>
      </c>
      <c r="C11" s="32" t="s">
        <v>164</v>
      </c>
      <c r="D11" s="60" t="n">
        <v>29</v>
      </c>
      <c r="E11" s="60" t="n">
        <v>36</v>
      </c>
      <c r="F11" s="69" t="n">
        <f aca="false">IF(E11="","",D11-E11)</f>
        <v>-7</v>
      </c>
      <c r="G11" s="60" t="n">
        <v>62</v>
      </c>
      <c r="H11" s="60" t="n">
        <v>79</v>
      </c>
      <c r="I11" s="69" t="n">
        <f aca="false">IF(H11="","",G11-H11)</f>
        <v>-17</v>
      </c>
      <c r="J11" s="40" t="n">
        <f aca="false">IF(OR(D11="",D11+G11=0),"",D11/(D11+G11))</f>
        <v>0.318681318681319</v>
      </c>
      <c r="K11" s="40" t="n">
        <f aca="false">IF(E11="","",E11/(E11+H11))</f>
        <v>0.31304347826087</v>
      </c>
      <c r="L11" s="70" t="n">
        <f aca="false">IF(OR(K11="",J11=""),"",(J11-K11)*100)</f>
        <v>0.563784042044907</v>
      </c>
      <c r="M11" s="36" t="n">
        <v>3.39287279657052</v>
      </c>
      <c r="N11" s="36" t="n">
        <v>2.13740766541741</v>
      </c>
      <c r="O11" s="36" t="n">
        <f aca="false">SQRT(M11^2+N11^2)</f>
        <v>4.00999966856525</v>
      </c>
      <c r="P11" s="40" t="n">
        <f aca="false">IF(J11="","",MAX(0,J11-1.96*O11/100))</f>
        <v>0.24008532517744</v>
      </c>
      <c r="Q11" s="40" t="n">
        <f aca="false">IF(J11="","",MIN(1,J11+1.96*O11/100))</f>
        <v>0.397277312185197</v>
      </c>
      <c r="R11" s="32" t="str">
        <f aca="false">IF(L11="","",IF(ABS(L11)&lt;=O11,"Yes","No"))</f>
        <v>Yes</v>
      </c>
      <c r="S11" s="32" t="str">
        <f aca="false">IF(L11="","",IF(ABS(L11)&lt;=1.96*O11,"Yes","No"))</f>
        <v>Yes</v>
      </c>
      <c r="T11" s="60" t="n">
        <f aca="false">IF(D11="","",ROUND(SQRT(((D11+G11)*O11/100)^2+(J11*(D11+G11)*0.0534)^2),0))</f>
        <v>4</v>
      </c>
      <c r="U11" s="32"/>
    </row>
    <row r="12" customFormat="false" ht="15" hidden="false" customHeight="false" outlineLevel="0" collapsed="false">
      <c r="A12" s="32" t="s">
        <v>162</v>
      </c>
      <c r="B12" s="32" t="s">
        <v>178</v>
      </c>
      <c r="C12" s="32" t="s">
        <v>164</v>
      </c>
      <c r="D12" s="60" t="n">
        <v>49</v>
      </c>
      <c r="E12" s="60" t="n">
        <v>52</v>
      </c>
      <c r="F12" s="69" t="n">
        <f aca="false">IF(E12="","",D12-E12)</f>
        <v>-3</v>
      </c>
      <c r="G12" s="60" t="n">
        <v>150</v>
      </c>
      <c r="H12" s="60" t="n">
        <v>189</v>
      </c>
      <c r="I12" s="69" t="n">
        <f aca="false">IF(H12="","",G12-H12)</f>
        <v>-39</v>
      </c>
      <c r="J12" s="40" t="n">
        <f aca="false">IF(OR(D12="",D12+G12=0),"",D12/(D12+G12))</f>
        <v>0.246231155778894</v>
      </c>
      <c r="K12" s="40" t="n">
        <f aca="false">IF(E12="","",E12/(E12+H12))</f>
        <v>0.215767634854772</v>
      </c>
      <c r="L12" s="70" t="n">
        <f aca="false">IF(OR(K12="",J12=""),"",(J12-K12)*100)</f>
        <v>3.04635209241227</v>
      </c>
      <c r="M12" s="36" t="n">
        <v>3.39287279657052</v>
      </c>
      <c r="N12" s="36" t="n">
        <v>2.13740766541741</v>
      </c>
      <c r="O12" s="36" t="n">
        <f aca="false">SQRT(M12^2+N12^2)</f>
        <v>4.00999966856525</v>
      </c>
      <c r="P12" s="40" t="n">
        <f aca="false">IF(J12="","",MAX(0,J12-1.96*O12/100))</f>
        <v>0.167635162275016</v>
      </c>
      <c r="Q12" s="40" t="n">
        <f aca="false">IF(J12="","",MIN(1,J12+1.96*O12/100))</f>
        <v>0.324827149282773</v>
      </c>
      <c r="R12" s="32" t="str">
        <f aca="false">IF(L12="","",IF(ABS(L12)&lt;=O12,"Yes","No"))</f>
        <v>Yes</v>
      </c>
      <c r="S12" s="32" t="str">
        <f aca="false">IF(L12="","",IF(ABS(L12)&lt;=1.96*O12,"Yes","No"))</f>
        <v>Yes</v>
      </c>
      <c r="T12" s="60" t="n">
        <f aca="false">IF(D12="","",ROUND(SQRT(((D12+G12)*O12/100)^2+(J12*(D12+G12)*0.0534)^2),0))</f>
        <v>8</v>
      </c>
      <c r="U12" s="32"/>
    </row>
    <row r="13" customFormat="false" ht="15" hidden="false" customHeight="false" outlineLevel="0" collapsed="false">
      <c r="A13" s="32" t="s">
        <v>162</v>
      </c>
      <c r="B13" s="32" t="s">
        <v>179</v>
      </c>
      <c r="C13" s="32" t="s">
        <v>164</v>
      </c>
      <c r="D13" s="60" t="n">
        <v>598</v>
      </c>
      <c r="E13" s="60" t="n">
        <v>719</v>
      </c>
      <c r="F13" s="69" t="n">
        <f aca="false">IF(E13="","",D13-E13)</f>
        <v>-121</v>
      </c>
      <c r="G13" s="60" t="n">
        <v>878</v>
      </c>
      <c r="H13" s="60" t="n">
        <v>948</v>
      </c>
      <c r="I13" s="69" t="n">
        <f aca="false">IF(H13="","",G13-H13)</f>
        <v>-70</v>
      </c>
      <c r="J13" s="40" t="n">
        <f aca="false">IF(OR(D13="",D13+G13=0),"",D13/(D13+G13))</f>
        <v>0.405149051490515</v>
      </c>
      <c r="K13" s="40" t="n">
        <f aca="false">IF(E13="","",E13/(E13+H13))</f>
        <v>0.43131373725255</v>
      </c>
      <c r="L13" s="70" t="n">
        <f aca="false">IF(OR(K13="",J13=""),"",(J13-K13)*100)</f>
        <v>-2.61646857620346</v>
      </c>
      <c r="M13" s="36" t="n">
        <v>2.25632701588549</v>
      </c>
      <c r="N13" s="36" t="n">
        <v>2.13740766541741</v>
      </c>
      <c r="O13" s="36" t="n">
        <f aca="false">SQRT(M13^2+N13^2)</f>
        <v>3.10797733756214</v>
      </c>
      <c r="P13" s="40" t="n">
        <f aca="false">IF(J13="","",MAX(0,J13-1.96*O13/100))</f>
        <v>0.344232695674297</v>
      </c>
      <c r="Q13" s="40" t="n">
        <f aca="false">IF(J13="","",MIN(1,J13+1.96*O13/100))</f>
        <v>0.466065407306733</v>
      </c>
      <c r="R13" s="32" t="str">
        <f aca="false">IF(L13="","",IF(ABS(L13)&lt;=O13,"Yes","No"))</f>
        <v>Yes</v>
      </c>
      <c r="S13" s="32" t="str">
        <f aca="false">IF(L13="","",IF(ABS(L13)&lt;=1.96*O13,"Yes","No"))</f>
        <v>Yes</v>
      </c>
      <c r="T13" s="60" t="n">
        <f aca="false">IF(D13="","",ROUND(SQRT(((D13+G13)*O13/100)^2+(J13*(D13+G13)*0.03811)^2),0))</f>
        <v>51</v>
      </c>
      <c r="U13" s="32"/>
    </row>
    <row r="14" customFormat="false" ht="15" hidden="false" customHeight="false" outlineLevel="0" collapsed="false">
      <c r="A14" s="32" t="s">
        <v>162</v>
      </c>
      <c r="B14" s="32" t="s">
        <v>180</v>
      </c>
      <c r="C14" s="32" t="s">
        <v>164</v>
      </c>
      <c r="D14" s="60" t="n">
        <v>383</v>
      </c>
      <c r="E14" s="60" t="n">
        <v>430</v>
      </c>
      <c r="F14" s="69" t="n">
        <f aca="false">IF(E14="","",D14-E14)</f>
        <v>-47</v>
      </c>
      <c r="G14" s="60" t="n">
        <v>773</v>
      </c>
      <c r="H14" s="60" t="n">
        <v>916</v>
      </c>
      <c r="I14" s="69" t="n">
        <f aca="false">IF(H14="","",G14-H14)</f>
        <v>-143</v>
      </c>
      <c r="J14" s="40" t="n">
        <f aca="false">IF(OR(D14="",D14+G14=0),"",D14/(D14+G14))</f>
        <v>0.331314878892734</v>
      </c>
      <c r="K14" s="40" t="n">
        <f aca="false">IF(E14="","",E14/(E14+H14))</f>
        <v>0.319465081723626</v>
      </c>
      <c r="L14" s="70" t="n">
        <f aca="false">IF(OR(K14="",J14=""),"",(J14-K14)*100)</f>
        <v>1.18497971691081</v>
      </c>
      <c r="M14" s="36" t="n">
        <v>2.25632701588549</v>
      </c>
      <c r="N14" s="36" t="n">
        <v>2.13740766541741</v>
      </c>
      <c r="O14" s="36" t="n">
        <f aca="false">SQRT(M14^2+N14^2)</f>
        <v>3.10797733756214</v>
      </c>
      <c r="P14" s="40" t="n">
        <f aca="false">IF(J14="","",MAX(0,J14-1.96*O14/100))</f>
        <v>0.270398523076516</v>
      </c>
      <c r="Q14" s="40" t="n">
        <f aca="false">IF(J14="","",MIN(1,J14+1.96*O14/100))</f>
        <v>0.392231234708952</v>
      </c>
      <c r="R14" s="32" t="str">
        <f aca="false">IF(L14="","",IF(ABS(L14)&lt;=O14,"Yes","No"))</f>
        <v>Yes</v>
      </c>
      <c r="S14" s="32" t="str">
        <f aca="false">IF(L14="","",IF(ABS(L14)&lt;=1.96*O14,"Yes","No"))</f>
        <v>Yes</v>
      </c>
      <c r="T14" s="60" t="n">
        <f aca="false">IF(D14="","",ROUND(SQRT(((D14+G14)*O14/100)^2+(J14*(D14+G14)*0.03811)^2),0))</f>
        <v>39</v>
      </c>
      <c r="U14" s="32"/>
    </row>
    <row r="15" customFormat="false" ht="15" hidden="false" customHeight="false" outlineLevel="0" collapsed="false">
      <c r="A15" s="32" t="s">
        <v>162</v>
      </c>
      <c r="B15" s="32" t="s">
        <v>181</v>
      </c>
      <c r="C15" s="32" t="s">
        <v>164</v>
      </c>
      <c r="D15" s="60" t="n">
        <v>470</v>
      </c>
      <c r="E15" s="60" t="n">
        <v>546</v>
      </c>
      <c r="F15" s="69" t="n">
        <f aca="false">IF(E15="","",D15-E15)</f>
        <v>-76</v>
      </c>
      <c r="G15" s="60" t="n">
        <v>1089</v>
      </c>
      <c r="H15" s="60" t="n">
        <v>1227</v>
      </c>
      <c r="I15" s="69" t="n">
        <f aca="false">IF(H15="","",G15-H15)</f>
        <v>-138</v>
      </c>
      <c r="J15" s="40" t="n">
        <f aca="false">IF(OR(D15="",D15+G15=0),"",D15/(D15+G15))</f>
        <v>0.301475304682489</v>
      </c>
      <c r="K15" s="40" t="n">
        <f aca="false">IF(E15="","",E15/(E15+H15))</f>
        <v>0.307952622673435</v>
      </c>
      <c r="L15" s="70" t="n">
        <f aca="false">IF(OR(K15="",J15=""),"",(J15-K15)*100)</f>
        <v>-0.647731799094609</v>
      </c>
      <c r="M15" s="36" t="n">
        <v>2.25632701588549</v>
      </c>
      <c r="N15" s="36" t="n">
        <v>2.13740766541741</v>
      </c>
      <c r="O15" s="36" t="n">
        <f aca="false">SQRT(M15^2+N15^2)</f>
        <v>3.10797733756214</v>
      </c>
      <c r="P15" s="40" t="n">
        <f aca="false">IF(J15="","",MAX(0,J15-1.96*O15/100))</f>
        <v>0.240558948866271</v>
      </c>
      <c r="Q15" s="40" t="n">
        <f aca="false">IF(J15="","",MIN(1,J15+1.96*O15/100))</f>
        <v>0.362391660498707</v>
      </c>
      <c r="R15" s="32" t="str">
        <f aca="false">IF(L15="","",IF(ABS(L15)&lt;=O15,"Yes","No"))</f>
        <v>Yes</v>
      </c>
      <c r="S15" s="32" t="str">
        <f aca="false">IF(L15="","",IF(ABS(L15)&lt;=1.96*O15,"Yes","No"))</f>
        <v>Yes</v>
      </c>
      <c r="T15" s="60" t="n">
        <f aca="false">IF(D15="","",ROUND(SQRT(((D15+G15)*O15/100)^2+(J15*(D15+G15)*0.03811)^2),0))</f>
        <v>52</v>
      </c>
      <c r="U15" s="32"/>
    </row>
    <row r="16" customFormat="false" ht="15" hidden="false" customHeight="false" outlineLevel="0" collapsed="false">
      <c r="A16" s="32" t="s">
        <v>162</v>
      </c>
      <c r="B16" s="32" t="s">
        <v>182</v>
      </c>
      <c r="C16" s="32" t="s">
        <v>164</v>
      </c>
      <c r="D16" s="60" t="n">
        <v>423</v>
      </c>
      <c r="E16" s="60" t="n">
        <v>488</v>
      </c>
      <c r="F16" s="69" t="n">
        <f aca="false">IF(E16="","",D16-E16)</f>
        <v>-65</v>
      </c>
      <c r="G16" s="60" t="n">
        <v>600</v>
      </c>
      <c r="H16" s="60" t="n">
        <v>706</v>
      </c>
      <c r="I16" s="69" t="n">
        <f aca="false">IF(H16="","",G16-H16)</f>
        <v>-106</v>
      </c>
      <c r="J16" s="40" t="n">
        <f aca="false">IF(OR(D16="",D16+G16=0),"",D16/(D16+G16))</f>
        <v>0.413489736070381</v>
      </c>
      <c r="K16" s="40" t="n">
        <f aca="false">IF(E16="","",E16/(E16+H16))</f>
        <v>0.408710217755444</v>
      </c>
      <c r="L16" s="70" t="n">
        <f aca="false">IF(OR(K16="",J16=""),"",(J16-K16)*100)</f>
        <v>0.477951831493739</v>
      </c>
      <c r="M16" s="36" t="n">
        <v>3.39287279657052</v>
      </c>
      <c r="N16" s="36" t="n">
        <v>2.13740766541741</v>
      </c>
      <c r="O16" s="36" t="n">
        <f aca="false">SQRT(M16^2+N16^2)</f>
        <v>4.00999966856525</v>
      </c>
      <c r="P16" s="40" t="n">
        <f aca="false">IF(J16="","",MAX(0,J16-1.96*O16/100))</f>
        <v>0.334893742566502</v>
      </c>
      <c r="Q16" s="40" t="n">
        <f aca="false">IF(J16="","",MIN(1,J16+1.96*O16/100))</f>
        <v>0.49208572957426</v>
      </c>
      <c r="R16" s="32" t="str">
        <f aca="false">IF(L16="","",IF(ABS(L16)&lt;=O16,"Yes","No"))</f>
        <v>Yes</v>
      </c>
      <c r="S16" s="32" t="str">
        <f aca="false">IF(L16="","",IF(ABS(L16)&lt;=1.96*O16,"Yes","No"))</f>
        <v>Yes</v>
      </c>
      <c r="T16" s="60" t="n">
        <f aca="false">IF(D16="","",ROUND(SQRT(((D16+G16)*O16/100)^2+(J16*(D16+G16)*0.0534)^2),0))</f>
        <v>47</v>
      </c>
      <c r="U16" s="32"/>
    </row>
    <row r="17" customFormat="false" ht="15" hidden="false" customHeight="false" outlineLevel="0" collapsed="false">
      <c r="A17" s="32" t="s">
        <v>162</v>
      </c>
      <c r="B17" s="32" t="s">
        <v>183</v>
      </c>
      <c r="C17" s="32" t="s">
        <v>164</v>
      </c>
      <c r="D17" s="60" t="n">
        <v>121</v>
      </c>
      <c r="E17" s="60" t="n">
        <v>96</v>
      </c>
      <c r="F17" s="69" t="n">
        <f aca="false">IF(E17="","",D17-E17)</f>
        <v>25</v>
      </c>
      <c r="G17" s="60" t="n">
        <v>371</v>
      </c>
      <c r="H17" s="60" t="n">
        <v>444</v>
      </c>
      <c r="I17" s="69" t="n">
        <f aca="false">IF(H17="","",G17-H17)</f>
        <v>-73</v>
      </c>
      <c r="J17" s="40" t="n">
        <f aca="false">IF(OR(D17="",D17+G17=0),"",D17/(D17+G17))</f>
        <v>0.245934959349594</v>
      </c>
      <c r="K17" s="40" t="n">
        <f aca="false">IF(E17="","",E17/(E17+H17))</f>
        <v>0.177777777777778</v>
      </c>
      <c r="L17" s="70" t="n">
        <f aca="false">IF(OR(K17="",J17=""),"",(J17-K17)*100)</f>
        <v>6.81571815718157</v>
      </c>
      <c r="M17" s="36" t="n">
        <v>3.39287279657052</v>
      </c>
      <c r="N17" s="36" t="n">
        <v>2.13740766541741</v>
      </c>
      <c r="O17" s="36" t="n">
        <f aca="false">SQRT(M17^2+N17^2)</f>
        <v>4.00999966856525</v>
      </c>
      <c r="P17" s="40" t="n">
        <f aca="false">IF(J17="","",MAX(0,J17-1.96*O17/100))</f>
        <v>0.167338965845715</v>
      </c>
      <c r="Q17" s="40" t="n">
        <f aca="false">IF(J17="","",MIN(1,J17+1.96*O17/100))</f>
        <v>0.324530952853472</v>
      </c>
      <c r="R17" s="32" t="str">
        <f aca="false">IF(L17="","",IF(ABS(L17)&lt;=O17,"Yes","No"))</f>
        <v>No</v>
      </c>
      <c r="S17" s="32" t="str">
        <f aca="false">IF(L17="","",IF(ABS(L17)&lt;=1.96*O17,"Yes","No"))</f>
        <v>Yes</v>
      </c>
      <c r="T17" s="60" t="n">
        <f aca="false">IF(D17="","",ROUND(SQRT(((D17+G17)*O17/100)^2+(J17*(D17+G17)*0.0534)^2),0))</f>
        <v>21</v>
      </c>
      <c r="U17" s="32"/>
    </row>
    <row r="18" customFormat="false" ht="15" hidden="false" customHeight="false" outlineLevel="0" collapsed="false">
      <c r="A18" s="32" t="s">
        <v>162</v>
      </c>
      <c r="B18" s="32" t="s">
        <v>184</v>
      </c>
      <c r="C18" s="32" t="s">
        <v>164</v>
      </c>
      <c r="D18" s="60" t="n">
        <v>659</v>
      </c>
      <c r="E18" s="60" t="n">
        <v>737</v>
      </c>
      <c r="F18" s="69" t="n">
        <f aca="false">IF(E18="","",D18-E18)</f>
        <v>-78</v>
      </c>
      <c r="G18" s="60" t="n">
        <v>1075</v>
      </c>
      <c r="H18" s="60" t="n">
        <v>1172</v>
      </c>
      <c r="I18" s="69" t="n">
        <f aca="false">IF(H18="","",G18-H18)</f>
        <v>-97</v>
      </c>
      <c r="J18" s="40" t="n">
        <f aca="false">IF(OR(D18="",D18+G18=0),"",D18/(D18+G18))</f>
        <v>0.380046136101499</v>
      </c>
      <c r="K18" s="40" t="n">
        <f aca="false">IF(E18="","",E18/(E18+H18))</f>
        <v>0.386066003143007</v>
      </c>
      <c r="L18" s="70" t="n">
        <f aca="false">IF(OR(K18="",J18=""),"",(J18-K18)*100)</f>
        <v>-0.601986704150742</v>
      </c>
      <c r="M18" s="36" t="n">
        <v>2.25632701588549</v>
      </c>
      <c r="N18" s="36" t="n">
        <v>2.13740766541741</v>
      </c>
      <c r="O18" s="36" t="n">
        <f aca="false">SQRT(M18^2+N18^2)</f>
        <v>3.10797733756214</v>
      </c>
      <c r="P18" s="40" t="n">
        <f aca="false">IF(J18="","",MAX(0,J18-1.96*O18/100))</f>
        <v>0.319129780285281</v>
      </c>
      <c r="Q18" s="40" t="n">
        <f aca="false">IF(J18="","",MIN(1,J18+1.96*O18/100))</f>
        <v>0.440962491917717</v>
      </c>
      <c r="R18" s="32" t="str">
        <f aca="false">IF(L18="","",IF(ABS(L18)&lt;=O18,"Yes","No"))</f>
        <v>Yes</v>
      </c>
      <c r="S18" s="32" t="str">
        <f aca="false">IF(L18="","",IF(ABS(L18)&lt;=1.96*O18,"Yes","No"))</f>
        <v>Yes</v>
      </c>
      <c r="T18" s="60" t="n">
        <f aca="false">IF(D18="","",ROUND(SQRT(((D18+G18)*O18/100)^2+(J18*(D18+G18)*0.03811)^2),0))</f>
        <v>59</v>
      </c>
      <c r="U18" s="32"/>
    </row>
    <row r="19" customFormat="false" ht="15" hidden="false" customHeight="false" outlineLevel="0" collapsed="false">
      <c r="A19" s="32" t="s">
        <v>162</v>
      </c>
      <c r="B19" s="32" t="s">
        <v>185</v>
      </c>
      <c r="C19" s="32" t="s">
        <v>164</v>
      </c>
      <c r="D19" s="60" t="n">
        <v>54</v>
      </c>
      <c r="E19" s="60" t="n">
        <v>51</v>
      </c>
      <c r="F19" s="69" t="n">
        <f aca="false">IF(E19="","",D19-E19)</f>
        <v>3</v>
      </c>
      <c r="G19" s="60" t="n">
        <v>121</v>
      </c>
      <c r="H19" s="60" t="n">
        <v>136</v>
      </c>
      <c r="I19" s="69" t="n">
        <f aca="false">IF(H19="","",G19-H19)</f>
        <v>-15</v>
      </c>
      <c r="J19" s="40" t="n">
        <f aca="false">IF(OR(D19="",D19+G19=0),"",D19/(D19+G19))</f>
        <v>0.308571428571429</v>
      </c>
      <c r="K19" s="40" t="n">
        <f aca="false">IF(E19="","",E19/(E19+H19))</f>
        <v>0.272727272727273</v>
      </c>
      <c r="L19" s="70" t="n">
        <f aca="false">IF(OR(K19="",J19=""),"",(J19-K19)*100)</f>
        <v>3.58441558441558</v>
      </c>
      <c r="M19" s="36" t="n">
        <v>3.39287279657052</v>
      </c>
      <c r="N19" s="36" t="n">
        <v>2.13740766541741</v>
      </c>
      <c r="O19" s="36" t="n">
        <f aca="false">SQRT(M19^2+N19^2)</f>
        <v>4.00999966856525</v>
      </c>
      <c r="P19" s="40" t="n">
        <f aca="false">IF(J19="","",MAX(0,J19-1.96*O19/100))</f>
        <v>0.22997543506755</v>
      </c>
      <c r="Q19" s="40" t="n">
        <f aca="false">IF(J19="","",MIN(1,J19+1.96*O19/100))</f>
        <v>0.387167422075307</v>
      </c>
      <c r="R19" s="32" t="str">
        <f aca="false">IF(L19="","",IF(ABS(L19)&lt;=O19,"Yes","No"))</f>
        <v>Yes</v>
      </c>
      <c r="S19" s="32" t="str">
        <f aca="false">IF(L19="","",IF(ABS(L19)&lt;=1.96*O19,"Yes","No"))</f>
        <v>Yes</v>
      </c>
      <c r="T19" s="60" t="n">
        <f aca="false">IF(D19="","",ROUND(SQRT(((D19+G19)*O19/100)^2+(J19*(D19+G19)*0.0534)^2),0))</f>
        <v>8</v>
      </c>
      <c r="U19" s="32"/>
    </row>
    <row r="20" customFormat="false" ht="15" hidden="false" customHeight="false" outlineLevel="0" collapsed="false">
      <c r="A20" s="32" t="s">
        <v>162</v>
      </c>
      <c r="B20" s="32" t="s">
        <v>186</v>
      </c>
      <c r="C20" s="32" t="s">
        <v>164</v>
      </c>
      <c r="D20" s="60" t="n">
        <v>1403</v>
      </c>
      <c r="E20" s="60" t="n">
        <v>1574</v>
      </c>
      <c r="F20" s="69" t="n">
        <f aca="false">IF(E20="","",D20-E20)</f>
        <v>-171</v>
      </c>
      <c r="G20" s="60" t="n">
        <v>2241</v>
      </c>
      <c r="H20" s="60" t="n">
        <v>2750</v>
      </c>
      <c r="I20" s="69" t="n">
        <f aca="false">IF(H20="","",G20-H20)</f>
        <v>-509</v>
      </c>
      <c r="J20" s="40" t="n">
        <f aca="false">IF(OR(D20="",D20+G20=0),"",D20/(D20+G20))</f>
        <v>0.385016465422613</v>
      </c>
      <c r="K20" s="40" t="n">
        <f aca="false">IF(E20="","",E20/(E20+H20))</f>
        <v>0.364014801110083</v>
      </c>
      <c r="L20" s="70" t="n">
        <f aca="false">IF(OR(K20="",J20=""),"",(J20-K20)*100)</f>
        <v>2.10016643125293</v>
      </c>
      <c r="M20" s="36" t="n">
        <v>1.23966092899928</v>
      </c>
      <c r="N20" s="36" t="n">
        <v>2.13740766541741</v>
      </c>
      <c r="O20" s="36" t="n">
        <f aca="false">SQRT(M20^2+N20^2)</f>
        <v>2.47088460820664</v>
      </c>
      <c r="P20" s="40" t="n">
        <f aca="false">IF(J20="","",MAX(0,J20-1.96*O20/100))</f>
        <v>0.336587127101762</v>
      </c>
      <c r="Q20" s="40" t="n">
        <f aca="false">IF(J20="","",MIN(1,J20+1.96*O20/100))</f>
        <v>0.433445803743463</v>
      </c>
      <c r="R20" s="32" t="str">
        <f aca="false">IF(L20="","",IF(ABS(L20)&lt;=O20,"Yes","No"))</f>
        <v>Yes</v>
      </c>
      <c r="S20" s="32" t="str">
        <f aca="false">IF(L20="","",IF(ABS(L20)&lt;=1.96*O20,"Yes","No"))</f>
        <v>Yes</v>
      </c>
      <c r="T20" s="60" t="n">
        <f aca="false">IF(D20="","",ROUND(SQRT(((D20+G20)*O20/100)^2+(J20*(D20+G20)*0.02225)^2),0))</f>
        <v>95</v>
      </c>
      <c r="U20" s="32"/>
    </row>
    <row r="21" customFormat="false" ht="15" hidden="false" customHeight="false" outlineLevel="0" collapsed="false">
      <c r="A21" s="32" t="s">
        <v>162</v>
      </c>
      <c r="B21" s="32" t="s">
        <v>188</v>
      </c>
      <c r="C21" s="32" t="s">
        <v>164</v>
      </c>
      <c r="D21" s="60" t="n">
        <v>502</v>
      </c>
      <c r="E21" s="60" t="n">
        <v>557</v>
      </c>
      <c r="F21" s="69" t="n">
        <f aca="false">IF(E21="","",D21-E21)</f>
        <v>-55</v>
      </c>
      <c r="G21" s="60" t="n">
        <v>642</v>
      </c>
      <c r="H21" s="60" t="n">
        <v>678</v>
      </c>
      <c r="I21" s="69" t="n">
        <f aca="false">IF(H21="","",G21-H21)</f>
        <v>-36</v>
      </c>
      <c r="J21" s="40" t="n">
        <f aca="false">IF(OR(D21="",D21+G21=0),"",D21/(D21+G21))</f>
        <v>0.438811188811189</v>
      </c>
      <c r="K21" s="40" t="n">
        <f aca="false">IF(E21="","",E21/(E21+H21))</f>
        <v>0.451012145748988</v>
      </c>
      <c r="L21" s="70" t="n">
        <f aca="false">IF(OR(K21="",J21=""),"",(J21-K21)*100)</f>
        <v>-1.2200956937799</v>
      </c>
      <c r="M21" s="36" t="n">
        <v>2.25632701588549</v>
      </c>
      <c r="N21" s="36" t="n">
        <v>2.13740766541741</v>
      </c>
      <c r="O21" s="36" t="n">
        <f aca="false">SQRT(M21^2+N21^2)</f>
        <v>3.10797733756214</v>
      </c>
      <c r="P21" s="40" t="n">
        <f aca="false">IF(J21="","",MAX(0,J21-1.96*O21/100))</f>
        <v>0.377894832994971</v>
      </c>
      <c r="Q21" s="40" t="n">
        <f aca="false">IF(J21="","",MIN(1,J21+1.96*O21/100))</f>
        <v>0.499727544627407</v>
      </c>
      <c r="R21" s="32" t="str">
        <f aca="false">IF(L21="","",IF(ABS(L21)&lt;=O21,"Yes","No"))</f>
        <v>Yes</v>
      </c>
      <c r="S21" s="32" t="str">
        <f aca="false">IF(L21="","",IF(ABS(L21)&lt;=1.96*O21,"Yes","No"))</f>
        <v>Yes</v>
      </c>
      <c r="T21" s="60" t="n">
        <f aca="false">IF(D21="","",ROUND(SQRT(((D21+G21)*O21/100)^2+(J21*(D21+G21)*0.03811)^2),0))</f>
        <v>40</v>
      </c>
      <c r="U21" s="32"/>
    </row>
    <row r="22" customFormat="false" ht="15" hidden="false" customHeight="false" outlineLevel="0" collapsed="false">
      <c r="A22" s="32" t="s">
        <v>162</v>
      </c>
      <c r="B22" s="32" t="s">
        <v>189</v>
      </c>
      <c r="C22" s="32" t="s">
        <v>164</v>
      </c>
      <c r="D22" s="60" t="n">
        <v>569</v>
      </c>
      <c r="E22" s="60" t="n">
        <v>625</v>
      </c>
      <c r="F22" s="69" t="n">
        <f aca="false">IF(E22="","",D22-E22)</f>
        <v>-56</v>
      </c>
      <c r="G22" s="60" t="n">
        <v>1278</v>
      </c>
      <c r="H22" s="60" t="n">
        <v>1506</v>
      </c>
      <c r="I22" s="69" t="n">
        <f aca="false">IF(H22="","",G22-H22)</f>
        <v>-228</v>
      </c>
      <c r="J22" s="40" t="n">
        <f aca="false">IF(OR(D22="",D22+G22=0),"",D22/(D22+G22))</f>
        <v>0.308067135896048</v>
      </c>
      <c r="K22" s="40" t="n">
        <f aca="false">IF(E22="","",E22/(E22+H22))</f>
        <v>0.293289535429376</v>
      </c>
      <c r="L22" s="70" t="n">
        <f aca="false">IF(OR(K22="",J22=""),"",(J22-K22)*100)</f>
        <v>1.47776004666718</v>
      </c>
      <c r="M22" s="36" t="n">
        <v>2.25632701588549</v>
      </c>
      <c r="N22" s="36" t="n">
        <v>2.13740766541741</v>
      </c>
      <c r="O22" s="36" t="n">
        <f aca="false">SQRT(M22^2+N22^2)</f>
        <v>3.10797733756214</v>
      </c>
      <c r="P22" s="40" t="n">
        <f aca="false">IF(J22="","",MAX(0,J22-1.96*O22/100))</f>
        <v>0.24715078007983</v>
      </c>
      <c r="Q22" s="40" t="n">
        <f aca="false">IF(J22="","",MIN(1,J22+1.96*O22/100))</f>
        <v>0.368983491712266</v>
      </c>
      <c r="R22" s="32" t="str">
        <f aca="false">IF(L22="","",IF(ABS(L22)&lt;=O22,"Yes","No"))</f>
        <v>Yes</v>
      </c>
      <c r="S22" s="32" t="str">
        <f aca="false">IF(L22="","",IF(ABS(L22)&lt;=1.96*O22,"Yes","No"))</f>
        <v>Yes</v>
      </c>
      <c r="T22" s="60" t="n">
        <f aca="false">IF(D22="","",ROUND(SQRT(((D22+G22)*O22/100)^2+(J22*(D22+G22)*0.03811)^2),0))</f>
        <v>61</v>
      </c>
      <c r="U22" s="32"/>
    </row>
    <row r="23" customFormat="false" ht="15" hidden="false" customHeight="false" outlineLevel="0" collapsed="false">
      <c r="A23" s="32" t="s">
        <v>162</v>
      </c>
      <c r="B23" s="32" t="s">
        <v>190</v>
      </c>
      <c r="C23" s="32" t="s">
        <v>164</v>
      </c>
      <c r="D23" s="60" t="n">
        <v>261</v>
      </c>
      <c r="E23" s="60" t="n">
        <v>245</v>
      </c>
      <c r="F23" s="69" t="n">
        <f aca="false">IF(E23="","",D23-E23)</f>
        <v>16</v>
      </c>
      <c r="G23" s="60" t="n">
        <v>589</v>
      </c>
      <c r="H23" s="60" t="n">
        <v>656</v>
      </c>
      <c r="I23" s="69" t="n">
        <f aca="false">IF(H23="","",G23-H23)</f>
        <v>-67</v>
      </c>
      <c r="J23" s="40" t="n">
        <f aca="false">IF(OR(D23="",D23+G23=0),"",D23/(D23+G23))</f>
        <v>0.307058823529412</v>
      </c>
      <c r="K23" s="40" t="n">
        <f aca="false">IF(E23="","",E23/(E23+H23))</f>
        <v>0.271920088790233</v>
      </c>
      <c r="L23" s="70" t="n">
        <f aca="false">IF(OR(K23="",J23=""),"",(J23-K23)*100)</f>
        <v>3.51387347391787</v>
      </c>
      <c r="M23" s="36" t="n">
        <v>3.39287279657052</v>
      </c>
      <c r="N23" s="36" t="n">
        <v>2.13740766541741</v>
      </c>
      <c r="O23" s="36" t="n">
        <f aca="false">SQRT(M23^2+N23^2)</f>
        <v>4.00999966856525</v>
      </c>
      <c r="P23" s="40" t="n">
        <f aca="false">IF(J23="","",MAX(0,J23-1.96*O23/100))</f>
        <v>0.228462830025533</v>
      </c>
      <c r="Q23" s="40" t="n">
        <f aca="false">IF(J23="","",MIN(1,J23+1.96*O23/100))</f>
        <v>0.385654817033291</v>
      </c>
      <c r="R23" s="32" t="str">
        <f aca="false">IF(L23="","",IF(ABS(L23)&lt;=O23,"Yes","No"))</f>
        <v>Yes</v>
      </c>
      <c r="S23" s="32" t="str">
        <f aca="false">IF(L23="","",IF(ABS(L23)&lt;=1.96*O23,"Yes","No"))</f>
        <v>Yes</v>
      </c>
      <c r="T23" s="60" t="n">
        <f aca="false">IF(D23="","",ROUND(SQRT(((D23+G23)*O23/100)^2+(J23*(D23+G23)*0.0534)^2),0))</f>
        <v>37</v>
      </c>
      <c r="U23" s="32"/>
    </row>
    <row r="24" customFormat="false" ht="15" hidden="false" customHeight="false" outlineLevel="0" collapsed="false">
      <c r="A24" s="32" t="s">
        <v>162</v>
      </c>
      <c r="B24" s="32" t="s">
        <v>191</v>
      </c>
      <c r="C24" s="32" t="s">
        <v>164</v>
      </c>
      <c r="D24" s="60" t="n">
        <v>37</v>
      </c>
      <c r="E24" s="60" t="n">
        <v>46</v>
      </c>
      <c r="F24" s="69" t="n">
        <f aca="false">IF(E24="","",D24-E24)</f>
        <v>-9</v>
      </c>
      <c r="G24" s="60" t="n">
        <v>55</v>
      </c>
      <c r="H24" s="60" t="n">
        <v>54</v>
      </c>
      <c r="I24" s="69" t="n">
        <f aca="false">IF(H24="","",G24-H24)</f>
        <v>1</v>
      </c>
      <c r="J24" s="40" t="n">
        <f aca="false">IF(OR(D24="",D24+G24=0),"",D24/(D24+G24))</f>
        <v>0.402173913043478</v>
      </c>
      <c r="K24" s="40" t="n">
        <f aca="false">IF(E24="","",E24/(E24+H24))</f>
        <v>0.46</v>
      </c>
      <c r="L24" s="70" t="n">
        <f aca="false">IF(OR(K24="",J24=""),"",(J24-K24)*100)</f>
        <v>-5.78260869565218</v>
      </c>
      <c r="M24" s="36" t="n">
        <v>3.39287279657052</v>
      </c>
      <c r="N24" s="36" t="n">
        <v>2.13740766541741</v>
      </c>
      <c r="O24" s="36" t="n">
        <f aca="false">SQRT(M24^2+N24^2)</f>
        <v>4.00999966856525</v>
      </c>
      <c r="P24" s="40" t="n">
        <f aca="false">IF(J24="","",MAX(0,J24-1.96*O24/100))</f>
        <v>0.323577919539599</v>
      </c>
      <c r="Q24" s="40" t="n">
        <f aca="false">IF(J24="","",MIN(1,J24+1.96*O24/100))</f>
        <v>0.480769906547357</v>
      </c>
      <c r="R24" s="32" t="str">
        <f aca="false">IF(L24="","",IF(ABS(L24)&lt;=O24,"Yes","No"))</f>
        <v>No</v>
      </c>
      <c r="S24" s="32" t="str">
        <f aca="false">IF(L24="","",IF(ABS(L24)&lt;=1.96*O24,"Yes","No"))</f>
        <v>Yes</v>
      </c>
      <c r="T24" s="60" t="n">
        <f aca="false">IF(D24="","",ROUND(SQRT(((D24+G24)*O24/100)^2+(J24*(D24+G24)*0.0534)^2),0))</f>
        <v>4</v>
      </c>
      <c r="U24" s="32"/>
    </row>
    <row r="25" customFormat="false" ht="15" hidden="false" customHeight="false" outlineLevel="0" collapsed="false">
      <c r="A25" s="32" t="s">
        <v>192</v>
      </c>
      <c r="B25" s="32" t="s">
        <v>193</v>
      </c>
      <c r="C25" s="32" t="s">
        <v>164</v>
      </c>
      <c r="D25" s="60" t="n">
        <v>452</v>
      </c>
      <c r="E25" s="60" t="n">
        <v>494</v>
      </c>
      <c r="F25" s="69" t="n">
        <f aca="false">IF(E25="","",D25-E25)</f>
        <v>-42</v>
      </c>
      <c r="G25" s="60" t="n">
        <v>474</v>
      </c>
      <c r="H25" s="60" t="n">
        <v>519</v>
      </c>
      <c r="I25" s="69" t="n">
        <f aca="false">IF(H25="","",G25-H25)</f>
        <v>-45</v>
      </c>
      <c r="J25" s="40" t="n">
        <f aca="false">IF(OR(D25="",D25+G25=0),"",D25/(D25+G25))</f>
        <v>0.488120950323974</v>
      </c>
      <c r="K25" s="40" t="n">
        <f aca="false">IF(E25="","",E25/(E25+H25))</f>
        <v>0.487660414610069</v>
      </c>
      <c r="L25" s="70" t="n">
        <f aca="false">IF(OR(K25="",J25=""),"",(J25-K25)*100)</f>
        <v>0.0460535713904975</v>
      </c>
      <c r="M25" s="36" t="n">
        <v>3.39287279657052</v>
      </c>
      <c r="N25" s="36" t="n">
        <v>2.13740766541741</v>
      </c>
      <c r="O25" s="36" t="n">
        <f aca="false">SQRT(M25^2+N25^2)</f>
        <v>4.00999966856525</v>
      </c>
      <c r="P25" s="40" t="n">
        <f aca="false">IF(J25="","",MAX(0,J25-1.96*O25/100))</f>
        <v>0.409524956820095</v>
      </c>
      <c r="Q25" s="40" t="n">
        <f aca="false">IF(J25="","",MIN(1,J25+1.96*O25/100))</f>
        <v>0.566716943827853</v>
      </c>
      <c r="R25" s="32" t="str">
        <f aca="false">IF(L25="","",IF(ABS(L25)&lt;=O25,"Yes","No"))</f>
        <v>Yes</v>
      </c>
      <c r="S25" s="32" t="str">
        <f aca="false">IF(L25="","",IF(ABS(L25)&lt;=1.96*O25,"Yes","No"))</f>
        <v>Yes</v>
      </c>
      <c r="T25" s="60" t="n">
        <f aca="false">IF(D25="","",ROUND(SQRT(((D25+G25)*O25/100)^2+(J25*(D25+G25)*0.0534)^2),0))</f>
        <v>44</v>
      </c>
      <c r="U25" s="32"/>
    </row>
    <row r="26" customFormat="false" ht="15" hidden="false" customHeight="false" outlineLevel="0" collapsed="false">
      <c r="A26" s="32" t="s">
        <v>192</v>
      </c>
      <c r="B26" s="32" t="s">
        <v>194</v>
      </c>
      <c r="C26" s="32" t="s">
        <v>164</v>
      </c>
      <c r="D26" s="60" t="n">
        <v>16851</v>
      </c>
      <c r="E26" s="60" t="n">
        <v>16965</v>
      </c>
      <c r="F26" s="69" t="n">
        <f aca="false">IF(E26="","",D26-E26)</f>
        <v>-114</v>
      </c>
      <c r="G26" s="60" t="n">
        <v>9952</v>
      </c>
      <c r="H26" s="60" t="n">
        <v>7936</v>
      </c>
      <c r="I26" s="69" t="n">
        <f aca="false">IF(H26="","",G26-H26)</f>
        <v>2016</v>
      </c>
      <c r="J26" s="40" t="n">
        <f aca="false">IF(OR(D26="",D26+G26=0),"",D26/(D26+G26))</f>
        <v>0.628698280043279</v>
      </c>
      <c r="K26" s="40" t="n">
        <f aca="false">IF(E26="","",E26/(E26+H26))</f>
        <v>0.681297939841773</v>
      </c>
      <c r="L26" s="70" t="n">
        <f aca="false">IF(OR(K26="",J26=""),"",(J26-K26)*100)</f>
        <v>-5.25996597984947</v>
      </c>
      <c r="M26" s="36" t="n">
        <v>1.23966092899928</v>
      </c>
      <c r="N26" s="36" t="n">
        <v>2.13740766541741</v>
      </c>
      <c r="O26" s="36" t="n">
        <f aca="false">SQRT(M26^2+N26^2)</f>
        <v>2.47088460820664</v>
      </c>
      <c r="P26" s="40" t="n">
        <f aca="false">IF(J26="","",MAX(0,J26-1.96*O26/100))</f>
        <v>0.580268941722429</v>
      </c>
      <c r="Q26" s="40" t="n">
        <f aca="false">IF(J26="","",MIN(1,J26+1.96*O26/100))</f>
        <v>0.677127618364129</v>
      </c>
      <c r="R26" s="32" t="str">
        <f aca="false">IF(L26="","",IF(ABS(L26)&lt;=O26,"Yes","No"))</f>
        <v>No</v>
      </c>
      <c r="S26" s="32" t="str">
        <f aca="false">IF(L26="","",IF(ABS(L26)&lt;=1.96*O26,"Yes","No"))</f>
        <v>No</v>
      </c>
      <c r="T26" s="60" t="n">
        <f aca="false">IF(D26="","",ROUND(SQRT(((D26+G26)*O26/100)^2+(J26*(D26+G26)*0.02225)^2),0))</f>
        <v>761</v>
      </c>
      <c r="U26" s="32"/>
    </row>
    <row r="27" customFormat="false" ht="15" hidden="false" customHeight="false" outlineLevel="0" collapsed="false">
      <c r="A27" s="32" t="s">
        <v>192</v>
      </c>
      <c r="B27" s="32" t="s">
        <v>195</v>
      </c>
      <c r="C27" s="32" t="s">
        <v>164</v>
      </c>
      <c r="D27" s="60" t="n">
        <v>4480</v>
      </c>
      <c r="E27" s="60" t="n">
        <v>5186</v>
      </c>
      <c r="F27" s="69" t="n">
        <f aca="false">IF(E27="","",D27-E27)</f>
        <v>-706</v>
      </c>
      <c r="G27" s="60" t="n">
        <v>3034</v>
      </c>
      <c r="H27" s="60" t="n">
        <v>2705</v>
      </c>
      <c r="I27" s="69" t="n">
        <f aca="false">IF(H27="","",G27-H27)</f>
        <v>329</v>
      </c>
      <c r="J27" s="40" t="n">
        <f aca="false">IF(OR(D27="",D27+G27=0),"",D27/(D27+G27))</f>
        <v>0.596220388607932</v>
      </c>
      <c r="K27" s="40" t="n">
        <f aca="false">IF(E27="","",E27/(E27+H27))</f>
        <v>0.657204410087441</v>
      </c>
      <c r="L27" s="70" t="n">
        <f aca="false">IF(OR(K27="",J27=""),"",(J27-K27)*100)</f>
        <v>-6.09840214795096</v>
      </c>
      <c r="M27" s="36" t="n">
        <v>1.23966092899928</v>
      </c>
      <c r="N27" s="36" t="n">
        <v>2.13740766541741</v>
      </c>
      <c r="O27" s="36" t="n">
        <f aca="false">SQRT(M27^2+N27^2)</f>
        <v>2.47088460820664</v>
      </c>
      <c r="P27" s="40" t="n">
        <f aca="false">IF(J27="","",MAX(0,J27-1.96*O27/100))</f>
        <v>0.547791050287082</v>
      </c>
      <c r="Q27" s="40" t="n">
        <f aca="false">IF(J27="","",MIN(1,J27+1.96*O27/100))</f>
        <v>0.644649726928782</v>
      </c>
      <c r="R27" s="32" t="str">
        <f aca="false">IF(L27="","",IF(ABS(L27)&lt;=O27,"Yes","No"))</f>
        <v>No</v>
      </c>
      <c r="S27" s="32" t="str">
        <f aca="false">IF(L27="","",IF(ABS(L27)&lt;=1.96*O27,"Yes","No"))</f>
        <v>No</v>
      </c>
      <c r="T27" s="60" t="n">
        <f aca="false">IF(D27="","",ROUND(SQRT(((D27+G27)*O27/100)^2+(J27*(D27+G27)*0.02225)^2),0))</f>
        <v>211</v>
      </c>
      <c r="U27" s="32"/>
    </row>
    <row r="28" customFormat="false" ht="15" hidden="false" customHeight="false" outlineLevel="0" collapsed="false">
      <c r="A28" s="32" t="s">
        <v>192</v>
      </c>
      <c r="B28" s="32" t="s">
        <v>196</v>
      </c>
      <c r="C28" s="32" t="s">
        <v>164</v>
      </c>
      <c r="D28" s="60" t="n">
        <v>1048</v>
      </c>
      <c r="E28" s="60" t="n">
        <v>1135</v>
      </c>
      <c r="F28" s="69" t="n">
        <f aca="false">IF(E28="","",D28-E28)</f>
        <v>-87</v>
      </c>
      <c r="G28" s="60" t="n">
        <v>995</v>
      </c>
      <c r="H28" s="60" t="n">
        <v>975</v>
      </c>
      <c r="I28" s="69" t="n">
        <f aca="false">IF(H28="","",G28-H28)</f>
        <v>20</v>
      </c>
      <c r="J28" s="40" t="n">
        <f aca="false">IF(OR(D28="",D28+G28=0),"",D28/(D28+G28))</f>
        <v>0.512971120900636</v>
      </c>
      <c r="K28" s="40" t="n">
        <f aca="false">IF(E28="","",E28/(E28+H28))</f>
        <v>0.537914691943128</v>
      </c>
      <c r="L28" s="70" t="n">
        <f aca="false">IF(OR(K28="",J28=""),"",(J28-K28)*100)</f>
        <v>-2.49435710424916</v>
      </c>
      <c r="M28" s="36" t="n">
        <v>2.25632701588549</v>
      </c>
      <c r="N28" s="36" t="n">
        <v>2.13740766541741</v>
      </c>
      <c r="O28" s="36" t="n">
        <f aca="false">SQRT(M28^2+N28^2)</f>
        <v>3.10797733756214</v>
      </c>
      <c r="P28" s="40" t="n">
        <f aca="false">IF(J28="","",MAX(0,J28-1.96*O28/100))</f>
        <v>0.452054765084418</v>
      </c>
      <c r="Q28" s="40" t="n">
        <f aca="false">IF(J28="","",MIN(1,J28+1.96*O28/100))</f>
        <v>0.573887476716854</v>
      </c>
      <c r="R28" s="32" t="str">
        <f aca="false">IF(L28="","",IF(ABS(L28)&lt;=O28,"Yes","No"))</f>
        <v>Yes</v>
      </c>
      <c r="S28" s="32" t="str">
        <f aca="false">IF(L28="","",IF(ABS(L28)&lt;=1.96*O28,"Yes","No"))</f>
        <v>Yes</v>
      </c>
      <c r="T28" s="60" t="n">
        <f aca="false">IF(D28="","",ROUND(SQRT(((D28+G28)*O28/100)^2+(J28*(D28+G28)*0.03811)^2),0))</f>
        <v>75</v>
      </c>
      <c r="U28" s="32"/>
    </row>
    <row r="29" customFormat="false" ht="15" hidden="false" customHeight="false" outlineLevel="0" collapsed="false">
      <c r="A29" s="32" t="s">
        <v>192</v>
      </c>
      <c r="B29" s="32" t="s">
        <v>197</v>
      </c>
      <c r="C29" s="32" t="s">
        <v>164</v>
      </c>
      <c r="D29" s="60" t="n">
        <v>520</v>
      </c>
      <c r="E29" s="60" t="n">
        <v>621</v>
      </c>
      <c r="F29" s="69" t="n">
        <f aca="false">IF(E29="","",D29-E29)</f>
        <v>-101</v>
      </c>
      <c r="G29" s="60" t="n">
        <v>567</v>
      </c>
      <c r="H29" s="60" t="n">
        <v>598</v>
      </c>
      <c r="I29" s="69" t="n">
        <f aca="false">IF(H29="","",G29-H29)</f>
        <v>-31</v>
      </c>
      <c r="J29" s="40" t="n">
        <f aca="false">IF(OR(D29="",D29+G29=0),"",D29/(D29+G29))</f>
        <v>0.478380864765409</v>
      </c>
      <c r="K29" s="40" t="n">
        <f aca="false">IF(E29="","",E29/(E29+H29))</f>
        <v>0.509433962264151</v>
      </c>
      <c r="L29" s="70" t="n">
        <f aca="false">IF(OR(K29="",J29=""),"",(J29-K29)*100)</f>
        <v>-3.10530974987416</v>
      </c>
      <c r="M29" s="36" t="n">
        <v>3.39287279657052</v>
      </c>
      <c r="N29" s="36" t="n">
        <v>2.13740766541741</v>
      </c>
      <c r="O29" s="36" t="n">
        <f aca="false">SQRT(M29^2+N29^2)</f>
        <v>4.00999966856525</v>
      </c>
      <c r="P29" s="40" t="n">
        <f aca="false">IF(J29="","",MAX(0,J29-1.96*O29/100))</f>
        <v>0.399784871261531</v>
      </c>
      <c r="Q29" s="40" t="n">
        <f aca="false">IF(J29="","",MIN(1,J29+1.96*O29/100))</f>
        <v>0.556976858269288</v>
      </c>
      <c r="R29" s="32" t="str">
        <f aca="false">IF(L29="","",IF(ABS(L29)&lt;=O29,"Yes","No"))</f>
        <v>Yes</v>
      </c>
      <c r="S29" s="32" t="str">
        <f aca="false">IF(L29="","",IF(ABS(L29)&lt;=1.96*O29,"Yes","No"))</f>
        <v>Yes</v>
      </c>
      <c r="T29" s="60" t="n">
        <f aca="false">IF(D29="","",ROUND(SQRT(((D29+G29)*O29/100)^2+(J29*(D29+G29)*0.0534)^2),0))</f>
        <v>52</v>
      </c>
      <c r="U29" s="32"/>
    </row>
    <row r="30" customFormat="false" ht="15" hidden="false" customHeight="false" outlineLevel="0" collapsed="false">
      <c r="A30" s="32" t="s">
        <v>192</v>
      </c>
      <c r="B30" s="32" t="s">
        <v>198</v>
      </c>
      <c r="C30" s="32" t="s">
        <v>164</v>
      </c>
      <c r="D30" s="60" t="n">
        <v>641</v>
      </c>
      <c r="E30" s="60" t="n">
        <v>691</v>
      </c>
      <c r="F30" s="69" t="n">
        <f aca="false">IF(E30="","",D30-E30)</f>
        <v>-50</v>
      </c>
      <c r="G30" s="60" t="n">
        <v>617</v>
      </c>
      <c r="H30" s="60" t="n">
        <v>606</v>
      </c>
      <c r="I30" s="69" t="n">
        <f aca="false">IF(H30="","",G30-H30)</f>
        <v>11</v>
      </c>
      <c r="J30" s="40" t="n">
        <f aca="false">IF(OR(D30="",D30+G30=0),"",D30/(D30+G30))</f>
        <v>0.509538950715421</v>
      </c>
      <c r="K30" s="40" t="n">
        <f aca="false">IF(E30="","",E30/(E30+H30))</f>
        <v>0.532767925983038</v>
      </c>
      <c r="L30" s="70" t="n">
        <f aca="false">IF(OR(K30="",J30=""),"",(J30-K30)*100)</f>
        <v>-2.32289752676165</v>
      </c>
      <c r="M30" s="36" t="n">
        <v>2.25632701588549</v>
      </c>
      <c r="N30" s="36" t="n">
        <v>2.13740766541741</v>
      </c>
      <c r="O30" s="36" t="n">
        <f aca="false">SQRT(M30^2+N30^2)</f>
        <v>3.10797733756214</v>
      </c>
      <c r="P30" s="40" t="n">
        <f aca="false">IF(J30="","",MAX(0,J30-1.96*O30/100))</f>
        <v>0.448622594899203</v>
      </c>
      <c r="Q30" s="40" t="n">
        <f aca="false">IF(J30="","",MIN(1,J30+1.96*O30/100))</f>
        <v>0.570455306531639</v>
      </c>
      <c r="R30" s="32" t="str">
        <f aca="false">IF(L30="","",IF(ABS(L30)&lt;=O30,"Yes","No"))</f>
        <v>Yes</v>
      </c>
      <c r="S30" s="32" t="str">
        <f aca="false">IF(L30="","",IF(ABS(L30)&lt;=1.96*O30,"Yes","No"))</f>
        <v>Yes</v>
      </c>
      <c r="T30" s="60" t="n">
        <f aca="false">IF(D30="","",ROUND(SQRT(((D30+G30)*O30/100)^2+(J30*(D30+G30)*0.03811)^2),0))</f>
        <v>46</v>
      </c>
      <c r="U30" s="32"/>
    </row>
    <row r="31" customFormat="false" ht="15" hidden="false" customHeight="false" outlineLevel="0" collapsed="false">
      <c r="A31" s="32" t="s">
        <v>192</v>
      </c>
      <c r="B31" s="32" t="s">
        <v>199</v>
      </c>
      <c r="C31" s="32" t="s">
        <v>164</v>
      </c>
      <c r="D31" s="60" t="n">
        <v>2445</v>
      </c>
      <c r="E31" s="60" t="n">
        <v>2834</v>
      </c>
      <c r="F31" s="69" t="n">
        <f aca="false">IF(E31="","",D31-E31)</f>
        <v>-389</v>
      </c>
      <c r="G31" s="60" t="n">
        <v>2268</v>
      </c>
      <c r="H31" s="60" t="n">
        <v>2250</v>
      </c>
      <c r="I31" s="69" t="n">
        <f aca="false">IF(H31="","",G31-H31)</f>
        <v>18</v>
      </c>
      <c r="J31" s="40" t="n">
        <f aca="false">IF(OR(D31="",D31+G31=0),"",D31/(D31+G31))</f>
        <v>0.518777848504137</v>
      </c>
      <c r="K31" s="40" t="n">
        <f aca="false">IF(E31="","",E31/(E31+H31))</f>
        <v>0.557435090479937</v>
      </c>
      <c r="L31" s="70" t="n">
        <f aca="false">IF(OR(K31="",J31=""),"",(J31-K31)*100)</f>
        <v>-3.86572419757997</v>
      </c>
      <c r="M31" s="36" t="n">
        <v>1.23966092899928</v>
      </c>
      <c r="N31" s="36" t="n">
        <v>2.13740766541741</v>
      </c>
      <c r="O31" s="36" t="n">
        <f aca="false">SQRT(M31^2+N31^2)</f>
        <v>2.47088460820664</v>
      </c>
      <c r="P31" s="40" t="n">
        <f aca="false">IF(J31="","",MAX(0,J31-1.96*O31/100))</f>
        <v>0.470348510183287</v>
      </c>
      <c r="Q31" s="40" t="n">
        <f aca="false">IF(J31="","",MIN(1,J31+1.96*O31/100))</f>
        <v>0.567207186824988</v>
      </c>
      <c r="R31" s="32" t="str">
        <f aca="false">IF(L31="","",IF(ABS(L31)&lt;=O31,"Yes","No"))</f>
        <v>No</v>
      </c>
      <c r="S31" s="32" t="str">
        <f aca="false">IF(L31="","",IF(ABS(L31)&lt;=1.96*O31,"Yes","No"))</f>
        <v>Yes</v>
      </c>
      <c r="T31" s="60" t="n">
        <f aca="false">IF(D31="","",ROUND(SQRT(((D31+G31)*O31/100)^2+(J31*(D31+G31)*0.02225)^2),0))</f>
        <v>129</v>
      </c>
      <c r="U31" s="32"/>
    </row>
    <row r="32" customFormat="false" ht="15" hidden="false" customHeight="false" outlineLevel="0" collapsed="false">
      <c r="A32" s="32" t="s">
        <v>192</v>
      </c>
      <c r="B32" s="32" t="s">
        <v>200</v>
      </c>
      <c r="C32" s="32" t="s">
        <v>164</v>
      </c>
      <c r="D32" s="60" t="n">
        <v>1007</v>
      </c>
      <c r="E32" s="60" t="n">
        <v>1070</v>
      </c>
      <c r="F32" s="69" t="n">
        <f aca="false">IF(E32="","",D32-E32)</f>
        <v>-63</v>
      </c>
      <c r="G32" s="60" t="n">
        <v>608</v>
      </c>
      <c r="H32" s="60" t="n">
        <v>479</v>
      </c>
      <c r="I32" s="69" t="n">
        <f aca="false">IF(H32="","",G32-H32)</f>
        <v>129</v>
      </c>
      <c r="J32" s="40" t="n">
        <f aca="false">IF(OR(D32="",D32+G32=0),"",D32/(D32+G32))</f>
        <v>0.623529411764706</v>
      </c>
      <c r="K32" s="40" t="n">
        <f aca="false">IF(E32="","",E32/(E32+H32))</f>
        <v>0.690768237572628</v>
      </c>
      <c r="L32" s="70" t="n">
        <f aca="false">IF(OR(K32="",J32=""),"",(J32-K32)*100)</f>
        <v>-6.72388258079216</v>
      </c>
      <c r="M32" s="36" t="n">
        <v>2.25632701588549</v>
      </c>
      <c r="N32" s="36" t="n">
        <v>2.13740766541741</v>
      </c>
      <c r="O32" s="36" t="n">
        <f aca="false">SQRT(M32^2+N32^2)</f>
        <v>3.10797733756214</v>
      </c>
      <c r="P32" s="40" t="n">
        <f aca="false">IF(J32="","",MAX(0,J32-1.96*O32/100))</f>
        <v>0.562613055948488</v>
      </c>
      <c r="Q32" s="40" t="n">
        <f aca="false">IF(J32="","",MIN(1,J32+1.96*O32/100))</f>
        <v>0.684445767580924</v>
      </c>
      <c r="R32" s="32" t="str">
        <f aca="false">IF(L32="","",IF(ABS(L32)&lt;=O32,"Yes","No"))</f>
        <v>No</v>
      </c>
      <c r="S32" s="32" t="str">
        <f aca="false">IF(L32="","",IF(ABS(L32)&lt;=1.96*O32,"Yes","No"))</f>
        <v>No</v>
      </c>
      <c r="T32" s="60" t="n">
        <f aca="false">IF(D32="","",ROUND(SQRT(((D32+G32)*O32/100)^2+(J32*(D32+G32)*0.03811)^2),0))</f>
        <v>63</v>
      </c>
      <c r="U32" s="32"/>
    </row>
    <row r="33" customFormat="false" ht="15" hidden="false" customHeight="false" outlineLevel="0" collapsed="false">
      <c r="A33" s="32" t="s">
        <v>192</v>
      </c>
      <c r="B33" s="32" t="s">
        <v>201</v>
      </c>
      <c r="C33" s="32" t="s">
        <v>164</v>
      </c>
      <c r="D33" s="60" t="n">
        <v>265</v>
      </c>
      <c r="E33" s="60" t="n">
        <v>262</v>
      </c>
      <c r="F33" s="69" t="n">
        <f aca="false">IF(E33="","",D33-E33)</f>
        <v>3</v>
      </c>
      <c r="G33" s="60" t="n">
        <v>224</v>
      </c>
      <c r="H33" s="60" t="n">
        <v>205</v>
      </c>
      <c r="I33" s="69" t="n">
        <f aca="false">IF(H33="","",G33-H33)</f>
        <v>19</v>
      </c>
      <c r="J33" s="40" t="n">
        <f aca="false">IF(OR(D33="",D33+G33=0),"",D33/(D33+G33))</f>
        <v>0.541922290388548</v>
      </c>
      <c r="K33" s="40" t="n">
        <f aca="false">IF(E33="","",E33/(E33+H33))</f>
        <v>0.561027837259101</v>
      </c>
      <c r="L33" s="70" t="n">
        <f aca="false">IF(OR(K33="",J33=""),"",(J33-K33)*100)</f>
        <v>-1.91055468705525</v>
      </c>
      <c r="M33" s="36" t="n">
        <v>3.39287279657052</v>
      </c>
      <c r="N33" s="36" t="n">
        <v>2.13740766541741</v>
      </c>
      <c r="O33" s="36" t="n">
        <f aca="false">SQRT(M33^2+N33^2)</f>
        <v>4.00999966856525</v>
      </c>
      <c r="P33" s="40" t="n">
        <f aca="false">IF(J33="","",MAX(0,J33-1.96*O33/100))</f>
        <v>0.463326296884669</v>
      </c>
      <c r="Q33" s="40" t="n">
        <f aca="false">IF(J33="","",MIN(1,J33+1.96*O33/100))</f>
        <v>0.620518283892427</v>
      </c>
      <c r="R33" s="32" t="str">
        <f aca="false">IF(L33="","",IF(ABS(L33)&lt;=O33,"Yes","No"))</f>
        <v>Yes</v>
      </c>
      <c r="S33" s="32" t="str">
        <f aca="false">IF(L33="","",IF(ABS(L33)&lt;=1.96*O33,"Yes","No"))</f>
        <v>Yes</v>
      </c>
      <c r="T33" s="60" t="n">
        <f aca="false">IF(D33="","",ROUND(SQRT(((D33+G33)*O33/100)^2+(J33*(D33+G33)*0.0534)^2),0))</f>
        <v>24</v>
      </c>
      <c r="U33" s="32"/>
    </row>
    <row r="34" customFormat="false" ht="15" hidden="false" customHeight="false" outlineLevel="0" collapsed="false">
      <c r="A34" s="32" t="s">
        <v>192</v>
      </c>
      <c r="B34" s="32" t="s">
        <v>202</v>
      </c>
      <c r="C34" s="32" t="s">
        <v>164</v>
      </c>
      <c r="D34" s="60" t="n">
        <v>491</v>
      </c>
      <c r="E34" s="60" t="n">
        <v>532</v>
      </c>
      <c r="F34" s="69" t="n">
        <f aca="false">IF(E34="","",D34-E34)</f>
        <v>-41</v>
      </c>
      <c r="G34" s="60" t="n">
        <v>982</v>
      </c>
      <c r="H34" s="60" t="n">
        <v>1068</v>
      </c>
      <c r="I34" s="69" t="n">
        <f aca="false">IF(H34="","",G34-H34)</f>
        <v>-86</v>
      </c>
      <c r="J34" s="40" t="n">
        <f aca="false">IF(OR(D34="",D34+G34=0),"",D34/(D34+G34))</f>
        <v>0.333333333333333</v>
      </c>
      <c r="K34" s="40" t="n">
        <f aca="false">IF(E34="","",E34/(E34+H34))</f>
        <v>0.3325</v>
      </c>
      <c r="L34" s="70" t="n">
        <f aca="false">IF(OR(K34="",J34=""),"",(J34-K34)*100)</f>
        <v>0.0833333333333297</v>
      </c>
      <c r="M34" s="36" t="n">
        <v>2.25632701588549</v>
      </c>
      <c r="N34" s="36" t="n">
        <v>2.13740766541741</v>
      </c>
      <c r="O34" s="36" t="n">
        <f aca="false">SQRT(M34^2+N34^2)</f>
        <v>3.10797733756214</v>
      </c>
      <c r="P34" s="40" t="n">
        <f aca="false">IF(J34="","",MAX(0,J34-1.96*O34/100))</f>
        <v>0.272416977517115</v>
      </c>
      <c r="Q34" s="40" t="n">
        <f aca="false">IF(J34="","",MIN(1,J34+1.96*O34/100))</f>
        <v>0.394249689149551</v>
      </c>
      <c r="R34" s="32" t="str">
        <f aca="false">IF(L34="","",IF(ABS(L34)&lt;=O34,"Yes","No"))</f>
        <v>Yes</v>
      </c>
      <c r="S34" s="32" t="str">
        <f aca="false">IF(L34="","",IF(ABS(L34)&lt;=1.96*O34,"Yes","No"))</f>
        <v>Yes</v>
      </c>
      <c r="T34" s="60" t="n">
        <f aca="false">IF(D34="","",ROUND(SQRT(((D34+G34)*O34/100)^2+(J34*(D34+G34)*0.03811)^2),0))</f>
        <v>49</v>
      </c>
      <c r="U34" s="32"/>
    </row>
    <row r="35" customFormat="false" ht="15" hidden="false" customHeight="false" outlineLevel="0" collapsed="false">
      <c r="A35" s="32" t="s">
        <v>192</v>
      </c>
      <c r="B35" s="32" t="s">
        <v>203</v>
      </c>
      <c r="C35" s="32" t="s">
        <v>164</v>
      </c>
      <c r="D35" s="60" t="n">
        <v>7423</v>
      </c>
      <c r="E35" s="60" t="n">
        <v>8358</v>
      </c>
      <c r="F35" s="69" t="n">
        <f aca="false">IF(E35="","",D35-E35)</f>
        <v>-935</v>
      </c>
      <c r="G35" s="60" t="n">
        <v>7639</v>
      </c>
      <c r="H35" s="60" t="n">
        <v>7595</v>
      </c>
      <c r="I35" s="69" t="n">
        <f aca="false">IF(H35="","",G35-H35)</f>
        <v>44</v>
      </c>
      <c r="J35" s="40" t="n">
        <f aca="false">IF(OR(D35="",D35+G35=0),"",D35/(D35+G35))</f>
        <v>0.49282963749834</v>
      </c>
      <c r="K35" s="40" t="n">
        <f aca="false">IF(E35="","",E35/(E35+H35))</f>
        <v>0.523913997367266</v>
      </c>
      <c r="L35" s="70" t="n">
        <f aca="false">IF(OR(K35="",J35=""),"",(J35-K35)*100)</f>
        <v>-3.10843598689261</v>
      </c>
      <c r="M35" s="36" t="n">
        <v>1.23966092899928</v>
      </c>
      <c r="N35" s="36" t="n">
        <v>2.13740766541741</v>
      </c>
      <c r="O35" s="36" t="n">
        <f aca="false">SQRT(M35^2+N35^2)</f>
        <v>2.47088460820664</v>
      </c>
      <c r="P35" s="40" t="n">
        <f aca="false">IF(J35="","",MAX(0,J35-1.96*O35/100))</f>
        <v>0.44440029917749</v>
      </c>
      <c r="Q35" s="40" t="n">
        <f aca="false">IF(J35="","",MIN(1,J35+1.96*O35/100))</f>
        <v>0.54125897581919</v>
      </c>
      <c r="R35" s="32" t="str">
        <f aca="false">IF(L35="","",IF(ABS(L35)&lt;=O35,"Yes","No"))</f>
        <v>No</v>
      </c>
      <c r="S35" s="32" t="str">
        <f aca="false">IF(L35="","",IF(ABS(L35)&lt;=1.96*O35,"Yes","No"))</f>
        <v>Yes</v>
      </c>
      <c r="T35" s="60" t="n">
        <f aca="false">IF(D35="","",ROUND(SQRT(((D35+G35)*O35/100)^2+(J35*(D35+G35)*0.02225)^2),0))</f>
        <v>407</v>
      </c>
      <c r="U35" s="32"/>
    </row>
    <row r="36" customFormat="false" ht="15" hidden="false" customHeight="false" outlineLevel="0" collapsed="false">
      <c r="A36" s="32" t="s">
        <v>192</v>
      </c>
      <c r="B36" s="32" t="s">
        <v>204</v>
      </c>
      <c r="C36" s="32" t="s">
        <v>164</v>
      </c>
      <c r="D36" s="60" t="n">
        <v>756</v>
      </c>
      <c r="E36" s="60" t="n">
        <v>850</v>
      </c>
      <c r="F36" s="69" t="n">
        <f aca="false">IF(E36="","",D36-E36)</f>
        <v>-94</v>
      </c>
      <c r="G36" s="60" t="n">
        <v>1256</v>
      </c>
      <c r="H36" s="60" t="n">
        <v>1311</v>
      </c>
      <c r="I36" s="69" t="n">
        <f aca="false">IF(H36="","",G36-H36)</f>
        <v>-55</v>
      </c>
      <c r="J36" s="40" t="n">
        <f aca="false">IF(OR(D36="",D36+G36=0),"",D36/(D36+G36))</f>
        <v>0.375745526838966</v>
      </c>
      <c r="K36" s="40" t="n">
        <f aca="false">IF(E36="","",E36/(E36+H36))</f>
        <v>0.39333641832485</v>
      </c>
      <c r="L36" s="70" t="n">
        <f aca="false">IF(OR(K36="",J36=""),"",(J36-K36)*100)</f>
        <v>-1.75908914858834</v>
      </c>
      <c r="M36" s="36" t="n">
        <v>2.25632701588549</v>
      </c>
      <c r="N36" s="36" t="n">
        <v>2.13740766541741</v>
      </c>
      <c r="O36" s="36" t="n">
        <f aca="false">SQRT(M36^2+N36^2)</f>
        <v>3.10797733756214</v>
      </c>
      <c r="P36" s="40" t="n">
        <f aca="false">IF(J36="","",MAX(0,J36-1.96*O36/100))</f>
        <v>0.314829171022748</v>
      </c>
      <c r="Q36" s="40" t="n">
        <f aca="false">IF(J36="","",MIN(1,J36+1.96*O36/100))</f>
        <v>0.436661882655184</v>
      </c>
      <c r="R36" s="32" t="str">
        <f aca="false">IF(L36="","",IF(ABS(L36)&lt;=O36,"Yes","No"))</f>
        <v>Yes</v>
      </c>
      <c r="S36" s="32" t="str">
        <f aca="false">IF(L36="","",IF(ABS(L36)&lt;=1.96*O36,"Yes","No"))</f>
        <v>Yes</v>
      </c>
      <c r="T36" s="60" t="n">
        <f aca="false">IF(D36="","",ROUND(SQRT(((D36+G36)*O36/100)^2+(J36*(D36+G36)*0.03811)^2),0))</f>
        <v>69</v>
      </c>
      <c r="U36" s="32"/>
    </row>
    <row r="37" customFormat="false" ht="15" hidden="false" customHeight="false" outlineLevel="0" collapsed="false">
      <c r="A37" s="32" t="s">
        <v>192</v>
      </c>
      <c r="B37" s="32" t="s">
        <v>205</v>
      </c>
      <c r="C37" s="32" t="s">
        <v>164</v>
      </c>
      <c r="D37" s="60" t="n">
        <v>432</v>
      </c>
      <c r="E37" s="60" t="n">
        <v>457</v>
      </c>
      <c r="F37" s="69" t="n">
        <f aca="false">IF(E37="","",D37-E37)</f>
        <v>-25</v>
      </c>
      <c r="G37" s="60" t="n">
        <v>746</v>
      </c>
      <c r="H37" s="60" t="n">
        <v>760</v>
      </c>
      <c r="I37" s="69" t="n">
        <f aca="false">IF(H37="","",G37-H37)</f>
        <v>-14</v>
      </c>
      <c r="J37" s="40" t="n">
        <f aca="false">IF(OR(D37="",D37+G37=0),"",D37/(D37+G37))</f>
        <v>0.366723259762309</v>
      </c>
      <c r="K37" s="40" t="n">
        <f aca="false">IF(E37="","",E37/(E37+H37))</f>
        <v>0.375513557929334</v>
      </c>
      <c r="L37" s="70" t="n">
        <f aca="false">IF(OR(K37="",J37=""),"",(J37-K37)*100)</f>
        <v>-0.879029816702542</v>
      </c>
      <c r="M37" s="36" t="n">
        <v>2.25632701588549</v>
      </c>
      <c r="N37" s="36" t="n">
        <v>2.13740766541741</v>
      </c>
      <c r="O37" s="36" t="n">
        <f aca="false">SQRT(M37^2+N37^2)</f>
        <v>3.10797733756214</v>
      </c>
      <c r="P37" s="40" t="n">
        <f aca="false">IF(J37="","",MAX(0,J37-1.96*O37/100))</f>
        <v>0.305806903946091</v>
      </c>
      <c r="Q37" s="40" t="n">
        <f aca="false">IF(J37="","",MIN(1,J37+1.96*O37/100))</f>
        <v>0.427639615578527</v>
      </c>
      <c r="R37" s="32" t="str">
        <f aca="false">IF(L37="","",IF(ABS(L37)&lt;=O37,"Yes","No"))</f>
        <v>Yes</v>
      </c>
      <c r="S37" s="32" t="str">
        <f aca="false">IF(L37="","",IF(ABS(L37)&lt;=1.96*O37,"Yes","No"))</f>
        <v>Yes</v>
      </c>
      <c r="T37" s="60" t="n">
        <f aca="false">IF(D37="","",ROUND(SQRT(((D37+G37)*O37/100)^2+(J37*(D37+G37)*0.03811)^2),0))</f>
        <v>40</v>
      </c>
      <c r="U37" s="32"/>
    </row>
    <row r="38" customFormat="false" ht="15" hidden="false" customHeight="false" outlineLevel="0" collapsed="false">
      <c r="A38" s="32" t="s">
        <v>192</v>
      </c>
      <c r="B38" s="32" t="s">
        <v>206</v>
      </c>
      <c r="C38" s="32" t="s">
        <v>164</v>
      </c>
      <c r="D38" s="60" t="n">
        <v>678</v>
      </c>
      <c r="E38" s="60" t="n">
        <v>719</v>
      </c>
      <c r="F38" s="69" t="n">
        <f aca="false">IF(E38="","",D38-E38)</f>
        <v>-41</v>
      </c>
      <c r="G38" s="60" t="n">
        <v>1314</v>
      </c>
      <c r="H38" s="60" t="n">
        <v>1434</v>
      </c>
      <c r="I38" s="69" t="n">
        <f aca="false">IF(H38="","",G38-H38)</f>
        <v>-120</v>
      </c>
      <c r="J38" s="40" t="n">
        <f aca="false">IF(OR(D38="",D38+G38=0),"",D38/(D38+G38))</f>
        <v>0.340361445783133</v>
      </c>
      <c r="K38" s="40" t="n">
        <f aca="false">IF(E38="","",E38/(E38+H38))</f>
        <v>0.333952624245239</v>
      </c>
      <c r="L38" s="70" t="n">
        <f aca="false">IF(OR(K38="",J38=""),"",(J38-K38)*100)</f>
        <v>0.640882153789335</v>
      </c>
      <c r="M38" s="36" t="n">
        <v>2.25632701588549</v>
      </c>
      <c r="N38" s="36" t="n">
        <v>2.13740766541741</v>
      </c>
      <c r="O38" s="36" t="n">
        <f aca="false">SQRT(M38^2+N38^2)</f>
        <v>3.10797733756214</v>
      </c>
      <c r="P38" s="40" t="n">
        <f aca="false">IF(J38="","",MAX(0,J38-1.96*O38/100))</f>
        <v>0.279445089966915</v>
      </c>
      <c r="Q38" s="40" t="n">
        <f aca="false">IF(J38="","",MIN(1,J38+1.96*O38/100))</f>
        <v>0.401277801599351</v>
      </c>
      <c r="R38" s="32" t="str">
        <f aca="false">IF(L38="","",IF(ABS(L38)&lt;=O38,"Yes","No"))</f>
        <v>Yes</v>
      </c>
      <c r="S38" s="32" t="str">
        <f aca="false">IF(L38="","",IF(ABS(L38)&lt;=1.96*O38,"Yes","No"))</f>
        <v>Yes</v>
      </c>
      <c r="T38" s="60" t="n">
        <f aca="false">IF(D38="","",ROUND(SQRT(((D38+G38)*O38/100)^2+(J38*(D38+G38)*0.03811)^2),0))</f>
        <v>67</v>
      </c>
      <c r="U38" s="32"/>
    </row>
    <row r="39" customFormat="false" ht="15" hidden="false" customHeight="false" outlineLevel="0" collapsed="false">
      <c r="A39" s="32" t="s">
        <v>192</v>
      </c>
      <c r="B39" s="32" t="s">
        <v>207</v>
      </c>
      <c r="C39" s="32" t="s">
        <v>164</v>
      </c>
      <c r="D39" s="60" t="n">
        <v>687</v>
      </c>
      <c r="E39" s="60" t="n">
        <v>788</v>
      </c>
      <c r="F39" s="69" t="n">
        <f aca="false">IF(E39="","",D39-E39)</f>
        <v>-101</v>
      </c>
      <c r="G39" s="60" t="n">
        <v>658</v>
      </c>
      <c r="H39" s="60" t="n">
        <v>628</v>
      </c>
      <c r="I39" s="69" t="n">
        <f aca="false">IF(H39="","",G39-H39)</f>
        <v>30</v>
      </c>
      <c r="J39" s="40" t="n">
        <f aca="false">IF(OR(D39="",D39+G39=0),"",D39/(D39+G39))</f>
        <v>0.510780669144981</v>
      </c>
      <c r="K39" s="40" t="n">
        <f aca="false">IF(E39="","",E39/(E39+H39))</f>
        <v>0.556497175141243</v>
      </c>
      <c r="L39" s="70" t="n">
        <f aca="false">IF(OR(K39="",J39=""),"",(J39-K39)*100)</f>
        <v>-4.57165059962615</v>
      </c>
      <c r="M39" s="36" t="n">
        <v>2.25632701588549</v>
      </c>
      <c r="N39" s="36" t="n">
        <v>2.13740766541741</v>
      </c>
      <c r="O39" s="36" t="n">
        <f aca="false">SQRT(M39^2+N39^2)</f>
        <v>3.10797733756214</v>
      </c>
      <c r="P39" s="40" t="n">
        <f aca="false">IF(J39="","",MAX(0,J39-1.96*O39/100))</f>
        <v>0.449864313328764</v>
      </c>
      <c r="Q39" s="40" t="n">
        <f aca="false">IF(J39="","",MIN(1,J39+1.96*O39/100))</f>
        <v>0.5716970249612</v>
      </c>
      <c r="R39" s="32" t="str">
        <f aca="false">IF(L39="","",IF(ABS(L39)&lt;=O39,"Yes","No"))</f>
        <v>No</v>
      </c>
      <c r="S39" s="32" t="str">
        <f aca="false">IF(L39="","",IF(ABS(L39)&lt;=1.96*O39,"Yes","No"))</f>
        <v>Yes</v>
      </c>
      <c r="T39" s="60" t="n">
        <f aca="false">IF(D39="","",ROUND(SQRT(((D39+G39)*O39/100)^2+(J39*(D39+G39)*0.03811)^2),0))</f>
        <v>49</v>
      </c>
      <c r="U39" s="32"/>
    </row>
    <row r="40" customFormat="false" ht="15" hidden="false" customHeight="false" outlineLevel="0" collapsed="false">
      <c r="A40" s="32" t="s">
        <v>192</v>
      </c>
      <c r="B40" s="32" t="s">
        <v>208</v>
      </c>
      <c r="C40" s="32" t="s">
        <v>164</v>
      </c>
      <c r="D40" s="60" t="n">
        <v>2877</v>
      </c>
      <c r="E40" s="60" t="n">
        <v>3255</v>
      </c>
      <c r="F40" s="69" t="n">
        <f aca="false">IF(E40="","",D40-E40)</f>
        <v>-378</v>
      </c>
      <c r="G40" s="60" t="n">
        <v>4141</v>
      </c>
      <c r="H40" s="60" t="n">
        <v>4462</v>
      </c>
      <c r="I40" s="69" t="n">
        <f aca="false">IF(H40="","",G40-H40)</f>
        <v>-321</v>
      </c>
      <c r="J40" s="40" t="n">
        <f aca="false">IF(OR(D40="",D40+G40=0),"",D40/(D40+G40))</f>
        <v>0.409945853519521</v>
      </c>
      <c r="K40" s="40" t="n">
        <f aca="false">IF(E40="","",E40/(E40+H40))</f>
        <v>0.421796034728521</v>
      </c>
      <c r="L40" s="70" t="n">
        <f aca="false">IF(OR(K40="",J40=""),"",(J40-K40)*100)</f>
        <v>-1.18501812090002</v>
      </c>
      <c r="M40" s="36" t="n">
        <v>1.23966092899928</v>
      </c>
      <c r="N40" s="36" t="n">
        <v>2.13740766541741</v>
      </c>
      <c r="O40" s="36" t="n">
        <f aca="false">SQRT(M40^2+N40^2)</f>
        <v>2.47088460820664</v>
      </c>
      <c r="P40" s="40" t="n">
        <f aca="false">IF(J40="","",MAX(0,J40-1.96*O40/100))</f>
        <v>0.361516515198671</v>
      </c>
      <c r="Q40" s="40" t="n">
        <f aca="false">IF(J40="","",MIN(1,J40+1.96*O40/100))</f>
        <v>0.458375191840371</v>
      </c>
      <c r="R40" s="32" t="str">
        <f aca="false">IF(L40="","",IF(ABS(L40)&lt;=O40,"Yes","No"))</f>
        <v>Yes</v>
      </c>
      <c r="S40" s="32" t="str">
        <f aca="false">IF(L40="","",IF(ABS(L40)&lt;=1.96*O40,"Yes","No"))</f>
        <v>Yes</v>
      </c>
      <c r="T40" s="60" t="n">
        <f aca="false">IF(D40="","",ROUND(SQRT(((D40+G40)*O40/100)^2+(J40*(D40+G40)*0.02225)^2),0))</f>
        <v>185</v>
      </c>
      <c r="U40" s="32"/>
    </row>
    <row r="41" customFormat="false" ht="15" hidden="false" customHeight="false" outlineLevel="0" collapsed="false">
      <c r="A41" s="32" t="s">
        <v>192</v>
      </c>
      <c r="B41" s="32" t="s">
        <v>209</v>
      </c>
      <c r="C41" s="32" t="s">
        <v>164</v>
      </c>
      <c r="D41" s="60" t="n">
        <v>3017</v>
      </c>
      <c r="E41" s="60" t="n">
        <v>3239</v>
      </c>
      <c r="F41" s="69" t="n">
        <f aca="false">IF(E41="","",D41-E41)</f>
        <v>-222</v>
      </c>
      <c r="G41" s="60" t="n">
        <v>3006</v>
      </c>
      <c r="H41" s="60" t="n">
        <v>3129</v>
      </c>
      <c r="I41" s="69" t="n">
        <f aca="false">IF(H41="","",G41-H41)</f>
        <v>-123</v>
      </c>
      <c r="J41" s="40" t="n">
        <f aca="false">IF(OR(D41="",D41+G41=0),"",D41/(D41+G41))</f>
        <v>0.500913166196248</v>
      </c>
      <c r="K41" s="40" t="n">
        <f aca="false">IF(E41="","",E41/(E41+H41))</f>
        <v>0.508636934673367</v>
      </c>
      <c r="L41" s="70" t="n">
        <f aca="false">IF(OR(K41="",J41=""),"",(J41-K41)*100)</f>
        <v>-0.772376847711909</v>
      </c>
      <c r="M41" s="36" t="n">
        <v>1.23966092899928</v>
      </c>
      <c r="N41" s="36" t="n">
        <v>2.13740766541741</v>
      </c>
      <c r="O41" s="36" t="n">
        <f aca="false">SQRT(M41^2+N41^2)</f>
        <v>2.47088460820664</v>
      </c>
      <c r="P41" s="40" t="n">
        <f aca="false">IF(J41="","",MAX(0,J41-1.96*O41/100))</f>
        <v>0.452483827875398</v>
      </c>
      <c r="Q41" s="40" t="n">
        <f aca="false">IF(J41="","",MIN(1,J41+1.96*O41/100))</f>
        <v>0.549342504517098</v>
      </c>
      <c r="R41" s="32" t="str">
        <f aca="false">IF(L41="","",IF(ABS(L41)&lt;=O41,"Yes","No"))</f>
        <v>Yes</v>
      </c>
      <c r="S41" s="32" t="str">
        <f aca="false">IF(L41="","",IF(ABS(L41)&lt;=1.96*O41,"Yes","No"))</f>
        <v>Yes</v>
      </c>
      <c r="T41" s="60" t="n">
        <f aca="false">IF(D41="","",ROUND(SQRT(((D41+G41)*O41/100)^2+(J41*(D41+G41)*0.02225)^2),0))</f>
        <v>163</v>
      </c>
      <c r="U41" s="32"/>
    </row>
    <row r="42" customFormat="false" ht="15" hidden="false" customHeight="false" outlineLevel="0" collapsed="false">
      <c r="A42" s="32" t="s">
        <v>192</v>
      </c>
      <c r="B42" s="32" t="s">
        <v>210</v>
      </c>
      <c r="C42" s="32" t="s">
        <v>164</v>
      </c>
      <c r="D42" s="60" t="n">
        <v>558</v>
      </c>
      <c r="E42" s="60" t="n">
        <v>611</v>
      </c>
      <c r="F42" s="69" t="n">
        <f aca="false">IF(E42="","",D42-E42)</f>
        <v>-53</v>
      </c>
      <c r="G42" s="60" t="n">
        <v>755</v>
      </c>
      <c r="H42" s="60" t="n">
        <v>740</v>
      </c>
      <c r="I42" s="69" t="n">
        <f aca="false">IF(H42="","",G42-H42)</f>
        <v>15</v>
      </c>
      <c r="J42" s="40" t="n">
        <f aca="false">IF(OR(D42="",D42+G42=0),"",D42/(D42+G42))</f>
        <v>0.424980959634425</v>
      </c>
      <c r="K42" s="40" t="n">
        <f aca="false">IF(E42="","",E42/(E42+H42))</f>
        <v>0.452257586972613</v>
      </c>
      <c r="L42" s="70" t="n">
        <f aca="false">IF(OR(K42="",J42=""),"",(J42-K42)*100)</f>
        <v>-2.72766273381879</v>
      </c>
      <c r="M42" s="36" t="n">
        <v>2.25632701588549</v>
      </c>
      <c r="N42" s="36" t="n">
        <v>2.13740766541741</v>
      </c>
      <c r="O42" s="36" t="n">
        <f aca="false">SQRT(M42^2+N42^2)</f>
        <v>3.10797733756214</v>
      </c>
      <c r="P42" s="40" t="n">
        <f aca="false">IF(J42="","",MAX(0,J42-1.96*O42/100))</f>
        <v>0.364064603818207</v>
      </c>
      <c r="Q42" s="40" t="n">
        <f aca="false">IF(J42="","",MIN(1,J42+1.96*O42/100))</f>
        <v>0.485897315450643</v>
      </c>
      <c r="R42" s="32" t="str">
        <f aca="false">IF(L42="","",IF(ABS(L42)&lt;=O42,"Yes","No"))</f>
        <v>Yes</v>
      </c>
      <c r="S42" s="32" t="str">
        <f aca="false">IF(L42="","",IF(ABS(L42)&lt;=1.96*O42,"Yes","No"))</f>
        <v>Yes</v>
      </c>
      <c r="T42" s="60" t="n">
        <f aca="false">IF(D42="","",ROUND(SQRT(((D42+G42)*O42/100)^2+(J42*(D42+G42)*0.03811)^2),0))</f>
        <v>46</v>
      </c>
      <c r="U42" s="32"/>
    </row>
    <row r="43" customFormat="false" ht="15" hidden="false" customHeight="false" outlineLevel="0" collapsed="false">
      <c r="A43" s="32" t="s">
        <v>192</v>
      </c>
      <c r="B43" s="32" t="s">
        <v>211</v>
      </c>
      <c r="C43" s="32" t="s">
        <v>164</v>
      </c>
      <c r="D43" s="60" t="n">
        <v>5017</v>
      </c>
      <c r="E43" s="60" t="n">
        <v>5699</v>
      </c>
      <c r="F43" s="69" t="n">
        <f aca="false">IF(E43="","",D43-E43)</f>
        <v>-682</v>
      </c>
      <c r="G43" s="60" t="n">
        <v>4642</v>
      </c>
      <c r="H43" s="60" t="n">
        <v>4420</v>
      </c>
      <c r="I43" s="69" t="n">
        <f aca="false">IF(H43="","",G43-H43)</f>
        <v>222</v>
      </c>
      <c r="J43" s="40" t="n">
        <f aca="false">IF(OR(D43="",D43+G43=0),"",D43/(D43+G43))</f>
        <v>0.519411947406564</v>
      </c>
      <c r="K43" s="40" t="n">
        <f aca="false">IF(E43="","",E43/(E43+H43))</f>
        <v>0.563197944460915</v>
      </c>
      <c r="L43" s="70" t="n">
        <f aca="false">IF(OR(K43="",J43=""),"",(J43-K43)*100)</f>
        <v>-4.37859970543513</v>
      </c>
      <c r="M43" s="36" t="n">
        <v>1.23966092899928</v>
      </c>
      <c r="N43" s="36" t="n">
        <v>2.13740766541741</v>
      </c>
      <c r="O43" s="36" t="n">
        <f aca="false">SQRT(M43^2+N43^2)</f>
        <v>2.47088460820664</v>
      </c>
      <c r="P43" s="40" t="n">
        <f aca="false">IF(J43="","",MAX(0,J43-1.96*O43/100))</f>
        <v>0.470982609085714</v>
      </c>
      <c r="Q43" s="40" t="n">
        <f aca="false">IF(J43="","",MIN(1,J43+1.96*O43/100))</f>
        <v>0.567841285727414</v>
      </c>
      <c r="R43" s="32" t="str">
        <f aca="false">IF(L43="","",IF(ABS(L43)&lt;=O43,"Yes","No"))</f>
        <v>No</v>
      </c>
      <c r="S43" s="32" t="str">
        <f aca="false">IF(L43="","",IF(ABS(L43)&lt;=1.96*O43,"Yes","No"))</f>
        <v>Yes</v>
      </c>
      <c r="T43" s="60" t="n">
        <f aca="false">IF(D43="","",ROUND(SQRT(((D43+G43)*O43/100)^2+(J43*(D43+G43)*0.02225)^2),0))</f>
        <v>263</v>
      </c>
      <c r="U43" s="32"/>
    </row>
    <row r="44" customFormat="false" ht="15" hidden="false" customHeight="false" outlineLevel="0" collapsed="false">
      <c r="A44" s="32" t="s">
        <v>192</v>
      </c>
      <c r="B44" s="32" t="s">
        <v>212</v>
      </c>
      <c r="C44" s="32" t="s">
        <v>164</v>
      </c>
      <c r="D44" s="60" t="n">
        <v>5480</v>
      </c>
      <c r="E44" s="60" t="n">
        <v>6009</v>
      </c>
      <c r="F44" s="69" t="n">
        <f aca="false">IF(E44="","",D44-E44)</f>
        <v>-529</v>
      </c>
      <c r="G44" s="60" t="n">
        <v>5321</v>
      </c>
      <c r="H44" s="60" t="n">
        <v>5257</v>
      </c>
      <c r="I44" s="69" t="n">
        <f aca="false">IF(H44="","",G44-H44)</f>
        <v>64</v>
      </c>
      <c r="J44" s="40" t="n">
        <f aca="false">IF(OR(D44="",D44+G44=0),"",D44/(D44+G44))</f>
        <v>0.507360429589853</v>
      </c>
      <c r="K44" s="40" t="n">
        <f aca="false">IF(E44="","",E44/(E44+H44))</f>
        <v>0.533374755902716</v>
      </c>
      <c r="L44" s="70" t="n">
        <f aca="false">IF(OR(K44="",J44=""),"",(J44-K44)*100)</f>
        <v>-2.60143263128633</v>
      </c>
      <c r="M44" s="36" t="n">
        <v>1.23966092899928</v>
      </c>
      <c r="N44" s="36" t="n">
        <v>2.13740766541741</v>
      </c>
      <c r="O44" s="36" t="n">
        <f aca="false">SQRT(M44^2+N44^2)</f>
        <v>2.47088460820664</v>
      </c>
      <c r="P44" s="40" t="n">
        <f aca="false">IF(J44="","",MAX(0,J44-1.96*O44/100))</f>
        <v>0.458931091269003</v>
      </c>
      <c r="Q44" s="40" t="n">
        <f aca="false">IF(J44="","",MIN(1,J44+1.96*O44/100))</f>
        <v>0.555789767910703</v>
      </c>
      <c r="R44" s="32" t="str">
        <f aca="false">IF(L44="","",IF(ABS(L44)&lt;=O44,"Yes","No"))</f>
        <v>No</v>
      </c>
      <c r="S44" s="32" t="str">
        <f aca="false">IF(L44="","",IF(ABS(L44)&lt;=1.96*O44,"Yes","No"))</f>
        <v>Yes</v>
      </c>
      <c r="T44" s="60" t="n">
        <f aca="false">IF(D44="","",ROUND(SQRT(((D44+G44)*O44/100)^2+(J44*(D44+G44)*0.02225)^2),0))</f>
        <v>293</v>
      </c>
      <c r="U44" s="32"/>
    </row>
    <row r="45" customFormat="false" ht="15" hidden="false" customHeight="false" outlineLevel="0" collapsed="false">
      <c r="A45" s="32" t="s">
        <v>192</v>
      </c>
      <c r="B45" s="32" t="s">
        <v>213</v>
      </c>
      <c r="C45" s="32" t="s">
        <v>164</v>
      </c>
      <c r="D45" s="60" t="n">
        <v>1715</v>
      </c>
      <c r="E45" s="60" t="n">
        <v>2032</v>
      </c>
      <c r="F45" s="69" t="n">
        <f aca="false">IF(E45="","",D45-E45)</f>
        <v>-317</v>
      </c>
      <c r="G45" s="60" t="n">
        <v>2421</v>
      </c>
      <c r="H45" s="60" t="n">
        <v>2450</v>
      </c>
      <c r="I45" s="69" t="n">
        <f aca="false">IF(H45="","",G45-H45)</f>
        <v>-29</v>
      </c>
      <c r="J45" s="40" t="n">
        <f aca="false">IF(OR(D45="",D45+G45=0),"",D45/(D45+G45))</f>
        <v>0.414651837524178</v>
      </c>
      <c r="K45" s="40" t="n">
        <f aca="false">IF(E45="","",E45/(E45+H45))</f>
        <v>0.453369031682285</v>
      </c>
      <c r="L45" s="70" t="n">
        <f aca="false">IF(OR(K45="",J45=""),"",(J45-K45)*100)</f>
        <v>-3.87171941581068</v>
      </c>
      <c r="M45" s="36" t="n">
        <v>1.23966092899928</v>
      </c>
      <c r="N45" s="36" t="n">
        <v>2.13740766541741</v>
      </c>
      <c r="O45" s="36" t="n">
        <f aca="false">SQRT(M45^2+N45^2)</f>
        <v>2.47088460820664</v>
      </c>
      <c r="P45" s="40" t="n">
        <f aca="false">IF(J45="","",MAX(0,J45-1.96*O45/100))</f>
        <v>0.366222499203328</v>
      </c>
      <c r="Q45" s="40" t="n">
        <f aca="false">IF(J45="","",MIN(1,J45+1.96*O45/100))</f>
        <v>0.463081175845028</v>
      </c>
      <c r="R45" s="32" t="str">
        <f aca="false">IF(L45="","",IF(ABS(L45)&lt;=O45,"Yes","No"))</f>
        <v>No</v>
      </c>
      <c r="S45" s="32" t="str">
        <f aca="false">IF(L45="","",IF(ABS(L45)&lt;=1.96*O45,"Yes","No"))</f>
        <v>Yes</v>
      </c>
      <c r="T45" s="60" t="n">
        <f aca="false">IF(D45="","",ROUND(SQRT(((D45+G45)*O45/100)^2+(J45*(D45+G45)*0.02225)^2),0))</f>
        <v>109</v>
      </c>
      <c r="U45" s="32"/>
    </row>
    <row r="46" customFormat="false" ht="15" hidden="false" customHeight="false" outlineLevel="0" collapsed="false">
      <c r="A46" s="32" t="s">
        <v>192</v>
      </c>
      <c r="B46" s="32" t="s">
        <v>214</v>
      </c>
      <c r="C46" s="32" t="s">
        <v>164</v>
      </c>
      <c r="D46" s="60" t="n">
        <v>3779</v>
      </c>
      <c r="E46" s="60" t="n">
        <v>4406</v>
      </c>
      <c r="F46" s="69" t="n">
        <f aca="false">IF(E46="","",D46-E46)</f>
        <v>-627</v>
      </c>
      <c r="G46" s="60" t="n">
        <v>4310</v>
      </c>
      <c r="H46" s="60" t="n">
        <v>4369</v>
      </c>
      <c r="I46" s="69" t="n">
        <f aca="false">IF(H46="","",G46-H46)</f>
        <v>-59</v>
      </c>
      <c r="J46" s="40" t="n">
        <f aca="false">IF(OR(D46="",D46+G46=0),"",D46/(D46+G46))</f>
        <v>0.467177648658672</v>
      </c>
      <c r="K46" s="40" t="n">
        <f aca="false">IF(E46="","",E46/(E46+H46))</f>
        <v>0.502108262108262</v>
      </c>
      <c r="L46" s="70" t="n">
        <f aca="false">IF(OR(K46="",J46=""),"",(J46-K46)*100)</f>
        <v>-3.49306134495898</v>
      </c>
      <c r="M46" s="36" t="n">
        <v>1.23966092899928</v>
      </c>
      <c r="N46" s="36" t="n">
        <v>2.13740766541741</v>
      </c>
      <c r="O46" s="36" t="n">
        <f aca="false">SQRT(M46^2+N46^2)</f>
        <v>2.47088460820664</v>
      </c>
      <c r="P46" s="40" t="n">
        <f aca="false">IF(J46="","",MAX(0,J46-1.96*O46/100))</f>
        <v>0.418748310337822</v>
      </c>
      <c r="Q46" s="40" t="n">
        <f aca="false">IF(J46="","",MIN(1,J46+1.96*O46/100))</f>
        <v>0.515606986979523</v>
      </c>
      <c r="R46" s="32" t="str">
        <f aca="false">IF(L46="","",IF(ABS(L46)&lt;=O46,"Yes","No"))</f>
        <v>No</v>
      </c>
      <c r="S46" s="32" t="str">
        <f aca="false">IF(L46="","",IF(ABS(L46)&lt;=1.96*O46,"Yes","No"))</f>
        <v>Yes</v>
      </c>
      <c r="T46" s="60" t="n">
        <f aca="false">IF(D46="","",ROUND(SQRT(((D46+G46)*O46/100)^2+(J46*(D46+G46)*0.02225)^2),0))</f>
        <v>217</v>
      </c>
      <c r="U46" s="32"/>
    </row>
    <row r="47" customFormat="false" ht="15" hidden="false" customHeight="false" outlineLevel="0" collapsed="false">
      <c r="A47" s="32" t="s">
        <v>192</v>
      </c>
      <c r="B47" s="32" t="s">
        <v>215</v>
      </c>
      <c r="C47" s="32" t="s">
        <v>164</v>
      </c>
      <c r="D47" s="60" t="n">
        <v>925</v>
      </c>
      <c r="E47" s="60" t="n">
        <v>1054</v>
      </c>
      <c r="F47" s="69" t="n">
        <f aca="false">IF(E47="","",D47-E47)</f>
        <v>-129</v>
      </c>
      <c r="G47" s="60" t="n">
        <v>1728</v>
      </c>
      <c r="H47" s="60" t="n">
        <v>1952</v>
      </c>
      <c r="I47" s="69" t="n">
        <f aca="false">IF(H47="","",G47-H47)</f>
        <v>-224</v>
      </c>
      <c r="J47" s="40" t="n">
        <f aca="false">IF(OR(D47="",D47+G47=0),"",D47/(D47+G47))</f>
        <v>0.348661892197512</v>
      </c>
      <c r="K47" s="40" t="n">
        <f aca="false">IF(E47="","",E47/(E47+H47))</f>
        <v>0.350632069194943</v>
      </c>
      <c r="L47" s="70" t="n">
        <f aca="false">IF(OR(K47="",J47=""),"",(J47-K47)*100)</f>
        <v>-0.197017699743118</v>
      </c>
      <c r="M47" s="36" t="n">
        <v>1.23966092899928</v>
      </c>
      <c r="N47" s="36" t="n">
        <v>2.13740766541741</v>
      </c>
      <c r="O47" s="36" t="n">
        <f aca="false">SQRT(M47^2+N47^2)</f>
        <v>2.47088460820664</v>
      </c>
      <c r="P47" s="40" t="n">
        <f aca="false">IF(J47="","",MAX(0,J47-1.96*O47/100))</f>
        <v>0.300232553876662</v>
      </c>
      <c r="Q47" s="40" t="n">
        <f aca="false">IF(J47="","",MIN(1,J47+1.96*O47/100))</f>
        <v>0.397091230518362</v>
      </c>
      <c r="R47" s="32" t="str">
        <f aca="false">IF(L47="","",IF(ABS(L47)&lt;=O47,"Yes","No"))</f>
        <v>Yes</v>
      </c>
      <c r="S47" s="32" t="str">
        <f aca="false">IF(L47="","",IF(ABS(L47)&lt;=1.96*O47,"Yes","No"))</f>
        <v>Yes</v>
      </c>
      <c r="T47" s="60" t="n">
        <f aca="false">IF(D47="","",ROUND(SQRT(((D47+G47)*O47/100)^2+(J47*(D47+G47)*0.02225)^2),0))</f>
        <v>69</v>
      </c>
      <c r="U47" s="32"/>
    </row>
    <row r="48" customFormat="false" ht="15" hidden="false" customHeight="false" outlineLevel="0" collapsed="false">
      <c r="A48" s="32" t="s">
        <v>192</v>
      </c>
      <c r="B48" s="32" t="s">
        <v>216</v>
      </c>
      <c r="C48" s="32" t="s">
        <v>164</v>
      </c>
      <c r="D48" s="60" t="n">
        <v>881</v>
      </c>
      <c r="E48" s="60" t="n">
        <v>981</v>
      </c>
      <c r="F48" s="69" t="n">
        <f aca="false">IF(E48="","",D48-E48)</f>
        <v>-100</v>
      </c>
      <c r="G48" s="60" t="n">
        <v>1648</v>
      </c>
      <c r="H48" s="60" t="n">
        <v>1711</v>
      </c>
      <c r="I48" s="69" t="n">
        <f aca="false">IF(H48="","",G48-H48)</f>
        <v>-63</v>
      </c>
      <c r="J48" s="40" t="n">
        <f aca="false">IF(OR(D48="",D48+G48=0),"",D48/(D48+G48))</f>
        <v>0.348359035191775</v>
      </c>
      <c r="K48" s="40" t="n">
        <f aca="false">IF(E48="","",E48/(E48+H48))</f>
        <v>0.364413075780089</v>
      </c>
      <c r="L48" s="70" t="n">
        <f aca="false">IF(OR(K48="",J48=""),"",(J48-K48)*100)</f>
        <v>-1.60540405883137</v>
      </c>
      <c r="M48" s="36" t="n">
        <v>2.25632701588549</v>
      </c>
      <c r="N48" s="36" t="n">
        <v>2.13740766541741</v>
      </c>
      <c r="O48" s="36" t="n">
        <f aca="false">SQRT(M48^2+N48^2)</f>
        <v>3.10797733756214</v>
      </c>
      <c r="P48" s="40" t="n">
        <f aca="false">IF(J48="","",MAX(0,J48-1.96*O48/100))</f>
        <v>0.287442679375557</v>
      </c>
      <c r="Q48" s="40" t="n">
        <f aca="false">IF(J48="","",MIN(1,J48+1.96*O48/100))</f>
        <v>0.409275391007993</v>
      </c>
      <c r="R48" s="32" t="str">
        <f aca="false">IF(L48="","",IF(ABS(L48)&lt;=O48,"Yes","No"))</f>
        <v>Yes</v>
      </c>
      <c r="S48" s="32" t="str">
        <f aca="false">IF(L48="","",IF(ABS(L48)&lt;=1.96*O48,"Yes","No"))</f>
        <v>Yes</v>
      </c>
      <c r="T48" s="60" t="n">
        <f aca="false">IF(D48="","",ROUND(SQRT(((D48+G48)*O48/100)^2+(J48*(D48+G48)*0.03811)^2),0))</f>
        <v>85</v>
      </c>
      <c r="U48" s="32"/>
    </row>
    <row r="49" customFormat="false" ht="15" hidden="false" customHeight="false" outlineLevel="0" collapsed="false">
      <c r="A49" s="32" t="s">
        <v>192</v>
      </c>
      <c r="B49" s="32" t="s">
        <v>217</v>
      </c>
      <c r="C49" s="32" t="s">
        <v>164</v>
      </c>
      <c r="D49" s="60" t="n">
        <v>5061</v>
      </c>
      <c r="E49" s="60" t="n">
        <v>5508</v>
      </c>
      <c r="F49" s="69" t="n">
        <f aca="false">IF(E49="","",D49-E49)</f>
        <v>-447</v>
      </c>
      <c r="G49" s="60" t="n">
        <v>4799</v>
      </c>
      <c r="H49" s="60" t="n">
        <v>4784</v>
      </c>
      <c r="I49" s="69" t="n">
        <f aca="false">IF(H49="","",G49-H49)</f>
        <v>15</v>
      </c>
      <c r="J49" s="40" t="n">
        <f aca="false">IF(OR(D49="",D49+G49=0),"",D49/(D49+G49))</f>
        <v>0.513286004056795</v>
      </c>
      <c r="K49" s="40" t="n">
        <f aca="false">IF(E49="","",E49/(E49+H49))</f>
        <v>0.535172949863972</v>
      </c>
      <c r="L49" s="70" t="n">
        <f aca="false">IF(OR(K49="",J49=""),"",(J49-K49)*100)</f>
        <v>-2.18869458071769</v>
      </c>
      <c r="M49" s="36" t="n">
        <v>1.23966092899928</v>
      </c>
      <c r="N49" s="36" t="n">
        <v>2.13740766541741</v>
      </c>
      <c r="O49" s="36" t="n">
        <f aca="false">SQRT(M49^2+N49^2)</f>
        <v>2.47088460820664</v>
      </c>
      <c r="P49" s="40" t="n">
        <f aca="false">IF(J49="","",MAX(0,J49-1.96*O49/100))</f>
        <v>0.464856665735945</v>
      </c>
      <c r="Q49" s="40" t="n">
        <f aca="false">IF(J49="","",MIN(1,J49+1.96*O49/100))</f>
        <v>0.561715342377645</v>
      </c>
      <c r="R49" s="32" t="str">
        <f aca="false">IF(L49="","",IF(ABS(L49)&lt;=O49,"Yes","No"))</f>
        <v>Yes</v>
      </c>
      <c r="S49" s="32" t="str">
        <f aca="false">IF(L49="","",IF(ABS(L49)&lt;=1.96*O49,"Yes","No"))</f>
        <v>Yes</v>
      </c>
      <c r="T49" s="60" t="n">
        <f aca="false">IF(D49="","",ROUND(SQRT(((D49+G49)*O49/100)^2+(J49*(D49+G49)*0.02225)^2),0))</f>
        <v>268</v>
      </c>
      <c r="U49" s="32"/>
    </row>
    <row r="50" customFormat="false" ht="15" hidden="false" customHeight="false" outlineLevel="0" collapsed="false">
      <c r="A50" s="32" t="s">
        <v>218</v>
      </c>
      <c r="B50" s="32" t="s">
        <v>219</v>
      </c>
      <c r="C50" s="32" t="s">
        <v>164</v>
      </c>
      <c r="D50" s="60" t="n">
        <v>375</v>
      </c>
      <c r="E50" s="60" t="n">
        <v>361</v>
      </c>
      <c r="F50" s="69" t="n">
        <f aca="false">IF(E50="","",D50-E50)</f>
        <v>14</v>
      </c>
      <c r="G50" s="60" t="n">
        <v>673</v>
      </c>
      <c r="H50" s="60" t="n">
        <v>824</v>
      </c>
      <c r="I50" s="69" t="n">
        <f aca="false">IF(H50="","",G50-H50)</f>
        <v>-151</v>
      </c>
      <c r="J50" s="40" t="n">
        <f aca="false">IF(OR(D50="",D50+G50=0),"",D50/(D50+G50))</f>
        <v>0.357824427480916</v>
      </c>
      <c r="K50" s="40" t="n">
        <f aca="false">IF(E50="","",E50/(E50+H50))</f>
        <v>0.30464135021097</v>
      </c>
      <c r="L50" s="70" t="n">
        <f aca="false">IF(OR(K50="",J50=""),"",(J50-K50)*100)</f>
        <v>5.31830772699456</v>
      </c>
      <c r="M50" s="36" t="n">
        <v>3.39287279657052</v>
      </c>
      <c r="N50" s="36" t="n">
        <v>2.13740766541741</v>
      </c>
      <c r="O50" s="36" t="n">
        <f aca="false">SQRT(M50^2+N50^2)</f>
        <v>4.00999966856525</v>
      </c>
      <c r="P50" s="40" t="n">
        <f aca="false">IF(J50="","",MAX(0,J50-1.96*O50/100))</f>
        <v>0.279228433977037</v>
      </c>
      <c r="Q50" s="40" t="n">
        <f aca="false">IF(J50="","",MIN(1,J50+1.96*O50/100))</f>
        <v>0.436420420984795</v>
      </c>
      <c r="R50" s="32" t="str">
        <f aca="false">IF(L50="","",IF(ABS(L50)&lt;=O50,"Yes","No"))</f>
        <v>No</v>
      </c>
      <c r="S50" s="32" t="str">
        <f aca="false">IF(L50="","",IF(ABS(L50)&lt;=1.96*O50,"Yes","No"))</f>
        <v>Yes</v>
      </c>
      <c r="T50" s="60" t="n">
        <f aca="false">IF(D50="","",ROUND(SQRT(((D50+G50)*O50/100)^2+(J50*(D50+G50)*0.0534)^2),0))</f>
        <v>47</v>
      </c>
      <c r="U50" s="32"/>
    </row>
    <row r="51" customFormat="false" ht="15" hidden="false" customHeight="false" outlineLevel="0" collapsed="false">
      <c r="A51" s="32" t="s">
        <v>218</v>
      </c>
      <c r="B51" s="32" t="s">
        <v>220</v>
      </c>
      <c r="C51" s="32" t="s">
        <v>164</v>
      </c>
      <c r="D51" s="60" t="n">
        <v>1019</v>
      </c>
      <c r="E51" s="60" t="n">
        <v>1021</v>
      </c>
      <c r="F51" s="69" t="n">
        <f aca="false">IF(E51="","",D51-E51)</f>
        <v>-2</v>
      </c>
      <c r="G51" s="60" t="n">
        <v>1769</v>
      </c>
      <c r="H51" s="60" t="n">
        <v>1984</v>
      </c>
      <c r="I51" s="69" t="n">
        <f aca="false">IF(H51="","",G51-H51)</f>
        <v>-215</v>
      </c>
      <c r="J51" s="40" t="n">
        <f aca="false">IF(OR(D51="",D51+G51=0),"",D51/(D51+G51))</f>
        <v>0.365494978479197</v>
      </c>
      <c r="K51" s="40" t="n">
        <f aca="false">IF(E51="","",E51/(E51+H51))</f>
        <v>0.339767054908486</v>
      </c>
      <c r="L51" s="70" t="n">
        <f aca="false">IF(OR(K51="",J51=""),"",(J51-K51)*100)</f>
        <v>2.57279235707107</v>
      </c>
      <c r="M51" s="36" t="n">
        <v>1.23966092899928</v>
      </c>
      <c r="N51" s="36" t="n">
        <v>2.13740766541741</v>
      </c>
      <c r="O51" s="36" t="n">
        <f aca="false">SQRT(M51^2+N51^2)</f>
        <v>2.47088460820664</v>
      </c>
      <c r="P51" s="40" t="n">
        <f aca="false">IF(J51="","",MAX(0,J51-1.96*O51/100))</f>
        <v>0.317065640158346</v>
      </c>
      <c r="Q51" s="40" t="n">
        <f aca="false">IF(J51="","",MIN(1,J51+1.96*O51/100))</f>
        <v>0.413924316800047</v>
      </c>
      <c r="R51" s="32" t="str">
        <f aca="false">IF(L51="","",IF(ABS(L51)&lt;=O51,"Yes","No"))</f>
        <v>No</v>
      </c>
      <c r="S51" s="32" t="str">
        <f aca="false">IF(L51="","",IF(ABS(L51)&lt;=1.96*O51,"Yes","No"))</f>
        <v>Yes</v>
      </c>
      <c r="T51" s="60" t="n">
        <f aca="false">IF(D51="","",ROUND(SQRT(((D51+G51)*O51/100)^2+(J51*(D51+G51)*0.02225)^2),0))</f>
        <v>73</v>
      </c>
      <c r="U51" s="32"/>
    </row>
    <row r="52" customFormat="false" ht="15" hidden="false" customHeight="false" outlineLevel="0" collapsed="false">
      <c r="A52" s="32" t="s">
        <v>218</v>
      </c>
      <c r="B52" s="32" t="s">
        <v>221</v>
      </c>
      <c r="C52" s="32" t="s">
        <v>164</v>
      </c>
      <c r="D52" s="60" t="n">
        <v>341</v>
      </c>
      <c r="E52" s="60" t="n">
        <v>380</v>
      </c>
      <c r="F52" s="69" t="n">
        <f aca="false">IF(E52="","",D52-E52)</f>
        <v>-39</v>
      </c>
      <c r="G52" s="60" t="n">
        <v>523</v>
      </c>
      <c r="H52" s="60" t="n">
        <v>732</v>
      </c>
      <c r="I52" s="69" t="n">
        <f aca="false">IF(H52="","",G52-H52)</f>
        <v>-209</v>
      </c>
      <c r="J52" s="40" t="n">
        <f aca="false">IF(OR(D52="",D52+G52=0),"",D52/(D52+G52))</f>
        <v>0.394675925925926</v>
      </c>
      <c r="K52" s="40" t="n">
        <f aca="false">IF(E52="","",E52/(E52+H52))</f>
        <v>0.341726618705036</v>
      </c>
      <c r="L52" s="70" t="n">
        <f aca="false">IF(OR(K52="",J52=""),"",(J52-K52)*100)</f>
        <v>5.294930722089</v>
      </c>
      <c r="M52" s="36" t="n">
        <v>3.39287279657052</v>
      </c>
      <c r="N52" s="36" t="n">
        <v>2.13740766541741</v>
      </c>
      <c r="O52" s="36" t="n">
        <f aca="false">SQRT(M52^2+N52^2)</f>
        <v>4.00999966856525</v>
      </c>
      <c r="P52" s="40" t="n">
        <f aca="false">IF(J52="","",MAX(0,J52-1.96*O52/100))</f>
        <v>0.316079932422047</v>
      </c>
      <c r="Q52" s="40" t="n">
        <f aca="false">IF(J52="","",MIN(1,J52+1.96*O52/100))</f>
        <v>0.473271919429805</v>
      </c>
      <c r="R52" s="32" t="str">
        <f aca="false">IF(L52="","",IF(ABS(L52)&lt;=O52,"Yes","No"))</f>
        <v>No</v>
      </c>
      <c r="S52" s="32" t="str">
        <f aca="false">IF(L52="","",IF(ABS(L52)&lt;=1.96*O52,"Yes","No"))</f>
        <v>Yes</v>
      </c>
      <c r="T52" s="60" t="n">
        <f aca="false">IF(D52="","",ROUND(SQRT(((D52+G52)*O52/100)^2+(J52*(D52+G52)*0.0534)^2),0))</f>
        <v>39</v>
      </c>
      <c r="U52" s="32"/>
    </row>
    <row r="53" customFormat="false" ht="15" hidden="false" customHeight="false" outlineLevel="0" collapsed="false">
      <c r="A53" s="32" t="s">
        <v>222</v>
      </c>
      <c r="B53" s="32" t="s">
        <v>223</v>
      </c>
      <c r="C53" s="32" t="s">
        <v>164</v>
      </c>
      <c r="D53" s="60" t="n">
        <v>1002</v>
      </c>
      <c r="E53" s="60" t="n">
        <v>1174</v>
      </c>
      <c r="F53" s="69" t="n">
        <f aca="false">IF(E53="","",D53-E53)</f>
        <v>-172</v>
      </c>
      <c r="G53" s="60" t="n">
        <v>1345</v>
      </c>
      <c r="H53" s="60" t="n">
        <v>1426</v>
      </c>
      <c r="I53" s="69" t="n">
        <f aca="false">IF(H53="","",G53-H53)</f>
        <v>-81</v>
      </c>
      <c r="J53" s="40" t="n">
        <f aca="false">IF(OR(D53="",D53+G53=0),"",D53/(D53+G53))</f>
        <v>0.426927993182787</v>
      </c>
      <c r="K53" s="40" t="n">
        <f aca="false">IF(E53="","",E53/(E53+H53))</f>
        <v>0.451538461538462</v>
      </c>
      <c r="L53" s="70" t="n">
        <f aca="false">IF(OR(K53="",J53=""),"",(J53-K53)*100)</f>
        <v>-2.4610468355675</v>
      </c>
      <c r="M53" s="36" t="n">
        <v>2.25632701588549</v>
      </c>
      <c r="N53" s="36" t="n">
        <v>2.13740766541741</v>
      </c>
      <c r="O53" s="36" t="n">
        <f aca="false">SQRT(M53^2+N53^2)</f>
        <v>3.10797733756214</v>
      </c>
      <c r="P53" s="40" t="n">
        <f aca="false">IF(J53="","",MAX(0,J53-1.96*O53/100))</f>
        <v>0.366011637366569</v>
      </c>
      <c r="Q53" s="40" t="n">
        <f aca="false">IF(J53="","",MIN(1,J53+1.96*O53/100))</f>
        <v>0.487844348999005</v>
      </c>
      <c r="R53" s="32" t="str">
        <f aca="false">IF(L53="","",IF(ABS(L53)&lt;=O53,"Yes","No"))</f>
        <v>Yes</v>
      </c>
      <c r="S53" s="32" t="str">
        <f aca="false">IF(L53="","",IF(ABS(L53)&lt;=1.96*O53,"Yes","No"))</f>
        <v>Yes</v>
      </c>
      <c r="T53" s="60" t="n">
        <f aca="false">IF(D53="","",ROUND(SQRT(((D53+G53)*O53/100)^2+(J53*(D53+G53)*0.03811)^2),0))</f>
        <v>82</v>
      </c>
      <c r="U53" s="32"/>
    </row>
    <row r="54" customFormat="false" ht="15" hidden="false" customHeight="false" outlineLevel="0" collapsed="false">
      <c r="A54" s="32" t="s">
        <v>222</v>
      </c>
      <c r="B54" s="32" t="s">
        <v>224</v>
      </c>
      <c r="C54" s="32" t="s">
        <v>164</v>
      </c>
      <c r="D54" s="60" t="n">
        <v>673</v>
      </c>
      <c r="E54" s="60" t="n">
        <v>729</v>
      </c>
      <c r="F54" s="69" t="n">
        <f aca="false">IF(E54="","",D54-E54)</f>
        <v>-56</v>
      </c>
      <c r="G54" s="60" t="n">
        <v>901</v>
      </c>
      <c r="H54" s="60" t="n">
        <v>928</v>
      </c>
      <c r="I54" s="69" t="n">
        <f aca="false">IF(H54="","",G54-H54)</f>
        <v>-27</v>
      </c>
      <c r="J54" s="40" t="n">
        <f aca="false">IF(OR(D54="",D54+G54=0),"",D54/(D54+G54))</f>
        <v>0.427573062261754</v>
      </c>
      <c r="K54" s="40" t="n">
        <f aca="false">IF(E54="","",E54/(E54+H54))</f>
        <v>0.43995171997586</v>
      </c>
      <c r="L54" s="70" t="n">
        <f aca="false">IF(OR(K54="",J54=""),"",(J54-K54)*100)</f>
        <v>-1.23786577141065</v>
      </c>
      <c r="M54" s="36" t="n">
        <v>2.25632701588549</v>
      </c>
      <c r="N54" s="36" t="n">
        <v>2.13740766541741</v>
      </c>
      <c r="O54" s="36" t="n">
        <f aca="false">SQRT(M54^2+N54^2)</f>
        <v>3.10797733756214</v>
      </c>
      <c r="P54" s="40" t="n">
        <f aca="false">IF(J54="","",MAX(0,J54-1.96*O54/100))</f>
        <v>0.366656706445536</v>
      </c>
      <c r="Q54" s="40" t="n">
        <f aca="false">IF(J54="","",MIN(1,J54+1.96*O54/100))</f>
        <v>0.488489418077971</v>
      </c>
      <c r="R54" s="32" t="str">
        <f aca="false">IF(L54="","",IF(ABS(L54)&lt;=O54,"Yes","No"))</f>
        <v>Yes</v>
      </c>
      <c r="S54" s="32" t="str">
        <f aca="false">IF(L54="","",IF(ABS(L54)&lt;=1.96*O54,"Yes","No"))</f>
        <v>Yes</v>
      </c>
      <c r="T54" s="60" t="n">
        <f aca="false">IF(D54="","",ROUND(SQRT(((D54+G54)*O54/100)^2+(J54*(D54+G54)*0.03811)^2),0))</f>
        <v>55</v>
      </c>
      <c r="U54" s="32"/>
    </row>
    <row r="55" customFormat="false" ht="15" hidden="false" customHeight="false" outlineLevel="0" collapsed="false">
      <c r="A55" s="32" t="s">
        <v>222</v>
      </c>
      <c r="B55" s="32" t="s">
        <v>225</v>
      </c>
      <c r="C55" s="32" t="s">
        <v>164</v>
      </c>
      <c r="D55" s="60" t="n">
        <v>413</v>
      </c>
      <c r="E55" s="60" t="n">
        <v>441</v>
      </c>
      <c r="F55" s="69" t="n">
        <f aca="false">IF(E55="","",D55-E55)</f>
        <v>-28</v>
      </c>
      <c r="G55" s="60" t="n">
        <v>461</v>
      </c>
      <c r="H55" s="60" t="n">
        <v>513</v>
      </c>
      <c r="I55" s="69" t="n">
        <f aca="false">IF(H55="","",G55-H55)</f>
        <v>-52</v>
      </c>
      <c r="J55" s="40" t="n">
        <f aca="false">IF(OR(D55="",D55+G55=0),"",D55/(D55+G55))</f>
        <v>0.47254004576659</v>
      </c>
      <c r="K55" s="40" t="n">
        <f aca="false">IF(E55="","",E55/(E55+H55))</f>
        <v>0.462264150943396</v>
      </c>
      <c r="L55" s="70" t="n">
        <f aca="false">IF(OR(K55="",J55=""),"",(J55-K55)*100)</f>
        <v>1.02758948231941</v>
      </c>
      <c r="M55" s="36" t="n">
        <v>3.39287279657052</v>
      </c>
      <c r="N55" s="36" t="n">
        <v>2.13740766541741</v>
      </c>
      <c r="O55" s="36" t="n">
        <f aca="false">SQRT(M55^2+N55^2)</f>
        <v>4.00999966856525</v>
      </c>
      <c r="P55" s="40" t="n">
        <f aca="false">IF(J55="","",MAX(0,J55-1.96*O55/100))</f>
        <v>0.393944052262712</v>
      </c>
      <c r="Q55" s="40" t="n">
        <f aca="false">IF(J55="","",MIN(1,J55+1.96*O55/100))</f>
        <v>0.551136039270469</v>
      </c>
      <c r="R55" s="32" t="str">
        <f aca="false">IF(L55="","",IF(ABS(L55)&lt;=O55,"Yes","No"))</f>
        <v>Yes</v>
      </c>
      <c r="S55" s="32" t="str">
        <f aca="false">IF(L55="","",IF(ABS(L55)&lt;=1.96*O55,"Yes","No"))</f>
        <v>Yes</v>
      </c>
      <c r="T55" s="60" t="n">
        <f aca="false">IF(D55="","",ROUND(SQRT(((D55+G55)*O55/100)^2+(J55*(D55+G55)*0.0534)^2),0))</f>
        <v>41</v>
      </c>
      <c r="U55" s="32"/>
    </row>
    <row r="56" customFormat="false" ht="15" hidden="false" customHeight="false" outlineLevel="0" collapsed="false">
      <c r="A56" s="32" t="s">
        <v>222</v>
      </c>
      <c r="B56" s="32" t="s">
        <v>195</v>
      </c>
      <c r="C56" s="32" t="s">
        <v>164</v>
      </c>
      <c r="D56" s="60" t="n">
        <v>11003</v>
      </c>
      <c r="E56" s="60" t="n">
        <v>12402</v>
      </c>
      <c r="F56" s="69" t="n">
        <f aca="false">IF(E56="","",D56-E56)</f>
        <v>-1399</v>
      </c>
      <c r="G56" s="60" t="n">
        <v>6665</v>
      </c>
      <c r="H56" s="60" t="n">
        <v>5692</v>
      </c>
      <c r="I56" s="69" t="n">
        <f aca="false">IF(H56="","",G56-H56)</f>
        <v>973</v>
      </c>
      <c r="J56" s="40" t="n">
        <f aca="false">IF(OR(D56="",D56+G56=0),"",D56/(D56+G56))</f>
        <v>0.622764319673987</v>
      </c>
      <c r="K56" s="40" t="n">
        <f aca="false">IF(E56="","",E56/(E56+H56))</f>
        <v>0.685420581408202</v>
      </c>
      <c r="L56" s="70" t="n">
        <f aca="false">IF(OR(K56="",J56=""),"",(J56-K56)*100)</f>
        <v>-6.26562617342148</v>
      </c>
      <c r="M56" s="36" t="n">
        <v>1.23966092899928</v>
      </c>
      <c r="N56" s="36" t="n">
        <v>2.13740766541741</v>
      </c>
      <c r="O56" s="36" t="n">
        <f aca="false">SQRT(M56^2+N56^2)</f>
        <v>2.47088460820664</v>
      </c>
      <c r="P56" s="40" t="n">
        <f aca="false">IF(J56="","",MAX(0,J56-1.96*O56/100))</f>
        <v>0.574334981353137</v>
      </c>
      <c r="Q56" s="40" t="n">
        <f aca="false">IF(J56="","",MIN(1,J56+1.96*O56/100))</f>
        <v>0.671193657994837</v>
      </c>
      <c r="R56" s="32" t="str">
        <f aca="false">IF(L56="","",IF(ABS(L56)&lt;=O56,"Yes","No"))</f>
        <v>No</v>
      </c>
      <c r="S56" s="32" t="str">
        <f aca="false">IF(L56="","",IF(ABS(L56)&lt;=1.96*O56,"Yes","No"))</f>
        <v>No</v>
      </c>
      <c r="T56" s="60" t="n">
        <f aca="false">IF(D56="","",ROUND(SQRT(((D56+G56)*O56/100)^2+(J56*(D56+G56)*0.02225)^2),0))</f>
        <v>501</v>
      </c>
      <c r="U56" s="32"/>
    </row>
    <row r="57" customFormat="false" ht="15" hidden="false" customHeight="false" outlineLevel="0" collapsed="false">
      <c r="A57" s="32" t="s">
        <v>222</v>
      </c>
      <c r="B57" s="32" t="s">
        <v>226</v>
      </c>
      <c r="C57" s="32" t="s">
        <v>164</v>
      </c>
      <c r="D57" s="60" t="n">
        <v>5779</v>
      </c>
      <c r="E57" s="60" t="n">
        <v>6681</v>
      </c>
      <c r="F57" s="69" t="n">
        <f aca="false">IF(E57="","",D57-E57)</f>
        <v>-902</v>
      </c>
      <c r="G57" s="60" t="n">
        <v>5422</v>
      </c>
      <c r="H57" s="60" t="n">
        <v>5562</v>
      </c>
      <c r="I57" s="69" t="n">
        <f aca="false">IF(H57="","",G57-H57)</f>
        <v>-140</v>
      </c>
      <c r="J57" s="40" t="n">
        <f aca="false">IF(OR(D57="",D57+G57=0),"",D57/(D57+G57))</f>
        <v>0.51593607713597</v>
      </c>
      <c r="K57" s="40" t="n">
        <f aca="false">IF(E57="","",E57/(E57+H57))</f>
        <v>0.545699583435433</v>
      </c>
      <c r="L57" s="70" t="n">
        <f aca="false">IF(OR(K57="",J57=""),"",(J57-K57)*100)</f>
        <v>-2.97635062994625</v>
      </c>
      <c r="M57" s="36" t="n">
        <v>1.23966092899928</v>
      </c>
      <c r="N57" s="36" t="n">
        <v>2.13740766541741</v>
      </c>
      <c r="O57" s="36" t="n">
        <f aca="false">SQRT(M57^2+N57^2)</f>
        <v>2.47088460820664</v>
      </c>
      <c r="P57" s="40" t="n">
        <f aca="false">IF(J57="","",MAX(0,J57-1.96*O57/100))</f>
        <v>0.46750673881512</v>
      </c>
      <c r="Q57" s="40" t="n">
        <f aca="false">IF(J57="","",MIN(1,J57+1.96*O57/100))</f>
        <v>0.56436541545682</v>
      </c>
      <c r="R57" s="32" t="str">
        <f aca="false">IF(L57="","",IF(ABS(L57)&lt;=O57,"Yes","No"))</f>
        <v>No</v>
      </c>
      <c r="S57" s="32" t="str">
        <f aca="false">IF(L57="","",IF(ABS(L57)&lt;=1.96*O57,"Yes","No"))</f>
        <v>Yes</v>
      </c>
      <c r="T57" s="60" t="n">
        <f aca="false">IF(D57="","",ROUND(SQRT(((D57+G57)*O57/100)^2+(J57*(D57+G57)*0.02225)^2),0))</f>
        <v>305</v>
      </c>
      <c r="U57" s="32"/>
    </row>
    <row r="58" customFormat="false" ht="15" hidden="false" customHeight="false" outlineLevel="0" collapsed="false">
      <c r="A58" s="32" t="s">
        <v>222</v>
      </c>
      <c r="B58" s="32" t="s">
        <v>227</v>
      </c>
      <c r="C58" s="32" t="s">
        <v>164</v>
      </c>
      <c r="D58" s="60" t="n">
        <v>1500</v>
      </c>
      <c r="E58" s="60" t="n">
        <v>1737</v>
      </c>
      <c r="F58" s="69" t="n">
        <f aca="false">IF(E58="","",D58-E58)</f>
        <v>-237</v>
      </c>
      <c r="G58" s="60" t="n">
        <v>2342</v>
      </c>
      <c r="H58" s="60" t="n">
        <v>2662</v>
      </c>
      <c r="I58" s="69" t="n">
        <f aca="false">IF(H58="","",G58-H58)</f>
        <v>-320</v>
      </c>
      <c r="J58" s="40" t="n">
        <f aca="false">IF(OR(D58="",D58+G58=0),"",D58/(D58+G58))</f>
        <v>0.390421655387819</v>
      </c>
      <c r="K58" s="40" t="n">
        <f aca="false">IF(E58="","",E58/(E58+H58))</f>
        <v>0.394862468742896</v>
      </c>
      <c r="L58" s="70" t="n">
        <f aca="false">IF(OR(K58="",J58=""),"",(J58-K58)*100)</f>
        <v>-0.444081335507723</v>
      </c>
      <c r="M58" s="36" t="n">
        <v>1.23966092899928</v>
      </c>
      <c r="N58" s="36" t="n">
        <v>2.13740766541741</v>
      </c>
      <c r="O58" s="36" t="n">
        <f aca="false">SQRT(M58^2+N58^2)</f>
        <v>2.47088460820664</v>
      </c>
      <c r="P58" s="40" t="n">
        <f aca="false">IF(J58="","",MAX(0,J58-1.96*O58/100))</f>
        <v>0.341992317066969</v>
      </c>
      <c r="Q58" s="40" t="n">
        <f aca="false">IF(J58="","",MIN(1,J58+1.96*O58/100))</f>
        <v>0.438850993708669</v>
      </c>
      <c r="R58" s="32" t="str">
        <f aca="false">IF(L58="","",IF(ABS(L58)&lt;=O58,"Yes","No"))</f>
        <v>Yes</v>
      </c>
      <c r="S58" s="32" t="str">
        <f aca="false">IF(L58="","",IF(ABS(L58)&lt;=1.96*O58,"Yes","No"))</f>
        <v>Yes</v>
      </c>
      <c r="T58" s="60" t="n">
        <f aca="false">IF(D58="","",ROUND(SQRT(((D58+G58)*O58/100)^2+(J58*(D58+G58)*0.02225)^2),0))</f>
        <v>101</v>
      </c>
      <c r="U58" s="32"/>
    </row>
    <row r="59" customFormat="false" ht="15" hidden="false" customHeight="false" outlineLevel="0" collapsed="false">
      <c r="A59" s="32" t="s">
        <v>222</v>
      </c>
      <c r="B59" s="32" t="s">
        <v>228</v>
      </c>
      <c r="C59" s="32" t="s">
        <v>164</v>
      </c>
      <c r="D59" s="60" t="n">
        <v>25</v>
      </c>
      <c r="E59" s="60" t="n">
        <v>31</v>
      </c>
      <c r="F59" s="69" t="n">
        <f aca="false">IF(E59="","",D59-E59)</f>
        <v>-6</v>
      </c>
      <c r="G59" s="60" t="n">
        <v>43</v>
      </c>
      <c r="H59" s="60" t="n">
        <v>55</v>
      </c>
      <c r="I59" s="69" t="n">
        <f aca="false">IF(H59="","",G59-H59)</f>
        <v>-12</v>
      </c>
      <c r="J59" s="40" t="n">
        <f aca="false">IF(OR(D59="",D59+G59=0),"",D59/(D59+G59))</f>
        <v>0.367647058823529</v>
      </c>
      <c r="K59" s="40" t="n">
        <f aca="false">IF(E59="","",E59/(E59+H59))</f>
        <v>0.36046511627907</v>
      </c>
      <c r="L59" s="70" t="n">
        <f aca="false">IF(OR(K59="",J59=""),"",(J59-K59)*100)</f>
        <v>0.71819425444597</v>
      </c>
      <c r="M59" s="36" t="n">
        <v>3.39287279657052</v>
      </c>
      <c r="N59" s="36" t="n">
        <v>2.13740766541741</v>
      </c>
      <c r="O59" s="36" t="n">
        <f aca="false">SQRT(M59^2+N59^2)</f>
        <v>4.00999966856525</v>
      </c>
      <c r="P59" s="40" t="n">
        <f aca="false">IF(J59="","",MAX(0,J59-1.96*O59/100))</f>
        <v>0.289051065319651</v>
      </c>
      <c r="Q59" s="40" t="n">
        <f aca="false">IF(J59="","",MIN(1,J59+1.96*O59/100))</f>
        <v>0.446243052327408</v>
      </c>
      <c r="R59" s="32" t="str">
        <f aca="false">IF(L59="","",IF(ABS(L59)&lt;=O59,"Yes","No"))</f>
        <v>Yes</v>
      </c>
      <c r="S59" s="32" t="str">
        <f aca="false">IF(L59="","",IF(ABS(L59)&lt;=1.96*O59,"Yes","No"))</f>
        <v>Yes</v>
      </c>
      <c r="T59" s="60" t="n">
        <f aca="false">IF(D59="","",ROUND(SQRT(((D59+G59)*O59/100)^2+(J59*(D59+G59)*0.0534)^2),0))</f>
        <v>3</v>
      </c>
      <c r="U59" s="32"/>
    </row>
    <row r="60" customFormat="false" ht="15" hidden="false" customHeight="false" outlineLevel="0" collapsed="false">
      <c r="A60" s="32" t="s">
        <v>222</v>
      </c>
      <c r="B60" s="32" t="s">
        <v>229</v>
      </c>
      <c r="C60" s="32" t="s">
        <v>164</v>
      </c>
      <c r="D60" s="60" t="n">
        <v>964</v>
      </c>
      <c r="E60" s="60" t="n">
        <v>1109</v>
      </c>
      <c r="F60" s="69" t="n">
        <f aca="false">IF(E60="","",D60-E60)</f>
        <v>-145</v>
      </c>
      <c r="G60" s="60" t="n">
        <v>1299</v>
      </c>
      <c r="H60" s="60" t="n">
        <v>1408</v>
      </c>
      <c r="I60" s="69" t="n">
        <f aca="false">IF(H60="","",G60-H60)</f>
        <v>-109</v>
      </c>
      <c r="J60" s="40" t="n">
        <f aca="false">IF(OR(D60="",D60+G60=0),"",D60/(D60+G60))</f>
        <v>0.4259832081308</v>
      </c>
      <c r="K60" s="40" t="n">
        <f aca="false">IF(E60="","",E60/(E60+H60))</f>
        <v>0.440603893524037</v>
      </c>
      <c r="L60" s="70" t="n">
        <f aca="false">IF(OR(K60="",J60=""),"",(J60-K60)*100)</f>
        <v>-1.46206853932367</v>
      </c>
      <c r="M60" s="36" t="n">
        <v>2.25632701588549</v>
      </c>
      <c r="N60" s="36" t="n">
        <v>2.13740766541741</v>
      </c>
      <c r="O60" s="36" t="n">
        <f aca="false">SQRT(M60^2+N60^2)</f>
        <v>3.10797733756214</v>
      </c>
      <c r="P60" s="40" t="n">
        <f aca="false">IF(J60="","",MAX(0,J60-1.96*O60/100))</f>
        <v>0.365066852314582</v>
      </c>
      <c r="Q60" s="40" t="n">
        <f aca="false">IF(J60="","",MIN(1,J60+1.96*O60/100))</f>
        <v>0.486899563947018</v>
      </c>
      <c r="R60" s="32" t="str">
        <f aca="false">IF(L60="","",IF(ABS(L60)&lt;=O60,"Yes","No"))</f>
        <v>Yes</v>
      </c>
      <c r="S60" s="32" t="str">
        <f aca="false">IF(L60="","",IF(ABS(L60)&lt;=1.96*O60,"Yes","No"))</f>
        <v>Yes</v>
      </c>
      <c r="T60" s="60" t="n">
        <f aca="false">IF(D60="","",ROUND(SQRT(((D60+G60)*O60/100)^2+(J60*(D60+G60)*0.03811)^2),0))</f>
        <v>79</v>
      </c>
      <c r="U60" s="32"/>
    </row>
    <row r="61" customFormat="false" ht="15" hidden="false" customHeight="false" outlineLevel="0" collapsed="false">
      <c r="A61" s="32" t="s">
        <v>222</v>
      </c>
      <c r="B61" s="32" t="s">
        <v>230</v>
      </c>
      <c r="C61" s="32" t="s">
        <v>164</v>
      </c>
      <c r="D61" s="60" t="n">
        <v>127</v>
      </c>
      <c r="E61" s="60" t="n">
        <v>137</v>
      </c>
      <c r="F61" s="69" t="n">
        <f aca="false">IF(E61="","",D61-E61)</f>
        <v>-10</v>
      </c>
      <c r="G61" s="60" t="n">
        <v>221</v>
      </c>
      <c r="H61" s="60" t="n">
        <v>214</v>
      </c>
      <c r="I61" s="69" t="n">
        <f aca="false">IF(H61="","",G61-H61)</f>
        <v>7</v>
      </c>
      <c r="J61" s="40" t="n">
        <f aca="false">IF(OR(D61="",D61+G61=0),"",D61/(D61+G61))</f>
        <v>0.364942528735632</v>
      </c>
      <c r="K61" s="40" t="n">
        <f aca="false">IF(E61="","",E61/(E61+H61))</f>
        <v>0.39031339031339</v>
      </c>
      <c r="L61" s="70" t="n">
        <f aca="false">IF(OR(K61="",J61=""),"",(J61-K61)*100)</f>
        <v>-2.53708615777581</v>
      </c>
      <c r="M61" s="36" t="n">
        <v>3.39287279657052</v>
      </c>
      <c r="N61" s="36" t="n">
        <v>2.13740766541741</v>
      </c>
      <c r="O61" s="36" t="n">
        <f aca="false">SQRT(M61^2+N61^2)</f>
        <v>4.00999966856525</v>
      </c>
      <c r="P61" s="40" t="n">
        <f aca="false">IF(J61="","",MAX(0,J61-1.96*O61/100))</f>
        <v>0.286346535231753</v>
      </c>
      <c r="Q61" s="40" t="n">
        <f aca="false">IF(J61="","",MIN(1,J61+1.96*O61/100))</f>
        <v>0.443538522239511</v>
      </c>
      <c r="R61" s="32" t="str">
        <f aca="false">IF(L61="","",IF(ABS(L61)&lt;=O61,"Yes","No"))</f>
        <v>Yes</v>
      </c>
      <c r="S61" s="32" t="str">
        <f aca="false">IF(L61="","",IF(ABS(L61)&lt;=1.96*O61,"Yes","No"))</f>
        <v>Yes</v>
      </c>
      <c r="T61" s="60" t="n">
        <f aca="false">IF(D61="","",ROUND(SQRT(((D61+G61)*O61/100)^2+(J61*(D61+G61)*0.0534)^2),0))</f>
        <v>16</v>
      </c>
      <c r="U61" s="32"/>
    </row>
    <row r="62" customFormat="false" ht="15" hidden="false" customHeight="false" outlineLevel="0" collapsed="false">
      <c r="A62" s="32" t="s">
        <v>222</v>
      </c>
      <c r="B62" s="32" t="s">
        <v>231</v>
      </c>
      <c r="C62" s="32" t="s">
        <v>164</v>
      </c>
      <c r="D62" s="60" t="n">
        <v>4413</v>
      </c>
      <c r="E62" s="60" t="n">
        <v>5210</v>
      </c>
      <c r="F62" s="69" t="n">
        <f aca="false">IF(E62="","",D62-E62)</f>
        <v>-797</v>
      </c>
      <c r="G62" s="60" t="n">
        <v>2537</v>
      </c>
      <c r="H62" s="60" t="n">
        <v>1883</v>
      </c>
      <c r="I62" s="69" t="n">
        <f aca="false">IF(H62="","",G62-H62)</f>
        <v>654</v>
      </c>
      <c r="J62" s="40" t="n">
        <f aca="false">IF(OR(D62="",D62+G62=0),"",D62/(D62+G62))</f>
        <v>0.634964028776978</v>
      </c>
      <c r="K62" s="40" t="n">
        <f aca="false">IF(E62="","",E62/(E62+H62))</f>
        <v>0.734526998449175</v>
      </c>
      <c r="L62" s="70" t="n">
        <f aca="false">IF(OR(K62="",J62=""),"",(J62-K62)*100)</f>
        <v>-9.95629696721968</v>
      </c>
      <c r="M62" s="36" t="n">
        <v>1.23966092899928</v>
      </c>
      <c r="N62" s="36" t="n">
        <v>2.13740766541741</v>
      </c>
      <c r="O62" s="36" t="n">
        <f aca="false">SQRT(M62^2+N62^2)</f>
        <v>2.47088460820664</v>
      </c>
      <c r="P62" s="40" t="n">
        <f aca="false">IF(J62="","",MAX(0,J62-1.96*O62/100))</f>
        <v>0.586534690456128</v>
      </c>
      <c r="Q62" s="40" t="n">
        <f aca="false">IF(J62="","",MIN(1,J62+1.96*O62/100))</f>
        <v>0.683393367097829</v>
      </c>
      <c r="R62" s="32" t="str">
        <f aca="false">IF(L62="","",IF(ABS(L62)&lt;=O62,"Yes","No"))</f>
        <v>No</v>
      </c>
      <c r="S62" s="32" t="str">
        <f aca="false">IF(L62="","",IF(ABS(L62)&lt;=1.96*O62,"Yes","No"))</f>
        <v>No</v>
      </c>
      <c r="T62" s="60" t="n">
        <f aca="false">IF(D62="","",ROUND(SQRT(((D62+G62)*O62/100)^2+(J62*(D62+G62)*0.02225)^2),0))</f>
        <v>198</v>
      </c>
      <c r="U62" s="32"/>
    </row>
    <row r="63" customFormat="false" ht="15" hidden="false" customHeight="false" outlineLevel="0" collapsed="false">
      <c r="A63" s="32" t="s">
        <v>222</v>
      </c>
      <c r="B63" s="32" t="s">
        <v>232</v>
      </c>
      <c r="C63" s="32" t="s">
        <v>164</v>
      </c>
      <c r="D63" s="60" t="n">
        <v>3720</v>
      </c>
      <c r="E63" s="60" t="n">
        <v>4158</v>
      </c>
      <c r="F63" s="69" t="n">
        <f aca="false">IF(E63="","",D63-E63)</f>
        <v>-438</v>
      </c>
      <c r="G63" s="60" t="n">
        <v>3535</v>
      </c>
      <c r="H63" s="60" t="n">
        <v>3782</v>
      </c>
      <c r="I63" s="69" t="n">
        <f aca="false">IF(H63="","",G63-H63)</f>
        <v>-247</v>
      </c>
      <c r="J63" s="40" t="n">
        <f aca="false">IF(OR(D63="",D63+G63=0),"",D63/(D63+G63))</f>
        <v>0.512749827705031</v>
      </c>
      <c r="K63" s="40" t="n">
        <f aca="false">IF(E63="","",E63/(E63+H63))</f>
        <v>0.52367758186398</v>
      </c>
      <c r="L63" s="70" t="n">
        <f aca="false">IF(OR(K63="",J63=""),"",(J63-K63)*100)</f>
        <v>-1.09277541589489</v>
      </c>
      <c r="M63" s="36" t="n">
        <v>1.23966092899928</v>
      </c>
      <c r="N63" s="36" t="n">
        <v>2.13740766541741</v>
      </c>
      <c r="O63" s="36" t="n">
        <f aca="false">SQRT(M63^2+N63^2)</f>
        <v>2.47088460820664</v>
      </c>
      <c r="P63" s="40" t="n">
        <f aca="false">IF(J63="","",MAX(0,J63-1.96*O63/100))</f>
        <v>0.464320489384181</v>
      </c>
      <c r="Q63" s="40" t="n">
        <f aca="false">IF(J63="","",MIN(1,J63+1.96*O63/100))</f>
        <v>0.561179166025881</v>
      </c>
      <c r="R63" s="32" t="str">
        <f aca="false">IF(L63="","",IF(ABS(L63)&lt;=O63,"Yes","No"))</f>
        <v>Yes</v>
      </c>
      <c r="S63" s="32" t="str">
        <f aca="false">IF(L63="","",IF(ABS(L63)&lt;=1.96*O63,"Yes","No"))</f>
        <v>Yes</v>
      </c>
      <c r="T63" s="60" t="n">
        <f aca="false">IF(D63="","",ROUND(SQRT(((D63+G63)*O63/100)^2+(J63*(D63+G63)*0.02225)^2),0))</f>
        <v>197</v>
      </c>
      <c r="U63" s="32"/>
    </row>
    <row r="64" customFormat="false" ht="15" hidden="false" customHeight="false" outlineLevel="0" collapsed="false">
      <c r="A64" s="32" t="s">
        <v>222</v>
      </c>
      <c r="B64" s="32" t="s">
        <v>233</v>
      </c>
      <c r="C64" s="32" t="s">
        <v>164</v>
      </c>
      <c r="D64" s="60" t="n">
        <v>499</v>
      </c>
      <c r="E64" s="60" t="n">
        <v>480</v>
      </c>
      <c r="F64" s="69" t="n">
        <f aca="false">IF(E64="","",D64-E64)</f>
        <v>19</v>
      </c>
      <c r="G64" s="60" t="n">
        <v>332</v>
      </c>
      <c r="H64" s="60" t="n">
        <v>330</v>
      </c>
      <c r="I64" s="69" t="n">
        <f aca="false">IF(H64="","",G64-H64)</f>
        <v>2</v>
      </c>
      <c r="J64" s="40" t="n">
        <f aca="false">IF(OR(D64="",D64+G64=0),"",D64/(D64+G64))</f>
        <v>0.600481347773767</v>
      </c>
      <c r="K64" s="40" t="n">
        <f aca="false">IF(E64="","",E64/(E64+H64))</f>
        <v>0.592592592592593</v>
      </c>
      <c r="L64" s="70" t="n">
        <f aca="false">IF(OR(K64="",J64=""),"",(J64-K64)*100)</f>
        <v>0.788875518117393</v>
      </c>
      <c r="M64" s="36" t="n">
        <v>3.39287279657052</v>
      </c>
      <c r="N64" s="36" t="n">
        <v>2.13740766541741</v>
      </c>
      <c r="O64" s="36" t="n">
        <f aca="false">SQRT(M64^2+N64^2)</f>
        <v>4.00999966856525</v>
      </c>
      <c r="P64" s="40" t="n">
        <f aca="false">IF(J64="","",MAX(0,J64-1.96*O64/100))</f>
        <v>0.521885354269888</v>
      </c>
      <c r="Q64" s="40" t="n">
        <f aca="false">IF(J64="","",MIN(1,J64+1.96*O64/100))</f>
        <v>0.679077341277645</v>
      </c>
      <c r="R64" s="32" t="str">
        <f aca="false">IF(L64="","",IF(ABS(L64)&lt;=O64,"Yes","No"))</f>
        <v>Yes</v>
      </c>
      <c r="S64" s="32" t="str">
        <f aca="false">IF(L64="","",IF(ABS(L64)&lt;=1.96*O64,"Yes","No"))</f>
        <v>Yes</v>
      </c>
      <c r="T64" s="60" t="n">
        <f aca="false">IF(D64="","",ROUND(SQRT(((D64+G64)*O64/100)^2+(J64*(D64+G64)*0.0534)^2),0))</f>
        <v>43</v>
      </c>
      <c r="U64" s="32"/>
    </row>
    <row r="65" customFormat="false" ht="15" hidden="false" customHeight="false" outlineLevel="0" collapsed="false">
      <c r="A65" s="32" t="s">
        <v>222</v>
      </c>
      <c r="B65" s="32" t="s">
        <v>234</v>
      </c>
      <c r="C65" s="32" t="s">
        <v>164</v>
      </c>
      <c r="D65" s="60" t="n">
        <v>65</v>
      </c>
      <c r="E65" s="60" t="n">
        <v>72</v>
      </c>
      <c r="F65" s="69" t="n">
        <f aca="false">IF(E65="","",D65-E65)</f>
        <v>-7</v>
      </c>
      <c r="G65" s="60" t="n">
        <v>63</v>
      </c>
      <c r="H65" s="60" t="n">
        <v>69</v>
      </c>
      <c r="I65" s="69" t="n">
        <f aca="false">IF(H65="","",G65-H65)</f>
        <v>-6</v>
      </c>
      <c r="J65" s="40" t="n">
        <f aca="false">IF(OR(D65="",D65+G65=0),"",D65/(D65+G65))</f>
        <v>0.5078125</v>
      </c>
      <c r="K65" s="40" t="n">
        <f aca="false">IF(E65="","",E65/(E65+H65))</f>
        <v>0.51063829787234</v>
      </c>
      <c r="L65" s="70" t="n">
        <f aca="false">IF(OR(K65="",J65=""),"",(J65-K65)*100)</f>
        <v>-0.282579787234039</v>
      </c>
      <c r="M65" s="36" t="n">
        <v>3.39287279657052</v>
      </c>
      <c r="N65" s="36" t="n">
        <v>2.13740766541741</v>
      </c>
      <c r="O65" s="36" t="n">
        <f aca="false">SQRT(M65^2+N65^2)</f>
        <v>4.00999966856525</v>
      </c>
      <c r="P65" s="40" t="n">
        <f aca="false">IF(J65="","",MAX(0,J65-1.96*O65/100))</f>
        <v>0.429216506496121</v>
      </c>
      <c r="Q65" s="40" t="n">
        <f aca="false">IF(J65="","",MIN(1,J65+1.96*O65/100))</f>
        <v>0.586408493503879</v>
      </c>
      <c r="R65" s="32" t="str">
        <f aca="false">IF(L65="","",IF(ABS(L65)&lt;=O65,"Yes","No"))</f>
        <v>Yes</v>
      </c>
      <c r="S65" s="32" t="str">
        <f aca="false">IF(L65="","",IF(ABS(L65)&lt;=1.96*O65,"Yes","No"))</f>
        <v>Yes</v>
      </c>
      <c r="T65" s="60" t="n">
        <f aca="false">IF(D65="","",ROUND(SQRT(((D65+G65)*O65/100)^2+(J65*(D65+G65)*0.0534)^2),0))</f>
        <v>6</v>
      </c>
      <c r="U65" s="32"/>
    </row>
    <row r="66" customFormat="false" ht="15" hidden="false" customHeight="false" outlineLevel="0" collapsed="false">
      <c r="A66" s="32" t="s">
        <v>222</v>
      </c>
      <c r="B66" s="32" t="s">
        <v>201</v>
      </c>
      <c r="C66" s="32" t="s">
        <v>164</v>
      </c>
      <c r="D66" s="60" t="n">
        <v>3130</v>
      </c>
      <c r="E66" s="60" t="n">
        <v>3570</v>
      </c>
      <c r="F66" s="69" t="n">
        <f aca="false">IF(E66="","",D66-E66)</f>
        <v>-440</v>
      </c>
      <c r="G66" s="60" t="n">
        <v>2874</v>
      </c>
      <c r="H66" s="60" t="n">
        <v>2883</v>
      </c>
      <c r="I66" s="69" t="n">
        <f aca="false">IF(H66="","",G66-H66)</f>
        <v>-9</v>
      </c>
      <c r="J66" s="40" t="n">
        <f aca="false">IF(OR(D66="",D66+G66=0),"",D66/(D66+G66))</f>
        <v>0.521319120586276</v>
      </c>
      <c r="K66" s="40" t="n">
        <f aca="false">IF(E66="","",E66/(E66+H66))</f>
        <v>0.553231055323106</v>
      </c>
      <c r="L66" s="70" t="n">
        <f aca="false">IF(OR(K66="",J66=""),"",(J66-K66)*100)</f>
        <v>-3.19119347368297</v>
      </c>
      <c r="M66" s="36" t="n">
        <v>1.23966092899928</v>
      </c>
      <c r="N66" s="36" t="n">
        <v>2.13740766541741</v>
      </c>
      <c r="O66" s="36" t="n">
        <f aca="false">SQRT(M66^2+N66^2)</f>
        <v>2.47088460820664</v>
      </c>
      <c r="P66" s="40" t="n">
        <f aca="false">IF(J66="","",MAX(0,J66-1.96*O66/100))</f>
        <v>0.472889782265426</v>
      </c>
      <c r="Q66" s="40" t="n">
        <f aca="false">IF(J66="","",MIN(1,J66+1.96*O66/100))</f>
        <v>0.569748458907126</v>
      </c>
      <c r="R66" s="32" t="str">
        <f aca="false">IF(L66="","",IF(ABS(L66)&lt;=O66,"Yes","No"))</f>
        <v>No</v>
      </c>
      <c r="S66" s="32" t="str">
        <f aca="false">IF(L66="","",IF(ABS(L66)&lt;=1.96*O66,"Yes","No"))</f>
        <v>Yes</v>
      </c>
      <c r="T66" s="60" t="n">
        <f aca="false">IF(D66="","",ROUND(SQRT(((D66+G66)*O66/100)^2+(J66*(D66+G66)*0.02225)^2),0))</f>
        <v>164</v>
      </c>
      <c r="U66" s="32"/>
    </row>
    <row r="67" customFormat="false" ht="15" hidden="false" customHeight="false" outlineLevel="0" collapsed="false">
      <c r="A67" s="32" t="s">
        <v>222</v>
      </c>
      <c r="B67" s="32" t="s">
        <v>235</v>
      </c>
      <c r="C67" s="32" t="s">
        <v>164</v>
      </c>
      <c r="D67" s="60" t="n">
        <v>1249</v>
      </c>
      <c r="E67" s="60" t="n">
        <v>1372</v>
      </c>
      <c r="F67" s="69" t="n">
        <f aca="false">IF(E67="","",D67-E67)</f>
        <v>-123</v>
      </c>
      <c r="G67" s="60" t="n">
        <v>1174</v>
      </c>
      <c r="H67" s="60" t="n">
        <v>1201</v>
      </c>
      <c r="I67" s="69" t="n">
        <f aca="false">IF(H67="","",G67-H67)</f>
        <v>-27</v>
      </c>
      <c r="J67" s="40" t="n">
        <f aca="false">IF(OR(D67="",D67+G67=0),"",D67/(D67+G67))</f>
        <v>0.515476681799422</v>
      </c>
      <c r="K67" s="40" t="n">
        <f aca="false">IF(E67="","",E67/(E67+H67))</f>
        <v>0.53322969296541</v>
      </c>
      <c r="L67" s="70" t="n">
        <f aca="false">IF(OR(K67="",J67=""),"",(J67-K67)*100)</f>
        <v>-1.77530111659878</v>
      </c>
      <c r="M67" s="36" t="n">
        <v>2.25632701588549</v>
      </c>
      <c r="N67" s="36" t="n">
        <v>2.13740766541741</v>
      </c>
      <c r="O67" s="36" t="n">
        <f aca="false">SQRT(M67^2+N67^2)</f>
        <v>3.10797733756214</v>
      </c>
      <c r="P67" s="40" t="n">
        <f aca="false">IF(J67="","",MAX(0,J67-1.96*O67/100))</f>
        <v>0.454560325983204</v>
      </c>
      <c r="Q67" s="40" t="n">
        <f aca="false">IF(J67="","",MIN(1,J67+1.96*O67/100))</f>
        <v>0.57639303761564</v>
      </c>
      <c r="R67" s="32" t="str">
        <f aca="false">IF(L67="","",IF(ABS(L67)&lt;=O67,"Yes","No"))</f>
        <v>Yes</v>
      </c>
      <c r="S67" s="32" t="str">
        <f aca="false">IF(L67="","",IF(ABS(L67)&lt;=1.96*O67,"Yes","No"))</f>
        <v>Yes</v>
      </c>
      <c r="T67" s="60" t="n">
        <f aca="false">IF(D67="","",ROUND(SQRT(((D67+G67)*O67/100)^2+(J67*(D67+G67)*0.03811)^2),0))</f>
        <v>89</v>
      </c>
      <c r="U67" s="32"/>
    </row>
    <row r="68" customFormat="false" ht="15" hidden="false" customHeight="false" outlineLevel="0" collapsed="false">
      <c r="A68" s="32" t="s">
        <v>222</v>
      </c>
      <c r="B68" s="32" t="s">
        <v>236</v>
      </c>
      <c r="C68" s="32" t="s">
        <v>164</v>
      </c>
      <c r="D68" s="60" t="n">
        <v>1558</v>
      </c>
      <c r="E68" s="60" t="n">
        <v>1803</v>
      </c>
      <c r="F68" s="69" t="n">
        <f aca="false">IF(E68="","",D68-E68)</f>
        <v>-245</v>
      </c>
      <c r="G68" s="60" t="n">
        <v>3031</v>
      </c>
      <c r="H68" s="60" t="n">
        <v>3303</v>
      </c>
      <c r="I68" s="69" t="n">
        <f aca="false">IF(H68="","",G68-H68)</f>
        <v>-272</v>
      </c>
      <c r="J68" s="40" t="n">
        <f aca="false">IF(OR(D68="",D68+G68=0),"",D68/(D68+G68))</f>
        <v>0.339507517977773</v>
      </c>
      <c r="K68" s="40" t="n">
        <f aca="false">IF(E68="","",E68/(E68+H68))</f>
        <v>0.353113983548766</v>
      </c>
      <c r="L68" s="70" t="n">
        <f aca="false">IF(OR(K68="",J68=""),"",(J68-K68)*100)</f>
        <v>-1.36064655709932</v>
      </c>
      <c r="M68" s="36" t="n">
        <v>1.23966092899928</v>
      </c>
      <c r="N68" s="36" t="n">
        <v>2.13740766541741</v>
      </c>
      <c r="O68" s="36" t="n">
        <f aca="false">SQRT(M68^2+N68^2)</f>
        <v>2.47088460820664</v>
      </c>
      <c r="P68" s="40" t="n">
        <f aca="false">IF(J68="","",MAX(0,J68-1.96*O68/100))</f>
        <v>0.291078179656923</v>
      </c>
      <c r="Q68" s="40" t="n">
        <f aca="false">IF(J68="","",MIN(1,J68+1.96*O68/100))</f>
        <v>0.387936856298623</v>
      </c>
      <c r="R68" s="32" t="str">
        <f aca="false">IF(L68="","",IF(ABS(L68)&lt;=O68,"Yes","No"))</f>
        <v>Yes</v>
      </c>
      <c r="S68" s="32" t="str">
        <f aca="false">IF(L68="","",IF(ABS(L68)&lt;=1.96*O68,"Yes","No"))</f>
        <v>Yes</v>
      </c>
      <c r="T68" s="60" t="n">
        <f aca="false">IF(D68="","",ROUND(SQRT(((D68+G68)*O68/100)^2+(J68*(D68+G68)*0.02225)^2),0))</f>
        <v>119</v>
      </c>
      <c r="U68" s="32"/>
    </row>
    <row r="69" customFormat="false" ht="15" hidden="false" customHeight="false" outlineLevel="0" collapsed="false">
      <c r="A69" s="32" t="s">
        <v>222</v>
      </c>
      <c r="B69" s="32" t="s">
        <v>237</v>
      </c>
      <c r="C69" s="32" t="s">
        <v>164</v>
      </c>
      <c r="D69" s="60" t="n">
        <v>421</v>
      </c>
      <c r="E69" s="60" t="n">
        <v>511</v>
      </c>
      <c r="F69" s="69" t="n">
        <f aca="false">IF(E69="","",D69-E69)</f>
        <v>-90</v>
      </c>
      <c r="G69" s="60" t="n">
        <v>789</v>
      </c>
      <c r="H69" s="60" t="n">
        <v>889</v>
      </c>
      <c r="I69" s="69" t="n">
        <f aca="false">IF(H69="","",G69-H69)</f>
        <v>-100</v>
      </c>
      <c r="J69" s="40" t="n">
        <f aca="false">IF(OR(D69="",D69+G69=0),"",D69/(D69+G69))</f>
        <v>0.347933884297521</v>
      </c>
      <c r="K69" s="40" t="n">
        <f aca="false">IF(E69="","",E69/(E69+H69))</f>
        <v>0.365</v>
      </c>
      <c r="L69" s="70" t="n">
        <f aca="false">IF(OR(K69="",J69=""),"",(J69-K69)*100)</f>
        <v>-1.70661157024793</v>
      </c>
      <c r="M69" s="36" t="n">
        <v>2.25632701588549</v>
      </c>
      <c r="N69" s="36" t="n">
        <v>2.13740766541741</v>
      </c>
      <c r="O69" s="36" t="n">
        <f aca="false">SQRT(M69^2+N69^2)</f>
        <v>3.10797733756214</v>
      </c>
      <c r="P69" s="40" t="n">
        <f aca="false">IF(J69="","",MAX(0,J69-1.96*O69/100))</f>
        <v>0.287017528481303</v>
      </c>
      <c r="Q69" s="40" t="n">
        <f aca="false">IF(J69="","",MIN(1,J69+1.96*O69/100))</f>
        <v>0.408850240113739</v>
      </c>
      <c r="R69" s="32" t="str">
        <f aca="false">IF(L69="","",IF(ABS(L69)&lt;=O69,"Yes","No"))</f>
        <v>Yes</v>
      </c>
      <c r="S69" s="32" t="str">
        <f aca="false">IF(L69="","",IF(ABS(L69)&lt;=1.96*O69,"Yes","No"))</f>
        <v>Yes</v>
      </c>
      <c r="T69" s="60" t="n">
        <f aca="false">IF(D69="","",ROUND(SQRT(((D69+G69)*O69/100)^2+(J69*(D69+G69)*0.03811)^2),0))</f>
        <v>41</v>
      </c>
      <c r="U69" s="32"/>
    </row>
    <row r="70" customFormat="false" ht="15" hidden="false" customHeight="false" outlineLevel="0" collapsed="false">
      <c r="A70" s="32" t="s">
        <v>222</v>
      </c>
      <c r="B70" s="32" t="s">
        <v>238</v>
      </c>
      <c r="C70" s="32" t="s">
        <v>164</v>
      </c>
      <c r="D70" s="60" t="n">
        <v>1401</v>
      </c>
      <c r="E70" s="60" t="n">
        <v>1632</v>
      </c>
      <c r="F70" s="69" t="n">
        <f aca="false">IF(E70="","",D70-E70)</f>
        <v>-231</v>
      </c>
      <c r="G70" s="60" t="n">
        <v>1945</v>
      </c>
      <c r="H70" s="60" t="n">
        <v>2067</v>
      </c>
      <c r="I70" s="69" t="n">
        <f aca="false">IF(H70="","",G70-H70)</f>
        <v>-122</v>
      </c>
      <c r="J70" s="40" t="n">
        <f aca="false">IF(OR(D70="",D70+G70=0),"",D70/(D70+G70))</f>
        <v>0.418708906156605</v>
      </c>
      <c r="K70" s="40" t="n">
        <f aca="false">IF(E70="","",E70/(E70+H70))</f>
        <v>0.441200324412003</v>
      </c>
      <c r="L70" s="70" t="n">
        <f aca="false">IF(OR(K70="",J70=""),"",(J70-K70)*100)</f>
        <v>-2.24914182553984</v>
      </c>
      <c r="M70" s="36" t="n">
        <v>1.23966092899928</v>
      </c>
      <c r="N70" s="36" t="n">
        <v>2.13740766541741</v>
      </c>
      <c r="O70" s="36" t="n">
        <f aca="false">SQRT(M70^2+N70^2)</f>
        <v>2.47088460820664</v>
      </c>
      <c r="P70" s="40" t="n">
        <f aca="false">IF(J70="","",MAX(0,J70-1.96*O70/100))</f>
        <v>0.370279567835755</v>
      </c>
      <c r="Q70" s="40" t="n">
        <f aca="false">IF(J70="","",MIN(1,J70+1.96*O70/100))</f>
        <v>0.467138244477455</v>
      </c>
      <c r="R70" s="32" t="str">
        <f aca="false">IF(L70="","",IF(ABS(L70)&lt;=O70,"Yes","No"))</f>
        <v>Yes</v>
      </c>
      <c r="S70" s="32" t="str">
        <f aca="false">IF(L70="","",IF(ABS(L70)&lt;=1.96*O70,"Yes","No"))</f>
        <v>Yes</v>
      </c>
      <c r="T70" s="60" t="n">
        <f aca="false">IF(D70="","",ROUND(SQRT(((D70+G70)*O70/100)^2+(J70*(D70+G70)*0.02225)^2),0))</f>
        <v>88</v>
      </c>
      <c r="U70" s="32"/>
    </row>
    <row r="71" customFormat="false" ht="15" hidden="false" customHeight="false" outlineLevel="0" collapsed="false">
      <c r="A71" s="32" t="s">
        <v>222</v>
      </c>
      <c r="B71" s="32" t="s">
        <v>239</v>
      </c>
      <c r="C71" s="32" t="s">
        <v>164</v>
      </c>
      <c r="D71" s="60" t="n">
        <v>2616</v>
      </c>
      <c r="E71" s="60" t="n">
        <v>2919</v>
      </c>
      <c r="F71" s="69" t="n">
        <f aca="false">IF(E71="","",D71-E71)</f>
        <v>-303</v>
      </c>
      <c r="G71" s="60" t="n">
        <v>2838</v>
      </c>
      <c r="H71" s="60" t="n">
        <v>3008</v>
      </c>
      <c r="I71" s="69" t="n">
        <f aca="false">IF(H71="","",G71-H71)</f>
        <v>-170</v>
      </c>
      <c r="J71" s="40" t="n">
        <f aca="false">IF(OR(D71="",D71+G71=0),"",D71/(D71+G71))</f>
        <v>0.47964796479648</v>
      </c>
      <c r="K71" s="40" t="n">
        <f aca="false">IF(E71="","",E71/(E71+H71))</f>
        <v>0.492491985827569</v>
      </c>
      <c r="L71" s="70" t="n">
        <f aca="false">IF(OR(K71="",J71=""),"",(J71-K71)*100)</f>
        <v>-1.28440210310891</v>
      </c>
      <c r="M71" s="36" t="n">
        <v>1.23966092899928</v>
      </c>
      <c r="N71" s="36" t="n">
        <v>2.13740766541741</v>
      </c>
      <c r="O71" s="36" t="n">
        <f aca="false">SQRT(M71^2+N71^2)</f>
        <v>2.47088460820664</v>
      </c>
      <c r="P71" s="40" t="n">
        <f aca="false">IF(J71="","",MAX(0,J71-1.96*O71/100))</f>
        <v>0.43121862647563</v>
      </c>
      <c r="Q71" s="40" t="n">
        <f aca="false">IF(J71="","",MIN(1,J71+1.96*O71/100))</f>
        <v>0.52807730311733</v>
      </c>
      <c r="R71" s="32" t="str">
        <f aca="false">IF(L71="","",IF(ABS(L71)&lt;=O71,"Yes","No"))</f>
        <v>Yes</v>
      </c>
      <c r="S71" s="32" t="str">
        <f aca="false">IF(L71="","",IF(ABS(L71)&lt;=1.96*O71,"Yes","No"))</f>
        <v>Yes</v>
      </c>
      <c r="T71" s="60" t="n">
        <f aca="false">IF(D71="","",ROUND(SQRT(((D71+G71)*O71/100)^2+(J71*(D71+G71)*0.02225)^2),0))</f>
        <v>147</v>
      </c>
      <c r="U71" s="32"/>
    </row>
    <row r="72" customFormat="false" ht="15" hidden="false" customHeight="false" outlineLevel="0" collapsed="false">
      <c r="A72" s="32" t="s">
        <v>222</v>
      </c>
      <c r="B72" s="32" t="s">
        <v>240</v>
      </c>
      <c r="C72" s="32" t="s">
        <v>164</v>
      </c>
      <c r="D72" s="60" t="n">
        <v>1488</v>
      </c>
      <c r="E72" s="60" t="n">
        <v>1661</v>
      </c>
      <c r="F72" s="69" t="n">
        <f aca="false">IF(E72="","",D72-E72)</f>
        <v>-173</v>
      </c>
      <c r="G72" s="60" t="n">
        <v>2786</v>
      </c>
      <c r="H72" s="60" t="n">
        <v>3091</v>
      </c>
      <c r="I72" s="69" t="n">
        <f aca="false">IF(H72="","",G72-H72)</f>
        <v>-305</v>
      </c>
      <c r="J72" s="40" t="n">
        <f aca="false">IF(OR(D72="",D72+G72=0),"",D72/(D72+G72))</f>
        <v>0.348151614412728</v>
      </c>
      <c r="K72" s="40" t="n">
        <f aca="false">IF(E72="","",E72/(E72+H72))</f>
        <v>0.349537037037037</v>
      </c>
      <c r="L72" s="70" t="n">
        <f aca="false">IF(OR(K72="",J72=""),"",(J72-K72)*100)</f>
        <v>-0.138542262430891</v>
      </c>
      <c r="M72" s="36" t="n">
        <v>1.23966092899928</v>
      </c>
      <c r="N72" s="36" t="n">
        <v>2.13740766541741</v>
      </c>
      <c r="O72" s="36" t="n">
        <f aca="false">SQRT(M72^2+N72^2)</f>
        <v>2.47088460820664</v>
      </c>
      <c r="P72" s="40" t="n">
        <f aca="false">IF(J72="","",MAX(0,J72-1.96*O72/100))</f>
        <v>0.299722276091878</v>
      </c>
      <c r="Q72" s="40" t="n">
        <f aca="false">IF(J72="","",MIN(1,J72+1.96*O72/100))</f>
        <v>0.396580952733578</v>
      </c>
      <c r="R72" s="32" t="str">
        <f aca="false">IF(L72="","",IF(ABS(L72)&lt;=O72,"Yes","No"))</f>
        <v>Yes</v>
      </c>
      <c r="S72" s="32" t="str">
        <f aca="false">IF(L72="","",IF(ABS(L72)&lt;=1.96*O72,"Yes","No"))</f>
        <v>Yes</v>
      </c>
      <c r="T72" s="60" t="n">
        <f aca="false">IF(D72="","",ROUND(SQRT(((D72+G72)*O72/100)^2+(J72*(D72+G72)*0.02225)^2),0))</f>
        <v>111</v>
      </c>
      <c r="U72" s="32"/>
    </row>
    <row r="73" customFormat="false" ht="15" hidden="false" customHeight="false" outlineLevel="0" collapsed="false">
      <c r="A73" s="32" t="s">
        <v>222</v>
      </c>
      <c r="B73" s="32" t="s">
        <v>241</v>
      </c>
      <c r="C73" s="32" t="s">
        <v>164</v>
      </c>
      <c r="D73" s="60" t="n">
        <v>1090</v>
      </c>
      <c r="E73" s="60" t="n">
        <v>1272</v>
      </c>
      <c r="F73" s="69" t="n">
        <f aca="false">IF(E73="","",D73-E73)</f>
        <v>-182</v>
      </c>
      <c r="G73" s="60" t="n">
        <v>1136</v>
      </c>
      <c r="H73" s="60" t="n">
        <v>1188</v>
      </c>
      <c r="I73" s="69" t="n">
        <f aca="false">IF(H73="","",G73-H73)</f>
        <v>-52</v>
      </c>
      <c r="J73" s="40" t="n">
        <f aca="false">IF(OR(D73="",D73+G73=0),"",D73/(D73+G73))</f>
        <v>0.489667565139263</v>
      </c>
      <c r="K73" s="40" t="n">
        <f aca="false">IF(E73="","",E73/(E73+H73))</f>
        <v>0.517073170731707</v>
      </c>
      <c r="L73" s="70" t="n">
        <f aca="false">IF(OR(K73="",J73=""),"",(J73-K73)*100)</f>
        <v>-2.74056055924441</v>
      </c>
      <c r="M73" s="36" t="n">
        <v>2.25632701588549</v>
      </c>
      <c r="N73" s="36" t="n">
        <v>2.13740766541741</v>
      </c>
      <c r="O73" s="36" t="n">
        <f aca="false">SQRT(M73^2+N73^2)</f>
        <v>3.10797733756214</v>
      </c>
      <c r="P73" s="40" t="n">
        <f aca="false">IF(J73="","",MAX(0,J73-1.96*O73/100))</f>
        <v>0.428751209323045</v>
      </c>
      <c r="Q73" s="40" t="n">
        <f aca="false">IF(J73="","",MIN(1,J73+1.96*O73/100))</f>
        <v>0.550583920955481</v>
      </c>
      <c r="R73" s="32" t="str">
        <f aca="false">IF(L73="","",IF(ABS(L73)&lt;=O73,"Yes","No"))</f>
        <v>Yes</v>
      </c>
      <c r="S73" s="32" t="str">
        <f aca="false">IF(L73="","",IF(ABS(L73)&lt;=1.96*O73,"Yes","No"))</f>
        <v>Yes</v>
      </c>
      <c r="T73" s="60" t="n">
        <f aca="false">IF(D73="","",ROUND(SQRT(((D73+G73)*O73/100)^2+(J73*(D73+G73)*0.03811)^2),0))</f>
        <v>81</v>
      </c>
      <c r="U73" s="32"/>
    </row>
    <row r="74" customFormat="false" ht="15" hidden="false" customHeight="false" outlineLevel="0" collapsed="false">
      <c r="A74" s="32" t="s">
        <v>222</v>
      </c>
      <c r="B74" s="32" t="s">
        <v>242</v>
      </c>
      <c r="C74" s="32" t="s">
        <v>164</v>
      </c>
      <c r="D74" s="60" t="n">
        <v>565</v>
      </c>
      <c r="E74" s="60" t="n">
        <v>644</v>
      </c>
      <c r="F74" s="69" t="n">
        <f aca="false">IF(E74="","",D74-E74)</f>
        <v>-79</v>
      </c>
      <c r="G74" s="60" t="n">
        <v>612</v>
      </c>
      <c r="H74" s="60" t="n">
        <v>634</v>
      </c>
      <c r="I74" s="69" t="n">
        <f aca="false">IF(H74="","",G74-H74)</f>
        <v>-22</v>
      </c>
      <c r="J74" s="40" t="n">
        <f aca="false">IF(OR(D74="",D74+G74=0),"",D74/(D74+G74))</f>
        <v>0.480033984706882</v>
      </c>
      <c r="K74" s="40" t="n">
        <f aca="false">IF(E74="","",E74/(E74+H74))</f>
        <v>0.503912363067293</v>
      </c>
      <c r="L74" s="70" t="n">
        <f aca="false">IF(OR(K74="",J74=""),"",(J74-K74)*100)</f>
        <v>-2.38783783604107</v>
      </c>
      <c r="M74" s="36" t="n">
        <v>2.25632701588549</v>
      </c>
      <c r="N74" s="36" t="n">
        <v>2.13740766541741</v>
      </c>
      <c r="O74" s="36" t="n">
        <f aca="false">SQRT(M74^2+N74^2)</f>
        <v>3.10797733756214</v>
      </c>
      <c r="P74" s="40" t="n">
        <f aca="false">IF(J74="","",MAX(0,J74-1.96*O74/100))</f>
        <v>0.419117628890664</v>
      </c>
      <c r="Q74" s="40" t="n">
        <f aca="false">IF(J74="","",MIN(1,J74+1.96*O74/100))</f>
        <v>0.5409503405231</v>
      </c>
      <c r="R74" s="32" t="str">
        <f aca="false">IF(L74="","",IF(ABS(L74)&lt;=O74,"Yes","No"))</f>
        <v>Yes</v>
      </c>
      <c r="S74" s="32" t="str">
        <f aca="false">IF(L74="","",IF(ABS(L74)&lt;=1.96*O74,"Yes","No"))</f>
        <v>Yes</v>
      </c>
      <c r="T74" s="60" t="n">
        <f aca="false">IF(D74="","",ROUND(SQRT(((D74+G74)*O74/100)^2+(J74*(D74+G74)*0.03811)^2),0))</f>
        <v>42</v>
      </c>
      <c r="U74" s="32"/>
    </row>
    <row r="75" customFormat="false" ht="15" hidden="false" customHeight="false" outlineLevel="0" collapsed="false">
      <c r="A75" s="32" t="s">
        <v>222</v>
      </c>
      <c r="B75" s="32" t="s">
        <v>243</v>
      </c>
      <c r="C75" s="32" t="s">
        <v>164</v>
      </c>
      <c r="D75" s="60" t="n">
        <v>1718</v>
      </c>
      <c r="E75" s="60" t="n">
        <v>1957</v>
      </c>
      <c r="F75" s="69" t="n">
        <f aca="false">IF(E75="","",D75-E75)</f>
        <v>-239</v>
      </c>
      <c r="G75" s="60" t="n">
        <v>1911</v>
      </c>
      <c r="H75" s="60" t="n">
        <v>1970</v>
      </c>
      <c r="I75" s="69" t="n">
        <f aca="false">IF(H75="","",G75-H75)</f>
        <v>-59</v>
      </c>
      <c r="J75" s="40" t="n">
        <f aca="false">IF(OR(D75="",D75+G75=0),"",D75/(D75+G75))</f>
        <v>0.473408652521356</v>
      </c>
      <c r="K75" s="40" t="n">
        <f aca="false">IF(E75="","",E75/(E75+H75))</f>
        <v>0.49834479246244</v>
      </c>
      <c r="L75" s="70" t="n">
        <f aca="false">IF(OR(K75="",J75=""),"",(J75-K75)*100)</f>
        <v>-2.49361399410838</v>
      </c>
      <c r="M75" s="36" t="n">
        <v>1.23966092899928</v>
      </c>
      <c r="N75" s="36" t="n">
        <v>2.13740766541741</v>
      </c>
      <c r="O75" s="36" t="n">
        <f aca="false">SQRT(M75^2+N75^2)</f>
        <v>2.47088460820664</v>
      </c>
      <c r="P75" s="40" t="n">
        <f aca="false">IF(J75="","",MAX(0,J75-1.96*O75/100))</f>
        <v>0.424979314200506</v>
      </c>
      <c r="Q75" s="40" t="n">
        <f aca="false">IF(J75="","",MIN(1,J75+1.96*O75/100))</f>
        <v>0.521837990842206</v>
      </c>
      <c r="R75" s="32" t="str">
        <f aca="false">IF(L75="","",IF(ABS(L75)&lt;=O75,"Yes","No"))</f>
        <v>No</v>
      </c>
      <c r="S75" s="32" t="str">
        <f aca="false">IF(L75="","",IF(ABS(L75)&lt;=1.96*O75,"Yes","No"))</f>
        <v>Yes</v>
      </c>
      <c r="T75" s="60" t="n">
        <f aca="false">IF(D75="","",ROUND(SQRT(((D75+G75)*O75/100)^2+(J75*(D75+G75)*0.02225)^2),0))</f>
        <v>97</v>
      </c>
      <c r="U75" s="32"/>
    </row>
    <row r="76" customFormat="false" ht="15" hidden="false" customHeight="false" outlineLevel="0" collapsed="false">
      <c r="A76" s="32" t="s">
        <v>222</v>
      </c>
      <c r="B76" s="32" t="s">
        <v>244</v>
      </c>
      <c r="C76" s="32" t="s">
        <v>164</v>
      </c>
      <c r="D76" s="60" t="n">
        <v>4967</v>
      </c>
      <c r="E76" s="60" t="n">
        <v>5403</v>
      </c>
      <c r="F76" s="69" t="n">
        <f aca="false">IF(E76="","",D76-E76)</f>
        <v>-436</v>
      </c>
      <c r="G76" s="60" t="n">
        <v>4710</v>
      </c>
      <c r="H76" s="60" t="n">
        <v>4910</v>
      </c>
      <c r="I76" s="69" t="n">
        <f aca="false">IF(H76="","",G76-H76)</f>
        <v>-200</v>
      </c>
      <c r="J76" s="40" t="n">
        <f aca="false">IF(OR(D76="",D76+G76=0),"",D76/(D76+G76))</f>
        <v>0.513278908752713</v>
      </c>
      <c r="K76" s="40" t="n">
        <f aca="false">IF(E76="","",E76/(E76+H76))</f>
        <v>0.523901871424416</v>
      </c>
      <c r="L76" s="70" t="n">
        <f aca="false">IF(OR(K76="",J76=""),"",(J76-K76)*100)</f>
        <v>-1.06229626717032</v>
      </c>
      <c r="M76" s="36" t="n">
        <v>1.23966092899928</v>
      </c>
      <c r="N76" s="36" t="n">
        <v>2.13740766541741</v>
      </c>
      <c r="O76" s="36" t="n">
        <f aca="false">SQRT(M76^2+N76^2)</f>
        <v>2.47088460820664</v>
      </c>
      <c r="P76" s="40" t="n">
        <f aca="false">IF(J76="","",MAX(0,J76-1.96*O76/100))</f>
        <v>0.464849570431863</v>
      </c>
      <c r="Q76" s="40" t="n">
        <f aca="false">IF(J76="","",MIN(1,J76+1.96*O76/100))</f>
        <v>0.561708247073563</v>
      </c>
      <c r="R76" s="32" t="str">
        <f aca="false">IF(L76="","",IF(ABS(L76)&lt;=O76,"Yes","No"))</f>
        <v>Yes</v>
      </c>
      <c r="S76" s="32" t="str">
        <f aca="false">IF(L76="","",IF(ABS(L76)&lt;=1.96*O76,"Yes","No"))</f>
        <v>Yes</v>
      </c>
      <c r="T76" s="60" t="n">
        <f aca="false">IF(D76="","",ROUND(SQRT(((D76+G76)*O76/100)^2+(J76*(D76+G76)*0.02225)^2),0))</f>
        <v>263</v>
      </c>
      <c r="U76" s="32"/>
    </row>
    <row r="77" customFormat="false" ht="15" hidden="false" customHeight="false" outlineLevel="0" collapsed="false">
      <c r="A77" s="32" t="s">
        <v>222</v>
      </c>
      <c r="B77" s="32" t="s">
        <v>245</v>
      </c>
      <c r="C77" s="32" t="s">
        <v>164</v>
      </c>
      <c r="D77" s="60" t="n">
        <v>488</v>
      </c>
      <c r="E77" s="60" t="n">
        <v>511</v>
      </c>
      <c r="F77" s="69" t="n">
        <f aca="false">IF(E77="","",D77-E77)</f>
        <v>-23</v>
      </c>
      <c r="G77" s="60" t="n">
        <v>717</v>
      </c>
      <c r="H77" s="60" t="n">
        <v>778</v>
      </c>
      <c r="I77" s="69" t="n">
        <f aca="false">IF(H77="","",G77-H77)</f>
        <v>-61</v>
      </c>
      <c r="J77" s="40" t="n">
        <f aca="false">IF(OR(D77="",D77+G77=0),"",D77/(D77+G77))</f>
        <v>0.404979253112033</v>
      </c>
      <c r="K77" s="40" t="n">
        <f aca="false">IF(E77="","",E77/(E77+H77))</f>
        <v>0.396431342125679</v>
      </c>
      <c r="L77" s="70" t="n">
        <f aca="false">IF(OR(K77="",J77=""),"",(J77-K77)*100)</f>
        <v>0.854791098635438</v>
      </c>
      <c r="M77" s="36" t="n">
        <v>2.25632701588549</v>
      </c>
      <c r="N77" s="36" t="n">
        <v>2.13740766541741</v>
      </c>
      <c r="O77" s="36" t="n">
        <f aca="false">SQRT(M77^2+N77^2)</f>
        <v>3.10797733756214</v>
      </c>
      <c r="P77" s="40" t="n">
        <f aca="false">IF(J77="","",MAX(0,J77-1.96*O77/100))</f>
        <v>0.344062897295815</v>
      </c>
      <c r="Q77" s="40" t="n">
        <f aca="false">IF(J77="","",MIN(1,J77+1.96*O77/100))</f>
        <v>0.465895608928251</v>
      </c>
      <c r="R77" s="32" t="str">
        <f aca="false">IF(L77="","",IF(ABS(L77)&lt;=O77,"Yes","No"))</f>
        <v>Yes</v>
      </c>
      <c r="S77" s="32" t="str">
        <f aca="false">IF(L77="","",IF(ABS(L77)&lt;=1.96*O77,"Yes","No"))</f>
        <v>Yes</v>
      </c>
      <c r="T77" s="60" t="n">
        <f aca="false">IF(D77="","",ROUND(SQRT(((D77+G77)*O77/100)^2+(J77*(D77+G77)*0.03811)^2),0))</f>
        <v>42</v>
      </c>
      <c r="U77" s="32"/>
    </row>
    <row r="78" customFormat="false" ht="15" hidden="false" customHeight="false" outlineLevel="0" collapsed="false">
      <c r="A78" s="32" t="s">
        <v>222</v>
      </c>
      <c r="B78" s="32" t="s">
        <v>246</v>
      </c>
      <c r="C78" s="32" t="s">
        <v>164</v>
      </c>
      <c r="D78" s="60" t="n">
        <v>1015</v>
      </c>
      <c r="E78" s="60" t="n">
        <v>1076</v>
      </c>
      <c r="F78" s="69" t="n">
        <f aca="false">IF(E78="","",D78-E78)</f>
        <v>-61</v>
      </c>
      <c r="G78" s="60" t="n">
        <v>1735</v>
      </c>
      <c r="H78" s="60" t="n">
        <v>1998</v>
      </c>
      <c r="I78" s="69" t="n">
        <f aca="false">IF(H78="","",G78-H78)</f>
        <v>-263</v>
      </c>
      <c r="J78" s="40" t="n">
        <f aca="false">IF(OR(D78="",D78+G78=0),"",D78/(D78+G78))</f>
        <v>0.369090909090909</v>
      </c>
      <c r="K78" s="40" t="n">
        <f aca="false">IF(E78="","",E78/(E78+H78))</f>
        <v>0.350032530904359</v>
      </c>
      <c r="L78" s="70" t="n">
        <f aca="false">IF(OR(K78="",J78=""),"",(J78-K78)*100)</f>
        <v>1.90583781865499</v>
      </c>
      <c r="M78" s="36" t="n">
        <v>1.23966092899928</v>
      </c>
      <c r="N78" s="36" t="n">
        <v>2.13740766541741</v>
      </c>
      <c r="O78" s="36" t="n">
        <f aca="false">SQRT(M78^2+N78^2)</f>
        <v>2.47088460820664</v>
      </c>
      <c r="P78" s="40" t="n">
        <f aca="false">IF(J78="","",MAX(0,J78-1.96*O78/100))</f>
        <v>0.320661570770059</v>
      </c>
      <c r="Q78" s="40" t="n">
        <f aca="false">IF(J78="","",MIN(1,J78+1.96*O78/100))</f>
        <v>0.417520247411759</v>
      </c>
      <c r="R78" s="32" t="str">
        <f aca="false">IF(L78="","",IF(ABS(L78)&lt;=O78,"Yes","No"))</f>
        <v>Yes</v>
      </c>
      <c r="S78" s="32" t="str">
        <f aca="false">IF(L78="","",IF(ABS(L78)&lt;=1.96*O78,"Yes","No"))</f>
        <v>Yes</v>
      </c>
      <c r="T78" s="60" t="n">
        <f aca="false">IF(D78="","",ROUND(SQRT(((D78+G78)*O78/100)^2+(J78*(D78+G78)*0.02225)^2),0))</f>
        <v>72</v>
      </c>
      <c r="U78" s="32"/>
    </row>
    <row r="79" customFormat="false" ht="15" hidden="false" customHeight="false" outlineLevel="0" collapsed="false">
      <c r="A79" s="32" t="s">
        <v>222</v>
      </c>
      <c r="B79" s="32" t="s">
        <v>247</v>
      </c>
      <c r="C79" s="32" t="s">
        <v>164</v>
      </c>
      <c r="D79" s="60" t="n">
        <v>62</v>
      </c>
      <c r="E79" s="60" t="n">
        <v>65</v>
      </c>
      <c r="F79" s="69" t="n">
        <f aca="false">IF(E79="","",D79-E79)</f>
        <v>-3</v>
      </c>
      <c r="G79" s="60" t="n">
        <v>116</v>
      </c>
      <c r="H79" s="60" t="n">
        <v>129</v>
      </c>
      <c r="I79" s="69" t="n">
        <f aca="false">IF(H79="","",G79-H79)</f>
        <v>-13</v>
      </c>
      <c r="J79" s="40" t="n">
        <f aca="false">IF(OR(D79="",D79+G79=0),"",D79/(D79+G79))</f>
        <v>0.348314606741573</v>
      </c>
      <c r="K79" s="40" t="n">
        <f aca="false">IF(E79="","",E79/(E79+H79))</f>
        <v>0.335051546391753</v>
      </c>
      <c r="L79" s="70" t="n">
        <f aca="false">IF(OR(K79="",J79=""),"",(J79-K79)*100)</f>
        <v>1.32630603498205</v>
      </c>
      <c r="M79" s="36" t="n">
        <v>3.39287279657052</v>
      </c>
      <c r="N79" s="36" t="n">
        <v>2.13740766541741</v>
      </c>
      <c r="O79" s="36" t="n">
        <f aca="false">SQRT(M79^2+N79^2)</f>
        <v>4.00999966856525</v>
      </c>
      <c r="P79" s="40" t="n">
        <f aca="false">IF(J79="","",MAX(0,J79-1.96*O79/100))</f>
        <v>0.269718613237694</v>
      </c>
      <c r="Q79" s="40" t="n">
        <f aca="false">IF(J79="","",MIN(1,J79+1.96*O79/100))</f>
        <v>0.426910600245452</v>
      </c>
      <c r="R79" s="32" t="str">
        <f aca="false">IF(L79="","",IF(ABS(L79)&lt;=O79,"Yes","No"))</f>
        <v>Yes</v>
      </c>
      <c r="S79" s="32" t="str">
        <f aca="false">IF(L79="","",IF(ABS(L79)&lt;=1.96*O79,"Yes","No"))</f>
        <v>Yes</v>
      </c>
      <c r="T79" s="60" t="n">
        <f aca="false">IF(D79="","",ROUND(SQRT(((D79+G79)*O79/100)^2+(J79*(D79+G79)*0.0534)^2),0))</f>
        <v>8</v>
      </c>
      <c r="U79" s="32"/>
    </row>
    <row r="80" customFormat="false" ht="15" hidden="false" customHeight="false" outlineLevel="0" collapsed="false">
      <c r="A80" s="32" t="s">
        <v>222</v>
      </c>
      <c r="B80" s="32" t="s">
        <v>248</v>
      </c>
      <c r="C80" s="32" t="s">
        <v>164</v>
      </c>
      <c r="D80" s="60" t="n">
        <v>264</v>
      </c>
      <c r="E80" s="60" t="n">
        <v>258</v>
      </c>
      <c r="F80" s="69" t="n">
        <f aca="false">IF(E80="","",D80-E80)</f>
        <v>6</v>
      </c>
      <c r="G80" s="60" t="n">
        <v>391</v>
      </c>
      <c r="H80" s="60" t="n">
        <v>418</v>
      </c>
      <c r="I80" s="69" t="n">
        <f aca="false">IF(H80="","",G80-H80)</f>
        <v>-27</v>
      </c>
      <c r="J80" s="40" t="n">
        <f aca="false">IF(OR(D80="",D80+G80=0),"",D80/(D80+G80))</f>
        <v>0.403053435114504</v>
      </c>
      <c r="K80" s="40" t="n">
        <f aca="false">IF(E80="","",E80/(E80+H80))</f>
        <v>0.381656804733728</v>
      </c>
      <c r="L80" s="70" t="n">
        <f aca="false">IF(OR(K80="",J80=""),"",(J80-K80)*100)</f>
        <v>2.1396630380776</v>
      </c>
      <c r="M80" s="36" t="n">
        <v>3.39287279657052</v>
      </c>
      <c r="N80" s="36" t="n">
        <v>2.13740766541741</v>
      </c>
      <c r="O80" s="36" t="n">
        <f aca="false">SQRT(M80^2+N80^2)</f>
        <v>4.00999966856525</v>
      </c>
      <c r="P80" s="40" t="n">
        <f aca="false">IF(J80="","",MAX(0,J80-1.96*O80/100))</f>
        <v>0.324457441610625</v>
      </c>
      <c r="Q80" s="40" t="n">
        <f aca="false">IF(J80="","",MIN(1,J80+1.96*O80/100))</f>
        <v>0.481649428618383</v>
      </c>
      <c r="R80" s="32" t="str">
        <f aca="false">IF(L80="","",IF(ABS(L80)&lt;=O80,"Yes","No"))</f>
        <v>Yes</v>
      </c>
      <c r="S80" s="32" t="str">
        <f aca="false">IF(L80="","",IF(ABS(L80)&lt;=1.96*O80,"Yes","No"))</f>
        <v>Yes</v>
      </c>
      <c r="T80" s="60" t="n">
        <f aca="false">IF(D80="","",ROUND(SQRT(((D80+G80)*O80/100)^2+(J80*(D80+G80)*0.0534)^2),0))</f>
        <v>30</v>
      </c>
      <c r="U80" s="32"/>
    </row>
    <row r="81" customFormat="false" ht="15" hidden="false" customHeight="false" outlineLevel="0" collapsed="false">
      <c r="A81" s="32" t="s">
        <v>222</v>
      </c>
      <c r="B81" s="32" t="s">
        <v>249</v>
      </c>
      <c r="C81" s="32" t="s">
        <v>164</v>
      </c>
      <c r="D81" s="60" t="n">
        <v>142</v>
      </c>
      <c r="E81" s="60" t="n">
        <v>160</v>
      </c>
      <c r="F81" s="69" t="n">
        <f aca="false">IF(E81="","",D81-E81)</f>
        <v>-18</v>
      </c>
      <c r="G81" s="60" t="n">
        <v>192</v>
      </c>
      <c r="H81" s="60" t="n">
        <v>227</v>
      </c>
      <c r="I81" s="69" t="n">
        <f aca="false">IF(H81="","",G81-H81)</f>
        <v>-35</v>
      </c>
      <c r="J81" s="40" t="n">
        <f aca="false">IF(OR(D81="",D81+G81=0),"",D81/(D81+G81))</f>
        <v>0.425149700598802</v>
      </c>
      <c r="K81" s="40" t="n">
        <f aca="false">IF(E81="","",E81/(E81+H81))</f>
        <v>0.41343669250646</v>
      </c>
      <c r="L81" s="70" t="n">
        <f aca="false">IF(OR(K81="",J81=""),"",(J81-K81)*100)</f>
        <v>1.17130080923425</v>
      </c>
      <c r="M81" s="36" t="n">
        <v>3.39287279657052</v>
      </c>
      <c r="N81" s="36" t="n">
        <v>2.13740766541741</v>
      </c>
      <c r="O81" s="36" t="n">
        <f aca="false">SQRT(M81^2+N81^2)</f>
        <v>4.00999966856525</v>
      </c>
      <c r="P81" s="40" t="n">
        <f aca="false">IF(J81="","",MAX(0,J81-1.96*O81/100))</f>
        <v>0.346553707094924</v>
      </c>
      <c r="Q81" s="40" t="n">
        <f aca="false">IF(J81="","",MIN(1,J81+1.96*O81/100))</f>
        <v>0.503745694102681</v>
      </c>
      <c r="R81" s="32" t="str">
        <f aca="false">IF(L81="","",IF(ABS(L81)&lt;=O81,"Yes","No"))</f>
        <v>Yes</v>
      </c>
      <c r="S81" s="32" t="str">
        <f aca="false">IF(L81="","",IF(ABS(L81)&lt;=1.96*O81,"Yes","No"))</f>
        <v>Yes</v>
      </c>
      <c r="T81" s="60" t="n">
        <f aca="false">IF(D81="","",ROUND(SQRT(((D81+G81)*O81/100)^2+(J81*(D81+G81)*0.0534)^2),0))</f>
        <v>15</v>
      </c>
      <c r="U81" s="32"/>
    </row>
    <row r="82" customFormat="false" ht="15" hidden="false" customHeight="false" outlineLevel="0" collapsed="false">
      <c r="A82" s="32" t="s">
        <v>222</v>
      </c>
      <c r="B82" s="32" t="s">
        <v>250</v>
      </c>
      <c r="C82" s="32" t="s">
        <v>164</v>
      </c>
      <c r="D82" s="60" t="n">
        <v>225</v>
      </c>
      <c r="E82" s="60" t="n">
        <v>243</v>
      </c>
      <c r="F82" s="69" t="n">
        <f aca="false">IF(E82="","",D82-E82)</f>
        <v>-18</v>
      </c>
      <c r="G82" s="60" t="n">
        <v>298</v>
      </c>
      <c r="H82" s="60" t="n">
        <v>318</v>
      </c>
      <c r="I82" s="69" t="n">
        <f aca="false">IF(H82="","",G82-H82)</f>
        <v>-20</v>
      </c>
      <c r="J82" s="40" t="n">
        <f aca="false">IF(OR(D82="",D82+G82=0),"",D82/(D82+G82))</f>
        <v>0.430210325047801</v>
      </c>
      <c r="K82" s="40" t="n">
        <f aca="false">IF(E82="","",E82/(E82+H82))</f>
        <v>0.433155080213904</v>
      </c>
      <c r="L82" s="70" t="n">
        <f aca="false">IF(OR(K82="",J82=""),"",(J82-K82)*100)</f>
        <v>-0.29447551661026</v>
      </c>
      <c r="M82" s="36" t="n">
        <v>3.39287279657052</v>
      </c>
      <c r="N82" s="36" t="n">
        <v>2.13740766541741</v>
      </c>
      <c r="O82" s="36" t="n">
        <f aca="false">SQRT(M82^2+N82^2)</f>
        <v>4.00999966856525</v>
      </c>
      <c r="P82" s="40" t="n">
        <f aca="false">IF(J82="","",MAX(0,J82-1.96*O82/100))</f>
        <v>0.351614331543922</v>
      </c>
      <c r="Q82" s="40" t="n">
        <f aca="false">IF(J82="","",MIN(1,J82+1.96*O82/100))</f>
        <v>0.50880631855168</v>
      </c>
      <c r="R82" s="32" t="str">
        <f aca="false">IF(L82="","",IF(ABS(L82)&lt;=O82,"Yes","No"))</f>
        <v>Yes</v>
      </c>
      <c r="S82" s="32" t="str">
        <f aca="false">IF(L82="","",IF(ABS(L82)&lt;=1.96*O82,"Yes","No"))</f>
        <v>Yes</v>
      </c>
      <c r="T82" s="60" t="n">
        <f aca="false">IF(D82="","",ROUND(SQRT(((D82+G82)*O82/100)^2+(J82*(D82+G82)*0.0534)^2),0))</f>
        <v>24</v>
      </c>
      <c r="U82" s="32"/>
    </row>
    <row r="83" customFormat="false" ht="15" hidden="false" customHeight="false" outlineLevel="0" collapsed="false">
      <c r="A83" s="32" t="s">
        <v>222</v>
      </c>
      <c r="B83" s="32" t="s">
        <v>251</v>
      </c>
      <c r="C83" s="32" t="s">
        <v>164</v>
      </c>
      <c r="D83" s="60" t="n">
        <v>987</v>
      </c>
      <c r="E83" s="60" t="n">
        <v>1030</v>
      </c>
      <c r="F83" s="69" t="n">
        <f aca="false">IF(E83="","",D83-E83)</f>
        <v>-43</v>
      </c>
      <c r="G83" s="60" t="n">
        <v>1860</v>
      </c>
      <c r="H83" s="60" t="n">
        <v>2095</v>
      </c>
      <c r="I83" s="69" t="n">
        <f aca="false">IF(H83="","",G83-H83)</f>
        <v>-235</v>
      </c>
      <c r="J83" s="40" t="n">
        <f aca="false">IF(OR(D83="",D83+G83=0),"",D83/(D83+G83))</f>
        <v>0.34668071654373</v>
      </c>
      <c r="K83" s="40" t="n">
        <f aca="false">IF(E83="","",E83/(E83+H83))</f>
        <v>0.3296</v>
      </c>
      <c r="L83" s="70" t="n">
        <f aca="false">IF(OR(K83="",J83=""),"",(J83-K83)*100)</f>
        <v>1.70807165437302</v>
      </c>
      <c r="M83" s="36" t="n">
        <v>1.23966092899928</v>
      </c>
      <c r="N83" s="36" t="n">
        <v>2.13740766541741</v>
      </c>
      <c r="O83" s="36" t="n">
        <f aca="false">SQRT(M83^2+N83^2)</f>
        <v>2.47088460820664</v>
      </c>
      <c r="P83" s="40" t="n">
        <f aca="false">IF(J83="","",MAX(0,J83-1.96*O83/100))</f>
        <v>0.29825137822288</v>
      </c>
      <c r="Q83" s="40" t="n">
        <f aca="false">IF(J83="","",MIN(1,J83+1.96*O83/100))</f>
        <v>0.39511005486458</v>
      </c>
      <c r="R83" s="32" t="str">
        <f aca="false">IF(L83="","",IF(ABS(L83)&lt;=O83,"Yes","No"))</f>
        <v>Yes</v>
      </c>
      <c r="S83" s="32" t="str">
        <f aca="false">IF(L83="","",IF(ABS(L83)&lt;=1.96*O83,"Yes","No"))</f>
        <v>Yes</v>
      </c>
      <c r="T83" s="60" t="n">
        <f aca="false">IF(D83="","",ROUND(SQRT(((D83+G83)*O83/100)^2+(J83*(D83+G83)*0.02225)^2),0))</f>
        <v>74</v>
      </c>
      <c r="U83" s="32"/>
    </row>
    <row r="84" customFormat="false" ht="15" hidden="false" customHeight="false" outlineLevel="0" collapsed="false">
      <c r="A84" s="32" t="s">
        <v>222</v>
      </c>
      <c r="B84" s="32" t="s">
        <v>252</v>
      </c>
      <c r="C84" s="32" t="s">
        <v>164</v>
      </c>
      <c r="D84" s="60" t="n">
        <v>1337</v>
      </c>
      <c r="E84" s="60" t="n">
        <v>1575</v>
      </c>
      <c r="F84" s="69" t="n">
        <f aca="false">IF(E84="","",D84-E84)</f>
        <v>-238</v>
      </c>
      <c r="G84" s="60" t="n">
        <v>1450</v>
      </c>
      <c r="H84" s="60" t="n">
        <v>1588</v>
      </c>
      <c r="I84" s="69" t="n">
        <f aca="false">IF(H84="","",G84-H84)</f>
        <v>-138</v>
      </c>
      <c r="J84" s="40" t="n">
        <f aca="false">IF(OR(D84="",D84+G84=0),"",D84/(D84+G84))</f>
        <v>0.47972730534625</v>
      </c>
      <c r="K84" s="40" t="n">
        <f aca="false">IF(E84="","",E84/(E84+H84))</f>
        <v>0.497944988934556</v>
      </c>
      <c r="L84" s="70" t="n">
        <f aca="false">IF(OR(K84="",J84=""),"",(J84-K84)*100)</f>
        <v>-1.82176835883053</v>
      </c>
      <c r="M84" s="36" t="n">
        <v>1.23966092899928</v>
      </c>
      <c r="N84" s="36" t="n">
        <v>2.13740766541741</v>
      </c>
      <c r="O84" s="36" t="n">
        <f aca="false">SQRT(M84^2+N84^2)</f>
        <v>2.47088460820664</v>
      </c>
      <c r="P84" s="40" t="n">
        <f aca="false">IF(J84="","",MAX(0,J84-1.96*O84/100))</f>
        <v>0.4312979670254</v>
      </c>
      <c r="Q84" s="40" t="n">
        <f aca="false">IF(J84="","",MIN(1,J84+1.96*O84/100))</f>
        <v>0.528156643667101</v>
      </c>
      <c r="R84" s="32" t="str">
        <f aca="false">IF(L84="","",IF(ABS(L84)&lt;=O84,"Yes","No"))</f>
        <v>Yes</v>
      </c>
      <c r="S84" s="32" t="str">
        <f aca="false">IF(L84="","",IF(ABS(L84)&lt;=1.96*O84,"Yes","No"))</f>
        <v>Yes</v>
      </c>
      <c r="T84" s="60" t="n">
        <f aca="false">IF(D84="","",ROUND(SQRT(((D84+G84)*O84/100)^2+(J84*(D84+G84)*0.02225)^2),0))</f>
        <v>75</v>
      </c>
      <c r="U84" s="32"/>
    </row>
    <row r="85" customFormat="false" ht="15" hidden="false" customHeight="false" outlineLevel="0" collapsed="false">
      <c r="A85" s="32" t="s">
        <v>222</v>
      </c>
      <c r="B85" s="32" t="s">
        <v>253</v>
      </c>
      <c r="C85" s="32" t="s">
        <v>164</v>
      </c>
      <c r="D85" s="60" t="n">
        <v>278</v>
      </c>
      <c r="E85" s="60" t="n">
        <v>305</v>
      </c>
      <c r="F85" s="69" t="n">
        <f aca="false">IF(E85="","",D85-E85)</f>
        <v>-27</v>
      </c>
      <c r="G85" s="60" t="n">
        <v>388</v>
      </c>
      <c r="H85" s="60" t="n">
        <v>419</v>
      </c>
      <c r="I85" s="69" t="n">
        <f aca="false">IF(H85="","",G85-H85)</f>
        <v>-31</v>
      </c>
      <c r="J85" s="40" t="n">
        <f aca="false">IF(OR(D85="",D85+G85=0),"",D85/(D85+G85))</f>
        <v>0.417417417417417</v>
      </c>
      <c r="K85" s="40" t="n">
        <f aca="false">IF(E85="","",E85/(E85+H85))</f>
        <v>0.421270718232044</v>
      </c>
      <c r="L85" s="70" t="n">
        <f aca="false">IF(OR(K85="",J85=""),"",(J85-K85)*100)</f>
        <v>-0.385330081462681</v>
      </c>
      <c r="M85" s="36" t="n">
        <v>3.39287279657052</v>
      </c>
      <c r="N85" s="36" t="n">
        <v>2.13740766541741</v>
      </c>
      <c r="O85" s="36" t="n">
        <f aca="false">SQRT(M85^2+N85^2)</f>
        <v>4.00999966856525</v>
      </c>
      <c r="P85" s="40" t="n">
        <f aca="false">IF(J85="","",MAX(0,J85-1.96*O85/100))</f>
        <v>0.338821423913539</v>
      </c>
      <c r="Q85" s="40" t="n">
        <f aca="false">IF(J85="","",MIN(1,J85+1.96*O85/100))</f>
        <v>0.496013410921296</v>
      </c>
      <c r="R85" s="32" t="str">
        <f aca="false">IF(L85="","",IF(ABS(L85)&lt;=O85,"Yes","No"))</f>
        <v>Yes</v>
      </c>
      <c r="S85" s="32" t="str">
        <f aca="false">IF(L85="","",IF(ABS(L85)&lt;=1.96*O85,"Yes","No"))</f>
        <v>Yes</v>
      </c>
      <c r="T85" s="60" t="n">
        <f aca="false">IF(D85="","",ROUND(SQRT(((D85+G85)*O85/100)^2+(J85*(D85+G85)*0.0534)^2),0))</f>
        <v>31</v>
      </c>
      <c r="U85" s="32"/>
    </row>
    <row r="86" customFormat="false" ht="15" hidden="false" customHeight="false" outlineLevel="0" collapsed="false">
      <c r="A86" s="32" t="s">
        <v>222</v>
      </c>
      <c r="B86" s="32" t="s">
        <v>215</v>
      </c>
      <c r="C86" s="32" t="s">
        <v>164</v>
      </c>
      <c r="D86" s="60" t="n">
        <v>743</v>
      </c>
      <c r="E86" s="60" t="n">
        <v>840</v>
      </c>
      <c r="F86" s="69" t="n">
        <f aca="false">IF(E86="","",D86-E86)</f>
        <v>-97</v>
      </c>
      <c r="G86" s="60" t="n">
        <v>1296</v>
      </c>
      <c r="H86" s="60" t="n">
        <v>1533</v>
      </c>
      <c r="I86" s="69" t="n">
        <f aca="false">IF(H86="","",G86-H86)</f>
        <v>-237</v>
      </c>
      <c r="J86" s="40" t="n">
        <f aca="false">IF(OR(D86="",D86+G86=0),"",D86/(D86+G86))</f>
        <v>0.364394310936734</v>
      </c>
      <c r="K86" s="40" t="n">
        <f aca="false">IF(E86="","",E86/(E86+H86))</f>
        <v>0.353982300884956</v>
      </c>
      <c r="L86" s="70" t="n">
        <f aca="false">IF(OR(K86="",J86=""),"",(J86-K86)*100)</f>
        <v>1.04120100517779</v>
      </c>
      <c r="M86" s="36" t="n">
        <v>2.25632701588549</v>
      </c>
      <c r="N86" s="36" t="n">
        <v>2.13740766541741</v>
      </c>
      <c r="O86" s="36" t="n">
        <f aca="false">SQRT(M86^2+N86^2)</f>
        <v>3.10797733756214</v>
      </c>
      <c r="P86" s="40" t="n">
        <f aca="false">IF(J86="","",MAX(0,J86-1.96*O86/100))</f>
        <v>0.303477955120516</v>
      </c>
      <c r="Q86" s="40" t="n">
        <f aca="false">IF(J86="","",MIN(1,J86+1.96*O86/100))</f>
        <v>0.425310666752952</v>
      </c>
      <c r="R86" s="32" t="str">
        <f aca="false">IF(L86="","",IF(ABS(L86)&lt;=O86,"Yes","No"))</f>
        <v>Yes</v>
      </c>
      <c r="S86" s="32" t="str">
        <f aca="false">IF(L86="","",IF(ABS(L86)&lt;=1.96*O86,"Yes","No"))</f>
        <v>Yes</v>
      </c>
      <c r="T86" s="60" t="n">
        <f aca="false">IF(D86="","",ROUND(SQRT(((D86+G86)*O86/100)^2+(J86*(D86+G86)*0.03811)^2),0))</f>
        <v>69</v>
      </c>
      <c r="U86" s="32"/>
    </row>
    <row r="87" customFormat="false" ht="15" hidden="false" customHeight="false" outlineLevel="0" collapsed="false">
      <c r="A87" s="32" t="s">
        <v>222</v>
      </c>
      <c r="B87" s="32" t="s">
        <v>254</v>
      </c>
      <c r="C87" s="32" t="s">
        <v>164</v>
      </c>
      <c r="D87" s="60" t="n">
        <v>170</v>
      </c>
      <c r="E87" s="60" t="n">
        <v>199</v>
      </c>
      <c r="F87" s="69" t="n">
        <f aca="false">IF(E87="","",D87-E87)</f>
        <v>-29</v>
      </c>
      <c r="G87" s="60" t="n">
        <v>198</v>
      </c>
      <c r="H87" s="60" t="n">
        <v>215</v>
      </c>
      <c r="I87" s="69" t="n">
        <f aca="false">IF(H87="","",G87-H87)</f>
        <v>-17</v>
      </c>
      <c r="J87" s="40" t="n">
        <f aca="false">IF(OR(D87="",D87+G87=0),"",D87/(D87+G87))</f>
        <v>0.46195652173913</v>
      </c>
      <c r="K87" s="40" t="n">
        <f aca="false">IF(E87="","",E87/(E87+H87))</f>
        <v>0.480676328502416</v>
      </c>
      <c r="L87" s="70" t="n">
        <f aca="false">IF(OR(K87="",J87=""),"",(J87-K87)*100)</f>
        <v>-1.87198067632851</v>
      </c>
      <c r="M87" s="36" t="n">
        <v>3.39287279657052</v>
      </c>
      <c r="N87" s="36" t="n">
        <v>2.13740766541741</v>
      </c>
      <c r="O87" s="36" t="n">
        <f aca="false">SQRT(M87^2+N87^2)</f>
        <v>4.00999966856525</v>
      </c>
      <c r="P87" s="40" t="n">
        <f aca="false">IF(J87="","",MAX(0,J87-1.96*O87/100))</f>
        <v>0.383360528235252</v>
      </c>
      <c r="Q87" s="40" t="n">
        <f aca="false">IF(J87="","",MIN(1,J87+1.96*O87/100))</f>
        <v>0.540552515243009</v>
      </c>
      <c r="R87" s="32" t="str">
        <f aca="false">IF(L87="","",IF(ABS(L87)&lt;=O87,"Yes","No"))</f>
        <v>Yes</v>
      </c>
      <c r="S87" s="32" t="str">
        <f aca="false">IF(L87="","",IF(ABS(L87)&lt;=1.96*O87,"Yes","No"))</f>
        <v>Yes</v>
      </c>
      <c r="T87" s="60" t="n">
        <f aca="false">IF(D87="","",ROUND(SQRT(((D87+G87)*O87/100)^2+(J87*(D87+G87)*0.0534)^2),0))</f>
        <v>17</v>
      </c>
      <c r="U87" s="32"/>
    </row>
    <row r="88" customFormat="false" ht="15" hidden="false" customHeight="false" outlineLevel="0" collapsed="false">
      <c r="A88" s="32" t="s">
        <v>222</v>
      </c>
      <c r="B88" s="32" t="s">
        <v>255</v>
      </c>
      <c r="C88" s="32" t="s">
        <v>164</v>
      </c>
      <c r="D88" s="60" t="n">
        <v>1307</v>
      </c>
      <c r="E88" s="60" t="n">
        <v>1456</v>
      </c>
      <c r="F88" s="69" t="n">
        <f aca="false">IF(E88="","",D88-E88)</f>
        <v>-149</v>
      </c>
      <c r="G88" s="60" t="n">
        <v>1744</v>
      </c>
      <c r="H88" s="60" t="n">
        <v>1860</v>
      </c>
      <c r="I88" s="69" t="n">
        <f aca="false">IF(H88="","",G88-H88)</f>
        <v>-116</v>
      </c>
      <c r="J88" s="40" t="n">
        <f aca="false">IF(OR(D88="",D88+G88=0),"",D88/(D88+G88))</f>
        <v>0.428384136348738</v>
      </c>
      <c r="K88" s="40" t="n">
        <f aca="false">IF(E88="","",E88/(E88+H88))</f>
        <v>0.439083232810615</v>
      </c>
      <c r="L88" s="70" t="n">
        <f aca="false">IF(OR(K88="",J88=""),"",(J88-K88)*100)</f>
        <v>-1.06990964618771</v>
      </c>
      <c r="M88" s="36" t="n">
        <v>1.23966092899928</v>
      </c>
      <c r="N88" s="36" t="n">
        <v>2.13740766541741</v>
      </c>
      <c r="O88" s="36" t="n">
        <f aca="false">SQRT(M88^2+N88^2)</f>
        <v>2.47088460820664</v>
      </c>
      <c r="P88" s="40" t="n">
        <f aca="false">IF(J88="","",MAX(0,J88-1.96*O88/100))</f>
        <v>0.379954798027888</v>
      </c>
      <c r="Q88" s="40" t="n">
        <f aca="false">IF(J88="","",MIN(1,J88+1.96*O88/100))</f>
        <v>0.476813474669588</v>
      </c>
      <c r="R88" s="32" t="str">
        <f aca="false">IF(L88="","",IF(ABS(L88)&lt;=O88,"Yes","No"))</f>
        <v>Yes</v>
      </c>
      <c r="S88" s="32" t="str">
        <f aca="false">IF(L88="","",IF(ABS(L88)&lt;=1.96*O88,"Yes","No"))</f>
        <v>Yes</v>
      </c>
      <c r="T88" s="60" t="n">
        <f aca="false">IF(D88="","",ROUND(SQRT(((D88+G88)*O88/100)^2+(J88*(D88+G88)*0.02225)^2),0))</f>
        <v>81</v>
      </c>
      <c r="U88" s="32"/>
    </row>
    <row r="89" customFormat="false" ht="15" hidden="false" customHeight="false" outlineLevel="0" collapsed="false">
      <c r="A89" s="32" t="s">
        <v>222</v>
      </c>
      <c r="B89" s="32" t="s">
        <v>256</v>
      </c>
      <c r="C89" s="32" t="s">
        <v>164</v>
      </c>
      <c r="D89" s="60" t="n">
        <v>1147</v>
      </c>
      <c r="E89" s="60" t="n">
        <v>1340</v>
      </c>
      <c r="F89" s="69" t="n">
        <f aca="false">IF(E89="","",D89-E89)</f>
        <v>-193</v>
      </c>
      <c r="G89" s="60" t="n">
        <v>981</v>
      </c>
      <c r="H89" s="60" t="n">
        <v>953</v>
      </c>
      <c r="I89" s="69" t="n">
        <f aca="false">IF(H89="","",G89-H89)</f>
        <v>28</v>
      </c>
      <c r="J89" s="40" t="n">
        <f aca="false">IF(OR(D89="",D89+G89=0),"",D89/(D89+G89))</f>
        <v>0.539003759398496</v>
      </c>
      <c r="K89" s="40" t="n">
        <f aca="false">IF(E89="","",E89/(E89+H89))</f>
        <v>0.584387265590929</v>
      </c>
      <c r="L89" s="70" t="n">
        <f aca="false">IF(OR(K89="",J89=""),"",(J89-K89)*100)</f>
        <v>-4.53835061924327</v>
      </c>
      <c r="M89" s="36" t="n">
        <v>2.25632701588549</v>
      </c>
      <c r="N89" s="36" t="n">
        <v>2.13740766541741</v>
      </c>
      <c r="O89" s="36" t="n">
        <f aca="false">SQRT(M89^2+N89^2)</f>
        <v>3.10797733756214</v>
      </c>
      <c r="P89" s="40" t="n">
        <f aca="false">IF(J89="","",MAX(0,J89-1.96*O89/100))</f>
        <v>0.478087403582278</v>
      </c>
      <c r="Q89" s="40" t="n">
        <f aca="false">IF(J89="","",MIN(1,J89+1.96*O89/100))</f>
        <v>0.599920115214714</v>
      </c>
      <c r="R89" s="32" t="str">
        <f aca="false">IF(L89="","",IF(ABS(L89)&lt;=O89,"Yes","No"))</f>
        <v>No</v>
      </c>
      <c r="S89" s="32" t="str">
        <f aca="false">IF(L89="","",IF(ABS(L89)&lt;=1.96*O89,"Yes","No"))</f>
        <v>Yes</v>
      </c>
      <c r="T89" s="60" t="n">
        <f aca="false">IF(D89="","",ROUND(SQRT(((D89+G89)*O89/100)^2+(J89*(D89+G89)*0.03811)^2),0))</f>
        <v>79</v>
      </c>
      <c r="U89" s="32"/>
    </row>
    <row r="90" customFormat="false" ht="15" hidden="false" customHeight="false" outlineLevel="0" collapsed="false">
      <c r="A90" s="32" t="s">
        <v>222</v>
      </c>
      <c r="B90" s="32" t="s">
        <v>257</v>
      </c>
      <c r="C90" s="32" t="s">
        <v>164</v>
      </c>
      <c r="D90" s="60" t="n">
        <v>419</v>
      </c>
      <c r="E90" s="60" t="n">
        <v>494</v>
      </c>
      <c r="F90" s="69" t="n">
        <f aca="false">IF(E90="","",D90-E90)</f>
        <v>-75</v>
      </c>
      <c r="G90" s="60" t="n">
        <v>548</v>
      </c>
      <c r="H90" s="60" t="n">
        <v>601</v>
      </c>
      <c r="I90" s="69" t="n">
        <f aca="false">IF(H90="","",G90-H90)</f>
        <v>-53</v>
      </c>
      <c r="J90" s="40" t="n">
        <f aca="false">IF(OR(D90="",D90+G90=0),"",D90/(D90+G90))</f>
        <v>0.43329886246122</v>
      </c>
      <c r="K90" s="40" t="n">
        <f aca="false">IF(E90="","",E90/(E90+H90))</f>
        <v>0.451141552511416</v>
      </c>
      <c r="L90" s="70" t="n">
        <f aca="false">IF(OR(K90="",J90=""),"",(J90-K90)*100)</f>
        <v>-1.78426900501952</v>
      </c>
      <c r="M90" s="36" t="n">
        <v>3.39287279657052</v>
      </c>
      <c r="N90" s="36" t="n">
        <v>2.13740766541741</v>
      </c>
      <c r="O90" s="36" t="n">
        <f aca="false">SQRT(M90^2+N90^2)</f>
        <v>4.00999966856525</v>
      </c>
      <c r="P90" s="40" t="n">
        <f aca="false">IF(J90="","",MAX(0,J90-1.96*O90/100))</f>
        <v>0.354702868957342</v>
      </c>
      <c r="Q90" s="40" t="n">
        <f aca="false">IF(J90="","",MIN(1,J90+1.96*O90/100))</f>
        <v>0.511894855965099</v>
      </c>
      <c r="R90" s="32" t="str">
        <f aca="false">IF(L90="","",IF(ABS(L90)&lt;=O90,"Yes","No"))</f>
        <v>Yes</v>
      </c>
      <c r="S90" s="32" t="str">
        <f aca="false">IF(L90="","",IF(ABS(L90)&lt;=1.96*O90,"Yes","No"))</f>
        <v>Yes</v>
      </c>
      <c r="T90" s="60" t="n">
        <f aca="false">IF(D90="","",ROUND(SQRT(((D90+G90)*O90/100)^2+(J90*(D90+G90)*0.0534)^2),0))</f>
        <v>45</v>
      </c>
      <c r="U90" s="32"/>
    </row>
    <row r="92" customFormat="false" ht="15" hidden="false" customHeight="false" outlineLevel="0" collapsed="false">
      <c r="A92" s="20" t="s">
        <v>377</v>
      </c>
      <c r="B92" s="71"/>
      <c r="C92" s="71"/>
      <c r="D92" s="72" t="n">
        <f aca="false">SUMIF(E2:E90,"&lt;&gt;",D2:D90)</f>
        <v>136453</v>
      </c>
      <c r="E92" s="72" t="n">
        <f aca="false">SUM(E2:E90)</f>
        <v>151364</v>
      </c>
      <c r="F92" s="73" t="n">
        <f aca="false">D92-E92</f>
        <v>-14911</v>
      </c>
      <c r="G92" s="72" t="n">
        <f aca="false">SUMIF(H2:H90,"&lt;&gt;",G2:G90)</f>
        <v>142594</v>
      </c>
      <c r="H92" s="72" t="n">
        <f aca="false">SUM(H2:H90)</f>
        <v>145527</v>
      </c>
      <c r="I92" s="73" t="n">
        <f aca="false">G92-H92</f>
        <v>-2933</v>
      </c>
      <c r="J92" s="74" t="n">
        <f aca="false">D92/(D92+G92)</f>
        <v>0.488996477295939</v>
      </c>
      <c r="K92" s="74" t="n">
        <f aca="false">E92/(E92+H92)</f>
        <v>0.509830207045683</v>
      </c>
      <c r="L92" s="75" t="n">
        <f aca="false">(J92-K92)*100</f>
        <v>-2.0833729749744</v>
      </c>
      <c r="M92" s="76" t="n">
        <v>0</v>
      </c>
      <c r="N92" s="76" t="n">
        <v>2.13740766541741</v>
      </c>
      <c r="O92" s="76" t="n">
        <f aca="false">SQRT(M92^2+N92^2)</f>
        <v>2.13740766541741</v>
      </c>
      <c r="P92" s="74" t="n">
        <f aca="false">J92-1.96*O92/100</f>
        <v>0.447103287053758</v>
      </c>
      <c r="Q92" s="74" t="n">
        <f aca="false">J92+1.96*O92/100</f>
        <v>0.530889667538121</v>
      </c>
      <c r="R92" s="71" t="str">
        <f aca="false">IF(ABS(L92)&lt;=O92,"Yes","No")</f>
        <v>Yes</v>
      </c>
      <c r="S92" s="71" t="str">
        <f aca="false">IF(ABS(L92)&lt;=1.96*O92,"Yes","No")</f>
        <v>Yes</v>
      </c>
      <c r="T92" s="72" t="n">
        <f aca="false">ROUND(SQRT(((D92+G92)*O92/100)^2+(J92*(D92+G92)*0.00561)^2),0)</f>
        <v>6013</v>
      </c>
    </row>
    <row r="93" customFormat="false" ht="15" hidden="false" customHeight="false" outlineLevel="0" collapsed="false">
      <c r="A93" s="20" t="s">
        <v>378</v>
      </c>
      <c r="B93" s="71"/>
      <c r="C93" s="71"/>
      <c r="D93" s="72" t="n">
        <f aca="false">SUM(D2:D90)</f>
        <v>136453</v>
      </c>
      <c r="E93" s="72"/>
      <c r="F93" s="73"/>
      <c r="G93" s="72" t="n">
        <f aca="false">SUM(G2:G90)</f>
        <v>142594</v>
      </c>
      <c r="H93" s="72"/>
      <c r="I93" s="73"/>
      <c r="J93" s="74" t="n">
        <f aca="false">D93/(D93+G93)</f>
        <v>0.488996477295939</v>
      </c>
      <c r="K93" s="74"/>
      <c r="L93" s="75"/>
      <c r="M93" s="76"/>
      <c r="N93" s="76"/>
      <c r="O93" s="76"/>
      <c r="P93" s="74"/>
      <c r="Q93" s="74"/>
      <c r="R93" s="71"/>
      <c r="S93" s="71"/>
      <c r="T93" s="72"/>
    </row>
    <row r="95" customFormat="false" ht="15" hidden="false" customHeight="false" outlineLevel="0" collapsed="false">
      <c r="A95" s="2" t="s">
        <v>379</v>
      </c>
      <c r="F95" s="77" t="n">
        <f aca="false">(SUMIF(F2:F90,"&gt;0")-SUMIF(F2:F90,"&lt;0"))/COUNT(F2:F90)</f>
        <v>169.741573033708</v>
      </c>
    </row>
    <row r="96" customFormat="false" ht="15" hidden="false" customHeight="false" outlineLevel="0" collapsed="false">
      <c r="A96" s="2" t="s">
        <v>380</v>
      </c>
      <c r="F96" s="77" t="n">
        <f aca="false">(SUMIF(I2:I90,"&gt;0")-SUMIF(I2:I90,"&lt;0"))/COUNT(I2:I90)</f>
        <v>136.258426966292</v>
      </c>
    </row>
    <row r="97" customFormat="false" ht="15" hidden="false" customHeight="false" outlineLevel="0" collapsed="false">
      <c r="A97" s="2" t="s">
        <v>381</v>
      </c>
      <c r="F97" s="78" t="n">
        <f aca="false">(SUMIF(L2:L90,"&gt;0")-SUMIF(L2:L90,"&lt;0"))/COUNT(L2:L90)</f>
        <v>2.46214749572609</v>
      </c>
    </row>
    <row r="98" customFormat="false" ht="15" hidden="false" customHeight="false" outlineLevel="0" collapsed="false">
      <c r="A98" s="5" t="s">
        <v>382</v>
      </c>
      <c r="F98" s="79" t="n">
        <f aca="false">SQRT(SUMSQ(L2:L90)/COUNT(L2:L90))</f>
        <v>3.11454385228576</v>
      </c>
    </row>
    <row r="99" customFormat="false" ht="15" hidden="false" customHeight="false" outlineLevel="0" collapsed="false">
      <c r="A99" s="5" t="s">
        <v>383</v>
      </c>
      <c r="F99" s="80" t="n">
        <f aca="false">L92</f>
        <v>-2.0833729749744</v>
      </c>
    </row>
    <row r="100" customFormat="false" ht="15" hidden="false" customHeight="false" outlineLevel="0" collapsed="false">
      <c r="A100" s="5" t="s">
        <v>384</v>
      </c>
      <c r="F100" s="79" t="n">
        <f aca="false">SQRT((SUMSQ(L2:L90)-2*L92*SUM(L2:L90)+COUNT(L2:L90)*L92^2)/COUNT(L2:L90))</f>
        <v>3.27457885618068</v>
      </c>
    </row>
    <row r="101" customFormat="false" ht="15" hidden="false" customHeight="false" outlineLevel="0" collapsed="false">
      <c r="A101" s="2" t="s">
        <v>385</v>
      </c>
      <c r="F101" s="81" t="n">
        <f aca="false">D92/E92-1</f>
        <v>-0.0985108744483497</v>
      </c>
    </row>
    <row r="102" customFormat="false" ht="15" hidden="false" customHeight="false" outlineLevel="0" collapsed="false">
      <c r="A102" s="5" t="s">
        <v>386</v>
      </c>
      <c r="F102" s="82" t="n">
        <f aca="false">G92/H92-1</f>
        <v>-0.0201543356215685</v>
      </c>
    </row>
    <row r="103" customFormat="false" ht="15" hidden="false" customHeight="false" outlineLevel="0" collapsed="false">
      <c r="A103" s="2" t="s">
        <v>387</v>
      </c>
      <c r="F103" s="81" t="n">
        <f aca="false">(D92+G92)/(E92+H92)-1</f>
        <v>-0.0601028660350095</v>
      </c>
    </row>
    <row r="104" customFormat="false" ht="15" hidden="false" customHeight="false" outlineLevel="0" collapsed="false">
      <c r="A104" s="2" t="s">
        <v>388</v>
      </c>
      <c r="F104" s="78" t="n">
        <f aca="false">AVERAGE(O2:O90)</f>
        <v>3.19727945047706</v>
      </c>
    </row>
    <row r="105" customFormat="false" ht="15" hidden="false" customHeight="false" outlineLevel="0" collapsed="false">
      <c r="A105" s="5" t="s">
        <v>389</v>
      </c>
      <c r="F105" s="83" t="n">
        <f aca="false">COUNTIF(R2:R90,"Yes")/(COUNTIF(R2:R90,"Yes")+COUNTIF(R2:R90,"No"))</f>
        <v>0.719101123595506</v>
      </c>
    </row>
    <row r="106" customFormat="false" ht="15" hidden="false" customHeight="false" outlineLevel="0" collapsed="false">
      <c r="A106" s="5" t="s">
        <v>390</v>
      </c>
      <c r="F106" s="83" t="n">
        <f aca="false">COUNTIF(S2:S90,"Yes")/(COUNTIF(S2:S90,"Yes")+COUNTIF(S2:S90,"No"))</f>
        <v>0.943820224719101</v>
      </c>
    </row>
    <row r="107" customFormat="false" ht="15" hidden="false" customHeight="false" outlineLevel="0" collapsed="false">
      <c r="A107" s="2" t="s">
        <v>391</v>
      </c>
      <c r="F107" s="84" t="n">
        <f aca="false">COUNTIFS(L2:L90,"&gt;=-3",L2:L90,"&lt;=3")/COUNT(L2:L90)</f>
        <v>0.719101123595506</v>
      </c>
    </row>
    <row r="108" customFormat="false" ht="15" hidden="false" customHeight="false" outlineLevel="0" collapsed="false">
      <c r="A108" s="2" t="s">
        <v>415</v>
      </c>
      <c r="F108" s="85" t="n">
        <f aca="false">COUNT(E2:E90)</f>
        <v>89</v>
      </c>
    </row>
    <row r="109" customFormat="false" ht="15" hidden="false" customHeight="false" outlineLevel="0" collapsed="false">
      <c r="A109" s="2" t="s">
        <v>393</v>
      </c>
      <c r="F109" s="85" t="n">
        <f aca="false">COUNTA(A2:A90)</f>
        <v>89</v>
      </c>
    </row>
    <row r="110" customFormat="false" ht="15" hidden="false" customHeight="false" outlineLevel="0" collapsed="false">
      <c r="A110" s="5" t="s">
        <v>394</v>
      </c>
    </row>
    <row r="111" customFormat="false" ht="15" hidden="false" customHeight="false" outlineLevel="0" collapsed="false">
      <c r="A111" s="2" t="s">
        <v>395</v>
      </c>
      <c r="F111" s="86" t="n">
        <f aca="false">((D92+G92)-(E92+H92))*K92</f>
        <v>-9097.41021452317</v>
      </c>
    </row>
    <row r="112" customFormat="false" ht="15" hidden="false" customHeight="false" outlineLevel="0" collapsed="false">
      <c r="A112" s="2" t="s">
        <v>396</v>
      </c>
      <c r="F112" s="86" t="n">
        <f aca="false">F92-((D92+G92)-(E92+H92))*K92</f>
        <v>-5813.58978547683</v>
      </c>
    </row>
    <row r="113" customFormat="false" ht="15" hidden="false" customHeight="false" outlineLevel="0" collapsed="false">
      <c r="A113" s="2" t="s">
        <v>397</v>
      </c>
      <c r="F113" s="86" t="n">
        <f aca="false">((D92+G92)-(E92+H92))*(1-K92)</f>
        <v>-8746.58978547683</v>
      </c>
    </row>
    <row r="114" customFormat="false" ht="15" hidden="false" customHeight="false" outlineLevel="0" collapsed="false">
      <c r="A114" s="2" t="s">
        <v>398</v>
      </c>
      <c r="F114" s="86" t="n">
        <f aca="false">I92-((D92+G92)-(E92+H92))*(1-K92)</f>
        <v>5813.58978547683</v>
      </c>
    </row>
    <row r="115" customFormat="false" ht="15" hidden="false" customHeight="false" outlineLevel="0" collapsed="false">
      <c r="A115" s="2" t="s">
        <v>399</v>
      </c>
      <c r="F115" s="81" t="n">
        <f aca="false">(F92-((D92+G92)-(E92+H92))*K92)/E92</f>
        <v>-0.0384080084133402</v>
      </c>
    </row>
    <row r="116" customFormat="false" ht="15" hidden="false" customHeight="false" outlineLevel="0" collapsed="false">
      <c r="A116" s="2" t="s">
        <v>400</v>
      </c>
      <c r="F116" s="81" t="n">
        <f aca="false">(I92-((D92+G92)-(E92+H92))*(1-K92))/H92</f>
        <v>0.039948530413441</v>
      </c>
    </row>
    <row r="118" customFormat="false" ht="15" hidden="false" customHeight="false" outlineLevel="0" collapsed="false">
      <c r="U118" s="5" t="s">
        <v>139</v>
      </c>
    </row>
    <row r="119" customFormat="false" ht="28.35" hidden="false" customHeight="false" outlineLevel="0" collapsed="false">
      <c r="U119" s="68" t="s">
        <v>416</v>
      </c>
    </row>
    <row r="120" customFormat="false" ht="15" hidden="false" customHeight="false" outlineLevel="0" collapsed="false">
      <c r="U120" s="68" t="s">
        <v>402</v>
      </c>
    </row>
    <row r="121" customFormat="false" ht="41.75" hidden="false" customHeight="false" outlineLevel="0" collapsed="false">
      <c r="U121" s="68" t="s">
        <v>423</v>
      </c>
    </row>
    <row r="122" customFormat="false" ht="15" hidden="false" customHeight="false" outlineLevel="0" collapsed="false">
      <c r="U122" s="68" t="s">
        <v>418</v>
      </c>
    </row>
    <row r="123" customFormat="false" ht="28.35" hidden="false" customHeight="false" outlineLevel="0" collapsed="false">
      <c r="U123" s="68" t="s">
        <v>419</v>
      </c>
    </row>
    <row r="124" customFormat="false" ht="28.35" hidden="false" customHeight="false" outlineLevel="0" collapsed="false">
      <c r="U124" s="68" t="s">
        <v>420</v>
      </c>
    </row>
    <row r="125" customFormat="false" ht="28.35" hidden="false" customHeight="false" outlineLevel="0" collapsed="false">
      <c r="U125" s="68" t="s">
        <v>407</v>
      </c>
    </row>
    <row r="126" customFormat="false" ht="41.75" hidden="false" customHeight="false" outlineLevel="0" collapsed="false">
      <c r="U126" s="68" t="s">
        <v>421</v>
      </c>
    </row>
    <row r="127" customFormat="false" ht="15" hidden="false" customHeight="false" outlineLevel="0" collapsed="false">
      <c r="U127" s="68" t="s">
        <v>422</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360</v>
      </c>
      <c r="E1" s="8" t="s">
        <v>361</v>
      </c>
      <c r="F1" s="8" t="s">
        <v>362</v>
      </c>
      <c r="G1" s="8" t="s">
        <v>412</v>
      </c>
      <c r="H1" s="8" t="s">
        <v>364</v>
      </c>
      <c r="I1" s="8" t="s">
        <v>365</v>
      </c>
      <c r="J1" s="8" t="s">
        <v>366</v>
      </c>
      <c r="K1" s="8" t="s">
        <v>367</v>
      </c>
      <c r="L1" s="8" t="s">
        <v>368</v>
      </c>
      <c r="M1" s="8" t="s">
        <v>413</v>
      </c>
      <c r="N1" s="8" t="s">
        <v>414</v>
      </c>
      <c r="O1" s="8" t="s">
        <v>142</v>
      </c>
      <c r="P1" s="8" t="s">
        <v>371</v>
      </c>
      <c r="Q1" s="8" t="s">
        <v>372</v>
      </c>
      <c r="R1" s="8" t="s">
        <v>373</v>
      </c>
      <c r="S1" s="8" t="s">
        <v>374</v>
      </c>
      <c r="T1" s="8" t="s">
        <v>375</v>
      </c>
      <c r="U1" s="8" t="s">
        <v>376</v>
      </c>
    </row>
    <row r="2" customFormat="false" ht="15" hidden="false" customHeight="false" outlineLevel="0" collapsed="false">
      <c r="A2" s="32" t="s">
        <v>162</v>
      </c>
      <c r="B2" s="32" t="s">
        <v>163</v>
      </c>
      <c r="C2" s="32" t="s">
        <v>164</v>
      </c>
      <c r="D2" s="60" t="n">
        <v>132</v>
      </c>
      <c r="E2" s="60" t="n">
        <v>137</v>
      </c>
      <c r="F2" s="69" t="n">
        <f aca="false">IF(E2="","",D2-E2)</f>
        <v>-5</v>
      </c>
      <c r="G2" s="60" t="n">
        <v>213</v>
      </c>
      <c r="H2" s="60" t="n">
        <v>249</v>
      </c>
      <c r="I2" s="69" t="n">
        <f aca="false">IF(H2="","",G2-H2)</f>
        <v>-36</v>
      </c>
      <c r="J2" s="40" t="n">
        <f aca="false">IF(OR(D2="",D2+G2=0),"",D2/(D2+G2))</f>
        <v>0.382608695652174</v>
      </c>
      <c r="K2" s="40" t="n">
        <f aca="false">IF(E2="","",E2/(E2+H2))</f>
        <v>0.354922279792746</v>
      </c>
      <c r="L2" s="70" t="n">
        <f aca="false">IF(OR(K2="",J2=""),"",(J2-K2)*100)</f>
        <v>2.76864158594278</v>
      </c>
      <c r="M2" s="36" t="n">
        <v>3.25169568046603</v>
      </c>
      <c r="N2" s="36" t="n">
        <v>2.13726273724932</v>
      </c>
      <c r="O2" s="36" t="n">
        <f aca="false">SQRT(M2^2+N2^2)</f>
        <v>3.89119734868278</v>
      </c>
      <c r="P2" s="40" t="n">
        <f aca="false">IF(J2="","",MAX(0,J2-1.96*O2/100))</f>
        <v>0.306341227617992</v>
      </c>
      <c r="Q2" s="40" t="n">
        <f aca="false">IF(J2="","",MIN(1,J2+1.96*O2/100))</f>
        <v>0.458876163686356</v>
      </c>
      <c r="R2" s="32" t="str">
        <f aca="false">IF(L2="","",IF(ABS(L2)&lt;=O2,"Yes","No"))</f>
        <v>Yes</v>
      </c>
      <c r="S2" s="32" t="str">
        <f aca="false">IF(L2="","",IF(ABS(L2)&lt;=1.96*O2,"Yes","No"))</f>
        <v>Yes</v>
      </c>
      <c r="T2" s="60" t="n">
        <f aca="false">IF(D2="","",ROUND(SQRT(((D2+G2)*O2/100)^2+(J2*(D2+G2)*0.0534)^2),0))</f>
        <v>15</v>
      </c>
      <c r="U2" s="32"/>
    </row>
    <row r="3" customFormat="false" ht="15" hidden="false" customHeight="false" outlineLevel="0" collapsed="false">
      <c r="A3" s="32" t="s">
        <v>162</v>
      </c>
      <c r="B3" s="32" t="s">
        <v>168</v>
      </c>
      <c r="C3" s="32" t="s">
        <v>164</v>
      </c>
      <c r="D3" s="60" t="n">
        <v>82</v>
      </c>
      <c r="E3" s="60" t="n">
        <v>84</v>
      </c>
      <c r="F3" s="69" t="n">
        <f aca="false">IF(E3="","",D3-E3)</f>
        <v>-2</v>
      </c>
      <c r="G3" s="60" t="n">
        <v>196</v>
      </c>
      <c r="H3" s="60" t="n">
        <v>230</v>
      </c>
      <c r="I3" s="69" t="n">
        <f aca="false">IF(H3="","",G3-H3)</f>
        <v>-34</v>
      </c>
      <c r="J3" s="40" t="n">
        <f aca="false">IF(OR(D3="",D3+G3=0),"",D3/(D3+G3))</f>
        <v>0.294964028776978</v>
      </c>
      <c r="K3" s="40" t="n">
        <f aca="false">IF(E3="","",E3/(E3+H3))</f>
        <v>0.267515923566879</v>
      </c>
      <c r="L3" s="70" t="n">
        <f aca="false">IF(OR(K3="",J3=""),"",(J3-K3)*100)</f>
        <v>2.74481052100994</v>
      </c>
      <c r="M3" s="36" t="n">
        <v>3.25169568046603</v>
      </c>
      <c r="N3" s="36" t="n">
        <v>2.13726273724932</v>
      </c>
      <c r="O3" s="36" t="n">
        <f aca="false">SQRT(M3^2+N3^2)</f>
        <v>3.89119734868278</v>
      </c>
      <c r="P3" s="40" t="n">
        <f aca="false">IF(J3="","",MAX(0,J3-1.96*O3/100))</f>
        <v>0.218696560742796</v>
      </c>
      <c r="Q3" s="40" t="n">
        <f aca="false">IF(J3="","",MIN(1,J3+1.96*O3/100))</f>
        <v>0.371231496811161</v>
      </c>
      <c r="R3" s="32" t="str">
        <f aca="false">IF(L3="","",IF(ABS(L3)&lt;=O3,"Yes","No"))</f>
        <v>Yes</v>
      </c>
      <c r="S3" s="32" t="str">
        <f aca="false">IF(L3="","",IF(ABS(L3)&lt;=1.96*O3,"Yes","No"))</f>
        <v>Yes</v>
      </c>
      <c r="T3" s="60" t="n">
        <f aca="false">IF(D3="","",ROUND(SQRT(((D3+G3)*O3/100)^2+(J3*(D3+G3)*0.0534)^2),0))</f>
        <v>12</v>
      </c>
      <c r="U3" s="32"/>
    </row>
    <row r="4" customFormat="false" ht="15" hidden="false" customHeight="false" outlineLevel="0" collapsed="false">
      <c r="A4" s="32" t="s">
        <v>162</v>
      </c>
      <c r="B4" s="32" t="s">
        <v>169</v>
      </c>
      <c r="C4" s="32" t="s">
        <v>164</v>
      </c>
      <c r="D4" s="60" t="n">
        <v>83</v>
      </c>
      <c r="E4" s="60" t="n">
        <v>125</v>
      </c>
      <c r="F4" s="69" t="n">
        <f aca="false">IF(E4="","",D4-E4)</f>
        <v>-42</v>
      </c>
      <c r="G4" s="60" t="n">
        <v>205</v>
      </c>
      <c r="H4" s="60" t="n">
        <v>223</v>
      </c>
      <c r="I4" s="69" t="n">
        <f aca="false">IF(H4="","",G4-H4)</f>
        <v>-18</v>
      </c>
      <c r="J4" s="40" t="n">
        <f aca="false">IF(OR(D4="",D4+G4=0),"",D4/(D4+G4))</f>
        <v>0.288194444444444</v>
      </c>
      <c r="K4" s="40" t="n">
        <f aca="false">IF(E4="","",E4/(E4+H4))</f>
        <v>0.359195402298851</v>
      </c>
      <c r="L4" s="70" t="n">
        <f aca="false">IF(OR(K4="",J4=""),"",(J4-K4)*100)</f>
        <v>-7.10009578544061</v>
      </c>
      <c r="M4" s="36" t="n">
        <v>3.25169568046603</v>
      </c>
      <c r="N4" s="36" t="n">
        <v>2.13726273724932</v>
      </c>
      <c r="O4" s="36" t="n">
        <f aca="false">SQRT(M4^2+N4^2)</f>
        <v>3.89119734868278</v>
      </c>
      <c r="P4" s="40" t="n">
        <f aca="false">IF(J4="","",MAX(0,J4-1.96*O4/100))</f>
        <v>0.211926976410262</v>
      </c>
      <c r="Q4" s="40" t="n">
        <f aca="false">IF(J4="","",MIN(1,J4+1.96*O4/100))</f>
        <v>0.364461912478627</v>
      </c>
      <c r="R4" s="32" t="str">
        <f aca="false">IF(L4="","",IF(ABS(L4)&lt;=O4,"Yes","No"))</f>
        <v>No</v>
      </c>
      <c r="S4" s="32" t="str">
        <f aca="false">IF(L4="","",IF(ABS(L4)&lt;=1.96*O4,"Yes","No"))</f>
        <v>Yes</v>
      </c>
      <c r="T4" s="60" t="n">
        <f aca="false">IF(D4="","",ROUND(SQRT(((D4+G4)*O4/100)^2+(J4*(D4+G4)*0.0534)^2),0))</f>
        <v>12</v>
      </c>
      <c r="U4" s="32"/>
    </row>
    <row r="5" customFormat="false" ht="15" hidden="false" customHeight="false" outlineLevel="0" collapsed="false">
      <c r="A5" s="32" t="s">
        <v>162</v>
      </c>
      <c r="B5" s="32" t="s">
        <v>170</v>
      </c>
      <c r="C5" s="32" t="s">
        <v>164</v>
      </c>
      <c r="D5" s="60" t="n">
        <v>326</v>
      </c>
      <c r="E5" s="60" t="n">
        <v>372</v>
      </c>
      <c r="F5" s="69" t="n">
        <f aca="false">IF(E5="","",D5-E5)</f>
        <v>-46</v>
      </c>
      <c r="G5" s="60" t="n">
        <v>805</v>
      </c>
      <c r="H5" s="60" t="n">
        <v>925</v>
      </c>
      <c r="I5" s="69" t="n">
        <f aca="false">IF(H5="","",G5-H5)</f>
        <v>-120</v>
      </c>
      <c r="J5" s="40" t="n">
        <f aca="false">IF(OR(D5="",D5+G5=0),"",D5/(D5+G5))</f>
        <v>0.288240495137047</v>
      </c>
      <c r="K5" s="40" t="n">
        <f aca="false">IF(E5="","",E5/(E5+H5))</f>
        <v>0.286815728604472</v>
      </c>
      <c r="L5" s="70" t="n">
        <f aca="false">IF(OR(K5="",J5=""),"",(J5-K5)*100)</f>
        <v>0.142476653257501</v>
      </c>
      <c r="M5" s="36" t="n">
        <v>2.15854184063309</v>
      </c>
      <c r="N5" s="36" t="n">
        <v>2.13726273724932</v>
      </c>
      <c r="O5" s="36" t="n">
        <f aca="false">SQRT(M5^2+N5^2)</f>
        <v>3.03762981381836</v>
      </c>
      <c r="P5" s="40" t="n">
        <f aca="false">IF(J5="","",MAX(0,J5-1.96*O5/100))</f>
        <v>0.228702950786207</v>
      </c>
      <c r="Q5" s="40" t="n">
        <f aca="false">IF(J5="","",MIN(1,J5+1.96*O5/100))</f>
        <v>0.347778039487887</v>
      </c>
      <c r="R5" s="32" t="str">
        <f aca="false">IF(L5="","",IF(ABS(L5)&lt;=O5,"Yes","No"))</f>
        <v>Yes</v>
      </c>
      <c r="S5" s="32" t="str">
        <f aca="false">IF(L5="","",IF(ABS(L5)&lt;=1.96*O5,"Yes","No"))</f>
        <v>Yes</v>
      </c>
      <c r="T5" s="60" t="n">
        <f aca="false">IF(D5="","",ROUND(SQRT(((D5+G5)*O5/100)^2+(J5*(D5+G5)*0.03811)^2),0))</f>
        <v>37</v>
      </c>
      <c r="U5" s="32"/>
    </row>
    <row r="6" customFormat="false" ht="15" hidden="false" customHeight="false" outlineLevel="0" collapsed="false">
      <c r="A6" s="32" t="s">
        <v>162</v>
      </c>
      <c r="B6" s="32" t="s">
        <v>172</v>
      </c>
      <c r="C6" s="32" t="s">
        <v>164</v>
      </c>
      <c r="D6" s="60" t="n">
        <v>31</v>
      </c>
      <c r="E6" s="60" t="n">
        <v>33</v>
      </c>
      <c r="F6" s="69" t="n">
        <f aca="false">IF(E6="","",D6-E6)</f>
        <v>-2</v>
      </c>
      <c r="G6" s="60" t="n">
        <v>45</v>
      </c>
      <c r="H6" s="60" t="n">
        <v>61</v>
      </c>
      <c r="I6" s="69" t="n">
        <f aca="false">IF(H6="","",G6-H6)</f>
        <v>-16</v>
      </c>
      <c r="J6" s="40" t="n">
        <f aca="false">IF(OR(D6="",D6+G6=0),"",D6/(D6+G6))</f>
        <v>0.407894736842105</v>
      </c>
      <c r="K6" s="40" t="n">
        <f aca="false">IF(E6="","",E6/(E6+H6))</f>
        <v>0.351063829787234</v>
      </c>
      <c r="L6" s="70" t="n">
        <f aca="false">IF(OR(K6="",J6=""),"",(J6-K6)*100)</f>
        <v>5.68309070548712</v>
      </c>
      <c r="M6" s="36" t="n">
        <v>3.25169568046603</v>
      </c>
      <c r="N6" s="36" t="n">
        <v>2.13726273724932</v>
      </c>
      <c r="O6" s="36" t="n">
        <f aca="false">SQRT(M6^2+N6^2)</f>
        <v>3.89119734868278</v>
      </c>
      <c r="P6" s="40" t="n">
        <f aca="false">IF(J6="","",MAX(0,J6-1.96*O6/100))</f>
        <v>0.331627268807923</v>
      </c>
      <c r="Q6" s="40" t="n">
        <f aca="false">IF(J6="","",MIN(1,J6+1.96*O6/100))</f>
        <v>0.484162204876288</v>
      </c>
      <c r="R6" s="32" t="str">
        <f aca="false">IF(L6="","",IF(ABS(L6)&lt;=O6,"Yes","No"))</f>
        <v>No</v>
      </c>
      <c r="S6" s="32" t="str">
        <f aca="false">IF(L6="","",IF(ABS(L6)&lt;=1.96*O6,"Yes","No"))</f>
        <v>Yes</v>
      </c>
      <c r="T6" s="60" t="n">
        <f aca="false">IF(D6="","",ROUND(SQRT(((D6+G6)*O6/100)^2+(J6*(D6+G6)*0.0534)^2),0))</f>
        <v>3</v>
      </c>
      <c r="U6" s="32"/>
    </row>
    <row r="7" customFormat="false" ht="15" hidden="false" customHeight="false" outlineLevel="0" collapsed="false">
      <c r="A7" s="32" t="s">
        <v>162</v>
      </c>
      <c r="B7" s="32" t="s">
        <v>173</v>
      </c>
      <c r="C7" s="32" t="s">
        <v>164</v>
      </c>
      <c r="D7" s="60" t="n">
        <v>507</v>
      </c>
      <c r="E7" s="60" t="n">
        <v>560</v>
      </c>
      <c r="F7" s="69" t="n">
        <f aca="false">IF(E7="","",D7-E7)</f>
        <v>-53</v>
      </c>
      <c r="G7" s="60" t="n">
        <v>1222</v>
      </c>
      <c r="H7" s="60" t="n">
        <v>1398</v>
      </c>
      <c r="I7" s="69" t="n">
        <f aca="false">IF(H7="","",G7-H7)</f>
        <v>-176</v>
      </c>
      <c r="J7" s="40" t="n">
        <f aca="false">IF(OR(D7="",D7+G7=0),"",D7/(D7+G7))</f>
        <v>0.293233082706767</v>
      </c>
      <c r="K7" s="40" t="n">
        <f aca="false">IF(E7="","",E7/(E7+H7))</f>
        <v>0.286006128702758</v>
      </c>
      <c r="L7" s="70" t="n">
        <f aca="false">IF(OR(K7="",J7=""),"",(J7-K7)*100)</f>
        <v>0.722695400400897</v>
      </c>
      <c r="M7" s="36" t="n">
        <v>2.15854184063309</v>
      </c>
      <c r="N7" s="36" t="n">
        <v>2.13726273724932</v>
      </c>
      <c r="O7" s="36" t="n">
        <f aca="false">SQRT(M7^2+N7^2)</f>
        <v>3.03762981381836</v>
      </c>
      <c r="P7" s="40" t="n">
        <f aca="false">IF(J7="","",MAX(0,J7-1.96*O7/100))</f>
        <v>0.233695538355927</v>
      </c>
      <c r="Q7" s="40" t="n">
        <f aca="false">IF(J7="","",MIN(1,J7+1.96*O7/100))</f>
        <v>0.352770627057607</v>
      </c>
      <c r="R7" s="32" t="str">
        <f aca="false">IF(L7="","",IF(ABS(L7)&lt;=O7,"Yes","No"))</f>
        <v>Yes</v>
      </c>
      <c r="S7" s="32" t="str">
        <f aca="false">IF(L7="","",IF(ABS(L7)&lt;=1.96*O7,"Yes","No"))</f>
        <v>Yes</v>
      </c>
      <c r="T7" s="60" t="n">
        <f aca="false">IF(D7="","",ROUND(SQRT(((D7+G7)*O7/100)^2+(J7*(D7+G7)*0.03811)^2),0))</f>
        <v>56</v>
      </c>
      <c r="U7" s="32"/>
    </row>
    <row r="8" customFormat="false" ht="15" hidden="false" customHeight="false" outlineLevel="0" collapsed="false">
      <c r="A8" s="32" t="s">
        <v>162</v>
      </c>
      <c r="B8" s="32" t="s">
        <v>174</v>
      </c>
      <c r="C8" s="32" t="s">
        <v>164</v>
      </c>
      <c r="D8" s="60" t="n">
        <v>784</v>
      </c>
      <c r="E8" s="60" t="n">
        <v>979</v>
      </c>
      <c r="F8" s="69" t="n">
        <f aca="false">IF(E8="","",D8-E8)</f>
        <v>-195</v>
      </c>
      <c r="G8" s="60" t="n">
        <v>1067</v>
      </c>
      <c r="H8" s="60" t="n">
        <v>1157</v>
      </c>
      <c r="I8" s="69" t="n">
        <f aca="false">IF(H8="","",G8-H8)</f>
        <v>-90</v>
      </c>
      <c r="J8" s="40" t="n">
        <f aca="false">IF(OR(D8="",D8+G8=0),"",D8/(D8+G8))</f>
        <v>0.423554835224203</v>
      </c>
      <c r="K8" s="40" t="n">
        <f aca="false">IF(E8="","",E8/(E8+H8))</f>
        <v>0.458333333333333</v>
      </c>
      <c r="L8" s="70" t="n">
        <f aca="false">IF(OR(K8="",J8=""),"",(J8-K8)*100)</f>
        <v>-3.47784981091302</v>
      </c>
      <c r="M8" s="36" t="n">
        <v>2.15854184063309</v>
      </c>
      <c r="N8" s="36" t="n">
        <v>2.13726273724932</v>
      </c>
      <c r="O8" s="36" t="n">
        <f aca="false">SQRT(M8^2+N8^2)</f>
        <v>3.03762981381836</v>
      </c>
      <c r="P8" s="40" t="n">
        <f aca="false">IF(J8="","",MAX(0,J8-1.96*O8/100))</f>
        <v>0.364017290873363</v>
      </c>
      <c r="Q8" s="40" t="n">
        <f aca="false">IF(J8="","",MIN(1,J8+1.96*O8/100))</f>
        <v>0.483092379575043</v>
      </c>
      <c r="R8" s="32" t="str">
        <f aca="false">IF(L8="","",IF(ABS(L8)&lt;=O8,"Yes","No"))</f>
        <v>No</v>
      </c>
      <c r="S8" s="32" t="str">
        <f aca="false">IF(L8="","",IF(ABS(L8)&lt;=1.96*O8,"Yes","No"))</f>
        <v>Yes</v>
      </c>
      <c r="T8" s="60" t="n">
        <f aca="false">IF(D8="","",ROUND(SQRT(((D8+G8)*O8/100)^2+(J8*(D8+G8)*0.03811)^2),0))</f>
        <v>64</v>
      </c>
      <c r="U8" s="32"/>
    </row>
    <row r="9" customFormat="false" ht="15" hidden="false" customHeight="false" outlineLevel="0" collapsed="false">
      <c r="A9" s="32" t="s">
        <v>162</v>
      </c>
      <c r="B9" s="32" t="s">
        <v>175</v>
      </c>
      <c r="C9" s="32" t="s">
        <v>164</v>
      </c>
      <c r="D9" s="60" t="n">
        <v>263</v>
      </c>
      <c r="E9" s="60" t="n">
        <v>277</v>
      </c>
      <c r="F9" s="69" t="n">
        <f aca="false">IF(E9="","",D9-E9)</f>
        <v>-14</v>
      </c>
      <c r="G9" s="60" t="n">
        <v>546</v>
      </c>
      <c r="H9" s="60" t="n">
        <v>560</v>
      </c>
      <c r="I9" s="69" t="n">
        <f aca="false">IF(H9="","",G9-H9)</f>
        <v>-14</v>
      </c>
      <c r="J9" s="40" t="n">
        <f aca="false">IF(OR(D9="",D9+G9=0),"",D9/(D9+G9))</f>
        <v>0.325092707045735</v>
      </c>
      <c r="K9" s="40" t="n">
        <f aca="false">IF(E9="","",E9/(E9+H9))</f>
        <v>0.330943847072879</v>
      </c>
      <c r="L9" s="70" t="n">
        <f aca="false">IF(OR(K9="",J9=""),"",(J9-K9)*100)</f>
        <v>-0.585114002714388</v>
      </c>
      <c r="M9" s="36" t="n">
        <v>3.25169568046603</v>
      </c>
      <c r="N9" s="36" t="n">
        <v>2.13726273724932</v>
      </c>
      <c r="O9" s="36" t="n">
        <f aca="false">SQRT(M9^2+N9^2)</f>
        <v>3.89119734868278</v>
      </c>
      <c r="P9" s="40" t="n">
        <f aca="false">IF(J9="","",MAX(0,J9-1.96*O9/100))</f>
        <v>0.248825239011553</v>
      </c>
      <c r="Q9" s="40" t="n">
        <f aca="false">IF(J9="","",MIN(1,J9+1.96*O9/100))</f>
        <v>0.401360175079918</v>
      </c>
      <c r="R9" s="32" t="str">
        <f aca="false">IF(L9="","",IF(ABS(L9)&lt;=O9,"Yes","No"))</f>
        <v>Yes</v>
      </c>
      <c r="S9" s="32" t="str">
        <f aca="false">IF(L9="","",IF(ABS(L9)&lt;=1.96*O9,"Yes","No"))</f>
        <v>Yes</v>
      </c>
      <c r="T9" s="60" t="n">
        <f aca="false">IF(D9="","",ROUND(SQRT(((D9+G9)*O9/100)^2+(J9*(D9+G9)*0.0534)^2),0))</f>
        <v>34</v>
      </c>
      <c r="U9" s="32"/>
    </row>
    <row r="10" customFormat="false" ht="15" hidden="false" customHeight="false" outlineLevel="0" collapsed="false">
      <c r="A10" s="32" t="s">
        <v>162</v>
      </c>
      <c r="B10" s="32" t="s">
        <v>176</v>
      </c>
      <c r="C10" s="32" t="s">
        <v>164</v>
      </c>
      <c r="D10" s="60" t="n">
        <v>392</v>
      </c>
      <c r="E10" s="60" t="n">
        <v>420</v>
      </c>
      <c r="F10" s="69" t="n">
        <f aca="false">IF(E10="","",D10-E10)</f>
        <v>-28</v>
      </c>
      <c r="G10" s="60" t="n">
        <v>519</v>
      </c>
      <c r="H10" s="60" t="n">
        <v>580</v>
      </c>
      <c r="I10" s="69" t="n">
        <f aca="false">IF(H10="","",G10-H10)</f>
        <v>-61</v>
      </c>
      <c r="J10" s="40" t="n">
        <f aca="false">IF(OR(D10="",D10+G10=0),"",D10/(D10+G10))</f>
        <v>0.430296377607025</v>
      </c>
      <c r="K10" s="40" t="n">
        <f aca="false">IF(E10="","",E10/(E10+H10))</f>
        <v>0.42</v>
      </c>
      <c r="L10" s="70" t="n">
        <f aca="false">IF(OR(K10="",J10=""),"",(J10-K10)*100)</f>
        <v>1.02963776070253</v>
      </c>
      <c r="M10" s="36" t="n">
        <v>3.25169568046603</v>
      </c>
      <c r="N10" s="36" t="n">
        <v>2.13726273724932</v>
      </c>
      <c r="O10" s="36" t="n">
        <f aca="false">SQRT(M10^2+N10^2)</f>
        <v>3.89119734868278</v>
      </c>
      <c r="P10" s="40" t="n">
        <f aca="false">IF(J10="","",MAX(0,J10-1.96*O10/100))</f>
        <v>0.354028909572843</v>
      </c>
      <c r="Q10" s="40" t="n">
        <f aca="false">IF(J10="","",MIN(1,J10+1.96*O10/100))</f>
        <v>0.506563845641208</v>
      </c>
      <c r="R10" s="32" t="str">
        <f aca="false">IF(L10="","",IF(ABS(L10)&lt;=O10,"Yes","No"))</f>
        <v>Yes</v>
      </c>
      <c r="S10" s="32" t="str">
        <f aca="false">IF(L10="","",IF(ABS(L10)&lt;=1.96*O10,"Yes","No"))</f>
        <v>Yes</v>
      </c>
      <c r="T10" s="60" t="n">
        <f aca="false">IF(D10="","",ROUND(SQRT(((D10+G10)*O10/100)^2+(J10*(D10+G10)*0.0534)^2),0))</f>
        <v>41</v>
      </c>
      <c r="U10" s="32"/>
    </row>
    <row r="11" customFormat="false" ht="15" hidden="false" customHeight="false" outlineLevel="0" collapsed="false">
      <c r="A11" s="32" t="s">
        <v>162</v>
      </c>
      <c r="B11" s="32" t="s">
        <v>177</v>
      </c>
      <c r="C11" s="32" t="s">
        <v>164</v>
      </c>
      <c r="D11" s="60" t="n">
        <v>27</v>
      </c>
      <c r="E11" s="60" t="n">
        <v>36</v>
      </c>
      <c r="F11" s="69" t="n">
        <f aca="false">IF(E11="","",D11-E11)</f>
        <v>-9</v>
      </c>
      <c r="G11" s="60" t="n">
        <v>64</v>
      </c>
      <c r="H11" s="60" t="n">
        <v>79</v>
      </c>
      <c r="I11" s="69" t="n">
        <f aca="false">IF(H11="","",G11-H11)</f>
        <v>-15</v>
      </c>
      <c r="J11" s="40" t="n">
        <f aca="false">IF(OR(D11="",D11+G11=0),"",D11/(D11+G11))</f>
        <v>0.296703296703297</v>
      </c>
      <c r="K11" s="40" t="n">
        <f aca="false">IF(E11="","",E11/(E11+H11))</f>
        <v>0.31304347826087</v>
      </c>
      <c r="L11" s="70" t="n">
        <f aca="false">IF(OR(K11="",J11=""),"",(J11-K11)*100)</f>
        <v>-1.63401815575729</v>
      </c>
      <c r="M11" s="36" t="n">
        <v>3.25169568046603</v>
      </c>
      <c r="N11" s="36" t="n">
        <v>2.13726273724932</v>
      </c>
      <c r="O11" s="36" t="n">
        <f aca="false">SQRT(M11^2+N11^2)</f>
        <v>3.89119734868278</v>
      </c>
      <c r="P11" s="40" t="n">
        <f aca="false">IF(J11="","",MAX(0,J11-1.96*O11/100))</f>
        <v>0.220435828669114</v>
      </c>
      <c r="Q11" s="40" t="n">
        <f aca="false">IF(J11="","",MIN(1,J11+1.96*O11/100))</f>
        <v>0.372970764737479</v>
      </c>
      <c r="R11" s="32" t="str">
        <f aca="false">IF(L11="","",IF(ABS(L11)&lt;=O11,"Yes","No"))</f>
        <v>Yes</v>
      </c>
      <c r="S11" s="32" t="str">
        <f aca="false">IF(L11="","",IF(ABS(L11)&lt;=1.96*O11,"Yes","No"))</f>
        <v>Yes</v>
      </c>
      <c r="T11" s="60" t="n">
        <f aca="false">IF(D11="","",ROUND(SQRT(((D11+G11)*O11/100)^2+(J11*(D11+G11)*0.0534)^2),0))</f>
        <v>4</v>
      </c>
      <c r="U11" s="32"/>
    </row>
    <row r="12" customFormat="false" ht="15" hidden="false" customHeight="false" outlineLevel="0" collapsed="false">
      <c r="A12" s="32" t="s">
        <v>162</v>
      </c>
      <c r="B12" s="32" t="s">
        <v>178</v>
      </c>
      <c r="C12" s="32" t="s">
        <v>164</v>
      </c>
      <c r="D12" s="60" t="n">
        <v>50</v>
      </c>
      <c r="E12" s="60" t="n">
        <v>52</v>
      </c>
      <c r="F12" s="69" t="n">
        <f aca="false">IF(E12="","",D12-E12)</f>
        <v>-2</v>
      </c>
      <c r="G12" s="60" t="n">
        <v>149</v>
      </c>
      <c r="H12" s="60" t="n">
        <v>189</v>
      </c>
      <c r="I12" s="69" t="n">
        <f aca="false">IF(H12="","",G12-H12)</f>
        <v>-40</v>
      </c>
      <c r="J12" s="40" t="n">
        <f aca="false">IF(OR(D12="",D12+G12=0),"",D12/(D12+G12))</f>
        <v>0.251256281407035</v>
      </c>
      <c r="K12" s="40" t="n">
        <f aca="false">IF(E12="","",E12/(E12+H12))</f>
        <v>0.215767634854772</v>
      </c>
      <c r="L12" s="70" t="n">
        <f aca="false">IF(OR(K12="",J12=""),"",(J12-K12)*100)</f>
        <v>3.54886465522634</v>
      </c>
      <c r="M12" s="36" t="n">
        <v>3.25169568046603</v>
      </c>
      <c r="N12" s="36" t="n">
        <v>2.13726273724932</v>
      </c>
      <c r="O12" s="36" t="n">
        <f aca="false">SQRT(M12^2+N12^2)</f>
        <v>3.89119734868278</v>
      </c>
      <c r="P12" s="40" t="n">
        <f aca="false">IF(J12="","",MAX(0,J12-1.96*O12/100))</f>
        <v>0.174988813372853</v>
      </c>
      <c r="Q12" s="40" t="n">
        <f aca="false">IF(J12="","",MIN(1,J12+1.96*O12/100))</f>
        <v>0.327523749441218</v>
      </c>
      <c r="R12" s="32" t="str">
        <f aca="false">IF(L12="","",IF(ABS(L12)&lt;=O12,"Yes","No"))</f>
        <v>Yes</v>
      </c>
      <c r="S12" s="32" t="str">
        <f aca="false">IF(L12="","",IF(ABS(L12)&lt;=1.96*O12,"Yes","No"))</f>
        <v>Yes</v>
      </c>
      <c r="T12" s="60" t="n">
        <f aca="false">IF(D12="","",ROUND(SQRT(((D12+G12)*O12/100)^2+(J12*(D12+G12)*0.0534)^2),0))</f>
        <v>8</v>
      </c>
      <c r="U12" s="32"/>
    </row>
    <row r="13" customFormat="false" ht="15" hidden="false" customHeight="false" outlineLevel="0" collapsed="false">
      <c r="A13" s="32" t="s">
        <v>162</v>
      </c>
      <c r="B13" s="32" t="s">
        <v>179</v>
      </c>
      <c r="C13" s="32" t="s">
        <v>164</v>
      </c>
      <c r="D13" s="60" t="n">
        <v>599</v>
      </c>
      <c r="E13" s="60" t="n">
        <v>719</v>
      </c>
      <c r="F13" s="69" t="n">
        <f aca="false">IF(E13="","",D13-E13)</f>
        <v>-120</v>
      </c>
      <c r="G13" s="60" t="n">
        <v>877</v>
      </c>
      <c r="H13" s="60" t="n">
        <v>948</v>
      </c>
      <c r="I13" s="69" t="n">
        <f aca="false">IF(H13="","",G13-H13)</f>
        <v>-71</v>
      </c>
      <c r="J13" s="40" t="n">
        <f aca="false">IF(OR(D13="",D13+G13=0),"",D13/(D13+G13))</f>
        <v>0.405826558265583</v>
      </c>
      <c r="K13" s="40" t="n">
        <f aca="false">IF(E13="","",E13/(E13+H13))</f>
        <v>0.43131373725255</v>
      </c>
      <c r="L13" s="70" t="n">
        <f aca="false">IF(OR(K13="",J13=""),"",(J13-K13)*100)</f>
        <v>-2.54871789869668</v>
      </c>
      <c r="M13" s="36" t="n">
        <v>2.15854184063309</v>
      </c>
      <c r="N13" s="36" t="n">
        <v>2.13726273724932</v>
      </c>
      <c r="O13" s="36" t="n">
        <f aca="false">SQRT(M13^2+N13^2)</f>
        <v>3.03762981381836</v>
      </c>
      <c r="P13" s="40" t="n">
        <f aca="false">IF(J13="","",MAX(0,J13-1.96*O13/100))</f>
        <v>0.346289013914743</v>
      </c>
      <c r="Q13" s="40" t="n">
        <f aca="false">IF(J13="","",MIN(1,J13+1.96*O13/100))</f>
        <v>0.465364102616422</v>
      </c>
      <c r="R13" s="32" t="str">
        <f aca="false">IF(L13="","",IF(ABS(L13)&lt;=O13,"Yes","No"))</f>
        <v>Yes</v>
      </c>
      <c r="S13" s="32" t="str">
        <f aca="false">IF(L13="","",IF(ABS(L13)&lt;=1.96*O13,"Yes","No"))</f>
        <v>Yes</v>
      </c>
      <c r="T13" s="60" t="n">
        <f aca="false">IF(D13="","",ROUND(SQRT(((D13+G13)*O13/100)^2+(J13*(D13+G13)*0.03811)^2),0))</f>
        <v>50</v>
      </c>
      <c r="U13" s="32"/>
    </row>
    <row r="14" customFormat="false" ht="15" hidden="false" customHeight="false" outlineLevel="0" collapsed="false">
      <c r="A14" s="32" t="s">
        <v>162</v>
      </c>
      <c r="B14" s="32" t="s">
        <v>180</v>
      </c>
      <c r="C14" s="32" t="s">
        <v>164</v>
      </c>
      <c r="D14" s="60" t="n">
        <v>378</v>
      </c>
      <c r="E14" s="60" t="n">
        <v>430</v>
      </c>
      <c r="F14" s="69" t="n">
        <f aca="false">IF(E14="","",D14-E14)</f>
        <v>-52</v>
      </c>
      <c r="G14" s="60" t="n">
        <v>778</v>
      </c>
      <c r="H14" s="60" t="n">
        <v>916</v>
      </c>
      <c r="I14" s="69" t="n">
        <f aca="false">IF(H14="","",G14-H14)</f>
        <v>-138</v>
      </c>
      <c r="J14" s="40" t="n">
        <f aca="false">IF(OR(D14="",D14+G14=0),"",D14/(D14+G14))</f>
        <v>0.326989619377163</v>
      </c>
      <c r="K14" s="40" t="n">
        <f aca="false">IF(E14="","",E14/(E14+H14))</f>
        <v>0.319465081723626</v>
      </c>
      <c r="L14" s="70" t="n">
        <f aca="false">IF(OR(K14="",J14=""),"",(J14-K14)*100)</f>
        <v>0.752453765353711</v>
      </c>
      <c r="M14" s="36" t="n">
        <v>2.15854184063309</v>
      </c>
      <c r="N14" s="36" t="n">
        <v>2.13726273724932</v>
      </c>
      <c r="O14" s="36" t="n">
        <f aca="false">SQRT(M14^2+N14^2)</f>
        <v>3.03762981381836</v>
      </c>
      <c r="P14" s="40" t="n">
        <f aca="false">IF(J14="","",MAX(0,J14-1.96*O14/100))</f>
        <v>0.267452075026323</v>
      </c>
      <c r="Q14" s="40" t="n">
        <f aca="false">IF(J14="","",MIN(1,J14+1.96*O14/100))</f>
        <v>0.386527163728002</v>
      </c>
      <c r="R14" s="32" t="str">
        <f aca="false">IF(L14="","",IF(ABS(L14)&lt;=O14,"Yes","No"))</f>
        <v>Yes</v>
      </c>
      <c r="S14" s="32" t="str">
        <f aca="false">IF(L14="","",IF(ABS(L14)&lt;=1.96*O14,"Yes","No"))</f>
        <v>Yes</v>
      </c>
      <c r="T14" s="60" t="n">
        <f aca="false">IF(D14="","",ROUND(SQRT(((D14+G14)*O14/100)^2+(J14*(D14+G14)*0.03811)^2),0))</f>
        <v>38</v>
      </c>
      <c r="U14" s="32"/>
    </row>
    <row r="15" customFormat="false" ht="15" hidden="false" customHeight="false" outlineLevel="0" collapsed="false">
      <c r="A15" s="32" t="s">
        <v>162</v>
      </c>
      <c r="B15" s="32" t="s">
        <v>181</v>
      </c>
      <c r="C15" s="32" t="s">
        <v>164</v>
      </c>
      <c r="D15" s="60" t="n">
        <v>455</v>
      </c>
      <c r="E15" s="60" t="n">
        <v>546</v>
      </c>
      <c r="F15" s="69" t="n">
        <f aca="false">IF(E15="","",D15-E15)</f>
        <v>-91</v>
      </c>
      <c r="G15" s="60" t="n">
        <v>1104</v>
      </c>
      <c r="H15" s="60" t="n">
        <v>1227</v>
      </c>
      <c r="I15" s="69" t="n">
        <f aca="false">IF(H15="","",G15-H15)</f>
        <v>-123</v>
      </c>
      <c r="J15" s="40" t="n">
        <f aca="false">IF(OR(D15="",D15+G15=0),"",D15/(D15+G15))</f>
        <v>0.291853752405388</v>
      </c>
      <c r="K15" s="40" t="n">
        <f aca="false">IF(E15="","",E15/(E15+H15))</f>
        <v>0.307952622673435</v>
      </c>
      <c r="L15" s="70" t="n">
        <f aca="false">IF(OR(K15="",J15=""),"",(J15-K15)*100)</f>
        <v>-1.60988702680468</v>
      </c>
      <c r="M15" s="36" t="n">
        <v>2.15854184063309</v>
      </c>
      <c r="N15" s="36" t="n">
        <v>2.13726273724932</v>
      </c>
      <c r="O15" s="36" t="n">
        <f aca="false">SQRT(M15^2+N15^2)</f>
        <v>3.03762981381836</v>
      </c>
      <c r="P15" s="40" t="n">
        <f aca="false">IF(J15="","",MAX(0,J15-1.96*O15/100))</f>
        <v>0.232316208054548</v>
      </c>
      <c r="Q15" s="40" t="n">
        <f aca="false">IF(J15="","",MIN(1,J15+1.96*O15/100))</f>
        <v>0.351391296756228</v>
      </c>
      <c r="R15" s="32" t="str">
        <f aca="false">IF(L15="","",IF(ABS(L15)&lt;=O15,"Yes","No"))</f>
        <v>Yes</v>
      </c>
      <c r="S15" s="32" t="str">
        <f aca="false">IF(L15="","",IF(ABS(L15)&lt;=1.96*O15,"Yes","No"))</f>
        <v>Yes</v>
      </c>
      <c r="T15" s="60" t="n">
        <f aca="false">IF(D15="","",ROUND(SQRT(((D15+G15)*O15/100)^2+(J15*(D15+G15)*0.03811)^2),0))</f>
        <v>50</v>
      </c>
      <c r="U15" s="32"/>
    </row>
    <row r="16" customFormat="false" ht="15" hidden="false" customHeight="false" outlineLevel="0" collapsed="false">
      <c r="A16" s="32" t="s">
        <v>162</v>
      </c>
      <c r="B16" s="32" t="s">
        <v>182</v>
      </c>
      <c r="C16" s="32" t="s">
        <v>164</v>
      </c>
      <c r="D16" s="60" t="n">
        <v>408</v>
      </c>
      <c r="E16" s="60" t="n">
        <v>488</v>
      </c>
      <c r="F16" s="69" t="n">
        <f aca="false">IF(E16="","",D16-E16)</f>
        <v>-80</v>
      </c>
      <c r="G16" s="60" t="n">
        <v>615</v>
      </c>
      <c r="H16" s="60" t="n">
        <v>706</v>
      </c>
      <c r="I16" s="69" t="n">
        <f aca="false">IF(H16="","",G16-H16)</f>
        <v>-91</v>
      </c>
      <c r="J16" s="40" t="n">
        <f aca="false">IF(OR(D16="",D16+G16=0),"",D16/(D16+G16))</f>
        <v>0.398826979472141</v>
      </c>
      <c r="K16" s="40" t="n">
        <f aca="false">IF(E16="","",E16/(E16+H16))</f>
        <v>0.408710217755444</v>
      </c>
      <c r="L16" s="70" t="n">
        <f aca="false">IF(OR(K16="",J16=""),"",(J16-K16)*100)</f>
        <v>-0.988323828330312</v>
      </c>
      <c r="M16" s="36" t="n">
        <v>3.25169568046603</v>
      </c>
      <c r="N16" s="36" t="n">
        <v>2.13726273724932</v>
      </c>
      <c r="O16" s="36" t="n">
        <f aca="false">SQRT(M16^2+N16^2)</f>
        <v>3.89119734868278</v>
      </c>
      <c r="P16" s="40" t="n">
        <f aca="false">IF(J16="","",MAX(0,J16-1.96*O16/100))</f>
        <v>0.322559511437958</v>
      </c>
      <c r="Q16" s="40" t="n">
        <f aca="false">IF(J16="","",MIN(1,J16+1.96*O16/100))</f>
        <v>0.475094447506323</v>
      </c>
      <c r="R16" s="32" t="str">
        <f aca="false">IF(L16="","",IF(ABS(L16)&lt;=O16,"Yes","No"))</f>
        <v>Yes</v>
      </c>
      <c r="S16" s="32" t="str">
        <f aca="false">IF(L16="","",IF(ABS(L16)&lt;=1.96*O16,"Yes","No"))</f>
        <v>Yes</v>
      </c>
      <c r="T16" s="60" t="n">
        <f aca="false">IF(D16="","",ROUND(SQRT(((D16+G16)*O16/100)^2+(J16*(D16+G16)*0.0534)^2),0))</f>
        <v>45</v>
      </c>
      <c r="U16" s="32"/>
    </row>
    <row r="17" customFormat="false" ht="15" hidden="false" customHeight="false" outlineLevel="0" collapsed="false">
      <c r="A17" s="32" t="s">
        <v>162</v>
      </c>
      <c r="B17" s="32" t="s">
        <v>183</v>
      </c>
      <c r="C17" s="32" t="s">
        <v>164</v>
      </c>
      <c r="D17" s="60" t="n">
        <v>119</v>
      </c>
      <c r="E17" s="60" t="n">
        <v>96</v>
      </c>
      <c r="F17" s="69" t="n">
        <f aca="false">IF(E17="","",D17-E17)</f>
        <v>23</v>
      </c>
      <c r="G17" s="60" t="n">
        <v>373</v>
      </c>
      <c r="H17" s="60" t="n">
        <v>444</v>
      </c>
      <c r="I17" s="69" t="n">
        <f aca="false">IF(H17="","",G17-H17)</f>
        <v>-71</v>
      </c>
      <c r="J17" s="40" t="n">
        <f aca="false">IF(OR(D17="",D17+G17=0),"",D17/(D17+G17))</f>
        <v>0.241869918699187</v>
      </c>
      <c r="K17" s="40" t="n">
        <f aca="false">IF(E17="","",E17/(E17+H17))</f>
        <v>0.177777777777778</v>
      </c>
      <c r="L17" s="70" t="n">
        <f aca="false">IF(OR(K17="",J17=""),"",(J17-K17)*100)</f>
        <v>6.40921409214092</v>
      </c>
      <c r="M17" s="36" t="n">
        <v>3.25169568046603</v>
      </c>
      <c r="N17" s="36" t="n">
        <v>2.13726273724932</v>
      </c>
      <c r="O17" s="36" t="n">
        <f aca="false">SQRT(M17^2+N17^2)</f>
        <v>3.89119734868278</v>
      </c>
      <c r="P17" s="40" t="n">
        <f aca="false">IF(J17="","",MAX(0,J17-1.96*O17/100))</f>
        <v>0.165602450665005</v>
      </c>
      <c r="Q17" s="40" t="n">
        <f aca="false">IF(J17="","",MIN(1,J17+1.96*O17/100))</f>
        <v>0.318137386733369</v>
      </c>
      <c r="R17" s="32" t="str">
        <f aca="false">IF(L17="","",IF(ABS(L17)&lt;=O17,"Yes","No"))</f>
        <v>No</v>
      </c>
      <c r="S17" s="32" t="str">
        <f aca="false">IF(L17="","",IF(ABS(L17)&lt;=1.96*O17,"Yes","No"))</f>
        <v>Yes</v>
      </c>
      <c r="T17" s="60" t="n">
        <f aca="false">IF(D17="","",ROUND(SQRT(((D17+G17)*O17/100)^2+(J17*(D17+G17)*0.0534)^2),0))</f>
        <v>20</v>
      </c>
      <c r="U17" s="32"/>
    </row>
    <row r="18" customFormat="false" ht="15" hidden="false" customHeight="false" outlineLevel="0" collapsed="false">
      <c r="A18" s="32" t="s">
        <v>162</v>
      </c>
      <c r="B18" s="32" t="s">
        <v>184</v>
      </c>
      <c r="C18" s="32" t="s">
        <v>164</v>
      </c>
      <c r="D18" s="60" t="n">
        <v>657</v>
      </c>
      <c r="E18" s="60" t="n">
        <v>737</v>
      </c>
      <c r="F18" s="69" t="n">
        <f aca="false">IF(E18="","",D18-E18)</f>
        <v>-80</v>
      </c>
      <c r="G18" s="60" t="n">
        <v>1077</v>
      </c>
      <c r="H18" s="60" t="n">
        <v>1172</v>
      </c>
      <c r="I18" s="69" t="n">
        <f aca="false">IF(H18="","",G18-H18)</f>
        <v>-95</v>
      </c>
      <c r="J18" s="40" t="n">
        <f aca="false">IF(OR(D18="",D18+G18=0),"",D18/(D18+G18))</f>
        <v>0.378892733564014</v>
      </c>
      <c r="K18" s="40" t="n">
        <f aca="false">IF(E18="","",E18/(E18+H18))</f>
        <v>0.386066003143007</v>
      </c>
      <c r="L18" s="70" t="n">
        <f aca="false">IF(OR(K18="",J18=""),"",(J18-K18)*100)</f>
        <v>-0.7173269578993</v>
      </c>
      <c r="M18" s="36" t="n">
        <v>2.15854184063309</v>
      </c>
      <c r="N18" s="36" t="n">
        <v>2.13726273724932</v>
      </c>
      <c r="O18" s="36" t="n">
        <f aca="false">SQRT(M18^2+N18^2)</f>
        <v>3.03762981381836</v>
      </c>
      <c r="P18" s="40" t="n">
        <f aca="false">IF(J18="","",MAX(0,J18-1.96*O18/100))</f>
        <v>0.319355189213174</v>
      </c>
      <c r="Q18" s="40" t="n">
        <f aca="false">IF(J18="","",MIN(1,J18+1.96*O18/100))</f>
        <v>0.438430277914854</v>
      </c>
      <c r="R18" s="32" t="str">
        <f aca="false">IF(L18="","",IF(ABS(L18)&lt;=O18,"Yes","No"))</f>
        <v>Yes</v>
      </c>
      <c r="S18" s="32" t="str">
        <f aca="false">IF(L18="","",IF(ABS(L18)&lt;=1.96*O18,"Yes","No"))</f>
        <v>Yes</v>
      </c>
      <c r="T18" s="60" t="n">
        <f aca="false">IF(D18="","",ROUND(SQRT(((D18+G18)*O18/100)^2+(J18*(D18+G18)*0.03811)^2),0))</f>
        <v>58</v>
      </c>
      <c r="U18" s="32"/>
    </row>
    <row r="19" customFormat="false" ht="15" hidden="false" customHeight="false" outlineLevel="0" collapsed="false">
      <c r="A19" s="32" t="s">
        <v>162</v>
      </c>
      <c r="B19" s="32" t="s">
        <v>185</v>
      </c>
      <c r="C19" s="32" t="s">
        <v>164</v>
      </c>
      <c r="D19" s="60" t="n">
        <v>52</v>
      </c>
      <c r="E19" s="60" t="n">
        <v>51</v>
      </c>
      <c r="F19" s="69" t="n">
        <f aca="false">IF(E19="","",D19-E19)</f>
        <v>1</v>
      </c>
      <c r="G19" s="60" t="n">
        <v>123</v>
      </c>
      <c r="H19" s="60" t="n">
        <v>136</v>
      </c>
      <c r="I19" s="69" t="n">
        <f aca="false">IF(H19="","",G19-H19)</f>
        <v>-13</v>
      </c>
      <c r="J19" s="40" t="n">
        <f aca="false">IF(OR(D19="",D19+G19=0),"",D19/(D19+G19))</f>
        <v>0.297142857142857</v>
      </c>
      <c r="K19" s="40" t="n">
        <f aca="false">IF(E19="","",E19/(E19+H19))</f>
        <v>0.272727272727273</v>
      </c>
      <c r="L19" s="70" t="n">
        <f aca="false">IF(OR(K19="",J19=""),"",(J19-K19)*100)</f>
        <v>2.44155844155844</v>
      </c>
      <c r="M19" s="36" t="n">
        <v>3.25169568046603</v>
      </c>
      <c r="N19" s="36" t="n">
        <v>2.13726273724932</v>
      </c>
      <c r="O19" s="36" t="n">
        <f aca="false">SQRT(M19^2+N19^2)</f>
        <v>3.89119734868278</v>
      </c>
      <c r="P19" s="40" t="n">
        <f aca="false">IF(J19="","",MAX(0,J19-1.96*O19/100))</f>
        <v>0.220875389108675</v>
      </c>
      <c r="Q19" s="40" t="n">
        <f aca="false">IF(J19="","",MIN(1,J19+1.96*O19/100))</f>
        <v>0.37341032517704</v>
      </c>
      <c r="R19" s="32" t="str">
        <f aca="false">IF(L19="","",IF(ABS(L19)&lt;=O19,"Yes","No"))</f>
        <v>Yes</v>
      </c>
      <c r="S19" s="32" t="str">
        <f aca="false">IF(L19="","",IF(ABS(L19)&lt;=1.96*O19,"Yes","No"))</f>
        <v>Yes</v>
      </c>
      <c r="T19" s="60" t="n">
        <f aca="false">IF(D19="","",ROUND(SQRT(((D19+G19)*O19/100)^2+(J19*(D19+G19)*0.0534)^2),0))</f>
        <v>7</v>
      </c>
      <c r="U19" s="32"/>
    </row>
    <row r="20" customFormat="false" ht="15" hidden="false" customHeight="false" outlineLevel="0" collapsed="false">
      <c r="A20" s="32" t="s">
        <v>162</v>
      </c>
      <c r="B20" s="32" t="s">
        <v>186</v>
      </c>
      <c r="C20" s="32" t="s">
        <v>164</v>
      </c>
      <c r="D20" s="60" t="n">
        <v>1417</v>
      </c>
      <c r="E20" s="60" t="n">
        <v>1574</v>
      </c>
      <c r="F20" s="69" t="n">
        <f aca="false">IF(E20="","",D20-E20)</f>
        <v>-157</v>
      </c>
      <c r="G20" s="60" t="n">
        <v>2227</v>
      </c>
      <c r="H20" s="60" t="n">
        <v>2750</v>
      </c>
      <c r="I20" s="69" t="n">
        <f aca="false">IF(H20="","",G20-H20)</f>
        <v>-523</v>
      </c>
      <c r="J20" s="40" t="n">
        <f aca="false">IF(OR(D20="",D20+G20=0),"",D20/(D20+G20))</f>
        <v>0.388858397365532</v>
      </c>
      <c r="K20" s="40" t="n">
        <f aca="false">IF(E20="","",E20/(E20+H20))</f>
        <v>0.364014801110083</v>
      </c>
      <c r="L20" s="70" t="n">
        <f aca="false">IF(OR(K20="",J20=""),"",(J20-K20)*100)</f>
        <v>2.48435962554491</v>
      </c>
      <c r="M20" s="36" t="n">
        <v>1.47054296090828</v>
      </c>
      <c r="N20" s="36" t="n">
        <v>2.13726273724932</v>
      </c>
      <c r="O20" s="36" t="n">
        <f aca="false">SQRT(M20^2+N20^2)</f>
        <v>2.59429925180411</v>
      </c>
      <c r="P20" s="40" t="n">
        <f aca="false">IF(J20="","",MAX(0,J20-1.96*O20/100))</f>
        <v>0.338010132030172</v>
      </c>
      <c r="Q20" s="40" t="n">
        <f aca="false">IF(J20="","",MIN(1,J20+1.96*O20/100))</f>
        <v>0.439706662700893</v>
      </c>
      <c r="R20" s="32" t="str">
        <f aca="false">IF(L20="","",IF(ABS(L20)&lt;=O20,"Yes","No"))</f>
        <v>Yes</v>
      </c>
      <c r="S20" s="32" t="str">
        <f aca="false">IF(L20="","",IF(ABS(L20)&lt;=1.96*O20,"Yes","No"))</f>
        <v>Yes</v>
      </c>
      <c r="T20" s="60" t="n">
        <f aca="false">IF(D20="","",ROUND(SQRT(((D20+G20)*O20/100)^2+(J20*(D20+G20)*0.02225)^2),0))</f>
        <v>100</v>
      </c>
      <c r="U20" s="32"/>
    </row>
    <row r="21" customFormat="false" ht="15" hidden="false" customHeight="false" outlineLevel="0" collapsed="false">
      <c r="A21" s="32" t="s">
        <v>162</v>
      </c>
      <c r="B21" s="32" t="s">
        <v>188</v>
      </c>
      <c r="C21" s="32" t="s">
        <v>164</v>
      </c>
      <c r="D21" s="60" t="n">
        <v>489</v>
      </c>
      <c r="E21" s="60" t="n">
        <v>557</v>
      </c>
      <c r="F21" s="69" t="n">
        <f aca="false">IF(E21="","",D21-E21)</f>
        <v>-68</v>
      </c>
      <c r="G21" s="60" t="n">
        <v>655</v>
      </c>
      <c r="H21" s="60" t="n">
        <v>678</v>
      </c>
      <c r="I21" s="69" t="n">
        <f aca="false">IF(H21="","",G21-H21)</f>
        <v>-23</v>
      </c>
      <c r="J21" s="40" t="n">
        <f aca="false">IF(OR(D21="",D21+G21=0),"",D21/(D21+G21))</f>
        <v>0.427447552447552</v>
      </c>
      <c r="K21" s="40" t="n">
        <f aca="false">IF(E21="","",E21/(E21+H21))</f>
        <v>0.451012145748988</v>
      </c>
      <c r="L21" s="70" t="n">
        <f aca="false">IF(OR(K21="",J21=""),"",(J21-K21)*100)</f>
        <v>-2.35645933014354</v>
      </c>
      <c r="M21" s="36" t="n">
        <v>2.15854184063309</v>
      </c>
      <c r="N21" s="36" t="n">
        <v>2.13726273724932</v>
      </c>
      <c r="O21" s="36" t="n">
        <f aca="false">SQRT(M21^2+N21^2)</f>
        <v>3.03762981381836</v>
      </c>
      <c r="P21" s="40" t="n">
        <f aca="false">IF(J21="","",MAX(0,J21-1.96*O21/100))</f>
        <v>0.367910008096713</v>
      </c>
      <c r="Q21" s="40" t="n">
        <f aca="false">IF(J21="","",MIN(1,J21+1.96*O21/100))</f>
        <v>0.486985096798392</v>
      </c>
      <c r="R21" s="32" t="str">
        <f aca="false">IF(L21="","",IF(ABS(L21)&lt;=O21,"Yes","No"))</f>
        <v>Yes</v>
      </c>
      <c r="S21" s="32" t="str">
        <f aca="false">IF(L21="","",IF(ABS(L21)&lt;=1.96*O21,"Yes","No"))</f>
        <v>Yes</v>
      </c>
      <c r="T21" s="60" t="n">
        <f aca="false">IF(D21="","",ROUND(SQRT(((D21+G21)*O21/100)^2+(J21*(D21+G21)*0.03811)^2),0))</f>
        <v>39</v>
      </c>
      <c r="U21" s="32"/>
    </row>
    <row r="22" customFormat="false" ht="15" hidden="false" customHeight="false" outlineLevel="0" collapsed="false">
      <c r="A22" s="32" t="s">
        <v>162</v>
      </c>
      <c r="B22" s="32" t="s">
        <v>189</v>
      </c>
      <c r="C22" s="32" t="s">
        <v>164</v>
      </c>
      <c r="D22" s="60" t="n">
        <v>561</v>
      </c>
      <c r="E22" s="60" t="n">
        <v>625</v>
      </c>
      <c r="F22" s="69" t="n">
        <f aca="false">IF(E22="","",D22-E22)</f>
        <v>-64</v>
      </c>
      <c r="G22" s="60" t="n">
        <v>1286</v>
      </c>
      <c r="H22" s="60" t="n">
        <v>1506</v>
      </c>
      <c r="I22" s="69" t="n">
        <f aca="false">IF(H22="","",G22-H22)</f>
        <v>-220</v>
      </c>
      <c r="J22" s="40" t="n">
        <f aca="false">IF(OR(D22="",D22+G22=0),"",D22/(D22+G22))</f>
        <v>0.303735787763942</v>
      </c>
      <c r="K22" s="40" t="n">
        <f aca="false">IF(E22="","",E22/(E22+H22))</f>
        <v>0.293289535429376</v>
      </c>
      <c r="L22" s="70" t="n">
        <f aca="false">IF(OR(K22="",J22=""),"",(J22-K22)*100)</f>
        <v>1.04462523345656</v>
      </c>
      <c r="M22" s="36" t="n">
        <v>2.15854184063309</v>
      </c>
      <c r="N22" s="36" t="n">
        <v>2.13726273724932</v>
      </c>
      <c r="O22" s="36" t="n">
        <f aca="false">SQRT(M22^2+N22^2)</f>
        <v>3.03762981381836</v>
      </c>
      <c r="P22" s="40" t="n">
        <f aca="false">IF(J22="","",MAX(0,J22-1.96*O22/100))</f>
        <v>0.244198243413102</v>
      </c>
      <c r="Q22" s="40" t="n">
        <f aca="false">IF(J22="","",MIN(1,J22+1.96*O22/100))</f>
        <v>0.363273332114781</v>
      </c>
      <c r="R22" s="32" t="str">
        <f aca="false">IF(L22="","",IF(ABS(L22)&lt;=O22,"Yes","No"))</f>
        <v>Yes</v>
      </c>
      <c r="S22" s="32" t="str">
        <f aca="false">IF(L22="","",IF(ABS(L22)&lt;=1.96*O22,"Yes","No"))</f>
        <v>Yes</v>
      </c>
      <c r="T22" s="60" t="n">
        <f aca="false">IF(D22="","",ROUND(SQRT(((D22+G22)*O22/100)^2+(J22*(D22+G22)*0.03811)^2),0))</f>
        <v>60</v>
      </c>
      <c r="U22" s="32"/>
    </row>
    <row r="23" customFormat="false" ht="15" hidden="false" customHeight="false" outlineLevel="0" collapsed="false">
      <c r="A23" s="32" t="s">
        <v>162</v>
      </c>
      <c r="B23" s="32" t="s">
        <v>190</v>
      </c>
      <c r="C23" s="32" t="s">
        <v>164</v>
      </c>
      <c r="D23" s="60" t="n">
        <v>257</v>
      </c>
      <c r="E23" s="60" t="n">
        <v>245</v>
      </c>
      <c r="F23" s="69" t="n">
        <f aca="false">IF(E23="","",D23-E23)</f>
        <v>12</v>
      </c>
      <c r="G23" s="60" t="n">
        <v>593</v>
      </c>
      <c r="H23" s="60" t="n">
        <v>656</v>
      </c>
      <c r="I23" s="69" t="n">
        <f aca="false">IF(H23="","",G23-H23)</f>
        <v>-63</v>
      </c>
      <c r="J23" s="40" t="n">
        <f aca="false">IF(OR(D23="",D23+G23=0),"",D23/(D23+G23))</f>
        <v>0.302352941176471</v>
      </c>
      <c r="K23" s="40" t="n">
        <f aca="false">IF(E23="","",E23/(E23+H23))</f>
        <v>0.271920088790233</v>
      </c>
      <c r="L23" s="70" t="n">
        <f aca="false">IF(OR(K23="",J23=""),"",(J23-K23)*100)</f>
        <v>3.04328523862376</v>
      </c>
      <c r="M23" s="36" t="n">
        <v>3.25169568046603</v>
      </c>
      <c r="N23" s="36" t="n">
        <v>2.13726273724932</v>
      </c>
      <c r="O23" s="36" t="n">
        <f aca="false">SQRT(M23^2+N23^2)</f>
        <v>3.89119734868278</v>
      </c>
      <c r="P23" s="40" t="n">
        <f aca="false">IF(J23="","",MAX(0,J23-1.96*O23/100))</f>
        <v>0.226085473142288</v>
      </c>
      <c r="Q23" s="40" t="n">
        <f aca="false">IF(J23="","",MIN(1,J23+1.96*O23/100))</f>
        <v>0.378620409210653</v>
      </c>
      <c r="R23" s="32" t="str">
        <f aca="false">IF(L23="","",IF(ABS(L23)&lt;=O23,"Yes","No"))</f>
        <v>Yes</v>
      </c>
      <c r="S23" s="32" t="str">
        <f aca="false">IF(L23="","",IF(ABS(L23)&lt;=1.96*O23,"Yes","No"))</f>
        <v>Yes</v>
      </c>
      <c r="T23" s="60" t="n">
        <f aca="false">IF(D23="","",ROUND(SQRT(((D23+G23)*O23/100)^2+(J23*(D23+G23)*0.0534)^2),0))</f>
        <v>36</v>
      </c>
      <c r="U23" s="32"/>
    </row>
    <row r="24" customFormat="false" ht="15" hidden="false" customHeight="false" outlineLevel="0" collapsed="false">
      <c r="A24" s="32" t="s">
        <v>162</v>
      </c>
      <c r="B24" s="32" t="s">
        <v>191</v>
      </c>
      <c r="C24" s="32" t="s">
        <v>164</v>
      </c>
      <c r="D24" s="60" t="n">
        <v>36</v>
      </c>
      <c r="E24" s="60" t="n">
        <v>46</v>
      </c>
      <c r="F24" s="69" t="n">
        <f aca="false">IF(E24="","",D24-E24)</f>
        <v>-10</v>
      </c>
      <c r="G24" s="60" t="n">
        <v>56</v>
      </c>
      <c r="H24" s="60" t="n">
        <v>54</v>
      </c>
      <c r="I24" s="69" t="n">
        <f aca="false">IF(H24="","",G24-H24)</f>
        <v>2</v>
      </c>
      <c r="J24" s="40" t="n">
        <f aca="false">IF(OR(D24="",D24+G24=0),"",D24/(D24+G24))</f>
        <v>0.391304347826087</v>
      </c>
      <c r="K24" s="40" t="n">
        <f aca="false">IF(E24="","",E24/(E24+H24))</f>
        <v>0.46</v>
      </c>
      <c r="L24" s="70" t="n">
        <f aca="false">IF(OR(K24="",J24=""),"",(J24-K24)*100)</f>
        <v>-6.86956521739131</v>
      </c>
      <c r="M24" s="36" t="n">
        <v>3.25169568046603</v>
      </c>
      <c r="N24" s="36" t="n">
        <v>2.13726273724932</v>
      </c>
      <c r="O24" s="36" t="n">
        <f aca="false">SQRT(M24^2+N24^2)</f>
        <v>3.89119734868278</v>
      </c>
      <c r="P24" s="40" t="n">
        <f aca="false">IF(J24="","",MAX(0,J24-1.96*O24/100))</f>
        <v>0.315036879791905</v>
      </c>
      <c r="Q24" s="40" t="n">
        <f aca="false">IF(J24="","",MIN(1,J24+1.96*O24/100))</f>
        <v>0.467571815860269</v>
      </c>
      <c r="R24" s="32" t="str">
        <f aca="false">IF(L24="","",IF(ABS(L24)&lt;=O24,"Yes","No"))</f>
        <v>No</v>
      </c>
      <c r="S24" s="32" t="str">
        <f aca="false">IF(L24="","",IF(ABS(L24)&lt;=1.96*O24,"Yes","No"))</f>
        <v>Yes</v>
      </c>
      <c r="T24" s="60" t="n">
        <f aca="false">IF(D24="","",ROUND(SQRT(((D24+G24)*O24/100)^2+(J24*(D24+G24)*0.0534)^2),0))</f>
        <v>4</v>
      </c>
      <c r="U24" s="32"/>
    </row>
    <row r="25" customFormat="false" ht="15" hidden="false" customHeight="false" outlineLevel="0" collapsed="false">
      <c r="A25" s="32" t="s">
        <v>192</v>
      </c>
      <c r="B25" s="32" t="s">
        <v>193</v>
      </c>
      <c r="C25" s="32" t="s">
        <v>164</v>
      </c>
      <c r="D25" s="60" t="n">
        <v>450</v>
      </c>
      <c r="E25" s="60" t="n">
        <v>494</v>
      </c>
      <c r="F25" s="69" t="n">
        <f aca="false">IF(E25="","",D25-E25)</f>
        <v>-44</v>
      </c>
      <c r="G25" s="60" t="n">
        <v>476</v>
      </c>
      <c r="H25" s="60" t="n">
        <v>519</v>
      </c>
      <c r="I25" s="69" t="n">
        <f aca="false">IF(H25="","",G25-H25)</f>
        <v>-43</v>
      </c>
      <c r="J25" s="40" t="n">
        <f aca="false">IF(OR(D25="",D25+G25=0),"",D25/(D25+G25))</f>
        <v>0.485961123110151</v>
      </c>
      <c r="K25" s="40" t="n">
        <f aca="false">IF(E25="","",E25/(E25+H25))</f>
        <v>0.487660414610069</v>
      </c>
      <c r="L25" s="70" t="n">
        <f aca="false">IF(OR(K25="",J25=""),"",(J25-K25)*100)</f>
        <v>-0.169929149991793</v>
      </c>
      <c r="M25" s="36" t="n">
        <v>3.25169568046603</v>
      </c>
      <c r="N25" s="36" t="n">
        <v>2.13726273724932</v>
      </c>
      <c r="O25" s="36" t="n">
        <f aca="false">SQRT(M25^2+N25^2)</f>
        <v>3.89119734868278</v>
      </c>
      <c r="P25" s="40" t="n">
        <f aca="false">IF(J25="","",MAX(0,J25-1.96*O25/100))</f>
        <v>0.409693655075969</v>
      </c>
      <c r="Q25" s="40" t="n">
        <f aca="false">IF(J25="","",MIN(1,J25+1.96*O25/100))</f>
        <v>0.562228591144334</v>
      </c>
      <c r="R25" s="32" t="str">
        <f aca="false">IF(L25="","",IF(ABS(L25)&lt;=O25,"Yes","No"))</f>
        <v>Yes</v>
      </c>
      <c r="S25" s="32" t="str">
        <f aca="false">IF(L25="","",IF(ABS(L25)&lt;=1.96*O25,"Yes","No"))</f>
        <v>Yes</v>
      </c>
      <c r="T25" s="60" t="n">
        <f aca="false">IF(D25="","",ROUND(SQRT(((D25+G25)*O25/100)^2+(J25*(D25+G25)*0.0534)^2),0))</f>
        <v>43</v>
      </c>
      <c r="U25" s="32"/>
    </row>
    <row r="26" customFormat="false" ht="15" hidden="false" customHeight="false" outlineLevel="0" collapsed="false">
      <c r="A26" s="32" t="s">
        <v>192</v>
      </c>
      <c r="B26" s="32" t="s">
        <v>194</v>
      </c>
      <c r="C26" s="32" t="s">
        <v>164</v>
      </c>
      <c r="D26" s="60" t="n">
        <v>16563</v>
      </c>
      <c r="E26" s="60" t="n">
        <v>16965</v>
      </c>
      <c r="F26" s="69" t="n">
        <f aca="false">IF(E26="","",D26-E26)</f>
        <v>-402</v>
      </c>
      <c r="G26" s="60" t="n">
        <v>10240</v>
      </c>
      <c r="H26" s="60" t="n">
        <v>7936</v>
      </c>
      <c r="I26" s="69" t="n">
        <f aca="false">IF(H26="","",G26-H26)</f>
        <v>2304</v>
      </c>
      <c r="J26" s="40" t="n">
        <f aca="false">IF(OR(D26="",D26+G26=0),"",D26/(D26+G26))</f>
        <v>0.617953214192441</v>
      </c>
      <c r="K26" s="40" t="n">
        <f aca="false">IF(E26="","",E26/(E26+H26))</f>
        <v>0.681297939841773</v>
      </c>
      <c r="L26" s="70" t="n">
        <f aca="false">IF(OR(K26="",J26=""),"",(J26-K26)*100)</f>
        <v>-6.33447256493324</v>
      </c>
      <c r="M26" s="36" t="n">
        <v>1.47054296090828</v>
      </c>
      <c r="N26" s="36" t="n">
        <v>2.13726273724932</v>
      </c>
      <c r="O26" s="36" t="n">
        <f aca="false">SQRT(M26^2+N26^2)</f>
        <v>2.59429925180411</v>
      </c>
      <c r="P26" s="40" t="n">
        <f aca="false">IF(J26="","",MAX(0,J26-1.96*O26/100))</f>
        <v>0.567104948857081</v>
      </c>
      <c r="Q26" s="40" t="n">
        <f aca="false">IF(J26="","",MIN(1,J26+1.96*O26/100))</f>
        <v>0.668801479527802</v>
      </c>
      <c r="R26" s="32" t="str">
        <f aca="false">IF(L26="","",IF(ABS(L26)&lt;=O26,"Yes","No"))</f>
        <v>No</v>
      </c>
      <c r="S26" s="32" t="str">
        <f aca="false">IF(L26="","",IF(ABS(L26)&lt;=1.96*O26,"Yes","No"))</f>
        <v>No</v>
      </c>
      <c r="T26" s="60" t="n">
        <f aca="false">IF(D26="","",ROUND(SQRT(((D26+G26)*O26/100)^2+(J26*(D26+G26)*0.02225)^2),0))</f>
        <v>787</v>
      </c>
      <c r="U26" s="32"/>
    </row>
    <row r="27" customFormat="false" ht="15" hidden="false" customHeight="false" outlineLevel="0" collapsed="false">
      <c r="A27" s="32" t="s">
        <v>192</v>
      </c>
      <c r="B27" s="32" t="s">
        <v>195</v>
      </c>
      <c r="C27" s="32" t="s">
        <v>164</v>
      </c>
      <c r="D27" s="60" t="n">
        <v>4465</v>
      </c>
      <c r="E27" s="60" t="n">
        <v>5186</v>
      </c>
      <c r="F27" s="69" t="n">
        <f aca="false">IF(E27="","",D27-E27)</f>
        <v>-721</v>
      </c>
      <c r="G27" s="60" t="n">
        <v>3049</v>
      </c>
      <c r="H27" s="60" t="n">
        <v>2705</v>
      </c>
      <c r="I27" s="69" t="n">
        <f aca="false">IF(H27="","",G27-H27)</f>
        <v>344</v>
      </c>
      <c r="J27" s="40" t="n">
        <f aca="false">IF(OR(D27="",D27+G27=0),"",D27/(D27+G27))</f>
        <v>0.594224114985361</v>
      </c>
      <c r="K27" s="40" t="n">
        <f aca="false">IF(E27="","",E27/(E27+H27))</f>
        <v>0.657204410087441</v>
      </c>
      <c r="L27" s="70" t="n">
        <f aca="false">IF(OR(K27="",J27=""),"",(J27-K27)*100)</f>
        <v>-6.29802951020807</v>
      </c>
      <c r="M27" s="36" t="n">
        <v>1.47054296090828</v>
      </c>
      <c r="N27" s="36" t="n">
        <v>2.13726273724932</v>
      </c>
      <c r="O27" s="36" t="n">
        <f aca="false">SQRT(M27^2+N27^2)</f>
        <v>2.59429925180411</v>
      </c>
      <c r="P27" s="40" t="n">
        <f aca="false">IF(J27="","",MAX(0,J27-1.96*O27/100))</f>
        <v>0.54337584965</v>
      </c>
      <c r="Q27" s="40" t="n">
        <f aca="false">IF(J27="","",MIN(1,J27+1.96*O27/100))</f>
        <v>0.645072380320721</v>
      </c>
      <c r="R27" s="32" t="str">
        <f aca="false">IF(L27="","",IF(ABS(L27)&lt;=O27,"Yes","No"))</f>
        <v>No</v>
      </c>
      <c r="S27" s="32" t="str">
        <f aca="false">IF(L27="","",IF(ABS(L27)&lt;=1.96*O27,"Yes","No"))</f>
        <v>No</v>
      </c>
      <c r="T27" s="60" t="n">
        <f aca="false">IF(D27="","",ROUND(SQRT(((D27+G27)*O27/100)^2+(J27*(D27+G27)*0.02225)^2),0))</f>
        <v>219</v>
      </c>
      <c r="U27" s="32"/>
    </row>
    <row r="28" customFormat="false" ht="15" hidden="false" customHeight="false" outlineLevel="0" collapsed="false">
      <c r="A28" s="32" t="s">
        <v>192</v>
      </c>
      <c r="B28" s="32" t="s">
        <v>196</v>
      </c>
      <c r="C28" s="32" t="s">
        <v>164</v>
      </c>
      <c r="D28" s="60" t="n">
        <v>1060</v>
      </c>
      <c r="E28" s="60" t="n">
        <v>1135</v>
      </c>
      <c r="F28" s="69" t="n">
        <f aca="false">IF(E28="","",D28-E28)</f>
        <v>-75</v>
      </c>
      <c r="G28" s="60" t="n">
        <v>983</v>
      </c>
      <c r="H28" s="60" t="n">
        <v>975</v>
      </c>
      <c r="I28" s="69" t="n">
        <f aca="false">IF(H28="","",G28-H28)</f>
        <v>8</v>
      </c>
      <c r="J28" s="40" t="n">
        <f aca="false">IF(OR(D28="",D28+G28=0),"",D28/(D28+G28))</f>
        <v>0.518844836025453</v>
      </c>
      <c r="K28" s="40" t="n">
        <f aca="false">IF(E28="","",E28/(E28+H28))</f>
        <v>0.537914691943128</v>
      </c>
      <c r="L28" s="70" t="n">
        <f aca="false">IF(OR(K28="",J28=""),"",(J28-K28)*100)</f>
        <v>-1.90698559176752</v>
      </c>
      <c r="M28" s="36" t="n">
        <v>2.15854184063309</v>
      </c>
      <c r="N28" s="36" t="n">
        <v>2.13726273724932</v>
      </c>
      <c r="O28" s="36" t="n">
        <f aca="false">SQRT(M28^2+N28^2)</f>
        <v>3.03762981381836</v>
      </c>
      <c r="P28" s="40" t="n">
        <f aca="false">IF(J28="","",MAX(0,J28-1.96*O28/100))</f>
        <v>0.459307291674613</v>
      </c>
      <c r="Q28" s="40" t="n">
        <f aca="false">IF(J28="","",MIN(1,J28+1.96*O28/100))</f>
        <v>0.578382380376293</v>
      </c>
      <c r="R28" s="32" t="str">
        <f aca="false">IF(L28="","",IF(ABS(L28)&lt;=O28,"Yes","No"))</f>
        <v>Yes</v>
      </c>
      <c r="S28" s="32" t="str">
        <f aca="false">IF(L28="","",IF(ABS(L28)&lt;=1.96*O28,"Yes","No"))</f>
        <v>Yes</v>
      </c>
      <c r="T28" s="60" t="n">
        <f aca="false">IF(D28="","",ROUND(SQRT(((D28+G28)*O28/100)^2+(J28*(D28+G28)*0.03811)^2),0))</f>
        <v>74</v>
      </c>
      <c r="U28" s="32"/>
    </row>
    <row r="29" customFormat="false" ht="15" hidden="false" customHeight="false" outlineLevel="0" collapsed="false">
      <c r="A29" s="32" t="s">
        <v>192</v>
      </c>
      <c r="B29" s="32" t="s">
        <v>197</v>
      </c>
      <c r="C29" s="32" t="s">
        <v>164</v>
      </c>
      <c r="D29" s="60" t="n">
        <v>517</v>
      </c>
      <c r="E29" s="60" t="n">
        <v>621</v>
      </c>
      <c r="F29" s="69" t="n">
        <f aca="false">IF(E29="","",D29-E29)</f>
        <v>-104</v>
      </c>
      <c r="G29" s="60" t="n">
        <v>570</v>
      </c>
      <c r="H29" s="60" t="n">
        <v>598</v>
      </c>
      <c r="I29" s="69" t="n">
        <f aca="false">IF(H29="","",G29-H29)</f>
        <v>-28</v>
      </c>
      <c r="J29" s="40" t="n">
        <f aca="false">IF(OR(D29="",D29+G29=0),"",D29/(D29+G29))</f>
        <v>0.475620975160994</v>
      </c>
      <c r="K29" s="40" t="n">
        <f aca="false">IF(E29="","",E29/(E29+H29))</f>
        <v>0.509433962264151</v>
      </c>
      <c r="L29" s="70" t="n">
        <f aca="false">IF(OR(K29="",J29=""),"",(J29-K29)*100)</f>
        <v>-3.38129871031574</v>
      </c>
      <c r="M29" s="36" t="n">
        <v>3.25169568046603</v>
      </c>
      <c r="N29" s="36" t="n">
        <v>2.13726273724932</v>
      </c>
      <c r="O29" s="36" t="n">
        <f aca="false">SQRT(M29^2+N29^2)</f>
        <v>3.89119734868278</v>
      </c>
      <c r="P29" s="40" t="n">
        <f aca="false">IF(J29="","",MAX(0,J29-1.96*O29/100))</f>
        <v>0.399353507126811</v>
      </c>
      <c r="Q29" s="40" t="n">
        <f aca="false">IF(J29="","",MIN(1,J29+1.96*O29/100))</f>
        <v>0.551888443195176</v>
      </c>
      <c r="R29" s="32" t="str">
        <f aca="false">IF(L29="","",IF(ABS(L29)&lt;=O29,"Yes","No"))</f>
        <v>Yes</v>
      </c>
      <c r="S29" s="32" t="str">
        <f aca="false">IF(L29="","",IF(ABS(L29)&lt;=1.96*O29,"Yes","No"))</f>
        <v>Yes</v>
      </c>
      <c r="T29" s="60" t="n">
        <f aca="false">IF(D29="","",ROUND(SQRT(((D29+G29)*O29/100)^2+(J29*(D29+G29)*0.0534)^2),0))</f>
        <v>51</v>
      </c>
      <c r="U29" s="32"/>
    </row>
    <row r="30" customFormat="false" ht="15" hidden="false" customHeight="false" outlineLevel="0" collapsed="false">
      <c r="A30" s="32" t="s">
        <v>192</v>
      </c>
      <c r="B30" s="32" t="s">
        <v>198</v>
      </c>
      <c r="C30" s="32" t="s">
        <v>164</v>
      </c>
      <c r="D30" s="60" t="n">
        <v>644</v>
      </c>
      <c r="E30" s="60" t="n">
        <v>691</v>
      </c>
      <c r="F30" s="69" t="n">
        <f aca="false">IF(E30="","",D30-E30)</f>
        <v>-47</v>
      </c>
      <c r="G30" s="60" t="n">
        <v>614</v>
      </c>
      <c r="H30" s="60" t="n">
        <v>606</v>
      </c>
      <c r="I30" s="69" t="n">
        <f aca="false">IF(H30="","",G30-H30)</f>
        <v>8</v>
      </c>
      <c r="J30" s="40" t="n">
        <f aca="false">IF(OR(D30="",D30+G30=0),"",D30/(D30+G30))</f>
        <v>0.511923688394277</v>
      </c>
      <c r="K30" s="40" t="n">
        <f aca="false">IF(E30="","",E30/(E30+H30))</f>
        <v>0.532767925983038</v>
      </c>
      <c r="L30" s="70" t="n">
        <f aca="false">IF(OR(K30="",J30=""),"",(J30-K30)*100)</f>
        <v>-2.08442375887612</v>
      </c>
      <c r="M30" s="36" t="n">
        <v>2.15854184063309</v>
      </c>
      <c r="N30" s="36" t="n">
        <v>2.13726273724932</v>
      </c>
      <c r="O30" s="36" t="n">
        <f aca="false">SQRT(M30^2+N30^2)</f>
        <v>3.03762981381836</v>
      </c>
      <c r="P30" s="40" t="n">
        <f aca="false">IF(J30="","",MAX(0,J30-1.96*O30/100))</f>
        <v>0.452386144043437</v>
      </c>
      <c r="Q30" s="40" t="n">
        <f aca="false">IF(J30="","",MIN(1,J30+1.96*O30/100))</f>
        <v>0.571461232745116</v>
      </c>
      <c r="R30" s="32" t="str">
        <f aca="false">IF(L30="","",IF(ABS(L30)&lt;=O30,"Yes","No"))</f>
        <v>Yes</v>
      </c>
      <c r="S30" s="32" t="str">
        <f aca="false">IF(L30="","",IF(ABS(L30)&lt;=1.96*O30,"Yes","No"))</f>
        <v>Yes</v>
      </c>
      <c r="T30" s="60" t="n">
        <f aca="false">IF(D30="","",ROUND(SQRT(((D30+G30)*O30/100)^2+(J30*(D30+G30)*0.03811)^2),0))</f>
        <v>45</v>
      </c>
      <c r="U30" s="32"/>
    </row>
    <row r="31" customFormat="false" ht="15" hidden="false" customHeight="false" outlineLevel="0" collapsed="false">
      <c r="A31" s="32" t="s">
        <v>192</v>
      </c>
      <c r="B31" s="32" t="s">
        <v>199</v>
      </c>
      <c r="C31" s="32" t="s">
        <v>164</v>
      </c>
      <c r="D31" s="60" t="n">
        <v>2460</v>
      </c>
      <c r="E31" s="60" t="n">
        <v>2834</v>
      </c>
      <c r="F31" s="69" t="n">
        <f aca="false">IF(E31="","",D31-E31)</f>
        <v>-374</v>
      </c>
      <c r="G31" s="60" t="n">
        <v>2253</v>
      </c>
      <c r="H31" s="60" t="n">
        <v>2250</v>
      </c>
      <c r="I31" s="69" t="n">
        <f aca="false">IF(H31="","",G31-H31)</f>
        <v>3</v>
      </c>
      <c r="J31" s="40" t="n">
        <f aca="false">IF(OR(D31="",D31+G31=0),"",D31/(D31+G31))</f>
        <v>0.52196053469128</v>
      </c>
      <c r="K31" s="40" t="n">
        <f aca="false">IF(E31="","",E31/(E31+H31))</f>
        <v>0.557435090479937</v>
      </c>
      <c r="L31" s="70" t="n">
        <f aca="false">IF(OR(K31="",J31=""),"",(J31-K31)*100)</f>
        <v>-3.54745557886577</v>
      </c>
      <c r="M31" s="36" t="n">
        <v>1.47054296090828</v>
      </c>
      <c r="N31" s="36" t="n">
        <v>2.13726273724932</v>
      </c>
      <c r="O31" s="36" t="n">
        <f aca="false">SQRT(M31^2+N31^2)</f>
        <v>2.59429925180411</v>
      </c>
      <c r="P31" s="40" t="n">
        <f aca="false">IF(J31="","",MAX(0,J31-1.96*O31/100))</f>
        <v>0.471112269355919</v>
      </c>
      <c r="Q31" s="40" t="n">
        <f aca="false">IF(J31="","",MIN(1,J31+1.96*O31/100))</f>
        <v>0.57280880002664</v>
      </c>
      <c r="R31" s="32" t="str">
        <f aca="false">IF(L31="","",IF(ABS(L31)&lt;=O31,"Yes","No"))</f>
        <v>No</v>
      </c>
      <c r="S31" s="32" t="str">
        <f aca="false">IF(L31="","",IF(ABS(L31)&lt;=1.96*O31,"Yes","No"))</f>
        <v>Yes</v>
      </c>
      <c r="T31" s="60" t="n">
        <f aca="false">IF(D31="","",ROUND(SQRT(((D31+G31)*O31/100)^2+(J31*(D31+G31)*0.02225)^2),0))</f>
        <v>134</v>
      </c>
      <c r="U31" s="32"/>
    </row>
    <row r="32" customFormat="false" ht="15" hidden="false" customHeight="false" outlineLevel="0" collapsed="false">
      <c r="A32" s="32" t="s">
        <v>192</v>
      </c>
      <c r="B32" s="32" t="s">
        <v>200</v>
      </c>
      <c r="C32" s="32" t="s">
        <v>164</v>
      </c>
      <c r="D32" s="60" t="n">
        <v>980</v>
      </c>
      <c r="E32" s="60" t="n">
        <v>1070</v>
      </c>
      <c r="F32" s="69" t="n">
        <f aca="false">IF(E32="","",D32-E32)</f>
        <v>-90</v>
      </c>
      <c r="G32" s="60" t="n">
        <v>635</v>
      </c>
      <c r="H32" s="60" t="n">
        <v>479</v>
      </c>
      <c r="I32" s="69" t="n">
        <f aca="false">IF(H32="","",G32-H32)</f>
        <v>156</v>
      </c>
      <c r="J32" s="40" t="n">
        <f aca="false">IF(OR(D32="",D32+G32=0),"",D32/(D32+G32))</f>
        <v>0.606811145510836</v>
      </c>
      <c r="K32" s="40" t="n">
        <f aca="false">IF(E32="","",E32/(E32+H32))</f>
        <v>0.690768237572628</v>
      </c>
      <c r="L32" s="70" t="n">
        <f aca="false">IF(OR(K32="",J32=""),"",(J32-K32)*100)</f>
        <v>-8.39570920617916</v>
      </c>
      <c r="M32" s="36" t="n">
        <v>2.15854184063309</v>
      </c>
      <c r="N32" s="36" t="n">
        <v>2.13726273724932</v>
      </c>
      <c r="O32" s="36" t="n">
        <f aca="false">SQRT(M32^2+N32^2)</f>
        <v>3.03762981381836</v>
      </c>
      <c r="P32" s="40" t="n">
        <f aca="false">IF(J32="","",MAX(0,J32-1.96*O32/100))</f>
        <v>0.547273601159996</v>
      </c>
      <c r="Q32" s="40" t="n">
        <f aca="false">IF(J32="","",MIN(1,J32+1.96*O32/100))</f>
        <v>0.666348689861676</v>
      </c>
      <c r="R32" s="32" t="str">
        <f aca="false">IF(L32="","",IF(ABS(L32)&lt;=O32,"Yes","No"))</f>
        <v>No</v>
      </c>
      <c r="S32" s="32" t="str">
        <f aca="false">IF(L32="","",IF(ABS(L32)&lt;=1.96*O32,"Yes","No"))</f>
        <v>No</v>
      </c>
      <c r="T32" s="60" t="n">
        <f aca="false">IF(D32="","",ROUND(SQRT(((D32+G32)*O32/100)^2+(J32*(D32+G32)*0.03811)^2),0))</f>
        <v>62</v>
      </c>
      <c r="U32" s="32"/>
    </row>
    <row r="33" customFormat="false" ht="15" hidden="false" customHeight="false" outlineLevel="0" collapsed="false">
      <c r="A33" s="32" t="s">
        <v>192</v>
      </c>
      <c r="B33" s="32" t="s">
        <v>201</v>
      </c>
      <c r="C33" s="32" t="s">
        <v>164</v>
      </c>
      <c r="D33" s="60" t="n">
        <v>259</v>
      </c>
      <c r="E33" s="60" t="n">
        <v>262</v>
      </c>
      <c r="F33" s="69" t="n">
        <f aca="false">IF(E33="","",D33-E33)</f>
        <v>-3</v>
      </c>
      <c r="G33" s="60" t="n">
        <v>230</v>
      </c>
      <c r="H33" s="60" t="n">
        <v>205</v>
      </c>
      <c r="I33" s="69" t="n">
        <f aca="false">IF(H33="","",G33-H33)</f>
        <v>25</v>
      </c>
      <c r="J33" s="40" t="n">
        <f aca="false">IF(OR(D33="",D33+G33=0),"",D33/(D33+G33))</f>
        <v>0.529652351738241</v>
      </c>
      <c r="K33" s="40" t="n">
        <f aca="false">IF(E33="","",E33/(E33+H33))</f>
        <v>0.561027837259101</v>
      </c>
      <c r="L33" s="70" t="n">
        <f aca="false">IF(OR(K33="",J33=""),"",(J33-K33)*100)</f>
        <v>-3.13754855208593</v>
      </c>
      <c r="M33" s="36" t="n">
        <v>3.25169568046603</v>
      </c>
      <c r="N33" s="36" t="n">
        <v>2.13726273724932</v>
      </c>
      <c r="O33" s="36" t="n">
        <f aca="false">SQRT(M33^2+N33^2)</f>
        <v>3.89119734868278</v>
      </c>
      <c r="P33" s="40" t="n">
        <f aca="false">IF(J33="","",MAX(0,J33-1.96*O33/100))</f>
        <v>0.453384883704059</v>
      </c>
      <c r="Q33" s="40" t="n">
        <f aca="false">IF(J33="","",MIN(1,J33+1.96*O33/100))</f>
        <v>0.605919819772424</v>
      </c>
      <c r="R33" s="32" t="str">
        <f aca="false">IF(L33="","",IF(ABS(L33)&lt;=O33,"Yes","No"))</f>
        <v>Yes</v>
      </c>
      <c r="S33" s="32" t="str">
        <f aca="false">IF(L33="","",IF(ABS(L33)&lt;=1.96*O33,"Yes","No"))</f>
        <v>Yes</v>
      </c>
      <c r="T33" s="60" t="n">
        <f aca="false">IF(D33="","",ROUND(SQRT(((D33+G33)*O33/100)^2+(J33*(D33+G33)*0.0534)^2),0))</f>
        <v>24</v>
      </c>
      <c r="U33" s="32"/>
    </row>
    <row r="34" customFormat="false" ht="15" hidden="false" customHeight="false" outlineLevel="0" collapsed="false">
      <c r="A34" s="32" t="s">
        <v>192</v>
      </c>
      <c r="B34" s="32" t="s">
        <v>202</v>
      </c>
      <c r="C34" s="32" t="s">
        <v>164</v>
      </c>
      <c r="D34" s="60" t="n">
        <v>482</v>
      </c>
      <c r="E34" s="60" t="n">
        <v>532</v>
      </c>
      <c r="F34" s="69" t="n">
        <f aca="false">IF(E34="","",D34-E34)</f>
        <v>-50</v>
      </c>
      <c r="G34" s="60" t="n">
        <v>991</v>
      </c>
      <c r="H34" s="60" t="n">
        <v>1068</v>
      </c>
      <c r="I34" s="69" t="n">
        <f aca="false">IF(H34="","",G34-H34)</f>
        <v>-77</v>
      </c>
      <c r="J34" s="40" t="n">
        <f aca="false">IF(OR(D34="",D34+G34=0),"",D34/(D34+G34))</f>
        <v>0.327223353699932</v>
      </c>
      <c r="K34" s="40" t="n">
        <f aca="false">IF(E34="","",E34/(E34+H34))</f>
        <v>0.3325</v>
      </c>
      <c r="L34" s="70" t="n">
        <f aca="false">IF(OR(K34="",J34=""),"",(J34-K34)*100)</f>
        <v>-0.527664630006791</v>
      </c>
      <c r="M34" s="36" t="n">
        <v>2.15854184063309</v>
      </c>
      <c r="N34" s="36" t="n">
        <v>2.13726273724932</v>
      </c>
      <c r="O34" s="36" t="n">
        <f aca="false">SQRT(M34^2+N34^2)</f>
        <v>3.03762981381836</v>
      </c>
      <c r="P34" s="40" t="n">
        <f aca="false">IF(J34="","",MAX(0,J34-1.96*O34/100))</f>
        <v>0.267685809349092</v>
      </c>
      <c r="Q34" s="40" t="n">
        <f aca="false">IF(J34="","",MIN(1,J34+1.96*O34/100))</f>
        <v>0.386760898050772</v>
      </c>
      <c r="R34" s="32" t="str">
        <f aca="false">IF(L34="","",IF(ABS(L34)&lt;=O34,"Yes","No"))</f>
        <v>Yes</v>
      </c>
      <c r="S34" s="32" t="str">
        <f aca="false">IF(L34="","",IF(ABS(L34)&lt;=1.96*O34,"Yes","No"))</f>
        <v>Yes</v>
      </c>
      <c r="T34" s="60" t="n">
        <f aca="false">IF(D34="","",ROUND(SQRT(((D34+G34)*O34/100)^2+(J34*(D34+G34)*0.03811)^2),0))</f>
        <v>48</v>
      </c>
      <c r="U34" s="32"/>
    </row>
    <row r="35" customFormat="false" ht="15" hidden="false" customHeight="false" outlineLevel="0" collapsed="false">
      <c r="A35" s="32" t="s">
        <v>192</v>
      </c>
      <c r="B35" s="32" t="s">
        <v>203</v>
      </c>
      <c r="C35" s="32" t="s">
        <v>164</v>
      </c>
      <c r="D35" s="60" t="n">
        <v>7576</v>
      </c>
      <c r="E35" s="60" t="n">
        <v>8358</v>
      </c>
      <c r="F35" s="69" t="n">
        <f aca="false">IF(E35="","",D35-E35)</f>
        <v>-782</v>
      </c>
      <c r="G35" s="60" t="n">
        <v>7486</v>
      </c>
      <c r="H35" s="60" t="n">
        <v>7595</v>
      </c>
      <c r="I35" s="69" t="n">
        <f aca="false">IF(H35="","",G35-H35)</f>
        <v>-109</v>
      </c>
      <c r="J35" s="40" t="n">
        <f aca="false">IF(OR(D35="",D35+G35=0),"",D35/(D35+G35))</f>
        <v>0.502987651042358</v>
      </c>
      <c r="K35" s="40" t="n">
        <f aca="false">IF(E35="","",E35/(E35+H35))</f>
        <v>0.523913997367266</v>
      </c>
      <c r="L35" s="70" t="n">
        <f aca="false">IF(OR(K35="",J35=""),"",(J35-K35)*100)</f>
        <v>-2.09263463249081</v>
      </c>
      <c r="M35" s="36" t="n">
        <v>1.47054296090828</v>
      </c>
      <c r="N35" s="36" t="n">
        <v>2.13726273724932</v>
      </c>
      <c r="O35" s="36" t="n">
        <f aca="false">SQRT(M35^2+N35^2)</f>
        <v>2.59429925180411</v>
      </c>
      <c r="P35" s="40" t="n">
        <f aca="false">IF(J35="","",MAX(0,J35-1.96*O35/100))</f>
        <v>0.452139385706998</v>
      </c>
      <c r="Q35" s="40" t="n">
        <f aca="false">IF(J35="","",MIN(1,J35+1.96*O35/100))</f>
        <v>0.553835916377719</v>
      </c>
      <c r="R35" s="32" t="str">
        <f aca="false">IF(L35="","",IF(ABS(L35)&lt;=O35,"Yes","No"))</f>
        <v>Yes</v>
      </c>
      <c r="S35" s="32" t="str">
        <f aca="false">IF(L35="","",IF(ABS(L35)&lt;=1.96*O35,"Yes","No"))</f>
        <v>Yes</v>
      </c>
      <c r="T35" s="60" t="n">
        <f aca="false">IF(D35="","",ROUND(SQRT(((D35+G35)*O35/100)^2+(J35*(D35+G35)*0.02225)^2),0))</f>
        <v>426</v>
      </c>
      <c r="U35" s="32"/>
    </row>
    <row r="36" customFormat="false" ht="15" hidden="false" customHeight="false" outlineLevel="0" collapsed="false">
      <c r="A36" s="32" t="s">
        <v>192</v>
      </c>
      <c r="B36" s="32" t="s">
        <v>204</v>
      </c>
      <c r="C36" s="32" t="s">
        <v>164</v>
      </c>
      <c r="D36" s="60" t="n">
        <v>753</v>
      </c>
      <c r="E36" s="60" t="n">
        <v>850</v>
      </c>
      <c r="F36" s="69" t="n">
        <f aca="false">IF(E36="","",D36-E36)</f>
        <v>-97</v>
      </c>
      <c r="G36" s="60" t="n">
        <v>1259</v>
      </c>
      <c r="H36" s="60" t="n">
        <v>1311</v>
      </c>
      <c r="I36" s="69" t="n">
        <f aca="false">IF(H36="","",G36-H36)</f>
        <v>-52</v>
      </c>
      <c r="J36" s="40" t="n">
        <f aca="false">IF(OR(D36="",D36+G36=0),"",D36/(D36+G36))</f>
        <v>0.374254473161034</v>
      </c>
      <c r="K36" s="40" t="n">
        <f aca="false">IF(E36="","",E36/(E36+H36))</f>
        <v>0.39333641832485</v>
      </c>
      <c r="L36" s="70" t="n">
        <f aca="false">IF(OR(K36="",J36=""),"",(J36-K36)*100)</f>
        <v>-1.90819451638158</v>
      </c>
      <c r="M36" s="36" t="n">
        <v>2.15854184063309</v>
      </c>
      <c r="N36" s="36" t="n">
        <v>2.13726273724932</v>
      </c>
      <c r="O36" s="36" t="n">
        <f aca="false">SQRT(M36^2+N36^2)</f>
        <v>3.03762981381836</v>
      </c>
      <c r="P36" s="40" t="n">
        <f aca="false">IF(J36="","",MAX(0,J36-1.96*O36/100))</f>
        <v>0.314716928810194</v>
      </c>
      <c r="Q36" s="40" t="n">
        <f aca="false">IF(J36="","",MIN(1,J36+1.96*O36/100))</f>
        <v>0.433792017511874</v>
      </c>
      <c r="R36" s="32" t="str">
        <f aca="false">IF(L36="","",IF(ABS(L36)&lt;=O36,"Yes","No"))</f>
        <v>Yes</v>
      </c>
      <c r="S36" s="32" t="str">
        <f aca="false">IF(L36="","",IF(ABS(L36)&lt;=1.96*O36,"Yes","No"))</f>
        <v>Yes</v>
      </c>
      <c r="T36" s="60" t="n">
        <f aca="false">IF(D36="","",ROUND(SQRT(((D36+G36)*O36/100)^2+(J36*(D36+G36)*0.03811)^2),0))</f>
        <v>68</v>
      </c>
      <c r="U36" s="32"/>
    </row>
    <row r="37" customFormat="false" ht="15" hidden="false" customHeight="false" outlineLevel="0" collapsed="false">
      <c r="A37" s="32" t="s">
        <v>192</v>
      </c>
      <c r="B37" s="32" t="s">
        <v>205</v>
      </c>
      <c r="C37" s="32" t="s">
        <v>164</v>
      </c>
      <c r="D37" s="60" t="n">
        <v>428</v>
      </c>
      <c r="E37" s="60" t="n">
        <v>457</v>
      </c>
      <c r="F37" s="69" t="n">
        <f aca="false">IF(E37="","",D37-E37)</f>
        <v>-29</v>
      </c>
      <c r="G37" s="60" t="n">
        <v>750</v>
      </c>
      <c r="H37" s="60" t="n">
        <v>760</v>
      </c>
      <c r="I37" s="69" t="n">
        <f aca="false">IF(H37="","",G37-H37)</f>
        <v>-10</v>
      </c>
      <c r="J37" s="40" t="n">
        <f aca="false">IF(OR(D37="",D37+G37=0),"",D37/(D37+G37))</f>
        <v>0.363327674023769</v>
      </c>
      <c r="K37" s="40" t="n">
        <f aca="false">IF(E37="","",E37/(E37+H37))</f>
        <v>0.375513557929334</v>
      </c>
      <c r="L37" s="70" t="n">
        <f aca="false">IF(OR(K37="",J37=""),"",(J37-K37)*100)</f>
        <v>-1.21858839055654</v>
      </c>
      <c r="M37" s="36" t="n">
        <v>2.15854184063309</v>
      </c>
      <c r="N37" s="36" t="n">
        <v>2.13726273724932</v>
      </c>
      <c r="O37" s="36" t="n">
        <f aca="false">SQRT(M37^2+N37^2)</f>
        <v>3.03762981381836</v>
      </c>
      <c r="P37" s="40" t="n">
        <f aca="false">IF(J37="","",MAX(0,J37-1.96*O37/100))</f>
        <v>0.303790129672929</v>
      </c>
      <c r="Q37" s="40" t="n">
        <f aca="false">IF(J37="","",MIN(1,J37+1.96*O37/100))</f>
        <v>0.422865218374609</v>
      </c>
      <c r="R37" s="32" t="str">
        <f aca="false">IF(L37="","",IF(ABS(L37)&lt;=O37,"Yes","No"))</f>
        <v>Yes</v>
      </c>
      <c r="S37" s="32" t="str">
        <f aca="false">IF(L37="","",IF(ABS(L37)&lt;=1.96*O37,"Yes","No"))</f>
        <v>Yes</v>
      </c>
      <c r="T37" s="60" t="n">
        <f aca="false">IF(D37="","",ROUND(SQRT(((D37+G37)*O37/100)^2+(J37*(D37+G37)*0.03811)^2),0))</f>
        <v>39</v>
      </c>
      <c r="U37" s="32"/>
    </row>
    <row r="38" customFormat="false" ht="15" hidden="false" customHeight="false" outlineLevel="0" collapsed="false">
      <c r="A38" s="32" t="s">
        <v>192</v>
      </c>
      <c r="B38" s="32" t="s">
        <v>206</v>
      </c>
      <c r="C38" s="32" t="s">
        <v>164</v>
      </c>
      <c r="D38" s="60" t="n">
        <v>663</v>
      </c>
      <c r="E38" s="60" t="n">
        <v>719</v>
      </c>
      <c r="F38" s="69" t="n">
        <f aca="false">IF(E38="","",D38-E38)</f>
        <v>-56</v>
      </c>
      <c r="G38" s="60" t="n">
        <v>1329</v>
      </c>
      <c r="H38" s="60" t="n">
        <v>1434</v>
      </c>
      <c r="I38" s="69" t="n">
        <f aca="false">IF(H38="","",G38-H38)</f>
        <v>-105</v>
      </c>
      <c r="J38" s="40" t="n">
        <f aca="false">IF(OR(D38="",D38+G38=0),"",D38/(D38+G38))</f>
        <v>0.332831325301205</v>
      </c>
      <c r="K38" s="40" t="n">
        <f aca="false">IF(E38="","",E38/(E38+H38))</f>
        <v>0.333952624245239</v>
      </c>
      <c r="L38" s="70" t="n">
        <f aca="false">IF(OR(K38="",J38=""),"",(J38-K38)*100)</f>
        <v>-0.11212989440344</v>
      </c>
      <c r="M38" s="36" t="n">
        <v>2.15854184063309</v>
      </c>
      <c r="N38" s="36" t="n">
        <v>2.13726273724932</v>
      </c>
      <c r="O38" s="36" t="n">
        <f aca="false">SQRT(M38^2+N38^2)</f>
        <v>3.03762981381836</v>
      </c>
      <c r="P38" s="40" t="n">
        <f aca="false">IF(J38="","",MAX(0,J38-1.96*O38/100))</f>
        <v>0.273293780950365</v>
      </c>
      <c r="Q38" s="40" t="n">
        <f aca="false">IF(J38="","",MIN(1,J38+1.96*O38/100))</f>
        <v>0.392368869652045</v>
      </c>
      <c r="R38" s="32" t="str">
        <f aca="false">IF(L38="","",IF(ABS(L38)&lt;=O38,"Yes","No"))</f>
        <v>Yes</v>
      </c>
      <c r="S38" s="32" t="str">
        <f aca="false">IF(L38="","",IF(ABS(L38)&lt;=1.96*O38,"Yes","No"))</f>
        <v>Yes</v>
      </c>
      <c r="T38" s="60" t="n">
        <f aca="false">IF(D38="","",ROUND(SQRT(((D38+G38)*O38/100)^2+(J38*(D38+G38)*0.03811)^2),0))</f>
        <v>66</v>
      </c>
      <c r="U38" s="32"/>
    </row>
    <row r="39" customFormat="false" ht="15" hidden="false" customHeight="false" outlineLevel="0" collapsed="false">
      <c r="A39" s="32" t="s">
        <v>192</v>
      </c>
      <c r="B39" s="32" t="s">
        <v>207</v>
      </c>
      <c r="C39" s="32" t="s">
        <v>164</v>
      </c>
      <c r="D39" s="60" t="n">
        <v>689</v>
      </c>
      <c r="E39" s="60" t="n">
        <v>788</v>
      </c>
      <c r="F39" s="69" t="n">
        <f aca="false">IF(E39="","",D39-E39)</f>
        <v>-99</v>
      </c>
      <c r="G39" s="60" t="n">
        <v>656</v>
      </c>
      <c r="H39" s="60" t="n">
        <v>628</v>
      </c>
      <c r="I39" s="69" t="n">
        <f aca="false">IF(H39="","",G39-H39)</f>
        <v>28</v>
      </c>
      <c r="J39" s="40" t="n">
        <f aca="false">IF(OR(D39="",D39+G39=0),"",D39/(D39+G39))</f>
        <v>0.512267657992565</v>
      </c>
      <c r="K39" s="40" t="n">
        <f aca="false">IF(E39="","",E39/(E39+H39))</f>
        <v>0.556497175141243</v>
      </c>
      <c r="L39" s="70" t="n">
        <f aca="false">IF(OR(K39="",J39=""),"",(J39-K39)*100)</f>
        <v>-4.4229517148678</v>
      </c>
      <c r="M39" s="36" t="n">
        <v>2.15854184063309</v>
      </c>
      <c r="N39" s="36" t="n">
        <v>2.13726273724932</v>
      </c>
      <c r="O39" s="36" t="n">
        <f aca="false">SQRT(M39^2+N39^2)</f>
        <v>3.03762981381836</v>
      </c>
      <c r="P39" s="40" t="n">
        <f aca="false">IF(J39="","",MAX(0,J39-1.96*O39/100))</f>
        <v>0.452730113641725</v>
      </c>
      <c r="Q39" s="40" t="n">
        <f aca="false">IF(J39="","",MIN(1,J39+1.96*O39/100))</f>
        <v>0.571805202343405</v>
      </c>
      <c r="R39" s="32" t="str">
        <f aca="false">IF(L39="","",IF(ABS(L39)&lt;=O39,"Yes","No"))</f>
        <v>No</v>
      </c>
      <c r="S39" s="32" t="str">
        <f aca="false">IF(L39="","",IF(ABS(L39)&lt;=1.96*O39,"Yes","No"))</f>
        <v>Yes</v>
      </c>
      <c r="T39" s="60" t="n">
        <f aca="false">IF(D39="","",ROUND(SQRT(((D39+G39)*O39/100)^2+(J39*(D39+G39)*0.03811)^2),0))</f>
        <v>49</v>
      </c>
      <c r="U39" s="32"/>
    </row>
    <row r="40" customFormat="false" ht="15" hidden="false" customHeight="false" outlineLevel="0" collapsed="false">
      <c r="A40" s="32" t="s">
        <v>192</v>
      </c>
      <c r="B40" s="32" t="s">
        <v>208</v>
      </c>
      <c r="C40" s="32" t="s">
        <v>164</v>
      </c>
      <c r="D40" s="60" t="n">
        <v>2964</v>
      </c>
      <c r="E40" s="60" t="n">
        <v>3255</v>
      </c>
      <c r="F40" s="69" t="n">
        <f aca="false">IF(E40="","",D40-E40)</f>
        <v>-291</v>
      </c>
      <c r="G40" s="60" t="n">
        <v>4054</v>
      </c>
      <c r="H40" s="60" t="n">
        <v>4462</v>
      </c>
      <c r="I40" s="69" t="n">
        <f aca="false">IF(H40="","",G40-H40)</f>
        <v>-408</v>
      </c>
      <c r="J40" s="40" t="n">
        <f aca="false">IF(OR(D40="",D40+G40=0),"",D40/(D40+G40))</f>
        <v>0.422342547734397</v>
      </c>
      <c r="K40" s="40" t="n">
        <f aca="false">IF(E40="","",E40/(E40+H40))</f>
        <v>0.421796034728521</v>
      </c>
      <c r="L40" s="70" t="n">
        <f aca="false">IF(OR(K40="",J40=""),"",(J40-K40)*100)</f>
        <v>0.0546513005875826</v>
      </c>
      <c r="M40" s="36" t="n">
        <v>1.47054296090828</v>
      </c>
      <c r="N40" s="36" t="n">
        <v>2.13726273724932</v>
      </c>
      <c r="O40" s="36" t="n">
        <f aca="false">SQRT(M40^2+N40^2)</f>
        <v>2.59429925180411</v>
      </c>
      <c r="P40" s="40" t="n">
        <f aca="false">IF(J40="","",MAX(0,J40-1.96*O40/100))</f>
        <v>0.371494282399037</v>
      </c>
      <c r="Q40" s="40" t="n">
        <f aca="false">IF(J40="","",MIN(1,J40+1.96*O40/100))</f>
        <v>0.473190813069758</v>
      </c>
      <c r="R40" s="32" t="str">
        <f aca="false">IF(L40="","",IF(ABS(L40)&lt;=O40,"Yes","No"))</f>
        <v>Yes</v>
      </c>
      <c r="S40" s="32" t="str">
        <f aca="false">IF(L40="","",IF(ABS(L40)&lt;=1.96*O40,"Yes","No"))</f>
        <v>Yes</v>
      </c>
      <c r="T40" s="60" t="n">
        <f aca="false">IF(D40="","",ROUND(SQRT(((D40+G40)*O40/100)^2+(J40*(D40+G40)*0.02225)^2),0))</f>
        <v>194</v>
      </c>
      <c r="U40" s="32"/>
    </row>
    <row r="41" customFormat="false" ht="15" hidden="false" customHeight="false" outlineLevel="0" collapsed="false">
      <c r="A41" s="32" t="s">
        <v>192</v>
      </c>
      <c r="B41" s="32" t="s">
        <v>209</v>
      </c>
      <c r="C41" s="32" t="s">
        <v>164</v>
      </c>
      <c r="D41" s="60" t="n">
        <v>3056</v>
      </c>
      <c r="E41" s="60" t="n">
        <v>3239</v>
      </c>
      <c r="F41" s="69" t="n">
        <f aca="false">IF(E41="","",D41-E41)</f>
        <v>-183</v>
      </c>
      <c r="G41" s="60" t="n">
        <v>2967</v>
      </c>
      <c r="H41" s="60" t="n">
        <v>3129</v>
      </c>
      <c r="I41" s="69" t="n">
        <f aca="false">IF(H41="","",G41-H41)</f>
        <v>-162</v>
      </c>
      <c r="J41" s="40" t="n">
        <f aca="false">IF(OR(D41="",D41+G41=0),"",D41/(D41+G41))</f>
        <v>0.507388344678732</v>
      </c>
      <c r="K41" s="40" t="n">
        <f aca="false">IF(E41="","",E41/(E41+H41))</f>
        <v>0.508636934673367</v>
      </c>
      <c r="L41" s="70" t="n">
        <f aca="false">IF(OR(K41="",J41=""),"",(J41-K41)*100)</f>
        <v>-0.124858999463529</v>
      </c>
      <c r="M41" s="36" t="n">
        <v>1.47054296090828</v>
      </c>
      <c r="N41" s="36" t="n">
        <v>2.13726273724932</v>
      </c>
      <c r="O41" s="36" t="n">
        <f aca="false">SQRT(M41^2+N41^2)</f>
        <v>2.59429925180411</v>
      </c>
      <c r="P41" s="40" t="n">
        <f aca="false">IF(J41="","",MAX(0,J41-1.96*O41/100))</f>
        <v>0.456540079343371</v>
      </c>
      <c r="Q41" s="40" t="n">
        <f aca="false">IF(J41="","",MIN(1,J41+1.96*O41/100))</f>
        <v>0.558236610014092</v>
      </c>
      <c r="R41" s="32" t="str">
        <f aca="false">IF(L41="","",IF(ABS(L41)&lt;=O41,"Yes","No"))</f>
        <v>Yes</v>
      </c>
      <c r="S41" s="32" t="str">
        <f aca="false">IF(L41="","",IF(ABS(L41)&lt;=1.96*O41,"Yes","No"))</f>
        <v>Yes</v>
      </c>
      <c r="T41" s="60" t="n">
        <f aca="false">IF(D41="","",ROUND(SQRT(((D41+G41)*O41/100)^2+(J41*(D41+G41)*0.02225)^2),0))</f>
        <v>170</v>
      </c>
      <c r="U41" s="32"/>
    </row>
    <row r="42" customFormat="false" ht="15" hidden="false" customHeight="false" outlineLevel="0" collapsed="false">
      <c r="A42" s="32" t="s">
        <v>192</v>
      </c>
      <c r="B42" s="32" t="s">
        <v>210</v>
      </c>
      <c r="C42" s="32" t="s">
        <v>164</v>
      </c>
      <c r="D42" s="60" t="n">
        <v>553</v>
      </c>
      <c r="E42" s="60" t="n">
        <v>611</v>
      </c>
      <c r="F42" s="69" t="n">
        <f aca="false">IF(E42="","",D42-E42)</f>
        <v>-58</v>
      </c>
      <c r="G42" s="60" t="n">
        <v>760</v>
      </c>
      <c r="H42" s="60" t="n">
        <v>740</v>
      </c>
      <c r="I42" s="69" t="n">
        <f aca="false">IF(H42="","",G42-H42)</f>
        <v>20</v>
      </c>
      <c r="J42" s="40" t="n">
        <f aca="false">IF(OR(D42="",D42+G42=0),"",D42/(D42+G42))</f>
        <v>0.421172886519421</v>
      </c>
      <c r="K42" s="40" t="n">
        <f aca="false">IF(E42="","",E42/(E42+H42))</f>
        <v>0.452257586972613</v>
      </c>
      <c r="L42" s="70" t="n">
        <f aca="false">IF(OR(K42="",J42=""),"",(J42-K42)*100)</f>
        <v>-3.10847004531917</v>
      </c>
      <c r="M42" s="36" t="n">
        <v>2.15854184063309</v>
      </c>
      <c r="N42" s="36" t="n">
        <v>2.13726273724932</v>
      </c>
      <c r="O42" s="36" t="n">
        <f aca="false">SQRT(M42^2+N42^2)</f>
        <v>3.03762981381836</v>
      </c>
      <c r="P42" s="40" t="n">
        <f aca="false">IF(J42="","",MAX(0,J42-1.96*O42/100))</f>
        <v>0.361635342168581</v>
      </c>
      <c r="Q42" s="40" t="n">
        <f aca="false">IF(J42="","",MIN(1,J42+1.96*O42/100))</f>
        <v>0.480710430870261</v>
      </c>
      <c r="R42" s="32" t="str">
        <f aca="false">IF(L42="","",IF(ABS(L42)&lt;=O42,"Yes","No"))</f>
        <v>No</v>
      </c>
      <c r="S42" s="32" t="str">
        <f aca="false">IF(L42="","",IF(ABS(L42)&lt;=1.96*O42,"Yes","No"))</f>
        <v>Yes</v>
      </c>
      <c r="T42" s="60" t="n">
        <f aca="false">IF(D42="","",ROUND(SQRT(((D42+G42)*O42/100)^2+(J42*(D42+G42)*0.03811)^2),0))</f>
        <v>45</v>
      </c>
      <c r="U42" s="32"/>
    </row>
    <row r="43" customFormat="false" ht="15" hidden="false" customHeight="false" outlineLevel="0" collapsed="false">
      <c r="A43" s="32" t="s">
        <v>192</v>
      </c>
      <c r="B43" s="32" t="s">
        <v>211</v>
      </c>
      <c r="C43" s="32" t="s">
        <v>164</v>
      </c>
      <c r="D43" s="60" t="n">
        <v>5067</v>
      </c>
      <c r="E43" s="60" t="n">
        <v>5699</v>
      </c>
      <c r="F43" s="69" t="n">
        <f aca="false">IF(E43="","",D43-E43)</f>
        <v>-632</v>
      </c>
      <c r="G43" s="60" t="n">
        <v>4592</v>
      </c>
      <c r="H43" s="60" t="n">
        <v>4420</v>
      </c>
      <c r="I43" s="69" t="n">
        <f aca="false">IF(H43="","",G43-H43)</f>
        <v>172</v>
      </c>
      <c r="J43" s="40" t="n">
        <f aca="false">IF(OR(D43="",D43+G43=0),"",D43/(D43+G43))</f>
        <v>0.524588466714981</v>
      </c>
      <c r="K43" s="40" t="n">
        <f aca="false">IF(E43="","",E43/(E43+H43))</f>
        <v>0.563197944460915</v>
      </c>
      <c r="L43" s="70" t="n">
        <f aca="false">IF(OR(K43="",J43=""),"",(J43-K43)*100)</f>
        <v>-3.86094777459343</v>
      </c>
      <c r="M43" s="36" t="n">
        <v>1.47054296090828</v>
      </c>
      <c r="N43" s="36" t="n">
        <v>2.13726273724932</v>
      </c>
      <c r="O43" s="36" t="n">
        <f aca="false">SQRT(M43^2+N43^2)</f>
        <v>2.59429925180411</v>
      </c>
      <c r="P43" s="40" t="n">
        <f aca="false">IF(J43="","",MAX(0,J43-1.96*O43/100))</f>
        <v>0.47374020137962</v>
      </c>
      <c r="Q43" s="40" t="n">
        <f aca="false">IF(J43="","",MIN(1,J43+1.96*O43/100))</f>
        <v>0.575436732050341</v>
      </c>
      <c r="R43" s="32" t="str">
        <f aca="false">IF(L43="","",IF(ABS(L43)&lt;=O43,"Yes","No"))</f>
        <v>No</v>
      </c>
      <c r="S43" s="32" t="str">
        <f aca="false">IF(L43="","",IF(ABS(L43)&lt;=1.96*O43,"Yes","No"))</f>
        <v>Yes</v>
      </c>
      <c r="T43" s="60" t="n">
        <f aca="false">IF(D43="","",ROUND(SQRT(((D43+G43)*O43/100)^2+(J43*(D43+G43)*0.02225)^2),0))</f>
        <v>275</v>
      </c>
      <c r="U43" s="32"/>
    </row>
    <row r="44" customFormat="false" ht="15" hidden="false" customHeight="false" outlineLevel="0" collapsed="false">
      <c r="A44" s="32" t="s">
        <v>192</v>
      </c>
      <c r="B44" s="32" t="s">
        <v>212</v>
      </c>
      <c r="C44" s="32" t="s">
        <v>164</v>
      </c>
      <c r="D44" s="60" t="n">
        <v>5602</v>
      </c>
      <c r="E44" s="60" t="n">
        <v>6009</v>
      </c>
      <c r="F44" s="69" t="n">
        <f aca="false">IF(E44="","",D44-E44)</f>
        <v>-407</v>
      </c>
      <c r="G44" s="60" t="n">
        <v>5199</v>
      </c>
      <c r="H44" s="60" t="n">
        <v>5257</v>
      </c>
      <c r="I44" s="69" t="n">
        <f aca="false">IF(H44="","",G44-H44)</f>
        <v>-58</v>
      </c>
      <c r="J44" s="40" t="n">
        <f aca="false">IF(OR(D44="",D44+G44=0),"",D44/(D44+G44))</f>
        <v>0.518655680029627</v>
      </c>
      <c r="K44" s="40" t="n">
        <f aca="false">IF(E44="","",E44/(E44+H44))</f>
        <v>0.533374755902716</v>
      </c>
      <c r="L44" s="70" t="n">
        <f aca="false">IF(OR(K44="",J44=""),"",(J44-K44)*100)</f>
        <v>-1.47190758730892</v>
      </c>
      <c r="M44" s="36" t="n">
        <v>1.47054296090828</v>
      </c>
      <c r="N44" s="36" t="n">
        <v>2.13726273724932</v>
      </c>
      <c r="O44" s="36" t="n">
        <f aca="false">SQRT(M44^2+N44^2)</f>
        <v>2.59429925180411</v>
      </c>
      <c r="P44" s="40" t="n">
        <f aca="false">IF(J44="","",MAX(0,J44-1.96*O44/100))</f>
        <v>0.467807414694266</v>
      </c>
      <c r="Q44" s="40" t="n">
        <f aca="false">IF(J44="","",MIN(1,J44+1.96*O44/100))</f>
        <v>0.569503945364987</v>
      </c>
      <c r="R44" s="32" t="str">
        <f aca="false">IF(L44="","",IF(ABS(L44)&lt;=O44,"Yes","No"))</f>
        <v>Yes</v>
      </c>
      <c r="S44" s="32" t="str">
        <f aca="false">IF(L44="","",IF(ABS(L44)&lt;=1.96*O44,"Yes","No"))</f>
        <v>Yes</v>
      </c>
      <c r="T44" s="60" t="n">
        <f aca="false">IF(D44="","",ROUND(SQRT(((D44+G44)*O44/100)^2+(J44*(D44+G44)*0.02225)^2),0))</f>
        <v>307</v>
      </c>
      <c r="U44" s="32"/>
    </row>
    <row r="45" customFormat="false" ht="15" hidden="false" customHeight="false" outlineLevel="0" collapsed="false">
      <c r="A45" s="32" t="s">
        <v>192</v>
      </c>
      <c r="B45" s="32" t="s">
        <v>213</v>
      </c>
      <c r="C45" s="32" t="s">
        <v>164</v>
      </c>
      <c r="D45" s="60" t="n">
        <v>1752</v>
      </c>
      <c r="E45" s="60" t="n">
        <v>2032</v>
      </c>
      <c r="F45" s="69" t="n">
        <f aca="false">IF(E45="","",D45-E45)</f>
        <v>-280</v>
      </c>
      <c r="G45" s="60" t="n">
        <v>2384</v>
      </c>
      <c r="H45" s="60" t="n">
        <v>2450</v>
      </c>
      <c r="I45" s="69" t="n">
        <f aca="false">IF(H45="","",G45-H45)</f>
        <v>-66</v>
      </c>
      <c r="J45" s="40" t="n">
        <f aca="false">IF(OR(D45="",D45+G45=0),"",D45/(D45+G45))</f>
        <v>0.423597678916828</v>
      </c>
      <c r="K45" s="40" t="n">
        <f aca="false">IF(E45="","",E45/(E45+H45))</f>
        <v>0.453369031682285</v>
      </c>
      <c r="L45" s="70" t="n">
        <f aca="false">IF(OR(K45="",J45=""),"",(J45-K45)*100)</f>
        <v>-2.97713527654568</v>
      </c>
      <c r="M45" s="36" t="n">
        <v>1.47054296090828</v>
      </c>
      <c r="N45" s="36" t="n">
        <v>2.13726273724932</v>
      </c>
      <c r="O45" s="36" t="n">
        <f aca="false">SQRT(M45^2+N45^2)</f>
        <v>2.59429925180411</v>
      </c>
      <c r="P45" s="40" t="n">
        <f aca="false">IF(J45="","",MAX(0,J45-1.96*O45/100))</f>
        <v>0.372749413581467</v>
      </c>
      <c r="Q45" s="40" t="n">
        <f aca="false">IF(J45="","",MIN(1,J45+1.96*O45/100))</f>
        <v>0.474445944252188</v>
      </c>
      <c r="R45" s="32" t="str">
        <f aca="false">IF(L45="","",IF(ABS(L45)&lt;=O45,"Yes","No"))</f>
        <v>No</v>
      </c>
      <c r="S45" s="32" t="str">
        <f aca="false">IF(L45="","",IF(ABS(L45)&lt;=1.96*O45,"Yes","No"))</f>
        <v>Yes</v>
      </c>
      <c r="T45" s="60" t="n">
        <f aca="false">IF(D45="","",ROUND(SQRT(((D45+G45)*O45/100)^2+(J45*(D45+G45)*0.02225)^2),0))</f>
        <v>114</v>
      </c>
      <c r="U45" s="32"/>
    </row>
    <row r="46" customFormat="false" ht="15" hidden="false" customHeight="false" outlineLevel="0" collapsed="false">
      <c r="A46" s="32" t="s">
        <v>192</v>
      </c>
      <c r="B46" s="32" t="s">
        <v>214</v>
      </c>
      <c r="C46" s="32" t="s">
        <v>164</v>
      </c>
      <c r="D46" s="60" t="n">
        <v>3905</v>
      </c>
      <c r="E46" s="60" t="n">
        <v>4406</v>
      </c>
      <c r="F46" s="69" t="n">
        <f aca="false">IF(E46="","",D46-E46)</f>
        <v>-501</v>
      </c>
      <c r="G46" s="60" t="n">
        <v>4184</v>
      </c>
      <c r="H46" s="60" t="n">
        <v>4369</v>
      </c>
      <c r="I46" s="69" t="n">
        <f aca="false">IF(H46="","",G46-H46)</f>
        <v>-185</v>
      </c>
      <c r="J46" s="40" t="n">
        <f aca="false">IF(OR(D46="",D46+G46=0),"",D46/(D46+G46))</f>
        <v>0.482754357769811</v>
      </c>
      <c r="K46" s="40" t="n">
        <f aca="false">IF(E46="","",E46/(E46+H46))</f>
        <v>0.502108262108262</v>
      </c>
      <c r="L46" s="70" t="n">
        <f aca="false">IF(OR(K46="",J46=""),"",(J46-K46)*100)</f>
        <v>-1.93539043384512</v>
      </c>
      <c r="M46" s="36" t="n">
        <v>1.47054296090828</v>
      </c>
      <c r="N46" s="36" t="n">
        <v>2.13726273724932</v>
      </c>
      <c r="O46" s="36" t="n">
        <f aca="false">SQRT(M46^2+N46^2)</f>
        <v>2.59429925180411</v>
      </c>
      <c r="P46" s="40" t="n">
        <f aca="false">IF(J46="","",MAX(0,J46-1.96*O46/100))</f>
        <v>0.43190609243445</v>
      </c>
      <c r="Q46" s="40" t="n">
        <f aca="false">IF(J46="","",MIN(1,J46+1.96*O46/100))</f>
        <v>0.533602623105171</v>
      </c>
      <c r="R46" s="32" t="str">
        <f aca="false">IF(L46="","",IF(ABS(L46)&lt;=O46,"Yes","No"))</f>
        <v>Yes</v>
      </c>
      <c r="S46" s="32" t="str">
        <f aca="false">IF(L46="","",IF(ABS(L46)&lt;=1.96*O46,"Yes","No"))</f>
        <v>Yes</v>
      </c>
      <c r="T46" s="60" t="n">
        <f aca="false">IF(D46="","",ROUND(SQRT(((D46+G46)*O46/100)^2+(J46*(D46+G46)*0.02225)^2),0))</f>
        <v>227</v>
      </c>
      <c r="U46" s="32"/>
    </row>
    <row r="47" customFormat="false" ht="15" hidden="false" customHeight="false" outlineLevel="0" collapsed="false">
      <c r="A47" s="32" t="s">
        <v>192</v>
      </c>
      <c r="B47" s="32" t="s">
        <v>215</v>
      </c>
      <c r="C47" s="32" t="s">
        <v>164</v>
      </c>
      <c r="D47" s="60" t="n">
        <v>898</v>
      </c>
      <c r="E47" s="60" t="n">
        <v>1054</v>
      </c>
      <c r="F47" s="69" t="n">
        <f aca="false">IF(E47="","",D47-E47)</f>
        <v>-156</v>
      </c>
      <c r="G47" s="60" t="n">
        <v>1755</v>
      </c>
      <c r="H47" s="60" t="n">
        <v>1952</v>
      </c>
      <c r="I47" s="69" t="n">
        <f aca="false">IF(H47="","",G47-H47)</f>
        <v>-197</v>
      </c>
      <c r="J47" s="40" t="n">
        <f aca="false">IF(OR(D47="",D47+G47=0),"",D47/(D47+G47))</f>
        <v>0.338484734263098</v>
      </c>
      <c r="K47" s="40" t="n">
        <f aca="false">IF(E47="","",E47/(E47+H47))</f>
        <v>0.350632069194943</v>
      </c>
      <c r="L47" s="70" t="n">
        <f aca="false">IF(OR(K47="",J47=""),"",(J47-K47)*100)</f>
        <v>-1.21473349318451</v>
      </c>
      <c r="M47" s="36" t="n">
        <v>1.47054296090828</v>
      </c>
      <c r="N47" s="36" t="n">
        <v>2.13726273724932</v>
      </c>
      <c r="O47" s="36" t="n">
        <f aca="false">SQRT(M47^2+N47^2)</f>
        <v>2.59429925180411</v>
      </c>
      <c r="P47" s="40" t="n">
        <f aca="false">IF(J47="","",MAX(0,J47-1.96*O47/100))</f>
        <v>0.287636468927738</v>
      </c>
      <c r="Q47" s="40" t="n">
        <f aca="false">IF(J47="","",MIN(1,J47+1.96*O47/100))</f>
        <v>0.389332999598459</v>
      </c>
      <c r="R47" s="32" t="str">
        <f aca="false">IF(L47="","",IF(ABS(L47)&lt;=O47,"Yes","No"))</f>
        <v>Yes</v>
      </c>
      <c r="S47" s="32" t="str">
        <f aca="false">IF(L47="","",IF(ABS(L47)&lt;=1.96*O47,"Yes","No"))</f>
        <v>Yes</v>
      </c>
      <c r="T47" s="60" t="n">
        <f aca="false">IF(D47="","",ROUND(SQRT(((D47+G47)*O47/100)^2+(J47*(D47+G47)*0.02225)^2),0))</f>
        <v>72</v>
      </c>
      <c r="U47" s="32"/>
    </row>
    <row r="48" customFormat="false" ht="15" hidden="false" customHeight="false" outlineLevel="0" collapsed="false">
      <c r="A48" s="32" t="s">
        <v>192</v>
      </c>
      <c r="B48" s="32" t="s">
        <v>216</v>
      </c>
      <c r="C48" s="32" t="s">
        <v>164</v>
      </c>
      <c r="D48" s="60" t="n">
        <v>855</v>
      </c>
      <c r="E48" s="60" t="n">
        <v>981</v>
      </c>
      <c r="F48" s="69" t="n">
        <f aca="false">IF(E48="","",D48-E48)</f>
        <v>-126</v>
      </c>
      <c r="G48" s="60" t="n">
        <v>1674</v>
      </c>
      <c r="H48" s="60" t="n">
        <v>1711</v>
      </c>
      <c r="I48" s="69" t="n">
        <f aca="false">IF(H48="","",G48-H48)</f>
        <v>-37</v>
      </c>
      <c r="J48" s="40" t="n">
        <f aca="false">IF(OR(D48="",D48+G48=0),"",D48/(D48+G48))</f>
        <v>0.338078291814947</v>
      </c>
      <c r="K48" s="40" t="n">
        <f aca="false">IF(E48="","",E48/(E48+H48))</f>
        <v>0.364413075780089</v>
      </c>
      <c r="L48" s="70" t="n">
        <f aca="false">IF(OR(K48="",J48=""),"",(J48-K48)*100)</f>
        <v>-2.63347839651425</v>
      </c>
      <c r="M48" s="36" t="n">
        <v>2.15854184063309</v>
      </c>
      <c r="N48" s="36" t="n">
        <v>2.13726273724932</v>
      </c>
      <c r="O48" s="36" t="n">
        <f aca="false">SQRT(M48^2+N48^2)</f>
        <v>3.03762981381836</v>
      </c>
      <c r="P48" s="40" t="n">
        <f aca="false">IF(J48="","",MAX(0,J48-1.96*O48/100))</f>
        <v>0.278540747464107</v>
      </c>
      <c r="Q48" s="40" t="n">
        <f aca="false">IF(J48="","",MIN(1,J48+1.96*O48/100))</f>
        <v>0.397615836165786</v>
      </c>
      <c r="R48" s="32" t="str">
        <f aca="false">IF(L48="","",IF(ABS(L48)&lt;=O48,"Yes","No"))</f>
        <v>Yes</v>
      </c>
      <c r="S48" s="32" t="str">
        <f aca="false">IF(L48="","",IF(ABS(L48)&lt;=1.96*O48,"Yes","No"))</f>
        <v>Yes</v>
      </c>
      <c r="T48" s="60" t="n">
        <f aca="false">IF(D48="","",ROUND(SQRT(((D48+G48)*O48/100)^2+(J48*(D48+G48)*0.03811)^2),0))</f>
        <v>83</v>
      </c>
      <c r="U48" s="32"/>
    </row>
    <row r="49" customFormat="false" ht="15" hidden="false" customHeight="false" outlineLevel="0" collapsed="false">
      <c r="A49" s="32" t="s">
        <v>192</v>
      </c>
      <c r="B49" s="32" t="s">
        <v>217</v>
      </c>
      <c r="C49" s="32" t="s">
        <v>164</v>
      </c>
      <c r="D49" s="60" t="n">
        <v>5143</v>
      </c>
      <c r="E49" s="60" t="n">
        <v>5508</v>
      </c>
      <c r="F49" s="69" t="n">
        <f aca="false">IF(E49="","",D49-E49)</f>
        <v>-365</v>
      </c>
      <c r="G49" s="60" t="n">
        <v>4717</v>
      </c>
      <c r="H49" s="60" t="n">
        <v>4784</v>
      </c>
      <c r="I49" s="69" t="n">
        <f aca="false">IF(H49="","",G49-H49)</f>
        <v>-67</v>
      </c>
      <c r="J49" s="40" t="n">
        <f aca="false">IF(OR(D49="",D49+G49=0),"",D49/(D49+G49))</f>
        <v>0.521602434077079</v>
      </c>
      <c r="K49" s="40" t="n">
        <f aca="false">IF(E49="","",E49/(E49+H49))</f>
        <v>0.535172949863972</v>
      </c>
      <c r="L49" s="70" t="n">
        <f aca="false">IF(OR(K49="",J49=""),"",(J49-K49)*100)</f>
        <v>-1.35705157868929</v>
      </c>
      <c r="M49" s="36" t="n">
        <v>1.47054296090828</v>
      </c>
      <c r="N49" s="36" t="n">
        <v>2.13726273724932</v>
      </c>
      <c r="O49" s="36" t="n">
        <f aca="false">SQRT(M49^2+N49^2)</f>
        <v>2.59429925180411</v>
      </c>
      <c r="P49" s="40" t="n">
        <f aca="false">IF(J49="","",MAX(0,J49-1.96*O49/100))</f>
        <v>0.470754168741719</v>
      </c>
      <c r="Q49" s="40" t="n">
        <f aca="false">IF(J49="","",MIN(1,J49+1.96*O49/100))</f>
        <v>0.57245069941244</v>
      </c>
      <c r="R49" s="32" t="str">
        <f aca="false">IF(L49="","",IF(ABS(L49)&lt;=O49,"Yes","No"))</f>
        <v>Yes</v>
      </c>
      <c r="S49" s="32" t="str">
        <f aca="false">IF(L49="","",IF(ABS(L49)&lt;=1.96*O49,"Yes","No"))</f>
        <v>Yes</v>
      </c>
      <c r="T49" s="60" t="n">
        <f aca="false">IF(D49="","",ROUND(SQRT(((D49+G49)*O49/100)^2+(J49*(D49+G49)*0.02225)^2),0))</f>
        <v>280</v>
      </c>
      <c r="U49" s="32"/>
    </row>
    <row r="50" customFormat="false" ht="15" hidden="false" customHeight="false" outlineLevel="0" collapsed="false">
      <c r="A50" s="32" t="s">
        <v>218</v>
      </c>
      <c r="B50" s="32" t="s">
        <v>219</v>
      </c>
      <c r="C50" s="32" t="s">
        <v>164</v>
      </c>
      <c r="D50" s="60" t="n">
        <v>372</v>
      </c>
      <c r="E50" s="60" t="n">
        <v>361</v>
      </c>
      <c r="F50" s="69" t="n">
        <f aca="false">IF(E50="","",D50-E50)</f>
        <v>11</v>
      </c>
      <c r="G50" s="60" t="n">
        <v>676</v>
      </c>
      <c r="H50" s="60" t="n">
        <v>824</v>
      </c>
      <c r="I50" s="69" t="n">
        <f aca="false">IF(H50="","",G50-H50)</f>
        <v>-148</v>
      </c>
      <c r="J50" s="40" t="n">
        <f aca="false">IF(OR(D50="",D50+G50=0),"",D50/(D50+G50))</f>
        <v>0.354961832061069</v>
      </c>
      <c r="K50" s="40" t="n">
        <f aca="false">IF(E50="","",E50/(E50+H50))</f>
        <v>0.30464135021097</v>
      </c>
      <c r="L50" s="70" t="n">
        <f aca="false">IF(OR(K50="",J50=""),"",(J50-K50)*100)</f>
        <v>5.03204818500982</v>
      </c>
      <c r="M50" s="36" t="n">
        <v>3.25169568046603</v>
      </c>
      <c r="N50" s="36" t="n">
        <v>2.13726273724932</v>
      </c>
      <c r="O50" s="36" t="n">
        <f aca="false">SQRT(M50^2+N50^2)</f>
        <v>3.89119734868278</v>
      </c>
      <c r="P50" s="40" t="n">
        <f aca="false">IF(J50="","",MAX(0,J50-1.96*O50/100))</f>
        <v>0.278694364026886</v>
      </c>
      <c r="Q50" s="40" t="n">
        <f aca="false">IF(J50="","",MIN(1,J50+1.96*O50/100))</f>
        <v>0.431229300095251</v>
      </c>
      <c r="R50" s="32" t="str">
        <f aca="false">IF(L50="","",IF(ABS(L50)&lt;=O50,"Yes","No"))</f>
        <v>No</v>
      </c>
      <c r="S50" s="32" t="str">
        <f aca="false">IF(L50="","",IF(ABS(L50)&lt;=1.96*O50,"Yes","No"))</f>
        <v>Yes</v>
      </c>
      <c r="T50" s="60" t="n">
        <f aca="false">IF(D50="","",ROUND(SQRT(((D50+G50)*O50/100)^2+(J50*(D50+G50)*0.0534)^2),0))</f>
        <v>45</v>
      </c>
      <c r="U50" s="32"/>
    </row>
    <row r="51" customFormat="false" ht="15" hidden="false" customHeight="false" outlineLevel="0" collapsed="false">
      <c r="A51" s="32" t="s">
        <v>218</v>
      </c>
      <c r="B51" s="32" t="s">
        <v>220</v>
      </c>
      <c r="C51" s="32" t="s">
        <v>164</v>
      </c>
      <c r="D51" s="60" t="n">
        <v>1027</v>
      </c>
      <c r="E51" s="60" t="n">
        <v>1021</v>
      </c>
      <c r="F51" s="69" t="n">
        <f aca="false">IF(E51="","",D51-E51)</f>
        <v>6</v>
      </c>
      <c r="G51" s="60" t="n">
        <v>1761</v>
      </c>
      <c r="H51" s="60" t="n">
        <v>1984</v>
      </c>
      <c r="I51" s="69" t="n">
        <f aca="false">IF(H51="","",G51-H51)</f>
        <v>-223</v>
      </c>
      <c r="J51" s="40" t="n">
        <f aca="false">IF(OR(D51="",D51+G51=0),"",D51/(D51+G51))</f>
        <v>0.368364418938307</v>
      </c>
      <c r="K51" s="40" t="n">
        <f aca="false">IF(E51="","",E51/(E51+H51))</f>
        <v>0.339767054908486</v>
      </c>
      <c r="L51" s="70" t="n">
        <f aca="false">IF(OR(K51="",J51=""),"",(J51-K51)*100)</f>
        <v>2.85973640298212</v>
      </c>
      <c r="M51" s="36" t="n">
        <v>1.47054296090828</v>
      </c>
      <c r="N51" s="36" t="n">
        <v>2.13726273724932</v>
      </c>
      <c r="O51" s="36" t="n">
        <f aca="false">SQRT(M51^2+N51^2)</f>
        <v>2.59429925180411</v>
      </c>
      <c r="P51" s="40" t="n">
        <f aca="false">IF(J51="","",MAX(0,J51-1.96*O51/100))</f>
        <v>0.317516153602947</v>
      </c>
      <c r="Q51" s="40" t="n">
        <f aca="false">IF(J51="","",MIN(1,J51+1.96*O51/100))</f>
        <v>0.419212684273668</v>
      </c>
      <c r="R51" s="32" t="str">
        <f aca="false">IF(L51="","",IF(ABS(L51)&lt;=O51,"Yes","No"))</f>
        <v>No</v>
      </c>
      <c r="S51" s="32" t="str">
        <f aca="false">IF(L51="","",IF(ABS(L51)&lt;=1.96*O51,"Yes","No"))</f>
        <v>Yes</v>
      </c>
      <c r="T51" s="60" t="n">
        <f aca="false">IF(D51="","",ROUND(SQRT(((D51+G51)*O51/100)^2+(J51*(D51+G51)*0.02225)^2),0))</f>
        <v>76</v>
      </c>
      <c r="U51" s="32"/>
    </row>
    <row r="52" customFormat="false" ht="15" hidden="false" customHeight="false" outlineLevel="0" collapsed="false">
      <c r="A52" s="32" t="s">
        <v>218</v>
      </c>
      <c r="B52" s="32" t="s">
        <v>221</v>
      </c>
      <c r="C52" s="32" t="s">
        <v>164</v>
      </c>
      <c r="D52" s="60" t="n">
        <v>341</v>
      </c>
      <c r="E52" s="60" t="n">
        <v>380</v>
      </c>
      <c r="F52" s="69" t="n">
        <f aca="false">IF(E52="","",D52-E52)</f>
        <v>-39</v>
      </c>
      <c r="G52" s="60" t="n">
        <v>523</v>
      </c>
      <c r="H52" s="60" t="n">
        <v>732</v>
      </c>
      <c r="I52" s="69" t="n">
        <f aca="false">IF(H52="","",G52-H52)</f>
        <v>-209</v>
      </c>
      <c r="J52" s="40" t="n">
        <f aca="false">IF(OR(D52="",D52+G52=0),"",D52/(D52+G52))</f>
        <v>0.394675925925926</v>
      </c>
      <c r="K52" s="40" t="n">
        <f aca="false">IF(E52="","",E52/(E52+H52))</f>
        <v>0.341726618705036</v>
      </c>
      <c r="L52" s="70" t="n">
        <f aca="false">IF(OR(K52="",J52=""),"",(J52-K52)*100)</f>
        <v>5.294930722089</v>
      </c>
      <c r="M52" s="36" t="n">
        <v>3.25169568046603</v>
      </c>
      <c r="N52" s="36" t="n">
        <v>2.13726273724932</v>
      </c>
      <c r="O52" s="36" t="n">
        <f aca="false">SQRT(M52^2+N52^2)</f>
        <v>3.89119734868278</v>
      </c>
      <c r="P52" s="40" t="n">
        <f aca="false">IF(J52="","",MAX(0,J52-1.96*O52/100))</f>
        <v>0.318408457891744</v>
      </c>
      <c r="Q52" s="40" t="n">
        <f aca="false">IF(J52="","",MIN(1,J52+1.96*O52/100))</f>
        <v>0.470943393960108</v>
      </c>
      <c r="R52" s="32" t="str">
        <f aca="false">IF(L52="","",IF(ABS(L52)&lt;=O52,"Yes","No"))</f>
        <v>No</v>
      </c>
      <c r="S52" s="32" t="str">
        <f aca="false">IF(L52="","",IF(ABS(L52)&lt;=1.96*O52,"Yes","No"))</f>
        <v>Yes</v>
      </c>
      <c r="T52" s="60" t="n">
        <f aca="false">IF(D52="","",ROUND(SQRT(((D52+G52)*O52/100)^2+(J52*(D52+G52)*0.0534)^2),0))</f>
        <v>38</v>
      </c>
      <c r="U52" s="32"/>
    </row>
    <row r="53" customFormat="false" ht="15" hidden="false" customHeight="false" outlineLevel="0" collapsed="false">
      <c r="A53" s="32" t="s">
        <v>222</v>
      </c>
      <c r="B53" s="32" t="s">
        <v>223</v>
      </c>
      <c r="C53" s="32" t="s">
        <v>164</v>
      </c>
      <c r="D53" s="60" t="n">
        <v>1017</v>
      </c>
      <c r="E53" s="60" t="n">
        <v>1174</v>
      </c>
      <c r="F53" s="69" t="n">
        <f aca="false">IF(E53="","",D53-E53)</f>
        <v>-157</v>
      </c>
      <c r="G53" s="60" t="n">
        <v>1330</v>
      </c>
      <c r="H53" s="60" t="n">
        <v>1426</v>
      </c>
      <c r="I53" s="69" t="n">
        <f aca="false">IF(H53="","",G53-H53)</f>
        <v>-96</v>
      </c>
      <c r="J53" s="40" t="n">
        <f aca="false">IF(OR(D53="",D53+G53=0),"",D53/(D53+G53))</f>
        <v>0.433319130805283</v>
      </c>
      <c r="K53" s="40" t="n">
        <f aca="false">IF(E53="","",E53/(E53+H53))</f>
        <v>0.451538461538462</v>
      </c>
      <c r="L53" s="70" t="n">
        <f aca="false">IF(OR(K53="",J53=""),"",(J53-K53)*100)</f>
        <v>-1.82193307331782</v>
      </c>
      <c r="M53" s="36" t="n">
        <v>2.15854184063309</v>
      </c>
      <c r="N53" s="36" t="n">
        <v>2.13726273724932</v>
      </c>
      <c r="O53" s="36" t="n">
        <f aca="false">SQRT(M53^2+N53^2)</f>
        <v>3.03762981381836</v>
      </c>
      <c r="P53" s="40" t="n">
        <f aca="false">IF(J53="","",MAX(0,J53-1.96*O53/100))</f>
        <v>0.373781586454444</v>
      </c>
      <c r="Q53" s="40" t="n">
        <f aca="false">IF(J53="","",MIN(1,J53+1.96*O53/100))</f>
        <v>0.492856675156123</v>
      </c>
      <c r="R53" s="32" t="str">
        <f aca="false">IF(L53="","",IF(ABS(L53)&lt;=O53,"Yes","No"))</f>
        <v>Yes</v>
      </c>
      <c r="S53" s="32" t="str">
        <f aca="false">IF(L53="","",IF(ABS(L53)&lt;=1.96*O53,"Yes","No"))</f>
        <v>Yes</v>
      </c>
      <c r="T53" s="60" t="n">
        <f aca="false">IF(D53="","",ROUND(SQRT(((D53+G53)*O53/100)^2+(J53*(D53+G53)*0.03811)^2),0))</f>
        <v>81</v>
      </c>
      <c r="U53" s="32"/>
    </row>
    <row r="54" customFormat="false" ht="15" hidden="false" customHeight="false" outlineLevel="0" collapsed="false">
      <c r="A54" s="32" t="s">
        <v>222</v>
      </c>
      <c r="B54" s="32" t="s">
        <v>224</v>
      </c>
      <c r="C54" s="32" t="s">
        <v>164</v>
      </c>
      <c r="D54" s="60" t="n">
        <v>669</v>
      </c>
      <c r="E54" s="60" t="n">
        <v>729</v>
      </c>
      <c r="F54" s="69" t="n">
        <f aca="false">IF(E54="","",D54-E54)</f>
        <v>-60</v>
      </c>
      <c r="G54" s="60" t="n">
        <v>905</v>
      </c>
      <c r="H54" s="60" t="n">
        <v>928</v>
      </c>
      <c r="I54" s="69" t="n">
        <f aca="false">IF(H54="","",G54-H54)</f>
        <v>-23</v>
      </c>
      <c r="J54" s="40" t="n">
        <f aca="false">IF(OR(D54="",D54+G54=0),"",D54/(D54+G54))</f>
        <v>0.425031766200762</v>
      </c>
      <c r="K54" s="40" t="n">
        <f aca="false">IF(E54="","",E54/(E54+H54))</f>
        <v>0.43995171997586</v>
      </c>
      <c r="L54" s="70" t="n">
        <f aca="false">IF(OR(K54="",J54=""),"",(J54-K54)*100)</f>
        <v>-1.49199537750976</v>
      </c>
      <c r="M54" s="36" t="n">
        <v>2.15854184063309</v>
      </c>
      <c r="N54" s="36" t="n">
        <v>2.13726273724932</v>
      </c>
      <c r="O54" s="36" t="n">
        <f aca="false">SQRT(M54^2+N54^2)</f>
        <v>3.03762981381836</v>
      </c>
      <c r="P54" s="40" t="n">
        <f aca="false">IF(J54="","",MAX(0,J54-1.96*O54/100))</f>
        <v>0.365494221849923</v>
      </c>
      <c r="Q54" s="40" t="n">
        <f aca="false">IF(J54="","",MIN(1,J54+1.96*O54/100))</f>
        <v>0.484569310551602</v>
      </c>
      <c r="R54" s="32" t="str">
        <f aca="false">IF(L54="","",IF(ABS(L54)&lt;=O54,"Yes","No"))</f>
        <v>Yes</v>
      </c>
      <c r="S54" s="32" t="str">
        <f aca="false">IF(L54="","",IF(ABS(L54)&lt;=1.96*O54,"Yes","No"))</f>
        <v>Yes</v>
      </c>
      <c r="T54" s="60" t="n">
        <f aca="false">IF(D54="","",ROUND(SQRT(((D54+G54)*O54/100)^2+(J54*(D54+G54)*0.03811)^2),0))</f>
        <v>54</v>
      </c>
      <c r="U54" s="32"/>
    </row>
    <row r="55" customFormat="false" ht="15" hidden="false" customHeight="false" outlineLevel="0" collapsed="false">
      <c r="A55" s="32" t="s">
        <v>222</v>
      </c>
      <c r="B55" s="32" t="s">
        <v>225</v>
      </c>
      <c r="C55" s="32" t="s">
        <v>164</v>
      </c>
      <c r="D55" s="60" t="n">
        <v>413</v>
      </c>
      <c r="E55" s="60" t="n">
        <v>441</v>
      </c>
      <c r="F55" s="69" t="n">
        <f aca="false">IF(E55="","",D55-E55)</f>
        <v>-28</v>
      </c>
      <c r="G55" s="60" t="n">
        <v>461</v>
      </c>
      <c r="H55" s="60" t="n">
        <v>513</v>
      </c>
      <c r="I55" s="69" t="n">
        <f aca="false">IF(H55="","",G55-H55)</f>
        <v>-52</v>
      </c>
      <c r="J55" s="40" t="n">
        <f aca="false">IF(OR(D55="",D55+G55=0),"",D55/(D55+G55))</f>
        <v>0.47254004576659</v>
      </c>
      <c r="K55" s="40" t="n">
        <f aca="false">IF(E55="","",E55/(E55+H55))</f>
        <v>0.462264150943396</v>
      </c>
      <c r="L55" s="70" t="n">
        <f aca="false">IF(OR(K55="",J55=""),"",(J55-K55)*100)</f>
        <v>1.02758948231941</v>
      </c>
      <c r="M55" s="36" t="n">
        <v>3.25169568046603</v>
      </c>
      <c r="N55" s="36" t="n">
        <v>2.13726273724932</v>
      </c>
      <c r="O55" s="36" t="n">
        <f aca="false">SQRT(M55^2+N55^2)</f>
        <v>3.89119734868278</v>
      </c>
      <c r="P55" s="40" t="n">
        <f aca="false">IF(J55="","",MAX(0,J55-1.96*O55/100))</f>
        <v>0.396272577732408</v>
      </c>
      <c r="Q55" s="40" t="n">
        <f aca="false">IF(J55="","",MIN(1,J55+1.96*O55/100))</f>
        <v>0.548807513800773</v>
      </c>
      <c r="R55" s="32" t="str">
        <f aca="false">IF(L55="","",IF(ABS(L55)&lt;=O55,"Yes","No"))</f>
        <v>Yes</v>
      </c>
      <c r="S55" s="32" t="str">
        <f aca="false">IF(L55="","",IF(ABS(L55)&lt;=1.96*O55,"Yes","No"))</f>
        <v>Yes</v>
      </c>
      <c r="T55" s="60" t="n">
        <f aca="false">IF(D55="","",ROUND(SQRT(((D55+G55)*O55/100)^2+(J55*(D55+G55)*0.0534)^2),0))</f>
        <v>41</v>
      </c>
      <c r="U55" s="32"/>
    </row>
    <row r="56" customFormat="false" ht="15" hidden="false" customHeight="false" outlineLevel="0" collapsed="false">
      <c r="A56" s="32" t="s">
        <v>222</v>
      </c>
      <c r="B56" s="32" t="s">
        <v>195</v>
      </c>
      <c r="C56" s="32" t="s">
        <v>164</v>
      </c>
      <c r="D56" s="60" t="n">
        <v>10821</v>
      </c>
      <c r="E56" s="60" t="n">
        <v>12402</v>
      </c>
      <c r="F56" s="69" t="n">
        <f aca="false">IF(E56="","",D56-E56)</f>
        <v>-1581</v>
      </c>
      <c r="G56" s="60" t="n">
        <v>6847</v>
      </c>
      <c r="H56" s="60" t="n">
        <v>5692</v>
      </c>
      <c r="I56" s="69" t="n">
        <f aca="false">IF(H56="","",G56-H56)</f>
        <v>1155</v>
      </c>
      <c r="J56" s="40" t="n">
        <f aca="false">IF(OR(D56="",D56+G56=0),"",D56/(D56+G56))</f>
        <v>0.612463210323749</v>
      </c>
      <c r="K56" s="40" t="n">
        <f aca="false">IF(E56="","",E56/(E56+H56))</f>
        <v>0.685420581408202</v>
      </c>
      <c r="L56" s="70" t="n">
        <f aca="false">IF(OR(K56="",J56=""),"",(J56-K56)*100)</f>
        <v>-7.29573710844524</v>
      </c>
      <c r="M56" s="36" t="n">
        <v>1.47054296090828</v>
      </c>
      <c r="N56" s="36" t="n">
        <v>2.13726273724932</v>
      </c>
      <c r="O56" s="36" t="n">
        <f aca="false">SQRT(M56^2+N56^2)</f>
        <v>2.59429925180411</v>
      </c>
      <c r="P56" s="40" t="n">
        <f aca="false">IF(J56="","",MAX(0,J56-1.96*O56/100))</f>
        <v>0.561614944988389</v>
      </c>
      <c r="Q56" s="40" t="n">
        <f aca="false">IF(J56="","",MIN(1,J56+1.96*O56/100))</f>
        <v>0.66331147565911</v>
      </c>
      <c r="R56" s="32" t="str">
        <f aca="false">IF(L56="","",IF(ABS(L56)&lt;=O56,"Yes","No"))</f>
        <v>No</v>
      </c>
      <c r="S56" s="32" t="str">
        <f aca="false">IF(L56="","",IF(ABS(L56)&lt;=1.96*O56,"Yes","No"))</f>
        <v>No</v>
      </c>
      <c r="T56" s="60" t="n">
        <f aca="false">IF(D56="","",ROUND(SQRT(((D56+G56)*O56/100)^2+(J56*(D56+G56)*0.02225)^2),0))</f>
        <v>518</v>
      </c>
      <c r="U56" s="32"/>
    </row>
    <row r="57" customFormat="false" ht="15" hidden="false" customHeight="false" outlineLevel="0" collapsed="false">
      <c r="A57" s="32" t="s">
        <v>222</v>
      </c>
      <c r="B57" s="32" t="s">
        <v>226</v>
      </c>
      <c r="C57" s="32" t="s">
        <v>164</v>
      </c>
      <c r="D57" s="60" t="n">
        <v>5827</v>
      </c>
      <c r="E57" s="60" t="n">
        <v>6681</v>
      </c>
      <c r="F57" s="69" t="n">
        <f aca="false">IF(E57="","",D57-E57)</f>
        <v>-854</v>
      </c>
      <c r="G57" s="60" t="n">
        <v>5374</v>
      </c>
      <c r="H57" s="60" t="n">
        <v>5562</v>
      </c>
      <c r="I57" s="69" t="n">
        <f aca="false">IF(H57="","",G57-H57)</f>
        <v>-188</v>
      </c>
      <c r="J57" s="40" t="n">
        <f aca="false">IF(OR(D57="",D57+G57=0),"",D57/(D57+G57))</f>
        <v>0.520221408802785</v>
      </c>
      <c r="K57" s="40" t="n">
        <f aca="false">IF(E57="","",E57/(E57+H57))</f>
        <v>0.545699583435433</v>
      </c>
      <c r="L57" s="70" t="n">
        <f aca="false">IF(OR(K57="",J57=""),"",(J57-K57)*100)</f>
        <v>-2.5478174632647</v>
      </c>
      <c r="M57" s="36" t="n">
        <v>1.47054296090828</v>
      </c>
      <c r="N57" s="36" t="n">
        <v>2.13726273724932</v>
      </c>
      <c r="O57" s="36" t="n">
        <f aca="false">SQRT(M57^2+N57^2)</f>
        <v>2.59429925180411</v>
      </c>
      <c r="P57" s="40" t="n">
        <f aca="false">IF(J57="","",MAX(0,J57-1.96*O57/100))</f>
        <v>0.469373143467425</v>
      </c>
      <c r="Q57" s="40" t="n">
        <f aca="false">IF(J57="","",MIN(1,J57+1.96*O57/100))</f>
        <v>0.571069674138146</v>
      </c>
      <c r="R57" s="32" t="str">
        <f aca="false">IF(L57="","",IF(ABS(L57)&lt;=O57,"Yes","No"))</f>
        <v>Yes</v>
      </c>
      <c r="S57" s="32" t="str">
        <f aca="false">IF(L57="","",IF(ABS(L57)&lt;=1.96*O57,"Yes","No"))</f>
        <v>Yes</v>
      </c>
      <c r="T57" s="60" t="n">
        <f aca="false">IF(D57="","",ROUND(SQRT(((D57+G57)*O57/100)^2+(J57*(D57+G57)*0.02225)^2),0))</f>
        <v>318</v>
      </c>
      <c r="U57" s="32"/>
    </row>
    <row r="58" customFormat="false" ht="15" hidden="false" customHeight="false" outlineLevel="0" collapsed="false">
      <c r="A58" s="32" t="s">
        <v>222</v>
      </c>
      <c r="B58" s="32" t="s">
        <v>227</v>
      </c>
      <c r="C58" s="32" t="s">
        <v>164</v>
      </c>
      <c r="D58" s="60" t="n">
        <v>1518</v>
      </c>
      <c r="E58" s="60" t="n">
        <v>1737</v>
      </c>
      <c r="F58" s="69" t="n">
        <f aca="false">IF(E58="","",D58-E58)</f>
        <v>-219</v>
      </c>
      <c r="G58" s="60" t="n">
        <v>2324</v>
      </c>
      <c r="H58" s="60" t="n">
        <v>2662</v>
      </c>
      <c r="I58" s="69" t="n">
        <f aca="false">IF(H58="","",G58-H58)</f>
        <v>-338</v>
      </c>
      <c r="J58" s="40" t="n">
        <f aca="false">IF(OR(D58="",D58+G58=0),"",D58/(D58+G58))</f>
        <v>0.395106715252473</v>
      </c>
      <c r="K58" s="40" t="n">
        <f aca="false">IF(E58="","",E58/(E58+H58))</f>
        <v>0.394862468742896</v>
      </c>
      <c r="L58" s="70" t="n">
        <f aca="false">IF(OR(K58="",J58=""),"",(J58-K58)*100)</f>
        <v>0.0244246509576551</v>
      </c>
      <c r="M58" s="36" t="n">
        <v>1.47054296090828</v>
      </c>
      <c r="N58" s="36" t="n">
        <v>2.13726273724932</v>
      </c>
      <c r="O58" s="36" t="n">
        <f aca="false">SQRT(M58^2+N58^2)</f>
        <v>2.59429925180411</v>
      </c>
      <c r="P58" s="40" t="n">
        <f aca="false">IF(J58="","",MAX(0,J58-1.96*O58/100))</f>
        <v>0.344258449917112</v>
      </c>
      <c r="Q58" s="40" t="n">
        <f aca="false">IF(J58="","",MIN(1,J58+1.96*O58/100))</f>
        <v>0.445954980587833</v>
      </c>
      <c r="R58" s="32" t="str">
        <f aca="false">IF(L58="","",IF(ABS(L58)&lt;=O58,"Yes","No"))</f>
        <v>Yes</v>
      </c>
      <c r="S58" s="32" t="str">
        <f aca="false">IF(L58="","",IF(ABS(L58)&lt;=1.96*O58,"Yes","No"))</f>
        <v>Yes</v>
      </c>
      <c r="T58" s="60" t="n">
        <f aca="false">IF(D58="","",ROUND(SQRT(((D58+G58)*O58/100)^2+(J58*(D58+G58)*0.02225)^2),0))</f>
        <v>105</v>
      </c>
      <c r="U58" s="32"/>
    </row>
    <row r="59" customFormat="false" ht="15" hidden="false" customHeight="false" outlineLevel="0" collapsed="false">
      <c r="A59" s="32" t="s">
        <v>222</v>
      </c>
      <c r="B59" s="32" t="s">
        <v>228</v>
      </c>
      <c r="C59" s="32" t="s">
        <v>164</v>
      </c>
      <c r="D59" s="60" t="n">
        <v>25</v>
      </c>
      <c r="E59" s="60" t="n">
        <v>31</v>
      </c>
      <c r="F59" s="69" t="n">
        <f aca="false">IF(E59="","",D59-E59)</f>
        <v>-6</v>
      </c>
      <c r="G59" s="60" t="n">
        <v>43</v>
      </c>
      <c r="H59" s="60" t="n">
        <v>55</v>
      </c>
      <c r="I59" s="69" t="n">
        <f aca="false">IF(H59="","",G59-H59)</f>
        <v>-12</v>
      </c>
      <c r="J59" s="40" t="n">
        <f aca="false">IF(OR(D59="",D59+G59=0),"",D59/(D59+G59))</f>
        <v>0.367647058823529</v>
      </c>
      <c r="K59" s="40" t="n">
        <f aca="false">IF(E59="","",E59/(E59+H59))</f>
        <v>0.36046511627907</v>
      </c>
      <c r="L59" s="70" t="n">
        <f aca="false">IF(OR(K59="",J59=""),"",(J59-K59)*100)</f>
        <v>0.71819425444597</v>
      </c>
      <c r="M59" s="36" t="n">
        <v>3.25169568046603</v>
      </c>
      <c r="N59" s="36" t="n">
        <v>2.13726273724932</v>
      </c>
      <c r="O59" s="36" t="n">
        <f aca="false">SQRT(M59^2+N59^2)</f>
        <v>3.89119734868278</v>
      </c>
      <c r="P59" s="40" t="n">
        <f aca="false">IF(J59="","",MAX(0,J59-1.96*O59/100))</f>
        <v>0.291379590789347</v>
      </c>
      <c r="Q59" s="40" t="n">
        <f aca="false">IF(J59="","",MIN(1,J59+1.96*O59/100))</f>
        <v>0.443914526857712</v>
      </c>
      <c r="R59" s="32" t="str">
        <f aca="false">IF(L59="","",IF(ABS(L59)&lt;=O59,"Yes","No"))</f>
        <v>Yes</v>
      </c>
      <c r="S59" s="32" t="str">
        <f aca="false">IF(L59="","",IF(ABS(L59)&lt;=1.96*O59,"Yes","No"))</f>
        <v>Yes</v>
      </c>
      <c r="T59" s="60" t="n">
        <f aca="false">IF(D59="","",ROUND(SQRT(((D59+G59)*O59/100)^2+(J59*(D59+G59)*0.0534)^2),0))</f>
        <v>3</v>
      </c>
      <c r="U59" s="32"/>
    </row>
    <row r="60" customFormat="false" ht="15" hidden="false" customHeight="false" outlineLevel="0" collapsed="false">
      <c r="A60" s="32" t="s">
        <v>222</v>
      </c>
      <c r="B60" s="32" t="s">
        <v>229</v>
      </c>
      <c r="C60" s="32" t="s">
        <v>164</v>
      </c>
      <c r="D60" s="60" t="n">
        <v>966</v>
      </c>
      <c r="E60" s="60" t="n">
        <v>1109</v>
      </c>
      <c r="F60" s="69" t="n">
        <f aca="false">IF(E60="","",D60-E60)</f>
        <v>-143</v>
      </c>
      <c r="G60" s="60" t="n">
        <v>1297</v>
      </c>
      <c r="H60" s="60" t="n">
        <v>1408</v>
      </c>
      <c r="I60" s="69" t="n">
        <f aca="false">IF(H60="","",G60-H60)</f>
        <v>-111</v>
      </c>
      <c r="J60" s="40" t="n">
        <f aca="false">IF(OR(D60="",D60+G60=0),"",D60/(D60+G60))</f>
        <v>0.426866990720283</v>
      </c>
      <c r="K60" s="40" t="n">
        <f aca="false">IF(E60="","",E60/(E60+H60))</f>
        <v>0.440603893524037</v>
      </c>
      <c r="L60" s="70" t="n">
        <f aca="false">IF(OR(K60="",J60=""),"",(J60-K60)*100)</f>
        <v>-1.37369028037537</v>
      </c>
      <c r="M60" s="36" t="n">
        <v>2.15854184063309</v>
      </c>
      <c r="N60" s="36" t="n">
        <v>2.13726273724932</v>
      </c>
      <c r="O60" s="36" t="n">
        <f aca="false">SQRT(M60^2+N60^2)</f>
        <v>3.03762981381836</v>
      </c>
      <c r="P60" s="40" t="n">
        <f aca="false">IF(J60="","",MAX(0,J60-1.96*O60/100))</f>
        <v>0.367329446369443</v>
      </c>
      <c r="Q60" s="40" t="n">
        <f aca="false">IF(J60="","",MIN(1,J60+1.96*O60/100))</f>
        <v>0.486404535071123</v>
      </c>
      <c r="R60" s="32" t="str">
        <f aca="false">IF(L60="","",IF(ABS(L60)&lt;=O60,"Yes","No"))</f>
        <v>Yes</v>
      </c>
      <c r="S60" s="32" t="str">
        <f aca="false">IF(L60="","",IF(ABS(L60)&lt;=1.96*O60,"Yes","No"))</f>
        <v>Yes</v>
      </c>
      <c r="T60" s="60" t="n">
        <f aca="false">IF(D60="","",ROUND(SQRT(((D60+G60)*O60/100)^2+(J60*(D60+G60)*0.03811)^2),0))</f>
        <v>78</v>
      </c>
      <c r="U60" s="32"/>
    </row>
    <row r="61" customFormat="false" ht="15" hidden="false" customHeight="false" outlineLevel="0" collapsed="false">
      <c r="A61" s="32" t="s">
        <v>222</v>
      </c>
      <c r="B61" s="32" t="s">
        <v>230</v>
      </c>
      <c r="C61" s="32" t="s">
        <v>164</v>
      </c>
      <c r="D61" s="60" t="n">
        <v>126</v>
      </c>
      <c r="E61" s="60" t="n">
        <v>137</v>
      </c>
      <c r="F61" s="69" t="n">
        <f aca="false">IF(E61="","",D61-E61)</f>
        <v>-11</v>
      </c>
      <c r="G61" s="60" t="n">
        <v>222</v>
      </c>
      <c r="H61" s="60" t="n">
        <v>214</v>
      </c>
      <c r="I61" s="69" t="n">
        <f aca="false">IF(H61="","",G61-H61)</f>
        <v>8</v>
      </c>
      <c r="J61" s="40" t="n">
        <f aca="false">IF(OR(D61="",D61+G61=0),"",D61/(D61+G61))</f>
        <v>0.362068965517241</v>
      </c>
      <c r="K61" s="40" t="n">
        <f aca="false">IF(E61="","",E61/(E61+H61))</f>
        <v>0.39031339031339</v>
      </c>
      <c r="L61" s="70" t="n">
        <f aca="false">IF(OR(K61="",J61=""),"",(J61-K61)*100)</f>
        <v>-2.82444247961489</v>
      </c>
      <c r="M61" s="36" t="n">
        <v>3.25169568046603</v>
      </c>
      <c r="N61" s="36" t="n">
        <v>2.13726273724932</v>
      </c>
      <c r="O61" s="36" t="n">
        <f aca="false">SQRT(M61^2+N61^2)</f>
        <v>3.89119734868278</v>
      </c>
      <c r="P61" s="40" t="n">
        <f aca="false">IF(J61="","",MAX(0,J61-1.96*O61/100))</f>
        <v>0.285801497483059</v>
      </c>
      <c r="Q61" s="40" t="n">
        <f aca="false">IF(J61="","",MIN(1,J61+1.96*O61/100))</f>
        <v>0.438336433551424</v>
      </c>
      <c r="R61" s="32" t="str">
        <f aca="false">IF(L61="","",IF(ABS(L61)&lt;=O61,"Yes","No"))</f>
        <v>Yes</v>
      </c>
      <c r="S61" s="32" t="str">
        <f aca="false">IF(L61="","",IF(ABS(L61)&lt;=1.96*O61,"Yes","No"))</f>
        <v>Yes</v>
      </c>
      <c r="T61" s="60" t="n">
        <f aca="false">IF(D61="","",ROUND(SQRT(((D61+G61)*O61/100)^2+(J61*(D61+G61)*0.0534)^2),0))</f>
        <v>15</v>
      </c>
      <c r="U61" s="32"/>
    </row>
    <row r="62" customFormat="false" ht="15" hidden="false" customHeight="false" outlineLevel="0" collapsed="false">
      <c r="A62" s="32" t="s">
        <v>222</v>
      </c>
      <c r="B62" s="32" t="s">
        <v>231</v>
      </c>
      <c r="C62" s="32" t="s">
        <v>164</v>
      </c>
      <c r="D62" s="60" t="n">
        <v>4301</v>
      </c>
      <c r="E62" s="60" t="n">
        <v>5210</v>
      </c>
      <c r="F62" s="69" t="n">
        <f aca="false">IF(E62="","",D62-E62)</f>
        <v>-909</v>
      </c>
      <c r="G62" s="60" t="n">
        <v>2649</v>
      </c>
      <c r="H62" s="60" t="n">
        <v>1883</v>
      </c>
      <c r="I62" s="69" t="n">
        <f aca="false">IF(H62="","",G62-H62)</f>
        <v>766</v>
      </c>
      <c r="J62" s="40" t="n">
        <f aca="false">IF(OR(D62="",D62+G62=0),"",D62/(D62+G62))</f>
        <v>0.618848920863309</v>
      </c>
      <c r="K62" s="40" t="n">
        <f aca="false">IF(E62="","",E62/(E62+H62))</f>
        <v>0.734526998449175</v>
      </c>
      <c r="L62" s="70" t="n">
        <f aca="false">IF(OR(K62="",J62=""),"",(J62-K62)*100)</f>
        <v>-11.5678077585866</v>
      </c>
      <c r="M62" s="36" t="n">
        <v>1.47054296090828</v>
      </c>
      <c r="N62" s="36" t="n">
        <v>2.13726273724932</v>
      </c>
      <c r="O62" s="36" t="n">
        <f aca="false">SQRT(M62^2+N62^2)</f>
        <v>2.59429925180411</v>
      </c>
      <c r="P62" s="40" t="n">
        <f aca="false">IF(J62="","",MAX(0,J62-1.96*O62/100))</f>
        <v>0.568000655527949</v>
      </c>
      <c r="Q62" s="40" t="n">
        <f aca="false">IF(J62="","",MIN(1,J62+1.96*O62/100))</f>
        <v>0.66969718619867</v>
      </c>
      <c r="R62" s="32" t="str">
        <f aca="false">IF(L62="","",IF(ABS(L62)&lt;=O62,"Yes","No"))</f>
        <v>No</v>
      </c>
      <c r="S62" s="32" t="str">
        <f aca="false">IF(L62="","",IF(ABS(L62)&lt;=1.96*O62,"Yes","No"))</f>
        <v>No</v>
      </c>
      <c r="T62" s="60" t="n">
        <f aca="false">IF(D62="","",ROUND(SQRT(((D62+G62)*O62/100)^2+(J62*(D62+G62)*0.02225)^2),0))</f>
        <v>204</v>
      </c>
      <c r="U62" s="32"/>
    </row>
    <row r="63" customFormat="false" ht="15" hidden="false" customHeight="false" outlineLevel="0" collapsed="false">
      <c r="A63" s="32" t="s">
        <v>222</v>
      </c>
      <c r="B63" s="32" t="s">
        <v>232</v>
      </c>
      <c r="C63" s="32" t="s">
        <v>164</v>
      </c>
      <c r="D63" s="60" t="n">
        <v>3758</v>
      </c>
      <c r="E63" s="60" t="n">
        <v>4158</v>
      </c>
      <c r="F63" s="69" t="n">
        <f aca="false">IF(E63="","",D63-E63)</f>
        <v>-400</v>
      </c>
      <c r="G63" s="60" t="n">
        <v>3497</v>
      </c>
      <c r="H63" s="60" t="n">
        <v>3782</v>
      </c>
      <c r="I63" s="69" t="n">
        <f aca="false">IF(H63="","",G63-H63)</f>
        <v>-285</v>
      </c>
      <c r="J63" s="40" t="n">
        <f aca="false">IF(OR(D63="",D63+G63=0),"",D63/(D63+G63))</f>
        <v>0.517987594762233</v>
      </c>
      <c r="K63" s="40" t="n">
        <f aca="false">IF(E63="","",E63/(E63+H63))</f>
        <v>0.52367758186398</v>
      </c>
      <c r="L63" s="70" t="n">
        <f aca="false">IF(OR(K63="",J63=""),"",(J63-K63)*100)</f>
        <v>-0.568998710174684</v>
      </c>
      <c r="M63" s="36" t="n">
        <v>1.47054296090828</v>
      </c>
      <c r="N63" s="36" t="n">
        <v>2.13726273724932</v>
      </c>
      <c r="O63" s="36" t="n">
        <f aca="false">SQRT(M63^2+N63^2)</f>
        <v>2.59429925180411</v>
      </c>
      <c r="P63" s="40" t="n">
        <f aca="false">IF(J63="","",MAX(0,J63-1.96*O63/100))</f>
        <v>0.467139329426873</v>
      </c>
      <c r="Q63" s="40" t="n">
        <f aca="false">IF(J63="","",MIN(1,J63+1.96*O63/100))</f>
        <v>0.568835860097594</v>
      </c>
      <c r="R63" s="32" t="str">
        <f aca="false">IF(L63="","",IF(ABS(L63)&lt;=O63,"Yes","No"))</f>
        <v>Yes</v>
      </c>
      <c r="S63" s="32" t="str">
        <f aca="false">IF(L63="","",IF(ABS(L63)&lt;=1.96*O63,"Yes","No"))</f>
        <v>Yes</v>
      </c>
      <c r="T63" s="60" t="n">
        <f aca="false">IF(D63="","",ROUND(SQRT(((D63+G63)*O63/100)^2+(J63*(D63+G63)*0.02225)^2),0))</f>
        <v>206</v>
      </c>
      <c r="U63" s="32"/>
    </row>
    <row r="64" customFormat="false" ht="15" hidden="false" customHeight="false" outlineLevel="0" collapsed="false">
      <c r="A64" s="32" t="s">
        <v>222</v>
      </c>
      <c r="B64" s="32" t="s">
        <v>233</v>
      </c>
      <c r="C64" s="32" t="s">
        <v>164</v>
      </c>
      <c r="D64" s="60" t="n">
        <v>482</v>
      </c>
      <c r="E64" s="60" t="n">
        <v>480</v>
      </c>
      <c r="F64" s="69" t="n">
        <f aca="false">IF(E64="","",D64-E64)</f>
        <v>2</v>
      </c>
      <c r="G64" s="60" t="n">
        <v>349</v>
      </c>
      <c r="H64" s="60" t="n">
        <v>330</v>
      </c>
      <c r="I64" s="69" t="n">
        <f aca="false">IF(H64="","",G64-H64)</f>
        <v>19</v>
      </c>
      <c r="J64" s="40" t="n">
        <f aca="false">IF(OR(D64="",D64+G64=0),"",D64/(D64+G64))</f>
        <v>0.580024067388688</v>
      </c>
      <c r="K64" s="40" t="n">
        <f aca="false">IF(E64="","",E64/(E64+H64))</f>
        <v>0.592592592592593</v>
      </c>
      <c r="L64" s="70" t="n">
        <f aca="false">IF(OR(K64="",J64=""),"",(J64-K64)*100)</f>
        <v>-1.25685252039043</v>
      </c>
      <c r="M64" s="36" t="n">
        <v>3.25169568046603</v>
      </c>
      <c r="N64" s="36" t="n">
        <v>2.13726273724932</v>
      </c>
      <c r="O64" s="36" t="n">
        <f aca="false">SQRT(M64^2+N64^2)</f>
        <v>3.89119734868278</v>
      </c>
      <c r="P64" s="40" t="n">
        <f aca="false">IF(J64="","",MAX(0,J64-1.96*O64/100))</f>
        <v>0.503756599354506</v>
      </c>
      <c r="Q64" s="40" t="n">
        <f aca="false">IF(J64="","",MIN(1,J64+1.96*O64/100))</f>
        <v>0.656291535422871</v>
      </c>
      <c r="R64" s="32" t="str">
        <f aca="false">IF(L64="","",IF(ABS(L64)&lt;=O64,"Yes","No"))</f>
        <v>Yes</v>
      </c>
      <c r="S64" s="32" t="str">
        <f aca="false">IF(L64="","",IF(ABS(L64)&lt;=1.96*O64,"Yes","No"))</f>
        <v>Yes</v>
      </c>
      <c r="T64" s="60" t="n">
        <f aca="false">IF(D64="","",ROUND(SQRT(((D64+G64)*O64/100)^2+(J64*(D64+G64)*0.0534)^2),0))</f>
        <v>41</v>
      </c>
      <c r="U64" s="32"/>
    </row>
    <row r="65" customFormat="false" ht="15" hidden="false" customHeight="false" outlineLevel="0" collapsed="false">
      <c r="A65" s="32" t="s">
        <v>222</v>
      </c>
      <c r="B65" s="32" t="s">
        <v>234</v>
      </c>
      <c r="C65" s="32" t="s">
        <v>164</v>
      </c>
      <c r="D65" s="60" t="n">
        <v>65</v>
      </c>
      <c r="E65" s="60" t="n">
        <v>72</v>
      </c>
      <c r="F65" s="69" t="n">
        <f aca="false">IF(E65="","",D65-E65)</f>
        <v>-7</v>
      </c>
      <c r="G65" s="60" t="n">
        <v>63</v>
      </c>
      <c r="H65" s="60" t="n">
        <v>69</v>
      </c>
      <c r="I65" s="69" t="n">
        <f aca="false">IF(H65="","",G65-H65)</f>
        <v>-6</v>
      </c>
      <c r="J65" s="40" t="n">
        <f aca="false">IF(OR(D65="",D65+G65=0),"",D65/(D65+G65))</f>
        <v>0.5078125</v>
      </c>
      <c r="K65" s="40" t="n">
        <f aca="false">IF(E65="","",E65/(E65+H65))</f>
        <v>0.51063829787234</v>
      </c>
      <c r="L65" s="70" t="n">
        <f aca="false">IF(OR(K65="",J65=""),"",(J65-K65)*100)</f>
        <v>-0.282579787234039</v>
      </c>
      <c r="M65" s="36" t="n">
        <v>3.25169568046603</v>
      </c>
      <c r="N65" s="36" t="n">
        <v>2.13726273724932</v>
      </c>
      <c r="O65" s="36" t="n">
        <f aca="false">SQRT(M65^2+N65^2)</f>
        <v>3.89119734868278</v>
      </c>
      <c r="P65" s="40" t="n">
        <f aca="false">IF(J65="","",MAX(0,J65-1.96*O65/100))</f>
        <v>0.431545031965818</v>
      </c>
      <c r="Q65" s="40" t="n">
        <f aca="false">IF(J65="","",MIN(1,J65+1.96*O65/100))</f>
        <v>0.584079968034182</v>
      </c>
      <c r="R65" s="32" t="str">
        <f aca="false">IF(L65="","",IF(ABS(L65)&lt;=O65,"Yes","No"))</f>
        <v>Yes</v>
      </c>
      <c r="S65" s="32" t="str">
        <f aca="false">IF(L65="","",IF(ABS(L65)&lt;=1.96*O65,"Yes","No"))</f>
        <v>Yes</v>
      </c>
      <c r="T65" s="60" t="n">
        <f aca="false">IF(D65="","",ROUND(SQRT(((D65+G65)*O65/100)^2+(J65*(D65+G65)*0.0534)^2),0))</f>
        <v>6</v>
      </c>
      <c r="U65" s="32"/>
    </row>
    <row r="66" customFormat="false" ht="15" hidden="false" customHeight="false" outlineLevel="0" collapsed="false">
      <c r="A66" s="32" t="s">
        <v>222</v>
      </c>
      <c r="B66" s="32" t="s">
        <v>201</v>
      </c>
      <c r="C66" s="32" t="s">
        <v>164</v>
      </c>
      <c r="D66" s="60" t="n">
        <v>3146</v>
      </c>
      <c r="E66" s="60" t="n">
        <v>3570</v>
      </c>
      <c r="F66" s="69" t="n">
        <f aca="false">IF(E66="","",D66-E66)</f>
        <v>-424</v>
      </c>
      <c r="G66" s="60" t="n">
        <v>2858</v>
      </c>
      <c r="H66" s="60" t="n">
        <v>2883</v>
      </c>
      <c r="I66" s="69" t="n">
        <f aca="false">IF(H66="","",G66-H66)</f>
        <v>-25</v>
      </c>
      <c r="J66" s="40" t="n">
        <f aca="false">IF(OR(D66="",D66+G66=0),"",D66/(D66+G66))</f>
        <v>0.52398401065956</v>
      </c>
      <c r="K66" s="40" t="n">
        <f aca="false">IF(E66="","",E66/(E66+H66))</f>
        <v>0.553231055323106</v>
      </c>
      <c r="L66" s="70" t="n">
        <f aca="false">IF(OR(K66="",J66=""),"",(J66-K66)*100)</f>
        <v>-2.92470446635453</v>
      </c>
      <c r="M66" s="36" t="n">
        <v>1.47054296090828</v>
      </c>
      <c r="N66" s="36" t="n">
        <v>2.13726273724932</v>
      </c>
      <c r="O66" s="36" t="n">
        <f aca="false">SQRT(M66^2+N66^2)</f>
        <v>2.59429925180411</v>
      </c>
      <c r="P66" s="40" t="n">
        <f aca="false">IF(J66="","",MAX(0,J66-1.96*O66/100))</f>
        <v>0.4731357453242</v>
      </c>
      <c r="Q66" s="40" t="n">
        <f aca="false">IF(J66="","",MIN(1,J66+1.96*O66/100))</f>
        <v>0.574832275994921</v>
      </c>
      <c r="R66" s="32" t="str">
        <f aca="false">IF(L66="","",IF(ABS(L66)&lt;=O66,"Yes","No"))</f>
        <v>No</v>
      </c>
      <c r="S66" s="32" t="str">
        <f aca="false">IF(L66="","",IF(ABS(L66)&lt;=1.96*O66,"Yes","No"))</f>
        <v>Yes</v>
      </c>
      <c r="T66" s="60" t="n">
        <f aca="false">IF(D66="","",ROUND(SQRT(((D66+G66)*O66/100)^2+(J66*(D66+G66)*0.02225)^2),0))</f>
        <v>171</v>
      </c>
      <c r="U66" s="32"/>
    </row>
    <row r="67" customFormat="false" ht="15" hidden="false" customHeight="false" outlineLevel="0" collapsed="false">
      <c r="A67" s="32" t="s">
        <v>222</v>
      </c>
      <c r="B67" s="32" t="s">
        <v>235</v>
      </c>
      <c r="C67" s="32" t="s">
        <v>164</v>
      </c>
      <c r="D67" s="60" t="n">
        <v>1251</v>
      </c>
      <c r="E67" s="60" t="n">
        <v>1372</v>
      </c>
      <c r="F67" s="69" t="n">
        <f aca="false">IF(E67="","",D67-E67)</f>
        <v>-121</v>
      </c>
      <c r="G67" s="60" t="n">
        <v>1172</v>
      </c>
      <c r="H67" s="60" t="n">
        <v>1201</v>
      </c>
      <c r="I67" s="69" t="n">
        <f aca="false">IF(H67="","",G67-H67)</f>
        <v>-29</v>
      </c>
      <c r="J67" s="40" t="n">
        <f aca="false">IF(OR(D67="",D67+G67=0),"",D67/(D67+G67))</f>
        <v>0.516302104828725</v>
      </c>
      <c r="K67" s="40" t="n">
        <f aca="false">IF(E67="","",E67/(E67+H67))</f>
        <v>0.53322969296541</v>
      </c>
      <c r="L67" s="70" t="n">
        <f aca="false">IF(OR(K67="",J67=""),"",(J67-K67)*100)</f>
        <v>-1.69275881366853</v>
      </c>
      <c r="M67" s="36" t="n">
        <v>2.15854184063309</v>
      </c>
      <c r="N67" s="36" t="n">
        <v>2.13726273724932</v>
      </c>
      <c r="O67" s="36" t="n">
        <f aca="false">SQRT(M67^2+N67^2)</f>
        <v>3.03762981381836</v>
      </c>
      <c r="P67" s="40" t="n">
        <f aca="false">IF(J67="","",MAX(0,J67-1.96*O67/100))</f>
        <v>0.456764560477885</v>
      </c>
      <c r="Q67" s="40" t="n">
        <f aca="false">IF(J67="","",MIN(1,J67+1.96*O67/100))</f>
        <v>0.575839649179565</v>
      </c>
      <c r="R67" s="32" t="str">
        <f aca="false">IF(L67="","",IF(ABS(L67)&lt;=O67,"Yes","No"))</f>
        <v>Yes</v>
      </c>
      <c r="S67" s="32" t="str">
        <f aca="false">IF(L67="","",IF(ABS(L67)&lt;=1.96*O67,"Yes","No"))</f>
        <v>Yes</v>
      </c>
      <c r="T67" s="60" t="n">
        <f aca="false">IF(D67="","",ROUND(SQRT(((D67+G67)*O67/100)^2+(J67*(D67+G67)*0.03811)^2),0))</f>
        <v>88</v>
      </c>
      <c r="U67" s="32"/>
    </row>
    <row r="68" customFormat="false" ht="15" hidden="false" customHeight="false" outlineLevel="0" collapsed="false">
      <c r="A68" s="32" t="s">
        <v>222</v>
      </c>
      <c r="B68" s="32" t="s">
        <v>236</v>
      </c>
      <c r="C68" s="32" t="s">
        <v>164</v>
      </c>
      <c r="D68" s="60" t="n">
        <v>1600</v>
      </c>
      <c r="E68" s="60" t="n">
        <v>1803</v>
      </c>
      <c r="F68" s="69" t="n">
        <f aca="false">IF(E68="","",D68-E68)</f>
        <v>-203</v>
      </c>
      <c r="G68" s="60" t="n">
        <v>2989</v>
      </c>
      <c r="H68" s="60" t="n">
        <v>3303</v>
      </c>
      <c r="I68" s="69" t="n">
        <f aca="false">IF(H68="","",G68-H68)</f>
        <v>-314</v>
      </c>
      <c r="J68" s="40" t="n">
        <f aca="false">IF(OR(D68="",D68+G68=0),"",D68/(D68+G68))</f>
        <v>0.348659838744825</v>
      </c>
      <c r="K68" s="40" t="n">
        <f aca="false">IF(E68="","",E68/(E68+H68))</f>
        <v>0.353113983548766</v>
      </c>
      <c r="L68" s="70" t="n">
        <f aca="false">IF(OR(K68="",J68=""),"",(J68-K68)*100)</f>
        <v>-0.445414480394157</v>
      </c>
      <c r="M68" s="36" t="n">
        <v>1.47054296090828</v>
      </c>
      <c r="N68" s="36" t="n">
        <v>2.13726273724932</v>
      </c>
      <c r="O68" s="36" t="n">
        <f aca="false">SQRT(M68^2+N68^2)</f>
        <v>2.59429925180411</v>
      </c>
      <c r="P68" s="40" t="n">
        <f aca="false">IF(J68="","",MAX(0,J68-1.96*O68/100))</f>
        <v>0.297811573409464</v>
      </c>
      <c r="Q68" s="40" t="n">
        <f aca="false">IF(J68="","",MIN(1,J68+1.96*O68/100))</f>
        <v>0.399508104080185</v>
      </c>
      <c r="R68" s="32" t="str">
        <f aca="false">IF(L68="","",IF(ABS(L68)&lt;=O68,"Yes","No"))</f>
        <v>Yes</v>
      </c>
      <c r="S68" s="32" t="str">
        <f aca="false">IF(L68="","",IF(ABS(L68)&lt;=1.96*O68,"Yes","No"))</f>
        <v>Yes</v>
      </c>
      <c r="T68" s="60" t="n">
        <f aca="false">IF(D68="","",ROUND(SQRT(((D68+G68)*O68/100)^2+(J68*(D68+G68)*0.02225)^2),0))</f>
        <v>124</v>
      </c>
      <c r="U68" s="32"/>
    </row>
    <row r="69" customFormat="false" ht="15" hidden="false" customHeight="false" outlineLevel="0" collapsed="false">
      <c r="A69" s="32" t="s">
        <v>222</v>
      </c>
      <c r="B69" s="32" t="s">
        <v>237</v>
      </c>
      <c r="C69" s="32" t="s">
        <v>164</v>
      </c>
      <c r="D69" s="60" t="n">
        <v>421</v>
      </c>
      <c r="E69" s="60" t="n">
        <v>511</v>
      </c>
      <c r="F69" s="69" t="n">
        <f aca="false">IF(E69="","",D69-E69)</f>
        <v>-90</v>
      </c>
      <c r="G69" s="60" t="n">
        <v>789</v>
      </c>
      <c r="H69" s="60" t="n">
        <v>889</v>
      </c>
      <c r="I69" s="69" t="n">
        <f aca="false">IF(H69="","",G69-H69)</f>
        <v>-100</v>
      </c>
      <c r="J69" s="40" t="n">
        <f aca="false">IF(OR(D69="",D69+G69=0),"",D69/(D69+G69))</f>
        <v>0.347933884297521</v>
      </c>
      <c r="K69" s="40" t="n">
        <f aca="false">IF(E69="","",E69/(E69+H69))</f>
        <v>0.365</v>
      </c>
      <c r="L69" s="70" t="n">
        <f aca="false">IF(OR(K69="",J69=""),"",(J69-K69)*100)</f>
        <v>-1.70661157024793</v>
      </c>
      <c r="M69" s="36" t="n">
        <v>2.15854184063309</v>
      </c>
      <c r="N69" s="36" t="n">
        <v>2.13726273724932</v>
      </c>
      <c r="O69" s="36" t="n">
        <f aca="false">SQRT(M69^2+N69^2)</f>
        <v>3.03762981381836</v>
      </c>
      <c r="P69" s="40" t="n">
        <f aca="false">IF(J69="","",MAX(0,J69-1.96*O69/100))</f>
        <v>0.288396339946681</v>
      </c>
      <c r="Q69" s="40" t="n">
        <f aca="false">IF(J69="","",MIN(1,J69+1.96*O69/100))</f>
        <v>0.40747142864836</v>
      </c>
      <c r="R69" s="32" t="str">
        <f aca="false">IF(L69="","",IF(ABS(L69)&lt;=O69,"Yes","No"))</f>
        <v>Yes</v>
      </c>
      <c r="S69" s="32" t="str">
        <f aca="false">IF(L69="","",IF(ABS(L69)&lt;=1.96*O69,"Yes","No"))</f>
        <v>Yes</v>
      </c>
      <c r="T69" s="60" t="n">
        <f aca="false">IF(D69="","",ROUND(SQRT(((D69+G69)*O69/100)^2+(J69*(D69+G69)*0.03811)^2),0))</f>
        <v>40</v>
      </c>
      <c r="U69" s="32"/>
    </row>
    <row r="70" customFormat="false" ht="15" hidden="false" customHeight="false" outlineLevel="0" collapsed="false">
      <c r="A70" s="32" t="s">
        <v>222</v>
      </c>
      <c r="B70" s="32" t="s">
        <v>238</v>
      </c>
      <c r="C70" s="32" t="s">
        <v>164</v>
      </c>
      <c r="D70" s="60" t="n">
        <v>1431</v>
      </c>
      <c r="E70" s="60" t="n">
        <v>1632</v>
      </c>
      <c r="F70" s="69" t="n">
        <f aca="false">IF(E70="","",D70-E70)</f>
        <v>-201</v>
      </c>
      <c r="G70" s="60" t="n">
        <v>1915</v>
      </c>
      <c r="H70" s="60" t="n">
        <v>2067</v>
      </c>
      <c r="I70" s="69" t="n">
        <f aca="false">IF(H70="","",G70-H70)</f>
        <v>-152</v>
      </c>
      <c r="J70" s="40" t="n">
        <f aca="false">IF(OR(D70="",D70+G70=0),"",D70/(D70+G70))</f>
        <v>0.427674835624626</v>
      </c>
      <c r="K70" s="40" t="n">
        <f aca="false">IF(E70="","",E70/(E70+H70))</f>
        <v>0.441200324412003</v>
      </c>
      <c r="L70" s="70" t="n">
        <f aca="false">IF(OR(K70="",J70=""),"",(J70-K70)*100)</f>
        <v>-1.35254887873768</v>
      </c>
      <c r="M70" s="36" t="n">
        <v>1.47054296090828</v>
      </c>
      <c r="N70" s="36" t="n">
        <v>2.13726273724932</v>
      </c>
      <c r="O70" s="36" t="n">
        <f aca="false">SQRT(M70^2+N70^2)</f>
        <v>2.59429925180411</v>
      </c>
      <c r="P70" s="40" t="n">
        <f aca="false">IF(J70="","",MAX(0,J70-1.96*O70/100))</f>
        <v>0.376826570289266</v>
      </c>
      <c r="Q70" s="40" t="n">
        <f aca="false">IF(J70="","",MIN(1,J70+1.96*O70/100))</f>
        <v>0.478523100959987</v>
      </c>
      <c r="R70" s="32" t="str">
        <f aca="false">IF(L70="","",IF(ABS(L70)&lt;=O70,"Yes","No"))</f>
        <v>Yes</v>
      </c>
      <c r="S70" s="32" t="str">
        <f aca="false">IF(L70="","",IF(ABS(L70)&lt;=1.96*O70,"Yes","No"))</f>
        <v>Yes</v>
      </c>
      <c r="T70" s="60" t="n">
        <f aca="false">IF(D70="","",ROUND(SQRT(((D70+G70)*O70/100)^2+(J70*(D70+G70)*0.02225)^2),0))</f>
        <v>92</v>
      </c>
      <c r="U70" s="32"/>
    </row>
    <row r="71" customFormat="false" ht="15" hidden="false" customHeight="false" outlineLevel="0" collapsed="false">
      <c r="A71" s="32" t="s">
        <v>222</v>
      </c>
      <c r="B71" s="32" t="s">
        <v>239</v>
      </c>
      <c r="C71" s="32" t="s">
        <v>164</v>
      </c>
      <c r="D71" s="60" t="n">
        <v>2628</v>
      </c>
      <c r="E71" s="60" t="n">
        <v>2919</v>
      </c>
      <c r="F71" s="69" t="n">
        <f aca="false">IF(E71="","",D71-E71)</f>
        <v>-291</v>
      </c>
      <c r="G71" s="60" t="n">
        <v>2826</v>
      </c>
      <c r="H71" s="60" t="n">
        <v>3008</v>
      </c>
      <c r="I71" s="69" t="n">
        <f aca="false">IF(H71="","",G71-H71)</f>
        <v>-182</v>
      </c>
      <c r="J71" s="40" t="n">
        <f aca="false">IF(OR(D71="",D71+G71=0),"",D71/(D71+G71))</f>
        <v>0.481848184818482</v>
      </c>
      <c r="K71" s="40" t="n">
        <f aca="false">IF(E71="","",E71/(E71+H71))</f>
        <v>0.492491985827569</v>
      </c>
      <c r="L71" s="70" t="n">
        <f aca="false">IF(OR(K71="",J71=""),"",(J71-K71)*100)</f>
        <v>-1.06438010090869</v>
      </c>
      <c r="M71" s="36" t="n">
        <v>1.47054296090828</v>
      </c>
      <c r="N71" s="36" t="n">
        <v>2.13726273724932</v>
      </c>
      <c r="O71" s="36" t="n">
        <f aca="false">SQRT(M71^2+N71^2)</f>
        <v>2.59429925180411</v>
      </c>
      <c r="P71" s="40" t="n">
        <f aca="false">IF(J71="","",MAX(0,J71-1.96*O71/100))</f>
        <v>0.430999919483121</v>
      </c>
      <c r="Q71" s="40" t="n">
        <f aca="false">IF(J71="","",MIN(1,J71+1.96*O71/100))</f>
        <v>0.532696450153842</v>
      </c>
      <c r="R71" s="32" t="str">
        <f aca="false">IF(L71="","",IF(ABS(L71)&lt;=O71,"Yes","No"))</f>
        <v>Yes</v>
      </c>
      <c r="S71" s="32" t="str">
        <f aca="false">IF(L71="","",IF(ABS(L71)&lt;=1.96*O71,"Yes","No"))</f>
        <v>Yes</v>
      </c>
      <c r="T71" s="60" t="n">
        <f aca="false">IF(D71="","",ROUND(SQRT(((D71+G71)*O71/100)^2+(J71*(D71+G71)*0.02225)^2),0))</f>
        <v>153</v>
      </c>
      <c r="U71" s="32"/>
    </row>
    <row r="72" customFormat="false" ht="15" hidden="false" customHeight="false" outlineLevel="0" collapsed="false">
      <c r="A72" s="32" t="s">
        <v>222</v>
      </c>
      <c r="B72" s="32" t="s">
        <v>240</v>
      </c>
      <c r="C72" s="32" t="s">
        <v>164</v>
      </c>
      <c r="D72" s="60" t="n">
        <v>1445</v>
      </c>
      <c r="E72" s="60" t="n">
        <v>1661</v>
      </c>
      <c r="F72" s="69" t="n">
        <f aca="false">IF(E72="","",D72-E72)</f>
        <v>-216</v>
      </c>
      <c r="G72" s="60" t="n">
        <v>2829</v>
      </c>
      <c r="H72" s="60" t="n">
        <v>3091</v>
      </c>
      <c r="I72" s="69" t="n">
        <f aca="false">IF(H72="","",G72-H72)</f>
        <v>-262</v>
      </c>
      <c r="J72" s="40" t="n">
        <f aca="false">IF(OR(D72="",D72+G72=0),"",D72/(D72+G72))</f>
        <v>0.33809078146935</v>
      </c>
      <c r="K72" s="40" t="n">
        <f aca="false">IF(E72="","",E72/(E72+H72))</f>
        <v>0.349537037037037</v>
      </c>
      <c r="L72" s="70" t="n">
        <f aca="false">IF(OR(K72="",J72=""),"",(J72-K72)*100)</f>
        <v>-1.14462555676875</v>
      </c>
      <c r="M72" s="36" t="n">
        <v>1.47054296090828</v>
      </c>
      <c r="N72" s="36" t="n">
        <v>2.13726273724932</v>
      </c>
      <c r="O72" s="36" t="n">
        <f aca="false">SQRT(M72^2+N72^2)</f>
        <v>2.59429925180411</v>
      </c>
      <c r="P72" s="40" t="n">
        <f aca="false">IF(J72="","",MAX(0,J72-1.96*O72/100))</f>
        <v>0.287242516133989</v>
      </c>
      <c r="Q72" s="40" t="n">
        <f aca="false">IF(J72="","",MIN(1,J72+1.96*O72/100))</f>
        <v>0.38893904680471</v>
      </c>
      <c r="R72" s="32" t="str">
        <f aca="false">IF(L72="","",IF(ABS(L72)&lt;=O72,"Yes","No"))</f>
        <v>Yes</v>
      </c>
      <c r="S72" s="32" t="str">
        <f aca="false">IF(L72="","",IF(ABS(L72)&lt;=1.96*O72,"Yes","No"))</f>
        <v>Yes</v>
      </c>
      <c r="T72" s="60" t="n">
        <f aca="false">IF(D72="","",ROUND(SQRT(((D72+G72)*O72/100)^2+(J72*(D72+G72)*0.02225)^2),0))</f>
        <v>115</v>
      </c>
      <c r="U72" s="32"/>
    </row>
    <row r="73" customFormat="false" ht="15" hidden="false" customHeight="false" outlineLevel="0" collapsed="false">
      <c r="A73" s="32" t="s">
        <v>222</v>
      </c>
      <c r="B73" s="32" t="s">
        <v>241</v>
      </c>
      <c r="C73" s="32" t="s">
        <v>164</v>
      </c>
      <c r="D73" s="60" t="n">
        <v>1096</v>
      </c>
      <c r="E73" s="60" t="n">
        <v>1272</v>
      </c>
      <c r="F73" s="69" t="n">
        <f aca="false">IF(E73="","",D73-E73)</f>
        <v>-176</v>
      </c>
      <c r="G73" s="60" t="n">
        <v>1130</v>
      </c>
      <c r="H73" s="60" t="n">
        <v>1188</v>
      </c>
      <c r="I73" s="69" t="n">
        <f aca="false">IF(H73="","",G73-H73)</f>
        <v>-58</v>
      </c>
      <c r="J73" s="40" t="n">
        <f aca="false">IF(OR(D73="",D73+G73=0),"",D73/(D73+G73))</f>
        <v>0.492362982929021</v>
      </c>
      <c r="K73" s="40" t="n">
        <f aca="false">IF(E73="","",E73/(E73+H73))</f>
        <v>0.517073170731707</v>
      </c>
      <c r="L73" s="70" t="n">
        <f aca="false">IF(OR(K73="",J73=""),"",(J73-K73)*100)</f>
        <v>-2.47101878026867</v>
      </c>
      <c r="M73" s="36" t="n">
        <v>2.15854184063309</v>
      </c>
      <c r="N73" s="36" t="n">
        <v>2.13726273724932</v>
      </c>
      <c r="O73" s="36" t="n">
        <f aca="false">SQRT(M73^2+N73^2)</f>
        <v>3.03762981381836</v>
      </c>
      <c r="P73" s="40" t="n">
        <f aca="false">IF(J73="","",MAX(0,J73-1.96*O73/100))</f>
        <v>0.432825438578181</v>
      </c>
      <c r="Q73" s="40" t="n">
        <f aca="false">IF(J73="","",MIN(1,J73+1.96*O73/100))</f>
        <v>0.55190052727986</v>
      </c>
      <c r="R73" s="32" t="str">
        <f aca="false">IF(L73="","",IF(ABS(L73)&lt;=O73,"Yes","No"))</f>
        <v>Yes</v>
      </c>
      <c r="S73" s="32" t="str">
        <f aca="false">IF(L73="","",IF(ABS(L73)&lt;=1.96*O73,"Yes","No"))</f>
        <v>Yes</v>
      </c>
      <c r="T73" s="60" t="n">
        <f aca="false">IF(D73="","",ROUND(SQRT(((D73+G73)*O73/100)^2+(J73*(D73+G73)*0.03811)^2),0))</f>
        <v>79</v>
      </c>
      <c r="U73" s="32"/>
    </row>
    <row r="74" customFormat="false" ht="15" hidden="false" customHeight="false" outlineLevel="0" collapsed="false">
      <c r="A74" s="32" t="s">
        <v>222</v>
      </c>
      <c r="B74" s="32" t="s">
        <v>242</v>
      </c>
      <c r="C74" s="32" t="s">
        <v>164</v>
      </c>
      <c r="D74" s="60" t="n">
        <v>563</v>
      </c>
      <c r="E74" s="60" t="n">
        <v>644</v>
      </c>
      <c r="F74" s="69" t="n">
        <f aca="false">IF(E74="","",D74-E74)</f>
        <v>-81</v>
      </c>
      <c r="G74" s="60" t="n">
        <v>614</v>
      </c>
      <c r="H74" s="60" t="n">
        <v>634</v>
      </c>
      <c r="I74" s="69" t="n">
        <f aca="false">IF(H74="","",G74-H74)</f>
        <v>-20</v>
      </c>
      <c r="J74" s="40" t="n">
        <f aca="false">IF(OR(D74="",D74+G74=0),"",D74/(D74+G74))</f>
        <v>0.478334749362787</v>
      </c>
      <c r="K74" s="40" t="n">
        <f aca="false">IF(E74="","",E74/(E74+H74))</f>
        <v>0.503912363067293</v>
      </c>
      <c r="L74" s="70" t="n">
        <f aca="false">IF(OR(K74="",J74=""),"",(J74-K74)*100)</f>
        <v>-2.55776137045058</v>
      </c>
      <c r="M74" s="36" t="n">
        <v>2.15854184063309</v>
      </c>
      <c r="N74" s="36" t="n">
        <v>2.13726273724932</v>
      </c>
      <c r="O74" s="36" t="n">
        <f aca="false">SQRT(M74^2+N74^2)</f>
        <v>3.03762981381836</v>
      </c>
      <c r="P74" s="40" t="n">
        <f aca="false">IF(J74="","",MAX(0,J74-1.96*O74/100))</f>
        <v>0.418797205011947</v>
      </c>
      <c r="Q74" s="40" t="n">
        <f aca="false">IF(J74="","",MIN(1,J74+1.96*O74/100))</f>
        <v>0.537872293713627</v>
      </c>
      <c r="R74" s="32" t="str">
        <f aca="false">IF(L74="","",IF(ABS(L74)&lt;=O74,"Yes","No"))</f>
        <v>Yes</v>
      </c>
      <c r="S74" s="32" t="str">
        <f aca="false">IF(L74="","",IF(ABS(L74)&lt;=1.96*O74,"Yes","No"))</f>
        <v>Yes</v>
      </c>
      <c r="T74" s="60" t="n">
        <f aca="false">IF(D74="","",ROUND(SQRT(((D74+G74)*O74/100)^2+(J74*(D74+G74)*0.03811)^2),0))</f>
        <v>42</v>
      </c>
      <c r="U74" s="32"/>
    </row>
    <row r="75" customFormat="false" ht="15" hidden="false" customHeight="false" outlineLevel="0" collapsed="false">
      <c r="A75" s="32" t="s">
        <v>222</v>
      </c>
      <c r="B75" s="32" t="s">
        <v>243</v>
      </c>
      <c r="C75" s="32" t="s">
        <v>164</v>
      </c>
      <c r="D75" s="60" t="n">
        <v>1737</v>
      </c>
      <c r="E75" s="60" t="n">
        <v>1957</v>
      </c>
      <c r="F75" s="69" t="n">
        <f aca="false">IF(E75="","",D75-E75)</f>
        <v>-220</v>
      </c>
      <c r="G75" s="60" t="n">
        <v>1892</v>
      </c>
      <c r="H75" s="60" t="n">
        <v>1970</v>
      </c>
      <c r="I75" s="69" t="n">
        <f aca="false">IF(H75="","",G75-H75)</f>
        <v>-78</v>
      </c>
      <c r="J75" s="40" t="n">
        <f aca="false">IF(OR(D75="",D75+G75=0),"",D75/(D75+G75))</f>
        <v>0.478644254615597</v>
      </c>
      <c r="K75" s="40" t="n">
        <f aca="false">IF(E75="","",E75/(E75+H75))</f>
        <v>0.49834479246244</v>
      </c>
      <c r="L75" s="70" t="n">
        <f aca="false">IF(OR(K75="",J75=""),"",(J75-K75)*100)</f>
        <v>-1.97005378468429</v>
      </c>
      <c r="M75" s="36" t="n">
        <v>1.47054296090828</v>
      </c>
      <c r="N75" s="36" t="n">
        <v>2.13726273724932</v>
      </c>
      <c r="O75" s="36" t="n">
        <f aca="false">SQRT(M75^2+N75^2)</f>
        <v>2.59429925180411</v>
      </c>
      <c r="P75" s="40" t="n">
        <f aca="false">IF(J75="","",MAX(0,J75-1.96*O75/100))</f>
        <v>0.427795989280236</v>
      </c>
      <c r="Q75" s="40" t="n">
        <f aca="false">IF(J75="","",MIN(1,J75+1.96*O75/100))</f>
        <v>0.529492519950957</v>
      </c>
      <c r="R75" s="32" t="str">
        <f aca="false">IF(L75="","",IF(ABS(L75)&lt;=O75,"Yes","No"))</f>
        <v>Yes</v>
      </c>
      <c r="S75" s="32" t="str">
        <f aca="false">IF(L75="","",IF(ABS(L75)&lt;=1.96*O75,"Yes","No"))</f>
        <v>Yes</v>
      </c>
      <c r="T75" s="60" t="n">
        <f aca="false">IF(D75="","",ROUND(SQRT(((D75+G75)*O75/100)^2+(J75*(D75+G75)*0.02225)^2),0))</f>
        <v>102</v>
      </c>
      <c r="U75" s="32"/>
    </row>
    <row r="76" customFormat="false" ht="15" hidden="false" customHeight="false" outlineLevel="0" collapsed="false">
      <c r="A76" s="32" t="s">
        <v>222</v>
      </c>
      <c r="B76" s="32" t="s">
        <v>244</v>
      </c>
      <c r="C76" s="32" t="s">
        <v>164</v>
      </c>
      <c r="D76" s="60" t="n">
        <v>5005</v>
      </c>
      <c r="E76" s="60" t="n">
        <v>5403</v>
      </c>
      <c r="F76" s="69" t="n">
        <f aca="false">IF(E76="","",D76-E76)</f>
        <v>-398</v>
      </c>
      <c r="G76" s="60" t="n">
        <v>4672</v>
      </c>
      <c r="H76" s="60" t="n">
        <v>4910</v>
      </c>
      <c r="I76" s="69" t="n">
        <f aca="false">IF(H76="","",G76-H76)</f>
        <v>-238</v>
      </c>
      <c r="J76" s="40" t="n">
        <f aca="false">IF(OR(D76="",D76+G76=0),"",D76/(D76+G76))</f>
        <v>0.517205745582309</v>
      </c>
      <c r="K76" s="40" t="n">
        <f aca="false">IF(E76="","",E76/(E76+H76))</f>
        <v>0.523901871424416</v>
      </c>
      <c r="L76" s="70" t="n">
        <f aca="false">IF(OR(K76="",J76=""),"",(J76-K76)*100)</f>
        <v>-0.669612584210722</v>
      </c>
      <c r="M76" s="36" t="n">
        <v>1.47054296090828</v>
      </c>
      <c r="N76" s="36" t="n">
        <v>2.13726273724932</v>
      </c>
      <c r="O76" s="36" t="n">
        <f aca="false">SQRT(M76^2+N76^2)</f>
        <v>2.59429925180411</v>
      </c>
      <c r="P76" s="40" t="n">
        <f aca="false">IF(J76="","",MAX(0,J76-1.96*O76/100))</f>
        <v>0.466357480246948</v>
      </c>
      <c r="Q76" s="40" t="n">
        <f aca="false">IF(J76="","",MIN(1,J76+1.96*O76/100))</f>
        <v>0.568054010917669</v>
      </c>
      <c r="R76" s="32" t="str">
        <f aca="false">IF(L76="","",IF(ABS(L76)&lt;=O76,"Yes","No"))</f>
        <v>Yes</v>
      </c>
      <c r="S76" s="32" t="str">
        <f aca="false">IF(L76="","",IF(ABS(L76)&lt;=1.96*O76,"Yes","No"))</f>
        <v>Yes</v>
      </c>
      <c r="T76" s="60" t="n">
        <f aca="false">IF(D76="","",ROUND(SQRT(((D76+G76)*O76/100)^2+(J76*(D76+G76)*0.02225)^2),0))</f>
        <v>275</v>
      </c>
      <c r="U76" s="32"/>
    </row>
    <row r="77" customFormat="false" ht="15" hidden="false" customHeight="false" outlineLevel="0" collapsed="false">
      <c r="A77" s="32" t="s">
        <v>222</v>
      </c>
      <c r="B77" s="32" t="s">
        <v>245</v>
      </c>
      <c r="C77" s="32" t="s">
        <v>164</v>
      </c>
      <c r="D77" s="60" t="n">
        <v>487</v>
      </c>
      <c r="E77" s="60" t="n">
        <v>511</v>
      </c>
      <c r="F77" s="69" t="n">
        <f aca="false">IF(E77="","",D77-E77)</f>
        <v>-24</v>
      </c>
      <c r="G77" s="60" t="n">
        <v>718</v>
      </c>
      <c r="H77" s="60" t="n">
        <v>778</v>
      </c>
      <c r="I77" s="69" t="n">
        <f aca="false">IF(H77="","",G77-H77)</f>
        <v>-60</v>
      </c>
      <c r="J77" s="40" t="n">
        <f aca="false">IF(OR(D77="",D77+G77=0),"",D77/(D77+G77))</f>
        <v>0.404149377593361</v>
      </c>
      <c r="K77" s="40" t="n">
        <f aca="false">IF(E77="","",E77/(E77+H77))</f>
        <v>0.396431342125679</v>
      </c>
      <c r="L77" s="70" t="n">
        <f aca="false">IF(OR(K77="",J77=""),"",(J77-K77)*100)</f>
        <v>0.771803546768218</v>
      </c>
      <c r="M77" s="36" t="n">
        <v>2.15854184063309</v>
      </c>
      <c r="N77" s="36" t="n">
        <v>2.13726273724932</v>
      </c>
      <c r="O77" s="36" t="n">
        <f aca="false">SQRT(M77^2+N77^2)</f>
        <v>3.03762981381836</v>
      </c>
      <c r="P77" s="40" t="n">
        <f aca="false">IF(J77="","",MAX(0,J77-1.96*O77/100))</f>
        <v>0.344611833242521</v>
      </c>
      <c r="Q77" s="40" t="n">
        <f aca="false">IF(J77="","",MIN(1,J77+1.96*O77/100))</f>
        <v>0.463686921944201</v>
      </c>
      <c r="R77" s="32" t="str">
        <f aca="false">IF(L77="","",IF(ABS(L77)&lt;=O77,"Yes","No"))</f>
        <v>Yes</v>
      </c>
      <c r="S77" s="32" t="str">
        <f aca="false">IF(L77="","",IF(ABS(L77)&lt;=1.96*O77,"Yes","No"))</f>
        <v>Yes</v>
      </c>
      <c r="T77" s="60" t="n">
        <f aca="false">IF(D77="","",ROUND(SQRT(((D77+G77)*O77/100)^2+(J77*(D77+G77)*0.03811)^2),0))</f>
        <v>41</v>
      </c>
      <c r="U77" s="32"/>
    </row>
    <row r="78" customFormat="false" ht="15" hidden="false" customHeight="false" outlineLevel="0" collapsed="false">
      <c r="A78" s="32" t="s">
        <v>222</v>
      </c>
      <c r="B78" s="32" t="s">
        <v>246</v>
      </c>
      <c r="C78" s="32" t="s">
        <v>164</v>
      </c>
      <c r="D78" s="60" t="n">
        <v>997</v>
      </c>
      <c r="E78" s="60" t="n">
        <v>1076</v>
      </c>
      <c r="F78" s="69" t="n">
        <f aca="false">IF(E78="","",D78-E78)</f>
        <v>-79</v>
      </c>
      <c r="G78" s="60" t="n">
        <v>1753</v>
      </c>
      <c r="H78" s="60" t="n">
        <v>1998</v>
      </c>
      <c r="I78" s="69" t="n">
        <f aca="false">IF(H78="","",G78-H78)</f>
        <v>-245</v>
      </c>
      <c r="J78" s="40" t="n">
        <f aca="false">IF(OR(D78="",D78+G78=0),"",D78/(D78+G78))</f>
        <v>0.362545454545455</v>
      </c>
      <c r="K78" s="40" t="n">
        <f aca="false">IF(E78="","",E78/(E78+H78))</f>
        <v>0.350032530904359</v>
      </c>
      <c r="L78" s="70" t="n">
        <f aca="false">IF(OR(K78="",J78=""),"",(J78-K78)*100)</f>
        <v>1.25129236410954</v>
      </c>
      <c r="M78" s="36" t="n">
        <v>1.47054296090828</v>
      </c>
      <c r="N78" s="36" t="n">
        <v>2.13726273724932</v>
      </c>
      <c r="O78" s="36" t="n">
        <f aca="false">SQRT(M78^2+N78^2)</f>
        <v>2.59429925180411</v>
      </c>
      <c r="P78" s="40" t="n">
        <f aca="false">IF(J78="","",MAX(0,J78-1.96*O78/100))</f>
        <v>0.311697189210094</v>
      </c>
      <c r="Q78" s="40" t="n">
        <f aca="false">IF(J78="","",MIN(1,J78+1.96*O78/100))</f>
        <v>0.413393719880815</v>
      </c>
      <c r="R78" s="32" t="str">
        <f aca="false">IF(L78="","",IF(ABS(L78)&lt;=O78,"Yes","No"))</f>
        <v>Yes</v>
      </c>
      <c r="S78" s="32" t="str">
        <f aca="false">IF(L78="","",IF(ABS(L78)&lt;=1.96*O78,"Yes","No"))</f>
        <v>Yes</v>
      </c>
      <c r="T78" s="60" t="n">
        <f aca="false">IF(D78="","",ROUND(SQRT(((D78+G78)*O78/100)^2+(J78*(D78+G78)*0.02225)^2),0))</f>
        <v>75</v>
      </c>
      <c r="U78" s="32"/>
    </row>
    <row r="79" customFormat="false" ht="15" hidden="false" customHeight="false" outlineLevel="0" collapsed="false">
      <c r="A79" s="32" t="s">
        <v>222</v>
      </c>
      <c r="B79" s="32" t="s">
        <v>247</v>
      </c>
      <c r="C79" s="32" t="s">
        <v>164</v>
      </c>
      <c r="D79" s="60" t="n">
        <v>60</v>
      </c>
      <c r="E79" s="60" t="n">
        <v>65</v>
      </c>
      <c r="F79" s="69" t="n">
        <f aca="false">IF(E79="","",D79-E79)</f>
        <v>-5</v>
      </c>
      <c r="G79" s="60" t="n">
        <v>118</v>
      </c>
      <c r="H79" s="60" t="n">
        <v>129</v>
      </c>
      <c r="I79" s="69" t="n">
        <f aca="false">IF(H79="","",G79-H79)</f>
        <v>-11</v>
      </c>
      <c r="J79" s="40" t="n">
        <f aca="false">IF(OR(D79="",D79+G79=0),"",D79/(D79+G79))</f>
        <v>0.337078651685393</v>
      </c>
      <c r="K79" s="40" t="n">
        <f aca="false">IF(E79="","",E79/(E79+H79))</f>
        <v>0.335051546391753</v>
      </c>
      <c r="L79" s="70" t="n">
        <f aca="false">IF(OR(K79="",J79=""),"",(J79-K79)*100)</f>
        <v>0.20271052936407</v>
      </c>
      <c r="M79" s="36" t="n">
        <v>3.25169568046603</v>
      </c>
      <c r="N79" s="36" t="n">
        <v>2.13726273724932</v>
      </c>
      <c r="O79" s="36" t="n">
        <f aca="false">SQRT(M79^2+N79^2)</f>
        <v>3.89119734868278</v>
      </c>
      <c r="P79" s="40" t="n">
        <f aca="false">IF(J79="","",MAX(0,J79-1.96*O79/100))</f>
        <v>0.260811183651211</v>
      </c>
      <c r="Q79" s="40" t="n">
        <f aca="false">IF(J79="","",MIN(1,J79+1.96*O79/100))</f>
        <v>0.413346119719576</v>
      </c>
      <c r="R79" s="32" t="str">
        <f aca="false">IF(L79="","",IF(ABS(L79)&lt;=O79,"Yes","No"))</f>
        <v>Yes</v>
      </c>
      <c r="S79" s="32" t="str">
        <f aca="false">IF(L79="","",IF(ABS(L79)&lt;=1.96*O79,"Yes","No"))</f>
        <v>Yes</v>
      </c>
      <c r="T79" s="60" t="n">
        <f aca="false">IF(D79="","",ROUND(SQRT(((D79+G79)*O79/100)^2+(J79*(D79+G79)*0.0534)^2),0))</f>
        <v>8</v>
      </c>
      <c r="U79" s="32"/>
    </row>
    <row r="80" customFormat="false" ht="15" hidden="false" customHeight="false" outlineLevel="0" collapsed="false">
      <c r="A80" s="32" t="s">
        <v>222</v>
      </c>
      <c r="B80" s="32" t="s">
        <v>248</v>
      </c>
      <c r="C80" s="32" t="s">
        <v>164</v>
      </c>
      <c r="D80" s="60" t="n">
        <v>259</v>
      </c>
      <c r="E80" s="60" t="n">
        <v>258</v>
      </c>
      <c r="F80" s="69" t="n">
        <f aca="false">IF(E80="","",D80-E80)</f>
        <v>1</v>
      </c>
      <c r="G80" s="60" t="n">
        <v>396</v>
      </c>
      <c r="H80" s="60" t="n">
        <v>418</v>
      </c>
      <c r="I80" s="69" t="n">
        <f aca="false">IF(H80="","",G80-H80)</f>
        <v>-22</v>
      </c>
      <c r="J80" s="40" t="n">
        <f aca="false">IF(OR(D80="",D80+G80=0),"",D80/(D80+G80))</f>
        <v>0.395419847328244</v>
      </c>
      <c r="K80" s="40" t="n">
        <f aca="false">IF(E80="","",E80/(E80+H80))</f>
        <v>0.381656804733728</v>
      </c>
      <c r="L80" s="70" t="n">
        <f aca="false">IF(OR(K80="",J80=""),"",(J80-K80)*100)</f>
        <v>1.37630425945164</v>
      </c>
      <c r="M80" s="36" t="n">
        <v>3.25169568046603</v>
      </c>
      <c r="N80" s="36" t="n">
        <v>2.13726273724932</v>
      </c>
      <c r="O80" s="36" t="n">
        <f aca="false">SQRT(M80^2+N80^2)</f>
        <v>3.89119734868278</v>
      </c>
      <c r="P80" s="40" t="n">
        <f aca="false">IF(J80="","",MAX(0,J80-1.96*O80/100))</f>
        <v>0.319152379294062</v>
      </c>
      <c r="Q80" s="40" t="n">
        <f aca="false">IF(J80="","",MIN(1,J80+1.96*O80/100))</f>
        <v>0.471687315362427</v>
      </c>
      <c r="R80" s="32" t="str">
        <f aca="false">IF(L80="","",IF(ABS(L80)&lt;=O80,"Yes","No"))</f>
        <v>Yes</v>
      </c>
      <c r="S80" s="32" t="str">
        <f aca="false">IF(L80="","",IF(ABS(L80)&lt;=1.96*O80,"Yes","No"))</f>
        <v>Yes</v>
      </c>
      <c r="T80" s="60" t="n">
        <f aca="false">IF(D80="","",ROUND(SQRT(((D80+G80)*O80/100)^2+(J80*(D80+G80)*0.0534)^2),0))</f>
        <v>29</v>
      </c>
      <c r="U80" s="32"/>
    </row>
    <row r="81" customFormat="false" ht="15" hidden="false" customHeight="false" outlineLevel="0" collapsed="false">
      <c r="A81" s="32" t="s">
        <v>222</v>
      </c>
      <c r="B81" s="32" t="s">
        <v>249</v>
      </c>
      <c r="C81" s="32" t="s">
        <v>164</v>
      </c>
      <c r="D81" s="60" t="n">
        <v>137</v>
      </c>
      <c r="E81" s="60" t="n">
        <v>160</v>
      </c>
      <c r="F81" s="69" t="n">
        <f aca="false">IF(E81="","",D81-E81)</f>
        <v>-23</v>
      </c>
      <c r="G81" s="60" t="n">
        <v>197</v>
      </c>
      <c r="H81" s="60" t="n">
        <v>227</v>
      </c>
      <c r="I81" s="69" t="n">
        <f aca="false">IF(H81="","",G81-H81)</f>
        <v>-30</v>
      </c>
      <c r="J81" s="40" t="n">
        <f aca="false">IF(OR(D81="",D81+G81=0),"",D81/(D81+G81))</f>
        <v>0.410179640718563</v>
      </c>
      <c r="K81" s="40" t="n">
        <f aca="false">IF(E81="","",E81/(E81+H81))</f>
        <v>0.41343669250646</v>
      </c>
      <c r="L81" s="70" t="n">
        <f aca="false">IF(OR(K81="",J81=""),"",(J81-K81)*100)</f>
        <v>-0.325705178789704</v>
      </c>
      <c r="M81" s="36" t="n">
        <v>3.25169568046603</v>
      </c>
      <c r="N81" s="36" t="n">
        <v>2.13726273724932</v>
      </c>
      <c r="O81" s="36" t="n">
        <f aca="false">SQRT(M81^2+N81^2)</f>
        <v>3.89119734868278</v>
      </c>
      <c r="P81" s="40" t="n">
        <f aca="false">IF(J81="","",MAX(0,J81-1.96*O81/100))</f>
        <v>0.33391217268438</v>
      </c>
      <c r="Q81" s="40" t="n">
        <f aca="false">IF(J81="","",MIN(1,J81+1.96*O81/100))</f>
        <v>0.486447108752745</v>
      </c>
      <c r="R81" s="32" t="str">
        <f aca="false">IF(L81="","",IF(ABS(L81)&lt;=O81,"Yes","No"))</f>
        <v>Yes</v>
      </c>
      <c r="S81" s="32" t="str">
        <f aca="false">IF(L81="","",IF(ABS(L81)&lt;=1.96*O81,"Yes","No"))</f>
        <v>Yes</v>
      </c>
      <c r="T81" s="60" t="n">
        <f aca="false">IF(D81="","",ROUND(SQRT(((D81+G81)*O81/100)^2+(J81*(D81+G81)*0.0534)^2),0))</f>
        <v>15</v>
      </c>
      <c r="U81" s="32"/>
    </row>
    <row r="82" customFormat="false" ht="15" hidden="false" customHeight="false" outlineLevel="0" collapsed="false">
      <c r="A82" s="32" t="s">
        <v>222</v>
      </c>
      <c r="B82" s="32" t="s">
        <v>250</v>
      </c>
      <c r="C82" s="32" t="s">
        <v>164</v>
      </c>
      <c r="D82" s="60" t="n">
        <v>221</v>
      </c>
      <c r="E82" s="60" t="n">
        <v>243</v>
      </c>
      <c r="F82" s="69" t="n">
        <f aca="false">IF(E82="","",D82-E82)</f>
        <v>-22</v>
      </c>
      <c r="G82" s="60" t="n">
        <v>302</v>
      </c>
      <c r="H82" s="60" t="n">
        <v>318</v>
      </c>
      <c r="I82" s="69" t="n">
        <f aca="false">IF(H82="","",G82-H82)</f>
        <v>-16</v>
      </c>
      <c r="J82" s="40" t="n">
        <f aca="false">IF(OR(D82="",D82+G82=0),"",D82/(D82+G82))</f>
        <v>0.422562141491396</v>
      </c>
      <c r="K82" s="40" t="n">
        <f aca="false">IF(E82="","",E82/(E82+H82))</f>
        <v>0.433155080213904</v>
      </c>
      <c r="L82" s="70" t="n">
        <f aca="false">IF(OR(K82="",J82=""),"",(J82-K82)*100)</f>
        <v>-1.05929387225079</v>
      </c>
      <c r="M82" s="36" t="n">
        <v>3.25169568046603</v>
      </c>
      <c r="N82" s="36" t="n">
        <v>2.13726273724932</v>
      </c>
      <c r="O82" s="36" t="n">
        <f aca="false">SQRT(M82^2+N82^2)</f>
        <v>3.89119734868278</v>
      </c>
      <c r="P82" s="40" t="n">
        <f aca="false">IF(J82="","",MAX(0,J82-1.96*O82/100))</f>
        <v>0.346294673457213</v>
      </c>
      <c r="Q82" s="40" t="n">
        <f aca="false">IF(J82="","",MIN(1,J82+1.96*O82/100))</f>
        <v>0.498829609525578</v>
      </c>
      <c r="R82" s="32" t="str">
        <f aca="false">IF(L82="","",IF(ABS(L82)&lt;=O82,"Yes","No"))</f>
        <v>Yes</v>
      </c>
      <c r="S82" s="32" t="str">
        <f aca="false">IF(L82="","",IF(ABS(L82)&lt;=1.96*O82,"Yes","No"))</f>
        <v>Yes</v>
      </c>
      <c r="T82" s="60" t="n">
        <f aca="false">IF(D82="","",ROUND(SQRT(((D82+G82)*O82/100)^2+(J82*(D82+G82)*0.0534)^2),0))</f>
        <v>24</v>
      </c>
      <c r="U82" s="32"/>
    </row>
    <row r="83" customFormat="false" ht="15" hidden="false" customHeight="false" outlineLevel="0" collapsed="false">
      <c r="A83" s="32" t="s">
        <v>222</v>
      </c>
      <c r="B83" s="32" t="s">
        <v>251</v>
      </c>
      <c r="C83" s="32" t="s">
        <v>164</v>
      </c>
      <c r="D83" s="60" t="n">
        <v>966</v>
      </c>
      <c r="E83" s="60" t="n">
        <v>1030</v>
      </c>
      <c r="F83" s="69" t="n">
        <f aca="false">IF(E83="","",D83-E83)</f>
        <v>-64</v>
      </c>
      <c r="G83" s="60" t="n">
        <v>1881</v>
      </c>
      <c r="H83" s="60" t="n">
        <v>2095</v>
      </c>
      <c r="I83" s="69" t="n">
        <f aca="false">IF(H83="","",G83-H83)</f>
        <v>-214</v>
      </c>
      <c r="J83" s="40" t="n">
        <f aca="false">IF(OR(D83="",D83+G83=0),"",D83/(D83+G83))</f>
        <v>0.339304531085353</v>
      </c>
      <c r="K83" s="40" t="n">
        <f aca="false">IF(E83="","",E83/(E83+H83))</f>
        <v>0.3296</v>
      </c>
      <c r="L83" s="70" t="n">
        <f aca="false">IF(OR(K83="",J83=""),"",(J83-K83)*100)</f>
        <v>0.970453108535302</v>
      </c>
      <c r="M83" s="36" t="n">
        <v>1.47054296090828</v>
      </c>
      <c r="N83" s="36" t="n">
        <v>2.13726273724932</v>
      </c>
      <c r="O83" s="36" t="n">
        <f aca="false">SQRT(M83^2+N83^2)</f>
        <v>2.59429925180411</v>
      </c>
      <c r="P83" s="40" t="n">
        <f aca="false">IF(J83="","",MAX(0,J83-1.96*O83/100))</f>
        <v>0.288456265749993</v>
      </c>
      <c r="Q83" s="40" t="n">
        <f aca="false">IF(J83="","",MIN(1,J83+1.96*O83/100))</f>
        <v>0.390152796420714</v>
      </c>
      <c r="R83" s="32" t="str">
        <f aca="false">IF(L83="","",IF(ABS(L83)&lt;=O83,"Yes","No"))</f>
        <v>Yes</v>
      </c>
      <c r="S83" s="32" t="str">
        <f aca="false">IF(L83="","",IF(ABS(L83)&lt;=1.96*O83,"Yes","No"))</f>
        <v>Yes</v>
      </c>
      <c r="T83" s="60" t="n">
        <f aca="false">IF(D83="","",ROUND(SQRT(((D83+G83)*O83/100)^2+(J83*(D83+G83)*0.02225)^2),0))</f>
        <v>77</v>
      </c>
      <c r="U83" s="32"/>
    </row>
    <row r="84" customFormat="false" ht="15" hidden="false" customHeight="false" outlineLevel="0" collapsed="false">
      <c r="A84" s="32" t="s">
        <v>222</v>
      </c>
      <c r="B84" s="32" t="s">
        <v>252</v>
      </c>
      <c r="C84" s="32" t="s">
        <v>164</v>
      </c>
      <c r="D84" s="60" t="n">
        <v>1337</v>
      </c>
      <c r="E84" s="60" t="n">
        <v>1575</v>
      </c>
      <c r="F84" s="69" t="n">
        <f aca="false">IF(E84="","",D84-E84)</f>
        <v>-238</v>
      </c>
      <c r="G84" s="60" t="n">
        <v>1450</v>
      </c>
      <c r="H84" s="60" t="n">
        <v>1588</v>
      </c>
      <c r="I84" s="69" t="n">
        <f aca="false">IF(H84="","",G84-H84)</f>
        <v>-138</v>
      </c>
      <c r="J84" s="40" t="n">
        <f aca="false">IF(OR(D84="",D84+G84=0),"",D84/(D84+G84))</f>
        <v>0.47972730534625</v>
      </c>
      <c r="K84" s="40" t="n">
        <f aca="false">IF(E84="","",E84/(E84+H84))</f>
        <v>0.497944988934556</v>
      </c>
      <c r="L84" s="70" t="n">
        <f aca="false">IF(OR(K84="",J84=""),"",(J84-K84)*100)</f>
        <v>-1.82176835883053</v>
      </c>
      <c r="M84" s="36" t="n">
        <v>1.47054296090828</v>
      </c>
      <c r="N84" s="36" t="n">
        <v>2.13726273724932</v>
      </c>
      <c r="O84" s="36" t="n">
        <f aca="false">SQRT(M84^2+N84^2)</f>
        <v>2.59429925180411</v>
      </c>
      <c r="P84" s="40" t="n">
        <f aca="false">IF(J84="","",MAX(0,J84-1.96*O84/100))</f>
        <v>0.42887904001089</v>
      </c>
      <c r="Q84" s="40" t="n">
        <f aca="false">IF(J84="","",MIN(1,J84+1.96*O84/100))</f>
        <v>0.530575570681611</v>
      </c>
      <c r="R84" s="32" t="str">
        <f aca="false">IF(L84="","",IF(ABS(L84)&lt;=O84,"Yes","No"))</f>
        <v>Yes</v>
      </c>
      <c r="S84" s="32" t="str">
        <f aca="false">IF(L84="","",IF(ABS(L84)&lt;=1.96*O84,"Yes","No"))</f>
        <v>Yes</v>
      </c>
      <c r="T84" s="60" t="n">
        <f aca="false">IF(D84="","",ROUND(SQRT(((D84+G84)*O84/100)^2+(J84*(D84+G84)*0.02225)^2),0))</f>
        <v>78</v>
      </c>
      <c r="U84" s="32"/>
    </row>
    <row r="85" customFormat="false" ht="15" hidden="false" customHeight="false" outlineLevel="0" collapsed="false">
      <c r="A85" s="32" t="s">
        <v>222</v>
      </c>
      <c r="B85" s="32" t="s">
        <v>253</v>
      </c>
      <c r="C85" s="32" t="s">
        <v>164</v>
      </c>
      <c r="D85" s="60" t="n">
        <v>272</v>
      </c>
      <c r="E85" s="60" t="n">
        <v>305</v>
      </c>
      <c r="F85" s="69" t="n">
        <f aca="false">IF(E85="","",D85-E85)</f>
        <v>-33</v>
      </c>
      <c r="G85" s="60" t="n">
        <v>394</v>
      </c>
      <c r="H85" s="60" t="n">
        <v>419</v>
      </c>
      <c r="I85" s="69" t="n">
        <f aca="false">IF(H85="","",G85-H85)</f>
        <v>-25</v>
      </c>
      <c r="J85" s="40" t="n">
        <f aca="false">IF(OR(D85="",D85+G85=0),"",D85/(D85+G85))</f>
        <v>0.408408408408408</v>
      </c>
      <c r="K85" s="40" t="n">
        <f aca="false">IF(E85="","",E85/(E85+H85))</f>
        <v>0.421270718232044</v>
      </c>
      <c r="L85" s="70" t="n">
        <f aca="false">IF(OR(K85="",J85=""),"",(J85-K85)*100)</f>
        <v>-1.28623098236358</v>
      </c>
      <c r="M85" s="36" t="n">
        <v>3.25169568046603</v>
      </c>
      <c r="N85" s="36" t="n">
        <v>2.13726273724932</v>
      </c>
      <c r="O85" s="36" t="n">
        <f aca="false">SQRT(M85^2+N85^2)</f>
        <v>3.89119734868278</v>
      </c>
      <c r="P85" s="40" t="n">
        <f aca="false">IF(J85="","",MAX(0,J85-1.96*O85/100))</f>
        <v>0.332140940374226</v>
      </c>
      <c r="Q85" s="40" t="n">
        <f aca="false">IF(J85="","",MIN(1,J85+1.96*O85/100))</f>
        <v>0.484675876442591</v>
      </c>
      <c r="R85" s="32" t="str">
        <f aca="false">IF(L85="","",IF(ABS(L85)&lt;=O85,"Yes","No"))</f>
        <v>Yes</v>
      </c>
      <c r="S85" s="32" t="str">
        <f aca="false">IF(L85="","",IF(ABS(L85)&lt;=1.96*O85,"Yes","No"))</f>
        <v>Yes</v>
      </c>
      <c r="T85" s="60" t="n">
        <f aca="false">IF(D85="","",ROUND(SQRT(((D85+G85)*O85/100)^2+(J85*(D85+G85)*0.0534)^2),0))</f>
        <v>30</v>
      </c>
      <c r="U85" s="32"/>
    </row>
    <row r="86" customFormat="false" ht="15" hidden="false" customHeight="false" outlineLevel="0" collapsed="false">
      <c r="A86" s="32" t="s">
        <v>222</v>
      </c>
      <c r="B86" s="32" t="s">
        <v>215</v>
      </c>
      <c r="C86" s="32" t="s">
        <v>164</v>
      </c>
      <c r="D86" s="60" t="n">
        <v>728</v>
      </c>
      <c r="E86" s="60" t="n">
        <v>840</v>
      </c>
      <c r="F86" s="69" t="n">
        <f aca="false">IF(E86="","",D86-E86)</f>
        <v>-112</v>
      </c>
      <c r="G86" s="60" t="n">
        <v>1311</v>
      </c>
      <c r="H86" s="60" t="n">
        <v>1533</v>
      </c>
      <c r="I86" s="69" t="n">
        <f aca="false">IF(H86="","",G86-H86)</f>
        <v>-222</v>
      </c>
      <c r="J86" s="40" t="n">
        <f aca="false">IF(OR(D86="",D86+G86=0),"",D86/(D86+G86))</f>
        <v>0.357037763609613</v>
      </c>
      <c r="K86" s="40" t="n">
        <f aca="false">IF(E86="","",E86/(E86+H86))</f>
        <v>0.353982300884956</v>
      </c>
      <c r="L86" s="70" t="n">
        <f aca="false">IF(OR(K86="",J86=""),"",(J86-K86)*100)</f>
        <v>0.305546272465679</v>
      </c>
      <c r="M86" s="36" t="n">
        <v>2.15854184063309</v>
      </c>
      <c r="N86" s="36" t="n">
        <v>2.13726273724932</v>
      </c>
      <c r="O86" s="36" t="n">
        <f aca="false">SQRT(M86^2+N86^2)</f>
        <v>3.03762981381836</v>
      </c>
      <c r="P86" s="40" t="n">
        <f aca="false">IF(J86="","",MAX(0,J86-1.96*O86/100))</f>
        <v>0.297500219258773</v>
      </c>
      <c r="Q86" s="40" t="n">
        <f aca="false">IF(J86="","",MIN(1,J86+1.96*O86/100))</f>
        <v>0.416575307960452</v>
      </c>
      <c r="R86" s="32" t="str">
        <f aca="false">IF(L86="","",IF(ABS(L86)&lt;=O86,"Yes","No"))</f>
        <v>Yes</v>
      </c>
      <c r="S86" s="32" t="str">
        <f aca="false">IF(L86="","",IF(ABS(L86)&lt;=1.96*O86,"Yes","No"))</f>
        <v>Yes</v>
      </c>
      <c r="T86" s="60" t="n">
        <f aca="false">IF(D86="","",ROUND(SQRT(((D86+G86)*O86/100)^2+(J86*(D86+G86)*0.03811)^2),0))</f>
        <v>68</v>
      </c>
      <c r="U86" s="32"/>
    </row>
    <row r="87" customFormat="false" ht="15" hidden="false" customHeight="false" outlineLevel="0" collapsed="false">
      <c r="A87" s="32" t="s">
        <v>222</v>
      </c>
      <c r="B87" s="32" t="s">
        <v>254</v>
      </c>
      <c r="C87" s="32" t="s">
        <v>164</v>
      </c>
      <c r="D87" s="60" t="n">
        <v>168</v>
      </c>
      <c r="E87" s="60" t="n">
        <v>199</v>
      </c>
      <c r="F87" s="69" t="n">
        <f aca="false">IF(E87="","",D87-E87)</f>
        <v>-31</v>
      </c>
      <c r="G87" s="60" t="n">
        <v>200</v>
      </c>
      <c r="H87" s="60" t="n">
        <v>215</v>
      </c>
      <c r="I87" s="69" t="n">
        <f aca="false">IF(H87="","",G87-H87)</f>
        <v>-15</v>
      </c>
      <c r="J87" s="40" t="n">
        <f aca="false">IF(OR(D87="",D87+G87=0),"",D87/(D87+G87))</f>
        <v>0.456521739130435</v>
      </c>
      <c r="K87" s="40" t="n">
        <f aca="false">IF(E87="","",E87/(E87+H87))</f>
        <v>0.480676328502416</v>
      </c>
      <c r="L87" s="70" t="n">
        <f aca="false">IF(OR(K87="",J87=""),"",(J87-K87)*100)</f>
        <v>-2.41545893719807</v>
      </c>
      <c r="M87" s="36" t="n">
        <v>3.25169568046603</v>
      </c>
      <c r="N87" s="36" t="n">
        <v>2.13726273724932</v>
      </c>
      <c r="O87" s="36" t="n">
        <f aca="false">SQRT(M87^2+N87^2)</f>
        <v>3.89119734868278</v>
      </c>
      <c r="P87" s="40" t="n">
        <f aca="false">IF(J87="","",MAX(0,J87-1.96*O87/100))</f>
        <v>0.380254271096252</v>
      </c>
      <c r="Q87" s="40" t="n">
        <f aca="false">IF(J87="","",MIN(1,J87+1.96*O87/100))</f>
        <v>0.532789207164617</v>
      </c>
      <c r="R87" s="32" t="str">
        <f aca="false">IF(L87="","",IF(ABS(L87)&lt;=O87,"Yes","No"))</f>
        <v>Yes</v>
      </c>
      <c r="S87" s="32" t="str">
        <f aca="false">IF(L87="","",IF(ABS(L87)&lt;=1.96*O87,"Yes","No"))</f>
        <v>Yes</v>
      </c>
      <c r="T87" s="60" t="n">
        <f aca="false">IF(D87="","",ROUND(SQRT(((D87+G87)*O87/100)^2+(J87*(D87+G87)*0.0534)^2),0))</f>
        <v>17</v>
      </c>
      <c r="U87" s="32"/>
    </row>
    <row r="88" customFormat="false" ht="15" hidden="false" customHeight="false" outlineLevel="0" collapsed="false">
      <c r="A88" s="32" t="s">
        <v>222</v>
      </c>
      <c r="B88" s="32" t="s">
        <v>255</v>
      </c>
      <c r="C88" s="32" t="s">
        <v>164</v>
      </c>
      <c r="D88" s="60" t="n">
        <v>1327</v>
      </c>
      <c r="E88" s="60" t="n">
        <v>1456</v>
      </c>
      <c r="F88" s="69" t="n">
        <f aca="false">IF(E88="","",D88-E88)</f>
        <v>-129</v>
      </c>
      <c r="G88" s="60" t="n">
        <v>1724</v>
      </c>
      <c r="H88" s="60" t="n">
        <v>1860</v>
      </c>
      <c r="I88" s="69" t="n">
        <f aca="false">IF(H88="","",G88-H88)</f>
        <v>-136</v>
      </c>
      <c r="J88" s="40" t="n">
        <f aca="false">IF(OR(D88="",D88+G88=0),"",D88/(D88+G88))</f>
        <v>0.434939364142904</v>
      </c>
      <c r="K88" s="40" t="n">
        <f aca="false">IF(E88="","",E88/(E88+H88))</f>
        <v>0.439083232810615</v>
      </c>
      <c r="L88" s="70" t="n">
        <f aca="false">IF(OR(K88="",J88=""),"",(J88-K88)*100)</f>
        <v>-0.414386866771121</v>
      </c>
      <c r="M88" s="36" t="n">
        <v>1.47054296090828</v>
      </c>
      <c r="N88" s="36" t="n">
        <v>2.13726273724932</v>
      </c>
      <c r="O88" s="36" t="n">
        <f aca="false">SQRT(M88^2+N88^2)</f>
        <v>2.59429925180411</v>
      </c>
      <c r="P88" s="40" t="n">
        <f aca="false">IF(J88="","",MAX(0,J88-1.96*O88/100))</f>
        <v>0.384091098807544</v>
      </c>
      <c r="Q88" s="40" t="n">
        <f aca="false">IF(J88="","",MIN(1,J88+1.96*O88/100))</f>
        <v>0.485787629478264</v>
      </c>
      <c r="R88" s="32" t="str">
        <f aca="false">IF(L88="","",IF(ABS(L88)&lt;=O88,"Yes","No"))</f>
        <v>Yes</v>
      </c>
      <c r="S88" s="32" t="str">
        <f aca="false">IF(L88="","",IF(ABS(L88)&lt;=1.96*O88,"Yes","No"))</f>
        <v>Yes</v>
      </c>
      <c r="T88" s="60" t="n">
        <f aca="false">IF(D88="","",ROUND(SQRT(((D88+G88)*O88/100)^2+(J88*(D88+G88)*0.02225)^2),0))</f>
        <v>84</v>
      </c>
      <c r="U88" s="32"/>
    </row>
    <row r="89" customFormat="false" ht="15" hidden="false" customHeight="false" outlineLevel="0" collapsed="false">
      <c r="A89" s="32" t="s">
        <v>222</v>
      </c>
      <c r="B89" s="32" t="s">
        <v>256</v>
      </c>
      <c r="C89" s="32" t="s">
        <v>164</v>
      </c>
      <c r="D89" s="60" t="n">
        <v>1146</v>
      </c>
      <c r="E89" s="60" t="n">
        <v>1340</v>
      </c>
      <c r="F89" s="69" t="n">
        <f aca="false">IF(E89="","",D89-E89)</f>
        <v>-194</v>
      </c>
      <c r="G89" s="60" t="n">
        <v>982</v>
      </c>
      <c r="H89" s="60" t="n">
        <v>953</v>
      </c>
      <c r="I89" s="69" t="n">
        <f aca="false">IF(H89="","",G89-H89)</f>
        <v>29</v>
      </c>
      <c r="J89" s="40" t="n">
        <f aca="false">IF(OR(D89="",D89+G89=0),"",D89/(D89+G89))</f>
        <v>0.538533834586466</v>
      </c>
      <c r="K89" s="40" t="n">
        <f aca="false">IF(E89="","",E89/(E89+H89))</f>
        <v>0.584387265590929</v>
      </c>
      <c r="L89" s="70" t="n">
        <f aca="false">IF(OR(K89="",J89=""),"",(J89-K89)*100)</f>
        <v>-4.58534310044627</v>
      </c>
      <c r="M89" s="36" t="n">
        <v>2.15854184063309</v>
      </c>
      <c r="N89" s="36" t="n">
        <v>2.13726273724932</v>
      </c>
      <c r="O89" s="36" t="n">
        <f aca="false">SQRT(M89^2+N89^2)</f>
        <v>3.03762981381836</v>
      </c>
      <c r="P89" s="40" t="n">
        <f aca="false">IF(J89="","",MAX(0,J89-1.96*O89/100))</f>
        <v>0.478996290235626</v>
      </c>
      <c r="Q89" s="40" t="n">
        <f aca="false">IF(J89="","",MIN(1,J89+1.96*O89/100))</f>
        <v>0.598071378937306</v>
      </c>
      <c r="R89" s="32" t="str">
        <f aca="false">IF(L89="","",IF(ABS(L89)&lt;=O89,"Yes","No"))</f>
        <v>No</v>
      </c>
      <c r="S89" s="32" t="str">
        <f aca="false">IF(L89="","",IF(ABS(L89)&lt;=1.96*O89,"Yes","No"))</f>
        <v>Yes</v>
      </c>
      <c r="T89" s="60" t="n">
        <f aca="false">IF(D89="","",ROUND(SQRT(((D89+G89)*O89/100)^2+(J89*(D89+G89)*0.03811)^2),0))</f>
        <v>78</v>
      </c>
      <c r="U89" s="32"/>
    </row>
    <row r="90" customFormat="false" ht="15" hidden="false" customHeight="false" outlineLevel="0" collapsed="false">
      <c r="A90" s="32" t="s">
        <v>222</v>
      </c>
      <c r="B90" s="32" t="s">
        <v>257</v>
      </c>
      <c r="C90" s="32" t="s">
        <v>164</v>
      </c>
      <c r="D90" s="60" t="n">
        <v>412</v>
      </c>
      <c r="E90" s="60" t="n">
        <v>494</v>
      </c>
      <c r="F90" s="69" t="n">
        <f aca="false">IF(E90="","",D90-E90)</f>
        <v>-82</v>
      </c>
      <c r="G90" s="60" t="n">
        <v>555</v>
      </c>
      <c r="H90" s="60" t="n">
        <v>601</v>
      </c>
      <c r="I90" s="69" t="n">
        <f aca="false">IF(H90="","",G90-H90)</f>
        <v>-46</v>
      </c>
      <c r="J90" s="40" t="n">
        <f aca="false">IF(OR(D90="",D90+G90=0),"",D90/(D90+G90))</f>
        <v>0.426059979317477</v>
      </c>
      <c r="K90" s="40" t="n">
        <f aca="false">IF(E90="","",E90/(E90+H90))</f>
        <v>0.451141552511416</v>
      </c>
      <c r="L90" s="70" t="n">
        <f aca="false">IF(OR(K90="",J90=""),"",(J90-K90)*100)</f>
        <v>-2.50815731939388</v>
      </c>
      <c r="M90" s="36" t="n">
        <v>3.25169568046603</v>
      </c>
      <c r="N90" s="36" t="n">
        <v>2.13726273724932</v>
      </c>
      <c r="O90" s="36" t="n">
        <f aca="false">SQRT(M90^2+N90^2)</f>
        <v>3.89119734868278</v>
      </c>
      <c r="P90" s="40" t="n">
        <f aca="false">IF(J90="","",MAX(0,J90-1.96*O90/100))</f>
        <v>0.349792511283294</v>
      </c>
      <c r="Q90" s="40" t="n">
        <f aca="false">IF(J90="","",MIN(1,J90+1.96*O90/100))</f>
        <v>0.502327447351659</v>
      </c>
      <c r="R90" s="32" t="str">
        <f aca="false">IF(L90="","",IF(ABS(L90)&lt;=O90,"Yes","No"))</f>
        <v>Yes</v>
      </c>
      <c r="S90" s="32" t="str">
        <f aca="false">IF(L90="","",IF(ABS(L90)&lt;=1.96*O90,"Yes","No"))</f>
        <v>Yes</v>
      </c>
      <c r="T90" s="60" t="n">
        <f aca="false">IF(D90="","",ROUND(SQRT(((D90+G90)*O90/100)^2+(J90*(D90+G90)*0.0534)^2),0))</f>
        <v>44</v>
      </c>
      <c r="U90" s="32"/>
    </row>
    <row r="92" customFormat="false" ht="15" hidden="false" customHeight="false" outlineLevel="0" collapsed="false">
      <c r="A92" s="20" t="s">
        <v>377</v>
      </c>
      <c r="B92" s="71"/>
      <c r="C92" s="71"/>
      <c r="D92" s="72" t="n">
        <f aca="false">SUMIF(E2:E90,"&lt;&gt;",D2:D90)</f>
        <v>136457</v>
      </c>
      <c r="E92" s="72" t="n">
        <f aca="false">SUM(E2:E90)</f>
        <v>151364</v>
      </c>
      <c r="F92" s="73" t="n">
        <f aca="false">D92-E92</f>
        <v>-14907</v>
      </c>
      <c r="G92" s="72" t="n">
        <f aca="false">SUMIF(H2:H90,"&lt;&gt;",G2:G90)</f>
        <v>142590</v>
      </c>
      <c r="H92" s="72" t="n">
        <f aca="false">SUM(H2:H90)</f>
        <v>145527</v>
      </c>
      <c r="I92" s="73" t="n">
        <f aca="false">G92-H92</f>
        <v>-2937</v>
      </c>
      <c r="J92" s="74" t="n">
        <f aca="false">D92/(D92+G92)</f>
        <v>0.489010811798729</v>
      </c>
      <c r="K92" s="74" t="n">
        <f aca="false">E92/(E92+H92)</f>
        <v>0.509830207045683</v>
      </c>
      <c r="L92" s="75" t="n">
        <f aca="false">(J92-K92)*100</f>
        <v>-2.08193952469541</v>
      </c>
      <c r="M92" s="76" t="n">
        <v>0</v>
      </c>
      <c r="N92" s="76" t="n">
        <v>2.13726273724932</v>
      </c>
      <c r="O92" s="76" t="n">
        <f aca="false">SQRT(M92^2+N92^2)</f>
        <v>2.13726273724932</v>
      </c>
      <c r="P92" s="74" t="n">
        <f aca="false">J92-1.96*O92/100</f>
        <v>0.447120462148643</v>
      </c>
      <c r="Q92" s="74" t="n">
        <f aca="false">J92+1.96*O92/100</f>
        <v>0.530901161448816</v>
      </c>
      <c r="R92" s="71" t="str">
        <f aca="false">IF(ABS(L92)&lt;=O92,"Yes","No")</f>
        <v>Yes</v>
      </c>
      <c r="S92" s="71" t="str">
        <f aca="false">IF(ABS(L92)&lt;=1.96*O92,"Yes","No")</f>
        <v>Yes</v>
      </c>
      <c r="T92" s="72" t="n">
        <f aca="false">ROUND(SQRT(((D92+G92)*O92/100)^2+(J92*(D92+G92)*0.00561)^2),0)</f>
        <v>6013</v>
      </c>
    </row>
    <row r="93" customFormat="false" ht="15" hidden="false" customHeight="false" outlineLevel="0" collapsed="false">
      <c r="A93" s="20" t="s">
        <v>378</v>
      </c>
      <c r="B93" s="71"/>
      <c r="C93" s="71"/>
      <c r="D93" s="72" t="n">
        <f aca="false">SUM(D2:D90)</f>
        <v>136457</v>
      </c>
      <c r="E93" s="72"/>
      <c r="F93" s="73"/>
      <c r="G93" s="72" t="n">
        <f aca="false">SUM(G2:G90)</f>
        <v>142590</v>
      </c>
      <c r="H93" s="72"/>
      <c r="I93" s="73"/>
      <c r="J93" s="74" t="n">
        <f aca="false">D93/(D93+G93)</f>
        <v>0.489010811798729</v>
      </c>
      <c r="K93" s="74"/>
      <c r="L93" s="75"/>
      <c r="M93" s="76"/>
      <c r="N93" s="76"/>
      <c r="O93" s="76"/>
      <c r="P93" s="74"/>
      <c r="Q93" s="74"/>
      <c r="R93" s="71"/>
      <c r="S93" s="71"/>
      <c r="T93" s="72"/>
    </row>
    <row r="95" customFormat="false" ht="15" hidden="false" customHeight="false" outlineLevel="0" collapsed="false">
      <c r="A95" s="2" t="s">
        <v>379</v>
      </c>
      <c r="F95" s="77" t="n">
        <f aca="false">(SUMIF(F2:F90,"&gt;0")-SUMIF(F2:F90,"&lt;0"))/COUNT(F2:F90)</f>
        <v>168.752808988764</v>
      </c>
    </row>
    <row r="96" customFormat="false" ht="15" hidden="false" customHeight="false" outlineLevel="0" collapsed="false">
      <c r="A96" s="2" t="s">
        <v>380</v>
      </c>
      <c r="F96" s="77" t="n">
        <f aca="false">(SUMIF(I2:I90,"&gt;0")-SUMIF(I2:I90,"&lt;0"))/COUNT(I2:I90)</f>
        <v>146.415730337079</v>
      </c>
    </row>
    <row r="97" customFormat="false" ht="15" hidden="false" customHeight="false" outlineLevel="0" collapsed="false">
      <c r="A97" s="2" t="s">
        <v>381</v>
      </c>
      <c r="F97" s="78" t="n">
        <f aca="false">(SUMIF(L2:L90,"&gt;0")-SUMIF(L2:L90,"&lt;0"))/COUNT(L2:L90)</f>
        <v>2.34002737439246</v>
      </c>
    </row>
    <row r="98" customFormat="false" ht="15" hidden="false" customHeight="false" outlineLevel="0" collapsed="false">
      <c r="A98" s="5" t="s">
        <v>382</v>
      </c>
      <c r="F98" s="79" t="n">
        <f aca="false">SQRT(SUMSQ(L2:L90)/COUNT(L2:L90))</f>
        <v>3.14493131055275</v>
      </c>
    </row>
    <row r="99" customFormat="false" ht="15" hidden="false" customHeight="false" outlineLevel="0" collapsed="false">
      <c r="A99" s="5" t="s">
        <v>383</v>
      </c>
      <c r="F99" s="80" t="n">
        <f aca="false">L92</f>
        <v>-2.08193952469541</v>
      </c>
    </row>
    <row r="100" customFormat="false" ht="15" hidden="false" customHeight="false" outlineLevel="0" collapsed="false">
      <c r="A100" s="5" t="s">
        <v>384</v>
      </c>
      <c r="F100" s="79" t="n">
        <f aca="false">SQRT((SUMSQ(L2:L90)-2*L92*SUM(L2:L90)+COUNT(L2:L90)*L92^2)/COUNT(L2:L90))</f>
        <v>3.06808327381911</v>
      </c>
    </row>
    <row r="101" customFormat="false" ht="15" hidden="false" customHeight="false" outlineLevel="0" collapsed="false">
      <c r="A101" s="2" t="s">
        <v>385</v>
      </c>
      <c r="F101" s="81" t="n">
        <f aca="false">D92/E92-1</f>
        <v>-0.09848444808541</v>
      </c>
    </row>
    <row r="102" customFormat="false" ht="15" hidden="false" customHeight="false" outlineLevel="0" collapsed="false">
      <c r="A102" s="5" t="s">
        <v>386</v>
      </c>
      <c r="F102" s="82" t="n">
        <f aca="false">G92/H92-1</f>
        <v>-0.0201818219299511</v>
      </c>
    </row>
    <row r="103" customFormat="false" ht="15" hidden="false" customHeight="false" outlineLevel="0" collapsed="false">
      <c r="A103" s="2" t="s">
        <v>387</v>
      </c>
      <c r="F103" s="81" t="n">
        <f aca="false">(D92+G92)/(E92+H92)-1</f>
        <v>-0.0601028660350095</v>
      </c>
    </row>
    <row r="104" customFormat="false" ht="15" hidden="false" customHeight="false" outlineLevel="0" collapsed="false">
      <c r="A104" s="2" t="s">
        <v>388</v>
      </c>
      <c r="F104" s="78" t="n">
        <f aca="false">AVERAGE(O2:O90)</f>
        <v>3.17591193949819</v>
      </c>
    </row>
    <row r="105" customFormat="false" ht="15" hidden="false" customHeight="false" outlineLevel="0" collapsed="false">
      <c r="A105" s="5" t="s">
        <v>389</v>
      </c>
      <c r="F105" s="83" t="n">
        <f aca="false">COUNTIF(R2:R90,"Yes")/(COUNTIF(R2:R90,"Yes")+COUNTIF(R2:R90,"No"))</f>
        <v>0.775280898876405</v>
      </c>
    </row>
    <row r="106" customFormat="false" ht="15" hidden="false" customHeight="false" outlineLevel="0" collapsed="false">
      <c r="A106" s="5" t="s">
        <v>390</v>
      </c>
      <c r="F106" s="83" t="n">
        <f aca="false">COUNTIF(S2:S90,"Yes")/(COUNTIF(S2:S90,"Yes")+COUNTIF(S2:S90,"No"))</f>
        <v>0.943820224719101</v>
      </c>
    </row>
    <row r="107" customFormat="false" ht="15" hidden="false" customHeight="false" outlineLevel="0" collapsed="false">
      <c r="A107" s="2" t="s">
        <v>391</v>
      </c>
      <c r="F107" s="84" t="n">
        <f aca="false">COUNTIFS(L2:L90,"&gt;=-3",L2:L90,"&lt;=3")/COUNT(L2:L90)</f>
        <v>0.764044943820225</v>
      </c>
    </row>
    <row r="108" customFormat="false" ht="15" hidden="false" customHeight="false" outlineLevel="0" collapsed="false">
      <c r="A108" s="2" t="s">
        <v>415</v>
      </c>
      <c r="F108" s="85" t="n">
        <f aca="false">COUNT(E2:E90)</f>
        <v>89</v>
      </c>
    </row>
    <row r="109" customFormat="false" ht="15" hidden="false" customHeight="false" outlineLevel="0" collapsed="false">
      <c r="A109" s="2" t="s">
        <v>393</v>
      </c>
      <c r="F109" s="85" t="n">
        <f aca="false">COUNTA(A2:A90)</f>
        <v>89</v>
      </c>
    </row>
    <row r="110" customFormat="false" ht="15" hidden="false" customHeight="false" outlineLevel="0" collapsed="false">
      <c r="A110" s="5" t="s">
        <v>394</v>
      </c>
    </row>
    <row r="111" customFormat="false" ht="15" hidden="false" customHeight="false" outlineLevel="0" collapsed="false">
      <c r="A111" s="2" t="s">
        <v>395</v>
      </c>
      <c r="F111" s="86" t="n">
        <f aca="false">((D92+G92)-(E92+H92))*K92</f>
        <v>-9097.41021452317</v>
      </c>
    </row>
    <row r="112" customFormat="false" ht="15" hidden="false" customHeight="false" outlineLevel="0" collapsed="false">
      <c r="A112" s="2" t="s">
        <v>396</v>
      </c>
      <c r="F112" s="86" t="n">
        <f aca="false">F92-((D92+G92)-(E92+H92))*K92</f>
        <v>-5809.58978547683</v>
      </c>
    </row>
    <row r="113" customFormat="false" ht="15" hidden="false" customHeight="false" outlineLevel="0" collapsed="false">
      <c r="A113" s="2" t="s">
        <v>397</v>
      </c>
      <c r="F113" s="86" t="n">
        <f aca="false">((D92+G92)-(E92+H92))*(1-K92)</f>
        <v>-8746.58978547683</v>
      </c>
    </row>
    <row r="114" customFormat="false" ht="15" hidden="false" customHeight="false" outlineLevel="0" collapsed="false">
      <c r="A114" s="2" t="s">
        <v>398</v>
      </c>
      <c r="F114" s="86" t="n">
        <f aca="false">I92-((D92+G92)-(E92+H92))*(1-K92)</f>
        <v>5809.58978547683</v>
      </c>
    </row>
    <row r="115" customFormat="false" ht="15" hidden="false" customHeight="false" outlineLevel="0" collapsed="false">
      <c r="A115" s="2" t="s">
        <v>399</v>
      </c>
      <c r="F115" s="81" t="n">
        <f aca="false">(F92-((D92+G92)-(E92+H92))*K92)/E92</f>
        <v>-0.0383815820504005</v>
      </c>
    </row>
    <row r="116" customFormat="false" ht="15" hidden="false" customHeight="false" outlineLevel="0" collapsed="false">
      <c r="A116" s="2" t="s">
        <v>400</v>
      </c>
      <c r="F116" s="81" t="n">
        <f aca="false">(I92-((D92+G92)-(E92+H92))*(1-K92))/H92</f>
        <v>0.0399210441050584</v>
      </c>
    </row>
    <row r="118" customFormat="false" ht="15" hidden="false" customHeight="false" outlineLevel="0" collapsed="false">
      <c r="U118" s="5" t="s">
        <v>139</v>
      </c>
    </row>
    <row r="119" customFormat="false" ht="28.35" hidden="false" customHeight="false" outlineLevel="0" collapsed="false">
      <c r="U119" s="68" t="s">
        <v>416</v>
      </c>
    </row>
    <row r="120" customFormat="false" ht="15" hidden="false" customHeight="false" outlineLevel="0" collapsed="false">
      <c r="U120" s="68" t="s">
        <v>402</v>
      </c>
    </row>
    <row r="121" customFormat="false" ht="41.75" hidden="false" customHeight="false" outlineLevel="0" collapsed="false">
      <c r="U121" s="68" t="s">
        <v>411</v>
      </c>
    </row>
    <row r="122" customFormat="false" ht="15" hidden="false" customHeight="false" outlineLevel="0" collapsed="false">
      <c r="U122" s="68" t="s">
        <v>418</v>
      </c>
    </row>
    <row r="123" customFormat="false" ht="28.35" hidden="false" customHeight="false" outlineLevel="0" collapsed="false">
      <c r="U123" s="68" t="s">
        <v>419</v>
      </c>
    </row>
    <row r="124" customFormat="false" ht="28.35" hidden="false" customHeight="false" outlineLevel="0" collapsed="false">
      <c r="U124" s="68" t="s">
        <v>420</v>
      </c>
    </row>
    <row r="125" customFormat="false" ht="28.35" hidden="false" customHeight="false" outlineLevel="0" collapsed="false">
      <c r="U125" s="68" t="s">
        <v>407</v>
      </c>
    </row>
    <row r="126" customFormat="false" ht="41.75" hidden="false" customHeight="false" outlineLevel="0" collapsed="false">
      <c r="U126" s="68" t="s">
        <v>421</v>
      </c>
    </row>
    <row r="127" customFormat="false" ht="15" hidden="false" customHeight="false" outlineLevel="0" collapsed="false">
      <c r="U127" s="68" t="s">
        <v>422</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360</v>
      </c>
      <c r="E1" s="8" t="s">
        <v>361</v>
      </c>
      <c r="F1" s="8" t="s">
        <v>362</v>
      </c>
      <c r="G1" s="8" t="s">
        <v>412</v>
      </c>
      <c r="H1" s="8" t="s">
        <v>364</v>
      </c>
      <c r="I1" s="8" t="s">
        <v>365</v>
      </c>
      <c r="J1" s="8" t="s">
        <v>366</v>
      </c>
      <c r="K1" s="8" t="s">
        <v>367</v>
      </c>
      <c r="L1" s="8" t="s">
        <v>368</v>
      </c>
      <c r="M1" s="8" t="s">
        <v>424</v>
      </c>
      <c r="N1" s="8" t="s">
        <v>425</v>
      </c>
      <c r="O1" s="8" t="s">
        <v>142</v>
      </c>
      <c r="P1" s="8" t="s">
        <v>371</v>
      </c>
      <c r="Q1" s="8" t="s">
        <v>372</v>
      </c>
      <c r="R1" s="8" t="s">
        <v>373</v>
      </c>
      <c r="S1" s="8" t="s">
        <v>374</v>
      </c>
      <c r="T1" s="8" t="s">
        <v>375</v>
      </c>
      <c r="U1" s="8" t="s">
        <v>376</v>
      </c>
    </row>
    <row r="2" customFormat="false" ht="15" hidden="false" customHeight="false" outlineLevel="0" collapsed="false">
      <c r="A2" s="32" t="s">
        <v>162</v>
      </c>
      <c r="B2" s="32" t="s">
        <v>163</v>
      </c>
      <c r="C2" s="32" t="s">
        <v>164</v>
      </c>
      <c r="D2" s="60" t="n">
        <v>226</v>
      </c>
      <c r="E2" s="60" t="n">
        <v>171</v>
      </c>
      <c r="F2" s="69" t="n">
        <f aca="false">IF(E2="","",D2-E2)</f>
        <v>55</v>
      </c>
      <c r="G2" s="60" t="n">
        <v>310</v>
      </c>
      <c r="H2" s="60" t="n">
        <v>332</v>
      </c>
      <c r="I2" s="69" t="n">
        <f aca="false">IF(H2="","",G2-H2)</f>
        <v>-22</v>
      </c>
      <c r="J2" s="40" t="n">
        <f aca="false">IF(OR(D2="",D2+G2=0),"",D2/(D2+G2))</f>
        <v>0.421641791044776</v>
      </c>
      <c r="K2" s="40" t="n">
        <f aca="false">IF(E2="","",E2/(E2+H2))</f>
        <v>0.339960238568589</v>
      </c>
      <c r="L2" s="70" t="n">
        <f aca="false">IF(OR(K2="",J2=""),"",(J2-K2)*100)</f>
        <v>8.16815524761876</v>
      </c>
      <c r="M2" s="36" t="n">
        <v>3.66627757766473</v>
      </c>
      <c r="N2" s="36" t="n">
        <v>1.47485751984182</v>
      </c>
      <c r="O2" s="36" t="n">
        <f aca="false">SQRT(M2^2+N2^2)</f>
        <v>3.95180920343089</v>
      </c>
      <c r="P2" s="40" t="n">
        <f aca="false">IF(J2="","",MAX(0,J2-1.96*O2/100))</f>
        <v>0.344186330657531</v>
      </c>
      <c r="Q2" s="40" t="n">
        <f aca="false">IF(J2="","",MIN(1,J2+1.96*O2/100))</f>
        <v>0.499097251432022</v>
      </c>
      <c r="R2" s="32" t="str">
        <f aca="false">IF(L2="","",IF(ABS(L2)&lt;=O2,"Yes","No"))</f>
        <v>No</v>
      </c>
      <c r="S2" s="32" t="str">
        <f aca="false">IF(L2="","",IF(ABS(L2)&lt;=1.96*O2,"Yes","No"))</f>
        <v>No</v>
      </c>
      <c r="T2" s="60" t="n">
        <f aca="false">IF(D2="","",ROUND(SQRT(((D2+G2)*O2/100)^2+(J2*(D2+G2)*0.07717)^2),0))</f>
        <v>27</v>
      </c>
      <c r="U2" s="32" t="s">
        <v>426</v>
      </c>
    </row>
    <row r="3" customFormat="false" ht="15" hidden="false" customHeight="false" outlineLevel="0" collapsed="false">
      <c r="A3" s="32" t="s">
        <v>162</v>
      </c>
      <c r="B3" s="32" t="s">
        <v>168</v>
      </c>
      <c r="C3" s="32" t="s">
        <v>164</v>
      </c>
      <c r="D3" s="60" t="n">
        <v>145</v>
      </c>
      <c r="E3" s="60" t="n">
        <v>100</v>
      </c>
      <c r="F3" s="69" t="n">
        <f aca="false">IF(E3="","",D3-E3)</f>
        <v>45</v>
      </c>
      <c r="G3" s="60" t="n">
        <v>272</v>
      </c>
      <c r="H3" s="60" t="n">
        <v>303</v>
      </c>
      <c r="I3" s="69" t="n">
        <f aca="false">IF(H3="","",G3-H3)</f>
        <v>-31</v>
      </c>
      <c r="J3" s="40" t="n">
        <f aca="false">IF(OR(D3="",D3+G3=0),"",D3/(D3+G3))</f>
        <v>0.347721822541966</v>
      </c>
      <c r="K3" s="40" t="n">
        <f aca="false">IF(E3="","",E3/(E3+H3))</f>
        <v>0.248138957816377</v>
      </c>
      <c r="L3" s="70" t="n">
        <f aca="false">IF(OR(K3="",J3=""),"",(J3-K3)*100)</f>
        <v>9.95828647255893</v>
      </c>
      <c r="M3" s="36" t="n">
        <v>3.66627757766473</v>
      </c>
      <c r="N3" s="36" t="n">
        <v>1.47485751984182</v>
      </c>
      <c r="O3" s="36" t="n">
        <f aca="false">SQRT(M3^2+N3^2)</f>
        <v>3.95180920343089</v>
      </c>
      <c r="P3" s="40" t="n">
        <f aca="false">IF(J3="","",MAX(0,J3-1.96*O3/100))</f>
        <v>0.270266362154721</v>
      </c>
      <c r="Q3" s="40" t="n">
        <f aca="false">IF(J3="","",MIN(1,J3+1.96*O3/100))</f>
        <v>0.425177282929212</v>
      </c>
      <c r="R3" s="32" t="str">
        <f aca="false">IF(L3="","",IF(ABS(L3)&lt;=O3,"Yes","No"))</f>
        <v>No</v>
      </c>
      <c r="S3" s="32" t="str">
        <f aca="false">IF(L3="","",IF(ABS(L3)&lt;=1.96*O3,"Yes","No"))</f>
        <v>No</v>
      </c>
      <c r="T3" s="60" t="n">
        <f aca="false">IF(D3="","",ROUND(SQRT(((D3+G3)*O3/100)^2+(J3*(D3+G3)*0.07717)^2),0))</f>
        <v>20</v>
      </c>
      <c r="U3" s="32" t="s">
        <v>426</v>
      </c>
    </row>
    <row r="4" customFormat="false" ht="15" hidden="false" customHeight="false" outlineLevel="0" collapsed="false">
      <c r="A4" s="32" t="s">
        <v>162</v>
      </c>
      <c r="B4" s="32" t="s">
        <v>169</v>
      </c>
      <c r="C4" s="32" t="s">
        <v>164</v>
      </c>
      <c r="D4" s="60" t="n">
        <v>182</v>
      </c>
      <c r="E4" s="60" t="n">
        <v>111</v>
      </c>
      <c r="F4" s="69" t="n">
        <f aca="false">IF(E4="","",D4-E4)</f>
        <v>71</v>
      </c>
      <c r="G4" s="60" t="n">
        <v>300</v>
      </c>
      <c r="H4" s="60" t="n">
        <v>317</v>
      </c>
      <c r="I4" s="69" t="n">
        <f aca="false">IF(H4="","",G4-H4)</f>
        <v>-17</v>
      </c>
      <c r="J4" s="40" t="n">
        <f aca="false">IF(OR(D4="",D4+G4=0),"",D4/(D4+G4))</f>
        <v>0.377593360995851</v>
      </c>
      <c r="K4" s="40" t="n">
        <f aca="false">IF(E4="","",E4/(E4+H4))</f>
        <v>0.259345794392523</v>
      </c>
      <c r="L4" s="70" t="n">
        <f aca="false">IF(OR(K4="",J4=""),"",(J4-K4)*100)</f>
        <v>11.8247566603327</v>
      </c>
      <c r="M4" s="36" t="n">
        <v>3.66627757766473</v>
      </c>
      <c r="N4" s="36" t="n">
        <v>1.47485751984182</v>
      </c>
      <c r="O4" s="36" t="n">
        <f aca="false">SQRT(M4^2+N4^2)</f>
        <v>3.95180920343089</v>
      </c>
      <c r="P4" s="40" t="n">
        <f aca="false">IF(J4="","",MAX(0,J4-1.96*O4/100))</f>
        <v>0.300137900608605</v>
      </c>
      <c r="Q4" s="40" t="n">
        <f aca="false">IF(J4="","",MIN(1,J4+1.96*O4/100))</f>
        <v>0.455048821383096</v>
      </c>
      <c r="R4" s="32" t="str">
        <f aca="false">IF(L4="","",IF(ABS(L4)&lt;=O4,"Yes","No"))</f>
        <v>No</v>
      </c>
      <c r="S4" s="32" t="str">
        <f aca="false">IF(L4="","",IF(ABS(L4)&lt;=1.96*O4,"Yes","No"))</f>
        <v>No</v>
      </c>
      <c r="T4" s="60" t="n">
        <f aca="false">IF(D4="","",ROUND(SQRT(((D4+G4)*O4/100)^2+(J4*(D4+G4)*0.07717)^2),0))</f>
        <v>24</v>
      </c>
      <c r="U4" s="32" t="s">
        <v>426</v>
      </c>
    </row>
    <row r="5" customFormat="false" ht="15" hidden="false" customHeight="false" outlineLevel="0" collapsed="false">
      <c r="A5" s="32" t="s">
        <v>162</v>
      </c>
      <c r="B5" s="32" t="s">
        <v>170</v>
      </c>
      <c r="C5" s="32" t="s">
        <v>164</v>
      </c>
      <c r="D5" s="60" t="n">
        <v>550</v>
      </c>
      <c r="E5" s="60" t="n">
        <v>390</v>
      </c>
      <c r="F5" s="69" t="n">
        <f aca="false">IF(E5="","",D5-E5)</f>
        <v>160</v>
      </c>
      <c r="G5" s="60" t="n">
        <v>1135</v>
      </c>
      <c r="H5" s="60" t="n">
        <v>1180</v>
      </c>
      <c r="I5" s="69" t="n">
        <f aca="false">IF(H5="","",G5-H5)</f>
        <v>-45</v>
      </c>
      <c r="J5" s="40" t="n">
        <f aca="false">IF(OR(D5="",D5+G5=0),"",D5/(D5+G5))</f>
        <v>0.326409495548961</v>
      </c>
      <c r="K5" s="40" t="n">
        <f aca="false">IF(E5="","",E5/(E5+H5))</f>
        <v>0.248407643312102</v>
      </c>
      <c r="L5" s="70" t="n">
        <f aca="false">IF(OR(K5="",J5=""),"",(J5-K5)*100)</f>
        <v>7.80018522368595</v>
      </c>
      <c r="M5" s="36" t="n">
        <v>1.97364055856013</v>
      </c>
      <c r="N5" s="36" t="n">
        <v>1.47485751984182</v>
      </c>
      <c r="O5" s="36" t="n">
        <f aca="false">SQRT(M5^2+N5^2)</f>
        <v>2.46383070811034</v>
      </c>
      <c r="P5" s="40" t="n">
        <f aca="false">IF(J5="","",MAX(0,J5-1.96*O5/100))</f>
        <v>0.278118413669999</v>
      </c>
      <c r="Q5" s="40" t="n">
        <f aca="false">IF(J5="","",MIN(1,J5+1.96*O5/100))</f>
        <v>0.374700577427924</v>
      </c>
      <c r="R5" s="32" t="str">
        <f aca="false">IF(L5="","",IF(ABS(L5)&lt;=O5,"Yes","No"))</f>
        <v>No</v>
      </c>
      <c r="S5" s="32" t="str">
        <f aca="false">IF(L5="","",IF(ABS(L5)&lt;=1.96*O5,"Yes","No"))</f>
        <v>No</v>
      </c>
      <c r="T5" s="60" t="n">
        <f aca="false">IF(D5="","",ROUND(SQRT(((D5+G5)*O5/100)^2+(J5*(D5+G5)*0.05992)^2),0))</f>
        <v>53</v>
      </c>
      <c r="U5" s="32" t="s">
        <v>426</v>
      </c>
    </row>
    <row r="6" customFormat="false" ht="15" hidden="false" customHeight="false" outlineLevel="0" collapsed="false">
      <c r="A6" s="32" t="s">
        <v>162</v>
      </c>
      <c r="B6" s="32" t="s">
        <v>172</v>
      </c>
      <c r="C6" s="32" t="s">
        <v>164</v>
      </c>
      <c r="D6" s="60" t="n">
        <v>54</v>
      </c>
      <c r="E6" s="60" t="n">
        <v>47</v>
      </c>
      <c r="F6" s="69" t="n">
        <f aca="false">IF(E6="","",D6-E6)</f>
        <v>7</v>
      </c>
      <c r="G6" s="60" t="n">
        <v>72</v>
      </c>
      <c r="H6" s="60" t="n">
        <v>74</v>
      </c>
      <c r="I6" s="69" t="n">
        <f aca="false">IF(H6="","",G6-H6)</f>
        <v>-2</v>
      </c>
      <c r="J6" s="40" t="n">
        <f aca="false">IF(OR(D6="",D6+G6=0),"",D6/(D6+G6))</f>
        <v>0.428571428571429</v>
      </c>
      <c r="K6" s="40" t="n">
        <f aca="false">IF(E6="","",E6/(E6+H6))</f>
        <v>0.388429752066116</v>
      </c>
      <c r="L6" s="70" t="n">
        <f aca="false">IF(OR(K6="",J6=""),"",(J6-K6)*100)</f>
        <v>4.01416765053129</v>
      </c>
      <c r="M6" s="36" t="n">
        <v>3.66627757766473</v>
      </c>
      <c r="N6" s="36" t="n">
        <v>1.47485751984182</v>
      </c>
      <c r="O6" s="36" t="n">
        <f aca="false">SQRT(M6^2+N6^2)</f>
        <v>3.95180920343089</v>
      </c>
      <c r="P6" s="40" t="n">
        <f aca="false">IF(J6="","",MAX(0,J6-1.96*O6/100))</f>
        <v>0.351115968184183</v>
      </c>
      <c r="Q6" s="40" t="n">
        <f aca="false">IF(J6="","",MIN(1,J6+1.96*O6/100))</f>
        <v>0.506026888958674</v>
      </c>
      <c r="R6" s="32" t="str">
        <f aca="false">IF(L6="","",IF(ABS(L6)&lt;=O6,"Yes","No"))</f>
        <v>No</v>
      </c>
      <c r="S6" s="32" t="str">
        <f aca="false">IF(L6="","",IF(ABS(L6)&lt;=1.96*O6,"Yes","No"))</f>
        <v>Yes</v>
      </c>
      <c r="T6" s="60" t="n">
        <f aca="false">IF(D6="","",ROUND(SQRT(((D6+G6)*O6/100)^2+(J6*(D6+G6)*0.07717)^2),0))</f>
        <v>6</v>
      </c>
      <c r="U6" s="32" t="s">
        <v>426</v>
      </c>
    </row>
    <row r="7" customFormat="false" ht="15" hidden="false" customHeight="false" outlineLevel="0" collapsed="false">
      <c r="A7" s="32" t="s">
        <v>162</v>
      </c>
      <c r="B7" s="32" t="s">
        <v>173</v>
      </c>
      <c r="C7" s="32" t="s">
        <v>164</v>
      </c>
      <c r="D7" s="60" t="n">
        <v>825</v>
      </c>
      <c r="E7" s="60" t="n">
        <v>631</v>
      </c>
      <c r="F7" s="69" t="n">
        <f aca="false">IF(E7="","",D7-E7)</f>
        <v>194</v>
      </c>
      <c r="G7" s="60" t="n">
        <v>1757</v>
      </c>
      <c r="H7" s="60" t="n">
        <v>1828</v>
      </c>
      <c r="I7" s="69" t="n">
        <f aca="false">IF(H7="","",G7-H7)</f>
        <v>-71</v>
      </c>
      <c r="J7" s="40" t="n">
        <f aca="false">IF(OR(D7="",D7+G7=0),"",D7/(D7+G7))</f>
        <v>0.319519752130132</v>
      </c>
      <c r="K7" s="40" t="n">
        <f aca="false">IF(E7="","",E7/(E7+H7))</f>
        <v>0.256608377389183</v>
      </c>
      <c r="L7" s="70" t="n">
        <f aca="false">IF(OR(K7="",J7=""),"",(J7-K7)*100)</f>
        <v>6.29113747409491</v>
      </c>
      <c r="M7" s="36" t="n">
        <v>1.97364055856013</v>
      </c>
      <c r="N7" s="36" t="n">
        <v>1.47485751984182</v>
      </c>
      <c r="O7" s="36" t="n">
        <f aca="false">SQRT(M7^2+N7^2)</f>
        <v>2.46383070811034</v>
      </c>
      <c r="P7" s="40" t="n">
        <f aca="false">IF(J7="","",MAX(0,J7-1.96*O7/100))</f>
        <v>0.271228670251169</v>
      </c>
      <c r="Q7" s="40" t="n">
        <f aca="false">IF(J7="","",MIN(1,J7+1.96*O7/100))</f>
        <v>0.367810834009094</v>
      </c>
      <c r="R7" s="32" t="str">
        <f aca="false">IF(L7="","",IF(ABS(L7)&lt;=O7,"Yes","No"))</f>
        <v>No</v>
      </c>
      <c r="S7" s="32" t="str">
        <f aca="false">IF(L7="","",IF(ABS(L7)&lt;=1.96*O7,"Yes","No"))</f>
        <v>No</v>
      </c>
      <c r="T7" s="60" t="n">
        <f aca="false">IF(D7="","",ROUND(SQRT(((D7+G7)*O7/100)^2+(J7*(D7+G7)*0.05992)^2),0))</f>
        <v>81</v>
      </c>
      <c r="U7" s="32" t="s">
        <v>426</v>
      </c>
    </row>
    <row r="8" customFormat="false" ht="15" hidden="false" customHeight="false" outlineLevel="0" collapsed="false">
      <c r="A8" s="32" t="s">
        <v>162</v>
      </c>
      <c r="B8" s="32" t="s">
        <v>174</v>
      </c>
      <c r="C8" s="32" t="s">
        <v>164</v>
      </c>
      <c r="D8" s="60" t="n">
        <v>1327</v>
      </c>
      <c r="E8" s="60" t="n">
        <v>1060</v>
      </c>
      <c r="F8" s="69" t="n">
        <f aca="false">IF(E8="","",D8-E8)</f>
        <v>267</v>
      </c>
      <c r="G8" s="60" t="n">
        <v>1420</v>
      </c>
      <c r="H8" s="60" t="n">
        <v>1517</v>
      </c>
      <c r="I8" s="69" t="n">
        <f aca="false">IF(H8="","",G8-H8)</f>
        <v>-97</v>
      </c>
      <c r="J8" s="40" t="n">
        <f aca="false">IF(OR(D8="",D8+G8=0),"",D8/(D8+G8))</f>
        <v>0.483072442664725</v>
      </c>
      <c r="K8" s="40" t="n">
        <f aca="false">IF(E8="","",E8/(E8+H8))</f>
        <v>0.411331005044626</v>
      </c>
      <c r="L8" s="70" t="n">
        <f aca="false">IF(OR(K8="",J8=""),"",(J8-K8)*100)</f>
        <v>7.17414376200996</v>
      </c>
      <c r="M8" s="36" t="n">
        <v>1.97364055856013</v>
      </c>
      <c r="N8" s="36" t="n">
        <v>1.47485751984182</v>
      </c>
      <c r="O8" s="36" t="n">
        <f aca="false">SQRT(M8^2+N8^2)</f>
        <v>2.46383070811034</v>
      </c>
      <c r="P8" s="40" t="n">
        <f aca="false">IF(J8="","",MAX(0,J8-1.96*O8/100))</f>
        <v>0.434781360785763</v>
      </c>
      <c r="Q8" s="40" t="n">
        <f aca="false">IF(J8="","",MIN(1,J8+1.96*O8/100))</f>
        <v>0.531363524543688</v>
      </c>
      <c r="R8" s="32" t="str">
        <f aca="false">IF(L8="","",IF(ABS(L8)&lt;=O8,"Yes","No"))</f>
        <v>No</v>
      </c>
      <c r="S8" s="32" t="str">
        <f aca="false">IF(L8="","",IF(ABS(L8)&lt;=1.96*O8,"Yes","No"))</f>
        <v>No</v>
      </c>
      <c r="T8" s="60" t="n">
        <f aca="false">IF(D8="","",ROUND(SQRT(((D8+G8)*O8/100)^2+(J8*(D8+G8)*0.05992)^2),0))</f>
        <v>104</v>
      </c>
      <c r="U8" s="32" t="s">
        <v>426</v>
      </c>
    </row>
    <row r="9" customFormat="false" ht="15" hidden="false" customHeight="false" outlineLevel="0" collapsed="false">
      <c r="A9" s="32" t="s">
        <v>162</v>
      </c>
      <c r="B9" s="32" t="s">
        <v>175</v>
      </c>
      <c r="C9" s="32" t="s">
        <v>164</v>
      </c>
      <c r="D9" s="60" t="n">
        <v>395</v>
      </c>
      <c r="E9" s="60" t="n">
        <v>335</v>
      </c>
      <c r="F9" s="69" t="n">
        <f aca="false">IF(E9="","",D9-E9)</f>
        <v>60</v>
      </c>
      <c r="G9" s="60" t="n">
        <v>719</v>
      </c>
      <c r="H9" s="60" t="n">
        <v>766</v>
      </c>
      <c r="I9" s="69" t="n">
        <f aca="false">IF(H9="","",G9-H9)</f>
        <v>-47</v>
      </c>
      <c r="J9" s="40" t="n">
        <f aca="false">IF(OR(D9="",D9+G9=0),"",D9/(D9+G9))</f>
        <v>0.354578096947935</v>
      </c>
      <c r="K9" s="40" t="n">
        <f aca="false">IF(E9="","",E9/(E9+H9))</f>
        <v>0.304268846503179</v>
      </c>
      <c r="L9" s="70" t="n">
        <f aca="false">IF(OR(K9="",J9=""),"",(J9-K9)*100)</f>
        <v>5.03092504447564</v>
      </c>
      <c r="M9" s="36" t="n">
        <v>3.66627757766473</v>
      </c>
      <c r="N9" s="36" t="n">
        <v>1.47485751984182</v>
      </c>
      <c r="O9" s="36" t="n">
        <f aca="false">SQRT(M9^2+N9^2)</f>
        <v>3.95180920343089</v>
      </c>
      <c r="P9" s="40" t="n">
        <f aca="false">IF(J9="","",MAX(0,J9-1.96*O9/100))</f>
        <v>0.27712263656069</v>
      </c>
      <c r="Q9" s="40" t="n">
        <f aca="false">IF(J9="","",MIN(1,J9+1.96*O9/100))</f>
        <v>0.432033557335181</v>
      </c>
      <c r="R9" s="32" t="str">
        <f aca="false">IF(L9="","",IF(ABS(L9)&lt;=O9,"Yes","No"))</f>
        <v>No</v>
      </c>
      <c r="S9" s="32" t="str">
        <f aca="false">IF(L9="","",IF(ABS(L9)&lt;=1.96*O9,"Yes","No"))</f>
        <v>Yes</v>
      </c>
      <c r="T9" s="60" t="n">
        <f aca="false">IF(D9="","",ROUND(SQRT(((D9+G9)*O9/100)^2+(J9*(D9+G9)*0.07717)^2),0))</f>
        <v>54</v>
      </c>
      <c r="U9" s="32" t="s">
        <v>426</v>
      </c>
    </row>
    <row r="10" customFormat="false" ht="15" hidden="false" customHeight="false" outlineLevel="0" collapsed="false">
      <c r="A10" s="32" t="s">
        <v>162</v>
      </c>
      <c r="B10" s="32" t="s">
        <v>176</v>
      </c>
      <c r="C10" s="32" t="s">
        <v>164</v>
      </c>
      <c r="D10" s="60" t="n">
        <v>733</v>
      </c>
      <c r="E10" s="60" t="n">
        <v>614</v>
      </c>
      <c r="F10" s="69" t="n">
        <f aca="false">IF(E10="","",D10-E10)</f>
        <v>119</v>
      </c>
      <c r="G10" s="60" t="n">
        <v>775</v>
      </c>
      <c r="H10" s="60" t="n">
        <v>846</v>
      </c>
      <c r="I10" s="69" t="n">
        <f aca="false">IF(H10="","",G10-H10)</f>
        <v>-71</v>
      </c>
      <c r="J10" s="40" t="n">
        <f aca="false">IF(OR(D10="",D10+G10=0),"",D10/(D10+G10))</f>
        <v>0.486074270557029</v>
      </c>
      <c r="K10" s="40" t="n">
        <f aca="false">IF(E10="","",E10/(E10+H10))</f>
        <v>0.420547945205479</v>
      </c>
      <c r="L10" s="70" t="n">
        <f aca="false">IF(OR(K10="",J10=""),"",(J10-K10)*100)</f>
        <v>6.55263253515497</v>
      </c>
      <c r="M10" s="36" t="n">
        <v>3.66627757766473</v>
      </c>
      <c r="N10" s="36" t="n">
        <v>1.47485751984182</v>
      </c>
      <c r="O10" s="36" t="n">
        <f aca="false">SQRT(M10^2+N10^2)</f>
        <v>3.95180920343089</v>
      </c>
      <c r="P10" s="40" t="n">
        <f aca="false">IF(J10="","",MAX(0,J10-1.96*O10/100))</f>
        <v>0.408618810169784</v>
      </c>
      <c r="Q10" s="40" t="n">
        <f aca="false">IF(J10="","",MIN(1,J10+1.96*O10/100))</f>
        <v>0.563529730944275</v>
      </c>
      <c r="R10" s="32" t="str">
        <f aca="false">IF(L10="","",IF(ABS(L10)&lt;=O10,"Yes","No"))</f>
        <v>No</v>
      </c>
      <c r="S10" s="32" t="str">
        <f aca="false">IF(L10="","",IF(ABS(L10)&lt;=1.96*O10,"Yes","No"))</f>
        <v>Yes</v>
      </c>
      <c r="T10" s="60" t="n">
        <f aca="false">IF(D10="","",ROUND(SQRT(((D10+G10)*O10/100)^2+(J10*(D10+G10)*0.07717)^2),0))</f>
        <v>82</v>
      </c>
      <c r="U10" s="32" t="s">
        <v>426</v>
      </c>
    </row>
    <row r="11" customFormat="false" ht="15" hidden="false" customHeight="false" outlineLevel="0" collapsed="false">
      <c r="A11" s="32" t="s">
        <v>162</v>
      </c>
      <c r="B11" s="32" t="s">
        <v>177</v>
      </c>
      <c r="C11" s="32" t="s">
        <v>164</v>
      </c>
      <c r="D11" s="60" t="n">
        <v>46</v>
      </c>
      <c r="E11" s="60" t="n">
        <v>42</v>
      </c>
      <c r="F11" s="69" t="n">
        <f aca="false">IF(E11="","",D11-E11)</f>
        <v>4</v>
      </c>
      <c r="G11" s="60" t="n">
        <v>101</v>
      </c>
      <c r="H11" s="60" t="n">
        <v>99</v>
      </c>
      <c r="I11" s="69" t="n">
        <f aca="false">IF(H11="","",G11-H11)</f>
        <v>2</v>
      </c>
      <c r="J11" s="40" t="n">
        <f aca="false">IF(OR(D11="",D11+G11=0),"",D11/(D11+G11))</f>
        <v>0.312925170068027</v>
      </c>
      <c r="K11" s="40" t="n">
        <f aca="false">IF(E11="","",E11/(E11+H11))</f>
        <v>0.297872340425532</v>
      </c>
      <c r="L11" s="70" t="n">
        <f aca="false">IF(OR(K11="",J11=""),"",(J11-K11)*100)</f>
        <v>1.50528296424953</v>
      </c>
      <c r="M11" s="36" t="n">
        <v>3.66627757766473</v>
      </c>
      <c r="N11" s="36" t="n">
        <v>1.47485751984182</v>
      </c>
      <c r="O11" s="36" t="n">
        <f aca="false">SQRT(M11^2+N11^2)</f>
        <v>3.95180920343089</v>
      </c>
      <c r="P11" s="40" t="n">
        <f aca="false">IF(J11="","",MAX(0,J11-1.96*O11/100))</f>
        <v>0.235469709680782</v>
      </c>
      <c r="Q11" s="40" t="n">
        <f aca="false">IF(J11="","",MIN(1,J11+1.96*O11/100))</f>
        <v>0.390380630455273</v>
      </c>
      <c r="R11" s="32" t="str">
        <f aca="false">IF(L11="","",IF(ABS(L11)&lt;=O11,"Yes","No"))</f>
        <v>Yes</v>
      </c>
      <c r="S11" s="32" t="str">
        <f aca="false">IF(L11="","",IF(ABS(L11)&lt;=1.96*O11,"Yes","No"))</f>
        <v>Yes</v>
      </c>
      <c r="T11" s="60" t="n">
        <f aca="false">IF(D11="","",ROUND(SQRT(((D11+G11)*O11/100)^2+(J11*(D11+G11)*0.07717)^2),0))</f>
        <v>7</v>
      </c>
      <c r="U11" s="32" t="s">
        <v>426</v>
      </c>
    </row>
    <row r="12" customFormat="false" ht="15" hidden="false" customHeight="false" outlineLevel="0" collapsed="false">
      <c r="A12" s="32" t="s">
        <v>162</v>
      </c>
      <c r="B12" s="32" t="s">
        <v>178</v>
      </c>
      <c r="C12" s="32" t="s">
        <v>164</v>
      </c>
      <c r="D12" s="60" t="n">
        <v>72</v>
      </c>
      <c r="E12" s="60" t="n">
        <v>51</v>
      </c>
      <c r="F12" s="69" t="n">
        <f aca="false">IF(E12="","",D12-E12)</f>
        <v>21</v>
      </c>
      <c r="G12" s="60" t="n">
        <v>212</v>
      </c>
      <c r="H12" s="60" t="n">
        <v>223</v>
      </c>
      <c r="I12" s="69" t="n">
        <f aca="false">IF(H12="","",G12-H12)</f>
        <v>-11</v>
      </c>
      <c r="J12" s="40" t="n">
        <f aca="false">IF(OR(D12="",D12+G12=0),"",D12/(D12+G12))</f>
        <v>0.253521126760563</v>
      </c>
      <c r="K12" s="40" t="n">
        <f aca="false">IF(E12="","",E12/(E12+H12))</f>
        <v>0.186131386861314</v>
      </c>
      <c r="L12" s="70" t="n">
        <f aca="false">IF(OR(K12="",J12=""),"",(J12-K12)*100)</f>
        <v>6.73897398992495</v>
      </c>
      <c r="M12" s="36" t="n">
        <v>3.66627757766473</v>
      </c>
      <c r="N12" s="36" t="n">
        <v>1.47485751984182</v>
      </c>
      <c r="O12" s="36" t="n">
        <f aca="false">SQRT(M12^2+N12^2)</f>
        <v>3.95180920343089</v>
      </c>
      <c r="P12" s="40" t="n">
        <f aca="false">IF(J12="","",MAX(0,J12-1.96*O12/100))</f>
        <v>0.176065666373318</v>
      </c>
      <c r="Q12" s="40" t="n">
        <f aca="false">IF(J12="","",MIN(1,J12+1.96*O12/100))</f>
        <v>0.330976587147809</v>
      </c>
      <c r="R12" s="32" t="str">
        <f aca="false">IF(L12="","",IF(ABS(L12)&lt;=O12,"Yes","No"))</f>
        <v>No</v>
      </c>
      <c r="S12" s="32" t="str">
        <f aca="false">IF(L12="","",IF(ABS(L12)&lt;=1.96*O12,"Yes","No"))</f>
        <v>Yes</v>
      </c>
      <c r="T12" s="60" t="n">
        <f aca="false">IF(D12="","",ROUND(SQRT(((D12+G12)*O12/100)^2+(J12*(D12+G12)*0.07717)^2),0))</f>
        <v>13</v>
      </c>
      <c r="U12" s="32" t="s">
        <v>426</v>
      </c>
    </row>
    <row r="13" customFormat="false" ht="15" hidden="false" customHeight="false" outlineLevel="0" collapsed="false">
      <c r="A13" s="32" t="s">
        <v>162</v>
      </c>
      <c r="B13" s="32" t="s">
        <v>179</v>
      </c>
      <c r="C13" s="32" t="s">
        <v>164</v>
      </c>
      <c r="D13" s="60" t="n">
        <v>1067</v>
      </c>
      <c r="E13" s="60" t="n">
        <v>841</v>
      </c>
      <c r="F13" s="69" t="n">
        <f aca="false">IF(E13="","",D13-E13)</f>
        <v>226</v>
      </c>
      <c r="G13" s="60" t="n">
        <v>1349</v>
      </c>
      <c r="H13" s="60" t="n">
        <v>1410</v>
      </c>
      <c r="I13" s="69" t="n">
        <f aca="false">IF(H13="","",G13-H13)</f>
        <v>-61</v>
      </c>
      <c r="J13" s="40" t="n">
        <f aca="false">IF(OR(D13="",D13+G13=0),"",D13/(D13+G13))</f>
        <v>0.441639072847682</v>
      </c>
      <c r="K13" s="40" t="n">
        <f aca="false">IF(E13="","",E13/(E13+H13))</f>
        <v>0.373611728120835</v>
      </c>
      <c r="L13" s="70" t="n">
        <f aca="false">IF(OR(K13="",J13=""),"",(J13-K13)*100)</f>
        <v>6.80273447268469</v>
      </c>
      <c r="M13" s="36" t="n">
        <v>1.97364055856013</v>
      </c>
      <c r="N13" s="36" t="n">
        <v>1.47485751984182</v>
      </c>
      <c r="O13" s="36" t="n">
        <f aca="false">SQRT(M13^2+N13^2)</f>
        <v>2.46383070811034</v>
      </c>
      <c r="P13" s="40" t="n">
        <f aca="false">IF(J13="","",MAX(0,J13-1.96*O13/100))</f>
        <v>0.39334799096872</v>
      </c>
      <c r="Q13" s="40" t="n">
        <f aca="false">IF(J13="","",MIN(1,J13+1.96*O13/100))</f>
        <v>0.489930154726645</v>
      </c>
      <c r="R13" s="32" t="str">
        <f aca="false">IF(L13="","",IF(ABS(L13)&lt;=O13,"Yes","No"))</f>
        <v>No</v>
      </c>
      <c r="S13" s="32" t="str">
        <f aca="false">IF(L13="","",IF(ABS(L13)&lt;=1.96*O13,"Yes","No"))</f>
        <v>No</v>
      </c>
      <c r="T13" s="60" t="n">
        <f aca="false">IF(D13="","",ROUND(SQRT(((D13+G13)*O13/100)^2+(J13*(D13+G13)*0.05992)^2),0))</f>
        <v>87</v>
      </c>
      <c r="U13" s="32" t="s">
        <v>426</v>
      </c>
    </row>
    <row r="14" customFormat="false" ht="15" hidden="false" customHeight="false" outlineLevel="0" collapsed="false">
      <c r="A14" s="32" t="s">
        <v>162</v>
      </c>
      <c r="B14" s="32" t="s">
        <v>180</v>
      </c>
      <c r="C14" s="32" t="s">
        <v>164</v>
      </c>
      <c r="D14" s="60" t="n">
        <v>626</v>
      </c>
      <c r="E14" s="60" t="n">
        <v>489</v>
      </c>
      <c r="F14" s="69" t="n">
        <f aca="false">IF(E14="","",D14-E14)</f>
        <v>137</v>
      </c>
      <c r="G14" s="60" t="n">
        <v>1152</v>
      </c>
      <c r="H14" s="60" t="n">
        <v>1164</v>
      </c>
      <c r="I14" s="69" t="n">
        <f aca="false">IF(H14="","",G14-H14)</f>
        <v>-12</v>
      </c>
      <c r="J14" s="40" t="n">
        <f aca="false">IF(OR(D14="",D14+G14=0),"",D14/(D14+G14))</f>
        <v>0.352080989876265</v>
      </c>
      <c r="K14" s="40" t="n">
        <f aca="false">IF(E14="","",E14/(E14+H14))</f>
        <v>0.295825771324864</v>
      </c>
      <c r="L14" s="70" t="n">
        <f aca="false">IF(OR(K14="",J14=""),"",(J14-K14)*100)</f>
        <v>5.62552185514016</v>
      </c>
      <c r="M14" s="36" t="n">
        <v>1.97364055856013</v>
      </c>
      <c r="N14" s="36" t="n">
        <v>1.47485751984182</v>
      </c>
      <c r="O14" s="36" t="n">
        <f aca="false">SQRT(M14^2+N14^2)</f>
        <v>2.46383070811034</v>
      </c>
      <c r="P14" s="40" t="n">
        <f aca="false">IF(J14="","",MAX(0,J14-1.96*O14/100))</f>
        <v>0.303789907997303</v>
      </c>
      <c r="Q14" s="40" t="n">
        <f aca="false">IF(J14="","",MIN(1,J14+1.96*O14/100))</f>
        <v>0.400372071755228</v>
      </c>
      <c r="R14" s="32" t="str">
        <f aca="false">IF(L14="","",IF(ABS(L14)&lt;=O14,"Yes","No"))</f>
        <v>No</v>
      </c>
      <c r="S14" s="32" t="str">
        <f aca="false">IF(L14="","",IF(ABS(L14)&lt;=1.96*O14,"Yes","No"))</f>
        <v>No</v>
      </c>
      <c r="T14" s="60" t="n">
        <f aca="false">IF(D14="","",ROUND(SQRT(((D14+G14)*O14/100)^2+(J14*(D14+G14)*0.05992)^2),0))</f>
        <v>58</v>
      </c>
      <c r="U14" s="32" t="s">
        <v>426</v>
      </c>
    </row>
    <row r="15" customFormat="false" ht="15" hidden="false" customHeight="false" outlineLevel="0" collapsed="false">
      <c r="A15" s="32" t="s">
        <v>162</v>
      </c>
      <c r="B15" s="32" t="s">
        <v>181</v>
      </c>
      <c r="C15" s="32" t="s">
        <v>164</v>
      </c>
      <c r="D15" s="60" t="n">
        <v>762</v>
      </c>
      <c r="E15" s="60" t="n">
        <v>563</v>
      </c>
      <c r="F15" s="69" t="n">
        <f aca="false">IF(E15="","",D15-E15)</f>
        <v>199</v>
      </c>
      <c r="G15" s="60" t="n">
        <v>1554</v>
      </c>
      <c r="H15" s="60" t="n">
        <v>1559</v>
      </c>
      <c r="I15" s="69" t="n">
        <f aca="false">IF(H15="","",G15-H15)</f>
        <v>-5</v>
      </c>
      <c r="J15" s="40" t="n">
        <f aca="false">IF(OR(D15="",D15+G15=0),"",D15/(D15+G15))</f>
        <v>0.329015544041451</v>
      </c>
      <c r="K15" s="40" t="n">
        <f aca="false">IF(E15="","",E15/(E15+H15))</f>
        <v>0.265315739868049</v>
      </c>
      <c r="L15" s="70" t="n">
        <f aca="false">IF(OR(K15="",J15=""),"",(J15-K15)*100)</f>
        <v>6.36998041734018</v>
      </c>
      <c r="M15" s="36" t="n">
        <v>1.97364055856013</v>
      </c>
      <c r="N15" s="36" t="n">
        <v>1.47485751984182</v>
      </c>
      <c r="O15" s="36" t="n">
        <f aca="false">SQRT(M15^2+N15^2)</f>
        <v>2.46383070811034</v>
      </c>
      <c r="P15" s="40" t="n">
        <f aca="false">IF(J15="","",MAX(0,J15-1.96*O15/100))</f>
        <v>0.280724462162488</v>
      </c>
      <c r="Q15" s="40" t="n">
        <f aca="false">IF(J15="","",MIN(1,J15+1.96*O15/100))</f>
        <v>0.377306625920413</v>
      </c>
      <c r="R15" s="32" t="str">
        <f aca="false">IF(L15="","",IF(ABS(L15)&lt;=O15,"Yes","No"))</f>
        <v>No</v>
      </c>
      <c r="S15" s="32" t="str">
        <f aca="false">IF(L15="","",IF(ABS(L15)&lt;=1.96*O15,"Yes","No"))</f>
        <v>No</v>
      </c>
      <c r="T15" s="60" t="n">
        <f aca="false">IF(D15="","",ROUND(SQRT(((D15+G15)*O15/100)^2+(J15*(D15+G15)*0.05992)^2),0))</f>
        <v>73</v>
      </c>
      <c r="U15" s="32" t="s">
        <v>426</v>
      </c>
    </row>
    <row r="16" customFormat="false" ht="15" hidden="false" customHeight="false" outlineLevel="0" collapsed="false">
      <c r="A16" s="32" t="s">
        <v>162</v>
      </c>
      <c r="B16" s="32" t="s">
        <v>182</v>
      </c>
      <c r="C16" s="32" t="s">
        <v>164</v>
      </c>
      <c r="D16" s="60" t="n">
        <v>740</v>
      </c>
      <c r="E16" s="60" t="n">
        <v>574</v>
      </c>
      <c r="F16" s="69" t="n">
        <f aca="false">IF(E16="","",D16-E16)</f>
        <v>166</v>
      </c>
      <c r="G16" s="60" t="n">
        <v>903</v>
      </c>
      <c r="H16" s="60" t="n">
        <v>963</v>
      </c>
      <c r="I16" s="69" t="n">
        <f aca="false">IF(H16="","",G16-H16)</f>
        <v>-60</v>
      </c>
      <c r="J16" s="40" t="n">
        <f aca="false">IF(OR(D16="",D16+G16=0),"",D16/(D16+G16))</f>
        <v>0.450395617772368</v>
      </c>
      <c r="K16" s="40" t="n">
        <f aca="false">IF(E16="","",E16/(E16+H16))</f>
        <v>0.373454782042941</v>
      </c>
      <c r="L16" s="70" t="n">
        <f aca="false">IF(OR(K16="",J16=""),"",(J16-K16)*100)</f>
        <v>7.69408357294268</v>
      </c>
      <c r="M16" s="36" t="n">
        <v>1.97364055856013</v>
      </c>
      <c r="N16" s="36" t="n">
        <v>1.47485751984182</v>
      </c>
      <c r="O16" s="36" t="n">
        <f aca="false">SQRT(M16^2+N16^2)</f>
        <v>2.46383070811034</v>
      </c>
      <c r="P16" s="40" t="n">
        <f aca="false">IF(J16="","",MAX(0,J16-1.96*O16/100))</f>
        <v>0.402104535893405</v>
      </c>
      <c r="Q16" s="40" t="n">
        <f aca="false">IF(J16="","",MIN(1,J16+1.96*O16/100))</f>
        <v>0.49868669965133</v>
      </c>
      <c r="R16" s="32" t="str">
        <f aca="false">IF(L16="","",IF(ABS(L16)&lt;=O16,"Yes","No"))</f>
        <v>No</v>
      </c>
      <c r="S16" s="32" t="str">
        <f aca="false">IF(L16="","",IF(ABS(L16)&lt;=1.96*O16,"Yes","No"))</f>
        <v>No</v>
      </c>
      <c r="T16" s="60" t="n">
        <f aca="false">IF(D16="","",ROUND(SQRT(((D16+G16)*O16/100)^2+(J16*(D16+G16)*0.05992)^2),0))</f>
        <v>60</v>
      </c>
      <c r="U16" s="32" t="s">
        <v>426</v>
      </c>
    </row>
    <row r="17" customFormat="false" ht="15" hidden="false" customHeight="false" outlineLevel="0" collapsed="false">
      <c r="A17" s="32" t="s">
        <v>162</v>
      </c>
      <c r="B17" s="32" t="s">
        <v>183</v>
      </c>
      <c r="C17" s="32" t="s">
        <v>164</v>
      </c>
      <c r="D17" s="60" t="n">
        <v>166</v>
      </c>
      <c r="E17" s="60" t="n">
        <v>109</v>
      </c>
      <c r="F17" s="69" t="n">
        <f aca="false">IF(E17="","",D17-E17)</f>
        <v>57</v>
      </c>
      <c r="G17" s="60" t="n">
        <v>522</v>
      </c>
      <c r="H17" s="60" t="n">
        <v>531</v>
      </c>
      <c r="I17" s="69" t="n">
        <f aca="false">IF(H17="","",G17-H17)</f>
        <v>-9</v>
      </c>
      <c r="J17" s="40" t="n">
        <f aca="false">IF(OR(D17="",D17+G17=0),"",D17/(D17+G17))</f>
        <v>0.241279069767442</v>
      </c>
      <c r="K17" s="40" t="n">
        <f aca="false">IF(E17="","",E17/(E17+H17))</f>
        <v>0.1703125</v>
      </c>
      <c r="L17" s="70" t="n">
        <f aca="false">IF(OR(K17="",J17=""),"",(J17-K17)*100)</f>
        <v>7.09665697674419</v>
      </c>
      <c r="M17" s="36" t="n">
        <v>3.66627757766473</v>
      </c>
      <c r="N17" s="36" t="n">
        <v>1.47485751984182</v>
      </c>
      <c r="O17" s="36" t="n">
        <f aca="false">SQRT(M17^2+N17^2)</f>
        <v>3.95180920343089</v>
      </c>
      <c r="P17" s="40" t="n">
        <f aca="false">IF(J17="","",MAX(0,J17-1.96*O17/100))</f>
        <v>0.163823609380196</v>
      </c>
      <c r="Q17" s="40" t="n">
        <f aca="false">IF(J17="","",MIN(1,J17+1.96*O17/100))</f>
        <v>0.318734530154687</v>
      </c>
      <c r="R17" s="32" t="str">
        <f aca="false">IF(L17="","",IF(ABS(L17)&lt;=O17,"Yes","No"))</f>
        <v>No</v>
      </c>
      <c r="S17" s="32" t="str">
        <f aca="false">IF(L17="","",IF(ABS(L17)&lt;=1.96*O17,"Yes","No"))</f>
        <v>Yes</v>
      </c>
      <c r="T17" s="60" t="n">
        <f aca="false">IF(D17="","",ROUND(SQRT(((D17+G17)*O17/100)^2+(J17*(D17+G17)*0.07717)^2),0))</f>
        <v>30</v>
      </c>
      <c r="U17" s="32" t="s">
        <v>426</v>
      </c>
    </row>
    <row r="18" customFormat="false" ht="15" hidden="false" customHeight="false" outlineLevel="0" collapsed="false">
      <c r="A18" s="32" t="s">
        <v>162</v>
      </c>
      <c r="B18" s="32" t="s">
        <v>184</v>
      </c>
      <c r="C18" s="32" t="s">
        <v>164</v>
      </c>
      <c r="D18" s="60" t="n">
        <v>1121</v>
      </c>
      <c r="E18" s="60" t="n">
        <v>863</v>
      </c>
      <c r="F18" s="69" t="n">
        <f aca="false">IF(E18="","",D18-E18)</f>
        <v>258</v>
      </c>
      <c r="G18" s="60" t="n">
        <v>1577</v>
      </c>
      <c r="H18" s="60" t="n">
        <v>1676</v>
      </c>
      <c r="I18" s="69" t="n">
        <f aca="false">IF(H18="","",G18-H18)</f>
        <v>-99</v>
      </c>
      <c r="J18" s="40" t="n">
        <f aca="false">IF(OR(D18="",D18+G18=0),"",D18/(D18+G18))</f>
        <v>0.415492957746479</v>
      </c>
      <c r="K18" s="40" t="n">
        <f aca="false">IF(E18="","",E18/(E18+H18))</f>
        <v>0.339897597479323</v>
      </c>
      <c r="L18" s="70" t="n">
        <f aca="false">IF(OR(K18="",J18=""),"",(J18-K18)*100)</f>
        <v>7.55953602671563</v>
      </c>
      <c r="M18" s="36" t="n">
        <v>1.97364055856013</v>
      </c>
      <c r="N18" s="36" t="n">
        <v>1.47485751984182</v>
      </c>
      <c r="O18" s="36" t="n">
        <f aca="false">SQRT(M18^2+N18^2)</f>
        <v>2.46383070811034</v>
      </c>
      <c r="P18" s="40" t="n">
        <f aca="false">IF(J18="","",MAX(0,J18-1.96*O18/100))</f>
        <v>0.367201875867516</v>
      </c>
      <c r="Q18" s="40" t="n">
        <f aca="false">IF(J18="","",MIN(1,J18+1.96*O18/100))</f>
        <v>0.463784039625441</v>
      </c>
      <c r="R18" s="32" t="str">
        <f aca="false">IF(L18="","",IF(ABS(L18)&lt;=O18,"Yes","No"))</f>
        <v>No</v>
      </c>
      <c r="S18" s="32" t="str">
        <f aca="false">IF(L18="","",IF(ABS(L18)&lt;=1.96*O18,"Yes","No"))</f>
        <v>No</v>
      </c>
      <c r="T18" s="60" t="n">
        <f aca="false">IF(D18="","",ROUND(SQRT(((D18+G18)*O18/100)^2+(J18*(D18+G18)*0.05992)^2),0))</f>
        <v>95</v>
      </c>
      <c r="U18" s="32" t="s">
        <v>426</v>
      </c>
    </row>
    <row r="19" customFormat="false" ht="15" hidden="false" customHeight="false" outlineLevel="0" collapsed="false">
      <c r="A19" s="32" t="s">
        <v>162</v>
      </c>
      <c r="B19" s="32" t="s">
        <v>185</v>
      </c>
      <c r="C19" s="32" t="s">
        <v>164</v>
      </c>
      <c r="D19" s="60" t="n">
        <v>82</v>
      </c>
      <c r="E19" s="60" t="n">
        <v>52</v>
      </c>
      <c r="F19" s="69" t="n">
        <f aca="false">IF(E19="","",D19-E19)</f>
        <v>30</v>
      </c>
      <c r="G19" s="60" t="n">
        <v>159</v>
      </c>
      <c r="H19" s="60" t="n">
        <v>167</v>
      </c>
      <c r="I19" s="69" t="n">
        <f aca="false">IF(H19="","",G19-H19)</f>
        <v>-8</v>
      </c>
      <c r="J19" s="40" t="n">
        <f aca="false">IF(OR(D19="",D19+G19=0),"",D19/(D19+G19))</f>
        <v>0.340248962655602</v>
      </c>
      <c r="K19" s="40" t="n">
        <f aca="false">IF(E19="","",E19/(E19+H19))</f>
        <v>0.237442922374429</v>
      </c>
      <c r="L19" s="70" t="n">
        <f aca="false">IF(OR(K19="",J19=""),"",(J19-K19)*100)</f>
        <v>10.2806040281172</v>
      </c>
      <c r="M19" s="36" t="n">
        <v>3.66627757766473</v>
      </c>
      <c r="N19" s="36" t="n">
        <v>1.47485751984182</v>
      </c>
      <c r="O19" s="36" t="n">
        <f aca="false">SQRT(M19^2+N19^2)</f>
        <v>3.95180920343089</v>
      </c>
      <c r="P19" s="40" t="n">
        <f aca="false">IF(J19="","",MAX(0,J19-1.96*O19/100))</f>
        <v>0.262793502268356</v>
      </c>
      <c r="Q19" s="40" t="n">
        <f aca="false">IF(J19="","",MIN(1,J19+1.96*O19/100))</f>
        <v>0.417704423042847</v>
      </c>
      <c r="R19" s="32" t="str">
        <f aca="false">IF(L19="","",IF(ABS(L19)&lt;=O19,"Yes","No"))</f>
        <v>No</v>
      </c>
      <c r="S19" s="32" t="str">
        <f aca="false">IF(L19="","",IF(ABS(L19)&lt;=1.96*O19,"Yes","No"))</f>
        <v>No</v>
      </c>
      <c r="T19" s="60" t="n">
        <f aca="false">IF(D19="","",ROUND(SQRT(((D19+G19)*O19/100)^2+(J19*(D19+G19)*0.07717)^2),0))</f>
        <v>11</v>
      </c>
      <c r="U19" s="32" t="s">
        <v>426</v>
      </c>
    </row>
    <row r="20" customFormat="false" ht="15" hidden="false" customHeight="false" outlineLevel="0" collapsed="false">
      <c r="A20" s="32" t="s">
        <v>162</v>
      </c>
      <c r="B20" s="32" t="s">
        <v>186</v>
      </c>
      <c r="C20" s="32" t="s">
        <v>164</v>
      </c>
      <c r="D20" s="60" t="n">
        <v>2384</v>
      </c>
      <c r="E20" s="60" t="n">
        <v>1997</v>
      </c>
      <c r="F20" s="69" t="n">
        <f aca="false">IF(E20="","",D20-E20)</f>
        <v>387</v>
      </c>
      <c r="G20" s="60" t="n">
        <v>3627</v>
      </c>
      <c r="H20" s="60" t="n">
        <v>3474</v>
      </c>
      <c r="I20" s="69" t="n">
        <f aca="false">IF(H20="","",G20-H20)</f>
        <v>153</v>
      </c>
      <c r="J20" s="40" t="n">
        <f aca="false">IF(OR(D20="",D20+G20=0),"",D20/(D20+G20))</f>
        <v>0.396606221926468</v>
      </c>
      <c r="K20" s="40" t="n">
        <f aca="false">IF(E20="","",E20/(E20+H20))</f>
        <v>0.365015536464997</v>
      </c>
      <c r="L20" s="70" t="n">
        <f aca="false">IF(OR(K20="",J20=""),"",(J20-K20)*100)</f>
        <v>3.15906854614709</v>
      </c>
      <c r="M20" s="36" t="n">
        <v>2.59370925945702</v>
      </c>
      <c r="N20" s="36" t="n">
        <v>1.47485751984182</v>
      </c>
      <c r="O20" s="36" t="n">
        <f aca="false">SQRT(M20^2+N20^2)</f>
        <v>2.98371118348058</v>
      </c>
      <c r="P20" s="40" t="n">
        <f aca="false">IF(J20="","",MAX(0,J20-1.96*O20/100))</f>
        <v>0.338125482730249</v>
      </c>
      <c r="Q20" s="40" t="n">
        <f aca="false">IF(J20="","",MIN(1,J20+1.96*O20/100))</f>
        <v>0.455086961122687</v>
      </c>
      <c r="R20" s="32" t="str">
        <f aca="false">IF(L20="","",IF(ABS(L20)&lt;=O20,"Yes","No"))</f>
        <v>No</v>
      </c>
      <c r="S20" s="32" t="str">
        <f aca="false">IF(L20="","",IF(ABS(L20)&lt;=1.96*O20,"Yes","No"))</f>
        <v>Yes</v>
      </c>
      <c r="T20" s="60" t="n">
        <f aca="false">IF(D20="","",ROUND(SQRT(((D20+G20)*O20/100)^2+(J20*(D20+G20)*0.05437)^2),0))</f>
        <v>221</v>
      </c>
      <c r="U20" s="32" t="s">
        <v>426</v>
      </c>
    </row>
    <row r="21" customFormat="false" ht="15" hidden="false" customHeight="false" outlineLevel="0" collapsed="false">
      <c r="A21" s="32" t="s">
        <v>162</v>
      </c>
      <c r="B21" s="32" t="s">
        <v>188</v>
      </c>
      <c r="C21" s="32" t="s">
        <v>164</v>
      </c>
      <c r="D21" s="60" t="n">
        <v>776</v>
      </c>
      <c r="E21" s="60" t="n">
        <v>620</v>
      </c>
      <c r="F21" s="69" t="n">
        <f aca="false">IF(E21="","",D21-E21)</f>
        <v>156</v>
      </c>
      <c r="G21" s="60" t="n">
        <v>796</v>
      </c>
      <c r="H21" s="60" t="n">
        <v>917</v>
      </c>
      <c r="I21" s="69" t="n">
        <f aca="false">IF(H21="","",G21-H21)</f>
        <v>-121</v>
      </c>
      <c r="J21" s="40" t="n">
        <f aca="false">IF(OR(D21="",D21+G21=0),"",D21/(D21+G21))</f>
        <v>0.493638676844784</v>
      </c>
      <c r="K21" s="40" t="n">
        <f aca="false">IF(E21="","",E21/(E21+H21))</f>
        <v>0.403383214053351</v>
      </c>
      <c r="L21" s="70" t="n">
        <f aca="false">IF(OR(K21="",J21=""),"",(J21-K21)*100)</f>
        <v>9.0255462791433</v>
      </c>
      <c r="M21" s="36" t="n">
        <v>1.97364055856013</v>
      </c>
      <c r="N21" s="36" t="n">
        <v>1.47485751984182</v>
      </c>
      <c r="O21" s="36" t="n">
        <f aca="false">SQRT(M21^2+N21^2)</f>
        <v>2.46383070811034</v>
      </c>
      <c r="P21" s="40" t="n">
        <f aca="false">IF(J21="","",MAX(0,J21-1.96*O21/100))</f>
        <v>0.445347594965821</v>
      </c>
      <c r="Q21" s="40" t="n">
        <f aca="false">IF(J21="","",MIN(1,J21+1.96*O21/100))</f>
        <v>0.541929758723746</v>
      </c>
      <c r="R21" s="32" t="str">
        <f aca="false">IF(L21="","",IF(ABS(L21)&lt;=O21,"Yes","No"))</f>
        <v>No</v>
      </c>
      <c r="S21" s="32" t="str">
        <f aca="false">IF(L21="","",IF(ABS(L21)&lt;=1.96*O21,"Yes","No"))</f>
        <v>No</v>
      </c>
      <c r="T21" s="60" t="n">
        <f aca="false">IF(D21="","",ROUND(SQRT(((D21+G21)*O21/100)^2+(J21*(D21+G21)*0.05992)^2),0))</f>
        <v>61</v>
      </c>
      <c r="U21" s="32" t="s">
        <v>426</v>
      </c>
    </row>
    <row r="22" customFormat="false" ht="15" hidden="false" customHeight="false" outlineLevel="0" collapsed="false">
      <c r="A22" s="32" t="s">
        <v>162</v>
      </c>
      <c r="B22" s="32" t="s">
        <v>189</v>
      </c>
      <c r="C22" s="32" t="s">
        <v>164</v>
      </c>
      <c r="D22" s="60" t="n">
        <v>929</v>
      </c>
      <c r="E22" s="60" t="n">
        <v>723</v>
      </c>
      <c r="F22" s="69" t="n">
        <f aca="false">IF(E22="","",D22-E22)</f>
        <v>206</v>
      </c>
      <c r="G22" s="60" t="n">
        <v>1797</v>
      </c>
      <c r="H22" s="60" t="n">
        <v>1892</v>
      </c>
      <c r="I22" s="69" t="n">
        <f aca="false">IF(H22="","",G22-H22)</f>
        <v>-95</v>
      </c>
      <c r="J22" s="40" t="n">
        <f aca="false">IF(OR(D22="",D22+G22=0),"",D22/(D22+G22))</f>
        <v>0.340792369772561</v>
      </c>
      <c r="K22" s="40" t="n">
        <f aca="false">IF(E22="","",E22/(E22+H22))</f>
        <v>0.276481835564054</v>
      </c>
      <c r="L22" s="70" t="n">
        <f aca="false">IF(OR(K22="",J22=""),"",(J22-K22)*100)</f>
        <v>6.4310534208507</v>
      </c>
      <c r="M22" s="36" t="n">
        <v>1.97364055856013</v>
      </c>
      <c r="N22" s="36" t="n">
        <v>1.47485751984182</v>
      </c>
      <c r="O22" s="36" t="n">
        <f aca="false">SQRT(M22^2+N22^2)</f>
        <v>2.46383070811034</v>
      </c>
      <c r="P22" s="40" t="n">
        <f aca="false">IF(J22="","",MAX(0,J22-1.96*O22/100))</f>
        <v>0.292501287893598</v>
      </c>
      <c r="Q22" s="40" t="n">
        <f aca="false">IF(J22="","",MIN(1,J22+1.96*O22/100))</f>
        <v>0.389083451651523</v>
      </c>
      <c r="R22" s="32" t="str">
        <f aca="false">IF(L22="","",IF(ABS(L22)&lt;=O22,"Yes","No"))</f>
        <v>No</v>
      </c>
      <c r="S22" s="32" t="str">
        <f aca="false">IF(L22="","",IF(ABS(L22)&lt;=1.96*O22,"Yes","No"))</f>
        <v>No</v>
      </c>
      <c r="T22" s="60" t="n">
        <f aca="false">IF(D22="","",ROUND(SQRT(((D22+G22)*O22/100)^2+(J22*(D22+G22)*0.05992)^2),0))</f>
        <v>87</v>
      </c>
      <c r="U22" s="32" t="s">
        <v>426</v>
      </c>
    </row>
    <row r="23" customFormat="false" ht="15" hidden="false" customHeight="false" outlineLevel="0" collapsed="false">
      <c r="A23" s="32" t="s">
        <v>162</v>
      </c>
      <c r="B23" s="32" t="s">
        <v>190</v>
      </c>
      <c r="C23" s="32" t="s">
        <v>164</v>
      </c>
      <c r="D23" s="60" t="n">
        <v>402</v>
      </c>
      <c r="E23" s="60" t="n">
        <v>323</v>
      </c>
      <c r="F23" s="69" t="n">
        <f aca="false">IF(E23="","",D23-E23)</f>
        <v>79</v>
      </c>
      <c r="G23" s="60" t="n">
        <v>831</v>
      </c>
      <c r="H23" s="60" t="n">
        <v>898</v>
      </c>
      <c r="I23" s="69" t="n">
        <f aca="false">IF(H23="","",G23-H23)</f>
        <v>-67</v>
      </c>
      <c r="J23" s="40" t="n">
        <f aca="false">IF(OR(D23="",D23+G23=0),"",D23/(D23+G23))</f>
        <v>0.326034063260341</v>
      </c>
      <c r="K23" s="40" t="n">
        <f aca="false">IF(E23="","",E23/(E23+H23))</f>
        <v>0.264537264537265</v>
      </c>
      <c r="L23" s="70" t="n">
        <f aca="false">IF(OR(K23="",J23=""),"",(J23-K23)*100)</f>
        <v>6.14967987230761</v>
      </c>
      <c r="M23" s="36" t="n">
        <v>3.66627757766473</v>
      </c>
      <c r="N23" s="36" t="n">
        <v>1.47485751984182</v>
      </c>
      <c r="O23" s="36" t="n">
        <f aca="false">SQRT(M23^2+N23^2)</f>
        <v>3.95180920343089</v>
      </c>
      <c r="P23" s="40" t="n">
        <f aca="false">IF(J23="","",MAX(0,J23-1.96*O23/100))</f>
        <v>0.248578602873095</v>
      </c>
      <c r="Q23" s="40" t="n">
        <f aca="false">IF(J23="","",MIN(1,J23+1.96*O23/100))</f>
        <v>0.403489523647586</v>
      </c>
      <c r="R23" s="32" t="str">
        <f aca="false">IF(L23="","",IF(ABS(L23)&lt;=O23,"Yes","No"))</f>
        <v>No</v>
      </c>
      <c r="S23" s="32" t="str">
        <f aca="false">IF(L23="","",IF(ABS(L23)&lt;=1.96*O23,"Yes","No"))</f>
        <v>Yes</v>
      </c>
      <c r="T23" s="60" t="n">
        <f aca="false">IF(D23="","",ROUND(SQRT(((D23+G23)*O23/100)^2+(J23*(D23+G23)*0.07717)^2),0))</f>
        <v>58</v>
      </c>
      <c r="U23" s="32" t="s">
        <v>426</v>
      </c>
    </row>
    <row r="24" customFormat="false" ht="15" hidden="false" customHeight="false" outlineLevel="0" collapsed="false">
      <c r="A24" s="32" t="s">
        <v>162</v>
      </c>
      <c r="B24" s="32" t="s">
        <v>191</v>
      </c>
      <c r="C24" s="32" t="s">
        <v>164</v>
      </c>
      <c r="D24" s="60" t="n">
        <v>84</v>
      </c>
      <c r="E24" s="60" t="n">
        <v>62</v>
      </c>
      <c r="F24" s="69" t="n">
        <f aca="false">IF(E24="","",D24-E24)</f>
        <v>22</v>
      </c>
      <c r="G24" s="60" t="n">
        <v>90</v>
      </c>
      <c r="H24" s="60" t="n">
        <v>91</v>
      </c>
      <c r="I24" s="69" t="n">
        <f aca="false">IF(H24="","",G24-H24)</f>
        <v>-1</v>
      </c>
      <c r="J24" s="40" t="n">
        <f aca="false">IF(OR(D24="",D24+G24=0),"",D24/(D24+G24))</f>
        <v>0.482758620689655</v>
      </c>
      <c r="K24" s="40" t="n">
        <f aca="false">IF(E24="","",E24/(E24+H24))</f>
        <v>0.405228758169935</v>
      </c>
      <c r="L24" s="70" t="n">
        <f aca="false">IF(OR(K24="",J24=""),"",(J24-K24)*100)</f>
        <v>7.75298625197206</v>
      </c>
      <c r="M24" s="36" t="n">
        <v>3.66627757766473</v>
      </c>
      <c r="N24" s="36" t="n">
        <v>1.47485751984182</v>
      </c>
      <c r="O24" s="36" t="n">
        <f aca="false">SQRT(M24^2+N24^2)</f>
        <v>3.95180920343089</v>
      </c>
      <c r="P24" s="40" t="n">
        <f aca="false">IF(J24="","",MAX(0,J24-1.96*O24/100))</f>
        <v>0.40530316030241</v>
      </c>
      <c r="Q24" s="40" t="n">
        <f aca="false">IF(J24="","",MIN(1,J24+1.96*O24/100))</f>
        <v>0.560214081076901</v>
      </c>
      <c r="R24" s="32" t="str">
        <f aca="false">IF(L24="","",IF(ABS(L24)&lt;=O24,"Yes","No"))</f>
        <v>No</v>
      </c>
      <c r="S24" s="32" t="str">
        <f aca="false">IF(L24="","",IF(ABS(L24)&lt;=1.96*O24,"Yes","No"))</f>
        <v>No</v>
      </c>
      <c r="T24" s="60" t="n">
        <f aca="false">IF(D24="","",ROUND(SQRT(((D24+G24)*O24/100)^2+(J24*(D24+G24)*0.07717)^2),0))</f>
        <v>9</v>
      </c>
      <c r="U24" s="32" t="s">
        <v>426</v>
      </c>
    </row>
    <row r="25" customFormat="false" ht="15" hidden="false" customHeight="false" outlineLevel="0" collapsed="false">
      <c r="A25" s="32" t="s">
        <v>192</v>
      </c>
      <c r="B25" s="32" t="s">
        <v>193</v>
      </c>
      <c r="C25" s="32" t="s">
        <v>164</v>
      </c>
      <c r="D25" s="60" t="n">
        <v>703</v>
      </c>
      <c r="E25" s="60" t="n">
        <v>644</v>
      </c>
      <c r="F25" s="69" t="n">
        <f aca="false">IF(E25="","",D25-E25)</f>
        <v>59</v>
      </c>
      <c r="G25" s="60" t="n">
        <v>630</v>
      </c>
      <c r="H25" s="60" t="n">
        <v>735</v>
      </c>
      <c r="I25" s="69" t="n">
        <f aca="false">IF(H25="","",G25-H25)</f>
        <v>-105</v>
      </c>
      <c r="J25" s="40" t="n">
        <f aca="false">IF(OR(D25="",D25+G25=0),"",D25/(D25+G25))</f>
        <v>0.527381845461365</v>
      </c>
      <c r="K25" s="40" t="n">
        <f aca="false">IF(E25="","",E25/(E25+H25))</f>
        <v>0.467005076142132</v>
      </c>
      <c r="L25" s="70" t="n">
        <f aca="false">IF(OR(K25="",J25=""),"",(J25-K25)*100)</f>
        <v>6.03767693192334</v>
      </c>
      <c r="M25" s="36" t="n">
        <v>3.66627757766473</v>
      </c>
      <c r="N25" s="36" t="n">
        <v>1.47485751984182</v>
      </c>
      <c r="O25" s="36" t="n">
        <f aca="false">SQRT(M25^2+N25^2)</f>
        <v>3.95180920343089</v>
      </c>
      <c r="P25" s="40" t="n">
        <f aca="false">IF(J25="","",MAX(0,J25-1.96*O25/100))</f>
        <v>0.44992638507412</v>
      </c>
      <c r="Q25" s="40" t="n">
        <f aca="false">IF(J25="","",MIN(1,J25+1.96*O25/100))</f>
        <v>0.604837305848611</v>
      </c>
      <c r="R25" s="32" t="str">
        <f aca="false">IF(L25="","",IF(ABS(L25)&lt;=O25,"Yes","No"))</f>
        <v>No</v>
      </c>
      <c r="S25" s="32" t="str">
        <f aca="false">IF(L25="","",IF(ABS(L25)&lt;=1.96*O25,"Yes","No"))</f>
        <v>Yes</v>
      </c>
      <c r="T25" s="60" t="n">
        <f aca="false">IF(D25="","",ROUND(SQRT(((D25+G25)*O25/100)^2+(J25*(D25+G25)*0.07717)^2),0))</f>
        <v>76</v>
      </c>
      <c r="U25" s="32"/>
    </row>
    <row r="26" customFormat="false" ht="15" hidden="false" customHeight="false" outlineLevel="0" collapsed="false">
      <c r="A26" s="32" t="s">
        <v>192</v>
      </c>
      <c r="B26" s="32" t="s">
        <v>194</v>
      </c>
      <c r="C26" s="32" t="s">
        <v>164</v>
      </c>
      <c r="D26" s="60" t="n">
        <v>28391</v>
      </c>
      <c r="E26" s="60" t="n">
        <v>27952</v>
      </c>
      <c r="F26" s="69" t="n">
        <f aca="false">IF(E26="","",D26-E26)</f>
        <v>439</v>
      </c>
      <c r="G26" s="60" t="n">
        <v>11975</v>
      </c>
      <c r="H26" s="60" t="n">
        <v>12938</v>
      </c>
      <c r="I26" s="69" t="n">
        <f aca="false">IF(H26="","",G26-H26)</f>
        <v>-963</v>
      </c>
      <c r="J26" s="40" t="n">
        <f aca="false">IF(OR(D26="",D26+G26=0),"",D26/(D26+G26))</f>
        <v>0.703339444086608</v>
      </c>
      <c r="K26" s="40" t="n">
        <f aca="false">IF(E26="","",E26/(E26+H26))</f>
        <v>0.6835901198337</v>
      </c>
      <c r="L26" s="70" t="n">
        <f aca="false">IF(OR(K26="",J26=""),"",(J26-K26)*100)</f>
        <v>1.97493242529073</v>
      </c>
      <c r="M26" s="36" t="n">
        <v>2.59370925945702</v>
      </c>
      <c r="N26" s="36" t="n">
        <v>1.47485751984182</v>
      </c>
      <c r="O26" s="36" t="n">
        <f aca="false">SQRT(M26^2+N26^2)</f>
        <v>2.98371118348058</v>
      </c>
      <c r="P26" s="40" t="n">
        <f aca="false">IF(J26="","",MAX(0,J26-1.96*O26/100))</f>
        <v>0.644858704890388</v>
      </c>
      <c r="Q26" s="40" t="n">
        <f aca="false">IF(J26="","",MIN(1,J26+1.96*O26/100))</f>
        <v>0.761820183282827</v>
      </c>
      <c r="R26" s="32" t="str">
        <f aca="false">IF(L26="","",IF(ABS(L26)&lt;=O26,"Yes","No"))</f>
        <v>Yes</v>
      </c>
      <c r="S26" s="32" t="str">
        <f aca="false">IF(L26="","",IF(ABS(L26)&lt;=1.96*O26,"Yes","No"))</f>
        <v>Yes</v>
      </c>
      <c r="T26" s="60" t="n">
        <f aca="false">IF(D26="","",ROUND(SQRT(((D26+G26)*O26/100)^2+(J26*(D26+G26)*0.05437)^2),0))</f>
        <v>1958</v>
      </c>
      <c r="U26" s="32"/>
    </row>
    <row r="27" customFormat="false" ht="15" hidden="false" customHeight="false" outlineLevel="0" collapsed="false">
      <c r="A27" s="32" t="s">
        <v>192</v>
      </c>
      <c r="B27" s="32" t="s">
        <v>195</v>
      </c>
      <c r="C27" s="32" t="s">
        <v>164</v>
      </c>
      <c r="D27" s="60" t="n">
        <v>6647</v>
      </c>
      <c r="E27" s="60" t="n">
        <v>6475</v>
      </c>
      <c r="F27" s="69" t="n">
        <f aca="false">IF(E27="","",D27-E27)</f>
        <v>172</v>
      </c>
      <c r="G27" s="60" t="n">
        <v>3425</v>
      </c>
      <c r="H27" s="60" t="n">
        <v>3784</v>
      </c>
      <c r="I27" s="69" t="n">
        <f aca="false">IF(H27="","",G27-H27)</f>
        <v>-359</v>
      </c>
      <c r="J27" s="40" t="n">
        <f aca="false">IF(OR(D27="",D27+G27=0),"",D27/(D27+G27))</f>
        <v>0.65994837172359</v>
      </c>
      <c r="K27" s="40" t="n">
        <f aca="false">IF(E27="","",E27/(E27+H27))</f>
        <v>0.631153133833707</v>
      </c>
      <c r="L27" s="70" t="n">
        <f aca="false">IF(OR(K27="",J27=""),"",(J27-K27)*100)</f>
        <v>2.87952378898831</v>
      </c>
      <c r="M27" s="36" t="n">
        <v>2.59370925945702</v>
      </c>
      <c r="N27" s="36" t="n">
        <v>1.47485751984182</v>
      </c>
      <c r="O27" s="36" t="n">
        <f aca="false">SQRT(M27^2+N27^2)</f>
        <v>2.98371118348058</v>
      </c>
      <c r="P27" s="40" t="n">
        <f aca="false">IF(J27="","",MAX(0,J27-1.96*O27/100))</f>
        <v>0.601467632527371</v>
      </c>
      <c r="Q27" s="40" t="n">
        <f aca="false">IF(J27="","",MIN(1,J27+1.96*O27/100))</f>
        <v>0.718429110919809</v>
      </c>
      <c r="R27" s="32" t="str">
        <f aca="false">IF(L27="","",IF(ABS(L27)&lt;=O27,"Yes","No"))</f>
        <v>Yes</v>
      </c>
      <c r="S27" s="32" t="str">
        <f aca="false">IF(L27="","",IF(ABS(L27)&lt;=1.96*O27,"Yes","No"))</f>
        <v>Yes</v>
      </c>
      <c r="T27" s="60" t="n">
        <f aca="false">IF(D27="","",ROUND(SQRT(((D27+G27)*O27/100)^2+(J27*(D27+G27)*0.05437)^2),0))</f>
        <v>470</v>
      </c>
      <c r="U27" s="32"/>
    </row>
    <row r="28" customFormat="false" ht="15" hidden="false" customHeight="false" outlineLevel="0" collapsed="false">
      <c r="A28" s="32" t="s">
        <v>192</v>
      </c>
      <c r="B28" s="32" t="s">
        <v>196</v>
      </c>
      <c r="C28" s="32" t="s">
        <v>164</v>
      </c>
      <c r="D28" s="60" t="n">
        <v>1744</v>
      </c>
      <c r="E28" s="60" t="n">
        <v>1582</v>
      </c>
      <c r="F28" s="69" t="n">
        <f aca="false">IF(E28="","",D28-E28)</f>
        <v>162</v>
      </c>
      <c r="G28" s="60" t="n">
        <v>1299</v>
      </c>
      <c r="H28" s="60" t="n">
        <v>1496</v>
      </c>
      <c r="I28" s="69" t="n">
        <f aca="false">IF(H28="","",G28-H28)</f>
        <v>-197</v>
      </c>
      <c r="J28" s="40" t="n">
        <f aca="false">IF(OR(D28="",D28+G28=0),"",D28/(D28+G28))</f>
        <v>0.573118632928032</v>
      </c>
      <c r="K28" s="40" t="n">
        <f aca="false">IF(E28="","",E28/(E28+H28))</f>
        <v>0.513970110461339</v>
      </c>
      <c r="L28" s="70" t="n">
        <f aca="false">IF(OR(K28="",J28=""),"",(J28-K28)*100)</f>
        <v>5.9148522466693</v>
      </c>
      <c r="M28" s="36" t="n">
        <v>1.97364055856013</v>
      </c>
      <c r="N28" s="36" t="n">
        <v>1.47485751984182</v>
      </c>
      <c r="O28" s="36" t="n">
        <f aca="false">SQRT(M28^2+N28^2)</f>
        <v>2.46383070811034</v>
      </c>
      <c r="P28" s="40" t="n">
        <f aca="false">IF(J28="","",MAX(0,J28-1.96*O28/100))</f>
        <v>0.524827551049069</v>
      </c>
      <c r="Q28" s="40" t="n">
        <f aca="false">IF(J28="","",MIN(1,J28+1.96*O28/100))</f>
        <v>0.621409714806994</v>
      </c>
      <c r="R28" s="32" t="str">
        <f aca="false">IF(L28="","",IF(ABS(L28)&lt;=O28,"Yes","No"))</f>
        <v>No</v>
      </c>
      <c r="S28" s="32" t="str">
        <f aca="false">IF(L28="","",IF(ABS(L28)&lt;=1.96*O28,"Yes","No"))</f>
        <v>No</v>
      </c>
      <c r="T28" s="60" t="n">
        <f aca="false">IF(D28="","",ROUND(SQRT(((D28+G28)*O28/100)^2+(J28*(D28+G28)*0.05992)^2),0))</f>
        <v>129</v>
      </c>
      <c r="U28" s="32"/>
    </row>
    <row r="29" customFormat="false" ht="15" hidden="false" customHeight="false" outlineLevel="0" collapsed="false">
      <c r="A29" s="32" t="s">
        <v>192</v>
      </c>
      <c r="B29" s="32" t="s">
        <v>197</v>
      </c>
      <c r="C29" s="32" t="s">
        <v>164</v>
      </c>
      <c r="D29" s="60" t="n">
        <v>765</v>
      </c>
      <c r="E29" s="60" t="n">
        <v>704</v>
      </c>
      <c r="F29" s="69" t="n">
        <f aca="false">IF(E29="","",D29-E29)</f>
        <v>61</v>
      </c>
      <c r="G29" s="60" t="n">
        <v>700</v>
      </c>
      <c r="H29" s="60" t="n">
        <v>791</v>
      </c>
      <c r="I29" s="69" t="n">
        <f aca="false">IF(H29="","",G29-H29)</f>
        <v>-91</v>
      </c>
      <c r="J29" s="40" t="n">
        <f aca="false">IF(OR(D29="",D29+G29=0),"",D29/(D29+G29))</f>
        <v>0.522184300341297</v>
      </c>
      <c r="K29" s="40" t="n">
        <f aca="false">IF(E29="","",E29/(E29+H29))</f>
        <v>0.470903010033445</v>
      </c>
      <c r="L29" s="70" t="n">
        <f aca="false">IF(OR(K29="",J29=""),"",(J29-K29)*100)</f>
        <v>5.12812903078521</v>
      </c>
      <c r="M29" s="36" t="n">
        <v>3.66627757766473</v>
      </c>
      <c r="N29" s="36" t="n">
        <v>1.47485751984182</v>
      </c>
      <c r="O29" s="36" t="n">
        <f aca="false">SQRT(M29^2+N29^2)</f>
        <v>3.95180920343089</v>
      </c>
      <c r="P29" s="40" t="n">
        <f aca="false">IF(J29="","",MAX(0,J29-1.96*O29/100))</f>
        <v>0.444728839954051</v>
      </c>
      <c r="Q29" s="40" t="n">
        <f aca="false">IF(J29="","",MIN(1,J29+1.96*O29/100))</f>
        <v>0.599639760728542</v>
      </c>
      <c r="R29" s="32" t="str">
        <f aca="false">IF(L29="","",IF(ABS(L29)&lt;=O29,"Yes","No"))</f>
        <v>No</v>
      </c>
      <c r="S29" s="32" t="str">
        <f aca="false">IF(L29="","",IF(ABS(L29)&lt;=1.96*O29,"Yes","No"))</f>
        <v>Yes</v>
      </c>
      <c r="T29" s="60" t="n">
        <f aca="false">IF(D29="","",ROUND(SQRT(((D29+G29)*O29/100)^2+(J29*(D29+G29)*0.07717)^2),0))</f>
        <v>83</v>
      </c>
      <c r="U29" s="32"/>
    </row>
    <row r="30" customFormat="false" ht="15" hidden="false" customHeight="false" outlineLevel="0" collapsed="false">
      <c r="A30" s="32" t="s">
        <v>192</v>
      </c>
      <c r="B30" s="32" t="s">
        <v>198</v>
      </c>
      <c r="C30" s="32" t="s">
        <v>164</v>
      </c>
      <c r="D30" s="60" t="n">
        <v>948</v>
      </c>
      <c r="E30" s="60" t="n">
        <v>878</v>
      </c>
      <c r="F30" s="69" t="n">
        <f aca="false">IF(E30="","",D30-E30)</f>
        <v>70</v>
      </c>
      <c r="G30" s="60" t="n">
        <v>762</v>
      </c>
      <c r="H30" s="60" t="n">
        <v>870</v>
      </c>
      <c r="I30" s="69" t="n">
        <f aca="false">IF(H30="","",G30-H30)</f>
        <v>-108</v>
      </c>
      <c r="J30" s="40" t="n">
        <f aca="false">IF(OR(D30="",D30+G30=0),"",D30/(D30+G30))</f>
        <v>0.554385964912281</v>
      </c>
      <c r="K30" s="40" t="n">
        <f aca="false">IF(E30="","",E30/(E30+H30))</f>
        <v>0.502288329519451</v>
      </c>
      <c r="L30" s="70" t="n">
        <f aca="false">IF(OR(K30="",J30=""),"",(J30-K30)*100)</f>
        <v>5.20976353928299</v>
      </c>
      <c r="M30" s="36" t="n">
        <v>1.97364055856013</v>
      </c>
      <c r="N30" s="36" t="n">
        <v>1.47485751984182</v>
      </c>
      <c r="O30" s="36" t="n">
        <f aca="false">SQRT(M30^2+N30^2)</f>
        <v>2.46383070811034</v>
      </c>
      <c r="P30" s="40" t="n">
        <f aca="false">IF(J30="","",MAX(0,J30-1.96*O30/100))</f>
        <v>0.506094883033318</v>
      </c>
      <c r="Q30" s="40" t="n">
        <f aca="false">IF(J30="","",MIN(1,J30+1.96*O30/100))</f>
        <v>0.602677046791243</v>
      </c>
      <c r="R30" s="32" t="str">
        <f aca="false">IF(L30="","",IF(ABS(L30)&lt;=O30,"Yes","No"))</f>
        <v>No</v>
      </c>
      <c r="S30" s="32" t="str">
        <f aca="false">IF(L30="","",IF(ABS(L30)&lt;=1.96*O30,"Yes","No"))</f>
        <v>No</v>
      </c>
      <c r="T30" s="60" t="n">
        <f aca="false">IF(D30="","",ROUND(SQRT(((D30+G30)*O30/100)^2+(J30*(D30+G30)*0.05992)^2),0))</f>
        <v>71</v>
      </c>
      <c r="U30" s="32"/>
    </row>
    <row r="31" customFormat="false" ht="15" hidden="false" customHeight="false" outlineLevel="0" collapsed="false">
      <c r="A31" s="32" t="s">
        <v>192</v>
      </c>
      <c r="B31" s="32" t="s">
        <v>199</v>
      </c>
      <c r="C31" s="32" t="s">
        <v>164</v>
      </c>
      <c r="D31" s="60" t="n">
        <v>3607</v>
      </c>
      <c r="E31" s="60" t="n">
        <v>3393</v>
      </c>
      <c r="F31" s="69" t="n">
        <f aca="false">IF(E31="","",D31-E31)</f>
        <v>214</v>
      </c>
      <c r="G31" s="60" t="n">
        <v>2902</v>
      </c>
      <c r="H31" s="60" t="n">
        <v>3078</v>
      </c>
      <c r="I31" s="69" t="n">
        <f aca="false">IF(H31="","",G31-H31)</f>
        <v>-176</v>
      </c>
      <c r="J31" s="40" t="n">
        <f aca="false">IF(OR(D31="",D31+G31=0),"",D31/(D31+G31))</f>
        <v>0.554155784298663</v>
      </c>
      <c r="K31" s="40" t="n">
        <f aca="false">IF(E31="","",E31/(E31+H31))</f>
        <v>0.524339360222531</v>
      </c>
      <c r="L31" s="70" t="n">
        <f aca="false">IF(OR(K31="",J31=""),"",(J31-K31)*100)</f>
        <v>2.98164240761322</v>
      </c>
      <c r="M31" s="36" t="n">
        <v>2.59370925945702</v>
      </c>
      <c r="N31" s="36" t="n">
        <v>1.47485751984182</v>
      </c>
      <c r="O31" s="36" t="n">
        <f aca="false">SQRT(M31^2+N31^2)</f>
        <v>2.98371118348058</v>
      </c>
      <c r="P31" s="40" t="n">
        <f aca="false">IF(J31="","",MAX(0,J31-1.96*O31/100))</f>
        <v>0.495675045102444</v>
      </c>
      <c r="Q31" s="40" t="n">
        <f aca="false">IF(J31="","",MIN(1,J31+1.96*O31/100))</f>
        <v>0.612636523494883</v>
      </c>
      <c r="R31" s="32" t="str">
        <f aca="false">IF(L31="","",IF(ABS(L31)&lt;=O31,"Yes","No"))</f>
        <v>Yes</v>
      </c>
      <c r="S31" s="32" t="str">
        <f aca="false">IF(L31="","",IF(ABS(L31)&lt;=1.96*O31,"Yes","No"))</f>
        <v>Yes</v>
      </c>
      <c r="T31" s="60" t="n">
        <f aca="false">IF(D31="","",ROUND(SQRT(((D31+G31)*O31/100)^2+(J31*(D31+G31)*0.05437)^2),0))</f>
        <v>276</v>
      </c>
      <c r="U31" s="32"/>
    </row>
    <row r="32" customFormat="false" ht="15" hidden="false" customHeight="false" outlineLevel="0" collapsed="false">
      <c r="A32" s="32" t="s">
        <v>192</v>
      </c>
      <c r="B32" s="32" t="s">
        <v>200</v>
      </c>
      <c r="C32" s="32" t="s">
        <v>164</v>
      </c>
      <c r="D32" s="60" t="n">
        <v>1460</v>
      </c>
      <c r="E32" s="60" t="n">
        <v>1481</v>
      </c>
      <c r="F32" s="69" t="n">
        <f aca="false">IF(E32="","",D32-E32)</f>
        <v>-21</v>
      </c>
      <c r="G32" s="60" t="n">
        <v>649</v>
      </c>
      <c r="H32" s="60" t="n">
        <v>737</v>
      </c>
      <c r="I32" s="69" t="n">
        <f aca="false">IF(H32="","",G32-H32)</f>
        <v>-88</v>
      </c>
      <c r="J32" s="40" t="n">
        <f aca="false">IF(OR(D32="",D32+G32=0),"",D32/(D32+G32))</f>
        <v>0.692271218587008</v>
      </c>
      <c r="K32" s="40" t="n">
        <f aca="false">IF(E32="","",E32/(E32+H32))</f>
        <v>0.667718665464382</v>
      </c>
      <c r="L32" s="70" t="n">
        <f aca="false">IF(OR(K32="",J32=""),"",(J32-K32)*100)</f>
        <v>2.45525531226257</v>
      </c>
      <c r="M32" s="36" t="n">
        <v>1.97364055856013</v>
      </c>
      <c r="N32" s="36" t="n">
        <v>1.47485751984182</v>
      </c>
      <c r="O32" s="36" t="n">
        <f aca="false">SQRT(M32^2+N32^2)</f>
        <v>2.46383070811034</v>
      </c>
      <c r="P32" s="40" t="n">
        <f aca="false">IF(J32="","",MAX(0,J32-1.96*O32/100))</f>
        <v>0.643980136708045</v>
      </c>
      <c r="Q32" s="40" t="n">
        <f aca="false">IF(J32="","",MIN(1,J32+1.96*O32/100))</f>
        <v>0.740562300465971</v>
      </c>
      <c r="R32" s="32" t="str">
        <f aca="false">IF(L32="","",IF(ABS(L32)&lt;=O32,"Yes","No"))</f>
        <v>Yes</v>
      </c>
      <c r="S32" s="32" t="str">
        <f aca="false">IF(L32="","",IF(ABS(L32)&lt;=1.96*O32,"Yes","No"))</f>
        <v>Yes</v>
      </c>
      <c r="T32" s="60" t="n">
        <f aca="false">IF(D32="","",ROUND(SQRT(((D32+G32)*O32/100)^2+(J32*(D32+G32)*0.05992)^2),0))</f>
        <v>102</v>
      </c>
      <c r="U32" s="32"/>
    </row>
    <row r="33" customFormat="false" ht="15" hidden="false" customHeight="false" outlineLevel="0" collapsed="false">
      <c r="A33" s="32" t="s">
        <v>192</v>
      </c>
      <c r="B33" s="32" t="s">
        <v>201</v>
      </c>
      <c r="C33" s="32" t="s">
        <v>164</v>
      </c>
      <c r="D33" s="60" t="n">
        <v>401</v>
      </c>
      <c r="E33" s="60" t="n">
        <v>405</v>
      </c>
      <c r="F33" s="69" t="n">
        <f aca="false">IF(E33="","",D33-E33)</f>
        <v>-4</v>
      </c>
      <c r="G33" s="60" t="n">
        <v>279</v>
      </c>
      <c r="H33" s="60" t="n">
        <v>304</v>
      </c>
      <c r="I33" s="69" t="n">
        <f aca="false">IF(H33="","",G33-H33)</f>
        <v>-25</v>
      </c>
      <c r="J33" s="40" t="n">
        <f aca="false">IF(OR(D33="",D33+G33=0),"",D33/(D33+G33))</f>
        <v>0.589705882352941</v>
      </c>
      <c r="K33" s="40" t="n">
        <f aca="false">IF(E33="","",E33/(E33+H33))</f>
        <v>0.571227080394922</v>
      </c>
      <c r="L33" s="70" t="n">
        <f aca="false">IF(OR(K33="",J33=""),"",(J33-K33)*100)</f>
        <v>1.84788019580188</v>
      </c>
      <c r="M33" s="36" t="n">
        <v>3.66627757766473</v>
      </c>
      <c r="N33" s="36" t="n">
        <v>1.47485751984182</v>
      </c>
      <c r="O33" s="36" t="n">
        <f aca="false">SQRT(M33^2+N33^2)</f>
        <v>3.95180920343089</v>
      </c>
      <c r="P33" s="40" t="n">
        <f aca="false">IF(J33="","",MAX(0,J33-1.96*O33/100))</f>
        <v>0.512250421965696</v>
      </c>
      <c r="Q33" s="40" t="n">
        <f aca="false">IF(J33="","",MIN(1,J33+1.96*O33/100))</f>
        <v>0.667161342740187</v>
      </c>
      <c r="R33" s="32" t="str">
        <f aca="false">IF(L33="","",IF(ABS(L33)&lt;=O33,"Yes","No"))</f>
        <v>Yes</v>
      </c>
      <c r="S33" s="32" t="str">
        <f aca="false">IF(L33="","",IF(ABS(L33)&lt;=1.96*O33,"Yes","No"))</f>
        <v>Yes</v>
      </c>
      <c r="T33" s="60" t="n">
        <f aca="false">IF(D33="","",ROUND(SQRT(((D33+G33)*O33/100)^2+(J33*(D33+G33)*0.07717)^2),0))</f>
        <v>41</v>
      </c>
      <c r="U33" s="32"/>
    </row>
    <row r="34" customFormat="false" ht="15" hidden="false" customHeight="false" outlineLevel="0" collapsed="false">
      <c r="A34" s="32" t="s">
        <v>192</v>
      </c>
      <c r="B34" s="32" t="s">
        <v>202</v>
      </c>
      <c r="C34" s="32" t="s">
        <v>164</v>
      </c>
      <c r="D34" s="60" t="n">
        <v>696</v>
      </c>
      <c r="E34" s="60" t="n">
        <v>602</v>
      </c>
      <c r="F34" s="69" t="n">
        <f aca="false">IF(E34="","",D34-E34)</f>
        <v>94</v>
      </c>
      <c r="G34" s="60" t="n">
        <v>1282</v>
      </c>
      <c r="H34" s="60" t="n">
        <v>1339</v>
      </c>
      <c r="I34" s="69" t="n">
        <f aca="false">IF(H34="","",G34-H34)</f>
        <v>-57</v>
      </c>
      <c r="J34" s="40" t="n">
        <f aca="false">IF(OR(D34="",D34+G34=0),"",D34/(D34+G34))</f>
        <v>0.351870576339737</v>
      </c>
      <c r="K34" s="40" t="n">
        <f aca="false">IF(E34="","",E34/(E34+H34))</f>
        <v>0.310149407521896</v>
      </c>
      <c r="L34" s="70" t="n">
        <f aca="false">IF(OR(K34="",J34=""),"",(J34-K34)*100)</f>
        <v>4.17211688178412</v>
      </c>
      <c r="M34" s="36" t="n">
        <v>1.97364055856013</v>
      </c>
      <c r="N34" s="36" t="n">
        <v>1.47485751984182</v>
      </c>
      <c r="O34" s="36" t="n">
        <f aca="false">SQRT(M34^2+N34^2)</f>
        <v>2.46383070811034</v>
      </c>
      <c r="P34" s="40" t="n">
        <f aca="false">IF(J34="","",MAX(0,J34-1.96*O34/100))</f>
        <v>0.303579494460775</v>
      </c>
      <c r="Q34" s="40" t="n">
        <f aca="false">IF(J34="","",MIN(1,J34+1.96*O34/100))</f>
        <v>0.4001616582187</v>
      </c>
      <c r="R34" s="32" t="str">
        <f aca="false">IF(L34="","",IF(ABS(L34)&lt;=O34,"Yes","No"))</f>
        <v>No</v>
      </c>
      <c r="S34" s="32" t="str">
        <f aca="false">IF(L34="","",IF(ABS(L34)&lt;=1.96*O34,"Yes","No"))</f>
        <v>Yes</v>
      </c>
      <c r="T34" s="60" t="n">
        <f aca="false">IF(D34="","",ROUND(SQRT(((D34+G34)*O34/100)^2+(J34*(D34+G34)*0.05992)^2),0))</f>
        <v>64</v>
      </c>
      <c r="U34" s="32"/>
    </row>
    <row r="35" customFormat="false" ht="15" hidden="false" customHeight="false" outlineLevel="0" collapsed="false">
      <c r="A35" s="32" t="s">
        <v>192</v>
      </c>
      <c r="B35" s="32" t="s">
        <v>203</v>
      </c>
      <c r="C35" s="32" t="s">
        <v>164</v>
      </c>
      <c r="D35" s="60" t="n">
        <v>10140</v>
      </c>
      <c r="E35" s="60" t="n">
        <v>9782</v>
      </c>
      <c r="F35" s="69" t="n">
        <f aca="false">IF(E35="","",D35-E35)</f>
        <v>358</v>
      </c>
      <c r="G35" s="60" t="n">
        <v>9447</v>
      </c>
      <c r="H35" s="60" t="n">
        <v>10014</v>
      </c>
      <c r="I35" s="69" t="n">
        <f aca="false">IF(H35="","",G35-H35)</f>
        <v>-567</v>
      </c>
      <c r="J35" s="40" t="n">
        <f aca="false">IF(OR(D35="",D35+G35=0),"",D35/(D35+G35))</f>
        <v>0.517690304793996</v>
      </c>
      <c r="K35" s="40" t="n">
        <f aca="false">IF(E35="","",E35/(E35+H35))</f>
        <v>0.494140230349566</v>
      </c>
      <c r="L35" s="70" t="n">
        <f aca="false">IF(OR(K35="",J35=""),"",(J35-K35)*100)</f>
        <v>2.35500744444305</v>
      </c>
      <c r="M35" s="36" t="n">
        <v>2.59370925945702</v>
      </c>
      <c r="N35" s="36" t="n">
        <v>1.47485751984182</v>
      </c>
      <c r="O35" s="36" t="n">
        <f aca="false">SQRT(M35^2+N35^2)</f>
        <v>2.98371118348058</v>
      </c>
      <c r="P35" s="40" t="n">
        <f aca="false">IF(J35="","",MAX(0,J35-1.96*O35/100))</f>
        <v>0.459209565597777</v>
      </c>
      <c r="Q35" s="40" t="n">
        <f aca="false">IF(J35="","",MIN(1,J35+1.96*O35/100))</f>
        <v>0.576171043990215</v>
      </c>
      <c r="R35" s="32" t="str">
        <f aca="false">IF(L35="","",IF(ABS(L35)&lt;=O35,"Yes","No"))</f>
        <v>Yes</v>
      </c>
      <c r="S35" s="32" t="str">
        <f aca="false">IF(L35="","",IF(ABS(L35)&lt;=1.96*O35,"Yes","No"))</f>
        <v>Yes</v>
      </c>
      <c r="T35" s="60" t="n">
        <f aca="false">IF(D35="","",ROUND(SQRT(((D35+G35)*O35/100)^2+(J35*(D35+G35)*0.05437)^2),0))</f>
        <v>803</v>
      </c>
      <c r="U35" s="32"/>
    </row>
    <row r="36" customFormat="false" ht="15" hidden="false" customHeight="false" outlineLevel="0" collapsed="false">
      <c r="A36" s="32" t="s">
        <v>192</v>
      </c>
      <c r="B36" s="32" t="s">
        <v>204</v>
      </c>
      <c r="C36" s="32" t="s">
        <v>164</v>
      </c>
      <c r="D36" s="60" t="n">
        <v>965</v>
      </c>
      <c r="E36" s="60" t="n">
        <v>920</v>
      </c>
      <c r="F36" s="69" t="n">
        <f aca="false">IF(E36="","",D36-E36)</f>
        <v>45</v>
      </c>
      <c r="G36" s="60" t="n">
        <v>1522</v>
      </c>
      <c r="H36" s="60" t="n">
        <v>1596</v>
      </c>
      <c r="I36" s="69" t="n">
        <f aca="false">IF(H36="","",G36-H36)</f>
        <v>-74</v>
      </c>
      <c r="J36" s="40" t="n">
        <f aca="false">IF(OR(D36="",D36+G36=0),"",D36/(D36+G36))</f>
        <v>0.388017691998392</v>
      </c>
      <c r="K36" s="40" t="n">
        <f aca="false">IF(E36="","",E36/(E36+H36))</f>
        <v>0.365659777424483</v>
      </c>
      <c r="L36" s="70" t="n">
        <f aca="false">IF(OR(K36="",J36=""),"",(J36-K36)*100)</f>
        <v>2.23579145739083</v>
      </c>
      <c r="M36" s="36" t="n">
        <v>1.97364055856013</v>
      </c>
      <c r="N36" s="36" t="n">
        <v>1.47485751984182</v>
      </c>
      <c r="O36" s="36" t="n">
        <f aca="false">SQRT(M36^2+N36^2)</f>
        <v>2.46383070811034</v>
      </c>
      <c r="P36" s="40" t="n">
        <f aca="false">IF(J36="","",MAX(0,J36-1.96*O36/100))</f>
        <v>0.339726610119429</v>
      </c>
      <c r="Q36" s="40" t="n">
        <f aca="false">IF(J36="","",MIN(1,J36+1.96*O36/100))</f>
        <v>0.436308773877354</v>
      </c>
      <c r="R36" s="32" t="str">
        <f aca="false">IF(L36="","",IF(ABS(L36)&lt;=O36,"Yes","No"))</f>
        <v>Yes</v>
      </c>
      <c r="S36" s="32" t="str">
        <f aca="false">IF(L36="","",IF(ABS(L36)&lt;=1.96*O36,"Yes","No"))</f>
        <v>Yes</v>
      </c>
      <c r="T36" s="60" t="n">
        <f aca="false">IF(D36="","",ROUND(SQRT(((D36+G36)*O36/100)^2+(J36*(D36+G36)*0.05992)^2),0))</f>
        <v>84</v>
      </c>
      <c r="U36" s="32"/>
    </row>
    <row r="37" customFormat="false" ht="15" hidden="false" customHeight="false" outlineLevel="0" collapsed="false">
      <c r="A37" s="32" t="s">
        <v>192</v>
      </c>
      <c r="B37" s="32" t="s">
        <v>205</v>
      </c>
      <c r="C37" s="32" t="s">
        <v>164</v>
      </c>
      <c r="D37" s="60" t="n">
        <v>533</v>
      </c>
      <c r="E37" s="60" t="n">
        <v>533</v>
      </c>
      <c r="F37" s="69" t="n">
        <f aca="false">IF(E37="","",D37-E37)</f>
        <v>0</v>
      </c>
      <c r="G37" s="60" t="n">
        <v>926</v>
      </c>
      <c r="H37" s="60" t="n">
        <v>955</v>
      </c>
      <c r="I37" s="69" t="n">
        <f aca="false">IF(H37="","",G37-H37)</f>
        <v>-29</v>
      </c>
      <c r="J37" s="40" t="n">
        <f aca="false">IF(OR(D37="",D37+G37=0),"",D37/(D37+G37))</f>
        <v>0.365318711446196</v>
      </c>
      <c r="K37" s="40" t="n">
        <f aca="false">IF(E37="","",E37/(E37+H37))</f>
        <v>0.358198924731183</v>
      </c>
      <c r="L37" s="70" t="n">
        <f aca="false">IF(OR(K37="",J37=""),"",(J37-K37)*100)</f>
        <v>0.711978671501323</v>
      </c>
      <c r="M37" s="36" t="n">
        <v>3.66627757766473</v>
      </c>
      <c r="N37" s="36" t="n">
        <v>1.47485751984182</v>
      </c>
      <c r="O37" s="36" t="n">
        <f aca="false">SQRT(M37^2+N37^2)</f>
        <v>3.95180920343089</v>
      </c>
      <c r="P37" s="40" t="n">
        <f aca="false">IF(J37="","",MAX(0,J37-1.96*O37/100))</f>
        <v>0.287863251058951</v>
      </c>
      <c r="Q37" s="40" t="n">
        <f aca="false">IF(J37="","",MIN(1,J37+1.96*O37/100))</f>
        <v>0.442774171833442</v>
      </c>
      <c r="R37" s="32" t="str">
        <f aca="false">IF(L37="","",IF(ABS(L37)&lt;=O37,"Yes","No"))</f>
        <v>Yes</v>
      </c>
      <c r="S37" s="32" t="str">
        <f aca="false">IF(L37="","",IF(ABS(L37)&lt;=1.96*O37,"Yes","No"))</f>
        <v>Yes</v>
      </c>
      <c r="T37" s="60" t="n">
        <f aca="false">IF(D37="","",ROUND(SQRT(((D37+G37)*O37/100)^2+(J37*(D37+G37)*0.07717)^2),0))</f>
        <v>71</v>
      </c>
      <c r="U37" s="32"/>
    </row>
    <row r="38" customFormat="false" ht="15" hidden="false" customHeight="false" outlineLevel="0" collapsed="false">
      <c r="A38" s="32" t="s">
        <v>192</v>
      </c>
      <c r="B38" s="32" t="s">
        <v>206</v>
      </c>
      <c r="C38" s="32" t="s">
        <v>164</v>
      </c>
      <c r="D38" s="60" t="n">
        <v>868</v>
      </c>
      <c r="E38" s="60" t="n">
        <v>846</v>
      </c>
      <c r="F38" s="69" t="n">
        <f aca="false">IF(E38="","",D38-E38)</f>
        <v>22</v>
      </c>
      <c r="G38" s="60" t="n">
        <v>1768</v>
      </c>
      <c r="H38" s="60" t="n">
        <v>1783</v>
      </c>
      <c r="I38" s="69" t="n">
        <f aca="false">IF(H38="","",G38-H38)</f>
        <v>-15</v>
      </c>
      <c r="J38" s="40" t="n">
        <f aca="false">IF(OR(D38="",D38+G38=0),"",D38/(D38+G38))</f>
        <v>0.329286798179059</v>
      </c>
      <c r="K38" s="40" t="n">
        <f aca="false">IF(E38="","",E38/(E38+H38))</f>
        <v>0.321795359452263</v>
      </c>
      <c r="L38" s="70" t="n">
        <f aca="false">IF(OR(K38="",J38=""),"",(J38-K38)*100)</f>
        <v>0.749143872679597</v>
      </c>
      <c r="M38" s="36" t="n">
        <v>1.97364055856013</v>
      </c>
      <c r="N38" s="36" t="n">
        <v>1.47485751984182</v>
      </c>
      <c r="O38" s="36" t="n">
        <f aca="false">SQRT(M38^2+N38^2)</f>
        <v>2.46383070811034</v>
      </c>
      <c r="P38" s="40" t="n">
        <f aca="false">IF(J38="","",MAX(0,J38-1.96*O38/100))</f>
        <v>0.280995716300097</v>
      </c>
      <c r="Q38" s="40" t="n">
        <f aca="false">IF(J38="","",MIN(1,J38+1.96*O38/100))</f>
        <v>0.377577880058022</v>
      </c>
      <c r="R38" s="32" t="str">
        <f aca="false">IF(L38="","",IF(ABS(L38)&lt;=O38,"Yes","No"))</f>
        <v>Yes</v>
      </c>
      <c r="S38" s="32" t="str">
        <f aca="false">IF(L38="","",IF(ABS(L38)&lt;=1.96*O38,"Yes","No"))</f>
        <v>Yes</v>
      </c>
      <c r="T38" s="60" t="n">
        <f aca="false">IF(D38="","",ROUND(SQRT(((D38+G38)*O38/100)^2+(J38*(D38+G38)*0.05992)^2),0))</f>
        <v>83</v>
      </c>
      <c r="U38" s="32"/>
    </row>
    <row r="39" customFormat="false" ht="15" hidden="false" customHeight="false" outlineLevel="0" collapsed="false">
      <c r="A39" s="32" t="s">
        <v>192</v>
      </c>
      <c r="B39" s="32" t="s">
        <v>207</v>
      </c>
      <c r="C39" s="32" t="s">
        <v>164</v>
      </c>
      <c r="D39" s="60" t="n">
        <v>975</v>
      </c>
      <c r="E39" s="60" t="n">
        <v>997</v>
      </c>
      <c r="F39" s="69" t="n">
        <f aca="false">IF(E39="","",D39-E39)</f>
        <v>-22</v>
      </c>
      <c r="G39" s="60" t="n">
        <v>842</v>
      </c>
      <c r="H39" s="60" t="n">
        <v>860</v>
      </c>
      <c r="I39" s="69" t="n">
        <f aca="false">IF(H39="","",G39-H39)</f>
        <v>-18</v>
      </c>
      <c r="J39" s="40" t="n">
        <f aca="false">IF(OR(D39="",D39+G39=0),"",D39/(D39+G39))</f>
        <v>0.536598789212988</v>
      </c>
      <c r="K39" s="40" t="n">
        <f aca="false">IF(E39="","",E39/(E39+H39))</f>
        <v>0.536887452880991</v>
      </c>
      <c r="L39" s="70" t="n">
        <f aca="false">IF(OR(K39="",J39=""),"",(J39-K39)*100)</f>
        <v>-0.0288663668002398</v>
      </c>
      <c r="M39" s="36" t="n">
        <v>1.97364055856013</v>
      </c>
      <c r="N39" s="36" t="n">
        <v>1.47485751984182</v>
      </c>
      <c r="O39" s="36" t="n">
        <f aca="false">SQRT(M39^2+N39^2)</f>
        <v>2.46383070811034</v>
      </c>
      <c r="P39" s="40" t="n">
        <f aca="false">IF(J39="","",MAX(0,J39-1.96*O39/100))</f>
        <v>0.488307707334026</v>
      </c>
      <c r="Q39" s="40" t="n">
        <f aca="false">IF(J39="","",MIN(1,J39+1.96*O39/100))</f>
        <v>0.584889871091951</v>
      </c>
      <c r="R39" s="32" t="str">
        <f aca="false">IF(L39="","",IF(ABS(L39)&lt;=O39,"Yes","No"))</f>
        <v>Yes</v>
      </c>
      <c r="S39" s="32" t="str">
        <f aca="false">IF(L39="","",IF(ABS(L39)&lt;=1.96*O39,"Yes","No"))</f>
        <v>Yes</v>
      </c>
      <c r="T39" s="60" t="n">
        <f aca="false">IF(D39="","",ROUND(SQRT(((D39+G39)*O39/100)^2+(J39*(D39+G39)*0.05992)^2),0))</f>
        <v>74</v>
      </c>
      <c r="U39" s="32"/>
    </row>
    <row r="40" customFormat="false" ht="15" hidden="false" customHeight="false" outlineLevel="0" collapsed="false">
      <c r="A40" s="32" t="s">
        <v>192</v>
      </c>
      <c r="B40" s="32" t="s">
        <v>208</v>
      </c>
      <c r="C40" s="32" t="s">
        <v>164</v>
      </c>
      <c r="D40" s="60" t="n">
        <v>4132</v>
      </c>
      <c r="E40" s="60" t="n">
        <v>3900</v>
      </c>
      <c r="F40" s="69" t="n">
        <f aca="false">IF(E40="","",D40-E40)</f>
        <v>232</v>
      </c>
      <c r="G40" s="60" t="n">
        <v>5530</v>
      </c>
      <c r="H40" s="60" t="n">
        <v>5859</v>
      </c>
      <c r="I40" s="69" t="n">
        <f aca="false">IF(H40="","",G40-H40)</f>
        <v>-329</v>
      </c>
      <c r="J40" s="40" t="n">
        <f aca="false">IF(OR(D40="",D40+G40=0),"",D40/(D40+G40))</f>
        <v>0.427654729869592</v>
      </c>
      <c r="K40" s="40" t="n">
        <f aca="false">IF(E40="","",E40/(E40+H40))</f>
        <v>0.399631109744851</v>
      </c>
      <c r="L40" s="70" t="n">
        <f aca="false">IF(OR(K40="",J40=""),"",(J40-K40)*100)</f>
        <v>2.80236201247414</v>
      </c>
      <c r="M40" s="36" t="n">
        <v>2.59370925945702</v>
      </c>
      <c r="N40" s="36" t="n">
        <v>1.47485751984182</v>
      </c>
      <c r="O40" s="36" t="n">
        <f aca="false">SQRT(M40^2+N40^2)</f>
        <v>2.98371118348058</v>
      </c>
      <c r="P40" s="40" t="n">
        <f aca="false">IF(J40="","",MAX(0,J40-1.96*O40/100))</f>
        <v>0.369173990673373</v>
      </c>
      <c r="Q40" s="40" t="n">
        <f aca="false">IF(J40="","",MIN(1,J40+1.96*O40/100))</f>
        <v>0.486135469065812</v>
      </c>
      <c r="R40" s="32" t="str">
        <f aca="false">IF(L40="","",IF(ABS(L40)&lt;=O40,"Yes","No"))</f>
        <v>Yes</v>
      </c>
      <c r="S40" s="32" t="str">
        <f aca="false">IF(L40="","",IF(ABS(L40)&lt;=1.96*O40,"Yes","No"))</f>
        <v>Yes</v>
      </c>
      <c r="T40" s="60" t="n">
        <f aca="false">IF(D40="","",ROUND(SQRT(((D40+G40)*O40/100)^2+(J40*(D40+G40)*0.05437)^2),0))</f>
        <v>365</v>
      </c>
      <c r="U40" s="32"/>
    </row>
    <row r="41" customFormat="false" ht="15" hidden="false" customHeight="false" outlineLevel="0" collapsed="false">
      <c r="A41" s="32" t="s">
        <v>192</v>
      </c>
      <c r="B41" s="32" t="s">
        <v>209</v>
      </c>
      <c r="C41" s="32" t="s">
        <v>164</v>
      </c>
      <c r="D41" s="60" t="n">
        <v>4138</v>
      </c>
      <c r="E41" s="60" t="n">
        <v>4029</v>
      </c>
      <c r="F41" s="69" t="n">
        <f aca="false">IF(E41="","",D41-E41)</f>
        <v>109</v>
      </c>
      <c r="G41" s="60" t="n">
        <v>3982</v>
      </c>
      <c r="H41" s="60" t="n">
        <v>4143</v>
      </c>
      <c r="I41" s="69" t="n">
        <f aca="false">IF(H41="","",G41-H41)</f>
        <v>-161</v>
      </c>
      <c r="J41" s="40" t="n">
        <f aca="false">IF(OR(D41="",D41+G41=0),"",D41/(D41+G41))</f>
        <v>0.509605911330049</v>
      </c>
      <c r="K41" s="40" t="n">
        <f aca="false">IF(E41="","",E41/(E41+H41))</f>
        <v>0.49302496328928</v>
      </c>
      <c r="L41" s="70" t="n">
        <f aca="false">IF(OR(K41="",J41=""),"",(J41-K41)*100)</f>
        <v>1.65809480407688</v>
      </c>
      <c r="M41" s="36" t="n">
        <v>2.59370925945702</v>
      </c>
      <c r="N41" s="36" t="n">
        <v>1.47485751984182</v>
      </c>
      <c r="O41" s="36" t="n">
        <f aca="false">SQRT(M41^2+N41^2)</f>
        <v>2.98371118348058</v>
      </c>
      <c r="P41" s="40" t="n">
        <f aca="false">IF(J41="","",MAX(0,J41-1.96*O41/100))</f>
        <v>0.45112517213383</v>
      </c>
      <c r="Q41" s="40" t="n">
        <f aca="false">IF(J41="","",MIN(1,J41+1.96*O41/100))</f>
        <v>0.568086650526269</v>
      </c>
      <c r="R41" s="32" t="str">
        <f aca="false">IF(L41="","",IF(ABS(L41)&lt;=O41,"Yes","No"))</f>
        <v>Yes</v>
      </c>
      <c r="S41" s="32" t="str">
        <f aca="false">IF(L41="","",IF(ABS(L41)&lt;=1.96*O41,"Yes","No"))</f>
        <v>Yes</v>
      </c>
      <c r="T41" s="60" t="n">
        <f aca="false">IF(D41="","",ROUND(SQRT(((D41+G41)*O41/100)^2+(J41*(D41+G41)*0.05437)^2),0))</f>
        <v>331</v>
      </c>
      <c r="U41" s="32"/>
    </row>
    <row r="42" customFormat="false" ht="15" hidden="false" customHeight="false" outlineLevel="0" collapsed="false">
      <c r="A42" s="32" t="s">
        <v>192</v>
      </c>
      <c r="B42" s="32" t="s">
        <v>210</v>
      </c>
      <c r="C42" s="32" t="s">
        <v>164</v>
      </c>
      <c r="D42" s="60" t="n">
        <v>838</v>
      </c>
      <c r="E42" s="60" t="n">
        <v>748</v>
      </c>
      <c r="F42" s="69" t="n">
        <f aca="false">IF(E42="","",D42-E42)</f>
        <v>90</v>
      </c>
      <c r="G42" s="60" t="n">
        <v>1019</v>
      </c>
      <c r="H42" s="60" t="n">
        <v>1149</v>
      </c>
      <c r="I42" s="69" t="n">
        <f aca="false">IF(H42="","",G42-H42)</f>
        <v>-130</v>
      </c>
      <c r="J42" s="40" t="n">
        <f aca="false">IF(OR(D42="",D42+G42=0),"",D42/(D42+G42))</f>
        <v>0.451265481960151</v>
      </c>
      <c r="K42" s="40" t="n">
        <f aca="false">IF(E42="","",E42/(E42+H42))</f>
        <v>0.394306800210859</v>
      </c>
      <c r="L42" s="70" t="n">
        <f aca="false">IF(OR(K42="",J42=""),"",(J42-K42)*100)</f>
        <v>5.69586817492915</v>
      </c>
      <c r="M42" s="36" t="n">
        <v>1.97364055856013</v>
      </c>
      <c r="N42" s="36" t="n">
        <v>1.47485751984182</v>
      </c>
      <c r="O42" s="36" t="n">
        <f aca="false">SQRT(M42^2+N42^2)</f>
        <v>2.46383070811034</v>
      </c>
      <c r="P42" s="40" t="n">
        <f aca="false">IF(J42="","",MAX(0,J42-1.96*O42/100))</f>
        <v>0.402974400081188</v>
      </c>
      <c r="Q42" s="40" t="n">
        <f aca="false">IF(J42="","",MIN(1,J42+1.96*O42/100))</f>
        <v>0.499556563839113</v>
      </c>
      <c r="R42" s="32" t="str">
        <f aca="false">IF(L42="","",IF(ABS(L42)&lt;=O42,"Yes","No"))</f>
        <v>No</v>
      </c>
      <c r="S42" s="32" t="str">
        <f aca="false">IF(L42="","",IF(ABS(L42)&lt;=1.96*O42,"Yes","No"))</f>
        <v>No</v>
      </c>
      <c r="T42" s="60" t="n">
        <f aca="false">IF(D42="","",ROUND(SQRT(((D42+G42)*O42/100)^2+(J42*(D42+G42)*0.05992)^2),0))</f>
        <v>68</v>
      </c>
      <c r="U42" s="32"/>
    </row>
    <row r="43" customFormat="false" ht="15" hidden="false" customHeight="false" outlineLevel="0" collapsed="false">
      <c r="A43" s="32" t="s">
        <v>192</v>
      </c>
      <c r="B43" s="32" t="s">
        <v>211</v>
      </c>
      <c r="C43" s="32" t="s">
        <v>164</v>
      </c>
      <c r="D43" s="60" t="n">
        <v>6882</v>
      </c>
      <c r="E43" s="60" t="n">
        <v>6668</v>
      </c>
      <c r="F43" s="69" t="n">
        <f aca="false">IF(E43="","",D43-E43)</f>
        <v>214</v>
      </c>
      <c r="G43" s="60" t="n">
        <v>5576</v>
      </c>
      <c r="H43" s="60" t="n">
        <v>5856</v>
      </c>
      <c r="I43" s="69" t="n">
        <f aca="false">IF(H43="","",G43-H43)</f>
        <v>-280</v>
      </c>
      <c r="J43" s="40" t="n">
        <f aca="false">IF(OR(D43="",D43+G43=0),"",D43/(D43+G43))</f>
        <v>0.552416118157008</v>
      </c>
      <c r="K43" s="40" t="n">
        <f aca="false">IF(E43="","",E43/(E43+H43))</f>
        <v>0.532417757904823</v>
      </c>
      <c r="L43" s="70" t="n">
        <f aca="false">IF(OR(K43="",J43=""),"",(J43-K43)*100)</f>
        <v>1.99983602521848</v>
      </c>
      <c r="M43" s="36" t="n">
        <v>2.59370925945702</v>
      </c>
      <c r="N43" s="36" t="n">
        <v>1.47485751984182</v>
      </c>
      <c r="O43" s="36" t="n">
        <f aca="false">SQRT(M43^2+N43^2)</f>
        <v>2.98371118348058</v>
      </c>
      <c r="P43" s="40" t="n">
        <f aca="false">IF(J43="","",MAX(0,J43-1.96*O43/100))</f>
        <v>0.493935378960788</v>
      </c>
      <c r="Q43" s="40" t="n">
        <f aca="false">IF(J43="","",MIN(1,J43+1.96*O43/100))</f>
        <v>0.610896857353227</v>
      </c>
      <c r="R43" s="32" t="str">
        <f aca="false">IF(L43="","",IF(ABS(L43)&lt;=O43,"Yes","No"))</f>
        <v>Yes</v>
      </c>
      <c r="S43" s="32" t="str">
        <f aca="false">IF(L43="","",IF(ABS(L43)&lt;=1.96*O43,"Yes","No"))</f>
        <v>Yes</v>
      </c>
      <c r="T43" s="60" t="n">
        <f aca="false">IF(D43="","",ROUND(SQRT(((D43+G43)*O43/100)^2+(J43*(D43+G43)*0.05437)^2),0))</f>
        <v>527</v>
      </c>
      <c r="U43" s="32"/>
    </row>
    <row r="44" customFormat="false" ht="15" hidden="false" customHeight="false" outlineLevel="0" collapsed="false">
      <c r="A44" s="32" t="s">
        <v>192</v>
      </c>
      <c r="B44" s="32" t="s">
        <v>212</v>
      </c>
      <c r="C44" s="32" t="s">
        <v>164</v>
      </c>
      <c r="D44" s="60" t="n">
        <v>7508</v>
      </c>
      <c r="E44" s="60" t="n">
        <v>7495</v>
      </c>
      <c r="F44" s="69" t="n">
        <f aca="false">IF(E44="","",D44-E44)</f>
        <v>13</v>
      </c>
      <c r="G44" s="60" t="n">
        <v>6695</v>
      </c>
      <c r="H44" s="60" t="n">
        <v>7011</v>
      </c>
      <c r="I44" s="69" t="n">
        <f aca="false">IF(H44="","",G44-H44)</f>
        <v>-316</v>
      </c>
      <c r="J44" s="40" t="n">
        <f aca="false">IF(OR(D44="",D44+G44=0),"",D44/(D44+G44))</f>
        <v>0.528620713933676</v>
      </c>
      <c r="K44" s="40" t="n">
        <f aca="false">IF(E44="","",E44/(E44+H44))</f>
        <v>0.516682751964704</v>
      </c>
      <c r="L44" s="70" t="n">
        <f aca="false">IF(OR(K44="",J44=""),"",(J44-K44)*100)</f>
        <v>1.19379619689717</v>
      </c>
      <c r="M44" s="36" t="n">
        <v>2.59370925945702</v>
      </c>
      <c r="N44" s="36" t="n">
        <v>1.47485751984182</v>
      </c>
      <c r="O44" s="36" t="n">
        <f aca="false">SQRT(M44^2+N44^2)</f>
        <v>2.98371118348058</v>
      </c>
      <c r="P44" s="40" t="n">
        <f aca="false">IF(J44="","",MAX(0,J44-1.96*O44/100))</f>
        <v>0.470139974737457</v>
      </c>
      <c r="Q44" s="40" t="n">
        <f aca="false">IF(J44="","",MIN(1,J44+1.96*O44/100))</f>
        <v>0.587101453129895</v>
      </c>
      <c r="R44" s="32" t="str">
        <f aca="false">IF(L44="","",IF(ABS(L44)&lt;=O44,"Yes","No"))</f>
        <v>Yes</v>
      </c>
      <c r="S44" s="32" t="str">
        <f aca="false">IF(L44="","",IF(ABS(L44)&lt;=1.96*O44,"Yes","No"))</f>
        <v>Yes</v>
      </c>
      <c r="T44" s="60" t="n">
        <f aca="false">IF(D44="","",ROUND(SQRT(((D44+G44)*O44/100)^2+(J44*(D44+G44)*0.05437)^2),0))</f>
        <v>588</v>
      </c>
      <c r="U44" s="32"/>
    </row>
    <row r="45" customFormat="false" ht="15" hidden="false" customHeight="false" outlineLevel="0" collapsed="false">
      <c r="A45" s="32" t="s">
        <v>192</v>
      </c>
      <c r="B45" s="32" t="s">
        <v>213</v>
      </c>
      <c r="C45" s="32" t="s">
        <v>164</v>
      </c>
      <c r="D45" s="60" t="n">
        <v>2364</v>
      </c>
      <c r="E45" s="60" t="n">
        <v>2222</v>
      </c>
      <c r="F45" s="69" t="n">
        <f aca="false">IF(E45="","",D45-E45)</f>
        <v>142</v>
      </c>
      <c r="G45" s="60" t="n">
        <v>2871</v>
      </c>
      <c r="H45" s="60" t="n">
        <v>2955</v>
      </c>
      <c r="I45" s="69" t="n">
        <f aca="false">IF(H45="","",G45-H45)</f>
        <v>-84</v>
      </c>
      <c r="J45" s="40" t="n">
        <f aca="false">IF(OR(D45="",D45+G45=0),"",D45/(D45+G45))</f>
        <v>0.451575931232092</v>
      </c>
      <c r="K45" s="40" t="n">
        <f aca="false">IF(E45="","",E45/(E45+H45))</f>
        <v>0.42920610392119</v>
      </c>
      <c r="L45" s="70" t="n">
        <f aca="false">IF(OR(K45="",J45=""),"",(J45-K45)*100)</f>
        <v>2.23698273109018</v>
      </c>
      <c r="M45" s="36" t="n">
        <v>2.59370925945702</v>
      </c>
      <c r="N45" s="36" t="n">
        <v>1.47485751984182</v>
      </c>
      <c r="O45" s="36" t="n">
        <f aca="false">SQRT(M45^2+N45^2)</f>
        <v>2.98371118348058</v>
      </c>
      <c r="P45" s="40" t="n">
        <f aca="false">IF(J45="","",MAX(0,J45-1.96*O45/100))</f>
        <v>0.393095192035872</v>
      </c>
      <c r="Q45" s="40" t="n">
        <f aca="false">IF(J45="","",MIN(1,J45+1.96*O45/100))</f>
        <v>0.510056670428311</v>
      </c>
      <c r="R45" s="32" t="str">
        <f aca="false">IF(L45="","",IF(ABS(L45)&lt;=O45,"Yes","No"))</f>
        <v>Yes</v>
      </c>
      <c r="S45" s="32" t="str">
        <f aca="false">IF(L45="","",IF(ABS(L45)&lt;=1.96*O45,"Yes","No"))</f>
        <v>Yes</v>
      </c>
      <c r="T45" s="60" t="n">
        <f aca="false">IF(D45="","",ROUND(SQRT(((D45+G45)*O45/100)^2+(J45*(D45+G45)*0.05437)^2),0))</f>
        <v>202</v>
      </c>
      <c r="U45" s="32"/>
    </row>
    <row r="46" customFormat="false" ht="15" hidden="false" customHeight="false" outlineLevel="0" collapsed="false">
      <c r="A46" s="32" t="s">
        <v>192</v>
      </c>
      <c r="B46" s="32" t="s">
        <v>214</v>
      </c>
      <c r="C46" s="32" t="s">
        <v>164</v>
      </c>
      <c r="D46" s="60" t="n">
        <v>5177</v>
      </c>
      <c r="E46" s="60" t="n">
        <v>4817</v>
      </c>
      <c r="F46" s="69" t="n">
        <f aca="false">IF(E46="","",D46-E46)</f>
        <v>360</v>
      </c>
      <c r="G46" s="60" t="n">
        <v>5156</v>
      </c>
      <c r="H46" s="60" t="n">
        <v>5501</v>
      </c>
      <c r="I46" s="69" t="n">
        <f aca="false">IF(H46="","",G46-H46)</f>
        <v>-345</v>
      </c>
      <c r="J46" s="40" t="n">
        <f aca="false">IF(OR(D46="",D46+G46=0),"",D46/(D46+G46))</f>
        <v>0.501016161811671</v>
      </c>
      <c r="K46" s="40" t="n">
        <f aca="false">IF(E46="","",E46/(E46+H46))</f>
        <v>0.466854041480907</v>
      </c>
      <c r="L46" s="70" t="n">
        <f aca="false">IF(OR(K46="",J46=""),"",(J46-K46)*100)</f>
        <v>3.41621203307642</v>
      </c>
      <c r="M46" s="36" t="n">
        <v>2.59370925945702</v>
      </c>
      <c r="N46" s="36" t="n">
        <v>1.47485751984182</v>
      </c>
      <c r="O46" s="36" t="n">
        <f aca="false">SQRT(M46^2+N46^2)</f>
        <v>2.98371118348058</v>
      </c>
      <c r="P46" s="40" t="n">
        <f aca="false">IF(J46="","",MAX(0,J46-1.96*O46/100))</f>
        <v>0.442535422615452</v>
      </c>
      <c r="Q46" s="40" t="n">
        <f aca="false">IF(J46="","",MIN(1,J46+1.96*O46/100))</f>
        <v>0.559496901007891</v>
      </c>
      <c r="R46" s="32" t="str">
        <f aca="false">IF(L46="","",IF(ABS(L46)&lt;=O46,"Yes","No"))</f>
        <v>No</v>
      </c>
      <c r="S46" s="32" t="str">
        <f aca="false">IF(L46="","",IF(ABS(L46)&lt;=1.96*O46,"Yes","No"))</f>
        <v>Yes</v>
      </c>
      <c r="T46" s="60" t="n">
        <f aca="false">IF(D46="","",ROUND(SQRT(((D46+G46)*O46/100)^2+(J46*(D46+G46)*0.05437)^2),0))</f>
        <v>417</v>
      </c>
      <c r="U46" s="32"/>
    </row>
    <row r="47" customFormat="false" ht="15" hidden="false" customHeight="false" outlineLevel="0" collapsed="false">
      <c r="A47" s="32" t="s">
        <v>192</v>
      </c>
      <c r="B47" s="32" t="s">
        <v>215</v>
      </c>
      <c r="C47" s="32" t="s">
        <v>164</v>
      </c>
      <c r="D47" s="60" t="n">
        <v>1405</v>
      </c>
      <c r="E47" s="60" t="n">
        <v>1231</v>
      </c>
      <c r="F47" s="69" t="n">
        <f aca="false">IF(E47="","",D47-E47)</f>
        <v>174</v>
      </c>
      <c r="G47" s="60" t="n">
        <v>2406</v>
      </c>
      <c r="H47" s="60" t="n">
        <v>2578</v>
      </c>
      <c r="I47" s="69" t="n">
        <f aca="false">IF(H47="","",G47-H47)</f>
        <v>-172</v>
      </c>
      <c r="J47" s="40" t="n">
        <f aca="false">IF(OR(D47="",D47+G47=0),"",D47/(D47+G47))</f>
        <v>0.368669640514301</v>
      </c>
      <c r="K47" s="40" t="n">
        <f aca="false">IF(E47="","",E47/(E47+H47))</f>
        <v>0.323181937516409</v>
      </c>
      <c r="L47" s="70" t="n">
        <f aca="false">IF(OR(K47="",J47=""),"",(J47-K47)*100)</f>
        <v>4.54877029978922</v>
      </c>
      <c r="M47" s="36" t="n">
        <v>2.59370925945702</v>
      </c>
      <c r="N47" s="36" t="n">
        <v>1.47485751984182</v>
      </c>
      <c r="O47" s="36" t="n">
        <f aca="false">SQRT(M47^2+N47^2)</f>
        <v>2.98371118348058</v>
      </c>
      <c r="P47" s="40" t="n">
        <f aca="false">IF(J47="","",MAX(0,J47-1.96*O47/100))</f>
        <v>0.310188901318081</v>
      </c>
      <c r="Q47" s="40" t="n">
        <f aca="false">IF(J47="","",MIN(1,J47+1.96*O47/100))</f>
        <v>0.42715037971052</v>
      </c>
      <c r="R47" s="32" t="str">
        <f aca="false">IF(L47="","",IF(ABS(L47)&lt;=O47,"Yes","No"))</f>
        <v>No</v>
      </c>
      <c r="S47" s="32" t="str">
        <f aca="false">IF(L47="","",IF(ABS(L47)&lt;=1.96*O47,"Yes","No"))</f>
        <v>Yes</v>
      </c>
      <c r="T47" s="60" t="n">
        <f aca="false">IF(D47="","",ROUND(SQRT(((D47+G47)*O47/100)^2+(J47*(D47+G47)*0.05437)^2),0))</f>
        <v>137</v>
      </c>
      <c r="U47" s="32"/>
    </row>
    <row r="48" customFormat="false" ht="15" hidden="false" customHeight="false" outlineLevel="0" collapsed="false">
      <c r="A48" s="32" t="s">
        <v>192</v>
      </c>
      <c r="B48" s="32" t="s">
        <v>216</v>
      </c>
      <c r="C48" s="32" t="s">
        <v>164</v>
      </c>
      <c r="D48" s="60" t="n">
        <v>1144</v>
      </c>
      <c r="E48" s="60" t="n">
        <v>1073</v>
      </c>
      <c r="F48" s="69" t="n">
        <f aca="false">IF(E48="","",D48-E48)</f>
        <v>71</v>
      </c>
      <c r="G48" s="60" t="n">
        <v>2081</v>
      </c>
      <c r="H48" s="60" t="n">
        <v>2156</v>
      </c>
      <c r="I48" s="69" t="n">
        <f aca="false">IF(H48="","",G48-H48)</f>
        <v>-75</v>
      </c>
      <c r="J48" s="40" t="n">
        <f aca="false">IF(OR(D48="",D48+G48=0),"",D48/(D48+G48))</f>
        <v>0.354728682170543</v>
      </c>
      <c r="K48" s="40" t="n">
        <f aca="false">IF(E48="","",E48/(E48+H48))</f>
        <v>0.332301021988232</v>
      </c>
      <c r="L48" s="70" t="n">
        <f aca="false">IF(OR(K48="",J48=""),"",(J48-K48)*100)</f>
        <v>2.2427660182311</v>
      </c>
      <c r="M48" s="36" t="n">
        <v>1.97364055856013</v>
      </c>
      <c r="N48" s="36" t="n">
        <v>1.47485751984182</v>
      </c>
      <c r="O48" s="36" t="n">
        <f aca="false">SQRT(M48^2+N48^2)</f>
        <v>2.46383070811034</v>
      </c>
      <c r="P48" s="40" t="n">
        <f aca="false">IF(J48="","",MAX(0,J48-1.96*O48/100))</f>
        <v>0.30643760029158</v>
      </c>
      <c r="Q48" s="40" t="n">
        <f aca="false">IF(J48="","",MIN(1,J48+1.96*O48/100))</f>
        <v>0.403019764049505</v>
      </c>
      <c r="R48" s="32" t="str">
        <f aca="false">IF(L48="","",IF(ABS(L48)&lt;=O48,"Yes","No"))</f>
        <v>Yes</v>
      </c>
      <c r="S48" s="32" t="str">
        <f aca="false">IF(L48="","",IF(ABS(L48)&lt;=1.96*O48,"Yes","No"))</f>
        <v>Yes</v>
      </c>
      <c r="T48" s="60" t="n">
        <f aca="false">IF(D48="","",ROUND(SQRT(((D48+G48)*O48/100)^2+(J48*(D48+G48)*0.05992)^2),0))</f>
        <v>105</v>
      </c>
      <c r="U48" s="32"/>
    </row>
    <row r="49" customFormat="false" ht="15" hidden="false" customHeight="false" outlineLevel="0" collapsed="false">
      <c r="A49" s="32" t="s">
        <v>192</v>
      </c>
      <c r="B49" s="32" t="s">
        <v>217</v>
      </c>
      <c r="C49" s="32" t="s">
        <v>164</v>
      </c>
      <c r="D49" s="60" t="n">
        <v>7833</v>
      </c>
      <c r="E49" s="60" t="n">
        <v>7458</v>
      </c>
      <c r="F49" s="69" t="n">
        <f aca="false">IF(E49="","",D49-E49)</f>
        <v>375</v>
      </c>
      <c r="G49" s="60" t="n">
        <v>6296</v>
      </c>
      <c r="H49" s="60" t="n">
        <v>6731</v>
      </c>
      <c r="I49" s="69" t="n">
        <f aca="false">IF(H49="","",G49-H49)</f>
        <v>-435</v>
      </c>
      <c r="J49" s="40" t="n">
        <f aca="false">IF(OR(D49="",D49+G49=0),"",D49/(D49+G49))</f>
        <v>0.554391676693326</v>
      </c>
      <c r="K49" s="40" t="n">
        <f aca="false">IF(E49="","",E49/(E49+H49))</f>
        <v>0.525618436817253</v>
      </c>
      <c r="L49" s="70" t="n">
        <f aca="false">IF(OR(K49="",J49=""),"",(J49-K49)*100)</f>
        <v>2.87732398760729</v>
      </c>
      <c r="M49" s="36" t="n">
        <v>2.59370925945702</v>
      </c>
      <c r="N49" s="36" t="n">
        <v>1.47485751984182</v>
      </c>
      <c r="O49" s="36" t="n">
        <f aca="false">SQRT(M49^2+N49^2)</f>
        <v>2.98371118348058</v>
      </c>
      <c r="P49" s="40" t="n">
        <f aca="false">IF(J49="","",MAX(0,J49-1.96*O49/100))</f>
        <v>0.495910937497107</v>
      </c>
      <c r="Q49" s="40" t="n">
        <f aca="false">IF(J49="","",MIN(1,J49+1.96*O49/100))</f>
        <v>0.612872415889545</v>
      </c>
      <c r="R49" s="32" t="str">
        <f aca="false">IF(L49="","",IF(ABS(L49)&lt;=O49,"Yes","No"))</f>
        <v>Yes</v>
      </c>
      <c r="S49" s="32" t="str">
        <f aca="false">IF(L49="","",IF(ABS(L49)&lt;=1.96*O49,"Yes","No"))</f>
        <v>Yes</v>
      </c>
      <c r="T49" s="60" t="n">
        <f aca="false">IF(D49="","",ROUND(SQRT(((D49+G49)*O49/100)^2+(J49*(D49+G49)*0.05437)^2),0))</f>
        <v>599</v>
      </c>
      <c r="U49" s="32"/>
    </row>
    <row r="50" customFormat="false" ht="15" hidden="false" customHeight="false" outlineLevel="0" collapsed="false">
      <c r="A50" s="32" t="s">
        <v>218</v>
      </c>
      <c r="B50" s="32" t="s">
        <v>219</v>
      </c>
      <c r="C50" s="32" t="s">
        <v>164</v>
      </c>
      <c r="D50" s="60" t="n">
        <v>522</v>
      </c>
      <c r="E50" s="60" t="n">
        <v>482</v>
      </c>
      <c r="F50" s="69" t="n">
        <f aca="false">IF(E50="","",D50-E50)</f>
        <v>40</v>
      </c>
      <c r="G50" s="60" t="n">
        <v>996</v>
      </c>
      <c r="H50" s="60" t="n">
        <v>987</v>
      </c>
      <c r="I50" s="69" t="n">
        <f aca="false">IF(H50="","",G50-H50)</f>
        <v>9</v>
      </c>
      <c r="J50" s="40" t="n">
        <f aca="false">IF(OR(D50="",D50+G50=0),"",D50/(D50+G50))</f>
        <v>0.343873517786561</v>
      </c>
      <c r="K50" s="40" t="n">
        <f aca="false">IF(E50="","",E50/(E50+H50))</f>
        <v>0.328114363512594</v>
      </c>
      <c r="L50" s="70" t="n">
        <f aca="false">IF(OR(K50="",J50=""),"",(J50-K50)*100)</f>
        <v>1.57591542739677</v>
      </c>
      <c r="M50" s="36" t="n">
        <v>3.66627757766473</v>
      </c>
      <c r="N50" s="36" t="n">
        <v>1.47485751984182</v>
      </c>
      <c r="O50" s="36" t="n">
        <f aca="false">SQRT(M50^2+N50^2)</f>
        <v>3.95180920343089</v>
      </c>
      <c r="P50" s="40" t="n">
        <f aca="false">IF(J50="","",MAX(0,J50-1.96*O50/100))</f>
        <v>0.266418057399316</v>
      </c>
      <c r="Q50" s="40" t="n">
        <f aca="false">IF(J50="","",MIN(1,J50+1.96*O50/100))</f>
        <v>0.421328978173807</v>
      </c>
      <c r="R50" s="32" t="str">
        <f aca="false">IF(L50="","",IF(ABS(L50)&lt;=O50,"Yes","No"))</f>
        <v>Yes</v>
      </c>
      <c r="S50" s="32" t="str">
        <f aca="false">IF(L50="","",IF(ABS(L50)&lt;=1.96*O50,"Yes","No"))</f>
        <v>Yes</v>
      </c>
      <c r="T50" s="60" t="n">
        <f aca="false">IF(D50="","",ROUND(SQRT(((D50+G50)*O50/100)^2+(J50*(D50+G50)*0.07717)^2),0))</f>
        <v>72</v>
      </c>
      <c r="U50" s="32"/>
    </row>
    <row r="51" customFormat="false" ht="15" hidden="false" customHeight="false" outlineLevel="0" collapsed="false">
      <c r="A51" s="32" t="s">
        <v>218</v>
      </c>
      <c r="B51" s="32" t="s">
        <v>220</v>
      </c>
      <c r="C51" s="32" t="s">
        <v>164</v>
      </c>
      <c r="D51" s="60" t="n">
        <v>1561</v>
      </c>
      <c r="E51" s="60" t="n">
        <v>1425</v>
      </c>
      <c r="F51" s="69" t="n">
        <f aca="false">IF(E51="","",D51-E51)</f>
        <v>136</v>
      </c>
      <c r="G51" s="60" t="n">
        <v>2486</v>
      </c>
      <c r="H51" s="60" t="n">
        <v>2491</v>
      </c>
      <c r="I51" s="69" t="n">
        <f aca="false">IF(H51="","",G51-H51)</f>
        <v>-5</v>
      </c>
      <c r="J51" s="40" t="n">
        <f aca="false">IF(OR(D51="",D51+G51=0),"",D51/(D51+G51))</f>
        <v>0.385717815665925</v>
      </c>
      <c r="K51" s="40" t="n">
        <f aca="false">IF(E51="","",E51/(E51+H51))</f>
        <v>0.363891726251277</v>
      </c>
      <c r="L51" s="70" t="n">
        <f aca="false">IF(OR(K51="",J51=""),"",(J51-K51)*100)</f>
        <v>2.18260894146486</v>
      </c>
      <c r="M51" s="36" t="n">
        <v>2.59370925945702</v>
      </c>
      <c r="N51" s="36" t="n">
        <v>1.47485751984182</v>
      </c>
      <c r="O51" s="36" t="n">
        <f aca="false">SQRT(M51^2+N51^2)</f>
        <v>2.98371118348058</v>
      </c>
      <c r="P51" s="40" t="n">
        <f aca="false">IF(J51="","",MAX(0,J51-1.96*O51/100))</f>
        <v>0.327237076469706</v>
      </c>
      <c r="Q51" s="40" t="n">
        <f aca="false">IF(J51="","",MIN(1,J51+1.96*O51/100))</f>
        <v>0.444198554862145</v>
      </c>
      <c r="R51" s="32" t="str">
        <f aca="false">IF(L51="","",IF(ABS(L51)&lt;=O51,"Yes","No"))</f>
        <v>Yes</v>
      </c>
      <c r="S51" s="32" t="str">
        <f aca="false">IF(L51="","",IF(ABS(L51)&lt;=1.96*O51,"Yes","No"))</f>
        <v>Yes</v>
      </c>
      <c r="T51" s="60" t="n">
        <f aca="false">IF(D51="","",ROUND(SQRT(((D51+G51)*O51/100)^2+(J51*(D51+G51)*0.05437)^2),0))</f>
        <v>148</v>
      </c>
      <c r="U51" s="32" t="s">
        <v>427</v>
      </c>
    </row>
    <row r="52" customFormat="false" ht="15" hidden="false" customHeight="false" outlineLevel="0" collapsed="false">
      <c r="A52" s="32" t="s">
        <v>218</v>
      </c>
      <c r="B52" s="32" t="s">
        <v>221</v>
      </c>
      <c r="C52" s="32" t="s">
        <v>164</v>
      </c>
      <c r="D52" s="60" t="n">
        <v>592</v>
      </c>
      <c r="E52" s="60" t="n">
        <v>502</v>
      </c>
      <c r="F52" s="69" t="n">
        <f aca="false">IF(E52="","",D52-E52)</f>
        <v>90</v>
      </c>
      <c r="G52" s="60" t="n">
        <v>911</v>
      </c>
      <c r="H52" s="60" t="n">
        <v>795</v>
      </c>
      <c r="I52" s="69" t="n">
        <f aca="false">IF(H52="","",G52-H52)</f>
        <v>116</v>
      </c>
      <c r="J52" s="40" t="n">
        <f aca="false">IF(OR(D52="",D52+G52=0),"",D52/(D52+G52))</f>
        <v>0.393878908848969</v>
      </c>
      <c r="K52" s="40" t="n">
        <f aca="false">IF(E52="","",E52/(E52+H52))</f>
        <v>0.387047031611411</v>
      </c>
      <c r="L52" s="70" t="n">
        <f aca="false">IF(OR(K52="",J52=""),"",(J52-K52)*100)</f>
        <v>0.683187723755779</v>
      </c>
      <c r="M52" s="36" t="n">
        <v>3.66627757766473</v>
      </c>
      <c r="N52" s="36" t="n">
        <v>1.47485751984182</v>
      </c>
      <c r="O52" s="36" t="n">
        <f aca="false">SQRT(M52^2+N52^2)</f>
        <v>3.95180920343089</v>
      </c>
      <c r="P52" s="40" t="n">
        <f aca="false">IF(J52="","",MAX(0,J52-1.96*O52/100))</f>
        <v>0.316423448461723</v>
      </c>
      <c r="Q52" s="40" t="n">
        <f aca="false">IF(J52="","",MIN(1,J52+1.96*O52/100))</f>
        <v>0.471334369236214</v>
      </c>
      <c r="R52" s="32" t="str">
        <f aca="false">IF(L52="","",IF(ABS(L52)&lt;=O52,"Yes","No"))</f>
        <v>Yes</v>
      </c>
      <c r="S52" s="32" t="str">
        <f aca="false">IF(L52="","",IF(ABS(L52)&lt;=1.96*O52,"Yes","No"))</f>
        <v>Yes</v>
      </c>
      <c r="T52" s="60" t="n">
        <f aca="false">IF(D52="","",ROUND(SQRT(((D52+G52)*O52/100)^2+(J52*(D52+G52)*0.07717)^2),0))</f>
        <v>75</v>
      </c>
      <c r="U52" s="32" t="s">
        <v>428</v>
      </c>
    </row>
    <row r="53" customFormat="false" ht="15" hidden="false" customHeight="false" outlineLevel="0" collapsed="false">
      <c r="A53" s="32" t="s">
        <v>222</v>
      </c>
      <c r="B53" s="32" t="s">
        <v>223</v>
      </c>
      <c r="C53" s="32" t="s">
        <v>164</v>
      </c>
      <c r="D53" s="60" t="n">
        <v>1480</v>
      </c>
      <c r="E53" s="60" t="n">
        <v>1432</v>
      </c>
      <c r="F53" s="69" t="n">
        <f aca="false">IF(E53="","",D53-E53)</f>
        <v>48</v>
      </c>
      <c r="G53" s="60" t="n">
        <v>1896</v>
      </c>
      <c r="H53" s="60" t="n">
        <v>1882</v>
      </c>
      <c r="I53" s="69" t="n">
        <f aca="false">IF(H53="","",G53-H53)</f>
        <v>14</v>
      </c>
      <c r="J53" s="40" t="n">
        <f aca="false">IF(OR(D53="",D53+G53=0),"",D53/(D53+G53))</f>
        <v>0.438388625592417</v>
      </c>
      <c r="K53" s="40" t="n">
        <f aca="false">IF(E53="","",E53/(E53+H53))</f>
        <v>0.432106216053108</v>
      </c>
      <c r="L53" s="70" t="n">
        <f aca="false">IF(OR(K53="",J53=""),"",(J53-K53)*100)</f>
        <v>0.628240953930903</v>
      </c>
      <c r="M53" s="36" t="n">
        <v>1.97364055856013</v>
      </c>
      <c r="N53" s="36" t="n">
        <v>1.47485751984182</v>
      </c>
      <c r="O53" s="36" t="n">
        <f aca="false">SQRT(M53^2+N53^2)</f>
        <v>2.46383070811034</v>
      </c>
      <c r="P53" s="40" t="n">
        <f aca="false">IF(J53="","",MAX(0,J53-1.96*O53/100))</f>
        <v>0.390097543713454</v>
      </c>
      <c r="Q53" s="40" t="n">
        <f aca="false">IF(J53="","",MIN(1,J53+1.96*O53/100))</f>
        <v>0.48667970747138</v>
      </c>
      <c r="R53" s="32" t="str">
        <f aca="false">IF(L53="","",IF(ABS(L53)&lt;=O53,"Yes","No"))</f>
        <v>Yes</v>
      </c>
      <c r="S53" s="32" t="str">
        <f aca="false">IF(L53="","",IF(ABS(L53)&lt;=1.96*O53,"Yes","No"))</f>
        <v>Yes</v>
      </c>
      <c r="T53" s="60" t="n">
        <f aca="false">IF(D53="","",ROUND(SQRT(((D53+G53)*O53/100)^2+(J53*(D53+G53)*0.05992)^2),0))</f>
        <v>122</v>
      </c>
      <c r="U53" s="32"/>
    </row>
    <row r="54" customFormat="false" ht="15" hidden="false" customHeight="false" outlineLevel="0" collapsed="false">
      <c r="A54" s="32" t="s">
        <v>222</v>
      </c>
      <c r="B54" s="32" t="s">
        <v>224</v>
      </c>
      <c r="C54" s="32" t="s">
        <v>164</v>
      </c>
      <c r="D54" s="60" t="n">
        <v>1067</v>
      </c>
      <c r="E54" s="60" t="n">
        <v>965</v>
      </c>
      <c r="F54" s="69" t="n">
        <f aca="false">IF(E54="","",D54-E54)</f>
        <v>102</v>
      </c>
      <c r="G54" s="60" t="n">
        <v>1228</v>
      </c>
      <c r="H54" s="60" t="n">
        <v>1342</v>
      </c>
      <c r="I54" s="69" t="n">
        <f aca="false">IF(H54="","",G54-H54)</f>
        <v>-114</v>
      </c>
      <c r="J54" s="40" t="n">
        <f aca="false">IF(OR(D54="",D54+G54=0),"",D54/(D54+G54))</f>
        <v>0.464923747276688</v>
      </c>
      <c r="K54" s="40" t="n">
        <f aca="false">IF(E54="","",E54/(E54+H54))</f>
        <v>0.418292154312961</v>
      </c>
      <c r="L54" s="70" t="n">
        <f aca="false">IF(OR(K54="",J54=""),"",(J54-K54)*100)</f>
        <v>4.66315929637279</v>
      </c>
      <c r="M54" s="36" t="n">
        <v>1.97364055856013</v>
      </c>
      <c r="N54" s="36" t="n">
        <v>1.47485751984182</v>
      </c>
      <c r="O54" s="36" t="n">
        <f aca="false">SQRT(M54^2+N54^2)</f>
        <v>2.46383070811034</v>
      </c>
      <c r="P54" s="40" t="n">
        <f aca="false">IF(J54="","",MAX(0,J54-1.96*O54/100))</f>
        <v>0.416632665397726</v>
      </c>
      <c r="Q54" s="40" t="n">
        <f aca="false">IF(J54="","",MIN(1,J54+1.96*O54/100))</f>
        <v>0.513214829155651</v>
      </c>
      <c r="R54" s="32" t="str">
        <f aca="false">IF(L54="","",IF(ABS(L54)&lt;=O54,"Yes","No"))</f>
        <v>No</v>
      </c>
      <c r="S54" s="32" t="str">
        <f aca="false">IF(L54="","",IF(ABS(L54)&lt;=1.96*O54,"Yes","No"))</f>
        <v>Yes</v>
      </c>
      <c r="T54" s="60" t="n">
        <f aca="false">IF(D54="","",ROUND(SQRT(((D54+G54)*O54/100)^2+(J54*(D54+G54)*0.05992)^2),0))</f>
        <v>85</v>
      </c>
      <c r="U54" s="32"/>
    </row>
    <row r="55" customFormat="false" ht="15" hidden="false" customHeight="false" outlineLevel="0" collapsed="false">
      <c r="A55" s="32" t="s">
        <v>222</v>
      </c>
      <c r="B55" s="32" t="s">
        <v>225</v>
      </c>
      <c r="C55" s="32" t="s">
        <v>164</v>
      </c>
      <c r="D55" s="60" t="n">
        <v>593</v>
      </c>
      <c r="E55" s="60" t="n">
        <v>579</v>
      </c>
      <c r="F55" s="69" t="n">
        <f aca="false">IF(E55="","",D55-E55)</f>
        <v>14</v>
      </c>
      <c r="G55" s="60" t="n">
        <v>662</v>
      </c>
      <c r="H55" s="60" t="n">
        <v>695</v>
      </c>
      <c r="I55" s="69" t="n">
        <f aca="false">IF(H55="","",G55-H55)</f>
        <v>-33</v>
      </c>
      <c r="J55" s="40" t="n">
        <f aca="false">IF(OR(D55="",D55+G55=0),"",D55/(D55+G55))</f>
        <v>0.472509960159363</v>
      </c>
      <c r="K55" s="40" t="n">
        <f aca="false">IF(E55="","",E55/(E55+H55))</f>
        <v>0.45447409733124</v>
      </c>
      <c r="L55" s="70" t="n">
        <f aca="false">IF(OR(K55="",J55=""),"",(J55-K55)*100)</f>
        <v>1.80358628281224</v>
      </c>
      <c r="M55" s="36" t="n">
        <v>3.66627757766473</v>
      </c>
      <c r="N55" s="36" t="n">
        <v>1.47485751984182</v>
      </c>
      <c r="O55" s="36" t="n">
        <f aca="false">SQRT(M55^2+N55^2)</f>
        <v>3.95180920343089</v>
      </c>
      <c r="P55" s="40" t="n">
        <f aca="false">IF(J55="","",MAX(0,J55-1.96*O55/100))</f>
        <v>0.395054499772117</v>
      </c>
      <c r="Q55" s="40" t="n">
        <f aca="false">IF(J55="","",MIN(1,J55+1.96*O55/100))</f>
        <v>0.549965420546608</v>
      </c>
      <c r="R55" s="32" t="str">
        <f aca="false">IF(L55="","",IF(ABS(L55)&lt;=O55,"Yes","No"))</f>
        <v>Yes</v>
      </c>
      <c r="S55" s="32" t="str">
        <f aca="false">IF(L55="","",IF(ABS(L55)&lt;=1.96*O55,"Yes","No"))</f>
        <v>Yes</v>
      </c>
      <c r="T55" s="60" t="n">
        <f aca="false">IF(D55="","",ROUND(SQRT(((D55+G55)*O55/100)^2+(J55*(D55+G55)*0.07717)^2),0))</f>
        <v>67</v>
      </c>
      <c r="U55" s="32"/>
    </row>
    <row r="56" customFormat="false" ht="15" hidden="false" customHeight="false" outlineLevel="0" collapsed="false">
      <c r="A56" s="32" t="s">
        <v>222</v>
      </c>
      <c r="B56" s="32" t="s">
        <v>195</v>
      </c>
      <c r="C56" s="32" t="s">
        <v>164</v>
      </c>
      <c r="D56" s="60" t="n">
        <v>17491</v>
      </c>
      <c r="E56" s="60" t="n">
        <v>16692</v>
      </c>
      <c r="F56" s="69" t="n">
        <f aca="false">IF(E56="","",D56-E56)</f>
        <v>799</v>
      </c>
      <c r="G56" s="60" t="n">
        <v>7837</v>
      </c>
      <c r="H56" s="60" t="n">
        <v>8176</v>
      </c>
      <c r="I56" s="69" t="n">
        <f aca="false">IF(H56="","",G56-H56)</f>
        <v>-339</v>
      </c>
      <c r="J56" s="40" t="n">
        <f aca="false">IF(OR(D56="",D56+G56=0),"",D56/(D56+G56))</f>
        <v>0.690579595704359</v>
      </c>
      <c r="K56" s="40" t="n">
        <f aca="false">IF(E56="","",E56/(E56+H56))</f>
        <v>0.671224063052919</v>
      </c>
      <c r="L56" s="70" t="n">
        <f aca="false">IF(OR(K56="",J56=""),"",(J56-K56)*100)</f>
        <v>1.93555326514394</v>
      </c>
      <c r="M56" s="36" t="n">
        <v>2.59370925945702</v>
      </c>
      <c r="N56" s="36" t="n">
        <v>1.47485751984182</v>
      </c>
      <c r="O56" s="36" t="n">
        <f aca="false">SQRT(M56^2+N56^2)</f>
        <v>2.98371118348058</v>
      </c>
      <c r="P56" s="40" t="n">
        <f aca="false">IF(J56="","",MAX(0,J56-1.96*O56/100))</f>
        <v>0.63209885650814</v>
      </c>
      <c r="Q56" s="40" t="n">
        <f aca="false">IF(J56="","",MIN(1,J56+1.96*O56/100))</f>
        <v>0.749060334900578</v>
      </c>
      <c r="R56" s="32" t="str">
        <f aca="false">IF(L56="","",IF(ABS(L56)&lt;=O56,"Yes","No"))</f>
        <v>Yes</v>
      </c>
      <c r="S56" s="32" t="str">
        <f aca="false">IF(L56="","",IF(ABS(L56)&lt;=1.96*O56,"Yes","No"))</f>
        <v>Yes</v>
      </c>
      <c r="T56" s="60" t="n">
        <f aca="false">IF(D56="","",ROUND(SQRT(((D56+G56)*O56/100)^2+(J56*(D56+G56)*0.05437)^2),0))</f>
        <v>1215</v>
      </c>
      <c r="U56" s="32"/>
    </row>
    <row r="57" customFormat="false" ht="15" hidden="false" customHeight="false" outlineLevel="0" collapsed="false">
      <c r="A57" s="32" t="s">
        <v>222</v>
      </c>
      <c r="B57" s="32" t="s">
        <v>226</v>
      </c>
      <c r="C57" s="32" t="s">
        <v>164</v>
      </c>
      <c r="D57" s="60" t="n">
        <v>8585</v>
      </c>
      <c r="E57" s="60" t="n">
        <v>8164</v>
      </c>
      <c r="F57" s="69" t="n">
        <f aca="false">IF(E57="","",D57-E57)</f>
        <v>421</v>
      </c>
      <c r="G57" s="60" t="n">
        <v>6955</v>
      </c>
      <c r="H57" s="60" t="n">
        <v>7277</v>
      </c>
      <c r="I57" s="69" t="n">
        <f aca="false">IF(H57="","",G57-H57)</f>
        <v>-322</v>
      </c>
      <c r="J57" s="40" t="n">
        <f aca="false">IF(OR(D57="",D57+G57=0),"",D57/(D57+G57))</f>
        <v>0.552445302445302</v>
      </c>
      <c r="K57" s="40" t="n">
        <f aca="false">IF(E57="","",E57/(E57+H57))</f>
        <v>0.528722233015996</v>
      </c>
      <c r="L57" s="70" t="n">
        <f aca="false">IF(OR(K57="",J57=""),"",(J57-K57)*100)</f>
        <v>2.3723069429306</v>
      </c>
      <c r="M57" s="36" t="n">
        <v>2.59370925945702</v>
      </c>
      <c r="N57" s="36" t="n">
        <v>1.47485751984182</v>
      </c>
      <c r="O57" s="36" t="n">
        <f aca="false">SQRT(M57^2+N57^2)</f>
        <v>2.98371118348058</v>
      </c>
      <c r="P57" s="40" t="n">
        <f aca="false">IF(J57="","",MAX(0,J57-1.96*O57/100))</f>
        <v>0.493964563249083</v>
      </c>
      <c r="Q57" s="40" t="n">
        <f aca="false">IF(J57="","",MIN(1,J57+1.96*O57/100))</f>
        <v>0.610926041641522</v>
      </c>
      <c r="R57" s="32" t="str">
        <f aca="false">IF(L57="","",IF(ABS(L57)&lt;=O57,"Yes","No"))</f>
        <v>Yes</v>
      </c>
      <c r="S57" s="32" t="str">
        <f aca="false">IF(L57="","",IF(ABS(L57)&lt;=1.96*O57,"Yes","No"))</f>
        <v>Yes</v>
      </c>
      <c r="T57" s="60" t="n">
        <f aca="false">IF(D57="","",ROUND(SQRT(((D57+G57)*O57/100)^2+(J57*(D57+G57)*0.05437)^2),0))</f>
        <v>658</v>
      </c>
      <c r="U57" s="32"/>
    </row>
    <row r="58" customFormat="false" ht="15" hidden="false" customHeight="false" outlineLevel="0" collapsed="false">
      <c r="A58" s="32" t="s">
        <v>222</v>
      </c>
      <c r="B58" s="32" t="s">
        <v>227</v>
      </c>
      <c r="C58" s="32" t="s">
        <v>164</v>
      </c>
      <c r="D58" s="60" t="n">
        <v>2124</v>
      </c>
      <c r="E58" s="60" t="n">
        <v>1988</v>
      </c>
      <c r="F58" s="69" t="n">
        <f aca="false">IF(E58="","",D58-E58)</f>
        <v>136</v>
      </c>
      <c r="G58" s="60" t="n">
        <v>3261</v>
      </c>
      <c r="H58" s="60" t="n">
        <v>3385</v>
      </c>
      <c r="I58" s="69" t="n">
        <f aca="false">IF(H58="","",G58-H58)</f>
        <v>-124</v>
      </c>
      <c r="J58" s="40" t="n">
        <f aca="false">IF(OR(D58="",D58+G58=0),"",D58/(D58+G58))</f>
        <v>0.394428969359331</v>
      </c>
      <c r="K58" s="40" t="n">
        <f aca="false">IF(E58="","",E58/(E58+H58))</f>
        <v>0.36999813884236</v>
      </c>
      <c r="L58" s="70" t="n">
        <f aca="false">IF(OR(K58="",J58=""),"",(J58-K58)*100)</f>
        <v>2.44308305169715</v>
      </c>
      <c r="M58" s="36" t="n">
        <v>2.59370925945702</v>
      </c>
      <c r="N58" s="36" t="n">
        <v>1.47485751984182</v>
      </c>
      <c r="O58" s="36" t="n">
        <f aca="false">SQRT(M58^2+N58^2)</f>
        <v>2.98371118348058</v>
      </c>
      <c r="P58" s="40" t="n">
        <f aca="false">IF(J58="","",MAX(0,J58-1.96*O58/100))</f>
        <v>0.335948230163112</v>
      </c>
      <c r="Q58" s="40" t="n">
        <f aca="false">IF(J58="","",MIN(1,J58+1.96*O58/100))</f>
        <v>0.452909708555551</v>
      </c>
      <c r="R58" s="32" t="str">
        <f aca="false">IF(L58="","",IF(ABS(L58)&lt;=O58,"Yes","No"))</f>
        <v>Yes</v>
      </c>
      <c r="S58" s="32" t="str">
        <f aca="false">IF(L58="","",IF(ABS(L58)&lt;=1.96*O58,"Yes","No"))</f>
        <v>Yes</v>
      </c>
      <c r="T58" s="60" t="n">
        <f aca="false">IF(D58="","",ROUND(SQRT(((D58+G58)*O58/100)^2+(J58*(D58+G58)*0.05437)^2),0))</f>
        <v>198</v>
      </c>
      <c r="U58" s="32"/>
    </row>
    <row r="59" customFormat="false" ht="15" hidden="false" customHeight="false" outlineLevel="0" collapsed="false">
      <c r="A59" s="32" t="s">
        <v>222</v>
      </c>
      <c r="B59" s="32" t="s">
        <v>228</v>
      </c>
      <c r="C59" s="32" t="s">
        <v>164</v>
      </c>
      <c r="D59" s="60" t="n">
        <v>49</v>
      </c>
      <c r="E59" s="60" t="n">
        <v>39</v>
      </c>
      <c r="F59" s="69" t="n">
        <f aca="false">IF(E59="","",D59-E59)</f>
        <v>10</v>
      </c>
      <c r="G59" s="60" t="n">
        <v>71</v>
      </c>
      <c r="H59" s="60" t="n">
        <v>79</v>
      </c>
      <c r="I59" s="69" t="n">
        <f aca="false">IF(H59="","",G59-H59)</f>
        <v>-8</v>
      </c>
      <c r="J59" s="40" t="n">
        <f aca="false">IF(OR(D59="",D59+G59=0),"",D59/(D59+G59))</f>
        <v>0.408333333333333</v>
      </c>
      <c r="K59" s="40" t="n">
        <f aca="false">IF(E59="","",E59/(E59+H59))</f>
        <v>0.330508474576271</v>
      </c>
      <c r="L59" s="70" t="n">
        <f aca="false">IF(OR(K59="",J59=""),"",(J59-K59)*100)</f>
        <v>7.78248587570621</v>
      </c>
      <c r="M59" s="36" t="n">
        <v>3.66627757766473</v>
      </c>
      <c r="N59" s="36" t="n">
        <v>1.47485751984182</v>
      </c>
      <c r="O59" s="36" t="n">
        <f aca="false">SQRT(M59^2+N59^2)</f>
        <v>3.95180920343089</v>
      </c>
      <c r="P59" s="40" t="n">
        <f aca="false">IF(J59="","",MAX(0,J59-1.96*O59/100))</f>
        <v>0.330877872946088</v>
      </c>
      <c r="Q59" s="40" t="n">
        <f aca="false">IF(J59="","",MIN(1,J59+1.96*O59/100))</f>
        <v>0.485788793720579</v>
      </c>
      <c r="R59" s="32" t="str">
        <f aca="false">IF(L59="","",IF(ABS(L59)&lt;=O59,"Yes","No"))</f>
        <v>No</v>
      </c>
      <c r="S59" s="32" t="str">
        <f aca="false">IF(L59="","",IF(ABS(L59)&lt;=1.96*O59,"Yes","No"))</f>
        <v>No</v>
      </c>
      <c r="T59" s="60" t="n">
        <f aca="false">IF(D59="","",ROUND(SQRT(((D59+G59)*O59/100)^2+(J59*(D59+G59)*0.07717)^2),0))</f>
        <v>6</v>
      </c>
      <c r="U59" s="32"/>
    </row>
    <row r="60" customFormat="false" ht="15" hidden="false" customHeight="false" outlineLevel="0" collapsed="false">
      <c r="A60" s="32" t="s">
        <v>222</v>
      </c>
      <c r="B60" s="32" t="s">
        <v>229</v>
      </c>
      <c r="C60" s="32" t="s">
        <v>164</v>
      </c>
      <c r="D60" s="60" t="n">
        <v>1320</v>
      </c>
      <c r="E60" s="60" t="n">
        <v>1215</v>
      </c>
      <c r="F60" s="69" t="n">
        <f aca="false">IF(E60="","",D60-E60)</f>
        <v>105</v>
      </c>
      <c r="G60" s="60" t="n">
        <v>1745</v>
      </c>
      <c r="H60" s="60" t="n">
        <v>1784</v>
      </c>
      <c r="I60" s="69" t="n">
        <f aca="false">IF(H60="","",G60-H60)</f>
        <v>-39</v>
      </c>
      <c r="J60" s="40" t="n">
        <f aca="false">IF(OR(D60="",D60+G60=0),"",D60/(D60+G60))</f>
        <v>0.430668841761827</v>
      </c>
      <c r="K60" s="40" t="n">
        <f aca="false">IF(E60="","",E60/(E60+H60))</f>
        <v>0.405135045015005</v>
      </c>
      <c r="L60" s="70" t="n">
        <f aca="false">IF(OR(K60="",J60=""),"",(J60-K60)*100)</f>
        <v>2.55337967468221</v>
      </c>
      <c r="M60" s="36" t="n">
        <v>1.97364055856013</v>
      </c>
      <c r="N60" s="36" t="n">
        <v>1.47485751984182</v>
      </c>
      <c r="O60" s="36" t="n">
        <f aca="false">SQRT(M60^2+N60^2)</f>
        <v>2.46383070811034</v>
      </c>
      <c r="P60" s="40" t="n">
        <f aca="false">IF(J60="","",MAX(0,J60-1.96*O60/100))</f>
        <v>0.382377759882865</v>
      </c>
      <c r="Q60" s="40" t="n">
        <f aca="false">IF(J60="","",MIN(1,J60+1.96*O60/100))</f>
        <v>0.47895992364079</v>
      </c>
      <c r="R60" s="32" t="str">
        <f aca="false">IF(L60="","",IF(ABS(L60)&lt;=O60,"Yes","No"))</f>
        <v>No</v>
      </c>
      <c r="S60" s="32" t="str">
        <f aca="false">IF(L60="","",IF(ABS(L60)&lt;=1.96*O60,"Yes","No"))</f>
        <v>Yes</v>
      </c>
      <c r="T60" s="60" t="n">
        <f aca="false">IF(D60="","",ROUND(SQRT(((D60+G60)*O60/100)^2+(J60*(D60+G60)*0.05992)^2),0))</f>
        <v>109</v>
      </c>
      <c r="U60" s="32"/>
    </row>
    <row r="61" customFormat="false" ht="15" hidden="false" customHeight="false" outlineLevel="0" collapsed="false">
      <c r="A61" s="32" t="s">
        <v>222</v>
      </c>
      <c r="B61" s="32" t="s">
        <v>230</v>
      </c>
      <c r="C61" s="32" t="s">
        <v>164</v>
      </c>
      <c r="D61" s="60" t="n">
        <v>215</v>
      </c>
      <c r="E61" s="60" t="n">
        <v>166</v>
      </c>
      <c r="F61" s="69" t="n">
        <f aca="false">IF(E61="","",D61-E61)</f>
        <v>49</v>
      </c>
      <c r="G61" s="60" t="n">
        <v>297</v>
      </c>
      <c r="H61" s="60" t="n">
        <v>332</v>
      </c>
      <c r="I61" s="69" t="n">
        <f aca="false">IF(H61="","",G61-H61)</f>
        <v>-35</v>
      </c>
      <c r="J61" s="40" t="n">
        <f aca="false">IF(OR(D61="",D61+G61=0),"",D61/(D61+G61))</f>
        <v>0.419921875</v>
      </c>
      <c r="K61" s="40" t="n">
        <f aca="false">IF(E61="","",E61/(E61+H61))</f>
        <v>0.333333333333333</v>
      </c>
      <c r="L61" s="70" t="n">
        <f aca="false">IF(OR(K61="",J61=""),"",(J61-K61)*100)</f>
        <v>8.65885416666667</v>
      </c>
      <c r="M61" s="36" t="n">
        <v>3.66627757766473</v>
      </c>
      <c r="N61" s="36" t="n">
        <v>1.47485751984182</v>
      </c>
      <c r="O61" s="36" t="n">
        <f aca="false">SQRT(M61^2+N61^2)</f>
        <v>3.95180920343089</v>
      </c>
      <c r="P61" s="40" t="n">
        <f aca="false">IF(J61="","",MAX(0,J61-1.96*O61/100))</f>
        <v>0.342466414612755</v>
      </c>
      <c r="Q61" s="40" t="n">
        <f aca="false">IF(J61="","",MIN(1,J61+1.96*O61/100))</f>
        <v>0.497377335387246</v>
      </c>
      <c r="R61" s="32" t="str">
        <f aca="false">IF(L61="","",IF(ABS(L61)&lt;=O61,"Yes","No"))</f>
        <v>No</v>
      </c>
      <c r="S61" s="32" t="str">
        <f aca="false">IF(L61="","",IF(ABS(L61)&lt;=1.96*O61,"Yes","No"))</f>
        <v>No</v>
      </c>
      <c r="T61" s="60" t="n">
        <f aca="false">IF(D61="","",ROUND(SQRT(((D61+G61)*O61/100)^2+(J61*(D61+G61)*0.07717)^2),0))</f>
        <v>26</v>
      </c>
      <c r="U61" s="32"/>
    </row>
    <row r="62" customFormat="false" ht="15" hidden="false" customHeight="false" outlineLevel="0" collapsed="false">
      <c r="A62" s="32" t="s">
        <v>222</v>
      </c>
      <c r="B62" s="32" t="s">
        <v>231</v>
      </c>
      <c r="C62" s="32" t="s">
        <v>164</v>
      </c>
      <c r="D62" s="60" t="n">
        <v>7491</v>
      </c>
      <c r="E62" s="60" t="n">
        <v>7095</v>
      </c>
      <c r="F62" s="69" t="n">
        <f aca="false">IF(E62="","",D62-E62)</f>
        <v>396</v>
      </c>
      <c r="G62" s="60" t="n">
        <v>2916</v>
      </c>
      <c r="H62" s="60" t="n">
        <v>2953</v>
      </c>
      <c r="I62" s="69" t="n">
        <f aca="false">IF(H62="","",G62-H62)</f>
        <v>-37</v>
      </c>
      <c r="J62" s="40" t="n">
        <f aca="false">IF(OR(D62="",D62+G62=0),"",D62/(D62+G62))</f>
        <v>0.719803978091669</v>
      </c>
      <c r="K62" s="40" t="n">
        <f aca="false">IF(E62="","",E62/(E62+H62))</f>
        <v>0.706110668789809</v>
      </c>
      <c r="L62" s="70" t="n">
        <f aca="false">IF(OR(K62="",J62=""),"",(J62-K62)*100)</f>
        <v>1.36933093018602</v>
      </c>
      <c r="M62" s="36" t="n">
        <v>2.59370925945702</v>
      </c>
      <c r="N62" s="36" t="n">
        <v>1.47485751984182</v>
      </c>
      <c r="O62" s="36" t="n">
        <f aca="false">SQRT(M62^2+N62^2)</f>
        <v>2.98371118348058</v>
      </c>
      <c r="P62" s="40" t="n">
        <f aca="false">IF(J62="","",MAX(0,J62-1.96*O62/100))</f>
        <v>0.66132323889545</v>
      </c>
      <c r="Q62" s="40" t="n">
        <f aca="false">IF(J62="","",MIN(1,J62+1.96*O62/100))</f>
        <v>0.778284717287888</v>
      </c>
      <c r="R62" s="32" t="str">
        <f aca="false">IF(L62="","",IF(ABS(L62)&lt;=O62,"Yes","No"))</f>
        <v>Yes</v>
      </c>
      <c r="S62" s="32" t="str">
        <f aca="false">IF(L62="","",IF(ABS(L62)&lt;=1.96*O62,"Yes","No"))</f>
        <v>Yes</v>
      </c>
      <c r="T62" s="60" t="n">
        <f aca="false">IF(D62="","",ROUND(SQRT(((D62+G62)*O62/100)^2+(J62*(D62+G62)*0.05437)^2),0))</f>
        <v>512</v>
      </c>
      <c r="U62" s="32"/>
    </row>
    <row r="63" customFormat="false" ht="15" hidden="false" customHeight="false" outlineLevel="0" collapsed="false">
      <c r="A63" s="32" t="s">
        <v>222</v>
      </c>
      <c r="B63" s="32" t="s">
        <v>232</v>
      </c>
      <c r="C63" s="32" t="s">
        <v>164</v>
      </c>
      <c r="D63" s="60" t="n">
        <v>5426</v>
      </c>
      <c r="E63" s="60" t="n">
        <v>5038</v>
      </c>
      <c r="F63" s="69" t="n">
        <f aca="false">IF(E63="","",D63-E63)</f>
        <v>388</v>
      </c>
      <c r="G63" s="60" t="n">
        <v>4529</v>
      </c>
      <c r="H63" s="60" t="n">
        <v>4815</v>
      </c>
      <c r="I63" s="69" t="n">
        <f aca="false">IF(H63="","",G63-H63)</f>
        <v>-286</v>
      </c>
      <c r="J63" s="40" t="n">
        <f aca="false">IF(OR(D63="",D63+G63=0),"",D63/(D63+G63))</f>
        <v>0.545052737317931</v>
      </c>
      <c r="K63" s="40" t="n">
        <f aca="false">IF(E63="","",E63/(E63+H63))</f>
        <v>0.511316350350147</v>
      </c>
      <c r="L63" s="70" t="n">
        <f aca="false">IF(OR(K63="",J63=""),"",(J63-K63)*100)</f>
        <v>3.37363869677836</v>
      </c>
      <c r="M63" s="36" t="n">
        <v>2.59370925945702</v>
      </c>
      <c r="N63" s="36" t="n">
        <v>1.47485751984182</v>
      </c>
      <c r="O63" s="36" t="n">
        <f aca="false">SQRT(M63^2+N63^2)</f>
        <v>2.98371118348058</v>
      </c>
      <c r="P63" s="40" t="n">
        <f aca="false">IF(J63="","",MAX(0,J63-1.96*O63/100))</f>
        <v>0.486571998121711</v>
      </c>
      <c r="Q63" s="40" t="n">
        <f aca="false">IF(J63="","",MIN(1,J63+1.96*O63/100))</f>
        <v>0.60353347651415</v>
      </c>
      <c r="R63" s="32" t="str">
        <f aca="false">IF(L63="","",IF(ABS(L63)&lt;=O63,"Yes","No"))</f>
        <v>No</v>
      </c>
      <c r="S63" s="32" t="str">
        <f aca="false">IF(L63="","",IF(ABS(L63)&lt;=1.96*O63,"Yes","No"))</f>
        <v>Yes</v>
      </c>
      <c r="T63" s="60" t="n">
        <f aca="false">IF(D63="","",ROUND(SQRT(((D63+G63)*O63/100)^2+(J63*(D63+G63)*0.05437)^2),0))</f>
        <v>419</v>
      </c>
      <c r="U63" s="32"/>
    </row>
    <row r="64" customFormat="false" ht="15" hidden="false" customHeight="false" outlineLevel="0" collapsed="false">
      <c r="A64" s="32" t="s">
        <v>222</v>
      </c>
      <c r="B64" s="32" t="s">
        <v>233</v>
      </c>
      <c r="C64" s="32" t="s">
        <v>164</v>
      </c>
      <c r="D64" s="60" t="n">
        <v>753</v>
      </c>
      <c r="E64" s="60" t="n">
        <v>768</v>
      </c>
      <c r="F64" s="69" t="n">
        <f aca="false">IF(E64="","",D64-E64)</f>
        <v>-15</v>
      </c>
      <c r="G64" s="60" t="n">
        <v>410</v>
      </c>
      <c r="H64" s="60" t="n">
        <v>460</v>
      </c>
      <c r="I64" s="69" t="n">
        <f aca="false">IF(H64="","",G64-H64)</f>
        <v>-50</v>
      </c>
      <c r="J64" s="40" t="n">
        <f aca="false">IF(OR(D64="",D64+G64=0),"",D64/(D64+G64))</f>
        <v>0.647463456577816</v>
      </c>
      <c r="K64" s="40" t="n">
        <f aca="false">IF(E64="","",E64/(E64+H64))</f>
        <v>0.625407166123778</v>
      </c>
      <c r="L64" s="70" t="n">
        <f aca="false">IF(OR(K64="",J64=""),"",(J64-K64)*100)</f>
        <v>2.20562904540376</v>
      </c>
      <c r="M64" s="36" t="n">
        <v>3.66627757766473</v>
      </c>
      <c r="N64" s="36" t="n">
        <v>1.47485751984182</v>
      </c>
      <c r="O64" s="36" t="n">
        <f aca="false">SQRT(M64^2+N64^2)</f>
        <v>3.95180920343089</v>
      </c>
      <c r="P64" s="40" t="n">
        <f aca="false">IF(J64="","",MAX(0,J64-1.96*O64/100))</f>
        <v>0.570007996190571</v>
      </c>
      <c r="Q64" s="40" t="n">
        <f aca="false">IF(J64="","",MIN(1,J64+1.96*O64/100))</f>
        <v>0.724918916965062</v>
      </c>
      <c r="R64" s="32" t="str">
        <f aca="false">IF(L64="","",IF(ABS(L64)&lt;=O64,"Yes","No"))</f>
        <v>Yes</v>
      </c>
      <c r="S64" s="32" t="str">
        <f aca="false">IF(L64="","",IF(ABS(L64)&lt;=1.96*O64,"Yes","No"))</f>
        <v>Yes</v>
      </c>
      <c r="T64" s="60" t="n">
        <f aca="false">IF(D64="","",ROUND(SQRT(((D64+G64)*O64/100)^2+(J64*(D64+G64)*0.07717)^2),0))</f>
        <v>74</v>
      </c>
      <c r="U64" s="32"/>
    </row>
    <row r="65" customFormat="false" ht="15" hidden="false" customHeight="false" outlineLevel="0" collapsed="false">
      <c r="A65" s="32" t="s">
        <v>222</v>
      </c>
      <c r="B65" s="32" t="s">
        <v>234</v>
      </c>
      <c r="C65" s="32" t="s">
        <v>164</v>
      </c>
      <c r="D65" s="60" t="n">
        <v>119</v>
      </c>
      <c r="E65" s="60" t="n">
        <v>101</v>
      </c>
      <c r="F65" s="69" t="n">
        <f aca="false">IF(E65="","",D65-E65)</f>
        <v>18</v>
      </c>
      <c r="G65" s="60" t="n">
        <v>83</v>
      </c>
      <c r="H65" s="60" t="n">
        <v>100</v>
      </c>
      <c r="I65" s="69" t="n">
        <f aca="false">IF(H65="","",G65-H65)</f>
        <v>-17</v>
      </c>
      <c r="J65" s="40" t="n">
        <f aca="false">IF(OR(D65="",D65+G65=0),"",D65/(D65+G65))</f>
        <v>0.589108910891089</v>
      </c>
      <c r="K65" s="40" t="n">
        <f aca="false">IF(E65="","",E65/(E65+H65))</f>
        <v>0.502487562189055</v>
      </c>
      <c r="L65" s="70" t="n">
        <f aca="false">IF(OR(K65="",J65=""),"",(J65-K65)*100)</f>
        <v>8.66213487020343</v>
      </c>
      <c r="M65" s="36" t="n">
        <v>3.66627757766473</v>
      </c>
      <c r="N65" s="36" t="n">
        <v>1.47485751984182</v>
      </c>
      <c r="O65" s="36" t="n">
        <f aca="false">SQRT(M65^2+N65^2)</f>
        <v>3.95180920343089</v>
      </c>
      <c r="P65" s="40" t="n">
        <f aca="false">IF(J65="","",MAX(0,J65-1.96*O65/100))</f>
        <v>0.511653450503844</v>
      </c>
      <c r="Q65" s="40" t="n">
        <f aca="false">IF(J65="","",MIN(1,J65+1.96*O65/100))</f>
        <v>0.666564371278335</v>
      </c>
      <c r="R65" s="32" t="str">
        <f aca="false">IF(L65="","",IF(ABS(L65)&lt;=O65,"Yes","No"))</f>
        <v>No</v>
      </c>
      <c r="S65" s="32" t="str">
        <f aca="false">IF(L65="","",IF(ABS(L65)&lt;=1.96*O65,"Yes","No"))</f>
        <v>No</v>
      </c>
      <c r="T65" s="60" t="n">
        <f aca="false">IF(D65="","",ROUND(SQRT(((D65+G65)*O65/100)^2+(J65*(D65+G65)*0.07717)^2),0))</f>
        <v>12</v>
      </c>
      <c r="U65" s="32"/>
    </row>
    <row r="66" customFormat="false" ht="15" hidden="false" customHeight="false" outlineLevel="0" collapsed="false">
      <c r="A66" s="32" t="s">
        <v>222</v>
      </c>
      <c r="B66" s="32" t="s">
        <v>201</v>
      </c>
      <c r="C66" s="32" t="s">
        <v>164</v>
      </c>
      <c r="D66" s="60" t="n">
        <v>4369</v>
      </c>
      <c r="E66" s="60" t="n">
        <v>4234</v>
      </c>
      <c r="F66" s="69" t="n">
        <f aca="false">IF(E66="","",D66-E66)</f>
        <v>135</v>
      </c>
      <c r="G66" s="60" t="n">
        <v>3576</v>
      </c>
      <c r="H66" s="60" t="n">
        <v>3699</v>
      </c>
      <c r="I66" s="69" t="n">
        <f aca="false">IF(H66="","",G66-H66)</f>
        <v>-123</v>
      </c>
      <c r="J66" s="40" t="n">
        <f aca="false">IF(OR(D66="",D66+G66=0),"",D66/(D66+G66))</f>
        <v>0.549905601006923</v>
      </c>
      <c r="K66" s="40" t="n">
        <f aca="false">IF(E66="","",E66/(E66+H66))</f>
        <v>0.533719904197655</v>
      </c>
      <c r="L66" s="70" t="n">
        <f aca="false">IF(OR(K66="",J66=""),"",(J66-K66)*100)</f>
        <v>1.61856968092672</v>
      </c>
      <c r="M66" s="36" t="n">
        <v>2.59370925945702</v>
      </c>
      <c r="N66" s="36" t="n">
        <v>1.47485751984182</v>
      </c>
      <c r="O66" s="36" t="n">
        <f aca="false">SQRT(M66^2+N66^2)</f>
        <v>2.98371118348058</v>
      </c>
      <c r="P66" s="40" t="n">
        <f aca="false">IF(J66="","",MAX(0,J66-1.96*O66/100))</f>
        <v>0.491424861810703</v>
      </c>
      <c r="Q66" s="40" t="n">
        <f aca="false">IF(J66="","",MIN(1,J66+1.96*O66/100))</f>
        <v>0.608386340203142</v>
      </c>
      <c r="R66" s="32" t="str">
        <f aca="false">IF(L66="","",IF(ABS(L66)&lt;=O66,"Yes","No"))</f>
        <v>Yes</v>
      </c>
      <c r="S66" s="32" t="str">
        <f aca="false">IF(L66="","",IF(ABS(L66)&lt;=1.96*O66,"Yes","No"))</f>
        <v>Yes</v>
      </c>
      <c r="T66" s="60" t="n">
        <f aca="false">IF(D66="","",ROUND(SQRT(((D66+G66)*O66/100)^2+(J66*(D66+G66)*0.05437)^2),0))</f>
        <v>336</v>
      </c>
      <c r="U66" s="32"/>
    </row>
    <row r="67" customFormat="false" ht="15" hidden="false" customHeight="false" outlineLevel="0" collapsed="false">
      <c r="A67" s="32" t="s">
        <v>222</v>
      </c>
      <c r="B67" s="32" t="s">
        <v>235</v>
      </c>
      <c r="C67" s="32" t="s">
        <v>164</v>
      </c>
      <c r="D67" s="60" t="n">
        <v>1828</v>
      </c>
      <c r="E67" s="60" t="n">
        <v>1646</v>
      </c>
      <c r="F67" s="69" t="n">
        <f aca="false">IF(E67="","",D67-E67)</f>
        <v>182</v>
      </c>
      <c r="G67" s="60" t="n">
        <v>1477</v>
      </c>
      <c r="H67" s="60" t="n">
        <v>1608</v>
      </c>
      <c r="I67" s="69" t="n">
        <f aca="false">IF(H67="","",G67-H67)</f>
        <v>-131</v>
      </c>
      <c r="J67" s="40" t="n">
        <f aca="false">IF(OR(D67="",D67+G67=0),"",D67/(D67+G67))</f>
        <v>0.553101361573374</v>
      </c>
      <c r="K67" s="40" t="n">
        <f aca="false">IF(E67="","",E67/(E67+H67))</f>
        <v>0.505838967424708</v>
      </c>
      <c r="L67" s="70" t="n">
        <f aca="false">IF(OR(K67="",J67=""),"",(J67-K67)*100)</f>
        <v>4.72623941486656</v>
      </c>
      <c r="M67" s="36" t="n">
        <v>1.97364055856013</v>
      </c>
      <c r="N67" s="36" t="n">
        <v>1.47485751984182</v>
      </c>
      <c r="O67" s="36" t="n">
        <f aca="false">SQRT(M67^2+N67^2)</f>
        <v>2.46383070811034</v>
      </c>
      <c r="P67" s="40" t="n">
        <f aca="false">IF(J67="","",MAX(0,J67-1.96*O67/100))</f>
        <v>0.504810279694411</v>
      </c>
      <c r="Q67" s="40" t="n">
        <f aca="false">IF(J67="","",MIN(1,J67+1.96*O67/100))</f>
        <v>0.601392443452336</v>
      </c>
      <c r="R67" s="32" t="str">
        <f aca="false">IF(L67="","",IF(ABS(L67)&lt;=O67,"Yes","No"))</f>
        <v>No</v>
      </c>
      <c r="S67" s="32" t="str">
        <f aca="false">IF(L67="","",IF(ABS(L67)&lt;=1.96*O67,"Yes","No"))</f>
        <v>Yes</v>
      </c>
      <c r="T67" s="60" t="n">
        <f aca="false">IF(D67="","",ROUND(SQRT(((D67+G67)*O67/100)^2+(J67*(D67+G67)*0.05992)^2),0))</f>
        <v>136</v>
      </c>
      <c r="U67" s="32"/>
    </row>
    <row r="68" customFormat="false" ht="15" hidden="false" customHeight="false" outlineLevel="0" collapsed="false">
      <c r="A68" s="32" t="s">
        <v>222</v>
      </c>
      <c r="B68" s="32" t="s">
        <v>236</v>
      </c>
      <c r="C68" s="32" t="s">
        <v>164</v>
      </c>
      <c r="D68" s="60" t="n">
        <v>2406</v>
      </c>
      <c r="E68" s="60" t="n">
        <v>2137</v>
      </c>
      <c r="F68" s="69" t="n">
        <f aca="false">IF(E68="","",D68-E68)</f>
        <v>269</v>
      </c>
      <c r="G68" s="60" t="n">
        <v>4021</v>
      </c>
      <c r="H68" s="60" t="n">
        <v>4258</v>
      </c>
      <c r="I68" s="69" t="n">
        <f aca="false">IF(H68="","",G68-H68)</f>
        <v>-237</v>
      </c>
      <c r="J68" s="40" t="n">
        <f aca="false">IF(OR(D68="",D68+G68=0),"",D68/(D68+G68))</f>
        <v>0.374358176443131</v>
      </c>
      <c r="K68" s="40" t="n">
        <f aca="false">IF(E68="","",E68/(E68+H68))</f>
        <v>0.334167318217357</v>
      </c>
      <c r="L68" s="70" t="n">
        <f aca="false">IF(OR(K68="",J68=""),"",(J68-K68)*100)</f>
        <v>4.01908582257732</v>
      </c>
      <c r="M68" s="36" t="n">
        <v>2.59370925945702</v>
      </c>
      <c r="N68" s="36" t="n">
        <v>1.47485751984182</v>
      </c>
      <c r="O68" s="36" t="n">
        <f aca="false">SQRT(M68^2+N68^2)</f>
        <v>2.98371118348058</v>
      </c>
      <c r="P68" s="40" t="n">
        <f aca="false">IF(J68="","",MAX(0,J68-1.96*O68/100))</f>
        <v>0.315877437246911</v>
      </c>
      <c r="Q68" s="40" t="n">
        <f aca="false">IF(J68="","",MIN(1,J68+1.96*O68/100))</f>
        <v>0.43283891563935</v>
      </c>
      <c r="R68" s="32" t="str">
        <f aca="false">IF(L68="","",IF(ABS(L68)&lt;=O68,"Yes","No"))</f>
        <v>No</v>
      </c>
      <c r="S68" s="32" t="str">
        <f aca="false">IF(L68="","",IF(ABS(L68)&lt;=1.96*O68,"Yes","No"))</f>
        <v>Yes</v>
      </c>
      <c r="T68" s="60" t="n">
        <f aca="false">IF(D68="","",ROUND(SQRT(((D68+G68)*O68/100)^2+(J68*(D68+G68)*0.05437)^2),0))</f>
        <v>232</v>
      </c>
      <c r="U68" s="32"/>
    </row>
    <row r="69" customFormat="false" ht="15" hidden="false" customHeight="false" outlineLevel="0" collapsed="false">
      <c r="A69" s="32" t="s">
        <v>222</v>
      </c>
      <c r="B69" s="32" t="s">
        <v>237</v>
      </c>
      <c r="C69" s="32" t="s">
        <v>164</v>
      </c>
      <c r="D69" s="60" t="n">
        <v>690</v>
      </c>
      <c r="E69" s="60" t="n">
        <v>580</v>
      </c>
      <c r="F69" s="69" t="n">
        <f aca="false">IF(E69="","",D69-E69)</f>
        <v>110</v>
      </c>
      <c r="G69" s="60" t="n">
        <v>1095</v>
      </c>
      <c r="H69" s="60" t="n">
        <v>1159</v>
      </c>
      <c r="I69" s="69" t="n">
        <f aca="false">IF(H69="","",G69-H69)</f>
        <v>-64</v>
      </c>
      <c r="J69" s="40" t="n">
        <f aca="false">IF(OR(D69="",D69+G69=0),"",D69/(D69+G69))</f>
        <v>0.38655462184874</v>
      </c>
      <c r="K69" s="40" t="n">
        <f aca="false">IF(E69="","",E69/(E69+H69))</f>
        <v>0.333525014376078</v>
      </c>
      <c r="L69" s="70" t="n">
        <f aca="false">IF(OR(K69="",J69=""),"",(J69-K69)*100)</f>
        <v>5.30296074726613</v>
      </c>
      <c r="M69" s="36" t="n">
        <v>1.97364055856013</v>
      </c>
      <c r="N69" s="36" t="n">
        <v>1.47485751984182</v>
      </c>
      <c r="O69" s="36" t="n">
        <f aca="false">SQRT(M69^2+N69^2)</f>
        <v>2.46383070811034</v>
      </c>
      <c r="P69" s="40" t="n">
        <f aca="false">IF(J69="","",MAX(0,J69-1.96*O69/100))</f>
        <v>0.338263539969777</v>
      </c>
      <c r="Q69" s="40" t="n">
        <f aca="false">IF(J69="","",MIN(1,J69+1.96*O69/100))</f>
        <v>0.434845703727702</v>
      </c>
      <c r="R69" s="32" t="str">
        <f aca="false">IF(L69="","",IF(ABS(L69)&lt;=O69,"Yes","No"))</f>
        <v>No</v>
      </c>
      <c r="S69" s="32" t="str">
        <f aca="false">IF(L69="","",IF(ABS(L69)&lt;=1.96*O69,"Yes","No"))</f>
        <v>No</v>
      </c>
      <c r="T69" s="60" t="n">
        <f aca="false">IF(D69="","",ROUND(SQRT(((D69+G69)*O69/100)^2+(J69*(D69+G69)*0.05992)^2),0))</f>
        <v>60</v>
      </c>
      <c r="U69" s="32"/>
    </row>
    <row r="70" customFormat="false" ht="15" hidden="false" customHeight="false" outlineLevel="0" collapsed="false">
      <c r="A70" s="32" t="s">
        <v>222</v>
      </c>
      <c r="B70" s="32" t="s">
        <v>238</v>
      </c>
      <c r="C70" s="32" t="s">
        <v>164</v>
      </c>
      <c r="D70" s="60" t="n">
        <v>2028</v>
      </c>
      <c r="E70" s="60" t="n">
        <v>1879</v>
      </c>
      <c r="F70" s="69" t="n">
        <f aca="false">IF(E70="","",D70-E70)</f>
        <v>149</v>
      </c>
      <c r="G70" s="60" t="n">
        <v>2407</v>
      </c>
      <c r="H70" s="60" t="n">
        <v>2565</v>
      </c>
      <c r="I70" s="69" t="n">
        <f aca="false">IF(H70="","",G70-H70)</f>
        <v>-158</v>
      </c>
      <c r="J70" s="40" t="n">
        <f aca="false">IF(OR(D70="",D70+G70=0),"",D70/(D70+G70))</f>
        <v>0.457271702367531</v>
      </c>
      <c r="K70" s="40" t="n">
        <f aca="false">IF(E70="","",E70/(E70+H70))</f>
        <v>0.422817281728173</v>
      </c>
      <c r="L70" s="70" t="n">
        <f aca="false">IF(OR(K70="",J70=""),"",(J70-K70)*100)</f>
        <v>3.44544206393582</v>
      </c>
      <c r="M70" s="36" t="n">
        <v>2.59370925945702</v>
      </c>
      <c r="N70" s="36" t="n">
        <v>1.47485751984182</v>
      </c>
      <c r="O70" s="36" t="n">
        <f aca="false">SQRT(M70^2+N70^2)</f>
        <v>2.98371118348058</v>
      </c>
      <c r="P70" s="40" t="n">
        <f aca="false">IF(J70="","",MAX(0,J70-1.96*O70/100))</f>
        <v>0.398790963171312</v>
      </c>
      <c r="Q70" s="40" t="n">
        <f aca="false">IF(J70="","",MIN(1,J70+1.96*O70/100))</f>
        <v>0.51575244156375</v>
      </c>
      <c r="R70" s="32" t="str">
        <f aca="false">IF(L70="","",IF(ABS(L70)&lt;=O70,"Yes","No"))</f>
        <v>No</v>
      </c>
      <c r="S70" s="32" t="str">
        <f aca="false">IF(L70="","",IF(ABS(L70)&lt;=1.96*O70,"Yes","No"))</f>
        <v>Yes</v>
      </c>
      <c r="T70" s="60" t="n">
        <f aca="false">IF(D70="","",ROUND(SQRT(((D70+G70)*O70/100)^2+(J70*(D70+G70)*0.05437)^2),0))</f>
        <v>172</v>
      </c>
      <c r="U70" s="32"/>
    </row>
    <row r="71" customFormat="false" ht="15" hidden="false" customHeight="false" outlineLevel="0" collapsed="false">
      <c r="A71" s="32" t="s">
        <v>222</v>
      </c>
      <c r="B71" s="32" t="s">
        <v>239</v>
      </c>
      <c r="C71" s="32" t="s">
        <v>164</v>
      </c>
      <c r="D71" s="60" t="n">
        <v>3637</v>
      </c>
      <c r="E71" s="60" t="n">
        <v>3370</v>
      </c>
      <c r="F71" s="69" t="n">
        <f aca="false">IF(E71="","",D71-E71)</f>
        <v>267</v>
      </c>
      <c r="G71" s="60" t="n">
        <v>3603</v>
      </c>
      <c r="H71" s="60" t="n">
        <v>3831</v>
      </c>
      <c r="I71" s="69" t="n">
        <f aca="false">IF(H71="","",G71-H71)</f>
        <v>-228</v>
      </c>
      <c r="J71" s="40" t="n">
        <f aca="false">IF(OR(D71="",D71+G71=0),"",D71/(D71+G71))</f>
        <v>0.502348066298343</v>
      </c>
      <c r="K71" s="40" t="n">
        <f aca="false">IF(E71="","",E71/(E71+H71))</f>
        <v>0.467990556867102</v>
      </c>
      <c r="L71" s="70" t="n">
        <f aca="false">IF(OR(K71="",J71=""),"",(J71-K71)*100)</f>
        <v>3.43575094312407</v>
      </c>
      <c r="M71" s="36" t="n">
        <v>2.59370925945702</v>
      </c>
      <c r="N71" s="36" t="n">
        <v>1.47485751984182</v>
      </c>
      <c r="O71" s="36" t="n">
        <f aca="false">SQRT(M71^2+N71^2)</f>
        <v>2.98371118348058</v>
      </c>
      <c r="P71" s="40" t="n">
        <f aca="false">IF(J71="","",MAX(0,J71-1.96*O71/100))</f>
        <v>0.443867327102123</v>
      </c>
      <c r="Q71" s="40" t="n">
        <f aca="false">IF(J71="","",MIN(1,J71+1.96*O71/100))</f>
        <v>0.560828805494562</v>
      </c>
      <c r="R71" s="32" t="str">
        <f aca="false">IF(L71="","",IF(ABS(L71)&lt;=O71,"Yes","No"))</f>
        <v>No</v>
      </c>
      <c r="S71" s="32" t="str">
        <f aca="false">IF(L71="","",IF(ABS(L71)&lt;=1.96*O71,"Yes","No"))</f>
        <v>Yes</v>
      </c>
      <c r="T71" s="60" t="n">
        <f aca="false">IF(D71="","",ROUND(SQRT(((D71+G71)*O71/100)^2+(J71*(D71+G71)*0.05437)^2),0))</f>
        <v>293</v>
      </c>
      <c r="U71" s="32"/>
    </row>
    <row r="72" customFormat="false" ht="15" hidden="false" customHeight="false" outlineLevel="0" collapsed="false">
      <c r="A72" s="32" t="s">
        <v>222</v>
      </c>
      <c r="B72" s="32" t="s">
        <v>240</v>
      </c>
      <c r="C72" s="32" t="s">
        <v>164</v>
      </c>
      <c r="D72" s="60" t="n">
        <v>2178</v>
      </c>
      <c r="E72" s="60" t="n">
        <v>1920</v>
      </c>
      <c r="F72" s="69" t="n">
        <f aca="false">IF(E72="","",D72-E72)</f>
        <v>258</v>
      </c>
      <c r="G72" s="60" t="n">
        <v>3719</v>
      </c>
      <c r="H72" s="60" t="n">
        <v>3865</v>
      </c>
      <c r="I72" s="69" t="n">
        <f aca="false">IF(H72="","",G72-H72)</f>
        <v>-146</v>
      </c>
      <c r="J72" s="40" t="n">
        <f aca="false">IF(OR(D72="",D72+G72=0),"",D72/(D72+G72))</f>
        <v>0.369340342547058</v>
      </c>
      <c r="K72" s="40" t="n">
        <f aca="false">IF(E72="","",E72/(E72+H72))</f>
        <v>0.331892826274849</v>
      </c>
      <c r="L72" s="70" t="n">
        <f aca="false">IF(OR(K72="",J72=""),"",(J72-K72)*100)</f>
        <v>3.74475162722091</v>
      </c>
      <c r="M72" s="36" t="n">
        <v>2.59370925945702</v>
      </c>
      <c r="N72" s="36" t="n">
        <v>1.47485751984182</v>
      </c>
      <c r="O72" s="36" t="n">
        <f aca="false">SQRT(M72^2+N72^2)</f>
        <v>2.98371118348058</v>
      </c>
      <c r="P72" s="40" t="n">
        <f aca="false">IF(J72="","",MAX(0,J72-1.96*O72/100))</f>
        <v>0.310859603350839</v>
      </c>
      <c r="Q72" s="40" t="n">
        <f aca="false">IF(J72="","",MIN(1,J72+1.96*O72/100))</f>
        <v>0.427821081743277</v>
      </c>
      <c r="R72" s="32" t="str">
        <f aca="false">IF(L72="","",IF(ABS(L72)&lt;=O72,"Yes","No"))</f>
        <v>No</v>
      </c>
      <c r="S72" s="32" t="str">
        <f aca="false">IF(L72="","",IF(ABS(L72)&lt;=1.96*O72,"Yes","No"))</f>
        <v>Yes</v>
      </c>
      <c r="T72" s="60" t="n">
        <f aca="false">IF(D72="","",ROUND(SQRT(((D72+G72)*O72/100)^2+(J72*(D72+G72)*0.05437)^2),0))</f>
        <v>212</v>
      </c>
      <c r="U72" s="32"/>
    </row>
    <row r="73" customFormat="false" ht="15" hidden="false" customHeight="false" outlineLevel="0" collapsed="false">
      <c r="A73" s="32" t="s">
        <v>222</v>
      </c>
      <c r="B73" s="32" t="s">
        <v>241</v>
      </c>
      <c r="C73" s="32" t="s">
        <v>164</v>
      </c>
      <c r="D73" s="60" t="n">
        <v>1698</v>
      </c>
      <c r="E73" s="60" t="n">
        <v>1490</v>
      </c>
      <c r="F73" s="69" t="n">
        <f aca="false">IF(E73="","",D73-E73)</f>
        <v>208</v>
      </c>
      <c r="G73" s="60" t="n">
        <v>1511</v>
      </c>
      <c r="H73" s="60" t="n">
        <v>1627</v>
      </c>
      <c r="I73" s="69" t="n">
        <f aca="false">IF(H73="","",G73-H73)</f>
        <v>-116</v>
      </c>
      <c r="J73" s="40" t="n">
        <f aca="false">IF(OR(D73="",D73+G73=0),"",D73/(D73+G73))</f>
        <v>0.529136802742287</v>
      </c>
      <c r="K73" s="40" t="n">
        <f aca="false">IF(E73="","",E73/(E73+H73))</f>
        <v>0.478023740776388</v>
      </c>
      <c r="L73" s="70" t="n">
        <f aca="false">IF(OR(K73="",J73=""),"",(J73-K73)*100)</f>
        <v>5.11130619658998</v>
      </c>
      <c r="M73" s="36" t="n">
        <v>1.97364055856013</v>
      </c>
      <c r="N73" s="36" t="n">
        <v>1.47485751984182</v>
      </c>
      <c r="O73" s="36" t="n">
        <f aca="false">SQRT(M73^2+N73^2)</f>
        <v>2.46383070811034</v>
      </c>
      <c r="P73" s="40" t="n">
        <f aca="false">IF(J73="","",MAX(0,J73-1.96*O73/100))</f>
        <v>0.480845720863325</v>
      </c>
      <c r="Q73" s="40" t="n">
        <f aca="false">IF(J73="","",MIN(1,J73+1.96*O73/100))</f>
        <v>0.57742788462125</v>
      </c>
      <c r="R73" s="32" t="str">
        <f aca="false">IF(L73="","",IF(ABS(L73)&lt;=O73,"Yes","No"))</f>
        <v>No</v>
      </c>
      <c r="S73" s="32" t="str">
        <f aca="false">IF(L73="","",IF(ABS(L73)&lt;=1.96*O73,"Yes","No"))</f>
        <v>No</v>
      </c>
      <c r="T73" s="60" t="n">
        <f aca="false">IF(D73="","",ROUND(SQRT(((D73+G73)*O73/100)^2+(J73*(D73+G73)*0.05992)^2),0))</f>
        <v>129</v>
      </c>
      <c r="U73" s="32"/>
    </row>
    <row r="74" customFormat="false" ht="15" hidden="false" customHeight="false" outlineLevel="0" collapsed="false">
      <c r="A74" s="32" t="s">
        <v>222</v>
      </c>
      <c r="B74" s="32" t="s">
        <v>242</v>
      </c>
      <c r="C74" s="32" t="s">
        <v>164</v>
      </c>
      <c r="D74" s="60" t="n">
        <v>791</v>
      </c>
      <c r="E74" s="60" t="n">
        <v>731</v>
      </c>
      <c r="F74" s="69" t="n">
        <f aca="false">IF(E74="","",D74-E74)</f>
        <v>60</v>
      </c>
      <c r="G74" s="60" t="n">
        <v>748</v>
      </c>
      <c r="H74" s="60" t="n">
        <v>843</v>
      </c>
      <c r="I74" s="69" t="n">
        <f aca="false">IF(H74="","",G74-H74)</f>
        <v>-95</v>
      </c>
      <c r="J74" s="40" t="n">
        <f aca="false">IF(OR(D74="",D74+G74=0),"",D74/(D74+G74))</f>
        <v>0.513970110461339</v>
      </c>
      <c r="K74" s="40" t="n">
        <f aca="false">IF(E74="","",E74/(E74+H74))</f>
        <v>0.464421855146125</v>
      </c>
      <c r="L74" s="70" t="n">
        <f aca="false">IF(OR(K74="",J74=""),"",(J74-K74)*100)</f>
        <v>4.95482553152141</v>
      </c>
      <c r="M74" s="36" t="n">
        <v>1.97364055856013</v>
      </c>
      <c r="N74" s="36" t="n">
        <v>1.47485751984182</v>
      </c>
      <c r="O74" s="36" t="n">
        <f aca="false">SQRT(M74^2+N74^2)</f>
        <v>2.46383070811034</v>
      </c>
      <c r="P74" s="40" t="n">
        <f aca="false">IF(J74="","",MAX(0,J74-1.96*O74/100))</f>
        <v>0.465679028582376</v>
      </c>
      <c r="Q74" s="40" t="n">
        <f aca="false">IF(J74="","",MIN(1,J74+1.96*O74/100))</f>
        <v>0.562261192340301</v>
      </c>
      <c r="R74" s="32" t="str">
        <f aca="false">IF(L74="","",IF(ABS(L74)&lt;=O74,"Yes","No"))</f>
        <v>No</v>
      </c>
      <c r="S74" s="32" t="str">
        <f aca="false">IF(L74="","",IF(ABS(L74)&lt;=1.96*O74,"Yes","No"))</f>
        <v>No</v>
      </c>
      <c r="T74" s="60" t="n">
        <f aca="false">IF(D74="","",ROUND(SQRT(((D74+G74)*O74/100)^2+(J74*(D74+G74)*0.05992)^2),0))</f>
        <v>61</v>
      </c>
      <c r="U74" s="32"/>
    </row>
    <row r="75" customFormat="false" ht="15" hidden="false" customHeight="false" outlineLevel="0" collapsed="false">
      <c r="A75" s="32" t="s">
        <v>222</v>
      </c>
      <c r="B75" s="32" t="s">
        <v>243</v>
      </c>
      <c r="C75" s="32" t="s">
        <v>164</v>
      </c>
      <c r="D75" s="60" t="n">
        <v>2657</v>
      </c>
      <c r="E75" s="60" t="n">
        <v>2355</v>
      </c>
      <c r="F75" s="69" t="n">
        <f aca="false">IF(E75="","",D75-E75)</f>
        <v>302</v>
      </c>
      <c r="G75" s="60" t="n">
        <v>2532</v>
      </c>
      <c r="H75" s="60" t="n">
        <v>2934</v>
      </c>
      <c r="I75" s="69" t="n">
        <f aca="false">IF(H75="","",G75-H75)</f>
        <v>-402</v>
      </c>
      <c r="J75" s="40" t="n">
        <f aca="false">IF(OR(D75="",D75+G75=0),"",D75/(D75+G75))</f>
        <v>0.512044709963384</v>
      </c>
      <c r="K75" s="40" t="n">
        <f aca="false">IF(E75="","",E75/(E75+H75))</f>
        <v>0.445263754963131</v>
      </c>
      <c r="L75" s="70" t="n">
        <f aca="false">IF(OR(K75="",J75=""),"",(J75-K75)*100)</f>
        <v>6.67809550002531</v>
      </c>
      <c r="M75" s="36" t="n">
        <v>2.59370925945702</v>
      </c>
      <c r="N75" s="36" t="n">
        <v>1.47485751984182</v>
      </c>
      <c r="O75" s="36" t="n">
        <f aca="false">SQRT(M75^2+N75^2)</f>
        <v>2.98371118348058</v>
      </c>
      <c r="P75" s="40" t="n">
        <f aca="false">IF(J75="","",MAX(0,J75-1.96*O75/100))</f>
        <v>0.453563970767165</v>
      </c>
      <c r="Q75" s="40" t="n">
        <f aca="false">IF(J75="","",MIN(1,J75+1.96*O75/100))</f>
        <v>0.570525449159604</v>
      </c>
      <c r="R75" s="32" t="str">
        <f aca="false">IF(L75="","",IF(ABS(L75)&lt;=O75,"Yes","No"))</f>
        <v>No</v>
      </c>
      <c r="S75" s="32" t="str">
        <f aca="false">IF(L75="","",IF(ABS(L75)&lt;=1.96*O75,"Yes","No"))</f>
        <v>No</v>
      </c>
      <c r="T75" s="60" t="n">
        <f aca="false">IF(D75="","",ROUND(SQRT(((D75+G75)*O75/100)^2+(J75*(D75+G75)*0.05437)^2),0))</f>
        <v>212</v>
      </c>
      <c r="U75" s="32"/>
    </row>
    <row r="76" customFormat="false" ht="15" hidden="false" customHeight="false" outlineLevel="0" collapsed="false">
      <c r="A76" s="32" t="s">
        <v>222</v>
      </c>
      <c r="B76" s="32" t="s">
        <v>244</v>
      </c>
      <c r="C76" s="32" t="s">
        <v>164</v>
      </c>
      <c r="D76" s="60" t="n">
        <v>7281</v>
      </c>
      <c r="E76" s="60" t="n">
        <v>6698</v>
      </c>
      <c r="F76" s="69" t="n">
        <f aca="false">IF(E76="","",D76-E76)</f>
        <v>583</v>
      </c>
      <c r="G76" s="60" t="n">
        <v>5966</v>
      </c>
      <c r="H76" s="60" t="n">
        <v>6630</v>
      </c>
      <c r="I76" s="69" t="n">
        <f aca="false">IF(H76="","",G76-H76)</f>
        <v>-664</v>
      </c>
      <c r="J76" s="40" t="n">
        <f aca="false">IF(OR(D76="",D76+G76=0),"",D76/(D76+G76))</f>
        <v>0.549633879368914</v>
      </c>
      <c r="K76" s="40" t="n">
        <f aca="false">IF(E76="","",E76/(E76+H76))</f>
        <v>0.502551020408163</v>
      </c>
      <c r="L76" s="70" t="n">
        <f aca="false">IF(OR(K76="",J76=""),"",(J76-K76)*100)</f>
        <v>4.70828589607505</v>
      </c>
      <c r="M76" s="36" t="n">
        <v>2.59370925945702</v>
      </c>
      <c r="N76" s="36" t="n">
        <v>1.47485751984182</v>
      </c>
      <c r="O76" s="36" t="n">
        <f aca="false">SQRT(M76^2+N76^2)</f>
        <v>2.98371118348058</v>
      </c>
      <c r="P76" s="40" t="n">
        <f aca="false">IF(J76="","",MAX(0,J76-1.96*O76/100))</f>
        <v>0.491153140172694</v>
      </c>
      <c r="Q76" s="40" t="n">
        <f aca="false">IF(J76="","",MIN(1,J76+1.96*O76/100))</f>
        <v>0.608114618565133</v>
      </c>
      <c r="R76" s="32" t="str">
        <f aca="false">IF(L76="","",IF(ABS(L76)&lt;=O76,"Yes","No"))</f>
        <v>No</v>
      </c>
      <c r="S76" s="32" t="str">
        <f aca="false">IF(L76="","",IF(ABS(L76)&lt;=1.96*O76,"Yes","No"))</f>
        <v>Yes</v>
      </c>
      <c r="T76" s="60" t="n">
        <f aca="false">IF(D76="","",ROUND(SQRT(((D76+G76)*O76/100)^2+(J76*(D76+G76)*0.05437)^2),0))</f>
        <v>559</v>
      </c>
      <c r="U76" s="32"/>
    </row>
    <row r="77" customFormat="false" ht="15" hidden="false" customHeight="false" outlineLevel="0" collapsed="false">
      <c r="A77" s="32" t="s">
        <v>222</v>
      </c>
      <c r="B77" s="32" t="s">
        <v>245</v>
      </c>
      <c r="C77" s="32" t="s">
        <v>164</v>
      </c>
      <c r="D77" s="60" t="n">
        <v>755</v>
      </c>
      <c r="E77" s="60" t="n">
        <v>678</v>
      </c>
      <c r="F77" s="69" t="n">
        <f aca="false">IF(E77="","",D77-E77)</f>
        <v>77</v>
      </c>
      <c r="G77" s="60" t="n">
        <v>1048</v>
      </c>
      <c r="H77" s="60" t="n">
        <v>1089</v>
      </c>
      <c r="I77" s="69" t="n">
        <f aca="false">IF(H77="","",G77-H77)</f>
        <v>-41</v>
      </c>
      <c r="J77" s="40" t="n">
        <f aca="false">IF(OR(D77="",D77+G77=0),"",D77/(D77+G77))</f>
        <v>0.418746533555186</v>
      </c>
      <c r="K77" s="40" t="n">
        <f aca="false">IF(E77="","",E77/(E77+H77))</f>
        <v>0.383701188455009</v>
      </c>
      <c r="L77" s="70" t="n">
        <f aca="false">IF(OR(K77="",J77=""),"",(J77-K77)*100)</f>
        <v>3.50453451001773</v>
      </c>
      <c r="M77" s="36" t="n">
        <v>1.97364055856013</v>
      </c>
      <c r="N77" s="36" t="n">
        <v>1.47485751984182</v>
      </c>
      <c r="O77" s="36" t="n">
        <f aca="false">SQRT(M77^2+N77^2)</f>
        <v>2.46383070811034</v>
      </c>
      <c r="P77" s="40" t="n">
        <f aca="false">IF(J77="","",MAX(0,J77-1.96*O77/100))</f>
        <v>0.370455451676223</v>
      </c>
      <c r="Q77" s="40" t="n">
        <f aca="false">IF(J77="","",MIN(1,J77+1.96*O77/100))</f>
        <v>0.467037615434148</v>
      </c>
      <c r="R77" s="32" t="str">
        <f aca="false">IF(L77="","",IF(ABS(L77)&lt;=O77,"Yes","No"))</f>
        <v>No</v>
      </c>
      <c r="S77" s="32" t="str">
        <f aca="false">IF(L77="","",IF(ABS(L77)&lt;=1.96*O77,"Yes","No"))</f>
        <v>Yes</v>
      </c>
      <c r="T77" s="60" t="n">
        <f aca="false">IF(D77="","",ROUND(SQRT(((D77+G77)*O77/100)^2+(J77*(D77+G77)*0.05992)^2),0))</f>
        <v>63</v>
      </c>
      <c r="U77" s="32"/>
    </row>
    <row r="78" customFormat="false" ht="15" hidden="false" customHeight="false" outlineLevel="0" collapsed="false">
      <c r="A78" s="32" t="s">
        <v>222</v>
      </c>
      <c r="B78" s="32" t="s">
        <v>246</v>
      </c>
      <c r="C78" s="32" t="s">
        <v>164</v>
      </c>
      <c r="D78" s="60" t="n">
        <v>1500</v>
      </c>
      <c r="E78" s="60" t="n">
        <v>1368</v>
      </c>
      <c r="F78" s="69" t="n">
        <f aca="false">IF(E78="","",D78-E78)</f>
        <v>132</v>
      </c>
      <c r="G78" s="60" t="n">
        <v>2360</v>
      </c>
      <c r="H78" s="60" t="n">
        <v>2520</v>
      </c>
      <c r="I78" s="69" t="n">
        <f aca="false">IF(H78="","",G78-H78)</f>
        <v>-160</v>
      </c>
      <c r="J78" s="40" t="n">
        <f aca="false">IF(OR(D78="",D78+G78=0),"",D78/(D78+G78))</f>
        <v>0.38860103626943</v>
      </c>
      <c r="K78" s="40" t="n">
        <f aca="false">IF(E78="","",E78/(E78+H78))</f>
        <v>0.351851851851852</v>
      </c>
      <c r="L78" s="70" t="n">
        <f aca="false">IF(OR(K78="",J78=""),"",(J78-K78)*100)</f>
        <v>3.67491844175782</v>
      </c>
      <c r="M78" s="36" t="n">
        <v>2.59370925945702</v>
      </c>
      <c r="N78" s="36" t="n">
        <v>1.47485751984182</v>
      </c>
      <c r="O78" s="36" t="n">
        <f aca="false">SQRT(M78^2+N78^2)</f>
        <v>2.98371118348058</v>
      </c>
      <c r="P78" s="40" t="n">
        <f aca="false">IF(J78="","",MAX(0,J78-1.96*O78/100))</f>
        <v>0.330120297073211</v>
      </c>
      <c r="Q78" s="40" t="n">
        <f aca="false">IF(J78="","",MIN(1,J78+1.96*O78/100))</f>
        <v>0.447081775465649</v>
      </c>
      <c r="R78" s="32" t="str">
        <f aca="false">IF(L78="","",IF(ABS(L78)&lt;=O78,"Yes","No"))</f>
        <v>No</v>
      </c>
      <c r="S78" s="32" t="str">
        <f aca="false">IF(L78="","",IF(ABS(L78)&lt;=1.96*O78,"Yes","No"))</f>
        <v>Yes</v>
      </c>
      <c r="T78" s="60" t="n">
        <f aca="false">IF(D78="","",ROUND(SQRT(((D78+G78)*O78/100)^2+(J78*(D78+G78)*0.05437)^2),0))</f>
        <v>141</v>
      </c>
      <c r="U78" s="32"/>
    </row>
    <row r="79" customFormat="false" ht="15" hidden="false" customHeight="false" outlineLevel="0" collapsed="false">
      <c r="A79" s="32" t="s">
        <v>222</v>
      </c>
      <c r="B79" s="32" t="s">
        <v>247</v>
      </c>
      <c r="C79" s="32" t="s">
        <v>164</v>
      </c>
      <c r="D79" s="60" t="n">
        <v>96</v>
      </c>
      <c r="E79" s="60" t="n">
        <v>82</v>
      </c>
      <c r="F79" s="69" t="n">
        <f aca="false">IF(E79="","",D79-E79)</f>
        <v>14</v>
      </c>
      <c r="G79" s="60" t="n">
        <v>167</v>
      </c>
      <c r="H79" s="60" t="n">
        <v>171</v>
      </c>
      <c r="I79" s="69" t="n">
        <f aca="false">IF(H79="","",G79-H79)</f>
        <v>-4</v>
      </c>
      <c r="J79" s="40" t="n">
        <f aca="false">IF(OR(D79="",D79+G79=0),"",D79/(D79+G79))</f>
        <v>0.365019011406844</v>
      </c>
      <c r="K79" s="40" t="n">
        <f aca="false">IF(E79="","",E79/(E79+H79))</f>
        <v>0.324110671936759</v>
      </c>
      <c r="L79" s="70" t="n">
        <f aca="false">IF(OR(K79="",J79=""),"",(J79-K79)*100)</f>
        <v>4.09083394700852</v>
      </c>
      <c r="M79" s="36" t="n">
        <v>3.66627757766473</v>
      </c>
      <c r="N79" s="36" t="n">
        <v>1.47485751984182</v>
      </c>
      <c r="O79" s="36" t="n">
        <f aca="false">SQRT(M79^2+N79^2)</f>
        <v>3.95180920343089</v>
      </c>
      <c r="P79" s="40" t="n">
        <f aca="false">IF(J79="","",MAX(0,J79-1.96*O79/100))</f>
        <v>0.287563551019599</v>
      </c>
      <c r="Q79" s="40" t="n">
        <f aca="false">IF(J79="","",MIN(1,J79+1.96*O79/100))</f>
        <v>0.44247447179409</v>
      </c>
      <c r="R79" s="32" t="str">
        <f aca="false">IF(L79="","",IF(ABS(L79)&lt;=O79,"Yes","No"))</f>
        <v>No</v>
      </c>
      <c r="S79" s="32" t="str">
        <f aca="false">IF(L79="","",IF(ABS(L79)&lt;=1.96*O79,"Yes","No"))</f>
        <v>Yes</v>
      </c>
      <c r="T79" s="60" t="n">
        <f aca="false">IF(D79="","",ROUND(SQRT(((D79+G79)*O79/100)^2+(J79*(D79+G79)*0.07717)^2),0))</f>
        <v>13</v>
      </c>
      <c r="U79" s="32"/>
    </row>
    <row r="80" customFormat="false" ht="15" hidden="false" customHeight="false" outlineLevel="0" collapsed="false">
      <c r="A80" s="32" t="s">
        <v>222</v>
      </c>
      <c r="B80" s="32" t="s">
        <v>248</v>
      </c>
      <c r="C80" s="32" t="s">
        <v>164</v>
      </c>
      <c r="D80" s="60" t="n">
        <v>384</v>
      </c>
      <c r="E80" s="60" t="n">
        <v>331</v>
      </c>
      <c r="F80" s="69" t="n">
        <f aca="false">IF(E80="","",D80-E80)</f>
        <v>53</v>
      </c>
      <c r="G80" s="60" t="n">
        <v>503</v>
      </c>
      <c r="H80" s="60" t="n">
        <v>571</v>
      </c>
      <c r="I80" s="69" t="n">
        <f aca="false">IF(H80="","",G80-H80)</f>
        <v>-68</v>
      </c>
      <c r="J80" s="40" t="n">
        <f aca="false">IF(OR(D80="",D80+G80=0),"",D80/(D80+G80))</f>
        <v>0.432919954904171</v>
      </c>
      <c r="K80" s="40" t="n">
        <f aca="false">IF(E80="","",E80/(E80+H80))</f>
        <v>0.366962305986696</v>
      </c>
      <c r="L80" s="70" t="n">
        <f aca="false">IF(OR(K80="",J80=""),"",(J80-K80)*100)</f>
        <v>6.59576489174751</v>
      </c>
      <c r="M80" s="36" t="n">
        <v>3.66627757766473</v>
      </c>
      <c r="N80" s="36" t="n">
        <v>1.47485751984182</v>
      </c>
      <c r="O80" s="36" t="n">
        <f aca="false">SQRT(M80^2+N80^2)</f>
        <v>3.95180920343089</v>
      </c>
      <c r="P80" s="40" t="n">
        <f aca="false">IF(J80="","",MAX(0,J80-1.96*O80/100))</f>
        <v>0.355464494516926</v>
      </c>
      <c r="Q80" s="40" t="n">
        <f aca="false">IF(J80="","",MIN(1,J80+1.96*O80/100))</f>
        <v>0.510375415291417</v>
      </c>
      <c r="R80" s="32" t="str">
        <f aca="false">IF(L80="","",IF(ABS(L80)&lt;=O80,"Yes","No"))</f>
        <v>No</v>
      </c>
      <c r="S80" s="32" t="str">
        <f aca="false">IF(L80="","",IF(ABS(L80)&lt;=1.96*O80,"Yes","No"))</f>
        <v>Yes</v>
      </c>
      <c r="T80" s="60" t="n">
        <f aca="false">IF(D80="","",ROUND(SQRT(((D80+G80)*O80/100)^2+(J80*(D80+G80)*0.07717)^2),0))</f>
        <v>46</v>
      </c>
      <c r="U80" s="32"/>
    </row>
    <row r="81" customFormat="false" ht="15" hidden="false" customHeight="false" outlineLevel="0" collapsed="false">
      <c r="A81" s="32" t="s">
        <v>222</v>
      </c>
      <c r="B81" s="32" t="s">
        <v>249</v>
      </c>
      <c r="C81" s="32" t="s">
        <v>164</v>
      </c>
      <c r="D81" s="60" t="n">
        <v>241</v>
      </c>
      <c r="E81" s="60" t="n">
        <v>212</v>
      </c>
      <c r="F81" s="69" t="n">
        <f aca="false">IF(E81="","",D81-E81)</f>
        <v>29</v>
      </c>
      <c r="G81" s="60" t="n">
        <v>284</v>
      </c>
      <c r="H81" s="60" t="n">
        <v>308</v>
      </c>
      <c r="I81" s="69" t="n">
        <f aca="false">IF(H81="","",G81-H81)</f>
        <v>-24</v>
      </c>
      <c r="J81" s="40" t="n">
        <f aca="false">IF(OR(D81="",D81+G81=0),"",D81/(D81+G81))</f>
        <v>0.459047619047619</v>
      </c>
      <c r="K81" s="40" t="n">
        <f aca="false">IF(E81="","",E81/(E81+H81))</f>
        <v>0.407692307692308</v>
      </c>
      <c r="L81" s="70" t="n">
        <f aca="false">IF(OR(K81="",J81=""),"",(J81-K81)*100)</f>
        <v>5.13553113553114</v>
      </c>
      <c r="M81" s="36" t="n">
        <v>3.66627757766473</v>
      </c>
      <c r="N81" s="36" t="n">
        <v>1.47485751984182</v>
      </c>
      <c r="O81" s="36" t="n">
        <f aca="false">SQRT(M81^2+N81^2)</f>
        <v>3.95180920343089</v>
      </c>
      <c r="P81" s="40" t="n">
        <f aca="false">IF(J81="","",MAX(0,J81-1.96*O81/100))</f>
        <v>0.381592158660374</v>
      </c>
      <c r="Q81" s="40" t="n">
        <f aca="false">IF(J81="","",MIN(1,J81+1.96*O81/100))</f>
        <v>0.536503079434865</v>
      </c>
      <c r="R81" s="32" t="str">
        <f aca="false">IF(L81="","",IF(ABS(L81)&lt;=O81,"Yes","No"))</f>
        <v>No</v>
      </c>
      <c r="S81" s="32" t="str">
        <f aca="false">IF(L81="","",IF(ABS(L81)&lt;=1.96*O81,"Yes","No"))</f>
        <v>Yes</v>
      </c>
      <c r="T81" s="60" t="n">
        <f aca="false">IF(D81="","",ROUND(SQRT(((D81+G81)*O81/100)^2+(J81*(D81+G81)*0.07717)^2),0))</f>
        <v>28</v>
      </c>
      <c r="U81" s="32"/>
    </row>
    <row r="82" customFormat="false" ht="15" hidden="false" customHeight="false" outlineLevel="0" collapsed="false">
      <c r="A82" s="32" t="s">
        <v>222</v>
      </c>
      <c r="B82" s="32" t="s">
        <v>250</v>
      </c>
      <c r="C82" s="32" t="s">
        <v>164</v>
      </c>
      <c r="D82" s="60" t="n">
        <v>306</v>
      </c>
      <c r="E82" s="60" t="n">
        <v>272</v>
      </c>
      <c r="F82" s="69" t="n">
        <f aca="false">IF(E82="","",D82-E82)</f>
        <v>34</v>
      </c>
      <c r="G82" s="60" t="n">
        <v>381</v>
      </c>
      <c r="H82" s="60" t="n">
        <v>400</v>
      </c>
      <c r="I82" s="69" t="n">
        <f aca="false">IF(H82="","",G82-H82)</f>
        <v>-19</v>
      </c>
      <c r="J82" s="40" t="n">
        <f aca="false">IF(OR(D82="",D82+G82=0),"",D82/(D82+G82))</f>
        <v>0.445414847161572</v>
      </c>
      <c r="K82" s="40" t="n">
        <f aca="false">IF(E82="","",E82/(E82+H82))</f>
        <v>0.404761904761905</v>
      </c>
      <c r="L82" s="70" t="n">
        <f aca="false">IF(OR(K82="",J82=""),"",(J82-K82)*100)</f>
        <v>4.06529423996673</v>
      </c>
      <c r="M82" s="36" t="n">
        <v>3.66627757766473</v>
      </c>
      <c r="N82" s="36" t="n">
        <v>1.47485751984182</v>
      </c>
      <c r="O82" s="36" t="n">
        <f aca="false">SQRT(M82^2+N82^2)</f>
        <v>3.95180920343089</v>
      </c>
      <c r="P82" s="40" t="n">
        <f aca="false">IF(J82="","",MAX(0,J82-1.96*O82/100))</f>
        <v>0.367959386774327</v>
      </c>
      <c r="Q82" s="40" t="n">
        <f aca="false">IF(J82="","",MIN(1,J82+1.96*O82/100))</f>
        <v>0.522870307548818</v>
      </c>
      <c r="R82" s="32" t="str">
        <f aca="false">IF(L82="","",IF(ABS(L82)&lt;=O82,"Yes","No"))</f>
        <v>No</v>
      </c>
      <c r="S82" s="32" t="str">
        <f aca="false">IF(L82="","",IF(ABS(L82)&lt;=1.96*O82,"Yes","No"))</f>
        <v>Yes</v>
      </c>
      <c r="T82" s="60" t="n">
        <f aca="false">IF(D82="","",ROUND(SQRT(((D82+G82)*O82/100)^2+(J82*(D82+G82)*0.07717)^2),0))</f>
        <v>36</v>
      </c>
      <c r="U82" s="32"/>
    </row>
    <row r="83" customFormat="false" ht="15" hidden="false" customHeight="false" outlineLevel="0" collapsed="false">
      <c r="A83" s="32" t="s">
        <v>222</v>
      </c>
      <c r="B83" s="32" t="s">
        <v>251</v>
      </c>
      <c r="C83" s="32" t="s">
        <v>164</v>
      </c>
      <c r="D83" s="60" t="n">
        <v>1396</v>
      </c>
      <c r="E83" s="60" t="n">
        <v>1207</v>
      </c>
      <c r="F83" s="69" t="n">
        <f aca="false">IF(E83="","",D83-E83)</f>
        <v>189</v>
      </c>
      <c r="G83" s="60" t="n">
        <v>2510</v>
      </c>
      <c r="H83" s="60" t="n">
        <v>2601</v>
      </c>
      <c r="I83" s="69" t="n">
        <f aca="false">IF(H83="","",G83-H83)</f>
        <v>-91</v>
      </c>
      <c r="J83" s="40" t="n">
        <f aca="false">IF(OR(D83="",D83+G83=0),"",D83/(D83+G83))</f>
        <v>0.357398873527906</v>
      </c>
      <c r="K83" s="40" t="n">
        <f aca="false">IF(E83="","",E83/(E83+H83))</f>
        <v>0.316964285714286</v>
      </c>
      <c r="L83" s="70" t="n">
        <f aca="false">IF(OR(K83="",J83=""),"",(J83-K83)*100)</f>
        <v>4.04345878136201</v>
      </c>
      <c r="M83" s="36" t="n">
        <v>2.59370925945702</v>
      </c>
      <c r="N83" s="36" t="n">
        <v>1.47485751984182</v>
      </c>
      <c r="O83" s="36" t="n">
        <f aca="false">SQRT(M83^2+N83^2)</f>
        <v>2.98371118348058</v>
      </c>
      <c r="P83" s="40" t="n">
        <f aca="false">IF(J83="","",MAX(0,J83-1.96*O83/100))</f>
        <v>0.298918134331687</v>
      </c>
      <c r="Q83" s="40" t="n">
        <f aca="false">IF(J83="","",MIN(1,J83+1.96*O83/100))</f>
        <v>0.415879612724125</v>
      </c>
      <c r="R83" s="32" t="str">
        <f aca="false">IF(L83="","",IF(ABS(L83)&lt;=O83,"Yes","No"))</f>
        <v>No</v>
      </c>
      <c r="S83" s="32" t="str">
        <f aca="false">IF(L83="","",IF(ABS(L83)&lt;=1.96*O83,"Yes","No"))</f>
        <v>Yes</v>
      </c>
      <c r="T83" s="60" t="n">
        <f aca="false">IF(D83="","",ROUND(SQRT(((D83+G83)*O83/100)^2+(J83*(D83+G83)*0.05437)^2),0))</f>
        <v>139</v>
      </c>
      <c r="U83" s="32"/>
    </row>
    <row r="84" customFormat="false" ht="15" hidden="false" customHeight="false" outlineLevel="0" collapsed="false">
      <c r="A84" s="32" t="s">
        <v>222</v>
      </c>
      <c r="B84" s="32" t="s">
        <v>252</v>
      </c>
      <c r="C84" s="32" t="s">
        <v>164</v>
      </c>
      <c r="D84" s="60" t="n">
        <v>2018</v>
      </c>
      <c r="E84" s="60" t="n">
        <v>1838</v>
      </c>
      <c r="F84" s="69" t="n">
        <f aca="false">IF(E84="","",D84-E84)</f>
        <v>180</v>
      </c>
      <c r="G84" s="60" t="n">
        <v>1972</v>
      </c>
      <c r="H84" s="60" t="n">
        <v>2112</v>
      </c>
      <c r="I84" s="69" t="n">
        <f aca="false">IF(H84="","",G84-H84)</f>
        <v>-140</v>
      </c>
      <c r="J84" s="40" t="n">
        <f aca="false">IF(OR(D84="",D84+G84=0),"",D84/(D84+G84))</f>
        <v>0.505764411027569</v>
      </c>
      <c r="K84" s="40" t="n">
        <f aca="false">IF(E84="","",E84/(E84+H84))</f>
        <v>0.465316455696203</v>
      </c>
      <c r="L84" s="70" t="n">
        <f aca="false">IF(OR(K84="",J84=""),"",(J84-K84)*100)</f>
        <v>4.04479553313664</v>
      </c>
      <c r="M84" s="36" t="n">
        <v>2.59370925945702</v>
      </c>
      <c r="N84" s="36" t="n">
        <v>1.47485751984182</v>
      </c>
      <c r="O84" s="36" t="n">
        <f aca="false">SQRT(M84^2+N84^2)</f>
        <v>2.98371118348058</v>
      </c>
      <c r="P84" s="40" t="n">
        <f aca="false">IF(J84="","",MAX(0,J84-1.96*O84/100))</f>
        <v>0.44728367183135</v>
      </c>
      <c r="Q84" s="40" t="n">
        <f aca="false">IF(J84="","",MIN(1,J84+1.96*O84/100))</f>
        <v>0.564245150223788</v>
      </c>
      <c r="R84" s="32" t="str">
        <f aca="false">IF(L84="","",IF(ABS(L84)&lt;=O84,"Yes","No"))</f>
        <v>No</v>
      </c>
      <c r="S84" s="32" t="str">
        <f aca="false">IF(L84="","",IF(ABS(L84)&lt;=1.96*O84,"Yes","No"))</f>
        <v>Yes</v>
      </c>
      <c r="T84" s="60" t="n">
        <f aca="false">IF(D84="","",ROUND(SQRT(((D84+G84)*O84/100)^2+(J84*(D84+G84)*0.05437)^2),0))</f>
        <v>162</v>
      </c>
      <c r="U84" s="32"/>
    </row>
    <row r="85" customFormat="false" ht="15" hidden="false" customHeight="false" outlineLevel="0" collapsed="false">
      <c r="A85" s="32" t="s">
        <v>222</v>
      </c>
      <c r="B85" s="32" t="s">
        <v>253</v>
      </c>
      <c r="C85" s="32" t="s">
        <v>164</v>
      </c>
      <c r="D85" s="60" t="n">
        <v>430</v>
      </c>
      <c r="E85" s="60" t="n">
        <v>379</v>
      </c>
      <c r="F85" s="69" t="n">
        <f aca="false">IF(E85="","",D85-E85)</f>
        <v>51</v>
      </c>
      <c r="G85" s="60" t="n">
        <v>566</v>
      </c>
      <c r="H85" s="60" t="n">
        <v>605</v>
      </c>
      <c r="I85" s="69" t="n">
        <f aca="false">IF(H85="","",G85-H85)</f>
        <v>-39</v>
      </c>
      <c r="J85" s="40" t="n">
        <f aca="false">IF(OR(D85="",D85+G85=0),"",D85/(D85+G85))</f>
        <v>0.431726907630522</v>
      </c>
      <c r="K85" s="40" t="n">
        <f aca="false">IF(E85="","",E85/(E85+H85))</f>
        <v>0.385162601626016</v>
      </c>
      <c r="L85" s="70" t="n">
        <f aca="false">IF(OR(K85="",J85=""),"",(J85-K85)*100)</f>
        <v>4.65643060045058</v>
      </c>
      <c r="M85" s="36" t="n">
        <v>3.66627757766473</v>
      </c>
      <c r="N85" s="36" t="n">
        <v>1.47485751984182</v>
      </c>
      <c r="O85" s="36" t="n">
        <f aca="false">SQRT(M85^2+N85^2)</f>
        <v>3.95180920343089</v>
      </c>
      <c r="P85" s="40" t="n">
        <f aca="false">IF(J85="","",MAX(0,J85-1.96*O85/100))</f>
        <v>0.354271447243277</v>
      </c>
      <c r="Q85" s="40" t="n">
        <f aca="false">IF(J85="","",MIN(1,J85+1.96*O85/100))</f>
        <v>0.509182368017768</v>
      </c>
      <c r="R85" s="32" t="str">
        <f aca="false">IF(L85="","",IF(ABS(L85)&lt;=O85,"Yes","No"))</f>
        <v>No</v>
      </c>
      <c r="S85" s="32" t="str">
        <f aca="false">IF(L85="","",IF(ABS(L85)&lt;=1.96*O85,"Yes","No"))</f>
        <v>Yes</v>
      </c>
      <c r="T85" s="60" t="n">
        <f aca="false">IF(D85="","",ROUND(SQRT(((D85+G85)*O85/100)^2+(J85*(D85+G85)*0.07717)^2),0))</f>
        <v>51</v>
      </c>
      <c r="U85" s="32"/>
    </row>
    <row r="86" customFormat="false" ht="15" hidden="false" customHeight="false" outlineLevel="0" collapsed="false">
      <c r="A86" s="32" t="s">
        <v>222</v>
      </c>
      <c r="B86" s="32" t="s">
        <v>215</v>
      </c>
      <c r="C86" s="32" t="s">
        <v>164</v>
      </c>
      <c r="D86" s="60" t="n">
        <v>1167</v>
      </c>
      <c r="E86" s="60" t="n">
        <v>1032</v>
      </c>
      <c r="F86" s="69" t="n">
        <f aca="false">IF(E86="","",D86-E86)</f>
        <v>135</v>
      </c>
      <c r="G86" s="60" t="n">
        <v>1887</v>
      </c>
      <c r="H86" s="60" t="n">
        <v>1971</v>
      </c>
      <c r="I86" s="69" t="n">
        <f aca="false">IF(H86="","",G86-H86)</f>
        <v>-84</v>
      </c>
      <c r="J86" s="40" t="n">
        <f aca="false">IF(OR(D86="",D86+G86=0),"",D86/(D86+G86))</f>
        <v>0.382121807465619</v>
      </c>
      <c r="K86" s="40" t="n">
        <f aca="false">IF(E86="","",E86/(E86+H86))</f>
        <v>0.343656343656344</v>
      </c>
      <c r="L86" s="70" t="n">
        <f aca="false">IF(OR(K86="",J86=""),"",(J86-K86)*100)</f>
        <v>3.84654638092752</v>
      </c>
      <c r="M86" s="36" t="n">
        <v>1.97364055856013</v>
      </c>
      <c r="N86" s="36" t="n">
        <v>1.47485751984182</v>
      </c>
      <c r="O86" s="36" t="n">
        <f aca="false">SQRT(M86^2+N86^2)</f>
        <v>2.46383070811034</v>
      </c>
      <c r="P86" s="40" t="n">
        <f aca="false">IF(J86="","",MAX(0,J86-1.96*O86/100))</f>
        <v>0.333830725586656</v>
      </c>
      <c r="Q86" s="40" t="n">
        <f aca="false">IF(J86="","",MIN(1,J86+1.96*O86/100))</f>
        <v>0.430412889344581</v>
      </c>
      <c r="R86" s="32" t="str">
        <f aca="false">IF(L86="","",IF(ABS(L86)&lt;=O86,"Yes","No"))</f>
        <v>No</v>
      </c>
      <c r="S86" s="32" t="str">
        <f aca="false">IF(L86="","",IF(ABS(L86)&lt;=1.96*O86,"Yes","No"))</f>
        <v>Yes</v>
      </c>
      <c r="T86" s="60" t="n">
        <f aca="false">IF(D86="","",ROUND(SQRT(((D86+G86)*O86/100)^2+(J86*(D86+G86)*0.05992)^2),0))</f>
        <v>103</v>
      </c>
      <c r="U86" s="32"/>
    </row>
    <row r="87" customFormat="false" ht="15" hidden="false" customHeight="false" outlineLevel="0" collapsed="false">
      <c r="A87" s="32" t="s">
        <v>222</v>
      </c>
      <c r="B87" s="32" t="s">
        <v>254</v>
      </c>
      <c r="C87" s="32" t="s">
        <v>164</v>
      </c>
      <c r="D87" s="60" t="n">
        <v>300</v>
      </c>
      <c r="E87" s="60" t="n">
        <v>249</v>
      </c>
      <c r="F87" s="69" t="n">
        <f aca="false">IF(E87="","",D87-E87)</f>
        <v>51</v>
      </c>
      <c r="G87" s="60" t="n">
        <v>260</v>
      </c>
      <c r="H87" s="60" t="n">
        <v>326</v>
      </c>
      <c r="I87" s="69" t="n">
        <f aca="false">IF(H87="","",G87-H87)</f>
        <v>-66</v>
      </c>
      <c r="J87" s="40" t="n">
        <f aca="false">IF(OR(D87="",D87+G87=0),"",D87/(D87+G87))</f>
        <v>0.535714285714286</v>
      </c>
      <c r="K87" s="40" t="n">
        <f aca="false">IF(E87="","",E87/(E87+H87))</f>
        <v>0.43304347826087</v>
      </c>
      <c r="L87" s="70" t="n">
        <f aca="false">IF(OR(K87="",J87=""),"",(J87-K87)*100)</f>
        <v>10.2670807453416</v>
      </c>
      <c r="M87" s="36" t="n">
        <v>3.66627757766473</v>
      </c>
      <c r="N87" s="36" t="n">
        <v>1.47485751984182</v>
      </c>
      <c r="O87" s="36" t="n">
        <f aca="false">SQRT(M87^2+N87^2)</f>
        <v>3.95180920343089</v>
      </c>
      <c r="P87" s="40" t="n">
        <f aca="false">IF(J87="","",MAX(0,J87-1.96*O87/100))</f>
        <v>0.45825882532704</v>
      </c>
      <c r="Q87" s="40" t="n">
        <f aca="false">IF(J87="","",MIN(1,J87+1.96*O87/100))</f>
        <v>0.613169746101531</v>
      </c>
      <c r="R87" s="32" t="str">
        <f aca="false">IF(L87="","",IF(ABS(L87)&lt;=O87,"Yes","No"))</f>
        <v>No</v>
      </c>
      <c r="S87" s="32" t="str">
        <f aca="false">IF(L87="","",IF(ABS(L87)&lt;=1.96*O87,"Yes","No"))</f>
        <v>No</v>
      </c>
      <c r="T87" s="60" t="n">
        <f aca="false">IF(D87="","",ROUND(SQRT(((D87+G87)*O87/100)^2+(J87*(D87+G87)*0.07717)^2),0))</f>
        <v>32</v>
      </c>
      <c r="U87" s="32"/>
    </row>
    <row r="88" customFormat="false" ht="15" hidden="false" customHeight="false" outlineLevel="0" collapsed="false">
      <c r="A88" s="32" t="s">
        <v>222</v>
      </c>
      <c r="B88" s="32" t="s">
        <v>255</v>
      </c>
      <c r="C88" s="32" t="s">
        <v>164</v>
      </c>
      <c r="D88" s="60" t="n">
        <v>1927</v>
      </c>
      <c r="E88" s="60" t="n">
        <v>1767</v>
      </c>
      <c r="F88" s="69" t="n">
        <f aca="false">IF(E88="","",D88-E88)</f>
        <v>160</v>
      </c>
      <c r="G88" s="60" t="n">
        <v>2277</v>
      </c>
      <c r="H88" s="60" t="n">
        <v>2379</v>
      </c>
      <c r="I88" s="69" t="n">
        <f aca="false">IF(H88="","",G88-H88)</f>
        <v>-102</v>
      </c>
      <c r="J88" s="40" t="n">
        <f aca="false">IF(OR(D88="",D88+G88=0),"",D88/(D88+G88))</f>
        <v>0.45837297811608</v>
      </c>
      <c r="K88" s="40" t="n">
        <f aca="false">IF(E88="","",E88/(E88+H88))</f>
        <v>0.426193921852388</v>
      </c>
      <c r="L88" s="70" t="n">
        <f aca="false">IF(OR(K88="",J88=""),"",(J88-K88)*100)</f>
        <v>3.21790562636921</v>
      </c>
      <c r="M88" s="36" t="n">
        <v>2.59370925945702</v>
      </c>
      <c r="N88" s="36" t="n">
        <v>1.47485751984182</v>
      </c>
      <c r="O88" s="36" t="n">
        <f aca="false">SQRT(M88^2+N88^2)</f>
        <v>2.98371118348058</v>
      </c>
      <c r="P88" s="40" t="n">
        <f aca="false">IF(J88="","",MAX(0,J88-1.96*O88/100))</f>
        <v>0.399892238919861</v>
      </c>
      <c r="Q88" s="40" t="n">
        <f aca="false">IF(J88="","",MIN(1,J88+1.96*O88/100))</f>
        <v>0.516853717312299</v>
      </c>
      <c r="R88" s="32" t="str">
        <f aca="false">IF(L88="","",IF(ABS(L88)&lt;=O88,"Yes","No"))</f>
        <v>No</v>
      </c>
      <c r="S88" s="32" t="str">
        <f aca="false">IF(L88="","",IF(ABS(L88)&lt;=1.96*O88,"Yes","No"))</f>
        <v>Yes</v>
      </c>
      <c r="T88" s="60" t="n">
        <f aca="false">IF(D88="","",ROUND(SQRT(((D88+G88)*O88/100)^2+(J88*(D88+G88)*0.05437)^2),0))</f>
        <v>163</v>
      </c>
      <c r="U88" s="32"/>
    </row>
    <row r="89" customFormat="false" ht="15" hidden="false" customHeight="false" outlineLevel="0" collapsed="false">
      <c r="A89" s="32" t="s">
        <v>222</v>
      </c>
      <c r="B89" s="32" t="s">
        <v>256</v>
      </c>
      <c r="C89" s="32" t="s">
        <v>164</v>
      </c>
      <c r="D89" s="60" t="n">
        <v>2040</v>
      </c>
      <c r="E89" s="60" t="n">
        <v>1908</v>
      </c>
      <c r="F89" s="69" t="n">
        <f aca="false">IF(E89="","",D89-E89)</f>
        <v>132</v>
      </c>
      <c r="G89" s="60" t="n">
        <v>1415</v>
      </c>
      <c r="H89" s="60" t="n">
        <v>1518</v>
      </c>
      <c r="I89" s="69" t="n">
        <f aca="false">IF(H89="","",G89-H89)</f>
        <v>-103</v>
      </c>
      <c r="J89" s="40" t="n">
        <f aca="false">IF(OR(D89="",D89+G89=0),"",D89/(D89+G89))</f>
        <v>0.590448625180897</v>
      </c>
      <c r="K89" s="40" t="n">
        <f aca="false">IF(E89="","",E89/(E89+H89))</f>
        <v>0.5569176882662</v>
      </c>
      <c r="L89" s="70" t="n">
        <f aca="false">IF(OR(K89="",J89=""),"",(J89-K89)*100)</f>
        <v>3.35309369146976</v>
      </c>
      <c r="M89" s="36" t="n">
        <v>1.97364055856013</v>
      </c>
      <c r="N89" s="36" t="n">
        <v>1.47485751984182</v>
      </c>
      <c r="O89" s="36" t="n">
        <f aca="false">SQRT(M89^2+N89^2)</f>
        <v>2.46383070811034</v>
      </c>
      <c r="P89" s="40" t="n">
        <f aca="false">IF(J89="","",MAX(0,J89-1.96*O89/100))</f>
        <v>0.542157543301935</v>
      </c>
      <c r="Q89" s="40" t="n">
        <f aca="false">IF(J89="","",MIN(1,J89+1.96*O89/100))</f>
        <v>0.63873970705986</v>
      </c>
      <c r="R89" s="32" t="str">
        <f aca="false">IF(L89="","",IF(ABS(L89)&lt;=O89,"Yes","No"))</f>
        <v>No</v>
      </c>
      <c r="S89" s="32" t="str">
        <f aca="false">IF(L89="","",IF(ABS(L89)&lt;=1.96*O89,"Yes","No"))</f>
        <v>Yes</v>
      </c>
      <c r="T89" s="60" t="n">
        <f aca="false">IF(D89="","",ROUND(SQRT(((D89+G89)*O89/100)^2+(J89*(D89+G89)*0.05992)^2),0))</f>
        <v>149</v>
      </c>
      <c r="U89" s="32"/>
    </row>
    <row r="90" customFormat="false" ht="15" hidden="false" customHeight="false" outlineLevel="0" collapsed="false">
      <c r="A90" s="32" t="s">
        <v>222</v>
      </c>
      <c r="B90" s="32" t="s">
        <v>257</v>
      </c>
      <c r="C90" s="32" t="s">
        <v>164</v>
      </c>
      <c r="D90" s="60" t="n">
        <v>572</v>
      </c>
      <c r="E90" s="60" t="n">
        <v>508</v>
      </c>
      <c r="F90" s="69" t="n">
        <f aca="false">IF(E90="","",D90-E90)</f>
        <v>64</v>
      </c>
      <c r="G90" s="60" t="n">
        <v>696</v>
      </c>
      <c r="H90" s="60" t="n">
        <v>791</v>
      </c>
      <c r="I90" s="69" t="n">
        <f aca="false">IF(H90="","",G90-H90)</f>
        <v>-95</v>
      </c>
      <c r="J90" s="40" t="n">
        <f aca="false">IF(OR(D90="",D90+G90=0),"",D90/(D90+G90))</f>
        <v>0.451104100946372</v>
      </c>
      <c r="K90" s="40" t="n">
        <f aca="false">IF(E90="","",E90/(E90+H90))</f>
        <v>0.391070053887606</v>
      </c>
      <c r="L90" s="70" t="n">
        <f aca="false">IF(OR(K90="",J90=""),"",(J90-K90)*100)</f>
        <v>6.00340470587664</v>
      </c>
      <c r="M90" s="36" t="n">
        <v>3.66627757766473</v>
      </c>
      <c r="N90" s="36" t="n">
        <v>1.47485751984182</v>
      </c>
      <c r="O90" s="36" t="n">
        <f aca="false">SQRT(M90^2+N90^2)</f>
        <v>3.95180920343089</v>
      </c>
      <c r="P90" s="40" t="n">
        <f aca="false">IF(J90="","",MAX(0,J90-1.96*O90/100))</f>
        <v>0.373648640559127</v>
      </c>
      <c r="Q90" s="40" t="n">
        <f aca="false">IF(J90="","",MIN(1,J90+1.96*O90/100))</f>
        <v>0.528559561333618</v>
      </c>
      <c r="R90" s="32" t="str">
        <f aca="false">IF(L90="","",IF(ABS(L90)&lt;=O90,"Yes","No"))</f>
        <v>No</v>
      </c>
      <c r="S90" s="32" t="str">
        <f aca="false">IF(L90="","",IF(ABS(L90)&lt;=1.96*O90,"Yes","No"))</f>
        <v>Yes</v>
      </c>
      <c r="T90" s="60" t="n">
        <f aca="false">IF(D90="","",ROUND(SQRT(((D90+G90)*O90/100)^2+(J90*(D90+G90)*0.07717)^2),0))</f>
        <v>67</v>
      </c>
      <c r="U90" s="32"/>
    </row>
    <row r="92" customFormat="false" ht="15" hidden="false" customHeight="false" outlineLevel="0" collapsed="false">
      <c r="A92" s="20" t="s">
        <v>377</v>
      </c>
      <c r="B92" s="71"/>
      <c r="C92" s="71"/>
      <c r="D92" s="72" t="n">
        <f aca="false">SUMIF(E2:E90,"&lt;&gt;",D2:D90)</f>
        <v>206041</v>
      </c>
      <c r="E92" s="72" t="n">
        <f aca="false">SUM(E2:E90)</f>
        <v>193125</v>
      </c>
      <c r="F92" s="73" t="n">
        <f aca="false">D92-E92</f>
        <v>12916</v>
      </c>
      <c r="G92" s="72" t="n">
        <f aca="false">SUMIF(H2:H90,"&lt;&gt;",G2:G90)</f>
        <v>184714</v>
      </c>
      <c r="H92" s="72" t="n">
        <f aca="false">SUM(H2:H90)</f>
        <v>195380</v>
      </c>
      <c r="I92" s="73" t="n">
        <f aca="false">G92-H92</f>
        <v>-10666</v>
      </c>
      <c r="J92" s="74" t="n">
        <f aca="false">D92/(D92+G92)</f>
        <v>0.527289478061701</v>
      </c>
      <c r="K92" s="74" t="n">
        <f aca="false">E92/(E92+H92)</f>
        <v>0.497097849448527</v>
      </c>
      <c r="L92" s="75" t="n">
        <f aca="false">(J92-K92)*100</f>
        <v>3.0191628613174</v>
      </c>
      <c r="M92" s="76" t="n">
        <v>0</v>
      </c>
      <c r="N92" s="76" t="n">
        <v>1.47485751984182</v>
      </c>
      <c r="O92" s="76" t="n">
        <f aca="false">SQRT(M92^2+N92^2)</f>
        <v>1.47485751984182</v>
      </c>
      <c r="P92" s="74" t="n">
        <f aca="false">J92-1.96*O92/100</f>
        <v>0.498382270672801</v>
      </c>
      <c r="Q92" s="74" t="n">
        <f aca="false">J92+1.96*O92/100</f>
        <v>0.556196685450601</v>
      </c>
      <c r="R92" s="71" t="str">
        <f aca="false">IF(ABS(L92)&lt;=O92,"Yes","No")</f>
        <v>No</v>
      </c>
      <c r="S92" s="71" t="str">
        <f aca="false">IF(ABS(L92)&lt;=1.96*O92,"Yes","No")</f>
        <v>No</v>
      </c>
      <c r="T92" s="72" t="n">
        <f aca="false">ROUND(SQRT(((D92+G92)*O92/100)^2+(J92*(D92+G92)*0.04267)^2),0)</f>
        <v>10512</v>
      </c>
    </row>
    <row r="93" customFormat="false" ht="15" hidden="false" customHeight="false" outlineLevel="0" collapsed="false">
      <c r="A93" s="20" t="s">
        <v>378</v>
      </c>
      <c r="B93" s="71"/>
      <c r="C93" s="71"/>
      <c r="D93" s="72" t="n">
        <f aca="false">SUM(D2:D90)</f>
        <v>206041</v>
      </c>
      <c r="E93" s="72"/>
      <c r="F93" s="73"/>
      <c r="G93" s="72" t="n">
        <f aca="false">SUM(G2:G90)</f>
        <v>184714</v>
      </c>
      <c r="H93" s="72"/>
      <c r="I93" s="73"/>
      <c r="J93" s="74" t="n">
        <f aca="false">D93/(D93+G93)</f>
        <v>0.527289478061701</v>
      </c>
      <c r="K93" s="74"/>
      <c r="L93" s="75"/>
      <c r="M93" s="76"/>
      <c r="N93" s="76"/>
      <c r="O93" s="76"/>
      <c r="P93" s="74"/>
      <c r="Q93" s="74"/>
      <c r="R93" s="71"/>
      <c r="S93" s="71"/>
      <c r="T93" s="72"/>
    </row>
    <row r="95" customFormat="false" ht="15" hidden="false" customHeight="false" outlineLevel="0" collapsed="false">
      <c r="A95" s="2" t="s">
        <v>379</v>
      </c>
      <c r="F95" s="77" t="n">
        <f aca="false">(SUMIF(F2:F90,"&gt;0")-SUMIF(F2:F90,"&lt;0"))/COUNT(F2:F90)</f>
        <v>146.516853932584</v>
      </c>
    </row>
    <row r="96" customFormat="false" ht="15" hidden="false" customHeight="false" outlineLevel="0" collapsed="false">
      <c r="A96" s="2" t="s">
        <v>380</v>
      </c>
      <c r="F96" s="77" t="n">
        <f aca="false">(SUMIF(I2:I90,"&gt;0")-SUMIF(I2:I90,"&lt;0"))/COUNT(I2:I90)</f>
        <v>126.449438202247</v>
      </c>
    </row>
    <row r="97" customFormat="false" ht="15" hidden="false" customHeight="false" outlineLevel="0" collapsed="false">
      <c r="A97" s="2" t="s">
        <v>381</v>
      </c>
      <c r="F97" s="78" t="n">
        <f aca="false">(SUMIF(L2:L90,"&gt;0")-SUMIF(L2:L90,"&lt;0"))/COUNT(L2:L90)</f>
        <v>4.48874913934353</v>
      </c>
    </row>
    <row r="98" customFormat="false" ht="15" hidden="false" customHeight="false" outlineLevel="0" collapsed="false">
      <c r="A98" s="5" t="s">
        <v>382</v>
      </c>
      <c r="F98" s="79" t="n">
        <f aca="false">SQRT(SUMSQ(L2:L90)/COUNT(L2:L90))</f>
        <v>5.1538555173643</v>
      </c>
    </row>
    <row r="99" customFormat="false" ht="15" hidden="false" customHeight="false" outlineLevel="0" collapsed="false">
      <c r="A99" s="5" t="s">
        <v>383</v>
      </c>
      <c r="F99" s="80" t="n">
        <f aca="false">L92</f>
        <v>3.0191628613174</v>
      </c>
    </row>
    <row r="100" customFormat="false" ht="15" hidden="false" customHeight="false" outlineLevel="0" collapsed="false">
      <c r="A100" s="5" t="s">
        <v>384</v>
      </c>
      <c r="F100" s="79" t="n">
        <f aca="false">SQRT((SUMSQ(L2:L90)-2*L92*SUM(L2:L90)+COUNT(L2:L90)*L92^2)/COUNT(L2:L90))</f>
        <v>2.92864450592652</v>
      </c>
    </row>
    <row r="101" customFormat="false" ht="15" hidden="false" customHeight="false" outlineLevel="0" collapsed="false">
      <c r="A101" s="2" t="s">
        <v>385</v>
      </c>
      <c r="F101" s="81" t="n">
        <f aca="false">D92/E92-1</f>
        <v>0.0668789644012946</v>
      </c>
    </row>
    <row r="102" customFormat="false" ht="15" hidden="false" customHeight="false" outlineLevel="0" collapsed="false">
      <c r="A102" s="5" t="s">
        <v>386</v>
      </c>
      <c r="F102" s="82" t="n">
        <f aca="false">G92/H92-1</f>
        <v>-0.0545910533319685</v>
      </c>
    </row>
    <row r="103" customFormat="false" ht="15" hidden="false" customHeight="false" outlineLevel="0" collapsed="false">
      <c r="A103" s="2" t="s">
        <v>387</v>
      </c>
      <c r="F103" s="81" t="n">
        <f aca="false">(D92+G92)/(E92+H92)-1</f>
        <v>0.00579143125571102</v>
      </c>
    </row>
    <row r="104" customFormat="false" ht="15" hidden="false" customHeight="false" outlineLevel="0" collapsed="false">
      <c r="A104" s="2" t="s">
        <v>388</v>
      </c>
      <c r="F104" s="78" t="n">
        <f aca="false">AVERAGE(O2:O90)</f>
        <v>3.14063710272521</v>
      </c>
    </row>
    <row r="105" customFormat="false" ht="15" hidden="false" customHeight="false" outlineLevel="0" collapsed="false">
      <c r="A105" s="5" t="s">
        <v>389</v>
      </c>
      <c r="F105" s="83" t="n">
        <f aca="false">COUNTIF(R2:R90,"Yes")/(COUNTIF(R2:R90,"Yes")+COUNTIF(R2:R90,"No"))</f>
        <v>0.325842696629214</v>
      </c>
    </row>
    <row r="106" customFormat="false" ht="15" hidden="false" customHeight="false" outlineLevel="0" collapsed="false">
      <c r="A106" s="5" t="s">
        <v>390</v>
      </c>
      <c r="F106" s="83" t="n">
        <f aca="false">COUNTIF(S2:S90,"Yes")/(COUNTIF(S2:S90,"Yes")+COUNTIF(S2:S90,"No"))</f>
        <v>0.707865168539326</v>
      </c>
    </row>
    <row r="107" customFormat="false" ht="15" hidden="false" customHeight="false" outlineLevel="0" collapsed="false">
      <c r="A107" s="2" t="s">
        <v>391</v>
      </c>
      <c r="F107" s="84" t="n">
        <f aca="false">COUNTIFS(L2:L90,"&gt;=-3",L2:L90,"&lt;=3")/COUNT(L2:L90)</f>
        <v>0.337078651685393</v>
      </c>
    </row>
    <row r="108" customFormat="false" ht="15" hidden="false" customHeight="false" outlineLevel="0" collapsed="false">
      <c r="A108" s="2" t="s">
        <v>429</v>
      </c>
      <c r="F108" s="85" t="n">
        <f aca="false">COUNT(E2:E90)</f>
        <v>89</v>
      </c>
    </row>
    <row r="109" customFormat="false" ht="15" hidden="false" customHeight="false" outlineLevel="0" collapsed="false">
      <c r="A109" s="2" t="s">
        <v>393</v>
      </c>
      <c r="F109" s="85" t="n">
        <f aca="false">COUNTA(A2:A90)</f>
        <v>89</v>
      </c>
    </row>
    <row r="110" customFormat="false" ht="15" hidden="false" customHeight="false" outlineLevel="0" collapsed="false">
      <c r="A110" s="5" t="s">
        <v>394</v>
      </c>
    </row>
    <row r="111" customFormat="false" ht="15" hidden="false" customHeight="false" outlineLevel="0" collapsed="false">
      <c r="A111" s="2" t="s">
        <v>395</v>
      </c>
      <c r="F111" s="86" t="n">
        <f aca="false">((D92+G92)-(E92+H92))*K92</f>
        <v>1118.47016125919</v>
      </c>
    </row>
    <row r="112" customFormat="false" ht="15" hidden="false" customHeight="false" outlineLevel="0" collapsed="false">
      <c r="A112" s="2" t="s">
        <v>396</v>
      </c>
      <c r="F112" s="86" t="n">
        <f aca="false">F92-((D92+G92)-(E92+H92))*K92</f>
        <v>11797.5298387408</v>
      </c>
    </row>
    <row r="113" customFormat="false" ht="15" hidden="false" customHeight="false" outlineLevel="0" collapsed="false">
      <c r="A113" s="2" t="s">
        <v>397</v>
      </c>
      <c r="F113" s="86" t="n">
        <f aca="false">((D92+G92)-(E92+H92))*(1-K92)</f>
        <v>1131.52983874081</v>
      </c>
    </row>
    <row r="114" customFormat="false" ht="15" hidden="false" customHeight="false" outlineLevel="0" collapsed="false">
      <c r="A114" s="2" t="s">
        <v>398</v>
      </c>
      <c r="F114" s="86" t="n">
        <f aca="false">I92-((D92+G92)-(E92+H92))*(1-K92)</f>
        <v>-11797.5298387408</v>
      </c>
    </row>
    <row r="115" customFormat="false" ht="15" hidden="false" customHeight="false" outlineLevel="0" collapsed="false">
      <c r="A115" s="2" t="s">
        <v>399</v>
      </c>
      <c r="F115" s="81" t="n">
        <f aca="false">(F92-((D92+G92)-(E92+H92))*K92)/E92</f>
        <v>0.0610875331455835</v>
      </c>
    </row>
    <row r="116" customFormat="false" ht="15" hidden="false" customHeight="false" outlineLevel="0" collapsed="false">
      <c r="A116" s="2" t="s">
        <v>400</v>
      </c>
      <c r="F116" s="81" t="n">
        <f aca="false">(I92-((D92+G92)-(E92+H92))*(1-K92))/H92</f>
        <v>-0.0603824845876795</v>
      </c>
    </row>
    <row r="118" customFormat="false" ht="15" hidden="false" customHeight="false" outlineLevel="0" collapsed="false">
      <c r="U118" s="5" t="s">
        <v>139</v>
      </c>
    </row>
    <row r="119" customFormat="false" ht="41.75" hidden="false" customHeight="false" outlineLevel="0" collapsed="false">
      <c r="U119" s="68" t="s">
        <v>430</v>
      </c>
    </row>
    <row r="120" customFormat="false" ht="41.75" hidden="false" customHeight="false" outlineLevel="0" collapsed="false">
      <c r="U120" s="68" t="s">
        <v>431</v>
      </c>
    </row>
    <row r="121" customFormat="false" ht="15" hidden="false" customHeight="false" outlineLevel="0" collapsed="false">
      <c r="U121" s="68" t="s">
        <v>432</v>
      </c>
    </row>
    <row r="122" customFormat="false" ht="28.35" hidden="false" customHeight="false" outlineLevel="0" collapsed="false">
      <c r="U122" s="68" t="s">
        <v>433</v>
      </c>
    </row>
    <row r="123" customFormat="false" ht="28.35" hidden="false" customHeight="false" outlineLevel="0" collapsed="false">
      <c r="U123" s="68" t="s">
        <v>434</v>
      </c>
    </row>
    <row r="124" customFormat="false" ht="28.35" hidden="false" customHeight="false" outlineLevel="0" collapsed="false">
      <c r="U124" s="68" t="s">
        <v>435</v>
      </c>
    </row>
    <row r="125" customFormat="false" ht="28.35" hidden="false" customHeight="false" outlineLevel="0" collapsed="false">
      <c r="U125" s="68" t="s">
        <v>407</v>
      </c>
    </row>
    <row r="126" customFormat="false" ht="41.75" hidden="false" customHeight="false" outlineLevel="0" collapsed="false">
      <c r="U126" s="68" t="s">
        <v>436</v>
      </c>
    </row>
    <row r="127" customFormat="false" ht="15" hidden="false" customHeight="false" outlineLevel="0" collapsed="false">
      <c r="U127" s="68" t="s">
        <v>437</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360</v>
      </c>
      <c r="E1" s="8" t="s">
        <v>361</v>
      </c>
      <c r="F1" s="8" t="s">
        <v>362</v>
      </c>
      <c r="G1" s="8" t="s">
        <v>412</v>
      </c>
      <c r="H1" s="8" t="s">
        <v>364</v>
      </c>
      <c r="I1" s="8" t="s">
        <v>365</v>
      </c>
      <c r="J1" s="8" t="s">
        <v>366</v>
      </c>
      <c r="K1" s="8" t="s">
        <v>367</v>
      </c>
      <c r="L1" s="8" t="s">
        <v>368</v>
      </c>
      <c r="M1" s="8" t="s">
        <v>424</v>
      </c>
      <c r="N1" s="8" t="s">
        <v>425</v>
      </c>
      <c r="O1" s="8" t="s">
        <v>142</v>
      </c>
      <c r="P1" s="8" t="s">
        <v>371</v>
      </c>
      <c r="Q1" s="8" t="s">
        <v>372</v>
      </c>
      <c r="R1" s="8" t="s">
        <v>373</v>
      </c>
      <c r="S1" s="8" t="s">
        <v>374</v>
      </c>
      <c r="T1" s="8" t="s">
        <v>375</v>
      </c>
      <c r="U1" s="8" t="s">
        <v>376</v>
      </c>
    </row>
    <row r="2" customFormat="false" ht="15" hidden="false" customHeight="false" outlineLevel="0" collapsed="false">
      <c r="A2" s="32" t="s">
        <v>162</v>
      </c>
      <c r="B2" s="32" t="s">
        <v>163</v>
      </c>
      <c r="C2" s="32" t="s">
        <v>164</v>
      </c>
      <c r="D2" s="60" t="n">
        <v>235</v>
      </c>
      <c r="E2" s="60" t="n">
        <v>171</v>
      </c>
      <c r="F2" s="69" t="n">
        <f aca="false">IF(E2="","",D2-E2)</f>
        <v>64</v>
      </c>
      <c r="G2" s="60" t="n">
        <v>301</v>
      </c>
      <c r="H2" s="60" t="n">
        <v>332</v>
      </c>
      <c r="I2" s="69" t="n">
        <f aca="false">IF(H2="","",G2-H2)</f>
        <v>-31</v>
      </c>
      <c r="J2" s="40" t="n">
        <f aca="false">IF(OR(D2="",D2+G2=0),"",D2/(D2+G2))</f>
        <v>0.438432835820896</v>
      </c>
      <c r="K2" s="40" t="n">
        <f aca="false">IF(E2="","",E2/(E2+H2))</f>
        <v>0.339960238568589</v>
      </c>
      <c r="L2" s="70" t="n">
        <f aca="false">IF(OR(K2="",J2=""),"",(J2-K2)*100)</f>
        <v>9.84725972523071</v>
      </c>
      <c r="M2" s="36" t="n">
        <v>3.62720814427021</v>
      </c>
      <c r="N2" s="36" t="n">
        <v>1.47713199434252</v>
      </c>
      <c r="O2" s="36" t="n">
        <f aca="false">SQRT(M2^2+N2^2)</f>
        <v>3.91644709533659</v>
      </c>
      <c r="P2" s="40" t="n">
        <f aca="false">IF(J2="","",MAX(0,J2-1.96*O2/100))</f>
        <v>0.361670472752298</v>
      </c>
      <c r="Q2" s="40" t="n">
        <f aca="false">IF(J2="","",MIN(1,J2+1.96*O2/100))</f>
        <v>0.515195198889493</v>
      </c>
      <c r="R2" s="32" t="str">
        <f aca="false">IF(L2="","",IF(ABS(L2)&lt;=O2,"Yes","No"))</f>
        <v>No</v>
      </c>
      <c r="S2" s="32" t="str">
        <f aca="false">IF(L2="","",IF(ABS(L2)&lt;=1.96*O2,"Yes","No"))</f>
        <v>No</v>
      </c>
      <c r="T2" s="60" t="n">
        <f aca="false">IF(D2="","",ROUND(SQRT(((D2+G2)*O2/100)^2+(J2*(D2+G2)*0.07717)^2),0))</f>
        <v>28</v>
      </c>
      <c r="U2" s="32" t="s">
        <v>426</v>
      </c>
    </row>
    <row r="3" customFormat="false" ht="15" hidden="false" customHeight="false" outlineLevel="0" collapsed="false">
      <c r="A3" s="32" t="s">
        <v>162</v>
      </c>
      <c r="B3" s="32" t="s">
        <v>168</v>
      </c>
      <c r="C3" s="32" t="s">
        <v>164</v>
      </c>
      <c r="D3" s="60" t="n">
        <v>142</v>
      </c>
      <c r="E3" s="60" t="n">
        <v>100</v>
      </c>
      <c r="F3" s="69" t="n">
        <f aca="false">IF(E3="","",D3-E3)</f>
        <v>42</v>
      </c>
      <c r="G3" s="60" t="n">
        <v>275</v>
      </c>
      <c r="H3" s="60" t="n">
        <v>303</v>
      </c>
      <c r="I3" s="69" t="n">
        <f aca="false">IF(H3="","",G3-H3)</f>
        <v>-28</v>
      </c>
      <c r="J3" s="40" t="n">
        <f aca="false">IF(OR(D3="",D3+G3=0),"",D3/(D3+G3))</f>
        <v>0.34052757793765</v>
      </c>
      <c r="K3" s="40" t="n">
        <f aca="false">IF(E3="","",E3/(E3+H3))</f>
        <v>0.248138957816377</v>
      </c>
      <c r="L3" s="70" t="n">
        <f aca="false">IF(OR(K3="",J3=""),"",(J3-K3)*100)</f>
        <v>9.23886201212727</v>
      </c>
      <c r="M3" s="36" t="n">
        <v>3.62720814427021</v>
      </c>
      <c r="N3" s="36" t="n">
        <v>1.47713199434252</v>
      </c>
      <c r="O3" s="36" t="n">
        <f aca="false">SQRT(M3^2+N3^2)</f>
        <v>3.91644709533659</v>
      </c>
      <c r="P3" s="40" t="n">
        <f aca="false">IF(J3="","",MAX(0,J3-1.96*O3/100))</f>
        <v>0.263765214869053</v>
      </c>
      <c r="Q3" s="40" t="n">
        <f aca="false">IF(J3="","",MIN(1,J3+1.96*O3/100))</f>
        <v>0.417289941006247</v>
      </c>
      <c r="R3" s="32" t="str">
        <f aca="false">IF(L3="","",IF(ABS(L3)&lt;=O3,"Yes","No"))</f>
        <v>No</v>
      </c>
      <c r="S3" s="32" t="str">
        <f aca="false">IF(L3="","",IF(ABS(L3)&lt;=1.96*O3,"Yes","No"))</f>
        <v>No</v>
      </c>
      <c r="T3" s="60" t="n">
        <f aca="false">IF(D3="","",ROUND(SQRT(((D3+G3)*O3/100)^2+(J3*(D3+G3)*0.07717)^2),0))</f>
        <v>20</v>
      </c>
      <c r="U3" s="32" t="s">
        <v>426</v>
      </c>
    </row>
    <row r="4" customFormat="false" ht="15" hidden="false" customHeight="false" outlineLevel="0" collapsed="false">
      <c r="A4" s="32" t="s">
        <v>162</v>
      </c>
      <c r="B4" s="32" t="s">
        <v>169</v>
      </c>
      <c r="C4" s="32" t="s">
        <v>164</v>
      </c>
      <c r="D4" s="60" t="n">
        <v>183</v>
      </c>
      <c r="E4" s="60" t="n">
        <v>111</v>
      </c>
      <c r="F4" s="69" t="n">
        <f aca="false">IF(E4="","",D4-E4)</f>
        <v>72</v>
      </c>
      <c r="G4" s="60" t="n">
        <v>299</v>
      </c>
      <c r="H4" s="60" t="n">
        <v>317</v>
      </c>
      <c r="I4" s="69" t="n">
        <f aca="false">IF(H4="","",G4-H4)</f>
        <v>-18</v>
      </c>
      <c r="J4" s="40" t="n">
        <f aca="false">IF(OR(D4="",D4+G4=0),"",D4/(D4+G4))</f>
        <v>0.379668049792531</v>
      </c>
      <c r="K4" s="40" t="n">
        <f aca="false">IF(E4="","",E4/(E4+H4))</f>
        <v>0.259345794392523</v>
      </c>
      <c r="L4" s="70" t="n">
        <f aca="false">IF(OR(K4="",J4=""),"",(J4-K4)*100)</f>
        <v>12.0322255400008</v>
      </c>
      <c r="M4" s="36" t="n">
        <v>3.62720814427021</v>
      </c>
      <c r="N4" s="36" t="n">
        <v>1.47713199434252</v>
      </c>
      <c r="O4" s="36" t="n">
        <f aca="false">SQRT(M4^2+N4^2)</f>
        <v>3.91644709533659</v>
      </c>
      <c r="P4" s="40" t="n">
        <f aca="false">IF(J4="","",MAX(0,J4-1.96*O4/100))</f>
        <v>0.302905686723934</v>
      </c>
      <c r="Q4" s="40" t="n">
        <f aca="false">IF(J4="","",MIN(1,J4+1.96*O4/100))</f>
        <v>0.456430412861128</v>
      </c>
      <c r="R4" s="32" t="str">
        <f aca="false">IF(L4="","",IF(ABS(L4)&lt;=O4,"Yes","No"))</f>
        <v>No</v>
      </c>
      <c r="S4" s="32" t="str">
        <f aca="false">IF(L4="","",IF(ABS(L4)&lt;=1.96*O4,"Yes","No"))</f>
        <v>No</v>
      </c>
      <c r="T4" s="60" t="n">
        <f aca="false">IF(D4="","",ROUND(SQRT(((D4+G4)*O4/100)^2+(J4*(D4+G4)*0.07717)^2),0))</f>
        <v>24</v>
      </c>
      <c r="U4" s="32" t="s">
        <v>426</v>
      </c>
    </row>
    <row r="5" customFormat="false" ht="15" hidden="false" customHeight="false" outlineLevel="0" collapsed="false">
      <c r="A5" s="32" t="s">
        <v>162</v>
      </c>
      <c r="B5" s="32" t="s">
        <v>170</v>
      </c>
      <c r="C5" s="32" t="s">
        <v>164</v>
      </c>
      <c r="D5" s="60" t="n">
        <v>554</v>
      </c>
      <c r="E5" s="60" t="n">
        <v>390</v>
      </c>
      <c r="F5" s="69" t="n">
        <f aca="false">IF(E5="","",D5-E5)</f>
        <v>164</v>
      </c>
      <c r="G5" s="60" t="n">
        <v>1131</v>
      </c>
      <c r="H5" s="60" t="n">
        <v>1180</v>
      </c>
      <c r="I5" s="69" t="n">
        <f aca="false">IF(H5="","",G5-H5)</f>
        <v>-49</v>
      </c>
      <c r="J5" s="40" t="n">
        <f aca="false">IF(OR(D5="",D5+G5=0),"",D5/(D5+G5))</f>
        <v>0.328783382789318</v>
      </c>
      <c r="K5" s="40" t="n">
        <f aca="false">IF(E5="","",E5/(E5+H5))</f>
        <v>0.248407643312102</v>
      </c>
      <c r="L5" s="70" t="n">
        <f aca="false">IF(OR(K5="",J5=""),"",(J5-K5)*100)</f>
        <v>8.03757394772156</v>
      </c>
      <c r="M5" s="36" t="n">
        <v>1.74942827115577</v>
      </c>
      <c r="N5" s="36" t="n">
        <v>1.47713199434252</v>
      </c>
      <c r="O5" s="36" t="n">
        <f aca="false">SQRT(M5^2+N5^2)</f>
        <v>2.28963276632507</v>
      </c>
      <c r="P5" s="40" t="n">
        <f aca="false">IF(J5="","",MAX(0,J5-1.96*O5/100))</f>
        <v>0.283906580569346</v>
      </c>
      <c r="Q5" s="40" t="n">
        <f aca="false">IF(J5="","",MIN(1,J5+1.96*O5/100))</f>
        <v>0.373660185009289</v>
      </c>
      <c r="R5" s="32" t="str">
        <f aca="false">IF(L5="","",IF(ABS(L5)&lt;=O5,"Yes","No"))</f>
        <v>No</v>
      </c>
      <c r="S5" s="32" t="str">
        <f aca="false">IF(L5="","",IF(ABS(L5)&lt;=1.96*O5,"Yes","No"))</f>
        <v>No</v>
      </c>
      <c r="T5" s="60" t="n">
        <f aca="false">IF(D5="","",ROUND(SQRT(((D5+G5)*O5/100)^2+(J5*(D5+G5)*0.05992)^2),0))</f>
        <v>51</v>
      </c>
      <c r="U5" s="32" t="s">
        <v>426</v>
      </c>
    </row>
    <row r="6" customFormat="false" ht="15" hidden="false" customHeight="false" outlineLevel="0" collapsed="false">
      <c r="A6" s="32" t="s">
        <v>162</v>
      </c>
      <c r="B6" s="32" t="s">
        <v>172</v>
      </c>
      <c r="C6" s="32" t="s">
        <v>164</v>
      </c>
      <c r="D6" s="60" t="n">
        <v>53</v>
      </c>
      <c r="E6" s="60" t="n">
        <v>47</v>
      </c>
      <c r="F6" s="69" t="n">
        <f aca="false">IF(E6="","",D6-E6)</f>
        <v>6</v>
      </c>
      <c r="G6" s="60" t="n">
        <v>73</v>
      </c>
      <c r="H6" s="60" t="n">
        <v>74</v>
      </c>
      <c r="I6" s="69" t="n">
        <f aca="false">IF(H6="","",G6-H6)</f>
        <v>-1</v>
      </c>
      <c r="J6" s="40" t="n">
        <f aca="false">IF(OR(D6="",D6+G6=0),"",D6/(D6+G6))</f>
        <v>0.420634920634921</v>
      </c>
      <c r="K6" s="40" t="n">
        <f aca="false">IF(E6="","",E6/(E6+H6))</f>
        <v>0.388429752066116</v>
      </c>
      <c r="L6" s="70" t="n">
        <f aca="false">IF(OR(K6="",J6=""),"",(J6-K6)*100)</f>
        <v>3.2205168568805</v>
      </c>
      <c r="M6" s="36" t="n">
        <v>3.62720814427021</v>
      </c>
      <c r="N6" s="36" t="n">
        <v>1.47713199434252</v>
      </c>
      <c r="O6" s="36" t="n">
        <f aca="false">SQRT(M6^2+N6^2)</f>
        <v>3.91644709533659</v>
      </c>
      <c r="P6" s="40" t="n">
        <f aca="false">IF(J6="","",MAX(0,J6-1.96*O6/100))</f>
        <v>0.343872557566323</v>
      </c>
      <c r="Q6" s="40" t="n">
        <f aca="false">IF(J6="","",MIN(1,J6+1.96*O6/100))</f>
        <v>0.497397283703518</v>
      </c>
      <c r="R6" s="32" t="str">
        <f aca="false">IF(L6="","",IF(ABS(L6)&lt;=O6,"Yes","No"))</f>
        <v>Yes</v>
      </c>
      <c r="S6" s="32" t="str">
        <f aca="false">IF(L6="","",IF(ABS(L6)&lt;=1.96*O6,"Yes","No"))</f>
        <v>Yes</v>
      </c>
      <c r="T6" s="60" t="n">
        <f aca="false">IF(D6="","",ROUND(SQRT(((D6+G6)*O6/100)^2+(J6*(D6+G6)*0.07717)^2),0))</f>
        <v>6</v>
      </c>
      <c r="U6" s="32" t="s">
        <v>426</v>
      </c>
    </row>
    <row r="7" customFormat="false" ht="15" hidden="false" customHeight="false" outlineLevel="0" collapsed="false">
      <c r="A7" s="32" t="s">
        <v>162</v>
      </c>
      <c r="B7" s="32" t="s">
        <v>173</v>
      </c>
      <c r="C7" s="32" t="s">
        <v>164</v>
      </c>
      <c r="D7" s="60" t="n">
        <v>826</v>
      </c>
      <c r="E7" s="60" t="n">
        <v>631</v>
      </c>
      <c r="F7" s="69" t="n">
        <f aca="false">IF(E7="","",D7-E7)</f>
        <v>195</v>
      </c>
      <c r="G7" s="60" t="n">
        <v>1756</v>
      </c>
      <c r="H7" s="60" t="n">
        <v>1828</v>
      </c>
      <c r="I7" s="69" t="n">
        <f aca="false">IF(H7="","",G7-H7)</f>
        <v>-72</v>
      </c>
      <c r="J7" s="40" t="n">
        <f aca="false">IF(OR(D7="",D7+G7=0),"",D7/(D7+G7))</f>
        <v>0.31990704879938</v>
      </c>
      <c r="K7" s="40" t="n">
        <f aca="false">IF(E7="","",E7/(E7+H7))</f>
        <v>0.256608377389183</v>
      </c>
      <c r="L7" s="70" t="n">
        <f aca="false">IF(OR(K7="",J7=""),"",(J7-K7)*100)</f>
        <v>6.32986714101977</v>
      </c>
      <c r="M7" s="36" t="n">
        <v>1.74942827115577</v>
      </c>
      <c r="N7" s="36" t="n">
        <v>1.47713199434252</v>
      </c>
      <c r="O7" s="36" t="n">
        <f aca="false">SQRT(M7^2+N7^2)</f>
        <v>2.28963276632507</v>
      </c>
      <c r="P7" s="40" t="n">
        <f aca="false">IF(J7="","",MAX(0,J7-1.96*O7/100))</f>
        <v>0.275030246579409</v>
      </c>
      <c r="Q7" s="40" t="n">
        <f aca="false">IF(J7="","",MIN(1,J7+1.96*O7/100))</f>
        <v>0.364783851019352</v>
      </c>
      <c r="R7" s="32" t="str">
        <f aca="false">IF(L7="","",IF(ABS(L7)&lt;=O7,"Yes","No"))</f>
        <v>No</v>
      </c>
      <c r="S7" s="32" t="str">
        <f aca="false">IF(L7="","",IF(ABS(L7)&lt;=1.96*O7,"Yes","No"))</f>
        <v>No</v>
      </c>
      <c r="T7" s="60" t="n">
        <f aca="false">IF(D7="","",ROUND(SQRT(((D7+G7)*O7/100)^2+(J7*(D7+G7)*0.05992)^2),0))</f>
        <v>77</v>
      </c>
      <c r="U7" s="32" t="s">
        <v>426</v>
      </c>
    </row>
    <row r="8" customFormat="false" ht="15" hidden="false" customHeight="false" outlineLevel="0" collapsed="false">
      <c r="A8" s="32" t="s">
        <v>162</v>
      </c>
      <c r="B8" s="32" t="s">
        <v>174</v>
      </c>
      <c r="C8" s="32" t="s">
        <v>164</v>
      </c>
      <c r="D8" s="60" t="n">
        <v>1327</v>
      </c>
      <c r="E8" s="60" t="n">
        <v>1060</v>
      </c>
      <c r="F8" s="69" t="n">
        <f aca="false">IF(E8="","",D8-E8)</f>
        <v>267</v>
      </c>
      <c r="G8" s="60" t="n">
        <v>1420</v>
      </c>
      <c r="H8" s="60" t="n">
        <v>1517</v>
      </c>
      <c r="I8" s="69" t="n">
        <f aca="false">IF(H8="","",G8-H8)</f>
        <v>-97</v>
      </c>
      <c r="J8" s="40" t="n">
        <f aca="false">IF(OR(D8="",D8+G8=0),"",D8/(D8+G8))</f>
        <v>0.483072442664725</v>
      </c>
      <c r="K8" s="40" t="n">
        <f aca="false">IF(E8="","",E8/(E8+H8))</f>
        <v>0.411331005044626</v>
      </c>
      <c r="L8" s="70" t="n">
        <f aca="false">IF(OR(K8="",J8=""),"",(J8-K8)*100)</f>
        <v>7.17414376200996</v>
      </c>
      <c r="M8" s="36" t="n">
        <v>1.74942827115577</v>
      </c>
      <c r="N8" s="36" t="n">
        <v>1.47713199434252</v>
      </c>
      <c r="O8" s="36" t="n">
        <f aca="false">SQRT(M8^2+N8^2)</f>
        <v>2.28963276632507</v>
      </c>
      <c r="P8" s="40" t="n">
        <f aca="false">IF(J8="","",MAX(0,J8-1.96*O8/100))</f>
        <v>0.438195640444754</v>
      </c>
      <c r="Q8" s="40" t="n">
        <f aca="false">IF(J8="","",MIN(1,J8+1.96*O8/100))</f>
        <v>0.527949244884696</v>
      </c>
      <c r="R8" s="32" t="str">
        <f aca="false">IF(L8="","",IF(ABS(L8)&lt;=O8,"Yes","No"))</f>
        <v>No</v>
      </c>
      <c r="S8" s="32" t="str">
        <f aca="false">IF(L8="","",IF(ABS(L8)&lt;=1.96*O8,"Yes","No"))</f>
        <v>No</v>
      </c>
      <c r="T8" s="60" t="n">
        <f aca="false">IF(D8="","",ROUND(SQRT(((D8+G8)*O8/100)^2+(J8*(D8+G8)*0.05992)^2),0))</f>
        <v>101</v>
      </c>
      <c r="U8" s="32" t="s">
        <v>426</v>
      </c>
    </row>
    <row r="9" customFormat="false" ht="15" hidden="false" customHeight="false" outlineLevel="0" collapsed="false">
      <c r="A9" s="32" t="s">
        <v>162</v>
      </c>
      <c r="B9" s="32" t="s">
        <v>175</v>
      </c>
      <c r="C9" s="32" t="s">
        <v>164</v>
      </c>
      <c r="D9" s="60" t="n">
        <v>386</v>
      </c>
      <c r="E9" s="60" t="n">
        <v>335</v>
      </c>
      <c r="F9" s="69" t="n">
        <f aca="false">IF(E9="","",D9-E9)</f>
        <v>51</v>
      </c>
      <c r="G9" s="60" t="n">
        <v>728</v>
      </c>
      <c r="H9" s="60" t="n">
        <v>766</v>
      </c>
      <c r="I9" s="69" t="n">
        <f aca="false">IF(H9="","",G9-H9)</f>
        <v>-38</v>
      </c>
      <c r="J9" s="40" t="n">
        <f aca="false">IF(OR(D9="",D9+G9=0),"",D9/(D9+G9))</f>
        <v>0.346499102333932</v>
      </c>
      <c r="K9" s="40" t="n">
        <f aca="false">IF(E9="","",E9/(E9+H9))</f>
        <v>0.304268846503179</v>
      </c>
      <c r="L9" s="70" t="n">
        <f aca="false">IF(OR(K9="",J9=""),"",(J9-K9)*100)</f>
        <v>4.22302558307529</v>
      </c>
      <c r="M9" s="36" t="n">
        <v>3.62720814427021</v>
      </c>
      <c r="N9" s="36" t="n">
        <v>1.47713199434252</v>
      </c>
      <c r="O9" s="36" t="n">
        <f aca="false">SQRT(M9^2+N9^2)</f>
        <v>3.91644709533659</v>
      </c>
      <c r="P9" s="40" t="n">
        <f aca="false">IF(J9="","",MAX(0,J9-1.96*O9/100))</f>
        <v>0.269736739265335</v>
      </c>
      <c r="Q9" s="40" t="n">
        <f aca="false">IF(J9="","",MIN(1,J9+1.96*O9/100))</f>
        <v>0.423261465402529</v>
      </c>
      <c r="R9" s="32" t="str">
        <f aca="false">IF(L9="","",IF(ABS(L9)&lt;=O9,"Yes","No"))</f>
        <v>No</v>
      </c>
      <c r="S9" s="32" t="str">
        <f aca="false">IF(L9="","",IF(ABS(L9)&lt;=1.96*O9,"Yes","No"))</f>
        <v>Yes</v>
      </c>
      <c r="T9" s="60" t="n">
        <f aca="false">IF(D9="","",ROUND(SQRT(((D9+G9)*O9/100)^2+(J9*(D9+G9)*0.07717)^2),0))</f>
        <v>53</v>
      </c>
      <c r="U9" s="32" t="s">
        <v>426</v>
      </c>
    </row>
    <row r="10" customFormat="false" ht="15" hidden="false" customHeight="false" outlineLevel="0" collapsed="false">
      <c r="A10" s="32" t="s">
        <v>162</v>
      </c>
      <c r="B10" s="32" t="s">
        <v>176</v>
      </c>
      <c r="C10" s="32" t="s">
        <v>164</v>
      </c>
      <c r="D10" s="60" t="n">
        <v>729</v>
      </c>
      <c r="E10" s="60" t="n">
        <v>614</v>
      </c>
      <c r="F10" s="69" t="n">
        <f aca="false">IF(E10="","",D10-E10)</f>
        <v>115</v>
      </c>
      <c r="G10" s="60" t="n">
        <v>779</v>
      </c>
      <c r="H10" s="60" t="n">
        <v>846</v>
      </c>
      <c r="I10" s="69" t="n">
        <f aca="false">IF(H10="","",G10-H10)</f>
        <v>-67</v>
      </c>
      <c r="J10" s="40" t="n">
        <f aca="false">IF(OR(D10="",D10+G10=0),"",D10/(D10+G10))</f>
        <v>0.48342175066313</v>
      </c>
      <c r="K10" s="40" t="n">
        <f aca="false">IF(E10="","",E10/(E10+H10))</f>
        <v>0.420547945205479</v>
      </c>
      <c r="L10" s="70" t="n">
        <f aca="false">IF(OR(K10="",J10=""),"",(J10-K10)*100)</f>
        <v>6.28738054576505</v>
      </c>
      <c r="M10" s="36" t="n">
        <v>3.62720814427021</v>
      </c>
      <c r="N10" s="36" t="n">
        <v>1.47713199434252</v>
      </c>
      <c r="O10" s="36" t="n">
        <f aca="false">SQRT(M10^2+N10^2)</f>
        <v>3.91644709533659</v>
      </c>
      <c r="P10" s="40" t="n">
        <f aca="false">IF(J10="","",MAX(0,J10-1.96*O10/100))</f>
        <v>0.406659387594533</v>
      </c>
      <c r="Q10" s="40" t="n">
        <f aca="false">IF(J10="","",MIN(1,J10+1.96*O10/100))</f>
        <v>0.560184113731727</v>
      </c>
      <c r="R10" s="32" t="str">
        <f aca="false">IF(L10="","",IF(ABS(L10)&lt;=O10,"Yes","No"))</f>
        <v>No</v>
      </c>
      <c r="S10" s="32" t="str">
        <f aca="false">IF(L10="","",IF(ABS(L10)&lt;=1.96*O10,"Yes","No"))</f>
        <v>Yes</v>
      </c>
      <c r="T10" s="60" t="n">
        <f aca="false">IF(D10="","",ROUND(SQRT(((D10+G10)*O10/100)^2+(J10*(D10+G10)*0.07717)^2),0))</f>
        <v>82</v>
      </c>
      <c r="U10" s="32" t="s">
        <v>426</v>
      </c>
    </row>
    <row r="11" customFormat="false" ht="15" hidden="false" customHeight="false" outlineLevel="0" collapsed="false">
      <c r="A11" s="32" t="s">
        <v>162</v>
      </c>
      <c r="B11" s="32" t="s">
        <v>177</v>
      </c>
      <c r="C11" s="32" t="s">
        <v>164</v>
      </c>
      <c r="D11" s="60" t="n">
        <v>47</v>
      </c>
      <c r="E11" s="60" t="n">
        <v>42</v>
      </c>
      <c r="F11" s="69" t="n">
        <f aca="false">IF(E11="","",D11-E11)</f>
        <v>5</v>
      </c>
      <c r="G11" s="60" t="n">
        <v>100</v>
      </c>
      <c r="H11" s="60" t="n">
        <v>99</v>
      </c>
      <c r="I11" s="69" t="n">
        <f aca="false">IF(H11="","",G11-H11)</f>
        <v>1</v>
      </c>
      <c r="J11" s="40" t="n">
        <f aca="false">IF(OR(D11="",D11+G11=0),"",D11/(D11+G11))</f>
        <v>0.319727891156463</v>
      </c>
      <c r="K11" s="40" t="n">
        <f aca="false">IF(E11="","",E11/(E11+H11))</f>
        <v>0.297872340425532</v>
      </c>
      <c r="L11" s="70" t="n">
        <f aca="false">IF(OR(K11="",J11=""),"",(J11-K11)*100)</f>
        <v>2.18555507309307</v>
      </c>
      <c r="M11" s="36" t="n">
        <v>3.62720814427021</v>
      </c>
      <c r="N11" s="36" t="n">
        <v>1.47713199434252</v>
      </c>
      <c r="O11" s="36" t="n">
        <f aca="false">SQRT(M11^2+N11^2)</f>
        <v>3.91644709533659</v>
      </c>
      <c r="P11" s="40" t="n">
        <f aca="false">IF(J11="","",MAX(0,J11-1.96*O11/100))</f>
        <v>0.242965528087865</v>
      </c>
      <c r="Q11" s="40" t="n">
        <f aca="false">IF(J11="","",MIN(1,J11+1.96*O11/100))</f>
        <v>0.39649025422506</v>
      </c>
      <c r="R11" s="32" t="str">
        <f aca="false">IF(L11="","",IF(ABS(L11)&lt;=O11,"Yes","No"))</f>
        <v>Yes</v>
      </c>
      <c r="S11" s="32" t="str">
        <f aca="false">IF(L11="","",IF(ABS(L11)&lt;=1.96*O11,"Yes","No"))</f>
        <v>Yes</v>
      </c>
      <c r="T11" s="60" t="n">
        <f aca="false">IF(D11="","",ROUND(SQRT(((D11+G11)*O11/100)^2+(J11*(D11+G11)*0.07717)^2),0))</f>
        <v>7</v>
      </c>
      <c r="U11" s="32" t="s">
        <v>426</v>
      </c>
    </row>
    <row r="12" customFormat="false" ht="15" hidden="false" customHeight="false" outlineLevel="0" collapsed="false">
      <c r="A12" s="32" t="s">
        <v>162</v>
      </c>
      <c r="B12" s="32" t="s">
        <v>178</v>
      </c>
      <c r="C12" s="32" t="s">
        <v>164</v>
      </c>
      <c r="D12" s="60" t="n">
        <v>69</v>
      </c>
      <c r="E12" s="60" t="n">
        <v>51</v>
      </c>
      <c r="F12" s="69" t="n">
        <f aca="false">IF(E12="","",D12-E12)</f>
        <v>18</v>
      </c>
      <c r="G12" s="60" t="n">
        <v>215</v>
      </c>
      <c r="H12" s="60" t="n">
        <v>223</v>
      </c>
      <c r="I12" s="69" t="n">
        <f aca="false">IF(H12="","",G12-H12)</f>
        <v>-8</v>
      </c>
      <c r="J12" s="40" t="n">
        <f aca="false">IF(OR(D12="",D12+G12=0),"",D12/(D12+G12))</f>
        <v>0.242957746478873</v>
      </c>
      <c r="K12" s="40" t="n">
        <f aca="false">IF(E12="","",E12/(E12+H12))</f>
        <v>0.186131386861314</v>
      </c>
      <c r="L12" s="70" t="n">
        <f aca="false">IF(OR(K12="",J12=""),"",(J12-K12)*100)</f>
        <v>5.68263596175594</v>
      </c>
      <c r="M12" s="36" t="n">
        <v>3.62720814427021</v>
      </c>
      <c r="N12" s="36" t="n">
        <v>1.47713199434252</v>
      </c>
      <c r="O12" s="36" t="n">
        <f aca="false">SQRT(M12^2+N12^2)</f>
        <v>3.91644709533659</v>
      </c>
      <c r="P12" s="40" t="n">
        <f aca="false">IF(J12="","",MAX(0,J12-1.96*O12/100))</f>
        <v>0.166195383410276</v>
      </c>
      <c r="Q12" s="40" t="n">
        <f aca="false">IF(J12="","",MIN(1,J12+1.96*O12/100))</f>
        <v>0.31972010954747</v>
      </c>
      <c r="R12" s="32" t="str">
        <f aca="false">IF(L12="","",IF(ABS(L12)&lt;=O12,"Yes","No"))</f>
        <v>No</v>
      </c>
      <c r="S12" s="32" t="str">
        <f aca="false">IF(L12="","",IF(ABS(L12)&lt;=1.96*O12,"Yes","No"))</f>
        <v>Yes</v>
      </c>
      <c r="T12" s="60" t="n">
        <f aca="false">IF(D12="","",ROUND(SQRT(((D12+G12)*O12/100)^2+(J12*(D12+G12)*0.07717)^2),0))</f>
        <v>12</v>
      </c>
      <c r="U12" s="32" t="s">
        <v>426</v>
      </c>
    </row>
    <row r="13" customFormat="false" ht="15" hidden="false" customHeight="false" outlineLevel="0" collapsed="false">
      <c r="A13" s="32" t="s">
        <v>162</v>
      </c>
      <c r="B13" s="32" t="s">
        <v>179</v>
      </c>
      <c r="C13" s="32" t="s">
        <v>164</v>
      </c>
      <c r="D13" s="60" t="n">
        <v>1091</v>
      </c>
      <c r="E13" s="60" t="n">
        <v>841</v>
      </c>
      <c r="F13" s="69" t="n">
        <f aca="false">IF(E13="","",D13-E13)</f>
        <v>250</v>
      </c>
      <c r="G13" s="60" t="n">
        <v>1325</v>
      </c>
      <c r="H13" s="60" t="n">
        <v>1410</v>
      </c>
      <c r="I13" s="69" t="n">
        <f aca="false">IF(H13="","",G13-H13)</f>
        <v>-85</v>
      </c>
      <c r="J13" s="40" t="n">
        <f aca="false">IF(OR(D13="",D13+G13=0),"",D13/(D13+G13))</f>
        <v>0.451572847682119</v>
      </c>
      <c r="K13" s="40" t="n">
        <f aca="false">IF(E13="","",E13/(E13+H13))</f>
        <v>0.373611728120835</v>
      </c>
      <c r="L13" s="70" t="n">
        <f aca="false">IF(OR(K13="",J13=""),"",(J13-K13)*100)</f>
        <v>7.7961119561284</v>
      </c>
      <c r="M13" s="36" t="n">
        <v>1.74942827115577</v>
      </c>
      <c r="N13" s="36" t="n">
        <v>1.47713199434252</v>
      </c>
      <c r="O13" s="36" t="n">
        <f aca="false">SQRT(M13^2+N13^2)</f>
        <v>2.28963276632507</v>
      </c>
      <c r="P13" s="40" t="n">
        <f aca="false">IF(J13="","",MAX(0,J13-1.96*O13/100))</f>
        <v>0.406696045462148</v>
      </c>
      <c r="Q13" s="40" t="n">
        <f aca="false">IF(J13="","",MIN(1,J13+1.96*O13/100))</f>
        <v>0.49644964990209</v>
      </c>
      <c r="R13" s="32" t="str">
        <f aca="false">IF(L13="","",IF(ABS(L13)&lt;=O13,"Yes","No"))</f>
        <v>No</v>
      </c>
      <c r="S13" s="32" t="str">
        <f aca="false">IF(L13="","",IF(ABS(L13)&lt;=1.96*O13,"Yes","No"))</f>
        <v>No</v>
      </c>
      <c r="T13" s="60" t="n">
        <f aca="false">IF(D13="","",ROUND(SQRT(((D13+G13)*O13/100)^2+(J13*(D13+G13)*0.05992)^2),0))</f>
        <v>86</v>
      </c>
      <c r="U13" s="32" t="s">
        <v>426</v>
      </c>
    </row>
    <row r="14" customFormat="false" ht="15" hidden="false" customHeight="false" outlineLevel="0" collapsed="false">
      <c r="A14" s="32" t="s">
        <v>162</v>
      </c>
      <c r="B14" s="32" t="s">
        <v>180</v>
      </c>
      <c r="C14" s="32" t="s">
        <v>164</v>
      </c>
      <c r="D14" s="60" t="n">
        <v>622</v>
      </c>
      <c r="E14" s="60" t="n">
        <v>489</v>
      </c>
      <c r="F14" s="69" t="n">
        <f aca="false">IF(E14="","",D14-E14)</f>
        <v>133</v>
      </c>
      <c r="G14" s="60" t="n">
        <v>1156</v>
      </c>
      <c r="H14" s="60" t="n">
        <v>1164</v>
      </c>
      <c r="I14" s="69" t="n">
        <f aca="false">IF(H14="","",G14-H14)</f>
        <v>-8</v>
      </c>
      <c r="J14" s="40" t="n">
        <f aca="false">IF(OR(D14="",D14+G14=0),"",D14/(D14+G14))</f>
        <v>0.349831271091114</v>
      </c>
      <c r="K14" s="40" t="n">
        <f aca="false">IF(E14="","",E14/(E14+H14))</f>
        <v>0.295825771324864</v>
      </c>
      <c r="L14" s="70" t="n">
        <f aca="false">IF(OR(K14="",J14=""),"",(J14-K14)*100)</f>
        <v>5.40054997662497</v>
      </c>
      <c r="M14" s="36" t="n">
        <v>1.74942827115577</v>
      </c>
      <c r="N14" s="36" t="n">
        <v>1.47713199434252</v>
      </c>
      <c r="O14" s="36" t="n">
        <f aca="false">SQRT(M14^2+N14^2)</f>
        <v>2.28963276632507</v>
      </c>
      <c r="P14" s="40" t="n">
        <f aca="false">IF(J14="","",MAX(0,J14-1.96*O14/100))</f>
        <v>0.304954468871142</v>
      </c>
      <c r="Q14" s="40" t="n">
        <f aca="false">IF(J14="","",MIN(1,J14+1.96*O14/100))</f>
        <v>0.394708073311085</v>
      </c>
      <c r="R14" s="32" t="str">
        <f aca="false">IF(L14="","",IF(ABS(L14)&lt;=O14,"Yes","No"))</f>
        <v>No</v>
      </c>
      <c r="S14" s="32" t="str">
        <f aca="false">IF(L14="","",IF(ABS(L14)&lt;=1.96*O14,"Yes","No"))</f>
        <v>No</v>
      </c>
      <c r="T14" s="60" t="n">
        <f aca="false">IF(D14="","",ROUND(SQRT(((D14+G14)*O14/100)^2+(J14*(D14+G14)*0.05992)^2),0))</f>
        <v>55</v>
      </c>
      <c r="U14" s="32" t="s">
        <v>426</v>
      </c>
    </row>
    <row r="15" customFormat="false" ht="15" hidden="false" customHeight="false" outlineLevel="0" collapsed="false">
      <c r="A15" s="32" t="s">
        <v>162</v>
      </c>
      <c r="B15" s="32" t="s">
        <v>181</v>
      </c>
      <c r="C15" s="32" t="s">
        <v>164</v>
      </c>
      <c r="D15" s="60" t="n">
        <v>756</v>
      </c>
      <c r="E15" s="60" t="n">
        <v>563</v>
      </c>
      <c r="F15" s="69" t="n">
        <f aca="false">IF(E15="","",D15-E15)</f>
        <v>193</v>
      </c>
      <c r="G15" s="60" t="n">
        <v>1560</v>
      </c>
      <c r="H15" s="60" t="n">
        <v>1559</v>
      </c>
      <c r="I15" s="69" t="n">
        <f aca="false">IF(H15="","",G15-H15)</f>
        <v>1</v>
      </c>
      <c r="J15" s="40" t="n">
        <f aca="false">IF(OR(D15="",D15+G15=0),"",D15/(D15+G15))</f>
        <v>0.326424870466321</v>
      </c>
      <c r="K15" s="40" t="n">
        <f aca="false">IF(E15="","",E15/(E15+H15))</f>
        <v>0.265315739868049</v>
      </c>
      <c r="L15" s="70" t="n">
        <f aca="false">IF(OR(K15="",J15=""),"",(J15-K15)*100)</f>
        <v>6.11091305982722</v>
      </c>
      <c r="M15" s="36" t="n">
        <v>1.74942827115577</v>
      </c>
      <c r="N15" s="36" t="n">
        <v>1.47713199434252</v>
      </c>
      <c r="O15" s="36" t="n">
        <f aca="false">SQRT(M15^2+N15^2)</f>
        <v>2.28963276632507</v>
      </c>
      <c r="P15" s="40" t="n">
        <f aca="false">IF(J15="","",MAX(0,J15-1.96*O15/100))</f>
        <v>0.28154806824635</v>
      </c>
      <c r="Q15" s="40" t="n">
        <f aca="false">IF(J15="","",MIN(1,J15+1.96*O15/100))</f>
        <v>0.371301672686293</v>
      </c>
      <c r="R15" s="32" t="str">
        <f aca="false">IF(L15="","",IF(ABS(L15)&lt;=O15,"Yes","No"))</f>
        <v>No</v>
      </c>
      <c r="S15" s="32" t="str">
        <f aca="false">IF(L15="","",IF(ABS(L15)&lt;=1.96*O15,"Yes","No"))</f>
        <v>No</v>
      </c>
      <c r="T15" s="60" t="n">
        <f aca="false">IF(D15="","",ROUND(SQRT(((D15+G15)*O15/100)^2+(J15*(D15+G15)*0.05992)^2),0))</f>
        <v>70</v>
      </c>
      <c r="U15" s="32" t="s">
        <v>426</v>
      </c>
    </row>
    <row r="16" customFormat="false" ht="15" hidden="false" customHeight="false" outlineLevel="0" collapsed="false">
      <c r="A16" s="32" t="s">
        <v>162</v>
      </c>
      <c r="B16" s="32" t="s">
        <v>182</v>
      </c>
      <c r="C16" s="32" t="s">
        <v>164</v>
      </c>
      <c r="D16" s="60" t="n">
        <v>752</v>
      </c>
      <c r="E16" s="60" t="n">
        <v>574</v>
      </c>
      <c r="F16" s="69" t="n">
        <f aca="false">IF(E16="","",D16-E16)</f>
        <v>178</v>
      </c>
      <c r="G16" s="60" t="n">
        <v>891</v>
      </c>
      <c r="H16" s="60" t="n">
        <v>963</v>
      </c>
      <c r="I16" s="69" t="n">
        <f aca="false">IF(H16="","",G16-H16)</f>
        <v>-72</v>
      </c>
      <c r="J16" s="40" t="n">
        <f aca="false">IF(OR(D16="",D16+G16=0),"",D16/(D16+G16))</f>
        <v>0.457699330493001</v>
      </c>
      <c r="K16" s="40" t="n">
        <f aca="false">IF(E16="","",E16/(E16+H16))</f>
        <v>0.373454782042941</v>
      </c>
      <c r="L16" s="70" t="n">
        <f aca="false">IF(OR(K16="",J16=""),"",(J16-K16)*100)</f>
        <v>8.42445484500598</v>
      </c>
      <c r="M16" s="36" t="n">
        <v>1.74942827115577</v>
      </c>
      <c r="N16" s="36" t="n">
        <v>1.47713199434252</v>
      </c>
      <c r="O16" s="36" t="n">
        <f aca="false">SQRT(M16^2+N16^2)</f>
        <v>2.28963276632507</v>
      </c>
      <c r="P16" s="40" t="n">
        <f aca="false">IF(J16="","",MAX(0,J16-1.96*O16/100))</f>
        <v>0.412822528273029</v>
      </c>
      <c r="Q16" s="40" t="n">
        <f aca="false">IF(J16="","",MIN(1,J16+1.96*O16/100))</f>
        <v>0.502576132712972</v>
      </c>
      <c r="R16" s="32" t="str">
        <f aca="false">IF(L16="","",IF(ABS(L16)&lt;=O16,"Yes","No"))</f>
        <v>No</v>
      </c>
      <c r="S16" s="32" t="str">
        <f aca="false">IF(L16="","",IF(ABS(L16)&lt;=1.96*O16,"Yes","No"))</f>
        <v>No</v>
      </c>
      <c r="T16" s="60" t="n">
        <f aca="false">IF(D16="","",ROUND(SQRT(((D16+G16)*O16/100)^2+(J16*(D16+G16)*0.05992)^2),0))</f>
        <v>59</v>
      </c>
      <c r="U16" s="32" t="s">
        <v>426</v>
      </c>
    </row>
    <row r="17" customFormat="false" ht="15" hidden="false" customHeight="false" outlineLevel="0" collapsed="false">
      <c r="A17" s="32" t="s">
        <v>162</v>
      </c>
      <c r="B17" s="32" t="s">
        <v>183</v>
      </c>
      <c r="C17" s="32" t="s">
        <v>164</v>
      </c>
      <c r="D17" s="60" t="n">
        <v>160</v>
      </c>
      <c r="E17" s="60" t="n">
        <v>109</v>
      </c>
      <c r="F17" s="69" t="n">
        <f aca="false">IF(E17="","",D17-E17)</f>
        <v>51</v>
      </c>
      <c r="G17" s="60" t="n">
        <v>528</v>
      </c>
      <c r="H17" s="60" t="n">
        <v>531</v>
      </c>
      <c r="I17" s="69" t="n">
        <f aca="false">IF(H17="","",G17-H17)</f>
        <v>-3</v>
      </c>
      <c r="J17" s="40" t="n">
        <f aca="false">IF(OR(D17="",D17+G17=0),"",D17/(D17+G17))</f>
        <v>0.232558139534884</v>
      </c>
      <c r="K17" s="40" t="n">
        <f aca="false">IF(E17="","",E17/(E17+H17))</f>
        <v>0.1703125</v>
      </c>
      <c r="L17" s="70" t="n">
        <f aca="false">IF(OR(K17="",J17=""),"",(J17-K17)*100)</f>
        <v>6.22456395348837</v>
      </c>
      <c r="M17" s="36" t="n">
        <v>3.62720814427021</v>
      </c>
      <c r="N17" s="36" t="n">
        <v>1.47713199434252</v>
      </c>
      <c r="O17" s="36" t="n">
        <f aca="false">SQRT(M17^2+N17^2)</f>
        <v>3.91644709533659</v>
      </c>
      <c r="P17" s="40" t="n">
        <f aca="false">IF(J17="","",MAX(0,J17-1.96*O17/100))</f>
        <v>0.155795776466287</v>
      </c>
      <c r="Q17" s="40" t="n">
        <f aca="false">IF(J17="","",MIN(1,J17+1.96*O17/100))</f>
        <v>0.309320502603481</v>
      </c>
      <c r="R17" s="32" t="str">
        <f aca="false">IF(L17="","",IF(ABS(L17)&lt;=O17,"Yes","No"))</f>
        <v>No</v>
      </c>
      <c r="S17" s="32" t="str">
        <f aca="false">IF(L17="","",IF(ABS(L17)&lt;=1.96*O17,"Yes","No"))</f>
        <v>Yes</v>
      </c>
      <c r="T17" s="60" t="n">
        <f aca="false">IF(D17="","",ROUND(SQRT(((D17+G17)*O17/100)^2+(J17*(D17+G17)*0.07717)^2),0))</f>
        <v>30</v>
      </c>
      <c r="U17" s="32" t="s">
        <v>426</v>
      </c>
    </row>
    <row r="18" customFormat="false" ht="15" hidden="false" customHeight="false" outlineLevel="0" collapsed="false">
      <c r="A18" s="32" t="s">
        <v>162</v>
      </c>
      <c r="B18" s="32" t="s">
        <v>184</v>
      </c>
      <c r="C18" s="32" t="s">
        <v>164</v>
      </c>
      <c r="D18" s="60" t="n">
        <v>1100</v>
      </c>
      <c r="E18" s="60" t="n">
        <v>863</v>
      </c>
      <c r="F18" s="69" t="n">
        <f aca="false">IF(E18="","",D18-E18)</f>
        <v>237</v>
      </c>
      <c r="G18" s="60" t="n">
        <v>1598</v>
      </c>
      <c r="H18" s="60" t="n">
        <v>1676</v>
      </c>
      <c r="I18" s="69" t="n">
        <f aca="false">IF(H18="","",G18-H18)</f>
        <v>-78</v>
      </c>
      <c r="J18" s="40" t="n">
        <f aca="false">IF(OR(D18="",D18+G18=0),"",D18/(D18+G18))</f>
        <v>0.407709414381023</v>
      </c>
      <c r="K18" s="40" t="n">
        <f aca="false">IF(E18="","",E18/(E18+H18))</f>
        <v>0.339897597479323</v>
      </c>
      <c r="L18" s="70" t="n">
        <f aca="false">IF(OR(K18="",J18=""),"",(J18-K18)*100)</f>
        <v>6.78118169017004</v>
      </c>
      <c r="M18" s="36" t="n">
        <v>1.74942827115577</v>
      </c>
      <c r="N18" s="36" t="n">
        <v>1.47713199434252</v>
      </c>
      <c r="O18" s="36" t="n">
        <f aca="false">SQRT(M18^2+N18^2)</f>
        <v>2.28963276632507</v>
      </c>
      <c r="P18" s="40" t="n">
        <f aca="false">IF(J18="","",MAX(0,J18-1.96*O18/100))</f>
        <v>0.362832612161052</v>
      </c>
      <c r="Q18" s="40" t="n">
        <f aca="false">IF(J18="","",MIN(1,J18+1.96*O18/100))</f>
        <v>0.452586216600994</v>
      </c>
      <c r="R18" s="32" t="str">
        <f aca="false">IF(L18="","",IF(ABS(L18)&lt;=O18,"Yes","No"))</f>
        <v>No</v>
      </c>
      <c r="S18" s="32" t="str">
        <f aca="false">IF(L18="","",IF(ABS(L18)&lt;=1.96*O18,"Yes","No"))</f>
        <v>No</v>
      </c>
      <c r="T18" s="60" t="n">
        <f aca="false">IF(D18="","",ROUND(SQRT(((D18+G18)*O18/100)^2+(J18*(D18+G18)*0.05992)^2),0))</f>
        <v>90</v>
      </c>
      <c r="U18" s="32" t="s">
        <v>426</v>
      </c>
    </row>
    <row r="19" customFormat="false" ht="15" hidden="false" customHeight="false" outlineLevel="0" collapsed="false">
      <c r="A19" s="32" t="s">
        <v>162</v>
      </c>
      <c r="B19" s="32" t="s">
        <v>185</v>
      </c>
      <c r="C19" s="32" t="s">
        <v>164</v>
      </c>
      <c r="D19" s="60" t="n">
        <v>82</v>
      </c>
      <c r="E19" s="60" t="n">
        <v>52</v>
      </c>
      <c r="F19" s="69" t="n">
        <f aca="false">IF(E19="","",D19-E19)</f>
        <v>30</v>
      </c>
      <c r="G19" s="60" t="n">
        <v>159</v>
      </c>
      <c r="H19" s="60" t="n">
        <v>167</v>
      </c>
      <c r="I19" s="69" t="n">
        <f aca="false">IF(H19="","",G19-H19)</f>
        <v>-8</v>
      </c>
      <c r="J19" s="40" t="n">
        <f aca="false">IF(OR(D19="",D19+G19=0),"",D19/(D19+G19))</f>
        <v>0.340248962655602</v>
      </c>
      <c r="K19" s="40" t="n">
        <f aca="false">IF(E19="","",E19/(E19+H19))</f>
        <v>0.237442922374429</v>
      </c>
      <c r="L19" s="70" t="n">
        <f aca="false">IF(OR(K19="",J19=""),"",(J19-K19)*100)</f>
        <v>10.2806040281172</v>
      </c>
      <c r="M19" s="36" t="n">
        <v>3.62720814427021</v>
      </c>
      <c r="N19" s="36" t="n">
        <v>1.47713199434252</v>
      </c>
      <c r="O19" s="36" t="n">
        <f aca="false">SQRT(M19^2+N19^2)</f>
        <v>3.91644709533659</v>
      </c>
      <c r="P19" s="40" t="n">
        <f aca="false">IF(J19="","",MAX(0,J19-1.96*O19/100))</f>
        <v>0.263486599587005</v>
      </c>
      <c r="Q19" s="40" t="n">
        <f aca="false">IF(J19="","",MIN(1,J19+1.96*O19/100))</f>
        <v>0.417011325724199</v>
      </c>
      <c r="R19" s="32" t="str">
        <f aca="false">IF(L19="","",IF(ABS(L19)&lt;=O19,"Yes","No"))</f>
        <v>No</v>
      </c>
      <c r="S19" s="32" t="str">
        <f aca="false">IF(L19="","",IF(ABS(L19)&lt;=1.96*O19,"Yes","No"))</f>
        <v>No</v>
      </c>
      <c r="T19" s="60" t="n">
        <f aca="false">IF(D19="","",ROUND(SQRT(((D19+G19)*O19/100)^2+(J19*(D19+G19)*0.07717)^2),0))</f>
        <v>11</v>
      </c>
      <c r="U19" s="32" t="s">
        <v>426</v>
      </c>
    </row>
    <row r="20" customFormat="false" ht="15" hidden="false" customHeight="false" outlineLevel="0" collapsed="false">
      <c r="A20" s="32" t="s">
        <v>162</v>
      </c>
      <c r="B20" s="32" t="s">
        <v>186</v>
      </c>
      <c r="C20" s="32" t="s">
        <v>164</v>
      </c>
      <c r="D20" s="60" t="n">
        <v>2378</v>
      </c>
      <c r="E20" s="60" t="n">
        <v>1997</v>
      </c>
      <c r="F20" s="69" t="n">
        <f aca="false">IF(E20="","",D20-E20)</f>
        <v>381</v>
      </c>
      <c r="G20" s="60" t="n">
        <v>3633</v>
      </c>
      <c r="H20" s="60" t="n">
        <v>3474</v>
      </c>
      <c r="I20" s="69" t="n">
        <f aca="false">IF(H20="","",G20-H20)</f>
        <v>159</v>
      </c>
      <c r="J20" s="40" t="n">
        <f aca="false">IF(OR(D20="",D20+G20=0),"",D20/(D20+G20))</f>
        <v>0.395608051904841</v>
      </c>
      <c r="K20" s="40" t="n">
        <f aca="false">IF(E20="","",E20/(E20+H20))</f>
        <v>0.365015536464997</v>
      </c>
      <c r="L20" s="70" t="n">
        <f aca="false">IF(OR(K20="",J20=""),"",(J20-K20)*100)</f>
        <v>3.05925154398439</v>
      </c>
      <c r="M20" s="36" t="n">
        <v>2.09596675951885</v>
      </c>
      <c r="N20" s="36" t="n">
        <v>1.47713199434252</v>
      </c>
      <c r="O20" s="36" t="n">
        <f aca="false">SQRT(M20^2+N20^2)</f>
        <v>2.56417542023128</v>
      </c>
      <c r="P20" s="40" t="n">
        <f aca="false">IF(J20="","",MAX(0,J20-1.96*O20/100))</f>
        <v>0.345350213668308</v>
      </c>
      <c r="Q20" s="40" t="n">
        <f aca="false">IF(J20="","",MIN(1,J20+1.96*O20/100))</f>
        <v>0.445865890141374</v>
      </c>
      <c r="R20" s="32" t="str">
        <f aca="false">IF(L20="","",IF(ABS(L20)&lt;=O20,"Yes","No"))</f>
        <v>No</v>
      </c>
      <c r="S20" s="32" t="str">
        <f aca="false">IF(L20="","",IF(ABS(L20)&lt;=1.96*O20,"Yes","No"))</f>
        <v>Yes</v>
      </c>
      <c r="T20" s="60" t="n">
        <f aca="false">IF(D20="","",ROUND(SQRT(((D20+G20)*O20/100)^2+(J20*(D20+G20)*0.05437)^2),0))</f>
        <v>201</v>
      </c>
      <c r="U20" s="32" t="s">
        <v>426</v>
      </c>
    </row>
    <row r="21" customFormat="false" ht="15" hidden="false" customHeight="false" outlineLevel="0" collapsed="false">
      <c r="A21" s="32" t="s">
        <v>162</v>
      </c>
      <c r="B21" s="32" t="s">
        <v>188</v>
      </c>
      <c r="C21" s="32" t="s">
        <v>164</v>
      </c>
      <c r="D21" s="60" t="n">
        <v>783</v>
      </c>
      <c r="E21" s="60" t="n">
        <v>620</v>
      </c>
      <c r="F21" s="69" t="n">
        <f aca="false">IF(E21="","",D21-E21)</f>
        <v>163</v>
      </c>
      <c r="G21" s="60" t="n">
        <v>789</v>
      </c>
      <c r="H21" s="60" t="n">
        <v>917</v>
      </c>
      <c r="I21" s="69" t="n">
        <f aca="false">IF(H21="","",G21-H21)</f>
        <v>-128</v>
      </c>
      <c r="J21" s="40" t="n">
        <f aca="false">IF(OR(D21="",D21+G21=0),"",D21/(D21+G21))</f>
        <v>0.498091603053435</v>
      </c>
      <c r="K21" s="40" t="n">
        <f aca="false">IF(E21="","",E21/(E21+H21))</f>
        <v>0.403383214053351</v>
      </c>
      <c r="L21" s="70" t="n">
        <f aca="false">IF(OR(K21="",J21=""),"",(J21-K21)*100)</f>
        <v>9.47083890000844</v>
      </c>
      <c r="M21" s="36" t="n">
        <v>1.74942827115577</v>
      </c>
      <c r="N21" s="36" t="n">
        <v>1.47713199434252</v>
      </c>
      <c r="O21" s="36" t="n">
        <f aca="false">SQRT(M21^2+N21^2)</f>
        <v>2.28963276632507</v>
      </c>
      <c r="P21" s="40" t="n">
        <f aca="false">IF(J21="","",MAX(0,J21-1.96*O21/100))</f>
        <v>0.453214800833464</v>
      </c>
      <c r="Q21" s="40" t="n">
        <f aca="false">IF(J21="","",MIN(1,J21+1.96*O21/100))</f>
        <v>0.542968405273406</v>
      </c>
      <c r="R21" s="32" t="str">
        <f aca="false">IF(L21="","",IF(ABS(L21)&lt;=O21,"Yes","No"))</f>
        <v>No</v>
      </c>
      <c r="S21" s="32" t="str">
        <f aca="false">IF(L21="","",IF(ABS(L21)&lt;=1.96*O21,"Yes","No"))</f>
        <v>No</v>
      </c>
      <c r="T21" s="60" t="n">
        <f aca="false">IF(D21="","",ROUND(SQRT(((D21+G21)*O21/100)^2+(J21*(D21+G21)*0.05992)^2),0))</f>
        <v>59</v>
      </c>
      <c r="U21" s="32" t="s">
        <v>426</v>
      </c>
    </row>
    <row r="22" customFormat="false" ht="15" hidden="false" customHeight="false" outlineLevel="0" collapsed="false">
      <c r="A22" s="32" t="s">
        <v>162</v>
      </c>
      <c r="B22" s="32" t="s">
        <v>189</v>
      </c>
      <c r="C22" s="32" t="s">
        <v>164</v>
      </c>
      <c r="D22" s="60" t="n">
        <v>917</v>
      </c>
      <c r="E22" s="60" t="n">
        <v>723</v>
      </c>
      <c r="F22" s="69" t="n">
        <f aca="false">IF(E22="","",D22-E22)</f>
        <v>194</v>
      </c>
      <c r="G22" s="60" t="n">
        <v>1809</v>
      </c>
      <c r="H22" s="60" t="n">
        <v>1892</v>
      </c>
      <c r="I22" s="69" t="n">
        <f aca="false">IF(H22="","",G22-H22)</f>
        <v>-83</v>
      </c>
      <c r="J22" s="40" t="n">
        <f aca="false">IF(OR(D22="",D22+G22=0),"",D22/(D22+G22))</f>
        <v>0.336390315480558</v>
      </c>
      <c r="K22" s="40" t="n">
        <f aca="false">IF(E22="","",E22/(E22+H22))</f>
        <v>0.276481835564054</v>
      </c>
      <c r="L22" s="70" t="n">
        <f aca="false">IF(OR(K22="",J22=""),"",(J22-K22)*100)</f>
        <v>5.99084799165041</v>
      </c>
      <c r="M22" s="36" t="n">
        <v>1.74942827115577</v>
      </c>
      <c r="N22" s="36" t="n">
        <v>1.47713199434252</v>
      </c>
      <c r="O22" s="36" t="n">
        <f aca="false">SQRT(M22^2+N22^2)</f>
        <v>2.28963276632507</v>
      </c>
      <c r="P22" s="40" t="n">
        <f aca="false">IF(J22="","",MAX(0,J22-1.96*O22/100))</f>
        <v>0.291513513260586</v>
      </c>
      <c r="Q22" s="40" t="n">
        <f aca="false">IF(J22="","",MIN(1,J22+1.96*O22/100))</f>
        <v>0.381267117700529</v>
      </c>
      <c r="R22" s="32" t="str">
        <f aca="false">IF(L22="","",IF(ABS(L22)&lt;=O22,"Yes","No"))</f>
        <v>No</v>
      </c>
      <c r="S22" s="32" t="str">
        <f aca="false">IF(L22="","",IF(ABS(L22)&lt;=1.96*O22,"Yes","No"))</f>
        <v>No</v>
      </c>
      <c r="T22" s="60" t="n">
        <f aca="false">IF(D22="","",ROUND(SQRT(((D22+G22)*O22/100)^2+(J22*(D22+G22)*0.05992)^2),0))</f>
        <v>83</v>
      </c>
      <c r="U22" s="32" t="s">
        <v>426</v>
      </c>
    </row>
    <row r="23" customFormat="false" ht="15" hidden="false" customHeight="false" outlineLevel="0" collapsed="false">
      <c r="A23" s="32" t="s">
        <v>162</v>
      </c>
      <c r="B23" s="32" t="s">
        <v>190</v>
      </c>
      <c r="C23" s="32" t="s">
        <v>164</v>
      </c>
      <c r="D23" s="60" t="n">
        <v>401</v>
      </c>
      <c r="E23" s="60" t="n">
        <v>323</v>
      </c>
      <c r="F23" s="69" t="n">
        <f aca="false">IF(E23="","",D23-E23)</f>
        <v>78</v>
      </c>
      <c r="G23" s="60" t="n">
        <v>832</v>
      </c>
      <c r="H23" s="60" t="n">
        <v>898</v>
      </c>
      <c r="I23" s="69" t="n">
        <f aca="false">IF(H23="","",G23-H23)</f>
        <v>-66</v>
      </c>
      <c r="J23" s="40" t="n">
        <f aca="false">IF(OR(D23="",D23+G23=0),"",D23/(D23+G23))</f>
        <v>0.32522303325223</v>
      </c>
      <c r="K23" s="40" t="n">
        <f aca="false">IF(E23="","",E23/(E23+H23))</f>
        <v>0.264537264537265</v>
      </c>
      <c r="L23" s="70" t="n">
        <f aca="false">IF(OR(K23="",J23=""),"",(J23-K23)*100)</f>
        <v>6.06857687149658</v>
      </c>
      <c r="M23" s="36" t="n">
        <v>3.62720814427021</v>
      </c>
      <c r="N23" s="36" t="n">
        <v>1.47713199434252</v>
      </c>
      <c r="O23" s="36" t="n">
        <f aca="false">SQRT(M23^2+N23^2)</f>
        <v>3.91644709533659</v>
      </c>
      <c r="P23" s="40" t="n">
        <f aca="false">IF(J23="","",MAX(0,J23-1.96*O23/100))</f>
        <v>0.248460670183633</v>
      </c>
      <c r="Q23" s="40" t="n">
        <f aca="false">IF(J23="","",MIN(1,J23+1.96*O23/100))</f>
        <v>0.401985396320828</v>
      </c>
      <c r="R23" s="32" t="str">
        <f aca="false">IF(L23="","",IF(ABS(L23)&lt;=O23,"Yes","No"))</f>
        <v>No</v>
      </c>
      <c r="S23" s="32" t="str">
        <f aca="false">IF(L23="","",IF(ABS(L23)&lt;=1.96*O23,"Yes","No"))</f>
        <v>Yes</v>
      </c>
      <c r="T23" s="60" t="n">
        <f aca="false">IF(D23="","",ROUND(SQRT(((D23+G23)*O23/100)^2+(J23*(D23+G23)*0.07717)^2),0))</f>
        <v>57</v>
      </c>
      <c r="U23" s="32" t="s">
        <v>426</v>
      </c>
    </row>
    <row r="24" customFormat="false" ht="15" hidden="false" customHeight="false" outlineLevel="0" collapsed="false">
      <c r="A24" s="32" t="s">
        <v>162</v>
      </c>
      <c r="B24" s="32" t="s">
        <v>191</v>
      </c>
      <c r="C24" s="32" t="s">
        <v>164</v>
      </c>
      <c r="D24" s="60" t="n">
        <v>82</v>
      </c>
      <c r="E24" s="60" t="n">
        <v>62</v>
      </c>
      <c r="F24" s="69" t="n">
        <f aca="false">IF(E24="","",D24-E24)</f>
        <v>20</v>
      </c>
      <c r="G24" s="60" t="n">
        <v>92</v>
      </c>
      <c r="H24" s="60" t="n">
        <v>91</v>
      </c>
      <c r="I24" s="69" t="n">
        <f aca="false">IF(H24="","",G24-H24)</f>
        <v>1</v>
      </c>
      <c r="J24" s="40" t="n">
        <f aca="false">IF(OR(D24="",D24+G24=0),"",D24/(D24+G24))</f>
        <v>0.471264367816092</v>
      </c>
      <c r="K24" s="40" t="n">
        <f aca="false">IF(E24="","",E24/(E24+H24))</f>
        <v>0.405228758169935</v>
      </c>
      <c r="L24" s="70" t="n">
        <f aca="false">IF(OR(K24="",J24=""),"",(J24-K24)*100)</f>
        <v>6.60356096461573</v>
      </c>
      <c r="M24" s="36" t="n">
        <v>3.62720814427021</v>
      </c>
      <c r="N24" s="36" t="n">
        <v>1.47713199434252</v>
      </c>
      <c r="O24" s="36" t="n">
        <f aca="false">SQRT(M24^2+N24^2)</f>
        <v>3.91644709533659</v>
      </c>
      <c r="P24" s="40" t="n">
        <f aca="false">IF(J24="","",MAX(0,J24-1.96*O24/100))</f>
        <v>0.394502004747495</v>
      </c>
      <c r="Q24" s="40" t="n">
        <f aca="false">IF(J24="","",MIN(1,J24+1.96*O24/100))</f>
        <v>0.548026730884689</v>
      </c>
      <c r="R24" s="32" t="str">
        <f aca="false">IF(L24="","",IF(ABS(L24)&lt;=O24,"Yes","No"))</f>
        <v>No</v>
      </c>
      <c r="S24" s="32" t="str">
        <f aca="false">IF(L24="","",IF(ABS(L24)&lt;=1.96*O24,"Yes","No"))</f>
        <v>Yes</v>
      </c>
      <c r="T24" s="60" t="n">
        <f aca="false">IF(D24="","",ROUND(SQRT(((D24+G24)*O24/100)^2+(J24*(D24+G24)*0.07717)^2),0))</f>
        <v>9</v>
      </c>
      <c r="U24" s="32" t="s">
        <v>426</v>
      </c>
    </row>
    <row r="25" customFormat="false" ht="15" hidden="false" customHeight="false" outlineLevel="0" collapsed="false">
      <c r="A25" s="32" t="s">
        <v>192</v>
      </c>
      <c r="B25" s="32" t="s">
        <v>193</v>
      </c>
      <c r="C25" s="32" t="s">
        <v>164</v>
      </c>
      <c r="D25" s="60" t="n">
        <v>712</v>
      </c>
      <c r="E25" s="60" t="n">
        <v>644</v>
      </c>
      <c r="F25" s="69" t="n">
        <f aca="false">IF(E25="","",D25-E25)</f>
        <v>68</v>
      </c>
      <c r="G25" s="60" t="n">
        <v>621</v>
      </c>
      <c r="H25" s="60" t="n">
        <v>735</v>
      </c>
      <c r="I25" s="69" t="n">
        <f aca="false">IF(H25="","",G25-H25)</f>
        <v>-114</v>
      </c>
      <c r="J25" s="40" t="n">
        <f aca="false">IF(OR(D25="",D25+G25=0),"",D25/(D25+G25))</f>
        <v>0.534133533383346</v>
      </c>
      <c r="K25" s="40" t="n">
        <f aca="false">IF(E25="","",E25/(E25+H25))</f>
        <v>0.467005076142132</v>
      </c>
      <c r="L25" s="70" t="n">
        <f aca="false">IF(OR(K25="",J25=""),"",(J25-K25)*100)</f>
        <v>6.71284572412138</v>
      </c>
      <c r="M25" s="36" t="n">
        <v>3.62720814427021</v>
      </c>
      <c r="N25" s="36" t="n">
        <v>1.47713199434252</v>
      </c>
      <c r="O25" s="36" t="n">
        <f aca="false">SQRT(M25^2+N25^2)</f>
        <v>3.91644709533659</v>
      </c>
      <c r="P25" s="40" t="n">
        <f aca="false">IF(J25="","",MAX(0,J25-1.96*O25/100))</f>
        <v>0.457371170314749</v>
      </c>
      <c r="Q25" s="40" t="n">
        <f aca="false">IF(J25="","",MIN(1,J25+1.96*O25/100))</f>
        <v>0.610895896451943</v>
      </c>
      <c r="R25" s="32" t="str">
        <f aca="false">IF(L25="","",IF(ABS(L25)&lt;=O25,"Yes","No"))</f>
        <v>No</v>
      </c>
      <c r="S25" s="32" t="str">
        <f aca="false">IF(L25="","",IF(ABS(L25)&lt;=1.96*O25,"Yes","No"))</f>
        <v>Yes</v>
      </c>
      <c r="T25" s="60" t="n">
        <f aca="false">IF(D25="","",ROUND(SQRT(((D25+G25)*O25/100)^2+(J25*(D25+G25)*0.07717)^2),0))</f>
        <v>76</v>
      </c>
      <c r="U25" s="32"/>
    </row>
    <row r="26" customFormat="false" ht="15" hidden="false" customHeight="false" outlineLevel="0" collapsed="false">
      <c r="A26" s="32" t="s">
        <v>192</v>
      </c>
      <c r="B26" s="32" t="s">
        <v>194</v>
      </c>
      <c r="C26" s="32" t="s">
        <v>164</v>
      </c>
      <c r="D26" s="60" t="n">
        <v>28498</v>
      </c>
      <c r="E26" s="60" t="n">
        <v>27952</v>
      </c>
      <c r="F26" s="69" t="n">
        <f aca="false">IF(E26="","",D26-E26)</f>
        <v>546</v>
      </c>
      <c r="G26" s="60" t="n">
        <v>11868</v>
      </c>
      <c r="H26" s="60" t="n">
        <v>12938</v>
      </c>
      <c r="I26" s="69" t="n">
        <f aca="false">IF(H26="","",G26-H26)</f>
        <v>-1070</v>
      </c>
      <c r="J26" s="40" t="n">
        <f aca="false">IF(OR(D26="",D26+G26=0),"",D26/(D26+G26))</f>
        <v>0.705990189763663</v>
      </c>
      <c r="K26" s="40" t="n">
        <f aca="false">IF(E26="","",E26/(E26+H26))</f>
        <v>0.6835901198337</v>
      </c>
      <c r="L26" s="70" t="n">
        <f aca="false">IF(OR(K26="",J26=""),"",(J26-K26)*100)</f>
        <v>2.24000699299622</v>
      </c>
      <c r="M26" s="36" t="n">
        <v>2.09596675951885</v>
      </c>
      <c r="N26" s="36" t="n">
        <v>1.47713199434252</v>
      </c>
      <c r="O26" s="36" t="n">
        <f aca="false">SQRT(M26^2+N26^2)</f>
        <v>2.56417542023128</v>
      </c>
      <c r="P26" s="40" t="n">
        <f aca="false">IF(J26="","",MAX(0,J26-1.96*O26/100))</f>
        <v>0.655732351527129</v>
      </c>
      <c r="Q26" s="40" t="n">
        <f aca="false">IF(J26="","",MIN(1,J26+1.96*O26/100))</f>
        <v>0.756248028000196</v>
      </c>
      <c r="R26" s="32" t="str">
        <f aca="false">IF(L26="","",IF(ABS(L26)&lt;=O26,"Yes","No"))</f>
        <v>Yes</v>
      </c>
      <c r="S26" s="32" t="str">
        <f aca="false">IF(L26="","",IF(ABS(L26)&lt;=1.96*O26,"Yes","No"))</f>
        <v>Yes</v>
      </c>
      <c r="T26" s="60" t="n">
        <f aca="false">IF(D26="","",ROUND(SQRT(((D26+G26)*O26/100)^2+(J26*(D26+G26)*0.05437)^2),0))</f>
        <v>1863</v>
      </c>
      <c r="U26" s="32"/>
    </row>
    <row r="27" customFormat="false" ht="15" hidden="false" customHeight="false" outlineLevel="0" collapsed="false">
      <c r="A27" s="32" t="s">
        <v>192</v>
      </c>
      <c r="B27" s="32" t="s">
        <v>195</v>
      </c>
      <c r="C27" s="32" t="s">
        <v>164</v>
      </c>
      <c r="D27" s="60" t="n">
        <v>6641</v>
      </c>
      <c r="E27" s="60" t="n">
        <v>6475</v>
      </c>
      <c r="F27" s="69" t="n">
        <f aca="false">IF(E27="","",D27-E27)</f>
        <v>166</v>
      </c>
      <c r="G27" s="60" t="n">
        <v>3431</v>
      </c>
      <c r="H27" s="60" t="n">
        <v>3784</v>
      </c>
      <c r="I27" s="69" t="n">
        <f aca="false">IF(H27="","",G27-H27)</f>
        <v>-353</v>
      </c>
      <c r="J27" s="40" t="n">
        <f aca="false">IF(OR(D27="",D27+G27=0),"",D27/(D27+G27))</f>
        <v>0.659352660841938</v>
      </c>
      <c r="K27" s="40" t="n">
        <f aca="false">IF(E27="","",E27/(E27+H27))</f>
        <v>0.631153133833707</v>
      </c>
      <c r="L27" s="70" t="n">
        <f aca="false">IF(OR(K27="",J27=""),"",(J27-K27)*100)</f>
        <v>2.8199527008231</v>
      </c>
      <c r="M27" s="36" t="n">
        <v>2.09596675951885</v>
      </c>
      <c r="N27" s="36" t="n">
        <v>1.47713199434252</v>
      </c>
      <c r="O27" s="36" t="n">
        <f aca="false">SQRT(M27^2+N27^2)</f>
        <v>2.56417542023128</v>
      </c>
      <c r="P27" s="40" t="n">
        <f aca="false">IF(J27="","",MAX(0,J27-1.96*O27/100))</f>
        <v>0.609094822605405</v>
      </c>
      <c r="Q27" s="40" t="n">
        <f aca="false">IF(J27="","",MIN(1,J27+1.96*O27/100))</f>
        <v>0.709610499078471</v>
      </c>
      <c r="R27" s="32" t="str">
        <f aca="false">IF(L27="","",IF(ABS(L27)&lt;=O27,"Yes","No"))</f>
        <v>No</v>
      </c>
      <c r="S27" s="32" t="str">
        <f aca="false">IF(L27="","",IF(ABS(L27)&lt;=1.96*O27,"Yes","No"))</f>
        <v>Yes</v>
      </c>
      <c r="T27" s="60" t="n">
        <f aca="false">IF(D27="","",ROUND(SQRT(((D27+G27)*O27/100)^2+(J27*(D27+G27)*0.05437)^2),0))</f>
        <v>444</v>
      </c>
      <c r="U27" s="32"/>
    </row>
    <row r="28" customFormat="false" ht="15" hidden="false" customHeight="false" outlineLevel="0" collapsed="false">
      <c r="A28" s="32" t="s">
        <v>192</v>
      </c>
      <c r="B28" s="32" t="s">
        <v>196</v>
      </c>
      <c r="C28" s="32" t="s">
        <v>164</v>
      </c>
      <c r="D28" s="60" t="n">
        <v>1741</v>
      </c>
      <c r="E28" s="60" t="n">
        <v>1582</v>
      </c>
      <c r="F28" s="69" t="n">
        <f aca="false">IF(E28="","",D28-E28)</f>
        <v>159</v>
      </c>
      <c r="G28" s="60" t="n">
        <v>1302</v>
      </c>
      <c r="H28" s="60" t="n">
        <v>1496</v>
      </c>
      <c r="I28" s="69" t="n">
        <f aca="false">IF(H28="","",G28-H28)</f>
        <v>-194</v>
      </c>
      <c r="J28" s="40" t="n">
        <f aca="false">IF(OR(D28="",D28+G28=0),"",D28/(D28+G28))</f>
        <v>0.572132763720013</v>
      </c>
      <c r="K28" s="40" t="n">
        <f aca="false">IF(E28="","",E28/(E28+H28))</f>
        <v>0.513970110461339</v>
      </c>
      <c r="L28" s="70" t="n">
        <f aca="false">IF(OR(K28="",J28=""),"",(J28-K28)*100)</f>
        <v>5.81626532586745</v>
      </c>
      <c r="M28" s="36" t="n">
        <v>1.74942827115577</v>
      </c>
      <c r="N28" s="36" t="n">
        <v>1.47713199434252</v>
      </c>
      <c r="O28" s="36" t="n">
        <f aca="false">SQRT(M28^2+N28^2)</f>
        <v>2.28963276632507</v>
      </c>
      <c r="P28" s="40" t="n">
        <f aca="false">IF(J28="","",MAX(0,J28-1.96*O28/100))</f>
        <v>0.527255961500042</v>
      </c>
      <c r="Q28" s="40" t="n">
        <f aca="false">IF(J28="","",MIN(1,J28+1.96*O28/100))</f>
        <v>0.617009565939984</v>
      </c>
      <c r="R28" s="32" t="str">
        <f aca="false">IF(L28="","",IF(ABS(L28)&lt;=O28,"Yes","No"))</f>
        <v>No</v>
      </c>
      <c r="S28" s="32" t="str">
        <f aca="false">IF(L28="","",IF(ABS(L28)&lt;=1.96*O28,"Yes","No"))</f>
        <v>No</v>
      </c>
      <c r="T28" s="60" t="n">
        <f aca="false">IF(D28="","",ROUND(SQRT(((D28+G28)*O28/100)^2+(J28*(D28+G28)*0.05992)^2),0))</f>
        <v>125</v>
      </c>
      <c r="U28" s="32"/>
    </row>
    <row r="29" customFormat="false" ht="15" hidden="false" customHeight="false" outlineLevel="0" collapsed="false">
      <c r="A29" s="32" t="s">
        <v>192</v>
      </c>
      <c r="B29" s="32" t="s">
        <v>197</v>
      </c>
      <c r="C29" s="32" t="s">
        <v>164</v>
      </c>
      <c r="D29" s="60" t="n">
        <v>773</v>
      </c>
      <c r="E29" s="60" t="n">
        <v>704</v>
      </c>
      <c r="F29" s="69" t="n">
        <f aca="false">IF(E29="","",D29-E29)</f>
        <v>69</v>
      </c>
      <c r="G29" s="60" t="n">
        <v>692</v>
      </c>
      <c r="H29" s="60" t="n">
        <v>791</v>
      </c>
      <c r="I29" s="69" t="n">
        <f aca="false">IF(H29="","",G29-H29)</f>
        <v>-99</v>
      </c>
      <c r="J29" s="40" t="n">
        <f aca="false">IF(OR(D29="",D29+G29=0),"",D29/(D29+G29))</f>
        <v>0.527645051194539</v>
      </c>
      <c r="K29" s="40" t="n">
        <f aca="false">IF(E29="","",E29/(E29+H29))</f>
        <v>0.470903010033445</v>
      </c>
      <c r="L29" s="70" t="n">
        <f aca="false">IF(OR(K29="",J29=""),"",(J29-K29)*100)</f>
        <v>5.67420411610944</v>
      </c>
      <c r="M29" s="36" t="n">
        <v>3.62720814427021</v>
      </c>
      <c r="N29" s="36" t="n">
        <v>1.47713199434252</v>
      </c>
      <c r="O29" s="36" t="n">
        <f aca="false">SQRT(M29^2+N29^2)</f>
        <v>3.91644709533659</v>
      </c>
      <c r="P29" s="40" t="n">
        <f aca="false">IF(J29="","",MAX(0,J29-1.96*O29/100))</f>
        <v>0.450882688125942</v>
      </c>
      <c r="Q29" s="40" t="n">
        <f aca="false">IF(J29="","",MIN(1,J29+1.96*O29/100))</f>
        <v>0.604407414263136</v>
      </c>
      <c r="R29" s="32" t="str">
        <f aca="false">IF(L29="","",IF(ABS(L29)&lt;=O29,"Yes","No"))</f>
        <v>No</v>
      </c>
      <c r="S29" s="32" t="str">
        <f aca="false">IF(L29="","",IF(ABS(L29)&lt;=1.96*O29,"Yes","No"))</f>
        <v>Yes</v>
      </c>
      <c r="T29" s="60" t="n">
        <f aca="false">IF(D29="","",ROUND(SQRT(((D29+G29)*O29/100)^2+(J29*(D29+G29)*0.07717)^2),0))</f>
        <v>83</v>
      </c>
      <c r="U29" s="32"/>
    </row>
    <row r="30" customFormat="false" ht="15" hidden="false" customHeight="false" outlineLevel="0" collapsed="false">
      <c r="A30" s="32" t="s">
        <v>192</v>
      </c>
      <c r="B30" s="32" t="s">
        <v>198</v>
      </c>
      <c r="C30" s="32" t="s">
        <v>164</v>
      </c>
      <c r="D30" s="60" t="n">
        <v>950</v>
      </c>
      <c r="E30" s="60" t="n">
        <v>878</v>
      </c>
      <c r="F30" s="69" t="n">
        <f aca="false">IF(E30="","",D30-E30)</f>
        <v>72</v>
      </c>
      <c r="G30" s="60" t="n">
        <v>760</v>
      </c>
      <c r="H30" s="60" t="n">
        <v>870</v>
      </c>
      <c r="I30" s="69" t="n">
        <f aca="false">IF(H30="","",G30-H30)</f>
        <v>-110</v>
      </c>
      <c r="J30" s="40" t="n">
        <f aca="false">IF(OR(D30="",D30+G30=0),"",D30/(D30+G30))</f>
        <v>0.555555555555556</v>
      </c>
      <c r="K30" s="40" t="n">
        <f aca="false">IF(E30="","",E30/(E30+H30))</f>
        <v>0.502288329519451</v>
      </c>
      <c r="L30" s="70" t="n">
        <f aca="false">IF(OR(K30="",J30=""),"",(J30-K30)*100)</f>
        <v>5.32672260361048</v>
      </c>
      <c r="M30" s="36" t="n">
        <v>1.74942827115577</v>
      </c>
      <c r="N30" s="36" t="n">
        <v>1.47713199434252</v>
      </c>
      <c r="O30" s="36" t="n">
        <f aca="false">SQRT(M30^2+N30^2)</f>
        <v>2.28963276632507</v>
      </c>
      <c r="P30" s="40" t="n">
        <f aca="false">IF(J30="","",MAX(0,J30-1.96*O30/100))</f>
        <v>0.510678753335584</v>
      </c>
      <c r="Q30" s="40" t="n">
        <f aca="false">IF(J30="","",MIN(1,J30+1.96*O30/100))</f>
        <v>0.600432357775527</v>
      </c>
      <c r="R30" s="32" t="str">
        <f aca="false">IF(L30="","",IF(ABS(L30)&lt;=O30,"Yes","No"))</f>
        <v>No</v>
      </c>
      <c r="S30" s="32" t="str">
        <f aca="false">IF(L30="","",IF(ABS(L30)&lt;=1.96*O30,"Yes","No"))</f>
        <v>No</v>
      </c>
      <c r="T30" s="60" t="n">
        <f aca="false">IF(D30="","",ROUND(SQRT(((D30+G30)*O30/100)^2+(J30*(D30+G30)*0.05992)^2),0))</f>
        <v>69</v>
      </c>
      <c r="U30" s="32"/>
    </row>
    <row r="31" customFormat="false" ht="15" hidden="false" customHeight="false" outlineLevel="0" collapsed="false">
      <c r="A31" s="32" t="s">
        <v>192</v>
      </c>
      <c r="B31" s="32" t="s">
        <v>199</v>
      </c>
      <c r="C31" s="32" t="s">
        <v>164</v>
      </c>
      <c r="D31" s="60" t="n">
        <v>3615</v>
      </c>
      <c r="E31" s="60" t="n">
        <v>3393</v>
      </c>
      <c r="F31" s="69" t="n">
        <f aca="false">IF(E31="","",D31-E31)</f>
        <v>222</v>
      </c>
      <c r="G31" s="60" t="n">
        <v>2894</v>
      </c>
      <c r="H31" s="60" t="n">
        <v>3078</v>
      </c>
      <c r="I31" s="69" t="n">
        <f aca="false">IF(H31="","",G31-H31)</f>
        <v>-184</v>
      </c>
      <c r="J31" s="40" t="n">
        <f aca="false">IF(OR(D31="",D31+G31=0),"",D31/(D31+G31))</f>
        <v>0.555384851743739</v>
      </c>
      <c r="K31" s="40" t="n">
        <f aca="false">IF(E31="","",E31/(E31+H31))</f>
        <v>0.524339360222531</v>
      </c>
      <c r="L31" s="70" t="n">
        <f aca="false">IF(OR(K31="",J31=""),"",(J31-K31)*100)</f>
        <v>3.10454915212082</v>
      </c>
      <c r="M31" s="36" t="n">
        <v>2.09596675951885</v>
      </c>
      <c r="N31" s="36" t="n">
        <v>1.47713199434252</v>
      </c>
      <c r="O31" s="36" t="n">
        <f aca="false">SQRT(M31^2+N31^2)</f>
        <v>2.56417542023128</v>
      </c>
      <c r="P31" s="40" t="n">
        <f aca="false">IF(J31="","",MAX(0,J31-1.96*O31/100))</f>
        <v>0.505127013507206</v>
      </c>
      <c r="Q31" s="40" t="n">
        <f aca="false">IF(J31="","",MIN(1,J31+1.96*O31/100))</f>
        <v>0.605642689980273</v>
      </c>
      <c r="R31" s="32" t="str">
        <f aca="false">IF(L31="","",IF(ABS(L31)&lt;=O31,"Yes","No"))</f>
        <v>No</v>
      </c>
      <c r="S31" s="32" t="str">
        <f aca="false">IF(L31="","",IF(ABS(L31)&lt;=1.96*O31,"Yes","No"))</f>
        <v>Yes</v>
      </c>
      <c r="T31" s="60" t="n">
        <f aca="false">IF(D31="","",ROUND(SQRT(((D31+G31)*O31/100)^2+(J31*(D31+G31)*0.05437)^2),0))</f>
        <v>258</v>
      </c>
      <c r="U31" s="32"/>
    </row>
    <row r="32" customFormat="false" ht="15" hidden="false" customHeight="false" outlineLevel="0" collapsed="false">
      <c r="A32" s="32" t="s">
        <v>192</v>
      </c>
      <c r="B32" s="32" t="s">
        <v>200</v>
      </c>
      <c r="C32" s="32" t="s">
        <v>164</v>
      </c>
      <c r="D32" s="60" t="n">
        <v>1470</v>
      </c>
      <c r="E32" s="60" t="n">
        <v>1481</v>
      </c>
      <c r="F32" s="69" t="n">
        <f aca="false">IF(E32="","",D32-E32)</f>
        <v>-11</v>
      </c>
      <c r="G32" s="60" t="n">
        <v>639</v>
      </c>
      <c r="H32" s="60" t="n">
        <v>737</v>
      </c>
      <c r="I32" s="69" t="n">
        <f aca="false">IF(H32="","",G32-H32)</f>
        <v>-98</v>
      </c>
      <c r="J32" s="40" t="n">
        <f aca="false">IF(OR(D32="",D32+G32=0),"",D32/(D32+G32))</f>
        <v>0.69701280227596</v>
      </c>
      <c r="K32" s="40" t="n">
        <f aca="false">IF(E32="","",E32/(E32+H32))</f>
        <v>0.667718665464382</v>
      </c>
      <c r="L32" s="70" t="n">
        <f aca="false">IF(OR(K32="",J32=""),"",(J32-K32)*100)</f>
        <v>2.92941368115779</v>
      </c>
      <c r="M32" s="36" t="n">
        <v>1.74942827115577</v>
      </c>
      <c r="N32" s="36" t="n">
        <v>1.47713199434252</v>
      </c>
      <c r="O32" s="36" t="n">
        <f aca="false">SQRT(M32^2+N32^2)</f>
        <v>2.28963276632507</v>
      </c>
      <c r="P32" s="40" t="n">
        <f aca="false">IF(J32="","",MAX(0,J32-1.96*O32/100))</f>
        <v>0.652136000055989</v>
      </c>
      <c r="Q32" s="40" t="n">
        <f aca="false">IF(J32="","",MIN(1,J32+1.96*O32/100))</f>
        <v>0.741889604495931</v>
      </c>
      <c r="R32" s="32" t="str">
        <f aca="false">IF(L32="","",IF(ABS(L32)&lt;=O32,"Yes","No"))</f>
        <v>No</v>
      </c>
      <c r="S32" s="32" t="str">
        <f aca="false">IF(L32="","",IF(ABS(L32)&lt;=1.96*O32,"Yes","No"))</f>
        <v>Yes</v>
      </c>
      <c r="T32" s="60" t="n">
        <f aca="false">IF(D32="","",ROUND(SQRT(((D32+G32)*O32/100)^2+(J32*(D32+G32)*0.05992)^2),0))</f>
        <v>100</v>
      </c>
      <c r="U32" s="32"/>
    </row>
    <row r="33" customFormat="false" ht="15" hidden="false" customHeight="false" outlineLevel="0" collapsed="false">
      <c r="A33" s="32" t="s">
        <v>192</v>
      </c>
      <c r="B33" s="32" t="s">
        <v>201</v>
      </c>
      <c r="C33" s="32" t="s">
        <v>164</v>
      </c>
      <c r="D33" s="60" t="n">
        <v>403</v>
      </c>
      <c r="E33" s="60" t="n">
        <v>405</v>
      </c>
      <c r="F33" s="69" t="n">
        <f aca="false">IF(E33="","",D33-E33)</f>
        <v>-2</v>
      </c>
      <c r="G33" s="60" t="n">
        <v>277</v>
      </c>
      <c r="H33" s="60" t="n">
        <v>304</v>
      </c>
      <c r="I33" s="69" t="n">
        <f aca="false">IF(H33="","",G33-H33)</f>
        <v>-27</v>
      </c>
      <c r="J33" s="40" t="n">
        <f aca="false">IF(OR(D33="",D33+G33=0),"",D33/(D33+G33))</f>
        <v>0.592647058823529</v>
      </c>
      <c r="K33" s="40" t="n">
        <f aca="false">IF(E33="","",E33/(E33+H33))</f>
        <v>0.571227080394922</v>
      </c>
      <c r="L33" s="70" t="n">
        <f aca="false">IF(OR(K33="",J33=""),"",(J33-K33)*100)</f>
        <v>2.1419978428607</v>
      </c>
      <c r="M33" s="36" t="n">
        <v>3.62720814427021</v>
      </c>
      <c r="N33" s="36" t="n">
        <v>1.47713199434252</v>
      </c>
      <c r="O33" s="36" t="n">
        <f aca="false">SQRT(M33^2+N33^2)</f>
        <v>3.91644709533659</v>
      </c>
      <c r="P33" s="40" t="n">
        <f aca="false">IF(J33="","",MAX(0,J33-1.96*O33/100))</f>
        <v>0.515884695754932</v>
      </c>
      <c r="Q33" s="40" t="n">
        <f aca="false">IF(J33="","",MIN(1,J33+1.96*O33/100))</f>
        <v>0.669409421892127</v>
      </c>
      <c r="R33" s="32" t="str">
        <f aca="false">IF(L33="","",IF(ABS(L33)&lt;=O33,"Yes","No"))</f>
        <v>Yes</v>
      </c>
      <c r="S33" s="32" t="str">
        <f aca="false">IF(L33="","",IF(ABS(L33)&lt;=1.96*O33,"Yes","No"))</f>
        <v>Yes</v>
      </c>
      <c r="T33" s="60" t="n">
        <f aca="false">IF(D33="","",ROUND(SQRT(((D33+G33)*O33/100)^2+(J33*(D33+G33)*0.07717)^2),0))</f>
        <v>41</v>
      </c>
      <c r="U33" s="32"/>
    </row>
    <row r="34" customFormat="false" ht="15" hidden="false" customHeight="false" outlineLevel="0" collapsed="false">
      <c r="A34" s="32" t="s">
        <v>192</v>
      </c>
      <c r="B34" s="32" t="s">
        <v>202</v>
      </c>
      <c r="C34" s="32" t="s">
        <v>164</v>
      </c>
      <c r="D34" s="60" t="n">
        <v>698</v>
      </c>
      <c r="E34" s="60" t="n">
        <v>602</v>
      </c>
      <c r="F34" s="69" t="n">
        <f aca="false">IF(E34="","",D34-E34)</f>
        <v>96</v>
      </c>
      <c r="G34" s="60" t="n">
        <v>1280</v>
      </c>
      <c r="H34" s="60" t="n">
        <v>1339</v>
      </c>
      <c r="I34" s="69" t="n">
        <f aca="false">IF(H34="","",G34-H34)</f>
        <v>-59</v>
      </c>
      <c r="J34" s="40" t="n">
        <f aca="false">IF(OR(D34="",D34+G34=0),"",D34/(D34+G34))</f>
        <v>0.352881698685541</v>
      </c>
      <c r="K34" s="40" t="n">
        <f aca="false">IF(E34="","",E34/(E34+H34))</f>
        <v>0.310149407521896</v>
      </c>
      <c r="L34" s="70" t="n">
        <f aca="false">IF(OR(K34="",J34=""),"",(J34-K34)*100)</f>
        <v>4.2732291163645</v>
      </c>
      <c r="M34" s="36" t="n">
        <v>1.74942827115577</v>
      </c>
      <c r="N34" s="36" t="n">
        <v>1.47713199434252</v>
      </c>
      <c r="O34" s="36" t="n">
        <f aca="false">SQRT(M34^2+N34^2)</f>
        <v>2.28963276632507</v>
      </c>
      <c r="P34" s="40" t="n">
        <f aca="false">IF(J34="","",MAX(0,J34-1.96*O34/100))</f>
        <v>0.30800489646557</v>
      </c>
      <c r="Q34" s="40" t="n">
        <f aca="false">IF(J34="","",MIN(1,J34+1.96*O34/100))</f>
        <v>0.397758500905512</v>
      </c>
      <c r="R34" s="32" t="str">
        <f aca="false">IF(L34="","",IF(ABS(L34)&lt;=O34,"Yes","No"))</f>
        <v>No</v>
      </c>
      <c r="S34" s="32" t="str">
        <f aca="false">IF(L34="","",IF(ABS(L34)&lt;=1.96*O34,"Yes","No"))</f>
        <v>Yes</v>
      </c>
      <c r="T34" s="60" t="n">
        <f aca="false">IF(D34="","",ROUND(SQRT(((D34+G34)*O34/100)^2+(J34*(D34+G34)*0.05992)^2),0))</f>
        <v>62</v>
      </c>
      <c r="U34" s="32"/>
    </row>
    <row r="35" customFormat="false" ht="15" hidden="false" customHeight="false" outlineLevel="0" collapsed="false">
      <c r="A35" s="32" t="s">
        <v>192</v>
      </c>
      <c r="B35" s="32" t="s">
        <v>203</v>
      </c>
      <c r="C35" s="32" t="s">
        <v>164</v>
      </c>
      <c r="D35" s="60" t="n">
        <v>9958</v>
      </c>
      <c r="E35" s="60" t="n">
        <v>9782</v>
      </c>
      <c r="F35" s="69" t="n">
        <f aca="false">IF(E35="","",D35-E35)</f>
        <v>176</v>
      </c>
      <c r="G35" s="60" t="n">
        <v>9629</v>
      </c>
      <c r="H35" s="60" t="n">
        <v>10014</v>
      </c>
      <c r="I35" s="69" t="n">
        <f aca="false">IF(H35="","",G35-H35)</f>
        <v>-385</v>
      </c>
      <c r="J35" s="40" t="n">
        <f aca="false">IF(OR(D35="",D35+G35=0),"",D35/(D35+G35))</f>
        <v>0.508398427528463</v>
      </c>
      <c r="K35" s="40" t="n">
        <f aca="false">IF(E35="","",E35/(E35+H35))</f>
        <v>0.494140230349566</v>
      </c>
      <c r="L35" s="70" t="n">
        <f aca="false">IF(OR(K35="",J35=""),"",(J35-K35)*100)</f>
        <v>1.42581971788972</v>
      </c>
      <c r="M35" s="36" t="n">
        <v>2.09596675951885</v>
      </c>
      <c r="N35" s="36" t="n">
        <v>1.47713199434252</v>
      </c>
      <c r="O35" s="36" t="n">
        <f aca="false">SQRT(M35^2+N35^2)</f>
        <v>2.56417542023128</v>
      </c>
      <c r="P35" s="40" t="n">
        <f aca="false">IF(J35="","",MAX(0,J35-1.96*O35/100))</f>
        <v>0.45814058929193</v>
      </c>
      <c r="Q35" s="40" t="n">
        <f aca="false">IF(J35="","",MIN(1,J35+1.96*O35/100))</f>
        <v>0.558656265764996</v>
      </c>
      <c r="R35" s="32" t="str">
        <f aca="false">IF(L35="","",IF(ABS(L35)&lt;=O35,"Yes","No"))</f>
        <v>Yes</v>
      </c>
      <c r="S35" s="32" t="str">
        <f aca="false">IF(L35="","",IF(ABS(L35)&lt;=1.96*O35,"Yes","No"))</f>
        <v>Yes</v>
      </c>
      <c r="T35" s="60" t="n">
        <f aca="false">IF(D35="","",ROUND(SQRT(((D35+G35)*O35/100)^2+(J35*(D35+G35)*0.05437)^2),0))</f>
        <v>738</v>
      </c>
      <c r="U35" s="32"/>
    </row>
    <row r="36" customFormat="false" ht="15" hidden="false" customHeight="false" outlineLevel="0" collapsed="false">
      <c r="A36" s="32" t="s">
        <v>192</v>
      </c>
      <c r="B36" s="32" t="s">
        <v>204</v>
      </c>
      <c r="C36" s="32" t="s">
        <v>164</v>
      </c>
      <c r="D36" s="60" t="n">
        <v>967</v>
      </c>
      <c r="E36" s="60" t="n">
        <v>920</v>
      </c>
      <c r="F36" s="69" t="n">
        <f aca="false">IF(E36="","",D36-E36)</f>
        <v>47</v>
      </c>
      <c r="G36" s="60" t="n">
        <v>1520</v>
      </c>
      <c r="H36" s="60" t="n">
        <v>1596</v>
      </c>
      <c r="I36" s="69" t="n">
        <f aca="false">IF(H36="","",G36-H36)</f>
        <v>-76</v>
      </c>
      <c r="J36" s="40" t="n">
        <f aca="false">IF(OR(D36="",D36+G36=0),"",D36/(D36+G36))</f>
        <v>0.388821873743466</v>
      </c>
      <c r="K36" s="40" t="n">
        <f aca="false">IF(E36="","",E36/(E36+H36))</f>
        <v>0.365659777424483</v>
      </c>
      <c r="L36" s="70" t="n">
        <f aca="false">IF(OR(K36="",J36=""),"",(J36-K36)*100)</f>
        <v>2.31620963189828</v>
      </c>
      <c r="M36" s="36" t="n">
        <v>1.74942827115577</v>
      </c>
      <c r="N36" s="36" t="n">
        <v>1.47713199434252</v>
      </c>
      <c r="O36" s="36" t="n">
        <f aca="false">SQRT(M36^2+N36^2)</f>
        <v>2.28963276632507</v>
      </c>
      <c r="P36" s="40" t="n">
        <f aca="false">IF(J36="","",MAX(0,J36-1.96*O36/100))</f>
        <v>0.343945071523495</v>
      </c>
      <c r="Q36" s="40" t="n">
        <f aca="false">IF(J36="","",MIN(1,J36+1.96*O36/100))</f>
        <v>0.433698675963437</v>
      </c>
      <c r="R36" s="32" t="str">
        <f aca="false">IF(L36="","",IF(ABS(L36)&lt;=O36,"Yes","No"))</f>
        <v>No</v>
      </c>
      <c r="S36" s="32" t="str">
        <f aca="false">IF(L36="","",IF(ABS(L36)&lt;=1.96*O36,"Yes","No"))</f>
        <v>Yes</v>
      </c>
      <c r="T36" s="60" t="n">
        <f aca="false">IF(D36="","",ROUND(SQRT(((D36+G36)*O36/100)^2+(J36*(D36+G36)*0.05992)^2),0))</f>
        <v>81</v>
      </c>
      <c r="U36" s="32"/>
    </row>
    <row r="37" customFormat="false" ht="15" hidden="false" customHeight="false" outlineLevel="0" collapsed="false">
      <c r="A37" s="32" t="s">
        <v>192</v>
      </c>
      <c r="B37" s="32" t="s">
        <v>205</v>
      </c>
      <c r="C37" s="32" t="s">
        <v>164</v>
      </c>
      <c r="D37" s="60" t="n">
        <v>538</v>
      </c>
      <c r="E37" s="60" t="n">
        <v>533</v>
      </c>
      <c r="F37" s="69" t="n">
        <f aca="false">IF(E37="","",D37-E37)</f>
        <v>5</v>
      </c>
      <c r="G37" s="60" t="n">
        <v>921</v>
      </c>
      <c r="H37" s="60" t="n">
        <v>955</v>
      </c>
      <c r="I37" s="69" t="n">
        <f aca="false">IF(H37="","",G37-H37)</f>
        <v>-34</v>
      </c>
      <c r="J37" s="40" t="n">
        <f aca="false">IF(OR(D37="",D37+G37=0),"",D37/(D37+G37))</f>
        <v>0.368745716244003</v>
      </c>
      <c r="K37" s="40" t="n">
        <f aca="false">IF(E37="","",E37/(E37+H37))</f>
        <v>0.358198924731183</v>
      </c>
      <c r="L37" s="70" t="n">
        <f aca="false">IF(OR(K37="",J37=""),"",(J37-K37)*100)</f>
        <v>1.054679151282</v>
      </c>
      <c r="M37" s="36" t="n">
        <v>3.62720814427021</v>
      </c>
      <c r="N37" s="36" t="n">
        <v>1.47713199434252</v>
      </c>
      <c r="O37" s="36" t="n">
        <f aca="false">SQRT(M37^2+N37^2)</f>
        <v>3.91644709533659</v>
      </c>
      <c r="P37" s="40" t="n">
        <f aca="false">IF(J37="","",MAX(0,J37-1.96*O37/100))</f>
        <v>0.291983353175406</v>
      </c>
      <c r="Q37" s="40" t="n">
        <f aca="false">IF(J37="","",MIN(1,J37+1.96*O37/100))</f>
        <v>0.4455080793126</v>
      </c>
      <c r="R37" s="32" t="str">
        <f aca="false">IF(L37="","",IF(ABS(L37)&lt;=O37,"Yes","No"))</f>
        <v>Yes</v>
      </c>
      <c r="S37" s="32" t="str">
        <f aca="false">IF(L37="","",IF(ABS(L37)&lt;=1.96*O37,"Yes","No"))</f>
        <v>Yes</v>
      </c>
      <c r="T37" s="60" t="n">
        <f aca="false">IF(D37="","",ROUND(SQRT(((D37+G37)*O37/100)^2+(J37*(D37+G37)*0.07717)^2),0))</f>
        <v>71</v>
      </c>
      <c r="U37" s="32"/>
    </row>
    <row r="38" customFormat="false" ht="15" hidden="false" customHeight="false" outlineLevel="0" collapsed="false">
      <c r="A38" s="32" t="s">
        <v>192</v>
      </c>
      <c r="B38" s="32" t="s">
        <v>206</v>
      </c>
      <c r="C38" s="32" t="s">
        <v>164</v>
      </c>
      <c r="D38" s="60" t="n">
        <v>876</v>
      </c>
      <c r="E38" s="60" t="n">
        <v>846</v>
      </c>
      <c r="F38" s="69" t="n">
        <f aca="false">IF(E38="","",D38-E38)</f>
        <v>30</v>
      </c>
      <c r="G38" s="60" t="n">
        <v>1760</v>
      </c>
      <c r="H38" s="60" t="n">
        <v>1783</v>
      </c>
      <c r="I38" s="69" t="n">
        <f aca="false">IF(H38="","",G38-H38)</f>
        <v>-23</v>
      </c>
      <c r="J38" s="40" t="n">
        <f aca="false">IF(OR(D38="",D38+G38=0),"",D38/(D38+G38))</f>
        <v>0.332321699544765</v>
      </c>
      <c r="K38" s="40" t="n">
        <f aca="false">IF(E38="","",E38/(E38+H38))</f>
        <v>0.321795359452263</v>
      </c>
      <c r="L38" s="70" t="n">
        <f aca="false">IF(OR(K38="",J38=""),"",(J38-K38)*100)</f>
        <v>1.05263400925016</v>
      </c>
      <c r="M38" s="36" t="n">
        <v>1.74942827115577</v>
      </c>
      <c r="N38" s="36" t="n">
        <v>1.47713199434252</v>
      </c>
      <c r="O38" s="36" t="n">
        <f aca="false">SQRT(M38^2+N38^2)</f>
        <v>2.28963276632507</v>
      </c>
      <c r="P38" s="40" t="n">
        <f aca="false">IF(J38="","",MAX(0,J38-1.96*O38/100))</f>
        <v>0.287444897324794</v>
      </c>
      <c r="Q38" s="40" t="n">
        <f aca="false">IF(J38="","",MIN(1,J38+1.96*O38/100))</f>
        <v>0.377198501764736</v>
      </c>
      <c r="R38" s="32" t="str">
        <f aca="false">IF(L38="","",IF(ABS(L38)&lt;=O38,"Yes","No"))</f>
        <v>Yes</v>
      </c>
      <c r="S38" s="32" t="str">
        <f aca="false">IF(L38="","",IF(ABS(L38)&lt;=1.96*O38,"Yes","No"))</f>
        <v>Yes</v>
      </c>
      <c r="T38" s="60" t="n">
        <f aca="false">IF(D38="","",ROUND(SQRT(((D38+G38)*O38/100)^2+(J38*(D38+G38)*0.05992)^2),0))</f>
        <v>80</v>
      </c>
      <c r="U38" s="32"/>
    </row>
    <row r="39" customFormat="false" ht="15" hidden="false" customHeight="false" outlineLevel="0" collapsed="false">
      <c r="A39" s="32" t="s">
        <v>192</v>
      </c>
      <c r="B39" s="32" t="s">
        <v>207</v>
      </c>
      <c r="C39" s="32" t="s">
        <v>164</v>
      </c>
      <c r="D39" s="60" t="n">
        <v>979</v>
      </c>
      <c r="E39" s="60" t="n">
        <v>997</v>
      </c>
      <c r="F39" s="69" t="n">
        <f aca="false">IF(E39="","",D39-E39)</f>
        <v>-18</v>
      </c>
      <c r="G39" s="60" t="n">
        <v>838</v>
      </c>
      <c r="H39" s="60" t="n">
        <v>860</v>
      </c>
      <c r="I39" s="69" t="n">
        <f aca="false">IF(H39="","",G39-H39)</f>
        <v>-22</v>
      </c>
      <c r="J39" s="40" t="n">
        <f aca="false">IF(OR(D39="",D39+G39=0),"",D39/(D39+G39))</f>
        <v>0.538800220143093</v>
      </c>
      <c r="K39" s="40" t="n">
        <f aca="false">IF(E39="","",E39/(E39+H39))</f>
        <v>0.536887452880991</v>
      </c>
      <c r="L39" s="70" t="n">
        <f aca="false">IF(OR(K39="",J39=""),"",(J39-K39)*100)</f>
        <v>0.191276726210221</v>
      </c>
      <c r="M39" s="36" t="n">
        <v>1.74942827115577</v>
      </c>
      <c r="N39" s="36" t="n">
        <v>1.47713199434252</v>
      </c>
      <c r="O39" s="36" t="n">
        <f aca="false">SQRT(M39^2+N39^2)</f>
        <v>2.28963276632507</v>
      </c>
      <c r="P39" s="40" t="n">
        <f aca="false">IF(J39="","",MAX(0,J39-1.96*O39/100))</f>
        <v>0.493923417923122</v>
      </c>
      <c r="Q39" s="40" t="n">
        <f aca="false">IF(J39="","",MIN(1,J39+1.96*O39/100))</f>
        <v>0.583677022363064</v>
      </c>
      <c r="R39" s="32" t="str">
        <f aca="false">IF(L39="","",IF(ABS(L39)&lt;=O39,"Yes","No"))</f>
        <v>Yes</v>
      </c>
      <c r="S39" s="32" t="str">
        <f aca="false">IF(L39="","",IF(ABS(L39)&lt;=1.96*O39,"Yes","No"))</f>
        <v>Yes</v>
      </c>
      <c r="T39" s="60" t="n">
        <f aca="false">IF(D39="","",ROUND(SQRT(((D39+G39)*O39/100)^2+(J39*(D39+G39)*0.05992)^2),0))</f>
        <v>72</v>
      </c>
      <c r="U39" s="32"/>
    </row>
    <row r="40" customFormat="false" ht="15" hidden="false" customHeight="false" outlineLevel="0" collapsed="false">
      <c r="A40" s="32" t="s">
        <v>192</v>
      </c>
      <c r="B40" s="32" t="s">
        <v>208</v>
      </c>
      <c r="C40" s="32" t="s">
        <v>164</v>
      </c>
      <c r="D40" s="60" t="n">
        <v>4162</v>
      </c>
      <c r="E40" s="60" t="n">
        <v>3900</v>
      </c>
      <c r="F40" s="69" t="n">
        <f aca="false">IF(E40="","",D40-E40)</f>
        <v>262</v>
      </c>
      <c r="G40" s="60" t="n">
        <v>5500</v>
      </c>
      <c r="H40" s="60" t="n">
        <v>5859</v>
      </c>
      <c r="I40" s="69" t="n">
        <f aca="false">IF(H40="","",G40-H40)</f>
        <v>-359</v>
      </c>
      <c r="J40" s="40" t="n">
        <f aca="false">IF(OR(D40="",D40+G40=0),"",D40/(D40+G40))</f>
        <v>0.43075967708549</v>
      </c>
      <c r="K40" s="40" t="n">
        <f aca="false">IF(E40="","",E40/(E40+H40))</f>
        <v>0.399631109744851</v>
      </c>
      <c r="L40" s="70" t="n">
        <f aca="false">IF(OR(K40="",J40=""),"",(J40-K40)*100)</f>
        <v>3.11285673406387</v>
      </c>
      <c r="M40" s="36" t="n">
        <v>2.09596675951885</v>
      </c>
      <c r="N40" s="36" t="n">
        <v>1.47713199434252</v>
      </c>
      <c r="O40" s="36" t="n">
        <f aca="false">SQRT(M40^2+N40^2)</f>
        <v>2.56417542023128</v>
      </c>
      <c r="P40" s="40" t="n">
        <f aca="false">IF(J40="","",MAX(0,J40-1.96*O40/100))</f>
        <v>0.380501838848957</v>
      </c>
      <c r="Q40" s="40" t="n">
        <f aca="false">IF(J40="","",MIN(1,J40+1.96*O40/100))</f>
        <v>0.481017515322023</v>
      </c>
      <c r="R40" s="32" t="str">
        <f aca="false">IF(L40="","",IF(ABS(L40)&lt;=O40,"Yes","No"))</f>
        <v>No</v>
      </c>
      <c r="S40" s="32" t="str">
        <f aca="false">IF(L40="","",IF(ABS(L40)&lt;=1.96*O40,"Yes","No"))</f>
        <v>Yes</v>
      </c>
      <c r="T40" s="60" t="n">
        <f aca="false">IF(D40="","",ROUND(SQRT(((D40+G40)*O40/100)^2+(J40*(D40+G40)*0.05437)^2),0))</f>
        <v>336</v>
      </c>
      <c r="U40" s="32"/>
    </row>
    <row r="41" customFormat="false" ht="15" hidden="false" customHeight="false" outlineLevel="0" collapsed="false">
      <c r="A41" s="32" t="s">
        <v>192</v>
      </c>
      <c r="B41" s="32" t="s">
        <v>209</v>
      </c>
      <c r="C41" s="32" t="s">
        <v>164</v>
      </c>
      <c r="D41" s="60" t="n">
        <v>4096</v>
      </c>
      <c r="E41" s="60" t="n">
        <v>4029</v>
      </c>
      <c r="F41" s="69" t="n">
        <f aca="false">IF(E41="","",D41-E41)</f>
        <v>67</v>
      </c>
      <c r="G41" s="60" t="n">
        <v>4024</v>
      </c>
      <c r="H41" s="60" t="n">
        <v>4143</v>
      </c>
      <c r="I41" s="69" t="n">
        <f aca="false">IF(H41="","",G41-H41)</f>
        <v>-119</v>
      </c>
      <c r="J41" s="40" t="n">
        <f aca="false">IF(OR(D41="",D41+G41=0),"",D41/(D41+G41))</f>
        <v>0.504433497536946</v>
      </c>
      <c r="K41" s="40" t="n">
        <f aca="false">IF(E41="","",E41/(E41+H41))</f>
        <v>0.49302496328928</v>
      </c>
      <c r="L41" s="70" t="n">
        <f aca="false">IF(OR(K41="",J41=""),"",(J41-K41)*100)</f>
        <v>1.14085342476653</v>
      </c>
      <c r="M41" s="36" t="n">
        <v>2.09596675951885</v>
      </c>
      <c r="N41" s="36" t="n">
        <v>1.47713199434252</v>
      </c>
      <c r="O41" s="36" t="n">
        <f aca="false">SQRT(M41^2+N41^2)</f>
        <v>2.56417542023128</v>
      </c>
      <c r="P41" s="40" t="n">
        <f aca="false">IF(J41="","",MAX(0,J41-1.96*O41/100))</f>
        <v>0.454175659300413</v>
      </c>
      <c r="Q41" s="40" t="n">
        <f aca="false">IF(J41="","",MIN(1,J41+1.96*O41/100))</f>
        <v>0.554691335773479</v>
      </c>
      <c r="R41" s="32" t="str">
        <f aca="false">IF(L41="","",IF(ABS(L41)&lt;=O41,"Yes","No"))</f>
        <v>Yes</v>
      </c>
      <c r="S41" s="32" t="str">
        <f aca="false">IF(L41="","",IF(ABS(L41)&lt;=1.96*O41,"Yes","No"))</f>
        <v>Yes</v>
      </c>
      <c r="T41" s="60" t="n">
        <f aca="false">IF(D41="","",ROUND(SQRT(((D41+G41)*O41/100)^2+(J41*(D41+G41)*0.05437)^2),0))</f>
        <v>305</v>
      </c>
      <c r="U41" s="32"/>
    </row>
    <row r="42" customFormat="false" ht="15" hidden="false" customHeight="false" outlineLevel="0" collapsed="false">
      <c r="A42" s="32" t="s">
        <v>192</v>
      </c>
      <c r="B42" s="32" t="s">
        <v>210</v>
      </c>
      <c r="C42" s="32" t="s">
        <v>164</v>
      </c>
      <c r="D42" s="60" t="n">
        <v>854</v>
      </c>
      <c r="E42" s="60" t="n">
        <v>748</v>
      </c>
      <c r="F42" s="69" t="n">
        <f aca="false">IF(E42="","",D42-E42)</f>
        <v>106</v>
      </c>
      <c r="G42" s="60" t="n">
        <v>1003</v>
      </c>
      <c r="H42" s="60" t="n">
        <v>1149</v>
      </c>
      <c r="I42" s="69" t="n">
        <f aca="false">IF(H42="","",G42-H42)</f>
        <v>-146</v>
      </c>
      <c r="J42" s="40" t="n">
        <f aca="false">IF(OR(D42="",D42+G42=0),"",D42/(D42+G42))</f>
        <v>0.459881529348411</v>
      </c>
      <c r="K42" s="40" t="n">
        <f aca="false">IF(E42="","",E42/(E42+H42))</f>
        <v>0.394306800210859</v>
      </c>
      <c r="L42" s="70" t="n">
        <f aca="false">IF(OR(K42="",J42=""),"",(J42-K42)*100)</f>
        <v>6.55747291375522</v>
      </c>
      <c r="M42" s="36" t="n">
        <v>1.74942827115577</v>
      </c>
      <c r="N42" s="36" t="n">
        <v>1.47713199434252</v>
      </c>
      <c r="O42" s="36" t="n">
        <f aca="false">SQRT(M42^2+N42^2)</f>
        <v>2.28963276632507</v>
      </c>
      <c r="P42" s="40" t="n">
        <f aca="false">IF(J42="","",MAX(0,J42-1.96*O42/100))</f>
        <v>0.41500472712844</v>
      </c>
      <c r="Q42" s="40" t="n">
        <f aca="false">IF(J42="","",MIN(1,J42+1.96*O42/100))</f>
        <v>0.504758331568383</v>
      </c>
      <c r="R42" s="32" t="str">
        <f aca="false">IF(L42="","",IF(ABS(L42)&lt;=O42,"Yes","No"))</f>
        <v>No</v>
      </c>
      <c r="S42" s="32" t="str">
        <f aca="false">IF(L42="","",IF(ABS(L42)&lt;=1.96*O42,"Yes","No"))</f>
        <v>No</v>
      </c>
      <c r="T42" s="60" t="n">
        <f aca="false">IF(D42="","",ROUND(SQRT(((D42+G42)*O42/100)^2+(J42*(D42+G42)*0.05992)^2),0))</f>
        <v>67</v>
      </c>
      <c r="U42" s="32"/>
    </row>
    <row r="43" customFormat="false" ht="15" hidden="false" customHeight="false" outlineLevel="0" collapsed="false">
      <c r="A43" s="32" t="s">
        <v>192</v>
      </c>
      <c r="B43" s="32" t="s">
        <v>211</v>
      </c>
      <c r="C43" s="32" t="s">
        <v>164</v>
      </c>
      <c r="D43" s="60" t="n">
        <v>6963</v>
      </c>
      <c r="E43" s="60" t="n">
        <v>6668</v>
      </c>
      <c r="F43" s="69" t="n">
        <f aca="false">IF(E43="","",D43-E43)</f>
        <v>295</v>
      </c>
      <c r="G43" s="60" t="n">
        <v>5495</v>
      </c>
      <c r="H43" s="60" t="n">
        <v>5856</v>
      </c>
      <c r="I43" s="69" t="n">
        <f aca="false">IF(H43="","",G43-H43)</f>
        <v>-361</v>
      </c>
      <c r="J43" s="40" t="n">
        <f aca="false">IF(OR(D43="",D43+G43=0),"",D43/(D43+G43))</f>
        <v>0.55891796436025</v>
      </c>
      <c r="K43" s="40" t="n">
        <f aca="false">IF(E43="","",E43/(E43+H43))</f>
        <v>0.532417757904823</v>
      </c>
      <c r="L43" s="70" t="n">
        <f aca="false">IF(OR(K43="",J43=""),"",(J43-K43)*100)</f>
        <v>2.65002064554277</v>
      </c>
      <c r="M43" s="36" t="n">
        <v>2.09596675951885</v>
      </c>
      <c r="N43" s="36" t="n">
        <v>1.47713199434252</v>
      </c>
      <c r="O43" s="36" t="n">
        <f aca="false">SQRT(M43^2+N43^2)</f>
        <v>2.56417542023128</v>
      </c>
      <c r="P43" s="40" t="n">
        <f aca="false">IF(J43="","",MAX(0,J43-1.96*O43/100))</f>
        <v>0.508660126123717</v>
      </c>
      <c r="Q43" s="40" t="n">
        <f aca="false">IF(J43="","",MIN(1,J43+1.96*O43/100))</f>
        <v>0.609175802596784</v>
      </c>
      <c r="R43" s="32" t="str">
        <f aca="false">IF(L43="","",IF(ABS(L43)&lt;=O43,"Yes","No"))</f>
        <v>No</v>
      </c>
      <c r="S43" s="32" t="str">
        <f aca="false">IF(L43="","",IF(ABS(L43)&lt;=1.96*O43,"Yes","No"))</f>
        <v>Yes</v>
      </c>
      <c r="T43" s="60" t="n">
        <f aca="false">IF(D43="","",ROUND(SQRT(((D43+G43)*O43/100)^2+(J43*(D43+G43)*0.05437)^2),0))</f>
        <v>495</v>
      </c>
      <c r="U43" s="32"/>
    </row>
    <row r="44" customFormat="false" ht="15" hidden="false" customHeight="false" outlineLevel="0" collapsed="false">
      <c r="A44" s="32" t="s">
        <v>192</v>
      </c>
      <c r="B44" s="32" t="s">
        <v>212</v>
      </c>
      <c r="C44" s="32" t="s">
        <v>164</v>
      </c>
      <c r="D44" s="60" t="n">
        <v>7542</v>
      </c>
      <c r="E44" s="60" t="n">
        <v>7495</v>
      </c>
      <c r="F44" s="69" t="n">
        <f aca="false">IF(E44="","",D44-E44)</f>
        <v>47</v>
      </c>
      <c r="G44" s="60" t="n">
        <v>6661</v>
      </c>
      <c r="H44" s="60" t="n">
        <v>7011</v>
      </c>
      <c r="I44" s="69" t="n">
        <f aca="false">IF(H44="","",G44-H44)</f>
        <v>-350</v>
      </c>
      <c r="J44" s="40" t="n">
        <f aca="false">IF(OR(D44="",D44+G44=0),"",D44/(D44+G44))</f>
        <v>0.531014574385693</v>
      </c>
      <c r="K44" s="40" t="n">
        <f aca="false">IF(E44="","",E44/(E44+H44))</f>
        <v>0.516682751964704</v>
      </c>
      <c r="L44" s="70" t="n">
        <f aca="false">IF(OR(K44="",J44=""),"",(J44-K44)*100)</f>
        <v>1.4331822420989</v>
      </c>
      <c r="M44" s="36" t="n">
        <v>2.09596675951885</v>
      </c>
      <c r="N44" s="36" t="n">
        <v>1.47713199434252</v>
      </c>
      <c r="O44" s="36" t="n">
        <f aca="false">SQRT(M44^2+N44^2)</f>
        <v>2.56417542023128</v>
      </c>
      <c r="P44" s="40" t="n">
        <f aca="false">IF(J44="","",MAX(0,J44-1.96*O44/100))</f>
        <v>0.48075673614916</v>
      </c>
      <c r="Q44" s="40" t="n">
        <f aca="false">IF(J44="","",MIN(1,J44+1.96*O44/100))</f>
        <v>0.581272412622226</v>
      </c>
      <c r="R44" s="32" t="str">
        <f aca="false">IF(L44="","",IF(ABS(L44)&lt;=O44,"Yes","No"))</f>
        <v>Yes</v>
      </c>
      <c r="S44" s="32" t="str">
        <f aca="false">IF(L44="","",IF(ABS(L44)&lt;=1.96*O44,"Yes","No"))</f>
        <v>Yes</v>
      </c>
      <c r="T44" s="60" t="n">
        <f aca="false">IF(D44="","",ROUND(SQRT(((D44+G44)*O44/100)^2+(J44*(D44+G44)*0.05437)^2),0))</f>
        <v>548</v>
      </c>
      <c r="U44" s="32"/>
    </row>
    <row r="45" customFormat="false" ht="15" hidden="false" customHeight="false" outlineLevel="0" collapsed="false">
      <c r="A45" s="32" t="s">
        <v>192</v>
      </c>
      <c r="B45" s="32" t="s">
        <v>213</v>
      </c>
      <c r="C45" s="32" t="s">
        <v>164</v>
      </c>
      <c r="D45" s="60" t="n">
        <v>2333</v>
      </c>
      <c r="E45" s="60" t="n">
        <v>2222</v>
      </c>
      <c r="F45" s="69" t="n">
        <f aca="false">IF(E45="","",D45-E45)</f>
        <v>111</v>
      </c>
      <c r="G45" s="60" t="n">
        <v>2902</v>
      </c>
      <c r="H45" s="60" t="n">
        <v>2955</v>
      </c>
      <c r="I45" s="69" t="n">
        <f aca="false">IF(H45="","",G45-H45)</f>
        <v>-53</v>
      </c>
      <c r="J45" s="40" t="n">
        <f aca="false">IF(OR(D45="",D45+G45=0),"",D45/(D45+G45))</f>
        <v>0.445654250238777</v>
      </c>
      <c r="K45" s="40" t="n">
        <f aca="false">IF(E45="","",E45/(E45+H45))</f>
        <v>0.42920610392119</v>
      </c>
      <c r="L45" s="70" t="n">
        <f aca="false">IF(OR(K45="",J45=""),"",(J45-K45)*100)</f>
        <v>1.64481463175876</v>
      </c>
      <c r="M45" s="36" t="n">
        <v>2.09596675951885</v>
      </c>
      <c r="N45" s="36" t="n">
        <v>1.47713199434252</v>
      </c>
      <c r="O45" s="36" t="n">
        <f aca="false">SQRT(M45^2+N45^2)</f>
        <v>2.56417542023128</v>
      </c>
      <c r="P45" s="40" t="n">
        <f aca="false">IF(J45="","",MAX(0,J45-1.96*O45/100))</f>
        <v>0.395396412002244</v>
      </c>
      <c r="Q45" s="40" t="n">
        <f aca="false">IF(J45="","",MIN(1,J45+1.96*O45/100))</f>
        <v>0.495912088475311</v>
      </c>
      <c r="R45" s="32" t="str">
        <f aca="false">IF(L45="","",IF(ABS(L45)&lt;=O45,"Yes","No"))</f>
        <v>Yes</v>
      </c>
      <c r="S45" s="32" t="str">
        <f aca="false">IF(L45="","",IF(ABS(L45)&lt;=1.96*O45,"Yes","No"))</f>
        <v>Yes</v>
      </c>
      <c r="T45" s="60" t="n">
        <f aca="false">IF(D45="","",ROUND(SQRT(((D45+G45)*O45/100)^2+(J45*(D45+G45)*0.05437)^2),0))</f>
        <v>185</v>
      </c>
      <c r="U45" s="32"/>
    </row>
    <row r="46" customFormat="false" ht="15" hidden="false" customHeight="false" outlineLevel="0" collapsed="false">
      <c r="A46" s="32" t="s">
        <v>192</v>
      </c>
      <c r="B46" s="32" t="s">
        <v>214</v>
      </c>
      <c r="C46" s="32" t="s">
        <v>164</v>
      </c>
      <c r="D46" s="60" t="n">
        <v>5043</v>
      </c>
      <c r="E46" s="60" t="n">
        <v>4817</v>
      </c>
      <c r="F46" s="69" t="n">
        <f aca="false">IF(E46="","",D46-E46)</f>
        <v>226</v>
      </c>
      <c r="G46" s="60" t="n">
        <v>5290</v>
      </c>
      <c r="H46" s="60" t="n">
        <v>5501</v>
      </c>
      <c r="I46" s="69" t="n">
        <f aca="false">IF(H46="","",G46-H46)</f>
        <v>-211</v>
      </c>
      <c r="J46" s="40" t="n">
        <f aca="false">IF(OR(D46="",D46+G46=0),"",D46/(D46+G46))</f>
        <v>0.488048001548437</v>
      </c>
      <c r="K46" s="40" t="n">
        <f aca="false">IF(E46="","",E46/(E46+H46))</f>
        <v>0.466854041480907</v>
      </c>
      <c r="L46" s="70" t="n">
        <f aca="false">IF(OR(K46="",J46=""),"",(J46-K46)*100)</f>
        <v>2.11939600675299</v>
      </c>
      <c r="M46" s="36" t="n">
        <v>2.09596675951885</v>
      </c>
      <c r="N46" s="36" t="n">
        <v>1.47713199434252</v>
      </c>
      <c r="O46" s="36" t="n">
        <f aca="false">SQRT(M46^2+N46^2)</f>
        <v>2.56417542023128</v>
      </c>
      <c r="P46" s="40" t="n">
        <f aca="false">IF(J46="","",MAX(0,J46-1.96*O46/100))</f>
        <v>0.437790163311904</v>
      </c>
      <c r="Q46" s="40" t="n">
        <f aca="false">IF(J46="","",MIN(1,J46+1.96*O46/100))</f>
        <v>0.53830583978497</v>
      </c>
      <c r="R46" s="32" t="str">
        <f aca="false">IF(L46="","",IF(ABS(L46)&lt;=O46,"Yes","No"))</f>
        <v>Yes</v>
      </c>
      <c r="S46" s="32" t="str">
        <f aca="false">IF(L46="","",IF(ABS(L46)&lt;=1.96*O46,"Yes","No"))</f>
        <v>Yes</v>
      </c>
      <c r="T46" s="60" t="n">
        <f aca="false">IF(D46="","",ROUND(SQRT(((D46+G46)*O46/100)^2+(J46*(D46+G46)*0.05437)^2),0))</f>
        <v>381</v>
      </c>
      <c r="U46" s="32"/>
    </row>
    <row r="47" customFormat="false" ht="15" hidden="false" customHeight="false" outlineLevel="0" collapsed="false">
      <c r="A47" s="32" t="s">
        <v>192</v>
      </c>
      <c r="B47" s="32" t="s">
        <v>215</v>
      </c>
      <c r="C47" s="32" t="s">
        <v>164</v>
      </c>
      <c r="D47" s="60" t="n">
        <v>1397</v>
      </c>
      <c r="E47" s="60" t="n">
        <v>1231</v>
      </c>
      <c r="F47" s="69" t="n">
        <f aca="false">IF(E47="","",D47-E47)</f>
        <v>166</v>
      </c>
      <c r="G47" s="60" t="n">
        <v>2414</v>
      </c>
      <c r="H47" s="60" t="n">
        <v>2578</v>
      </c>
      <c r="I47" s="69" t="n">
        <f aca="false">IF(H47="","",G47-H47)</f>
        <v>-164</v>
      </c>
      <c r="J47" s="40" t="n">
        <f aca="false">IF(OR(D47="",D47+G47=0),"",D47/(D47+G47))</f>
        <v>0.366570453949095</v>
      </c>
      <c r="K47" s="40" t="n">
        <f aca="false">IF(E47="","",E47/(E47+H47))</f>
        <v>0.323181937516409</v>
      </c>
      <c r="L47" s="70" t="n">
        <f aca="false">IF(OR(K47="",J47=""),"",(J47-K47)*100)</f>
        <v>4.33885164326862</v>
      </c>
      <c r="M47" s="36" t="n">
        <v>2.09596675951885</v>
      </c>
      <c r="N47" s="36" t="n">
        <v>1.47713199434252</v>
      </c>
      <c r="O47" s="36" t="n">
        <f aca="false">SQRT(M47^2+N47^2)</f>
        <v>2.56417542023128</v>
      </c>
      <c r="P47" s="40" t="n">
        <f aca="false">IF(J47="","",MAX(0,J47-1.96*O47/100))</f>
        <v>0.316312615712562</v>
      </c>
      <c r="Q47" s="40" t="n">
        <f aca="false">IF(J47="","",MIN(1,J47+1.96*O47/100))</f>
        <v>0.416828292185628</v>
      </c>
      <c r="R47" s="32" t="str">
        <f aca="false">IF(L47="","",IF(ABS(L47)&lt;=O47,"Yes","No"))</f>
        <v>No</v>
      </c>
      <c r="S47" s="32" t="str">
        <f aca="false">IF(L47="","",IF(ABS(L47)&lt;=1.96*O47,"Yes","No"))</f>
        <v>Yes</v>
      </c>
      <c r="T47" s="60" t="n">
        <f aca="false">IF(D47="","",ROUND(SQRT(((D47+G47)*O47/100)^2+(J47*(D47+G47)*0.05437)^2),0))</f>
        <v>124</v>
      </c>
      <c r="U47" s="32"/>
    </row>
    <row r="48" customFormat="false" ht="15" hidden="false" customHeight="false" outlineLevel="0" collapsed="false">
      <c r="A48" s="32" t="s">
        <v>192</v>
      </c>
      <c r="B48" s="32" t="s">
        <v>216</v>
      </c>
      <c r="C48" s="32" t="s">
        <v>164</v>
      </c>
      <c r="D48" s="60" t="n">
        <v>1173</v>
      </c>
      <c r="E48" s="60" t="n">
        <v>1073</v>
      </c>
      <c r="F48" s="69" t="n">
        <f aca="false">IF(E48="","",D48-E48)</f>
        <v>100</v>
      </c>
      <c r="G48" s="60" t="n">
        <v>2052</v>
      </c>
      <c r="H48" s="60" t="n">
        <v>2156</v>
      </c>
      <c r="I48" s="69" t="n">
        <f aca="false">IF(H48="","",G48-H48)</f>
        <v>-104</v>
      </c>
      <c r="J48" s="40" t="n">
        <f aca="false">IF(OR(D48="",D48+G48=0),"",D48/(D48+G48))</f>
        <v>0.363720930232558</v>
      </c>
      <c r="K48" s="40" t="n">
        <f aca="false">IF(E48="","",E48/(E48+H48))</f>
        <v>0.332301021988232</v>
      </c>
      <c r="L48" s="70" t="n">
        <f aca="false">IF(OR(K48="",J48=""),"",(J48-K48)*100)</f>
        <v>3.14199082443265</v>
      </c>
      <c r="M48" s="36" t="n">
        <v>1.74942827115577</v>
      </c>
      <c r="N48" s="36" t="n">
        <v>1.47713199434252</v>
      </c>
      <c r="O48" s="36" t="n">
        <f aca="false">SQRT(M48^2+N48^2)</f>
        <v>2.28963276632507</v>
      </c>
      <c r="P48" s="40" t="n">
        <f aca="false">IF(J48="","",MAX(0,J48-1.96*O48/100))</f>
        <v>0.318844128012587</v>
      </c>
      <c r="Q48" s="40" t="n">
        <f aca="false">IF(J48="","",MIN(1,J48+1.96*O48/100))</f>
        <v>0.408597732452529</v>
      </c>
      <c r="R48" s="32" t="str">
        <f aca="false">IF(L48="","",IF(ABS(L48)&lt;=O48,"Yes","No"))</f>
        <v>No</v>
      </c>
      <c r="S48" s="32" t="str">
        <f aca="false">IF(L48="","",IF(ABS(L48)&lt;=1.96*O48,"Yes","No"))</f>
        <v>Yes</v>
      </c>
      <c r="T48" s="60" t="n">
        <f aca="false">IF(D48="","",ROUND(SQRT(((D48+G48)*O48/100)^2+(J48*(D48+G48)*0.05992)^2),0))</f>
        <v>102</v>
      </c>
      <c r="U48" s="32"/>
    </row>
    <row r="49" customFormat="false" ht="15" hidden="false" customHeight="false" outlineLevel="0" collapsed="false">
      <c r="A49" s="32" t="s">
        <v>192</v>
      </c>
      <c r="B49" s="32" t="s">
        <v>217</v>
      </c>
      <c r="C49" s="32" t="s">
        <v>164</v>
      </c>
      <c r="D49" s="60" t="n">
        <v>7896</v>
      </c>
      <c r="E49" s="60" t="n">
        <v>7458</v>
      </c>
      <c r="F49" s="69" t="n">
        <f aca="false">IF(E49="","",D49-E49)</f>
        <v>438</v>
      </c>
      <c r="G49" s="60" t="n">
        <v>6233</v>
      </c>
      <c r="H49" s="60" t="n">
        <v>6731</v>
      </c>
      <c r="I49" s="69" t="n">
        <f aca="false">IF(H49="","",G49-H49)</f>
        <v>-498</v>
      </c>
      <c r="J49" s="40" t="n">
        <f aca="false">IF(OR(D49="",D49+G49=0),"",D49/(D49+G49))</f>
        <v>0.558850590983084</v>
      </c>
      <c r="K49" s="40" t="n">
        <f aca="false">IF(E49="","",E49/(E49+H49))</f>
        <v>0.525618436817253</v>
      </c>
      <c r="L49" s="70" t="n">
        <f aca="false">IF(OR(K49="",J49=""),"",(J49-K49)*100)</f>
        <v>3.32321541658316</v>
      </c>
      <c r="M49" s="36" t="n">
        <v>2.09596675951885</v>
      </c>
      <c r="N49" s="36" t="n">
        <v>1.47713199434252</v>
      </c>
      <c r="O49" s="36" t="n">
        <f aca="false">SQRT(M49^2+N49^2)</f>
        <v>2.56417542023128</v>
      </c>
      <c r="P49" s="40" t="n">
        <f aca="false">IF(J49="","",MAX(0,J49-1.96*O49/100))</f>
        <v>0.508592752746551</v>
      </c>
      <c r="Q49" s="40" t="n">
        <f aca="false">IF(J49="","",MIN(1,J49+1.96*O49/100))</f>
        <v>0.609108429219618</v>
      </c>
      <c r="R49" s="32" t="str">
        <f aca="false">IF(L49="","",IF(ABS(L49)&lt;=O49,"Yes","No"))</f>
        <v>No</v>
      </c>
      <c r="S49" s="32" t="str">
        <f aca="false">IF(L49="","",IF(ABS(L49)&lt;=1.96*O49,"Yes","No"))</f>
        <v>Yes</v>
      </c>
      <c r="T49" s="60" t="n">
        <f aca="false">IF(D49="","",ROUND(SQRT(((D49+G49)*O49/100)^2+(J49*(D49+G49)*0.05437)^2),0))</f>
        <v>562</v>
      </c>
      <c r="U49" s="32"/>
    </row>
    <row r="50" customFormat="false" ht="15" hidden="false" customHeight="false" outlineLevel="0" collapsed="false">
      <c r="A50" s="32" t="s">
        <v>218</v>
      </c>
      <c r="B50" s="32" t="s">
        <v>219</v>
      </c>
      <c r="C50" s="32" t="s">
        <v>164</v>
      </c>
      <c r="D50" s="60" t="n">
        <v>522</v>
      </c>
      <c r="E50" s="60" t="n">
        <v>482</v>
      </c>
      <c r="F50" s="69" t="n">
        <f aca="false">IF(E50="","",D50-E50)</f>
        <v>40</v>
      </c>
      <c r="G50" s="60" t="n">
        <v>996</v>
      </c>
      <c r="H50" s="60" t="n">
        <v>987</v>
      </c>
      <c r="I50" s="69" t="n">
        <f aca="false">IF(H50="","",G50-H50)</f>
        <v>9</v>
      </c>
      <c r="J50" s="40" t="n">
        <f aca="false">IF(OR(D50="",D50+G50=0),"",D50/(D50+G50))</f>
        <v>0.343873517786561</v>
      </c>
      <c r="K50" s="40" t="n">
        <f aca="false">IF(E50="","",E50/(E50+H50))</f>
        <v>0.328114363512594</v>
      </c>
      <c r="L50" s="70" t="n">
        <f aca="false">IF(OR(K50="",J50=""),"",(J50-K50)*100)</f>
        <v>1.57591542739677</v>
      </c>
      <c r="M50" s="36" t="n">
        <v>3.62720814427021</v>
      </c>
      <c r="N50" s="36" t="n">
        <v>1.47713199434252</v>
      </c>
      <c r="O50" s="36" t="n">
        <f aca="false">SQRT(M50^2+N50^2)</f>
        <v>3.91644709533659</v>
      </c>
      <c r="P50" s="40" t="n">
        <f aca="false">IF(J50="","",MAX(0,J50-1.96*O50/100))</f>
        <v>0.267111154717964</v>
      </c>
      <c r="Q50" s="40" t="n">
        <f aca="false">IF(J50="","",MIN(1,J50+1.96*O50/100))</f>
        <v>0.420635880855158</v>
      </c>
      <c r="R50" s="32" t="str">
        <f aca="false">IF(L50="","",IF(ABS(L50)&lt;=O50,"Yes","No"))</f>
        <v>Yes</v>
      </c>
      <c r="S50" s="32" t="str">
        <f aca="false">IF(L50="","",IF(ABS(L50)&lt;=1.96*O50,"Yes","No"))</f>
        <v>Yes</v>
      </c>
      <c r="T50" s="60" t="n">
        <f aca="false">IF(D50="","",ROUND(SQRT(((D50+G50)*O50/100)^2+(J50*(D50+G50)*0.07717)^2),0))</f>
        <v>72</v>
      </c>
      <c r="U50" s="32"/>
    </row>
    <row r="51" customFormat="false" ht="15" hidden="false" customHeight="false" outlineLevel="0" collapsed="false">
      <c r="A51" s="32" t="s">
        <v>218</v>
      </c>
      <c r="B51" s="32" t="s">
        <v>220</v>
      </c>
      <c r="C51" s="32" t="s">
        <v>164</v>
      </c>
      <c r="D51" s="60" t="n">
        <v>1549</v>
      </c>
      <c r="E51" s="60" t="n">
        <v>1425</v>
      </c>
      <c r="F51" s="69" t="n">
        <f aca="false">IF(E51="","",D51-E51)</f>
        <v>124</v>
      </c>
      <c r="G51" s="60" t="n">
        <v>2498</v>
      </c>
      <c r="H51" s="60" t="n">
        <v>2491</v>
      </c>
      <c r="I51" s="69" t="n">
        <f aca="false">IF(H51="","",G51-H51)</f>
        <v>7</v>
      </c>
      <c r="J51" s="40" t="n">
        <f aca="false">IF(OR(D51="",D51+G51=0),"",D51/(D51+G51))</f>
        <v>0.382752656288609</v>
      </c>
      <c r="K51" s="40" t="n">
        <f aca="false">IF(E51="","",E51/(E51+H51))</f>
        <v>0.363891726251277</v>
      </c>
      <c r="L51" s="70" t="n">
        <f aca="false">IF(OR(K51="",J51=""),"",(J51-K51)*100)</f>
        <v>1.8860930037332</v>
      </c>
      <c r="M51" s="36" t="n">
        <v>2.09596675951885</v>
      </c>
      <c r="N51" s="36" t="n">
        <v>1.47713199434252</v>
      </c>
      <c r="O51" s="36" t="n">
        <f aca="false">SQRT(M51^2+N51^2)</f>
        <v>2.56417542023128</v>
      </c>
      <c r="P51" s="40" t="n">
        <f aca="false">IF(J51="","",MAX(0,J51-1.96*O51/100))</f>
        <v>0.332494818052076</v>
      </c>
      <c r="Q51" s="40" t="n">
        <f aca="false">IF(J51="","",MIN(1,J51+1.96*O51/100))</f>
        <v>0.433010494525142</v>
      </c>
      <c r="R51" s="32" t="str">
        <f aca="false">IF(L51="","",IF(ABS(L51)&lt;=O51,"Yes","No"))</f>
        <v>Yes</v>
      </c>
      <c r="S51" s="32" t="str">
        <f aca="false">IF(L51="","",IF(ABS(L51)&lt;=1.96*O51,"Yes","No"))</f>
        <v>Yes</v>
      </c>
      <c r="T51" s="60" t="n">
        <f aca="false">IF(D51="","",ROUND(SQRT(((D51+G51)*O51/100)^2+(J51*(D51+G51)*0.05437)^2),0))</f>
        <v>134</v>
      </c>
      <c r="U51" s="32" t="s">
        <v>427</v>
      </c>
    </row>
    <row r="52" customFormat="false" ht="15" hidden="false" customHeight="false" outlineLevel="0" collapsed="false">
      <c r="A52" s="32" t="s">
        <v>218</v>
      </c>
      <c r="B52" s="32" t="s">
        <v>221</v>
      </c>
      <c r="C52" s="32" t="s">
        <v>164</v>
      </c>
      <c r="D52" s="60" t="n">
        <v>594</v>
      </c>
      <c r="E52" s="60" t="n">
        <v>502</v>
      </c>
      <c r="F52" s="69" t="n">
        <f aca="false">IF(E52="","",D52-E52)</f>
        <v>92</v>
      </c>
      <c r="G52" s="60" t="n">
        <v>909</v>
      </c>
      <c r="H52" s="60" t="n">
        <v>795</v>
      </c>
      <c r="I52" s="69" t="n">
        <f aca="false">IF(H52="","",G52-H52)</f>
        <v>114</v>
      </c>
      <c r="J52" s="40" t="n">
        <f aca="false">IF(OR(D52="",D52+G52=0),"",D52/(D52+G52))</f>
        <v>0.395209580838323</v>
      </c>
      <c r="K52" s="40" t="n">
        <f aca="false">IF(E52="","",E52/(E52+H52))</f>
        <v>0.387047031611411</v>
      </c>
      <c r="L52" s="70" t="n">
        <f aca="false">IF(OR(K52="",J52=""),"",(J52-K52)*100)</f>
        <v>0.81625492269124</v>
      </c>
      <c r="M52" s="36" t="n">
        <v>3.62720814427021</v>
      </c>
      <c r="N52" s="36" t="n">
        <v>1.47713199434252</v>
      </c>
      <c r="O52" s="36" t="n">
        <f aca="false">SQRT(M52^2+N52^2)</f>
        <v>3.91644709533659</v>
      </c>
      <c r="P52" s="40" t="n">
        <f aca="false">IF(J52="","",MAX(0,J52-1.96*O52/100))</f>
        <v>0.318447217769726</v>
      </c>
      <c r="Q52" s="40" t="n">
        <f aca="false">IF(J52="","",MIN(1,J52+1.96*O52/100))</f>
        <v>0.471971943906921</v>
      </c>
      <c r="R52" s="32" t="str">
        <f aca="false">IF(L52="","",IF(ABS(L52)&lt;=O52,"Yes","No"))</f>
        <v>Yes</v>
      </c>
      <c r="S52" s="32" t="str">
        <f aca="false">IF(L52="","",IF(ABS(L52)&lt;=1.96*O52,"Yes","No"))</f>
        <v>Yes</v>
      </c>
      <c r="T52" s="60" t="n">
        <f aca="false">IF(D52="","",ROUND(SQRT(((D52+G52)*O52/100)^2+(J52*(D52+G52)*0.07717)^2),0))</f>
        <v>75</v>
      </c>
      <c r="U52" s="32" t="s">
        <v>428</v>
      </c>
    </row>
    <row r="53" customFormat="false" ht="15" hidden="false" customHeight="false" outlineLevel="0" collapsed="false">
      <c r="A53" s="32" t="s">
        <v>222</v>
      </c>
      <c r="B53" s="32" t="s">
        <v>223</v>
      </c>
      <c r="C53" s="32" t="s">
        <v>164</v>
      </c>
      <c r="D53" s="60" t="n">
        <v>1492</v>
      </c>
      <c r="E53" s="60" t="n">
        <v>1432</v>
      </c>
      <c r="F53" s="69" t="n">
        <f aca="false">IF(E53="","",D53-E53)</f>
        <v>60</v>
      </c>
      <c r="G53" s="60" t="n">
        <v>1884</v>
      </c>
      <c r="H53" s="60" t="n">
        <v>1882</v>
      </c>
      <c r="I53" s="69" t="n">
        <f aca="false">IF(H53="","",G53-H53)</f>
        <v>2</v>
      </c>
      <c r="J53" s="40" t="n">
        <f aca="false">IF(OR(D53="",D53+G53=0),"",D53/(D53+G53))</f>
        <v>0.441943127962085</v>
      </c>
      <c r="K53" s="40" t="n">
        <f aca="false">IF(E53="","",E53/(E53+H53))</f>
        <v>0.432106216053108</v>
      </c>
      <c r="L53" s="70" t="n">
        <f aca="false">IF(OR(K53="",J53=""),"",(J53-K53)*100)</f>
        <v>0.983691190897729</v>
      </c>
      <c r="M53" s="36" t="n">
        <v>1.74942827115577</v>
      </c>
      <c r="N53" s="36" t="n">
        <v>1.47713199434252</v>
      </c>
      <c r="O53" s="36" t="n">
        <f aca="false">SQRT(M53^2+N53^2)</f>
        <v>2.28963276632507</v>
      </c>
      <c r="P53" s="40" t="n">
        <f aca="false">IF(J53="","",MAX(0,J53-1.96*O53/100))</f>
        <v>0.397066325742114</v>
      </c>
      <c r="Q53" s="40" t="n">
        <f aca="false">IF(J53="","",MIN(1,J53+1.96*O53/100))</f>
        <v>0.486819930182057</v>
      </c>
      <c r="R53" s="32" t="str">
        <f aca="false">IF(L53="","",IF(ABS(L53)&lt;=O53,"Yes","No"))</f>
        <v>Yes</v>
      </c>
      <c r="S53" s="32" t="str">
        <f aca="false">IF(L53="","",IF(ABS(L53)&lt;=1.96*O53,"Yes","No"))</f>
        <v>Yes</v>
      </c>
      <c r="T53" s="60" t="n">
        <f aca="false">IF(D53="","",ROUND(SQRT(((D53+G53)*O53/100)^2+(J53*(D53+G53)*0.05992)^2),0))</f>
        <v>118</v>
      </c>
      <c r="U53" s="32"/>
    </row>
    <row r="54" customFormat="false" ht="15" hidden="false" customHeight="false" outlineLevel="0" collapsed="false">
      <c r="A54" s="32" t="s">
        <v>222</v>
      </c>
      <c r="B54" s="32" t="s">
        <v>224</v>
      </c>
      <c r="C54" s="32" t="s">
        <v>164</v>
      </c>
      <c r="D54" s="60" t="n">
        <v>1071</v>
      </c>
      <c r="E54" s="60" t="n">
        <v>965</v>
      </c>
      <c r="F54" s="69" t="n">
        <f aca="false">IF(E54="","",D54-E54)</f>
        <v>106</v>
      </c>
      <c r="G54" s="60" t="n">
        <v>1224</v>
      </c>
      <c r="H54" s="60" t="n">
        <v>1342</v>
      </c>
      <c r="I54" s="69" t="n">
        <f aca="false">IF(H54="","",G54-H54)</f>
        <v>-118</v>
      </c>
      <c r="J54" s="40" t="n">
        <f aca="false">IF(OR(D54="",D54+G54=0),"",D54/(D54+G54))</f>
        <v>0.466666666666667</v>
      </c>
      <c r="K54" s="40" t="n">
        <f aca="false">IF(E54="","",E54/(E54+H54))</f>
        <v>0.418292154312961</v>
      </c>
      <c r="L54" s="70" t="n">
        <f aca="false">IF(OR(K54="",J54=""),"",(J54-K54)*100)</f>
        <v>4.83745123537061</v>
      </c>
      <c r="M54" s="36" t="n">
        <v>1.74942827115577</v>
      </c>
      <c r="N54" s="36" t="n">
        <v>1.47713199434252</v>
      </c>
      <c r="O54" s="36" t="n">
        <f aca="false">SQRT(M54^2+N54^2)</f>
        <v>2.28963276632507</v>
      </c>
      <c r="P54" s="40" t="n">
        <f aca="false">IF(J54="","",MAX(0,J54-1.96*O54/100))</f>
        <v>0.421789864446695</v>
      </c>
      <c r="Q54" s="40" t="n">
        <f aca="false">IF(J54="","",MIN(1,J54+1.96*O54/100))</f>
        <v>0.511543468886638</v>
      </c>
      <c r="R54" s="32" t="str">
        <f aca="false">IF(L54="","",IF(ABS(L54)&lt;=O54,"Yes","No"))</f>
        <v>No</v>
      </c>
      <c r="S54" s="32" t="str">
        <f aca="false">IF(L54="","",IF(ABS(L54)&lt;=1.96*O54,"Yes","No"))</f>
        <v>No</v>
      </c>
      <c r="T54" s="60" t="n">
        <f aca="false">IF(D54="","",ROUND(SQRT(((D54+G54)*O54/100)^2+(J54*(D54+G54)*0.05992)^2),0))</f>
        <v>83</v>
      </c>
      <c r="U54" s="32"/>
    </row>
    <row r="55" customFormat="false" ht="15" hidden="false" customHeight="false" outlineLevel="0" collapsed="false">
      <c r="A55" s="32" t="s">
        <v>222</v>
      </c>
      <c r="B55" s="32" t="s">
        <v>225</v>
      </c>
      <c r="C55" s="32" t="s">
        <v>164</v>
      </c>
      <c r="D55" s="60" t="n">
        <v>601</v>
      </c>
      <c r="E55" s="60" t="n">
        <v>579</v>
      </c>
      <c r="F55" s="69" t="n">
        <f aca="false">IF(E55="","",D55-E55)</f>
        <v>22</v>
      </c>
      <c r="G55" s="60" t="n">
        <v>654</v>
      </c>
      <c r="H55" s="60" t="n">
        <v>695</v>
      </c>
      <c r="I55" s="69" t="n">
        <f aca="false">IF(H55="","",G55-H55)</f>
        <v>-41</v>
      </c>
      <c r="J55" s="40" t="n">
        <f aca="false">IF(OR(D55="",D55+G55=0),"",D55/(D55+G55))</f>
        <v>0.478884462151394</v>
      </c>
      <c r="K55" s="40" t="n">
        <f aca="false">IF(E55="","",E55/(E55+H55))</f>
        <v>0.45447409733124</v>
      </c>
      <c r="L55" s="70" t="n">
        <f aca="false">IF(OR(K55="",J55=""),"",(J55-K55)*100)</f>
        <v>2.44103648201542</v>
      </c>
      <c r="M55" s="36" t="n">
        <v>3.62720814427021</v>
      </c>
      <c r="N55" s="36" t="n">
        <v>1.47713199434252</v>
      </c>
      <c r="O55" s="36" t="n">
        <f aca="false">SQRT(M55^2+N55^2)</f>
        <v>3.91644709533659</v>
      </c>
      <c r="P55" s="40" t="n">
        <f aca="false">IF(J55="","",MAX(0,J55-1.96*O55/100))</f>
        <v>0.402122099082797</v>
      </c>
      <c r="Q55" s="40" t="n">
        <f aca="false">IF(J55="","",MIN(1,J55+1.96*O55/100))</f>
        <v>0.555646825219992</v>
      </c>
      <c r="R55" s="32" t="str">
        <f aca="false">IF(L55="","",IF(ABS(L55)&lt;=O55,"Yes","No"))</f>
        <v>Yes</v>
      </c>
      <c r="S55" s="32" t="str">
        <f aca="false">IF(L55="","",IF(ABS(L55)&lt;=1.96*O55,"Yes","No"))</f>
        <v>Yes</v>
      </c>
      <c r="T55" s="60" t="n">
        <f aca="false">IF(D55="","",ROUND(SQRT(((D55+G55)*O55/100)^2+(J55*(D55+G55)*0.07717)^2),0))</f>
        <v>68</v>
      </c>
      <c r="U55" s="32"/>
    </row>
    <row r="56" customFormat="false" ht="15" hidden="false" customHeight="false" outlineLevel="0" collapsed="false">
      <c r="A56" s="32" t="s">
        <v>222</v>
      </c>
      <c r="B56" s="32" t="s">
        <v>195</v>
      </c>
      <c r="C56" s="32" t="s">
        <v>164</v>
      </c>
      <c r="D56" s="60" t="n">
        <v>17517</v>
      </c>
      <c r="E56" s="60" t="n">
        <v>16692</v>
      </c>
      <c r="F56" s="69" t="n">
        <f aca="false">IF(E56="","",D56-E56)</f>
        <v>825</v>
      </c>
      <c r="G56" s="60" t="n">
        <v>7811</v>
      </c>
      <c r="H56" s="60" t="n">
        <v>8176</v>
      </c>
      <c r="I56" s="69" t="n">
        <f aca="false">IF(H56="","",G56-H56)</f>
        <v>-365</v>
      </c>
      <c r="J56" s="40" t="n">
        <f aca="false">IF(OR(D56="",D56+G56=0),"",D56/(D56+G56))</f>
        <v>0.691606127605812</v>
      </c>
      <c r="K56" s="40" t="n">
        <f aca="false">IF(E56="","",E56/(E56+H56))</f>
        <v>0.671224063052919</v>
      </c>
      <c r="L56" s="70" t="n">
        <f aca="false">IF(OR(K56="",J56=""),"",(J56-K56)*100)</f>
        <v>2.03820645528924</v>
      </c>
      <c r="M56" s="36" t="n">
        <v>2.09596675951885</v>
      </c>
      <c r="N56" s="36" t="n">
        <v>1.47713199434252</v>
      </c>
      <c r="O56" s="36" t="n">
        <f aca="false">SQRT(M56^2+N56^2)</f>
        <v>2.56417542023128</v>
      </c>
      <c r="P56" s="40" t="n">
        <f aca="false">IF(J56="","",MAX(0,J56-1.96*O56/100))</f>
        <v>0.641348289369279</v>
      </c>
      <c r="Q56" s="40" t="n">
        <f aca="false">IF(J56="","",MIN(1,J56+1.96*O56/100))</f>
        <v>0.741863965842345</v>
      </c>
      <c r="R56" s="32" t="str">
        <f aca="false">IF(L56="","",IF(ABS(L56)&lt;=O56,"Yes","No"))</f>
        <v>Yes</v>
      </c>
      <c r="S56" s="32" t="str">
        <f aca="false">IF(L56="","",IF(ABS(L56)&lt;=1.96*O56,"Yes","No"))</f>
        <v>Yes</v>
      </c>
      <c r="T56" s="60" t="n">
        <f aca="false">IF(D56="","",ROUND(SQRT(((D56+G56)*O56/100)^2+(J56*(D56+G56)*0.05437)^2),0))</f>
        <v>1153</v>
      </c>
      <c r="U56" s="32"/>
    </row>
    <row r="57" customFormat="false" ht="15" hidden="false" customHeight="false" outlineLevel="0" collapsed="false">
      <c r="A57" s="32" t="s">
        <v>222</v>
      </c>
      <c r="B57" s="32" t="s">
        <v>226</v>
      </c>
      <c r="C57" s="32" t="s">
        <v>164</v>
      </c>
      <c r="D57" s="60" t="n">
        <v>8582</v>
      </c>
      <c r="E57" s="60" t="n">
        <v>8164</v>
      </c>
      <c r="F57" s="69" t="n">
        <f aca="false">IF(E57="","",D57-E57)</f>
        <v>418</v>
      </c>
      <c r="G57" s="60" t="n">
        <v>6958</v>
      </c>
      <c r="H57" s="60" t="n">
        <v>7277</v>
      </c>
      <c r="I57" s="69" t="n">
        <f aca="false">IF(H57="","",G57-H57)</f>
        <v>-319</v>
      </c>
      <c r="J57" s="40" t="n">
        <f aca="false">IF(OR(D57="",D57+G57=0),"",D57/(D57+G57))</f>
        <v>0.552252252252252</v>
      </c>
      <c r="K57" s="40" t="n">
        <f aca="false">IF(E57="","",E57/(E57+H57))</f>
        <v>0.528722233015996</v>
      </c>
      <c r="L57" s="70" t="n">
        <f aca="false">IF(OR(K57="",J57=""),"",(J57-K57)*100)</f>
        <v>2.35300192362559</v>
      </c>
      <c r="M57" s="36" t="n">
        <v>2.09596675951885</v>
      </c>
      <c r="N57" s="36" t="n">
        <v>1.47713199434252</v>
      </c>
      <c r="O57" s="36" t="n">
        <f aca="false">SQRT(M57^2+N57^2)</f>
        <v>2.56417542023128</v>
      </c>
      <c r="P57" s="40" t="n">
        <f aca="false">IF(J57="","",MAX(0,J57-1.96*O57/100))</f>
        <v>0.501994414015719</v>
      </c>
      <c r="Q57" s="40" t="n">
        <f aca="false">IF(J57="","",MIN(1,J57+1.96*O57/100))</f>
        <v>0.602510090488785</v>
      </c>
      <c r="R57" s="32" t="str">
        <f aca="false">IF(L57="","",IF(ABS(L57)&lt;=O57,"Yes","No"))</f>
        <v>Yes</v>
      </c>
      <c r="S57" s="32" t="str">
        <f aca="false">IF(L57="","",IF(ABS(L57)&lt;=1.96*O57,"Yes","No"))</f>
        <v>Yes</v>
      </c>
      <c r="T57" s="60" t="n">
        <f aca="false">IF(D57="","",ROUND(SQRT(((D57+G57)*O57/100)^2+(J57*(D57+G57)*0.05437)^2),0))</f>
        <v>614</v>
      </c>
      <c r="U57" s="32"/>
    </row>
    <row r="58" customFormat="false" ht="15" hidden="false" customHeight="false" outlineLevel="0" collapsed="false">
      <c r="A58" s="32" t="s">
        <v>222</v>
      </c>
      <c r="B58" s="32" t="s">
        <v>227</v>
      </c>
      <c r="C58" s="32" t="s">
        <v>164</v>
      </c>
      <c r="D58" s="60" t="n">
        <v>2097</v>
      </c>
      <c r="E58" s="60" t="n">
        <v>1988</v>
      </c>
      <c r="F58" s="69" t="n">
        <f aca="false">IF(E58="","",D58-E58)</f>
        <v>109</v>
      </c>
      <c r="G58" s="60" t="n">
        <v>3288</v>
      </c>
      <c r="H58" s="60" t="n">
        <v>3385</v>
      </c>
      <c r="I58" s="69" t="n">
        <f aca="false">IF(H58="","",G58-H58)</f>
        <v>-97</v>
      </c>
      <c r="J58" s="40" t="n">
        <f aca="false">IF(OR(D58="",D58+G58=0),"",D58/(D58+G58))</f>
        <v>0.38941504178273</v>
      </c>
      <c r="K58" s="40" t="n">
        <f aca="false">IF(E58="","",E58/(E58+H58))</f>
        <v>0.36999813884236</v>
      </c>
      <c r="L58" s="70" t="n">
        <f aca="false">IF(OR(K58="",J58=""),"",(J58-K58)*100)</f>
        <v>1.94169029403699</v>
      </c>
      <c r="M58" s="36" t="n">
        <v>2.09596675951885</v>
      </c>
      <c r="N58" s="36" t="n">
        <v>1.47713199434252</v>
      </c>
      <c r="O58" s="36" t="n">
        <f aca="false">SQRT(M58^2+N58^2)</f>
        <v>2.56417542023128</v>
      </c>
      <c r="P58" s="40" t="n">
        <f aca="false">IF(J58="","",MAX(0,J58-1.96*O58/100))</f>
        <v>0.339157203546197</v>
      </c>
      <c r="Q58" s="40" t="n">
        <f aca="false">IF(J58="","",MIN(1,J58+1.96*O58/100))</f>
        <v>0.439672880019263</v>
      </c>
      <c r="R58" s="32" t="str">
        <f aca="false">IF(L58="","",IF(ABS(L58)&lt;=O58,"Yes","No"))</f>
        <v>Yes</v>
      </c>
      <c r="S58" s="32" t="str">
        <f aca="false">IF(L58="","",IF(ABS(L58)&lt;=1.96*O58,"Yes","No"))</f>
        <v>Yes</v>
      </c>
      <c r="T58" s="60" t="n">
        <f aca="false">IF(D58="","",ROUND(SQRT(((D58+G58)*O58/100)^2+(J58*(D58+G58)*0.05437)^2),0))</f>
        <v>179</v>
      </c>
      <c r="U58" s="32"/>
    </row>
    <row r="59" customFormat="false" ht="15" hidden="false" customHeight="false" outlineLevel="0" collapsed="false">
      <c r="A59" s="32" t="s">
        <v>222</v>
      </c>
      <c r="B59" s="32" t="s">
        <v>228</v>
      </c>
      <c r="C59" s="32" t="s">
        <v>164</v>
      </c>
      <c r="D59" s="60" t="n">
        <v>48</v>
      </c>
      <c r="E59" s="60" t="n">
        <v>39</v>
      </c>
      <c r="F59" s="69" t="n">
        <f aca="false">IF(E59="","",D59-E59)</f>
        <v>9</v>
      </c>
      <c r="G59" s="60" t="n">
        <v>72</v>
      </c>
      <c r="H59" s="60" t="n">
        <v>79</v>
      </c>
      <c r="I59" s="69" t="n">
        <f aca="false">IF(H59="","",G59-H59)</f>
        <v>-7</v>
      </c>
      <c r="J59" s="40" t="n">
        <f aca="false">IF(OR(D59="",D59+G59=0),"",D59/(D59+G59))</f>
        <v>0.4</v>
      </c>
      <c r="K59" s="40" t="n">
        <f aca="false">IF(E59="","",E59/(E59+H59))</f>
        <v>0.330508474576271</v>
      </c>
      <c r="L59" s="70" t="n">
        <f aca="false">IF(OR(K59="",J59=""),"",(J59-K59)*100)</f>
        <v>6.94915254237288</v>
      </c>
      <c r="M59" s="36" t="n">
        <v>3.62720814427021</v>
      </c>
      <c r="N59" s="36" t="n">
        <v>1.47713199434252</v>
      </c>
      <c r="O59" s="36" t="n">
        <f aca="false">SQRT(M59^2+N59^2)</f>
        <v>3.91644709533659</v>
      </c>
      <c r="P59" s="40" t="n">
        <f aca="false">IF(J59="","",MAX(0,J59-1.96*O59/100))</f>
        <v>0.323237636931403</v>
      </c>
      <c r="Q59" s="40" t="n">
        <f aca="false">IF(J59="","",MIN(1,J59+1.96*O59/100))</f>
        <v>0.476762363068597</v>
      </c>
      <c r="R59" s="32" t="str">
        <f aca="false">IF(L59="","",IF(ABS(L59)&lt;=O59,"Yes","No"))</f>
        <v>No</v>
      </c>
      <c r="S59" s="32" t="str">
        <f aca="false">IF(L59="","",IF(ABS(L59)&lt;=1.96*O59,"Yes","No"))</f>
        <v>Yes</v>
      </c>
      <c r="T59" s="60" t="n">
        <f aca="false">IF(D59="","",ROUND(SQRT(((D59+G59)*O59/100)^2+(J59*(D59+G59)*0.07717)^2),0))</f>
        <v>6</v>
      </c>
      <c r="U59" s="32"/>
    </row>
    <row r="60" customFormat="false" ht="15" hidden="false" customHeight="false" outlineLevel="0" collapsed="false">
      <c r="A60" s="32" t="s">
        <v>222</v>
      </c>
      <c r="B60" s="32" t="s">
        <v>229</v>
      </c>
      <c r="C60" s="32" t="s">
        <v>164</v>
      </c>
      <c r="D60" s="60" t="n">
        <v>1345</v>
      </c>
      <c r="E60" s="60" t="n">
        <v>1215</v>
      </c>
      <c r="F60" s="69" t="n">
        <f aca="false">IF(E60="","",D60-E60)</f>
        <v>130</v>
      </c>
      <c r="G60" s="60" t="n">
        <v>1720</v>
      </c>
      <c r="H60" s="60" t="n">
        <v>1784</v>
      </c>
      <c r="I60" s="69" t="n">
        <f aca="false">IF(H60="","",G60-H60)</f>
        <v>-64</v>
      </c>
      <c r="J60" s="40" t="n">
        <f aca="false">IF(OR(D60="",D60+G60=0),"",D60/(D60+G60))</f>
        <v>0.438825448613377</v>
      </c>
      <c r="K60" s="40" t="n">
        <f aca="false">IF(E60="","",E60/(E60+H60))</f>
        <v>0.405135045015005</v>
      </c>
      <c r="L60" s="70" t="n">
        <f aca="false">IF(OR(K60="",J60=""),"",(J60-K60)*100)</f>
        <v>3.36904035983718</v>
      </c>
      <c r="M60" s="36" t="n">
        <v>1.74942827115577</v>
      </c>
      <c r="N60" s="36" t="n">
        <v>1.47713199434252</v>
      </c>
      <c r="O60" s="36" t="n">
        <f aca="false">SQRT(M60^2+N60^2)</f>
        <v>2.28963276632507</v>
      </c>
      <c r="P60" s="40" t="n">
        <f aca="false">IF(J60="","",MAX(0,J60-1.96*O60/100))</f>
        <v>0.393948646393406</v>
      </c>
      <c r="Q60" s="40" t="n">
        <f aca="false">IF(J60="","",MIN(1,J60+1.96*O60/100))</f>
        <v>0.483702250833348</v>
      </c>
      <c r="R60" s="32" t="str">
        <f aca="false">IF(L60="","",IF(ABS(L60)&lt;=O60,"Yes","No"))</f>
        <v>No</v>
      </c>
      <c r="S60" s="32" t="str">
        <f aca="false">IF(L60="","",IF(ABS(L60)&lt;=1.96*O60,"Yes","No"))</f>
        <v>Yes</v>
      </c>
      <c r="T60" s="60" t="n">
        <f aca="false">IF(D60="","",ROUND(SQRT(((D60+G60)*O60/100)^2+(J60*(D60+G60)*0.05992)^2),0))</f>
        <v>107</v>
      </c>
      <c r="U60" s="32"/>
    </row>
    <row r="61" customFormat="false" ht="15" hidden="false" customHeight="false" outlineLevel="0" collapsed="false">
      <c r="A61" s="32" t="s">
        <v>222</v>
      </c>
      <c r="B61" s="32" t="s">
        <v>230</v>
      </c>
      <c r="C61" s="32" t="s">
        <v>164</v>
      </c>
      <c r="D61" s="60" t="n">
        <v>217</v>
      </c>
      <c r="E61" s="60" t="n">
        <v>166</v>
      </c>
      <c r="F61" s="69" t="n">
        <f aca="false">IF(E61="","",D61-E61)</f>
        <v>51</v>
      </c>
      <c r="G61" s="60" t="n">
        <v>295</v>
      </c>
      <c r="H61" s="60" t="n">
        <v>332</v>
      </c>
      <c r="I61" s="69" t="n">
        <f aca="false">IF(H61="","",G61-H61)</f>
        <v>-37</v>
      </c>
      <c r="J61" s="40" t="n">
        <f aca="false">IF(OR(D61="",D61+G61=0),"",D61/(D61+G61))</f>
        <v>0.423828125</v>
      </c>
      <c r="K61" s="40" t="n">
        <f aca="false">IF(E61="","",E61/(E61+H61))</f>
        <v>0.333333333333333</v>
      </c>
      <c r="L61" s="70" t="n">
        <f aca="false">IF(OR(K61="",J61=""),"",(J61-K61)*100)</f>
        <v>9.04947916666667</v>
      </c>
      <c r="M61" s="36" t="n">
        <v>3.62720814427021</v>
      </c>
      <c r="N61" s="36" t="n">
        <v>1.47713199434252</v>
      </c>
      <c r="O61" s="36" t="n">
        <f aca="false">SQRT(M61^2+N61^2)</f>
        <v>3.91644709533659</v>
      </c>
      <c r="P61" s="40" t="n">
        <f aca="false">IF(J61="","",MAX(0,J61-1.96*O61/100))</f>
        <v>0.347065761931403</v>
      </c>
      <c r="Q61" s="40" t="n">
        <f aca="false">IF(J61="","",MIN(1,J61+1.96*O61/100))</f>
        <v>0.500590488068597</v>
      </c>
      <c r="R61" s="32" t="str">
        <f aca="false">IF(L61="","",IF(ABS(L61)&lt;=O61,"Yes","No"))</f>
        <v>No</v>
      </c>
      <c r="S61" s="32" t="str">
        <f aca="false">IF(L61="","",IF(ABS(L61)&lt;=1.96*O61,"Yes","No"))</f>
        <v>No</v>
      </c>
      <c r="T61" s="60" t="n">
        <f aca="false">IF(D61="","",ROUND(SQRT(((D61+G61)*O61/100)^2+(J61*(D61+G61)*0.07717)^2),0))</f>
        <v>26</v>
      </c>
      <c r="U61" s="32"/>
    </row>
    <row r="62" customFormat="false" ht="15" hidden="false" customHeight="false" outlineLevel="0" collapsed="false">
      <c r="A62" s="32" t="s">
        <v>222</v>
      </c>
      <c r="B62" s="32" t="s">
        <v>231</v>
      </c>
      <c r="C62" s="32" t="s">
        <v>164</v>
      </c>
      <c r="D62" s="60" t="n">
        <v>7573</v>
      </c>
      <c r="E62" s="60" t="n">
        <v>7095</v>
      </c>
      <c r="F62" s="69" t="n">
        <f aca="false">IF(E62="","",D62-E62)</f>
        <v>478</v>
      </c>
      <c r="G62" s="60" t="n">
        <v>2834</v>
      </c>
      <c r="H62" s="60" t="n">
        <v>2953</v>
      </c>
      <c r="I62" s="69" t="n">
        <f aca="false">IF(H62="","",G62-H62)</f>
        <v>-119</v>
      </c>
      <c r="J62" s="40" t="n">
        <f aca="false">IF(OR(D62="",D62+G62=0),"",D62/(D62+G62))</f>
        <v>0.727683290093207</v>
      </c>
      <c r="K62" s="40" t="n">
        <f aca="false">IF(E62="","",E62/(E62+H62))</f>
        <v>0.706110668789809</v>
      </c>
      <c r="L62" s="70" t="n">
        <f aca="false">IF(OR(K62="",J62=""),"",(J62-K62)*100)</f>
        <v>2.15726213033977</v>
      </c>
      <c r="M62" s="36" t="n">
        <v>2.09596675951885</v>
      </c>
      <c r="N62" s="36" t="n">
        <v>1.47713199434252</v>
      </c>
      <c r="O62" s="36" t="n">
        <f aca="false">SQRT(M62^2+N62^2)</f>
        <v>2.56417542023128</v>
      </c>
      <c r="P62" s="40" t="n">
        <f aca="false">IF(J62="","",MAX(0,J62-1.96*O62/100))</f>
        <v>0.677425451856674</v>
      </c>
      <c r="Q62" s="40" t="n">
        <f aca="false">IF(J62="","",MIN(1,J62+1.96*O62/100))</f>
        <v>0.77794112832974</v>
      </c>
      <c r="R62" s="32" t="str">
        <f aca="false">IF(L62="","",IF(ABS(L62)&lt;=O62,"Yes","No"))</f>
        <v>Yes</v>
      </c>
      <c r="S62" s="32" t="str">
        <f aca="false">IF(L62="","",IF(ABS(L62)&lt;=1.96*O62,"Yes","No"))</f>
        <v>Yes</v>
      </c>
      <c r="T62" s="60" t="n">
        <f aca="false">IF(D62="","",ROUND(SQRT(((D62+G62)*O62/100)^2+(J62*(D62+G62)*0.05437)^2),0))</f>
        <v>491</v>
      </c>
      <c r="U62" s="32"/>
    </row>
    <row r="63" customFormat="false" ht="15" hidden="false" customHeight="false" outlineLevel="0" collapsed="false">
      <c r="A63" s="32" t="s">
        <v>222</v>
      </c>
      <c r="B63" s="32" t="s">
        <v>232</v>
      </c>
      <c r="C63" s="32" t="s">
        <v>164</v>
      </c>
      <c r="D63" s="60" t="n">
        <v>5445</v>
      </c>
      <c r="E63" s="60" t="n">
        <v>5038</v>
      </c>
      <c r="F63" s="69" t="n">
        <f aca="false">IF(E63="","",D63-E63)</f>
        <v>407</v>
      </c>
      <c r="G63" s="60" t="n">
        <v>4510</v>
      </c>
      <c r="H63" s="60" t="n">
        <v>4815</v>
      </c>
      <c r="I63" s="69" t="n">
        <f aca="false">IF(H63="","",G63-H63)</f>
        <v>-305</v>
      </c>
      <c r="J63" s="40" t="n">
        <f aca="false">IF(OR(D63="",D63+G63=0),"",D63/(D63+G63))</f>
        <v>0.546961325966851</v>
      </c>
      <c r="K63" s="40" t="n">
        <f aca="false">IF(E63="","",E63/(E63+H63))</f>
        <v>0.511316350350147</v>
      </c>
      <c r="L63" s="70" t="n">
        <f aca="false">IF(OR(K63="",J63=""),"",(J63-K63)*100)</f>
        <v>3.56449756167038</v>
      </c>
      <c r="M63" s="36" t="n">
        <v>2.09596675951885</v>
      </c>
      <c r="N63" s="36" t="n">
        <v>1.47713199434252</v>
      </c>
      <c r="O63" s="36" t="n">
        <f aca="false">SQRT(M63^2+N63^2)</f>
        <v>2.56417542023128</v>
      </c>
      <c r="P63" s="40" t="n">
        <f aca="false">IF(J63="","",MAX(0,J63-1.96*O63/100))</f>
        <v>0.496703487730318</v>
      </c>
      <c r="Q63" s="40" t="n">
        <f aca="false">IF(J63="","",MIN(1,J63+1.96*O63/100))</f>
        <v>0.597219164203384</v>
      </c>
      <c r="R63" s="32" t="str">
        <f aca="false">IF(L63="","",IF(ABS(L63)&lt;=O63,"Yes","No"))</f>
        <v>No</v>
      </c>
      <c r="S63" s="32" t="str">
        <f aca="false">IF(L63="","",IF(ABS(L63)&lt;=1.96*O63,"Yes","No"))</f>
        <v>Yes</v>
      </c>
      <c r="T63" s="60" t="n">
        <f aca="false">IF(D63="","",ROUND(SQRT(((D63+G63)*O63/100)^2+(J63*(D63+G63)*0.05437)^2),0))</f>
        <v>391</v>
      </c>
      <c r="U63" s="32"/>
    </row>
    <row r="64" customFormat="false" ht="15" hidden="false" customHeight="false" outlineLevel="0" collapsed="false">
      <c r="A64" s="32" t="s">
        <v>222</v>
      </c>
      <c r="B64" s="32" t="s">
        <v>233</v>
      </c>
      <c r="C64" s="32" t="s">
        <v>164</v>
      </c>
      <c r="D64" s="60" t="n">
        <v>759</v>
      </c>
      <c r="E64" s="60" t="n">
        <v>768</v>
      </c>
      <c r="F64" s="69" t="n">
        <f aca="false">IF(E64="","",D64-E64)</f>
        <v>-9</v>
      </c>
      <c r="G64" s="60" t="n">
        <v>404</v>
      </c>
      <c r="H64" s="60" t="n">
        <v>460</v>
      </c>
      <c r="I64" s="69" t="n">
        <f aca="false">IF(H64="","",G64-H64)</f>
        <v>-56</v>
      </c>
      <c r="J64" s="40" t="n">
        <f aca="false">IF(OR(D64="",D64+G64=0),"",D64/(D64+G64))</f>
        <v>0.65262252794497</v>
      </c>
      <c r="K64" s="40" t="n">
        <f aca="false">IF(E64="","",E64/(E64+H64))</f>
        <v>0.625407166123778</v>
      </c>
      <c r="L64" s="70" t="n">
        <f aca="false">IF(OR(K64="",J64=""),"",(J64-K64)*100)</f>
        <v>2.72153618211914</v>
      </c>
      <c r="M64" s="36" t="n">
        <v>3.62720814427021</v>
      </c>
      <c r="N64" s="36" t="n">
        <v>1.47713199434252</v>
      </c>
      <c r="O64" s="36" t="n">
        <f aca="false">SQRT(M64^2+N64^2)</f>
        <v>3.91644709533659</v>
      </c>
      <c r="P64" s="40" t="n">
        <f aca="false">IF(J64="","",MAX(0,J64-1.96*O64/100))</f>
        <v>0.575860164876373</v>
      </c>
      <c r="Q64" s="40" t="n">
        <f aca="false">IF(J64="","",MIN(1,J64+1.96*O64/100))</f>
        <v>0.729384891013567</v>
      </c>
      <c r="R64" s="32" t="str">
        <f aca="false">IF(L64="","",IF(ABS(L64)&lt;=O64,"Yes","No"))</f>
        <v>Yes</v>
      </c>
      <c r="S64" s="32" t="str">
        <f aca="false">IF(L64="","",IF(ABS(L64)&lt;=1.96*O64,"Yes","No"))</f>
        <v>Yes</v>
      </c>
      <c r="T64" s="60" t="n">
        <f aca="false">IF(D64="","",ROUND(SQRT(((D64+G64)*O64/100)^2+(J64*(D64+G64)*0.07717)^2),0))</f>
        <v>74</v>
      </c>
      <c r="U64" s="32"/>
    </row>
    <row r="65" customFormat="false" ht="15" hidden="false" customHeight="false" outlineLevel="0" collapsed="false">
      <c r="A65" s="32" t="s">
        <v>222</v>
      </c>
      <c r="B65" s="32" t="s">
        <v>234</v>
      </c>
      <c r="C65" s="32" t="s">
        <v>164</v>
      </c>
      <c r="D65" s="60" t="n">
        <v>121</v>
      </c>
      <c r="E65" s="60" t="n">
        <v>101</v>
      </c>
      <c r="F65" s="69" t="n">
        <f aca="false">IF(E65="","",D65-E65)</f>
        <v>20</v>
      </c>
      <c r="G65" s="60" t="n">
        <v>81</v>
      </c>
      <c r="H65" s="60" t="n">
        <v>100</v>
      </c>
      <c r="I65" s="69" t="n">
        <f aca="false">IF(H65="","",G65-H65)</f>
        <v>-19</v>
      </c>
      <c r="J65" s="40" t="n">
        <f aca="false">IF(OR(D65="",D65+G65=0),"",D65/(D65+G65))</f>
        <v>0.599009900990099</v>
      </c>
      <c r="K65" s="40" t="n">
        <f aca="false">IF(E65="","",E65/(E65+H65))</f>
        <v>0.502487562189055</v>
      </c>
      <c r="L65" s="70" t="n">
        <f aca="false">IF(OR(K65="",J65=""),"",(J65-K65)*100)</f>
        <v>9.65223388010442</v>
      </c>
      <c r="M65" s="36" t="n">
        <v>3.62720814427021</v>
      </c>
      <c r="N65" s="36" t="n">
        <v>1.47713199434252</v>
      </c>
      <c r="O65" s="36" t="n">
        <f aca="false">SQRT(M65^2+N65^2)</f>
        <v>3.91644709533659</v>
      </c>
      <c r="P65" s="40" t="n">
        <f aca="false">IF(J65="","",MAX(0,J65-1.96*O65/100))</f>
        <v>0.522247537921502</v>
      </c>
      <c r="Q65" s="40" t="n">
        <f aca="false">IF(J65="","",MIN(1,J65+1.96*O65/100))</f>
        <v>0.675772264058696</v>
      </c>
      <c r="R65" s="32" t="str">
        <f aca="false">IF(L65="","",IF(ABS(L65)&lt;=O65,"Yes","No"))</f>
        <v>No</v>
      </c>
      <c r="S65" s="32" t="str">
        <f aca="false">IF(L65="","",IF(ABS(L65)&lt;=1.96*O65,"Yes","No"))</f>
        <v>No</v>
      </c>
      <c r="T65" s="60" t="n">
        <f aca="false">IF(D65="","",ROUND(SQRT(((D65+G65)*O65/100)^2+(J65*(D65+G65)*0.07717)^2),0))</f>
        <v>12</v>
      </c>
      <c r="U65" s="32"/>
    </row>
    <row r="66" customFormat="false" ht="15" hidden="false" customHeight="false" outlineLevel="0" collapsed="false">
      <c r="A66" s="32" t="s">
        <v>222</v>
      </c>
      <c r="B66" s="32" t="s">
        <v>201</v>
      </c>
      <c r="C66" s="32" t="s">
        <v>164</v>
      </c>
      <c r="D66" s="60" t="n">
        <v>4384</v>
      </c>
      <c r="E66" s="60" t="n">
        <v>4234</v>
      </c>
      <c r="F66" s="69" t="n">
        <f aca="false">IF(E66="","",D66-E66)</f>
        <v>150</v>
      </c>
      <c r="G66" s="60" t="n">
        <v>3561</v>
      </c>
      <c r="H66" s="60" t="n">
        <v>3699</v>
      </c>
      <c r="I66" s="69" t="n">
        <f aca="false">IF(H66="","",G66-H66)</f>
        <v>-138</v>
      </c>
      <c r="J66" s="40" t="n">
        <f aca="false">IF(OR(D66="",D66+G66=0),"",D66/(D66+G66))</f>
        <v>0.551793580868471</v>
      </c>
      <c r="K66" s="40" t="n">
        <f aca="false">IF(E66="","",E66/(E66+H66))</f>
        <v>0.533719904197655</v>
      </c>
      <c r="L66" s="70" t="n">
        <f aca="false">IF(OR(K66="",J66=""),"",(J66-K66)*100)</f>
        <v>1.80736766708154</v>
      </c>
      <c r="M66" s="36" t="n">
        <v>2.09596675951885</v>
      </c>
      <c r="N66" s="36" t="n">
        <v>1.47713199434252</v>
      </c>
      <c r="O66" s="36" t="n">
        <f aca="false">SQRT(M66^2+N66^2)</f>
        <v>2.56417542023128</v>
      </c>
      <c r="P66" s="40" t="n">
        <f aca="false">IF(J66="","",MAX(0,J66-1.96*O66/100))</f>
        <v>0.501535742631938</v>
      </c>
      <c r="Q66" s="40" t="n">
        <f aca="false">IF(J66="","",MIN(1,J66+1.96*O66/100))</f>
        <v>0.602051419105004</v>
      </c>
      <c r="R66" s="32" t="str">
        <f aca="false">IF(L66="","",IF(ABS(L66)&lt;=O66,"Yes","No"))</f>
        <v>Yes</v>
      </c>
      <c r="S66" s="32" t="str">
        <f aca="false">IF(L66="","",IF(ABS(L66)&lt;=1.96*O66,"Yes","No"))</f>
        <v>Yes</v>
      </c>
      <c r="T66" s="60" t="n">
        <f aca="false">IF(D66="","",ROUND(SQRT(((D66+G66)*O66/100)^2+(J66*(D66+G66)*0.05437)^2),0))</f>
        <v>314</v>
      </c>
      <c r="U66" s="32"/>
    </row>
    <row r="67" customFormat="false" ht="15" hidden="false" customHeight="false" outlineLevel="0" collapsed="false">
      <c r="A67" s="32" t="s">
        <v>222</v>
      </c>
      <c r="B67" s="32" t="s">
        <v>235</v>
      </c>
      <c r="C67" s="32" t="s">
        <v>164</v>
      </c>
      <c r="D67" s="60" t="n">
        <v>1831</v>
      </c>
      <c r="E67" s="60" t="n">
        <v>1646</v>
      </c>
      <c r="F67" s="69" t="n">
        <f aca="false">IF(E67="","",D67-E67)</f>
        <v>185</v>
      </c>
      <c r="G67" s="60" t="n">
        <v>1474</v>
      </c>
      <c r="H67" s="60" t="n">
        <v>1608</v>
      </c>
      <c r="I67" s="69" t="n">
        <f aca="false">IF(H67="","",G67-H67)</f>
        <v>-134</v>
      </c>
      <c r="J67" s="40" t="n">
        <f aca="false">IF(OR(D67="",D67+G67=0),"",D67/(D67+G67))</f>
        <v>0.554009077155825</v>
      </c>
      <c r="K67" s="40" t="n">
        <f aca="false">IF(E67="","",E67/(E67+H67))</f>
        <v>0.505838967424708</v>
      </c>
      <c r="L67" s="70" t="n">
        <f aca="false">IF(OR(K67="",J67=""),"",(J67-K67)*100)</f>
        <v>4.81701097311165</v>
      </c>
      <c r="M67" s="36" t="n">
        <v>1.74942827115577</v>
      </c>
      <c r="N67" s="36" t="n">
        <v>1.47713199434252</v>
      </c>
      <c r="O67" s="36" t="n">
        <f aca="false">SQRT(M67^2+N67^2)</f>
        <v>2.28963276632507</v>
      </c>
      <c r="P67" s="40" t="n">
        <f aca="false">IF(J67="","",MAX(0,J67-1.96*O67/100))</f>
        <v>0.509132274935853</v>
      </c>
      <c r="Q67" s="40" t="n">
        <f aca="false">IF(J67="","",MIN(1,J67+1.96*O67/100))</f>
        <v>0.598885879375796</v>
      </c>
      <c r="R67" s="32" t="str">
        <f aca="false">IF(L67="","",IF(ABS(L67)&lt;=O67,"Yes","No"))</f>
        <v>No</v>
      </c>
      <c r="S67" s="32" t="str">
        <f aca="false">IF(L67="","",IF(ABS(L67)&lt;=1.96*O67,"Yes","No"))</f>
        <v>No</v>
      </c>
      <c r="T67" s="60" t="n">
        <f aca="false">IF(D67="","",ROUND(SQRT(((D67+G67)*O67/100)^2+(J67*(D67+G67)*0.05992)^2),0))</f>
        <v>133</v>
      </c>
      <c r="U67" s="32"/>
    </row>
    <row r="68" customFormat="false" ht="15" hidden="false" customHeight="false" outlineLevel="0" collapsed="false">
      <c r="A68" s="32" t="s">
        <v>222</v>
      </c>
      <c r="B68" s="32" t="s">
        <v>236</v>
      </c>
      <c r="C68" s="32" t="s">
        <v>164</v>
      </c>
      <c r="D68" s="60" t="n">
        <v>2385</v>
      </c>
      <c r="E68" s="60" t="n">
        <v>2137</v>
      </c>
      <c r="F68" s="69" t="n">
        <f aca="false">IF(E68="","",D68-E68)</f>
        <v>248</v>
      </c>
      <c r="G68" s="60" t="n">
        <v>4042</v>
      </c>
      <c r="H68" s="60" t="n">
        <v>4258</v>
      </c>
      <c r="I68" s="69" t="n">
        <f aca="false">IF(H68="","",G68-H68)</f>
        <v>-216</v>
      </c>
      <c r="J68" s="40" t="n">
        <f aca="false">IF(OR(D68="",D68+G68=0),"",D68/(D68+G68))</f>
        <v>0.371090711062704</v>
      </c>
      <c r="K68" s="40" t="n">
        <f aca="false">IF(E68="","",E68/(E68+H68))</f>
        <v>0.334167318217357</v>
      </c>
      <c r="L68" s="70" t="n">
        <f aca="false">IF(OR(K68="",J68=""),"",(J68-K68)*100)</f>
        <v>3.69233928453469</v>
      </c>
      <c r="M68" s="36" t="n">
        <v>2.09596675951885</v>
      </c>
      <c r="N68" s="36" t="n">
        <v>1.47713199434252</v>
      </c>
      <c r="O68" s="36" t="n">
        <f aca="false">SQRT(M68^2+N68^2)</f>
        <v>2.56417542023128</v>
      </c>
      <c r="P68" s="40" t="n">
        <f aca="false">IF(J68="","",MAX(0,J68-1.96*O68/100))</f>
        <v>0.320832872826171</v>
      </c>
      <c r="Q68" s="40" t="n">
        <f aca="false">IF(J68="","",MIN(1,J68+1.96*O68/100))</f>
        <v>0.421348549299237</v>
      </c>
      <c r="R68" s="32" t="str">
        <f aca="false">IF(L68="","",IF(ABS(L68)&lt;=O68,"Yes","No"))</f>
        <v>No</v>
      </c>
      <c r="S68" s="32" t="str">
        <f aca="false">IF(L68="","",IF(ABS(L68)&lt;=1.96*O68,"Yes","No"))</f>
        <v>Yes</v>
      </c>
      <c r="T68" s="60" t="n">
        <f aca="false">IF(D68="","",ROUND(SQRT(((D68+G68)*O68/100)^2+(J68*(D68+G68)*0.05437)^2),0))</f>
        <v>210</v>
      </c>
      <c r="U68" s="32"/>
    </row>
    <row r="69" customFormat="false" ht="15" hidden="false" customHeight="false" outlineLevel="0" collapsed="false">
      <c r="A69" s="32" t="s">
        <v>222</v>
      </c>
      <c r="B69" s="32" t="s">
        <v>237</v>
      </c>
      <c r="C69" s="32" t="s">
        <v>164</v>
      </c>
      <c r="D69" s="60" t="n">
        <v>683</v>
      </c>
      <c r="E69" s="60" t="n">
        <v>580</v>
      </c>
      <c r="F69" s="69" t="n">
        <f aca="false">IF(E69="","",D69-E69)</f>
        <v>103</v>
      </c>
      <c r="G69" s="60" t="n">
        <v>1102</v>
      </c>
      <c r="H69" s="60" t="n">
        <v>1159</v>
      </c>
      <c r="I69" s="69" t="n">
        <f aca="false">IF(H69="","",G69-H69)</f>
        <v>-57</v>
      </c>
      <c r="J69" s="40" t="n">
        <f aca="false">IF(OR(D69="",D69+G69=0),"",D69/(D69+G69))</f>
        <v>0.382633053221289</v>
      </c>
      <c r="K69" s="40" t="n">
        <f aca="false">IF(E69="","",E69/(E69+H69))</f>
        <v>0.333525014376078</v>
      </c>
      <c r="L69" s="70" t="n">
        <f aca="false">IF(OR(K69="",J69=""),"",(J69-K69)*100)</f>
        <v>4.91080388452103</v>
      </c>
      <c r="M69" s="36" t="n">
        <v>1.74942827115577</v>
      </c>
      <c r="N69" s="36" t="n">
        <v>1.47713199434252</v>
      </c>
      <c r="O69" s="36" t="n">
        <f aca="false">SQRT(M69^2+N69^2)</f>
        <v>2.28963276632507</v>
      </c>
      <c r="P69" s="40" t="n">
        <f aca="false">IF(J69="","",MAX(0,J69-1.96*O69/100))</f>
        <v>0.337756251001317</v>
      </c>
      <c r="Q69" s="40" t="n">
        <f aca="false">IF(J69="","",MIN(1,J69+1.96*O69/100))</f>
        <v>0.42750985544126</v>
      </c>
      <c r="R69" s="32" t="str">
        <f aca="false">IF(L69="","",IF(ABS(L69)&lt;=O69,"Yes","No"))</f>
        <v>No</v>
      </c>
      <c r="S69" s="32" t="str">
        <f aca="false">IF(L69="","",IF(ABS(L69)&lt;=1.96*O69,"Yes","No"))</f>
        <v>No</v>
      </c>
      <c r="T69" s="60" t="n">
        <f aca="false">IF(D69="","",ROUND(SQRT(((D69+G69)*O69/100)^2+(J69*(D69+G69)*0.05992)^2),0))</f>
        <v>58</v>
      </c>
      <c r="U69" s="32"/>
    </row>
    <row r="70" customFormat="false" ht="15" hidden="false" customHeight="false" outlineLevel="0" collapsed="false">
      <c r="A70" s="32" t="s">
        <v>222</v>
      </c>
      <c r="B70" s="32" t="s">
        <v>238</v>
      </c>
      <c r="C70" s="32" t="s">
        <v>164</v>
      </c>
      <c r="D70" s="60" t="n">
        <v>1999</v>
      </c>
      <c r="E70" s="60" t="n">
        <v>1879</v>
      </c>
      <c r="F70" s="69" t="n">
        <f aca="false">IF(E70="","",D70-E70)</f>
        <v>120</v>
      </c>
      <c r="G70" s="60" t="n">
        <v>2436</v>
      </c>
      <c r="H70" s="60" t="n">
        <v>2565</v>
      </c>
      <c r="I70" s="69" t="n">
        <f aca="false">IF(H70="","",G70-H70)</f>
        <v>-129</v>
      </c>
      <c r="J70" s="40" t="n">
        <f aca="false">IF(OR(D70="",D70+G70=0),"",D70/(D70+G70))</f>
        <v>0.450732807215333</v>
      </c>
      <c r="K70" s="40" t="n">
        <f aca="false">IF(E70="","",E70/(E70+H70))</f>
        <v>0.422817281728173</v>
      </c>
      <c r="L70" s="70" t="n">
        <f aca="false">IF(OR(K70="",J70=""),"",(J70-K70)*100)</f>
        <v>2.79155254871598</v>
      </c>
      <c r="M70" s="36" t="n">
        <v>2.09596675951885</v>
      </c>
      <c r="N70" s="36" t="n">
        <v>1.47713199434252</v>
      </c>
      <c r="O70" s="36" t="n">
        <f aca="false">SQRT(M70^2+N70^2)</f>
        <v>2.56417542023128</v>
      </c>
      <c r="P70" s="40" t="n">
        <f aca="false">IF(J70="","",MAX(0,J70-1.96*O70/100))</f>
        <v>0.4004749689788</v>
      </c>
      <c r="Q70" s="40" t="n">
        <f aca="false">IF(J70="","",MIN(1,J70+1.96*O70/100))</f>
        <v>0.500990645451866</v>
      </c>
      <c r="R70" s="32" t="str">
        <f aca="false">IF(L70="","",IF(ABS(L70)&lt;=O70,"Yes","No"))</f>
        <v>No</v>
      </c>
      <c r="S70" s="32" t="str">
        <f aca="false">IF(L70="","",IF(ABS(L70)&lt;=1.96*O70,"Yes","No"))</f>
        <v>Yes</v>
      </c>
      <c r="T70" s="60" t="n">
        <f aca="false">IF(D70="","",ROUND(SQRT(((D70+G70)*O70/100)^2+(J70*(D70+G70)*0.05437)^2),0))</f>
        <v>157</v>
      </c>
      <c r="U70" s="32"/>
    </row>
    <row r="71" customFormat="false" ht="15" hidden="false" customHeight="false" outlineLevel="0" collapsed="false">
      <c r="A71" s="32" t="s">
        <v>222</v>
      </c>
      <c r="B71" s="32" t="s">
        <v>239</v>
      </c>
      <c r="C71" s="32" t="s">
        <v>164</v>
      </c>
      <c r="D71" s="60" t="n">
        <v>3555</v>
      </c>
      <c r="E71" s="60" t="n">
        <v>3370</v>
      </c>
      <c r="F71" s="69" t="n">
        <f aca="false">IF(E71="","",D71-E71)</f>
        <v>185</v>
      </c>
      <c r="G71" s="60" t="n">
        <v>3685</v>
      </c>
      <c r="H71" s="60" t="n">
        <v>3831</v>
      </c>
      <c r="I71" s="69" t="n">
        <f aca="false">IF(H71="","",G71-H71)</f>
        <v>-146</v>
      </c>
      <c r="J71" s="40" t="n">
        <f aca="false">IF(OR(D71="",D71+G71=0),"",D71/(D71+G71))</f>
        <v>0.491022099447514</v>
      </c>
      <c r="K71" s="40" t="n">
        <f aca="false">IF(E71="","",E71/(E71+H71))</f>
        <v>0.467990556867102</v>
      </c>
      <c r="L71" s="70" t="n">
        <f aca="false">IF(OR(K71="",J71=""),"",(J71-K71)*100)</f>
        <v>2.3031542580412</v>
      </c>
      <c r="M71" s="36" t="n">
        <v>2.09596675951885</v>
      </c>
      <c r="N71" s="36" t="n">
        <v>1.47713199434252</v>
      </c>
      <c r="O71" s="36" t="n">
        <f aca="false">SQRT(M71^2+N71^2)</f>
        <v>2.56417542023128</v>
      </c>
      <c r="P71" s="40" t="n">
        <f aca="false">IF(J71="","",MAX(0,J71-1.96*O71/100))</f>
        <v>0.440764261210981</v>
      </c>
      <c r="Q71" s="40" t="n">
        <f aca="false">IF(J71="","",MIN(1,J71+1.96*O71/100))</f>
        <v>0.541279937684047</v>
      </c>
      <c r="R71" s="32" t="str">
        <f aca="false">IF(L71="","",IF(ABS(L71)&lt;=O71,"Yes","No"))</f>
        <v>Yes</v>
      </c>
      <c r="S71" s="32" t="str">
        <f aca="false">IF(L71="","",IF(ABS(L71)&lt;=1.96*O71,"Yes","No"))</f>
        <v>Yes</v>
      </c>
      <c r="T71" s="60" t="n">
        <f aca="false">IF(D71="","",ROUND(SQRT(((D71+G71)*O71/100)^2+(J71*(D71+G71)*0.05437)^2),0))</f>
        <v>268</v>
      </c>
      <c r="U71" s="32"/>
    </row>
    <row r="72" customFormat="false" ht="15" hidden="false" customHeight="false" outlineLevel="0" collapsed="false">
      <c r="A72" s="32" t="s">
        <v>222</v>
      </c>
      <c r="B72" s="32" t="s">
        <v>240</v>
      </c>
      <c r="C72" s="32" t="s">
        <v>164</v>
      </c>
      <c r="D72" s="60" t="n">
        <v>2181</v>
      </c>
      <c r="E72" s="60" t="n">
        <v>1920</v>
      </c>
      <c r="F72" s="69" t="n">
        <f aca="false">IF(E72="","",D72-E72)</f>
        <v>261</v>
      </c>
      <c r="G72" s="60" t="n">
        <v>3716</v>
      </c>
      <c r="H72" s="60" t="n">
        <v>3865</v>
      </c>
      <c r="I72" s="69" t="n">
        <f aca="false">IF(H72="","",G72-H72)</f>
        <v>-149</v>
      </c>
      <c r="J72" s="40" t="n">
        <f aca="false">IF(OR(D72="",D72+G72=0),"",D72/(D72+G72))</f>
        <v>0.369849075801255</v>
      </c>
      <c r="K72" s="40" t="n">
        <f aca="false">IF(E72="","",E72/(E72+H72))</f>
        <v>0.331892826274849</v>
      </c>
      <c r="L72" s="70" t="n">
        <f aca="false">IF(OR(K72="",J72=""),"",(J72-K72)*100)</f>
        <v>3.79562495264061</v>
      </c>
      <c r="M72" s="36" t="n">
        <v>2.09596675951885</v>
      </c>
      <c r="N72" s="36" t="n">
        <v>1.47713199434252</v>
      </c>
      <c r="O72" s="36" t="n">
        <f aca="false">SQRT(M72^2+N72^2)</f>
        <v>2.56417542023128</v>
      </c>
      <c r="P72" s="40" t="n">
        <f aca="false">IF(J72="","",MAX(0,J72-1.96*O72/100))</f>
        <v>0.319591237564722</v>
      </c>
      <c r="Q72" s="40" t="n">
        <f aca="false">IF(J72="","",MIN(1,J72+1.96*O72/100))</f>
        <v>0.420106914037788</v>
      </c>
      <c r="R72" s="32" t="str">
        <f aca="false">IF(L72="","",IF(ABS(L72)&lt;=O72,"Yes","No"))</f>
        <v>No</v>
      </c>
      <c r="S72" s="32" t="str">
        <f aca="false">IF(L72="","",IF(ABS(L72)&lt;=1.96*O72,"Yes","No"))</f>
        <v>Yes</v>
      </c>
      <c r="T72" s="60" t="n">
        <f aca="false">IF(D72="","",ROUND(SQRT(((D72+G72)*O72/100)^2+(J72*(D72+G72)*0.05437)^2),0))</f>
        <v>192</v>
      </c>
      <c r="U72" s="32"/>
    </row>
    <row r="73" customFormat="false" ht="15" hidden="false" customHeight="false" outlineLevel="0" collapsed="false">
      <c r="A73" s="32" t="s">
        <v>222</v>
      </c>
      <c r="B73" s="32" t="s">
        <v>241</v>
      </c>
      <c r="C73" s="32" t="s">
        <v>164</v>
      </c>
      <c r="D73" s="60" t="n">
        <v>1709</v>
      </c>
      <c r="E73" s="60" t="n">
        <v>1490</v>
      </c>
      <c r="F73" s="69" t="n">
        <f aca="false">IF(E73="","",D73-E73)</f>
        <v>219</v>
      </c>
      <c r="G73" s="60" t="n">
        <v>1500</v>
      </c>
      <c r="H73" s="60" t="n">
        <v>1627</v>
      </c>
      <c r="I73" s="69" t="n">
        <f aca="false">IF(H73="","",G73-H73)</f>
        <v>-127</v>
      </c>
      <c r="J73" s="40" t="n">
        <f aca="false">IF(OR(D73="",D73+G73=0),"",D73/(D73+G73))</f>
        <v>0.532564661888439</v>
      </c>
      <c r="K73" s="40" t="n">
        <f aca="false">IF(E73="","",E73/(E73+H73))</f>
        <v>0.478023740776388</v>
      </c>
      <c r="L73" s="70" t="n">
        <f aca="false">IF(OR(K73="",J73=""),"",(J73-K73)*100)</f>
        <v>5.45409211120512</v>
      </c>
      <c r="M73" s="36" t="n">
        <v>1.74942827115577</v>
      </c>
      <c r="N73" s="36" t="n">
        <v>1.47713199434252</v>
      </c>
      <c r="O73" s="36" t="n">
        <f aca="false">SQRT(M73^2+N73^2)</f>
        <v>2.28963276632507</v>
      </c>
      <c r="P73" s="40" t="n">
        <f aca="false">IF(J73="","",MAX(0,J73-1.96*O73/100))</f>
        <v>0.487687859668468</v>
      </c>
      <c r="Q73" s="40" t="n">
        <f aca="false">IF(J73="","",MIN(1,J73+1.96*O73/100))</f>
        <v>0.57744146410841</v>
      </c>
      <c r="R73" s="32" t="str">
        <f aca="false">IF(L73="","",IF(ABS(L73)&lt;=O73,"Yes","No"))</f>
        <v>No</v>
      </c>
      <c r="S73" s="32" t="str">
        <f aca="false">IF(L73="","",IF(ABS(L73)&lt;=1.96*O73,"Yes","No"))</f>
        <v>No</v>
      </c>
      <c r="T73" s="60" t="n">
        <f aca="false">IF(D73="","",ROUND(SQRT(((D73+G73)*O73/100)^2+(J73*(D73+G73)*0.05992)^2),0))</f>
        <v>126</v>
      </c>
      <c r="U73" s="32"/>
    </row>
    <row r="74" customFormat="false" ht="15" hidden="false" customHeight="false" outlineLevel="0" collapsed="false">
      <c r="A74" s="32" t="s">
        <v>222</v>
      </c>
      <c r="B74" s="32" t="s">
        <v>242</v>
      </c>
      <c r="C74" s="32" t="s">
        <v>164</v>
      </c>
      <c r="D74" s="60" t="n">
        <v>796</v>
      </c>
      <c r="E74" s="60" t="n">
        <v>731</v>
      </c>
      <c r="F74" s="69" t="n">
        <f aca="false">IF(E74="","",D74-E74)</f>
        <v>65</v>
      </c>
      <c r="G74" s="60" t="n">
        <v>743</v>
      </c>
      <c r="H74" s="60" t="n">
        <v>843</v>
      </c>
      <c r="I74" s="69" t="n">
        <f aca="false">IF(H74="","",G74-H74)</f>
        <v>-100</v>
      </c>
      <c r="J74" s="40" t="n">
        <f aca="false">IF(OR(D74="",D74+G74=0),"",D74/(D74+G74))</f>
        <v>0.517218973359324</v>
      </c>
      <c r="K74" s="40" t="n">
        <f aca="false">IF(E74="","",E74/(E74+H74))</f>
        <v>0.464421855146125</v>
      </c>
      <c r="L74" s="70" t="n">
        <f aca="false">IF(OR(K74="",J74=""),"",(J74-K74)*100)</f>
        <v>5.27971182131997</v>
      </c>
      <c r="M74" s="36" t="n">
        <v>1.74942827115577</v>
      </c>
      <c r="N74" s="36" t="n">
        <v>1.47713199434252</v>
      </c>
      <c r="O74" s="36" t="n">
        <f aca="false">SQRT(M74^2+N74^2)</f>
        <v>2.28963276632507</v>
      </c>
      <c r="P74" s="40" t="n">
        <f aca="false">IF(J74="","",MAX(0,J74-1.96*O74/100))</f>
        <v>0.472342171139353</v>
      </c>
      <c r="Q74" s="40" t="n">
        <f aca="false">IF(J74="","",MIN(1,J74+1.96*O74/100))</f>
        <v>0.562095775579296</v>
      </c>
      <c r="R74" s="32" t="str">
        <f aca="false">IF(L74="","",IF(ABS(L74)&lt;=O74,"Yes","No"))</f>
        <v>No</v>
      </c>
      <c r="S74" s="32" t="str">
        <f aca="false">IF(L74="","",IF(ABS(L74)&lt;=1.96*O74,"Yes","No"))</f>
        <v>No</v>
      </c>
      <c r="T74" s="60" t="n">
        <f aca="false">IF(D74="","",ROUND(SQRT(((D74+G74)*O74/100)^2+(J74*(D74+G74)*0.05992)^2),0))</f>
        <v>59</v>
      </c>
      <c r="U74" s="32"/>
    </row>
    <row r="75" customFormat="false" ht="15" hidden="false" customHeight="false" outlineLevel="0" collapsed="false">
      <c r="A75" s="32" t="s">
        <v>222</v>
      </c>
      <c r="B75" s="32" t="s">
        <v>243</v>
      </c>
      <c r="C75" s="32" t="s">
        <v>164</v>
      </c>
      <c r="D75" s="60" t="n">
        <v>2647</v>
      </c>
      <c r="E75" s="60" t="n">
        <v>2355</v>
      </c>
      <c r="F75" s="69" t="n">
        <f aca="false">IF(E75="","",D75-E75)</f>
        <v>292</v>
      </c>
      <c r="G75" s="60" t="n">
        <v>2542</v>
      </c>
      <c r="H75" s="60" t="n">
        <v>2934</v>
      </c>
      <c r="I75" s="69" t="n">
        <f aca="false">IF(H75="","",G75-H75)</f>
        <v>-392</v>
      </c>
      <c r="J75" s="40" t="n">
        <f aca="false">IF(OR(D75="",D75+G75=0),"",D75/(D75+G75))</f>
        <v>0.510117556369243</v>
      </c>
      <c r="K75" s="40" t="n">
        <f aca="false">IF(E75="","",E75/(E75+H75))</f>
        <v>0.445263754963131</v>
      </c>
      <c r="L75" s="70" t="n">
        <f aca="false">IF(OR(K75="",J75=""),"",(J75-K75)*100)</f>
        <v>6.48538014061116</v>
      </c>
      <c r="M75" s="36" t="n">
        <v>2.09596675951885</v>
      </c>
      <c r="N75" s="36" t="n">
        <v>1.47713199434252</v>
      </c>
      <c r="O75" s="36" t="n">
        <f aca="false">SQRT(M75^2+N75^2)</f>
        <v>2.56417542023128</v>
      </c>
      <c r="P75" s="40" t="n">
        <f aca="false">IF(J75="","",MAX(0,J75-1.96*O75/100))</f>
        <v>0.45985971813271</v>
      </c>
      <c r="Q75" s="40" t="n">
        <f aca="false">IF(J75="","",MIN(1,J75+1.96*O75/100))</f>
        <v>0.560375394605776</v>
      </c>
      <c r="R75" s="32" t="str">
        <f aca="false">IF(L75="","",IF(ABS(L75)&lt;=O75,"Yes","No"))</f>
        <v>No</v>
      </c>
      <c r="S75" s="32" t="str">
        <f aca="false">IF(L75="","",IF(ABS(L75)&lt;=1.96*O75,"Yes","No"))</f>
        <v>No</v>
      </c>
      <c r="T75" s="60" t="n">
        <f aca="false">IF(D75="","",ROUND(SQRT(((D75+G75)*O75/100)^2+(J75*(D75+G75)*0.05437)^2),0))</f>
        <v>196</v>
      </c>
      <c r="U75" s="32"/>
    </row>
    <row r="76" customFormat="false" ht="15" hidden="false" customHeight="false" outlineLevel="0" collapsed="false">
      <c r="A76" s="32" t="s">
        <v>222</v>
      </c>
      <c r="B76" s="32" t="s">
        <v>244</v>
      </c>
      <c r="C76" s="32" t="s">
        <v>164</v>
      </c>
      <c r="D76" s="60" t="n">
        <v>7300</v>
      </c>
      <c r="E76" s="60" t="n">
        <v>6698</v>
      </c>
      <c r="F76" s="69" t="n">
        <f aca="false">IF(E76="","",D76-E76)</f>
        <v>602</v>
      </c>
      <c r="G76" s="60" t="n">
        <v>5947</v>
      </c>
      <c r="H76" s="60" t="n">
        <v>6630</v>
      </c>
      <c r="I76" s="69" t="n">
        <f aca="false">IF(H76="","",G76-H76)</f>
        <v>-683</v>
      </c>
      <c r="J76" s="40" t="n">
        <f aca="false">IF(OR(D76="",D76+G76=0),"",D76/(D76+G76))</f>
        <v>0.551068166377293</v>
      </c>
      <c r="K76" s="40" t="n">
        <f aca="false">IF(E76="","",E76/(E76+H76))</f>
        <v>0.502551020408163</v>
      </c>
      <c r="L76" s="70" t="n">
        <f aca="false">IF(OR(K76="",J76=""),"",(J76-K76)*100)</f>
        <v>4.85171459691297</v>
      </c>
      <c r="M76" s="36" t="n">
        <v>2.09596675951885</v>
      </c>
      <c r="N76" s="36" t="n">
        <v>1.47713199434252</v>
      </c>
      <c r="O76" s="36" t="n">
        <f aca="false">SQRT(M76^2+N76^2)</f>
        <v>2.56417542023128</v>
      </c>
      <c r="P76" s="40" t="n">
        <f aca="false">IF(J76="","",MAX(0,J76-1.96*O76/100))</f>
        <v>0.50081032814076</v>
      </c>
      <c r="Q76" s="40" t="n">
        <f aca="false">IF(J76="","",MIN(1,J76+1.96*O76/100))</f>
        <v>0.601326004613826</v>
      </c>
      <c r="R76" s="32" t="str">
        <f aca="false">IF(L76="","",IF(ABS(L76)&lt;=O76,"Yes","No"))</f>
        <v>No</v>
      </c>
      <c r="S76" s="32" t="str">
        <f aca="false">IF(L76="","",IF(ABS(L76)&lt;=1.96*O76,"Yes","No"))</f>
        <v>Yes</v>
      </c>
      <c r="T76" s="60" t="n">
        <f aca="false">IF(D76="","",ROUND(SQRT(((D76+G76)*O76/100)^2+(J76*(D76+G76)*0.05437)^2),0))</f>
        <v>522</v>
      </c>
      <c r="U76" s="32"/>
    </row>
    <row r="77" customFormat="false" ht="15" hidden="false" customHeight="false" outlineLevel="0" collapsed="false">
      <c r="A77" s="32" t="s">
        <v>222</v>
      </c>
      <c r="B77" s="32" t="s">
        <v>245</v>
      </c>
      <c r="C77" s="32" t="s">
        <v>164</v>
      </c>
      <c r="D77" s="60" t="n">
        <v>748</v>
      </c>
      <c r="E77" s="60" t="n">
        <v>678</v>
      </c>
      <c r="F77" s="69" t="n">
        <f aca="false">IF(E77="","",D77-E77)</f>
        <v>70</v>
      </c>
      <c r="G77" s="60" t="n">
        <v>1055</v>
      </c>
      <c r="H77" s="60" t="n">
        <v>1089</v>
      </c>
      <c r="I77" s="69" t="n">
        <f aca="false">IF(H77="","",G77-H77)</f>
        <v>-34</v>
      </c>
      <c r="J77" s="40" t="n">
        <f aca="false">IF(OR(D77="",D77+G77=0),"",D77/(D77+G77))</f>
        <v>0.414864115363283</v>
      </c>
      <c r="K77" s="40" t="n">
        <f aca="false">IF(E77="","",E77/(E77+H77))</f>
        <v>0.383701188455009</v>
      </c>
      <c r="L77" s="70" t="n">
        <f aca="false">IF(OR(K77="",J77=""),"",(J77-K77)*100)</f>
        <v>3.11629269082749</v>
      </c>
      <c r="M77" s="36" t="n">
        <v>1.74942827115577</v>
      </c>
      <c r="N77" s="36" t="n">
        <v>1.47713199434252</v>
      </c>
      <c r="O77" s="36" t="n">
        <f aca="false">SQRT(M77^2+N77^2)</f>
        <v>2.28963276632507</v>
      </c>
      <c r="P77" s="40" t="n">
        <f aca="false">IF(J77="","",MAX(0,J77-1.96*O77/100))</f>
        <v>0.369987313143312</v>
      </c>
      <c r="Q77" s="40" t="n">
        <f aca="false">IF(J77="","",MIN(1,J77+1.96*O77/100))</f>
        <v>0.459740917583255</v>
      </c>
      <c r="R77" s="32" t="str">
        <f aca="false">IF(L77="","",IF(ABS(L77)&lt;=O77,"Yes","No"))</f>
        <v>No</v>
      </c>
      <c r="S77" s="32" t="str">
        <f aca="false">IF(L77="","",IF(ABS(L77)&lt;=1.96*O77,"Yes","No"))</f>
        <v>Yes</v>
      </c>
      <c r="T77" s="60" t="n">
        <f aca="false">IF(D77="","",ROUND(SQRT(((D77+G77)*O77/100)^2+(J77*(D77+G77)*0.05992)^2),0))</f>
        <v>61</v>
      </c>
      <c r="U77" s="32"/>
    </row>
    <row r="78" customFormat="false" ht="15" hidden="false" customHeight="false" outlineLevel="0" collapsed="false">
      <c r="A78" s="32" t="s">
        <v>222</v>
      </c>
      <c r="B78" s="32" t="s">
        <v>246</v>
      </c>
      <c r="C78" s="32" t="s">
        <v>164</v>
      </c>
      <c r="D78" s="60" t="n">
        <v>1493</v>
      </c>
      <c r="E78" s="60" t="n">
        <v>1368</v>
      </c>
      <c r="F78" s="69" t="n">
        <f aca="false">IF(E78="","",D78-E78)</f>
        <v>125</v>
      </c>
      <c r="G78" s="60" t="n">
        <v>2367</v>
      </c>
      <c r="H78" s="60" t="n">
        <v>2520</v>
      </c>
      <c r="I78" s="69" t="n">
        <f aca="false">IF(H78="","",G78-H78)</f>
        <v>-153</v>
      </c>
      <c r="J78" s="40" t="n">
        <f aca="false">IF(OR(D78="",D78+G78=0),"",D78/(D78+G78))</f>
        <v>0.386787564766839</v>
      </c>
      <c r="K78" s="40" t="n">
        <f aca="false">IF(E78="","",E78/(E78+H78))</f>
        <v>0.351851851851852</v>
      </c>
      <c r="L78" s="70" t="n">
        <f aca="false">IF(OR(K78="",J78=""),"",(J78-K78)*100)</f>
        <v>3.49357129149875</v>
      </c>
      <c r="M78" s="36" t="n">
        <v>2.09596675951885</v>
      </c>
      <c r="N78" s="36" t="n">
        <v>1.47713199434252</v>
      </c>
      <c r="O78" s="36" t="n">
        <f aca="false">SQRT(M78^2+N78^2)</f>
        <v>2.56417542023128</v>
      </c>
      <c r="P78" s="40" t="n">
        <f aca="false">IF(J78="","",MAX(0,J78-1.96*O78/100))</f>
        <v>0.336529726530306</v>
      </c>
      <c r="Q78" s="40" t="n">
        <f aca="false">IF(J78="","",MIN(1,J78+1.96*O78/100))</f>
        <v>0.437045403003372</v>
      </c>
      <c r="R78" s="32" t="str">
        <f aca="false">IF(L78="","",IF(ABS(L78)&lt;=O78,"Yes","No"))</f>
        <v>No</v>
      </c>
      <c r="S78" s="32" t="str">
        <f aca="false">IF(L78="","",IF(ABS(L78)&lt;=1.96*O78,"Yes","No"))</f>
        <v>Yes</v>
      </c>
      <c r="T78" s="60" t="n">
        <f aca="false">IF(D78="","",ROUND(SQRT(((D78+G78)*O78/100)^2+(J78*(D78+G78)*0.05437)^2),0))</f>
        <v>128</v>
      </c>
      <c r="U78" s="32"/>
    </row>
    <row r="79" customFormat="false" ht="15" hidden="false" customHeight="false" outlineLevel="0" collapsed="false">
      <c r="A79" s="32" t="s">
        <v>222</v>
      </c>
      <c r="B79" s="32" t="s">
        <v>247</v>
      </c>
      <c r="C79" s="32" t="s">
        <v>164</v>
      </c>
      <c r="D79" s="60" t="n">
        <v>96</v>
      </c>
      <c r="E79" s="60" t="n">
        <v>82</v>
      </c>
      <c r="F79" s="69" t="n">
        <f aca="false">IF(E79="","",D79-E79)</f>
        <v>14</v>
      </c>
      <c r="G79" s="60" t="n">
        <v>167</v>
      </c>
      <c r="H79" s="60" t="n">
        <v>171</v>
      </c>
      <c r="I79" s="69" t="n">
        <f aca="false">IF(H79="","",G79-H79)</f>
        <v>-4</v>
      </c>
      <c r="J79" s="40" t="n">
        <f aca="false">IF(OR(D79="",D79+G79=0),"",D79/(D79+G79))</f>
        <v>0.365019011406844</v>
      </c>
      <c r="K79" s="40" t="n">
        <f aca="false">IF(E79="","",E79/(E79+H79))</f>
        <v>0.324110671936759</v>
      </c>
      <c r="L79" s="70" t="n">
        <f aca="false">IF(OR(K79="",J79=""),"",(J79-K79)*100)</f>
        <v>4.09083394700852</v>
      </c>
      <c r="M79" s="36" t="n">
        <v>3.62720814427021</v>
      </c>
      <c r="N79" s="36" t="n">
        <v>1.47713199434252</v>
      </c>
      <c r="O79" s="36" t="n">
        <f aca="false">SQRT(M79^2+N79^2)</f>
        <v>3.91644709533659</v>
      </c>
      <c r="P79" s="40" t="n">
        <f aca="false">IF(J79="","",MAX(0,J79-1.96*O79/100))</f>
        <v>0.288256648338247</v>
      </c>
      <c r="Q79" s="40" t="n">
        <f aca="false">IF(J79="","",MIN(1,J79+1.96*O79/100))</f>
        <v>0.441781374475441</v>
      </c>
      <c r="R79" s="32" t="str">
        <f aca="false">IF(L79="","",IF(ABS(L79)&lt;=O79,"Yes","No"))</f>
        <v>No</v>
      </c>
      <c r="S79" s="32" t="str">
        <f aca="false">IF(L79="","",IF(ABS(L79)&lt;=1.96*O79,"Yes","No"))</f>
        <v>Yes</v>
      </c>
      <c r="T79" s="60" t="n">
        <f aca="false">IF(D79="","",ROUND(SQRT(((D79+G79)*O79/100)^2+(J79*(D79+G79)*0.07717)^2),0))</f>
        <v>13</v>
      </c>
      <c r="U79" s="32"/>
    </row>
    <row r="80" customFormat="false" ht="15" hidden="false" customHeight="false" outlineLevel="0" collapsed="false">
      <c r="A80" s="32" t="s">
        <v>222</v>
      </c>
      <c r="B80" s="32" t="s">
        <v>248</v>
      </c>
      <c r="C80" s="32" t="s">
        <v>164</v>
      </c>
      <c r="D80" s="60" t="n">
        <v>386</v>
      </c>
      <c r="E80" s="60" t="n">
        <v>331</v>
      </c>
      <c r="F80" s="69" t="n">
        <f aca="false">IF(E80="","",D80-E80)</f>
        <v>55</v>
      </c>
      <c r="G80" s="60" t="n">
        <v>501</v>
      </c>
      <c r="H80" s="60" t="n">
        <v>571</v>
      </c>
      <c r="I80" s="69" t="n">
        <f aca="false">IF(H80="","",G80-H80)</f>
        <v>-70</v>
      </c>
      <c r="J80" s="40" t="n">
        <f aca="false">IF(OR(D80="",D80+G80=0),"",D80/(D80+G80))</f>
        <v>0.435174746335964</v>
      </c>
      <c r="K80" s="40" t="n">
        <f aca="false">IF(E80="","",E80/(E80+H80))</f>
        <v>0.366962305986696</v>
      </c>
      <c r="L80" s="70" t="n">
        <f aca="false">IF(OR(K80="",J80=""),"",(J80-K80)*100)</f>
        <v>6.82124403492677</v>
      </c>
      <c r="M80" s="36" t="n">
        <v>3.62720814427021</v>
      </c>
      <c r="N80" s="36" t="n">
        <v>1.47713199434252</v>
      </c>
      <c r="O80" s="36" t="n">
        <f aca="false">SQRT(M80^2+N80^2)</f>
        <v>3.91644709533659</v>
      </c>
      <c r="P80" s="40" t="n">
        <f aca="false">IF(J80="","",MAX(0,J80-1.96*O80/100))</f>
        <v>0.358412383267367</v>
      </c>
      <c r="Q80" s="40" t="n">
        <f aca="false">IF(J80="","",MIN(1,J80+1.96*O80/100))</f>
        <v>0.511937109404561</v>
      </c>
      <c r="R80" s="32" t="str">
        <f aca="false">IF(L80="","",IF(ABS(L80)&lt;=O80,"Yes","No"))</f>
        <v>No</v>
      </c>
      <c r="S80" s="32" t="str">
        <f aca="false">IF(L80="","",IF(ABS(L80)&lt;=1.96*O80,"Yes","No"))</f>
        <v>Yes</v>
      </c>
      <c r="T80" s="60" t="n">
        <f aca="false">IF(D80="","",ROUND(SQRT(((D80+G80)*O80/100)^2+(J80*(D80+G80)*0.07717)^2),0))</f>
        <v>46</v>
      </c>
      <c r="U80" s="32"/>
    </row>
    <row r="81" customFormat="false" ht="15" hidden="false" customHeight="false" outlineLevel="0" collapsed="false">
      <c r="A81" s="32" t="s">
        <v>222</v>
      </c>
      <c r="B81" s="32" t="s">
        <v>249</v>
      </c>
      <c r="C81" s="32" t="s">
        <v>164</v>
      </c>
      <c r="D81" s="60" t="n">
        <v>243</v>
      </c>
      <c r="E81" s="60" t="n">
        <v>212</v>
      </c>
      <c r="F81" s="69" t="n">
        <f aca="false">IF(E81="","",D81-E81)</f>
        <v>31</v>
      </c>
      <c r="G81" s="60" t="n">
        <v>282</v>
      </c>
      <c r="H81" s="60" t="n">
        <v>308</v>
      </c>
      <c r="I81" s="69" t="n">
        <f aca="false">IF(H81="","",G81-H81)</f>
        <v>-26</v>
      </c>
      <c r="J81" s="40" t="n">
        <f aca="false">IF(OR(D81="",D81+G81=0),"",D81/(D81+G81))</f>
        <v>0.462857142857143</v>
      </c>
      <c r="K81" s="40" t="n">
        <f aca="false">IF(E81="","",E81/(E81+H81))</f>
        <v>0.407692307692308</v>
      </c>
      <c r="L81" s="70" t="n">
        <f aca="false">IF(OR(K81="",J81=""),"",(J81-K81)*100)</f>
        <v>5.51648351648352</v>
      </c>
      <c r="M81" s="36" t="n">
        <v>3.62720814427021</v>
      </c>
      <c r="N81" s="36" t="n">
        <v>1.47713199434252</v>
      </c>
      <c r="O81" s="36" t="n">
        <f aca="false">SQRT(M81^2+N81^2)</f>
        <v>3.91644709533659</v>
      </c>
      <c r="P81" s="40" t="n">
        <f aca="false">IF(J81="","",MAX(0,J81-1.96*O81/100))</f>
        <v>0.386094779788546</v>
      </c>
      <c r="Q81" s="40" t="n">
        <f aca="false">IF(J81="","",MIN(1,J81+1.96*O81/100))</f>
        <v>0.53961950592574</v>
      </c>
      <c r="R81" s="32" t="str">
        <f aca="false">IF(L81="","",IF(ABS(L81)&lt;=O81,"Yes","No"))</f>
        <v>No</v>
      </c>
      <c r="S81" s="32" t="str">
        <f aca="false">IF(L81="","",IF(ABS(L81)&lt;=1.96*O81,"Yes","No"))</f>
        <v>Yes</v>
      </c>
      <c r="T81" s="60" t="n">
        <f aca="false">IF(D81="","",ROUND(SQRT(((D81+G81)*O81/100)^2+(J81*(D81+G81)*0.07717)^2),0))</f>
        <v>28</v>
      </c>
      <c r="U81" s="32"/>
    </row>
    <row r="82" customFormat="false" ht="15" hidden="false" customHeight="false" outlineLevel="0" collapsed="false">
      <c r="A82" s="32" t="s">
        <v>222</v>
      </c>
      <c r="B82" s="32" t="s">
        <v>250</v>
      </c>
      <c r="C82" s="32" t="s">
        <v>164</v>
      </c>
      <c r="D82" s="60" t="n">
        <v>308</v>
      </c>
      <c r="E82" s="60" t="n">
        <v>272</v>
      </c>
      <c r="F82" s="69" t="n">
        <f aca="false">IF(E82="","",D82-E82)</f>
        <v>36</v>
      </c>
      <c r="G82" s="60" t="n">
        <v>379</v>
      </c>
      <c r="H82" s="60" t="n">
        <v>400</v>
      </c>
      <c r="I82" s="69" t="n">
        <f aca="false">IF(H82="","",G82-H82)</f>
        <v>-21</v>
      </c>
      <c r="J82" s="40" t="n">
        <f aca="false">IF(OR(D82="",D82+G82=0),"",D82/(D82+G82))</f>
        <v>0.448326055312955</v>
      </c>
      <c r="K82" s="40" t="n">
        <f aca="false">IF(E82="","",E82/(E82+H82))</f>
        <v>0.404761904761905</v>
      </c>
      <c r="L82" s="70" t="n">
        <f aca="false">IF(OR(K82="",J82=""),"",(J82-K82)*100)</f>
        <v>4.35641505510501</v>
      </c>
      <c r="M82" s="36" t="n">
        <v>3.62720814427021</v>
      </c>
      <c r="N82" s="36" t="n">
        <v>1.47713199434252</v>
      </c>
      <c r="O82" s="36" t="n">
        <f aca="false">SQRT(M82^2+N82^2)</f>
        <v>3.91644709533659</v>
      </c>
      <c r="P82" s="40" t="n">
        <f aca="false">IF(J82="","",MAX(0,J82-1.96*O82/100))</f>
        <v>0.371563692244358</v>
      </c>
      <c r="Q82" s="40" t="n">
        <f aca="false">IF(J82="","",MIN(1,J82+1.96*O82/100))</f>
        <v>0.525088418381552</v>
      </c>
      <c r="R82" s="32" t="str">
        <f aca="false">IF(L82="","",IF(ABS(L82)&lt;=O82,"Yes","No"))</f>
        <v>No</v>
      </c>
      <c r="S82" s="32" t="str">
        <f aca="false">IF(L82="","",IF(ABS(L82)&lt;=1.96*O82,"Yes","No"))</f>
        <v>Yes</v>
      </c>
      <c r="T82" s="60" t="n">
        <f aca="false">IF(D82="","",ROUND(SQRT(((D82+G82)*O82/100)^2+(J82*(D82+G82)*0.07717)^2),0))</f>
        <v>36</v>
      </c>
      <c r="U82" s="32"/>
    </row>
    <row r="83" customFormat="false" ht="15" hidden="false" customHeight="false" outlineLevel="0" collapsed="false">
      <c r="A83" s="32" t="s">
        <v>222</v>
      </c>
      <c r="B83" s="32" t="s">
        <v>251</v>
      </c>
      <c r="C83" s="32" t="s">
        <v>164</v>
      </c>
      <c r="D83" s="60" t="n">
        <v>1386</v>
      </c>
      <c r="E83" s="60" t="n">
        <v>1207</v>
      </c>
      <c r="F83" s="69" t="n">
        <f aca="false">IF(E83="","",D83-E83)</f>
        <v>179</v>
      </c>
      <c r="G83" s="60" t="n">
        <v>2520</v>
      </c>
      <c r="H83" s="60" t="n">
        <v>2601</v>
      </c>
      <c r="I83" s="69" t="n">
        <f aca="false">IF(H83="","",G83-H83)</f>
        <v>-81</v>
      </c>
      <c r="J83" s="40" t="n">
        <f aca="false">IF(OR(D83="",D83+G83=0),"",D83/(D83+G83))</f>
        <v>0.354838709677419</v>
      </c>
      <c r="K83" s="40" t="n">
        <f aca="false">IF(E83="","",E83/(E83+H83))</f>
        <v>0.316964285714286</v>
      </c>
      <c r="L83" s="70" t="n">
        <f aca="false">IF(OR(K83="",J83=""),"",(J83-K83)*100)</f>
        <v>3.78744239631337</v>
      </c>
      <c r="M83" s="36" t="n">
        <v>2.09596675951885</v>
      </c>
      <c r="N83" s="36" t="n">
        <v>1.47713199434252</v>
      </c>
      <c r="O83" s="36" t="n">
        <f aca="false">SQRT(M83^2+N83^2)</f>
        <v>2.56417542023128</v>
      </c>
      <c r="P83" s="40" t="n">
        <f aca="false">IF(J83="","",MAX(0,J83-1.96*O83/100))</f>
        <v>0.304580871440886</v>
      </c>
      <c r="Q83" s="40" t="n">
        <f aca="false">IF(J83="","",MIN(1,J83+1.96*O83/100))</f>
        <v>0.405096547913952</v>
      </c>
      <c r="R83" s="32" t="str">
        <f aca="false">IF(L83="","",IF(ABS(L83)&lt;=O83,"Yes","No"))</f>
        <v>No</v>
      </c>
      <c r="S83" s="32" t="str">
        <f aca="false">IF(L83="","",IF(ABS(L83)&lt;=1.96*O83,"Yes","No"))</f>
        <v>Yes</v>
      </c>
      <c r="T83" s="60" t="n">
        <f aca="false">IF(D83="","",ROUND(SQRT(((D83+G83)*O83/100)^2+(J83*(D83+G83)*0.05437)^2),0))</f>
        <v>125</v>
      </c>
      <c r="U83" s="32"/>
    </row>
    <row r="84" customFormat="false" ht="15" hidden="false" customHeight="false" outlineLevel="0" collapsed="false">
      <c r="A84" s="32" t="s">
        <v>222</v>
      </c>
      <c r="B84" s="32" t="s">
        <v>252</v>
      </c>
      <c r="C84" s="32" t="s">
        <v>164</v>
      </c>
      <c r="D84" s="60" t="n">
        <v>1986</v>
      </c>
      <c r="E84" s="60" t="n">
        <v>1838</v>
      </c>
      <c r="F84" s="69" t="n">
        <f aca="false">IF(E84="","",D84-E84)</f>
        <v>148</v>
      </c>
      <c r="G84" s="60" t="n">
        <v>2004</v>
      </c>
      <c r="H84" s="60" t="n">
        <v>2112</v>
      </c>
      <c r="I84" s="69" t="n">
        <f aca="false">IF(H84="","",G84-H84)</f>
        <v>-108</v>
      </c>
      <c r="J84" s="40" t="n">
        <f aca="false">IF(OR(D84="",D84+G84=0),"",D84/(D84+G84))</f>
        <v>0.497744360902256</v>
      </c>
      <c r="K84" s="40" t="n">
        <f aca="false">IF(E84="","",E84/(E84+H84))</f>
        <v>0.465316455696203</v>
      </c>
      <c r="L84" s="70" t="n">
        <f aca="false">IF(OR(K84="",J84=""),"",(J84-K84)*100)</f>
        <v>3.24279052060531</v>
      </c>
      <c r="M84" s="36" t="n">
        <v>2.09596675951885</v>
      </c>
      <c r="N84" s="36" t="n">
        <v>1.47713199434252</v>
      </c>
      <c r="O84" s="36" t="n">
        <f aca="false">SQRT(M84^2+N84^2)</f>
        <v>2.56417542023128</v>
      </c>
      <c r="P84" s="40" t="n">
        <f aca="false">IF(J84="","",MAX(0,J84-1.96*O84/100))</f>
        <v>0.447486522665723</v>
      </c>
      <c r="Q84" s="40" t="n">
        <f aca="false">IF(J84="","",MIN(1,J84+1.96*O84/100))</f>
        <v>0.548002199138789</v>
      </c>
      <c r="R84" s="32" t="str">
        <f aca="false">IF(L84="","",IF(ABS(L84)&lt;=O84,"Yes","No"))</f>
        <v>No</v>
      </c>
      <c r="S84" s="32" t="str">
        <f aca="false">IF(L84="","",IF(ABS(L84)&lt;=1.96*O84,"Yes","No"))</f>
        <v>Yes</v>
      </c>
      <c r="T84" s="60" t="n">
        <f aca="false">IF(D84="","",ROUND(SQRT(((D84+G84)*O84/100)^2+(J84*(D84+G84)*0.05437)^2),0))</f>
        <v>149</v>
      </c>
      <c r="U84" s="32"/>
    </row>
    <row r="85" customFormat="false" ht="15" hidden="false" customHeight="false" outlineLevel="0" collapsed="false">
      <c r="A85" s="32" t="s">
        <v>222</v>
      </c>
      <c r="B85" s="32" t="s">
        <v>253</v>
      </c>
      <c r="C85" s="32" t="s">
        <v>164</v>
      </c>
      <c r="D85" s="60" t="n">
        <v>426</v>
      </c>
      <c r="E85" s="60" t="n">
        <v>379</v>
      </c>
      <c r="F85" s="69" t="n">
        <f aca="false">IF(E85="","",D85-E85)</f>
        <v>47</v>
      </c>
      <c r="G85" s="60" t="n">
        <v>570</v>
      </c>
      <c r="H85" s="60" t="n">
        <v>605</v>
      </c>
      <c r="I85" s="69" t="n">
        <f aca="false">IF(H85="","",G85-H85)</f>
        <v>-35</v>
      </c>
      <c r="J85" s="40" t="n">
        <f aca="false">IF(OR(D85="",D85+G85=0),"",D85/(D85+G85))</f>
        <v>0.427710843373494</v>
      </c>
      <c r="K85" s="40" t="n">
        <f aca="false">IF(E85="","",E85/(E85+H85))</f>
        <v>0.385162601626016</v>
      </c>
      <c r="L85" s="70" t="n">
        <f aca="false">IF(OR(K85="",J85=""),"",(J85-K85)*100)</f>
        <v>4.25482417474777</v>
      </c>
      <c r="M85" s="36" t="n">
        <v>3.62720814427021</v>
      </c>
      <c r="N85" s="36" t="n">
        <v>1.47713199434252</v>
      </c>
      <c r="O85" s="36" t="n">
        <f aca="false">SQRT(M85^2+N85^2)</f>
        <v>3.91644709533659</v>
      </c>
      <c r="P85" s="40" t="n">
        <f aca="false">IF(J85="","",MAX(0,J85-1.96*O85/100))</f>
        <v>0.350948480304897</v>
      </c>
      <c r="Q85" s="40" t="n">
        <f aca="false">IF(J85="","",MIN(1,J85+1.96*O85/100))</f>
        <v>0.504473206442091</v>
      </c>
      <c r="R85" s="32" t="str">
        <f aca="false">IF(L85="","",IF(ABS(L85)&lt;=O85,"Yes","No"))</f>
        <v>No</v>
      </c>
      <c r="S85" s="32" t="str">
        <f aca="false">IF(L85="","",IF(ABS(L85)&lt;=1.96*O85,"Yes","No"))</f>
        <v>Yes</v>
      </c>
      <c r="T85" s="60" t="n">
        <f aca="false">IF(D85="","",ROUND(SQRT(((D85+G85)*O85/100)^2+(J85*(D85+G85)*0.07717)^2),0))</f>
        <v>51</v>
      </c>
      <c r="U85" s="32"/>
    </row>
    <row r="86" customFormat="false" ht="15" hidden="false" customHeight="false" outlineLevel="0" collapsed="false">
      <c r="A86" s="32" t="s">
        <v>222</v>
      </c>
      <c r="B86" s="32" t="s">
        <v>215</v>
      </c>
      <c r="C86" s="32" t="s">
        <v>164</v>
      </c>
      <c r="D86" s="60" t="n">
        <v>1160</v>
      </c>
      <c r="E86" s="60" t="n">
        <v>1032</v>
      </c>
      <c r="F86" s="69" t="n">
        <f aca="false">IF(E86="","",D86-E86)</f>
        <v>128</v>
      </c>
      <c r="G86" s="60" t="n">
        <v>1894</v>
      </c>
      <c r="H86" s="60" t="n">
        <v>1971</v>
      </c>
      <c r="I86" s="69" t="n">
        <f aca="false">IF(H86="","",G86-H86)</f>
        <v>-77</v>
      </c>
      <c r="J86" s="40" t="n">
        <f aca="false">IF(OR(D86="",D86+G86=0),"",D86/(D86+G86))</f>
        <v>0.379829731499673</v>
      </c>
      <c r="K86" s="40" t="n">
        <f aca="false">IF(E86="","",E86/(E86+H86))</f>
        <v>0.343656343656344</v>
      </c>
      <c r="L86" s="70" t="n">
        <f aca="false">IF(OR(K86="",J86=""),"",(J86-K86)*100)</f>
        <v>3.61733878433289</v>
      </c>
      <c r="M86" s="36" t="n">
        <v>1.74942827115577</v>
      </c>
      <c r="N86" s="36" t="n">
        <v>1.47713199434252</v>
      </c>
      <c r="O86" s="36" t="n">
        <f aca="false">SQRT(M86^2+N86^2)</f>
        <v>2.28963276632507</v>
      </c>
      <c r="P86" s="40" t="n">
        <f aca="false">IF(J86="","",MAX(0,J86-1.96*O86/100))</f>
        <v>0.334952929279701</v>
      </c>
      <c r="Q86" s="40" t="n">
        <f aca="false">IF(J86="","",MIN(1,J86+1.96*O86/100))</f>
        <v>0.424706533719644</v>
      </c>
      <c r="R86" s="32" t="str">
        <f aca="false">IF(L86="","",IF(ABS(L86)&lt;=O86,"Yes","No"))</f>
        <v>No</v>
      </c>
      <c r="S86" s="32" t="str">
        <f aca="false">IF(L86="","",IF(ABS(L86)&lt;=1.96*O86,"Yes","No"))</f>
        <v>Yes</v>
      </c>
      <c r="T86" s="60" t="n">
        <f aca="false">IF(D86="","",ROUND(SQRT(((D86+G86)*O86/100)^2+(J86*(D86+G86)*0.05992)^2),0))</f>
        <v>99</v>
      </c>
      <c r="U86" s="32"/>
    </row>
    <row r="87" customFormat="false" ht="15" hidden="false" customHeight="false" outlineLevel="0" collapsed="false">
      <c r="A87" s="32" t="s">
        <v>222</v>
      </c>
      <c r="B87" s="32" t="s">
        <v>254</v>
      </c>
      <c r="C87" s="32" t="s">
        <v>164</v>
      </c>
      <c r="D87" s="60" t="n">
        <v>303</v>
      </c>
      <c r="E87" s="60" t="n">
        <v>249</v>
      </c>
      <c r="F87" s="69" t="n">
        <f aca="false">IF(E87="","",D87-E87)</f>
        <v>54</v>
      </c>
      <c r="G87" s="60" t="n">
        <v>257</v>
      </c>
      <c r="H87" s="60" t="n">
        <v>326</v>
      </c>
      <c r="I87" s="69" t="n">
        <f aca="false">IF(H87="","",G87-H87)</f>
        <v>-69</v>
      </c>
      <c r="J87" s="40" t="n">
        <f aca="false">IF(OR(D87="",D87+G87=0),"",D87/(D87+G87))</f>
        <v>0.541071428571429</v>
      </c>
      <c r="K87" s="40" t="n">
        <f aca="false">IF(E87="","",E87/(E87+H87))</f>
        <v>0.43304347826087</v>
      </c>
      <c r="L87" s="70" t="n">
        <f aca="false">IF(OR(K87="",J87=""),"",(J87-K87)*100)</f>
        <v>10.8027950310559</v>
      </c>
      <c r="M87" s="36" t="n">
        <v>3.62720814427021</v>
      </c>
      <c r="N87" s="36" t="n">
        <v>1.47713199434252</v>
      </c>
      <c r="O87" s="36" t="n">
        <f aca="false">SQRT(M87^2+N87^2)</f>
        <v>3.91644709533659</v>
      </c>
      <c r="P87" s="40" t="n">
        <f aca="false">IF(J87="","",MAX(0,J87-1.96*O87/100))</f>
        <v>0.464309065502831</v>
      </c>
      <c r="Q87" s="40" t="n">
        <f aca="false">IF(J87="","",MIN(1,J87+1.96*O87/100))</f>
        <v>0.617833791640026</v>
      </c>
      <c r="R87" s="32" t="str">
        <f aca="false">IF(L87="","",IF(ABS(L87)&lt;=O87,"Yes","No"))</f>
        <v>No</v>
      </c>
      <c r="S87" s="32" t="str">
        <f aca="false">IF(L87="","",IF(ABS(L87)&lt;=1.96*O87,"Yes","No"))</f>
        <v>No</v>
      </c>
      <c r="T87" s="60" t="n">
        <f aca="false">IF(D87="","",ROUND(SQRT(((D87+G87)*O87/100)^2+(J87*(D87+G87)*0.07717)^2),0))</f>
        <v>32</v>
      </c>
      <c r="U87" s="32"/>
    </row>
    <row r="88" customFormat="false" ht="15" hidden="false" customHeight="false" outlineLevel="0" collapsed="false">
      <c r="A88" s="32" t="s">
        <v>222</v>
      </c>
      <c r="B88" s="32" t="s">
        <v>255</v>
      </c>
      <c r="C88" s="32" t="s">
        <v>164</v>
      </c>
      <c r="D88" s="60" t="n">
        <v>1910</v>
      </c>
      <c r="E88" s="60" t="n">
        <v>1767</v>
      </c>
      <c r="F88" s="69" t="n">
        <f aca="false">IF(E88="","",D88-E88)</f>
        <v>143</v>
      </c>
      <c r="G88" s="60" t="n">
        <v>2294</v>
      </c>
      <c r="H88" s="60" t="n">
        <v>2379</v>
      </c>
      <c r="I88" s="69" t="n">
        <f aca="false">IF(H88="","",G88-H88)</f>
        <v>-85</v>
      </c>
      <c r="J88" s="40" t="n">
        <f aca="false">IF(OR(D88="",D88+G88=0),"",D88/(D88+G88))</f>
        <v>0.454329210275928</v>
      </c>
      <c r="K88" s="40" t="n">
        <f aca="false">IF(E88="","",E88/(E88+H88))</f>
        <v>0.426193921852388</v>
      </c>
      <c r="L88" s="70" t="n">
        <f aca="false">IF(OR(K88="",J88=""),"",(J88-K88)*100)</f>
        <v>2.81352884235399</v>
      </c>
      <c r="M88" s="36" t="n">
        <v>2.09596675951885</v>
      </c>
      <c r="N88" s="36" t="n">
        <v>1.47713199434252</v>
      </c>
      <c r="O88" s="36" t="n">
        <f aca="false">SQRT(M88^2+N88^2)</f>
        <v>2.56417542023128</v>
      </c>
      <c r="P88" s="40" t="n">
        <f aca="false">IF(J88="","",MAX(0,J88-1.96*O88/100))</f>
        <v>0.404071372039395</v>
      </c>
      <c r="Q88" s="40" t="n">
        <f aca="false">IF(J88="","",MIN(1,J88+1.96*O88/100))</f>
        <v>0.504587048512461</v>
      </c>
      <c r="R88" s="32" t="str">
        <f aca="false">IF(L88="","",IF(ABS(L88)&lt;=O88,"Yes","No"))</f>
        <v>No</v>
      </c>
      <c r="S88" s="32" t="str">
        <f aca="false">IF(L88="","",IF(ABS(L88)&lt;=1.96*O88,"Yes","No"))</f>
        <v>Yes</v>
      </c>
      <c r="T88" s="60" t="n">
        <f aca="false">IF(D88="","",ROUND(SQRT(((D88+G88)*O88/100)^2+(J88*(D88+G88)*0.05437)^2),0))</f>
        <v>150</v>
      </c>
      <c r="U88" s="32"/>
    </row>
    <row r="89" customFormat="false" ht="15" hidden="false" customHeight="false" outlineLevel="0" collapsed="false">
      <c r="A89" s="32" t="s">
        <v>222</v>
      </c>
      <c r="B89" s="32" t="s">
        <v>256</v>
      </c>
      <c r="C89" s="32" t="s">
        <v>164</v>
      </c>
      <c r="D89" s="60" t="n">
        <v>2053</v>
      </c>
      <c r="E89" s="60" t="n">
        <v>1908</v>
      </c>
      <c r="F89" s="69" t="n">
        <f aca="false">IF(E89="","",D89-E89)</f>
        <v>145</v>
      </c>
      <c r="G89" s="60" t="n">
        <v>1402</v>
      </c>
      <c r="H89" s="60" t="n">
        <v>1518</v>
      </c>
      <c r="I89" s="69" t="n">
        <f aca="false">IF(H89="","",G89-H89)</f>
        <v>-116</v>
      </c>
      <c r="J89" s="40" t="n">
        <f aca="false">IF(OR(D89="",D89+G89=0),"",D89/(D89+G89))</f>
        <v>0.594211287988423</v>
      </c>
      <c r="K89" s="40" t="n">
        <f aca="false">IF(E89="","",E89/(E89+H89))</f>
        <v>0.5569176882662</v>
      </c>
      <c r="L89" s="70" t="n">
        <f aca="false">IF(OR(K89="",J89=""),"",(J89-K89)*100)</f>
        <v>3.72935997222229</v>
      </c>
      <c r="M89" s="36" t="n">
        <v>1.74942827115577</v>
      </c>
      <c r="N89" s="36" t="n">
        <v>1.47713199434252</v>
      </c>
      <c r="O89" s="36" t="n">
        <f aca="false">SQRT(M89^2+N89^2)</f>
        <v>2.28963276632507</v>
      </c>
      <c r="P89" s="40" t="n">
        <f aca="false">IF(J89="","",MAX(0,J89-1.96*O89/100))</f>
        <v>0.549334485768451</v>
      </c>
      <c r="Q89" s="40" t="n">
        <f aca="false">IF(J89="","",MIN(1,J89+1.96*O89/100))</f>
        <v>0.639088090208394</v>
      </c>
      <c r="R89" s="32" t="str">
        <f aca="false">IF(L89="","",IF(ABS(L89)&lt;=O89,"Yes","No"))</f>
        <v>No</v>
      </c>
      <c r="S89" s="32" t="str">
        <f aca="false">IF(L89="","",IF(ABS(L89)&lt;=1.96*O89,"Yes","No"))</f>
        <v>Yes</v>
      </c>
      <c r="T89" s="60" t="n">
        <f aca="false">IF(D89="","",ROUND(SQRT(((D89+G89)*O89/100)^2+(J89*(D89+G89)*0.05992)^2),0))</f>
        <v>146</v>
      </c>
      <c r="U89" s="32"/>
    </row>
    <row r="90" customFormat="false" ht="15" hidden="false" customHeight="false" outlineLevel="0" collapsed="false">
      <c r="A90" s="32" t="s">
        <v>222</v>
      </c>
      <c r="B90" s="32" t="s">
        <v>257</v>
      </c>
      <c r="C90" s="32" t="s">
        <v>164</v>
      </c>
      <c r="D90" s="60" t="n">
        <v>586</v>
      </c>
      <c r="E90" s="60" t="n">
        <v>508</v>
      </c>
      <c r="F90" s="69" t="n">
        <f aca="false">IF(E90="","",D90-E90)</f>
        <v>78</v>
      </c>
      <c r="G90" s="60" t="n">
        <v>682</v>
      </c>
      <c r="H90" s="60" t="n">
        <v>791</v>
      </c>
      <c r="I90" s="69" t="n">
        <f aca="false">IF(H90="","",G90-H90)</f>
        <v>-109</v>
      </c>
      <c r="J90" s="40" t="n">
        <f aca="false">IF(OR(D90="",D90+G90=0),"",D90/(D90+G90))</f>
        <v>0.462145110410095</v>
      </c>
      <c r="K90" s="40" t="n">
        <f aca="false">IF(E90="","",E90/(E90+H90))</f>
        <v>0.391070053887606</v>
      </c>
      <c r="L90" s="70" t="n">
        <f aca="false">IF(OR(K90="",J90=""),"",(J90-K90)*100)</f>
        <v>7.10750565224888</v>
      </c>
      <c r="M90" s="36" t="n">
        <v>3.62720814427021</v>
      </c>
      <c r="N90" s="36" t="n">
        <v>1.47713199434252</v>
      </c>
      <c r="O90" s="36" t="n">
        <f aca="false">SQRT(M90^2+N90^2)</f>
        <v>3.91644709533659</v>
      </c>
      <c r="P90" s="40" t="n">
        <f aca="false">IF(J90="","",MAX(0,J90-1.96*O90/100))</f>
        <v>0.385382747341497</v>
      </c>
      <c r="Q90" s="40" t="n">
        <f aca="false">IF(J90="","",MIN(1,J90+1.96*O90/100))</f>
        <v>0.538907473478692</v>
      </c>
      <c r="R90" s="32" t="str">
        <f aca="false">IF(L90="","",IF(ABS(L90)&lt;=O90,"Yes","No"))</f>
        <v>No</v>
      </c>
      <c r="S90" s="32" t="str">
        <f aca="false">IF(L90="","",IF(ABS(L90)&lt;=1.96*O90,"Yes","No"))</f>
        <v>Yes</v>
      </c>
      <c r="T90" s="60" t="n">
        <f aca="false">IF(D90="","",ROUND(SQRT(((D90+G90)*O90/100)^2+(J90*(D90+G90)*0.07717)^2),0))</f>
        <v>67</v>
      </c>
      <c r="U90" s="32"/>
    </row>
    <row r="92" customFormat="false" ht="15" hidden="false" customHeight="false" outlineLevel="0" collapsed="false">
      <c r="A92" s="20" t="s">
        <v>377</v>
      </c>
      <c r="B92" s="71"/>
      <c r="C92" s="71"/>
      <c r="D92" s="72" t="n">
        <f aca="false">SUMIF(E2:E90,"&lt;&gt;",D2:D90)</f>
        <v>206040</v>
      </c>
      <c r="E92" s="72" t="n">
        <f aca="false">SUM(E2:E90)</f>
        <v>193125</v>
      </c>
      <c r="F92" s="73" t="n">
        <f aca="false">D92-E92</f>
        <v>12915</v>
      </c>
      <c r="G92" s="72" t="n">
        <f aca="false">SUMIF(H2:H90,"&lt;&gt;",G2:G90)</f>
        <v>184715</v>
      </c>
      <c r="H92" s="72" t="n">
        <f aca="false">SUM(H2:H90)</f>
        <v>195380</v>
      </c>
      <c r="I92" s="73" t="n">
        <f aca="false">G92-H92</f>
        <v>-10665</v>
      </c>
      <c r="J92" s="74" t="n">
        <f aca="false">D92/(D92+G92)</f>
        <v>0.527286918913386</v>
      </c>
      <c r="K92" s="74" t="n">
        <f aca="false">E92/(E92+H92)</f>
        <v>0.497097849448527</v>
      </c>
      <c r="L92" s="75" t="n">
        <f aca="false">(J92-K92)*100</f>
        <v>3.01890694648586</v>
      </c>
      <c r="M92" s="76" t="n">
        <v>0</v>
      </c>
      <c r="N92" s="76" t="n">
        <v>1.47713199434252</v>
      </c>
      <c r="O92" s="76" t="n">
        <f aca="false">SQRT(M92^2+N92^2)</f>
        <v>1.47713199434252</v>
      </c>
      <c r="P92" s="74" t="n">
        <f aca="false">J92-1.96*O92/100</f>
        <v>0.498335131824272</v>
      </c>
      <c r="Q92" s="74" t="n">
        <f aca="false">J92+1.96*O92/100</f>
        <v>0.556238706002499</v>
      </c>
      <c r="R92" s="71" t="str">
        <f aca="false">IF(ABS(L92)&lt;=O92,"Yes","No")</f>
        <v>No</v>
      </c>
      <c r="S92" s="71" t="str">
        <f aca="false">IF(ABS(L92)&lt;=1.96*O92,"Yes","No")</f>
        <v>No</v>
      </c>
      <c r="T92" s="72" t="n">
        <f aca="false">ROUND(SQRT(((D92+G92)*O92/100)^2+(J92*(D92+G92)*0.04267)^2),0)</f>
        <v>10517</v>
      </c>
    </row>
    <row r="93" customFormat="false" ht="15" hidden="false" customHeight="false" outlineLevel="0" collapsed="false">
      <c r="A93" s="20" t="s">
        <v>378</v>
      </c>
      <c r="B93" s="71"/>
      <c r="C93" s="71"/>
      <c r="D93" s="72" t="n">
        <f aca="false">SUM(D2:D90)</f>
        <v>206040</v>
      </c>
      <c r="E93" s="72"/>
      <c r="F93" s="73"/>
      <c r="G93" s="72" t="n">
        <f aca="false">SUM(G2:G90)</f>
        <v>184715</v>
      </c>
      <c r="H93" s="72"/>
      <c r="I93" s="73"/>
      <c r="J93" s="74" t="n">
        <f aca="false">D93/(D93+G93)</f>
        <v>0.527286918913386</v>
      </c>
      <c r="K93" s="74"/>
      <c r="L93" s="75"/>
      <c r="M93" s="76"/>
      <c r="N93" s="76"/>
      <c r="O93" s="76"/>
      <c r="P93" s="74"/>
      <c r="Q93" s="74"/>
      <c r="R93" s="71"/>
      <c r="S93" s="71"/>
      <c r="T93" s="72"/>
    </row>
    <row r="95" customFormat="false" ht="15" hidden="false" customHeight="false" outlineLevel="0" collapsed="false">
      <c r="A95" s="2" t="s">
        <v>379</v>
      </c>
      <c r="F95" s="77" t="n">
        <f aca="false">(SUMIF(F2:F90,"&gt;0")-SUMIF(F2:F90,"&lt;0"))/COUNT(F2:F90)</f>
        <v>146.011235955056</v>
      </c>
    </row>
    <row r="96" customFormat="false" ht="15" hidden="false" customHeight="false" outlineLevel="0" collapsed="false">
      <c r="A96" s="2" t="s">
        <v>380</v>
      </c>
      <c r="F96" s="77" t="n">
        <f aca="false">(SUMIF(I2:I90,"&gt;0")-SUMIF(I2:I90,"&lt;0"))/COUNT(I2:I90)</f>
        <v>126.438202247191</v>
      </c>
    </row>
    <row r="97" customFormat="false" ht="15" hidden="false" customHeight="false" outlineLevel="0" collapsed="false">
      <c r="A97" s="2" t="s">
        <v>381</v>
      </c>
      <c r="F97" s="78" t="n">
        <f aca="false">(SUMIF(L2:L90,"&gt;0")-SUMIF(L2:L90,"&lt;0"))/COUNT(L2:L90)</f>
        <v>4.52009757092109</v>
      </c>
    </row>
    <row r="98" customFormat="false" ht="15" hidden="false" customHeight="false" outlineLevel="0" collapsed="false">
      <c r="A98" s="5" t="s">
        <v>382</v>
      </c>
      <c r="F98" s="79" t="n">
        <f aca="false">SQRT(SUMSQ(L2:L90)/COUNT(L2:L90))</f>
        <v>5.20355770670178</v>
      </c>
    </row>
    <row r="99" customFormat="false" ht="15" hidden="false" customHeight="false" outlineLevel="0" collapsed="false">
      <c r="A99" s="5" t="s">
        <v>383</v>
      </c>
      <c r="F99" s="80" t="n">
        <f aca="false">L92</f>
        <v>3.01890694648586</v>
      </c>
    </row>
    <row r="100" customFormat="false" ht="15" hidden="false" customHeight="false" outlineLevel="0" collapsed="false">
      <c r="A100" s="5" t="s">
        <v>384</v>
      </c>
      <c r="F100" s="79" t="n">
        <f aca="false">SQRT((SUMSQ(L2:L90)-2*L92*SUM(L2:L90)+COUNT(L2:L90)*L92^2)/COUNT(L2:L90))</f>
        <v>2.98317013380414</v>
      </c>
    </row>
    <row r="101" customFormat="false" ht="15" hidden="false" customHeight="false" outlineLevel="0" collapsed="false">
      <c r="A101" s="2" t="s">
        <v>385</v>
      </c>
      <c r="F101" s="81" t="n">
        <f aca="false">D92/E92-1</f>
        <v>0.0668737864077671</v>
      </c>
    </row>
    <row r="102" customFormat="false" ht="15" hidden="false" customHeight="false" outlineLevel="0" collapsed="false">
      <c r="A102" s="5" t="s">
        <v>386</v>
      </c>
      <c r="F102" s="82" t="n">
        <f aca="false">G92/H92-1</f>
        <v>-0.0545859351008292</v>
      </c>
    </row>
    <row r="103" customFormat="false" ht="15" hidden="false" customHeight="false" outlineLevel="0" collapsed="false">
      <c r="A103" s="2" t="s">
        <v>387</v>
      </c>
      <c r="F103" s="81" t="n">
        <f aca="false">(D92+G92)/(E92+H92)-1</f>
        <v>0.00579143125571102</v>
      </c>
    </row>
    <row r="104" customFormat="false" ht="15" hidden="false" customHeight="false" outlineLevel="0" collapsed="false">
      <c r="A104" s="2" t="s">
        <v>388</v>
      </c>
      <c r="F104" s="78" t="n">
        <f aca="false">AVERAGE(O2:O90)</f>
        <v>2.93053961449958</v>
      </c>
    </row>
    <row r="105" customFormat="false" ht="15" hidden="false" customHeight="false" outlineLevel="0" collapsed="false">
      <c r="A105" s="5" t="s">
        <v>389</v>
      </c>
      <c r="F105" s="83" t="n">
        <f aca="false">COUNTIF(R2:R90,"Yes")/(COUNTIF(R2:R90,"Yes")+COUNTIF(R2:R90,"No"))</f>
        <v>0.269662921348315</v>
      </c>
    </row>
    <row r="106" customFormat="false" ht="15" hidden="false" customHeight="false" outlineLevel="0" collapsed="false">
      <c r="A106" s="5" t="s">
        <v>390</v>
      </c>
      <c r="F106" s="83" t="n">
        <f aca="false">COUNTIF(S2:S90,"Yes")/(COUNTIF(S2:S90,"Yes")+COUNTIF(S2:S90,"No"))</f>
        <v>0.707865168539326</v>
      </c>
    </row>
    <row r="107" customFormat="false" ht="15" hidden="false" customHeight="false" outlineLevel="0" collapsed="false">
      <c r="A107" s="2" t="s">
        <v>391</v>
      </c>
      <c r="F107" s="84" t="n">
        <f aca="false">COUNTIFS(L2:L90,"&gt;=-3",L2:L90,"&lt;=3")/COUNT(L2:L90)</f>
        <v>0.325842696629214</v>
      </c>
    </row>
    <row r="108" customFormat="false" ht="15" hidden="false" customHeight="false" outlineLevel="0" collapsed="false">
      <c r="A108" s="2" t="s">
        <v>429</v>
      </c>
      <c r="F108" s="85" t="n">
        <f aca="false">COUNT(E2:E90)</f>
        <v>89</v>
      </c>
    </row>
    <row r="109" customFormat="false" ht="15" hidden="false" customHeight="false" outlineLevel="0" collapsed="false">
      <c r="A109" s="2" t="s">
        <v>393</v>
      </c>
      <c r="F109" s="85" t="n">
        <f aca="false">COUNTA(A2:A90)</f>
        <v>89</v>
      </c>
    </row>
    <row r="110" customFormat="false" ht="15" hidden="false" customHeight="false" outlineLevel="0" collapsed="false">
      <c r="A110" s="5" t="s">
        <v>394</v>
      </c>
    </row>
    <row r="111" customFormat="false" ht="15" hidden="false" customHeight="false" outlineLevel="0" collapsed="false">
      <c r="A111" s="2" t="s">
        <v>395</v>
      </c>
      <c r="F111" s="86" t="n">
        <f aca="false">((D92+G92)-(E92+H92))*K92</f>
        <v>1118.47016125919</v>
      </c>
    </row>
    <row r="112" customFormat="false" ht="15" hidden="false" customHeight="false" outlineLevel="0" collapsed="false">
      <c r="A112" s="2" t="s">
        <v>396</v>
      </c>
      <c r="F112" s="86" t="n">
        <f aca="false">F92-((D92+G92)-(E92+H92))*K92</f>
        <v>11796.5298387408</v>
      </c>
    </row>
    <row r="113" customFormat="false" ht="15" hidden="false" customHeight="false" outlineLevel="0" collapsed="false">
      <c r="A113" s="2" t="s">
        <v>397</v>
      </c>
      <c r="F113" s="86" t="n">
        <f aca="false">((D92+G92)-(E92+H92))*(1-K92)</f>
        <v>1131.52983874081</v>
      </c>
    </row>
    <row r="114" customFormat="false" ht="15" hidden="false" customHeight="false" outlineLevel="0" collapsed="false">
      <c r="A114" s="2" t="s">
        <v>398</v>
      </c>
      <c r="F114" s="86" t="n">
        <f aca="false">I92-((D92+G92)-(E92+H92))*(1-K92)</f>
        <v>-11796.5298387408</v>
      </c>
    </row>
    <row r="115" customFormat="false" ht="15" hidden="false" customHeight="false" outlineLevel="0" collapsed="false">
      <c r="A115" s="2" t="s">
        <v>399</v>
      </c>
      <c r="F115" s="81" t="n">
        <f aca="false">(F92-((D92+G92)-(E92+H92))*K92)/E92</f>
        <v>0.061082355152056</v>
      </c>
    </row>
    <row r="116" customFormat="false" ht="15" hidden="false" customHeight="false" outlineLevel="0" collapsed="false">
      <c r="A116" s="2" t="s">
        <v>400</v>
      </c>
      <c r="F116" s="81" t="n">
        <f aca="false">(I92-((D92+G92)-(E92+H92))*(1-K92))/H92</f>
        <v>-0.0603773663565402</v>
      </c>
    </row>
    <row r="118" customFormat="false" ht="15" hidden="false" customHeight="false" outlineLevel="0" collapsed="false">
      <c r="U118" s="5" t="s">
        <v>139</v>
      </c>
    </row>
    <row r="119" customFormat="false" ht="41.75" hidden="false" customHeight="false" outlineLevel="0" collapsed="false">
      <c r="U119" s="68" t="s">
        <v>430</v>
      </c>
    </row>
    <row r="120" customFormat="false" ht="41.75" hidden="false" customHeight="false" outlineLevel="0" collapsed="false">
      <c r="U120" s="68" t="s">
        <v>431</v>
      </c>
    </row>
    <row r="121" customFormat="false" ht="41.75" hidden="false" customHeight="false" outlineLevel="0" collapsed="false">
      <c r="U121" s="68" t="s">
        <v>438</v>
      </c>
    </row>
    <row r="122" customFormat="false" ht="28.35" hidden="false" customHeight="false" outlineLevel="0" collapsed="false">
      <c r="U122" s="68" t="s">
        <v>433</v>
      </c>
    </row>
    <row r="123" customFormat="false" ht="28.35" hidden="false" customHeight="false" outlineLevel="0" collapsed="false">
      <c r="U123" s="68" t="s">
        <v>434</v>
      </c>
    </row>
    <row r="124" customFormat="false" ht="28.35" hidden="false" customHeight="false" outlineLevel="0" collapsed="false">
      <c r="U124" s="68" t="s">
        <v>435</v>
      </c>
    </row>
    <row r="125" customFormat="false" ht="28.35" hidden="false" customHeight="false" outlineLevel="0" collapsed="false">
      <c r="U125" s="68" t="s">
        <v>407</v>
      </c>
    </row>
    <row r="126" customFormat="false" ht="41.75" hidden="false" customHeight="false" outlineLevel="0" collapsed="false">
      <c r="U126" s="68" t="s">
        <v>436</v>
      </c>
    </row>
    <row r="127" customFormat="false" ht="15" hidden="false" customHeight="false" outlineLevel="0" collapsed="false">
      <c r="U127" s="68" t="s">
        <v>437</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113</v>
      </c>
      <c r="B1" s="8" t="s">
        <v>114</v>
      </c>
      <c r="C1" s="8" t="s">
        <v>115</v>
      </c>
      <c r="D1" s="8" t="s">
        <v>360</v>
      </c>
      <c r="E1" s="8" t="s">
        <v>361</v>
      </c>
      <c r="F1" s="8" t="s">
        <v>362</v>
      </c>
      <c r="G1" s="8" t="s">
        <v>412</v>
      </c>
      <c r="H1" s="8" t="s">
        <v>364</v>
      </c>
      <c r="I1" s="8" t="s">
        <v>365</v>
      </c>
      <c r="J1" s="8" t="s">
        <v>366</v>
      </c>
      <c r="K1" s="8" t="s">
        <v>367</v>
      </c>
      <c r="L1" s="8" t="s">
        <v>368</v>
      </c>
      <c r="M1" s="8" t="s">
        <v>424</v>
      </c>
      <c r="N1" s="8" t="s">
        <v>425</v>
      </c>
      <c r="O1" s="8" t="s">
        <v>142</v>
      </c>
      <c r="P1" s="8" t="s">
        <v>371</v>
      </c>
      <c r="Q1" s="8" t="s">
        <v>372</v>
      </c>
      <c r="R1" s="8" t="s">
        <v>373</v>
      </c>
      <c r="S1" s="8" t="s">
        <v>374</v>
      </c>
      <c r="T1" s="8" t="s">
        <v>375</v>
      </c>
      <c r="U1" s="8" t="s">
        <v>376</v>
      </c>
    </row>
    <row r="2" customFormat="false" ht="15" hidden="false" customHeight="false" outlineLevel="0" collapsed="false">
      <c r="A2" s="32" t="s">
        <v>162</v>
      </c>
      <c r="B2" s="32" t="s">
        <v>163</v>
      </c>
      <c r="C2" s="32" t="s">
        <v>164</v>
      </c>
      <c r="D2" s="60" t="n">
        <v>222</v>
      </c>
      <c r="E2" s="60" t="n">
        <v>171</v>
      </c>
      <c r="F2" s="69" t="n">
        <f aca="false">IF(E2="","",D2-E2)</f>
        <v>51</v>
      </c>
      <c r="G2" s="60" t="n">
        <v>314</v>
      </c>
      <c r="H2" s="60" t="n">
        <v>332</v>
      </c>
      <c r="I2" s="69" t="n">
        <f aca="false">IF(H2="","",G2-H2)</f>
        <v>-18</v>
      </c>
      <c r="J2" s="40" t="n">
        <f aca="false">IF(OR(D2="",D2+G2=0),"",D2/(D2+G2))</f>
        <v>0.414179104477612</v>
      </c>
      <c r="K2" s="40" t="n">
        <f aca="false">IF(E2="","",E2/(E2+H2))</f>
        <v>0.339960238568589</v>
      </c>
      <c r="L2" s="70" t="n">
        <f aca="false">IF(OR(K2="",J2=""),"",(J2-K2)*100)</f>
        <v>7.42188659090234</v>
      </c>
      <c r="M2" s="36" t="n">
        <v>3.52076694862392</v>
      </c>
      <c r="N2" s="36" t="n">
        <v>1.47617294631958</v>
      </c>
      <c r="O2" s="36" t="n">
        <f aca="false">SQRT(M2^2+N2^2)</f>
        <v>3.81770696543992</v>
      </c>
      <c r="P2" s="40" t="n">
        <f aca="false">IF(J2="","",MAX(0,J2-1.96*O2/100))</f>
        <v>0.33935204795499</v>
      </c>
      <c r="Q2" s="40" t="n">
        <f aca="false">IF(J2="","",MIN(1,J2+1.96*O2/100))</f>
        <v>0.489006161000234</v>
      </c>
      <c r="R2" s="32" t="str">
        <f aca="false">IF(L2="","",IF(ABS(L2)&lt;=O2,"Yes","No"))</f>
        <v>No</v>
      </c>
      <c r="S2" s="32" t="str">
        <f aca="false">IF(L2="","",IF(ABS(L2)&lt;=1.96*O2,"Yes","No"))</f>
        <v>Yes</v>
      </c>
      <c r="T2" s="60" t="n">
        <f aca="false">IF(D2="","",ROUND(SQRT(((D2+G2)*O2/100)^2+(J2*(D2+G2)*0.07717)^2),0))</f>
        <v>27</v>
      </c>
      <c r="U2" s="32" t="s">
        <v>426</v>
      </c>
    </row>
    <row r="3" customFormat="false" ht="15" hidden="false" customHeight="false" outlineLevel="0" collapsed="false">
      <c r="A3" s="32" t="s">
        <v>162</v>
      </c>
      <c r="B3" s="32" t="s">
        <v>168</v>
      </c>
      <c r="C3" s="32" t="s">
        <v>164</v>
      </c>
      <c r="D3" s="60" t="n">
        <v>139</v>
      </c>
      <c r="E3" s="60" t="n">
        <v>100</v>
      </c>
      <c r="F3" s="69" t="n">
        <f aca="false">IF(E3="","",D3-E3)</f>
        <v>39</v>
      </c>
      <c r="G3" s="60" t="n">
        <v>278</v>
      </c>
      <c r="H3" s="60" t="n">
        <v>303</v>
      </c>
      <c r="I3" s="69" t="n">
        <f aca="false">IF(H3="","",G3-H3)</f>
        <v>-25</v>
      </c>
      <c r="J3" s="40" t="n">
        <f aca="false">IF(OR(D3="",D3+G3=0),"",D3/(D3+G3))</f>
        <v>0.333333333333333</v>
      </c>
      <c r="K3" s="40" t="n">
        <f aca="false">IF(E3="","",E3/(E3+H3))</f>
        <v>0.248138957816377</v>
      </c>
      <c r="L3" s="70" t="n">
        <f aca="false">IF(OR(K3="",J3=""),"",(J3-K3)*100)</f>
        <v>8.51943755169561</v>
      </c>
      <c r="M3" s="36" t="n">
        <v>3.52076694862392</v>
      </c>
      <c r="N3" s="36" t="n">
        <v>1.47617294631958</v>
      </c>
      <c r="O3" s="36" t="n">
        <f aca="false">SQRT(M3^2+N3^2)</f>
        <v>3.81770696543992</v>
      </c>
      <c r="P3" s="40" t="n">
        <f aca="false">IF(J3="","",MAX(0,J3-1.96*O3/100))</f>
        <v>0.258506276810711</v>
      </c>
      <c r="Q3" s="40" t="n">
        <f aca="false">IF(J3="","",MIN(1,J3+1.96*O3/100))</f>
        <v>0.408160389855956</v>
      </c>
      <c r="R3" s="32" t="str">
        <f aca="false">IF(L3="","",IF(ABS(L3)&lt;=O3,"Yes","No"))</f>
        <v>No</v>
      </c>
      <c r="S3" s="32" t="str">
        <f aca="false">IF(L3="","",IF(ABS(L3)&lt;=1.96*O3,"Yes","No"))</f>
        <v>No</v>
      </c>
      <c r="T3" s="60" t="n">
        <f aca="false">IF(D3="","",ROUND(SQRT(((D3+G3)*O3/100)^2+(J3*(D3+G3)*0.07717)^2),0))</f>
        <v>19</v>
      </c>
      <c r="U3" s="32" t="s">
        <v>426</v>
      </c>
    </row>
    <row r="4" customFormat="false" ht="15" hidden="false" customHeight="false" outlineLevel="0" collapsed="false">
      <c r="A4" s="32" t="s">
        <v>162</v>
      </c>
      <c r="B4" s="32" t="s">
        <v>169</v>
      </c>
      <c r="C4" s="32" t="s">
        <v>164</v>
      </c>
      <c r="D4" s="60" t="n">
        <v>175</v>
      </c>
      <c r="E4" s="60" t="n">
        <v>111</v>
      </c>
      <c r="F4" s="69" t="n">
        <f aca="false">IF(E4="","",D4-E4)</f>
        <v>64</v>
      </c>
      <c r="G4" s="60" t="n">
        <v>307</v>
      </c>
      <c r="H4" s="60" t="n">
        <v>317</v>
      </c>
      <c r="I4" s="69" t="n">
        <f aca="false">IF(H4="","",G4-H4)</f>
        <v>-10</v>
      </c>
      <c r="J4" s="40" t="n">
        <f aca="false">IF(OR(D4="",D4+G4=0),"",D4/(D4+G4))</f>
        <v>0.363070539419087</v>
      </c>
      <c r="K4" s="40" t="n">
        <f aca="false">IF(E4="","",E4/(E4+H4))</f>
        <v>0.259345794392523</v>
      </c>
      <c r="L4" s="70" t="n">
        <f aca="false">IF(OR(K4="",J4=""),"",(J4-K4)*100)</f>
        <v>10.3724745026564</v>
      </c>
      <c r="M4" s="36" t="n">
        <v>3.52076694862392</v>
      </c>
      <c r="N4" s="36" t="n">
        <v>1.47617294631958</v>
      </c>
      <c r="O4" s="36" t="n">
        <f aca="false">SQRT(M4^2+N4^2)</f>
        <v>3.81770696543992</v>
      </c>
      <c r="P4" s="40" t="n">
        <f aca="false">IF(J4="","",MAX(0,J4-1.96*O4/100))</f>
        <v>0.288243482896465</v>
      </c>
      <c r="Q4" s="40" t="n">
        <f aca="false">IF(J4="","",MIN(1,J4+1.96*O4/100))</f>
        <v>0.437897595941709</v>
      </c>
      <c r="R4" s="32" t="str">
        <f aca="false">IF(L4="","",IF(ABS(L4)&lt;=O4,"Yes","No"))</f>
        <v>No</v>
      </c>
      <c r="S4" s="32" t="str">
        <f aca="false">IF(L4="","",IF(ABS(L4)&lt;=1.96*O4,"Yes","No"))</f>
        <v>No</v>
      </c>
      <c r="T4" s="60" t="n">
        <f aca="false">IF(D4="","",ROUND(SQRT(((D4+G4)*O4/100)^2+(J4*(D4+G4)*0.07717)^2),0))</f>
        <v>23</v>
      </c>
      <c r="U4" s="32" t="s">
        <v>426</v>
      </c>
    </row>
    <row r="5" customFormat="false" ht="15" hidden="false" customHeight="false" outlineLevel="0" collapsed="false">
      <c r="A5" s="32" t="s">
        <v>162</v>
      </c>
      <c r="B5" s="32" t="s">
        <v>170</v>
      </c>
      <c r="C5" s="32" t="s">
        <v>164</v>
      </c>
      <c r="D5" s="60" t="n">
        <v>521</v>
      </c>
      <c r="E5" s="60" t="n">
        <v>390</v>
      </c>
      <c r="F5" s="69" t="n">
        <f aca="false">IF(E5="","",D5-E5)</f>
        <v>131</v>
      </c>
      <c r="G5" s="60" t="n">
        <v>1164</v>
      </c>
      <c r="H5" s="60" t="n">
        <v>1180</v>
      </c>
      <c r="I5" s="69" t="n">
        <f aca="false">IF(H5="","",G5-H5)</f>
        <v>-16</v>
      </c>
      <c r="J5" s="40" t="n">
        <f aca="false">IF(OR(D5="",D5+G5=0),"",D5/(D5+G5))</f>
        <v>0.30919881305638</v>
      </c>
      <c r="K5" s="40" t="n">
        <f aca="false">IF(E5="","",E5/(E5+H5))</f>
        <v>0.248407643312102</v>
      </c>
      <c r="L5" s="70" t="n">
        <f aca="false">IF(OR(K5="",J5=""),"",(J5-K5)*100)</f>
        <v>6.07911697442779</v>
      </c>
      <c r="M5" s="36" t="n">
        <v>1.84762040092345</v>
      </c>
      <c r="N5" s="36" t="n">
        <v>1.47617294631958</v>
      </c>
      <c r="O5" s="36" t="n">
        <f aca="false">SQRT(M5^2+N5^2)</f>
        <v>2.36490754858501</v>
      </c>
      <c r="P5" s="40" t="n">
        <f aca="false">IF(J5="","",MAX(0,J5-1.96*O5/100))</f>
        <v>0.262846625104114</v>
      </c>
      <c r="Q5" s="40" t="n">
        <f aca="false">IF(J5="","",MIN(1,J5+1.96*O5/100))</f>
        <v>0.355551001008646</v>
      </c>
      <c r="R5" s="32" t="str">
        <f aca="false">IF(L5="","",IF(ABS(L5)&lt;=O5,"Yes","No"))</f>
        <v>No</v>
      </c>
      <c r="S5" s="32" t="str">
        <f aca="false">IF(L5="","",IF(ABS(L5)&lt;=1.96*O5,"Yes","No"))</f>
        <v>No</v>
      </c>
      <c r="T5" s="60" t="n">
        <f aca="false">IF(D5="","",ROUND(SQRT(((D5+G5)*O5/100)^2+(J5*(D5+G5)*0.05992)^2),0))</f>
        <v>51</v>
      </c>
      <c r="U5" s="32" t="s">
        <v>426</v>
      </c>
    </row>
    <row r="6" customFormat="false" ht="15" hidden="false" customHeight="false" outlineLevel="0" collapsed="false">
      <c r="A6" s="32" t="s">
        <v>162</v>
      </c>
      <c r="B6" s="32" t="s">
        <v>172</v>
      </c>
      <c r="C6" s="32" t="s">
        <v>164</v>
      </c>
      <c r="D6" s="60" t="n">
        <v>52</v>
      </c>
      <c r="E6" s="60" t="n">
        <v>47</v>
      </c>
      <c r="F6" s="69" t="n">
        <f aca="false">IF(E6="","",D6-E6)</f>
        <v>5</v>
      </c>
      <c r="G6" s="60" t="n">
        <v>74</v>
      </c>
      <c r="H6" s="60" t="n">
        <v>74</v>
      </c>
      <c r="I6" s="69" t="n">
        <f aca="false">IF(H6="","",G6-H6)</f>
        <v>0</v>
      </c>
      <c r="J6" s="40" t="n">
        <f aca="false">IF(OR(D6="",D6+G6=0),"",D6/(D6+G6))</f>
        <v>0.412698412698413</v>
      </c>
      <c r="K6" s="40" t="n">
        <f aca="false">IF(E6="","",E6/(E6+H6))</f>
        <v>0.388429752066116</v>
      </c>
      <c r="L6" s="70" t="n">
        <f aca="false">IF(OR(K6="",J6=""),"",(J6-K6)*100)</f>
        <v>2.4268660632297</v>
      </c>
      <c r="M6" s="36" t="n">
        <v>3.52076694862392</v>
      </c>
      <c r="N6" s="36" t="n">
        <v>1.47617294631958</v>
      </c>
      <c r="O6" s="36" t="n">
        <f aca="false">SQRT(M6^2+N6^2)</f>
        <v>3.81770696543992</v>
      </c>
      <c r="P6" s="40" t="n">
        <f aca="false">IF(J6="","",MAX(0,J6-1.96*O6/100))</f>
        <v>0.33787135617579</v>
      </c>
      <c r="Q6" s="40" t="n">
        <f aca="false">IF(J6="","",MIN(1,J6+1.96*O6/100))</f>
        <v>0.487525469221035</v>
      </c>
      <c r="R6" s="32" t="str">
        <f aca="false">IF(L6="","",IF(ABS(L6)&lt;=O6,"Yes","No"))</f>
        <v>Yes</v>
      </c>
      <c r="S6" s="32" t="str">
        <f aca="false">IF(L6="","",IF(ABS(L6)&lt;=1.96*O6,"Yes","No"))</f>
        <v>Yes</v>
      </c>
      <c r="T6" s="60" t="n">
        <f aca="false">IF(D6="","",ROUND(SQRT(((D6+G6)*O6/100)^2+(J6*(D6+G6)*0.07717)^2),0))</f>
        <v>6</v>
      </c>
      <c r="U6" s="32" t="s">
        <v>426</v>
      </c>
    </row>
    <row r="7" customFormat="false" ht="15" hidden="false" customHeight="false" outlineLevel="0" collapsed="false">
      <c r="A7" s="32" t="s">
        <v>162</v>
      </c>
      <c r="B7" s="32" t="s">
        <v>173</v>
      </c>
      <c r="C7" s="32" t="s">
        <v>164</v>
      </c>
      <c r="D7" s="60" t="n">
        <v>781</v>
      </c>
      <c r="E7" s="60" t="n">
        <v>631</v>
      </c>
      <c r="F7" s="69" t="n">
        <f aca="false">IF(E7="","",D7-E7)</f>
        <v>150</v>
      </c>
      <c r="G7" s="60" t="n">
        <v>1801</v>
      </c>
      <c r="H7" s="60" t="n">
        <v>1828</v>
      </c>
      <c r="I7" s="69" t="n">
        <f aca="false">IF(H7="","",G7-H7)</f>
        <v>-27</v>
      </c>
      <c r="J7" s="40" t="n">
        <f aca="false">IF(OR(D7="",D7+G7=0),"",D7/(D7+G7))</f>
        <v>0.302478698683191</v>
      </c>
      <c r="K7" s="40" t="n">
        <f aca="false">IF(E7="","",E7/(E7+H7))</f>
        <v>0.256608377389183</v>
      </c>
      <c r="L7" s="70" t="n">
        <f aca="false">IF(OR(K7="",J7=""),"",(J7-K7)*100)</f>
        <v>4.58703212940088</v>
      </c>
      <c r="M7" s="36" t="n">
        <v>1.84762040092345</v>
      </c>
      <c r="N7" s="36" t="n">
        <v>1.47617294631958</v>
      </c>
      <c r="O7" s="36" t="n">
        <f aca="false">SQRT(M7^2+N7^2)</f>
        <v>2.36490754858501</v>
      </c>
      <c r="P7" s="40" t="n">
        <f aca="false">IF(J7="","",MAX(0,J7-1.96*O7/100))</f>
        <v>0.256126510730925</v>
      </c>
      <c r="Q7" s="40" t="n">
        <f aca="false">IF(J7="","",MIN(1,J7+1.96*O7/100))</f>
        <v>0.348830886635458</v>
      </c>
      <c r="R7" s="32" t="str">
        <f aca="false">IF(L7="","",IF(ABS(L7)&lt;=O7,"Yes","No"))</f>
        <v>No</v>
      </c>
      <c r="S7" s="32" t="str">
        <f aca="false">IF(L7="","",IF(ABS(L7)&lt;=1.96*O7,"Yes","No"))</f>
        <v>Yes</v>
      </c>
      <c r="T7" s="60" t="n">
        <f aca="false">IF(D7="","",ROUND(SQRT(((D7+G7)*O7/100)^2+(J7*(D7+G7)*0.05992)^2),0))</f>
        <v>77</v>
      </c>
      <c r="U7" s="32" t="s">
        <v>426</v>
      </c>
    </row>
    <row r="8" customFormat="false" ht="15" hidden="false" customHeight="false" outlineLevel="0" collapsed="false">
      <c r="A8" s="32" t="s">
        <v>162</v>
      </c>
      <c r="B8" s="32" t="s">
        <v>174</v>
      </c>
      <c r="C8" s="32" t="s">
        <v>164</v>
      </c>
      <c r="D8" s="60" t="n">
        <v>1313</v>
      </c>
      <c r="E8" s="60" t="n">
        <v>1060</v>
      </c>
      <c r="F8" s="69" t="n">
        <f aca="false">IF(E8="","",D8-E8)</f>
        <v>253</v>
      </c>
      <c r="G8" s="60" t="n">
        <v>1434</v>
      </c>
      <c r="H8" s="60" t="n">
        <v>1517</v>
      </c>
      <c r="I8" s="69" t="n">
        <f aca="false">IF(H8="","",G8-H8)</f>
        <v>-83</v>
      </c>
      <c r="J8" s="40" t="n">
        <f aca="false">IF(OR(D8="",D8+G8=0),"",D8/(D8+G8))</f>
        <v>0.477975973789589</v>
      </c>
      <c r="K8" s="40" t="n">
        <f aca="false">IF(E8="","",E8/(E8+H8))</f>
        <v>0.411331005044626</v>
      </c>
      <c r="L8" s="70" t="n">
        <f aca="false">IF(OR(K8="",J8=""),"",(J8-K8)*100)</f>
        <v>6.66449687449631</v>
      </c>
      <c r="M8" s="36" t="n">
        <v>1.84762040092345</v>
      </c>
      <c r="N8" s="36" t="n">
        <v>1.47617294631958</v>
      </c>
      <c r="O8" s="36" t="n">
        <f aca="false">SQRT(M8^2+N8^2)</f>
        <v>2.36490754858501</v>
      </c>
      <c r="P8" s="40" t="n">
        <f aca="false">IF(J8="","",MAX(0,J8-1.96*O8/100))</f>
        <v>0.431623785837322</v>
      </c>
      <c r="Q8" s="40" t="n">
        <f aca="false">IF(J8="","",MIN(1,J8+1.96*O8/100))</f>
        <v>0.524328161741855</v>
      </c>
      <c r="R8" s="32" t="str">
        <f aca="false">IF(L8="","",IF(ABS(L8)&lt;=O8,"Yes","No"))</f>
        <v>No</v>
      </c>
      <c r="S8" s="32" t="str">
        <f aca="false">IF(L8="","",IF(ABS(L8)&lt;=1.96*O8,"Yes","No"))</f>
        <v>No</v>
      </c>
      <c r="T8" s="60" t="n">
        <f aca="false">IF(D8="","",ROUND(SQRT(((D8+G8)*O8/100)^2+(J8*(D8+G8)*0.05992)^2),0))</f>
        <v>102</v>
      </c>
      <c r="U8" s="32" t="s">
        <v>426</v>
      </c>
    </row>
    <row r="9" customFormat="false" ht="15" hidden="false" customHeight="false" outlineLevel="0" collapsed="false">
      <c r="A9" s="32" t="s">
        <v>162</v>
      </c>
      <c r="B9" s="32" t="s">
        <v>175</v>
      </c>
      <c r="C9" s="32" t="s">
        <v>164</v>
      </c>
      <c r="D9" s="60" t="n">
        <v>379</v>
      </c>
      <c r="E9" s="60" t="n">
        <v>335</v>
      </c>
      <c r="F9" s="69" t="n">
        <f aca="false">IF(E9="","",D9-E9)</f>
        <v>44</v>
      </c>
      <c r="G9" s="60" t="n">
        <v>735</v>
      </c>
      <c r="H9" s="60" t="n">
        <v>766</v>
      </c>
      <c r="I9" s="69" t="n">
        <f aca="false">IF(H9="","",G9-H9)</f>
        <v>-31</v>
      </c>
      <c r="J9" s="40" t="n">
        <f aca="false">IF(OR(D9="",D9+G9=0),"",D9/(D9+G9))</f>
        <v>0.340215439856373</v>
      </c>
      <c r="K9" s="40" t="n">
        <f aca="false">IF(E9="","",E9/(E9+H9))</f>
        <v>0.304268846503179</v>
      </c>
      <c r="L9" s="70" t="n">
        <f aca="false">IF(OR(K9="",J9=""),"",(J9-K9)*100)</f>
        <v>3.59465933531945</v>
      </c>
      <c r="M9" s="36" t="n">
        <v>3.52076694862392</v>
      </c>
      <c r="N9" s="36" t="n">
        <v>1.47617294631958</v>
      </c>
      <c r="O9" s="36" t="n">
        <f aca="false">SQRT(M9^2+N9^2)</f>
        <v>3.81770696543992</v>
      </c>
      <c r="P9" s="40" t="n">
        <f aca="false">IF(J9="","",MAX(0,J9-1.96*O9/100))</f>
        <v>0.265388383333751</v>
      </c>
      <c r="Q9" s="40" t="n">
        <f aca="false">IF(J9="","",MIN(1,J9+1.96*O9/100))</f>
        <v>0.415042496378996</v>
      </c>
      <c r="R9" s="32" t="str">
        <f aca="false">IF(L9="","",IF(ABS(L9)&lt;=O9,"Yes","No"))</f>
        <v>Yes</v>
      </c>
      <c r="S9" s="32" t="str">
        <f aca="false">IF(L9="","",IF(ABS(L9)&lt;=1.96*O9,"Yes","No"))</f>
        <v>Yes</v>
      </c>
      <c r="T9" s="60" t="n">
        <f aca="false">IF(D9="","",ROUND(SQRT(((D9+G9)*O9/100)^2+(J9*(D9+G9)*0.07717)^2),0))</f>
        <v>52</v>
      </c>
      <c r="U9" s="32" t="s">
        <v>426</v>
      </c>
    </row>
    <row r="10" customFormat="false" ht="15" hidden="false" customHeight="false" outlineLevel="0" collapsed="false">
      <c r="A10" s="32" t="s">
        <v>162</v>
      </c>
      <c r="B10" s="32" t="s">
        <v>176</v>
      </c>
      <c r="C10" s="32" t="s">
        <v>164</v>
      </c>
      <c r="D10" s="60" t="n">
        <v>728</v>
      </c>
      <c r="E10" s="60" t="n">
        <v>614</v>
      </c>
      <c r="F10" s="69" t="n">
        <f aca="false">IF(E10="","",D10-E10)</f>
        <v>114</v>
      </c>
      <c r="G10" s="60" t="n">
        <v>780</v>
      </c>
      <c r="H10" s="60" t="n">
        <v>846</v>
      </c>
      <c r="I10" s="69" t="n">
        <f aca="false">IF(H10="","",G10-H10)</f>
        <v>-66</v>
      </c>
      <c r="J10" s="40" t="n">
        <f aca="false">IF(OR(D10="",D10+G10=0),"",D10/(D10+G10))</f>
        <v>0.482758620689655</v>
      </c>
      <c r="K10" s="40" t="n">
        <f aca="false">IF(E10="","",E10/(E10+H10))</f>
        <v>0.420547945205479</v>
      </c>
      <c r="L10" s="70" t="n">
        <f aca="false">IF(OR(K10="",J10=""),"",(J10-K10)*100)</f>
        <v>6.22106754841758</v>
      </c>
      <c r="M10" s="36" t="n">
        <v>3.52076694862392</v>
      </c>
      <c r="N10" s="36" t="n">
        <v>1.47617294631958</v>
      </c>
      <c r="O10" s="36" t="n">
        <f aca="false">SQRT(M10^2+N10^2)</f>
        <v>3.81770696543992</v>
      </c>
      <c r="P10" s="40" t="n">
        <f aca="false">IF(J10="","",MAX(0,J10-1.96*O10/100))</f>
        <v>0.407931564167033</v>
      </c>
      <c r="Q10" s="40" t="n">
        <f aca="false">IF(J10="","",MIN(1,J10+1.96*O10/100))</f>
        <v>0.557585677212278</v>
      </c>
      <c r="R10" s="32" t="str">
        <f aca="false">IF(L10="","",IF(ABS(L10)&lt;=O10,"Yes","No"))</f>
        <v>No</v>
      </c>
      <c r="S10" s="32" t="str">
        <f aca="false">IF(L10="","",IF(ABS(L10)&lt;=1.96*O10,"Yes","No"))</f>
        <v>Yes</v>
      </c>
      <c r="T10" s="60" t="n">
        <f aca="false">IF(D10="","",ROUND(SQRT(((D10+G10)*O10/100)^2+(J10*(D10+G10)*0.07717)^2),0))</f>
        <v>80</v>
      </c>
      <c r="U10" s="32" t="s">
        <v>426</v>
      </c>
    </row>
    <row r="11" customFormat="false" ht="15" hidden="false" customHeight="false" outlineLevel="0" collapsed="false">
      <c r="A11" s="32" t="s">
        <v>162</v>
      </c>
      <c r="B11" s="32" t="s">
        <v>177</v>
      </c>
      <c r="C11" s="32" t="s">
        <v>164</v>
      </c>
      <c r="D11" s="60" t="n">
        <v>43</v>
      </c>
      <c r="E11" s="60" t="n">
        <v>42</v>
      </c>
      <c r="F11" s="69" t="n">
        <f aca="false">IF(E11="","",D11-E11)</f>
        <v>1</v>
      </c>
      <c r="G11" s="60" t="n">
        <v>104</v>
      </c>
      <c r="H11" s="60" t="n">
        <v>99</v>
      </c>
      <c r="I11" s="69" t="n">
        <f aca="false">IF(H11="","",G11-H11)</f>
        <v>5</v>
      </c>
      <c r="J11" s="40" t="n">
        <f aca="false">IF(OR(D11="",D11+G11=0),"",D11/(D11+G11))</f>
        <v>0.292517006802721</v>
      </c>
      <c r="K11" s="40" t="n">
        <f aca="false">IF(E11="","",E11/(E11+H11))</f>
        <v>0.297872340425532</v>
      </c>
      <c r="L11" s="70" t="n">
        <f aca="false">IF(OR(K11="",J11=""),"",(J11-K11)*100)</f>
        <v>-0.535533362281082</v>
      </c>
      <c r="M11" s="36" t="n">
        <v>3.52076694862392</v>
      </c>
      <c r="N11" s="36" t="n">
        <v>1.47617294631958</v>
      </c>
      <c r="O11" s="36" t="n">
        <f aca="false">SQRT(M11^2+N11^2)</f>
        <v>3.81770696543992</v>
      </c>
      <c r="P11" s="40" t="n">
        <f aca="false">IF(J11="","",MAX(0,J11-1.96*O11/100))</f>
        <v>0.217689950280099</v>
      </c>
      <c r="Q11" s="40" t="n">
        <f aca="false">IF(J11="","",MIN(1,J11+1.96*O11/100))</f>
        <v>0.367344063325343</v>
      </c>
      <c r="R11" s="32" t="str">
        <f aca="false">IF(L11="","",IF(ABS(L11)&lt;=O11,"Yes","No"))</f>
        <v>Yes</v>
      </c>
      <c r="S11" s="32" t="str">
        <f aca="false">IF(L11="","",IF(ABS(L11)&lt;=1.96*O11,"Yes","No"))</f>
        <v>Yes</v>
      </c>
      <c r="T11" s="60" t="n">
        <f aca="false">IF(D11="","",ROUND(SQRT(((D11+G11)*O11/100)^2+(J11*(D11+G11)*0.07717)^2),0))</f>
        <v>7</v>
      </c>
      <c r="U11" s="32" t="s">
        <v>426</v>
      </c>
    </row>
    <row r="12" customFormat="false" ht="15" hidden="false" customHeight="false" outlineLevel="0" collapsed="false">
      <c r="A12" s="32" t="s">
        <v>162</v>
      </c>
      <c r="B12" s="32" t="s">
        <v>178</v>
      </c>
      <c r="C12" s="32" t="s">
        <v>164</v>
      </c>
      <c r="D12" s="60" t="n">
        <v>65</v>
      </c>
      <c r="E12" s="60" t="n">
        <v>51</v>
      </c>
      <c r="F12" s="69" t="n">
        <f aca="false">IF(E12="","",D12-E12)</f>
        <v>14</v>
      </c>
      <c r="G12" s="60" t="n">
        <v>219</v>
      </c>
      <c r="H12" s="60" t="n">
        <v>223</v>
      </c>
      <c r="I12" s="69" t="n">
        <f aca="false">IF(H12="","",G12-H12)</f>
        <v>-4</v>
      </c>
      <c r="J12" s="40" t="n">
        <f aca="false">IF(OR(D12="",D12+G12=0),"",D12/(D12+G12))</f>
        <v>0.22887323943662</v>
      </c>
      <c r="K12" s="40" t="n">
        <f aca="false">IF(E12="","",E12/(E12+H12))</f>
        <v>0.186131386861314</v>
      </c>
      <c r="L12" s="70" t="n">
        <f aca="false">IF(OR(K12="",J12=""),"",(J12-K12)*100)</f>
        <v>4.27418525753059</v>
      </c>
      <c r="M12" s="36" t="n">
        <v>3.52076694862392</v>
      </c>
      <c r="N12" s="36" t="n">
        <v>1.47617294631958</v>
      </c>
      <c r="O12" s="36" t="n">
        <f aca="false">SQRT(M12^2+N12^2)</f>
        <v>3.81770696543992</v>
      </c>
      <c r="P12" s="40" t="n">
        <f aca="false">IF(J12="","",MAX(0,J12-1.96*O12/100))</f>
        <v>0.154046182913997</v>
      </c>
      <c r="Q12" s="40" t="n">
        <f aca="false">IF(J12="","",MIN(1,J12+1.96*O12/100))</f>
        <v>0.303700295959242</v>
      </c>
      <c r="R12" s="32" t="str">
        <f aca="false">IF(L12="","",IF(ABS(L12)&lt;=O12,"Yes","No"))</f>
        <v>No</v>
      </c>
      <c r="S12" s="32" t="str">
        <f aca="false">IF(L12="","",IF(ABS(L12)&lt;=1.96*O12,"Yes","No"))</f>
        <v>Yes</v>
      </c>
      <c r="T12" s="60" t="n">
        <f aca="false">IF(D12="","",ROUND(SQRT(((D12+G12)*O12/100)^2+(J12*(D12+G12)*0.07717)^2),0))</f>
        <v>12</v>
      </c>
      <c r="U12" s="32" t="s">
        <v>426</v>
      </c>
    </row>
    <row r="13" customFormat="false" ht="15" hidden="false" customHeight="false" outlineLevel="0" collapsed="false">
      <c r="A13" s="32" t="s">
        <v>162</v>
      </c>
      <c r="B13" s="32" t="s">
        <v>179</v>
      </c>
      <c r="C13" s="32" t="s">
        <v>164</v>
      </c>
      <c r="D13" s="60" t="n">
        <v>1051</v>
      </c>
      <c r="E13" s="60" t="n">
        <v>841</v>
      </c>
      <c r="F13" s="69" t="n">
        <f aca="false">IF(E13="","",D13-E13)</f>
        <v>210</v>
      </c>
      <c r="G13" s="60" t="n">
        <v>1365</v>
      </c>
      <c r="H13" s="60" t="n">
        <v>1410</v>
      </c>
      <c r="I13" s="69" t="n">
        <f aca="false">IF(H13="","",G13-H13)</f>
        <v>-45</v>
      </c>
      <c r="J13" s="40" t="n">
        <f aca="false">IF(OR(D13="",D13+G13=0),"",D13/(D13+G13))</f>
        <v>0.435016556291391</v>
      </c>
      <c r="K13" s="40" t="n">
        <f aca="false">IF(E13="","",E13/(E13+H13))</f>
        <v>0.373611728120835</v>
      </c>
      <c r="L13" s="70" t="n">
        <f aca="false">IF(OR(K13="",J13=""),"",(J13-K13)*100)</f>
        <v>6.14048281705555</v>
      </c>
      <c r="M13" s="36" t="n">
        <v>1.84762040092345</v>
      </c>
      <c r="N13" s="36" t="n">
        <v>1.47617294631958</v>
      </c>
      <c r="O13" s="36" t="n">
        <f aca="false">SQRT(M13^2+N13^2)</f>
        <v>2.36490754858501</v>
      </c>
      <c r="P13" s="40" t="n">
        <f aca="false">IF(J13="","",MAX(0,J13-1.96*O13/100))</f>
        <v>0.388664368339125</v>
      </c>
      <c r="Q13" s="40" t="n">
        <f aca="false">IF(J13="","",MIN(1,J13+1.96*O13/100))</f>
        <v>0.481368744243657</v>
      </c>
      <c r="R13" s="32" t="str">
        <f aca="false">IF(L13="","",IF(ABS(L13)&lt;=O13,"Yes","No"))</f>
        <v>No</v>
      </c>
      <c r="S13" s="32" t="str">
        <f aca="false">IF(L13="","",IF(ABS(L13)&lt;=1.96*O13,"Yes","No"))</f>
        <v>No</v>
      </c>
      <c r="T13" s="60" t="n">
        <f aca="false">IF(D13="","",ROUND(SQRT(((D13+G13)*O13/100)^2+(J13*(D13+G13)*0.05992)^2),0))</f>
        <v>85</v>
      </c>
      <c r="U13" s="32" t="s">
        <v>426</v>
      </c>
    </row>
    <row r="14" customFormat="false" ht="15" hidden="false" customHeight="false" outlineLevel="0" collapsed="false">
      <c r="A14" s="32" t="s">
        <v>162</v>
      </c>
      <c r="B14" s="32" t="s">
        <v>180</v>
      </c>
      <c r="C14" s="32" t="s">
        <v>164</v>
      </c>
      <c r="D14" s="60" t="n">
        <v>601</v>
      </c>
      <c r="E14" s="60" t="n">
        <v>489</v>
      </c>
      <c r="F14" s="69" t="n">
        <f aca="false">IF(E14="","",D14-E14)</f>
        <v>112</v>
      </c>
      <c r="G14" s="60" t="n">
        <v>1177</v>
      </c>
      <c r="H14" s="60" t="n">
        <v>1164</v>
      </c>
      <c r="I14" s="69" t="n">
        <f aca="false">IF(H14="","",G14-H14)</f>
        <v>13</v>
      </c>
      <c r="J14" s="40" t="n">
        <f aca="false">IF(OR(D14="",D14+G14=0),"",D14/(D14+G14))</f>
        <v>0.338020247469066</v>
      </c>
      <c r="K14" s="40" t="n">
        <f aca="false">IF(E14="","",E14/(E14+H14))</f>
        <v>0.295825771324864</v>
      </c>
      <c r="L14" s="70" t="n">
        <f aca="false">IF(OR(K14="",J14=""),"",(J14-K14)*100)</f>
        <v>4.21944761442025</v>
      </c>
      <c r="M14" s="36" t="n">
        <v>1.84762040092345</v>
      </c>
      <c r="N14" s="36" t="n">
        <v>1.47617294631958</v>
      </c>
      <c r="O14" s="36" t="n">
        <f aca="false">SQRT(M14^2+N14^2)</f>
        <v>2.36490754858501</v>
      </c>
      <c r="P14" s="40" t="n">
        <f aca="false">IF(J14="","",MAX(0,J14-1.96*O14/100))</f>
        <v>0.2916680595168</v>
      </c>
      <c r="Q14" s="40" t="n">
        <f aca="false">IF(J14="","",MIN(1,J14+1.96*O14/100))</f>
        <v>0.384372435421333</v>
      </c>
      <c r="R14" s="32" t="str">
        <f aca="false">IF(L14="","",IF(ABS(L14)&lt;=O14,"Yes","No"))</f>
        <v>No</v>
      </c>
      <c r="S14" s="32" t="str">
        <f aca="false">IF(L14="","",IF(ABS(L14)&lt;=1.96*O14,"Yes","No"))</f>
        <v>Yes</v>
      </c>
      <c r="T14" s="60" t="n">
        <f aca="false">IF(D14="","",ROUND(SQRT(((D14+G14)*O14/100)^2+(J14*(D14+G14)*0.05992)^2),0))</f>
        <v>55</v>
      </c>
      <c r="U14" s="32" t="s">
        <v>426</v>
      </c>
    </row>
    <row r="15" customFormat="false" ht="15" hidden="false" customHeight="false" outlineLevel="0" collapsed="false">
      <c r="A15" s="32" t="s">
        <v>162</v>
      </c>
      <c r="B15" s="32" t="s">
        <v>181</v>
      </c>
      <c r="C15" s="32" t="s">
        <v>164</v>
      </c>
      <c r="D15" s="60" t="n">
        <v>723</v>
      </c>
      <c r="E15" s="60" t="n">
        <v>563</v>
      </c>
      <c r="F15" s="69" t="n">
        <f aca="false">IF(E15="","",D15-E15)</f>
        <v>160</v>
      </c>
      <c r="G15" s="60" t="n">
        <v>1593</v>
      </c>
      <c r="H15" s="60" t="n">
        <v>1559</v>
      </c>
      <c r="I15" s="69" t="n">
        <f aca="false">IF(H15="","",G15-H15)</f>
        <v>34</v>
      </c>
      <c r="J15" s="40" t="n">
        <f aca="false">IF(OR(D15="",D15+G15=0),"",D15/(D15+G15))</f>
        <v>0.312176165803109</v>
      </c>
      <c r="K15" s="40" t="n">
        <f aca="false">IF(E15="","",E15/(E15+H15))</f>
        <v>0.265315739868049</v>
      </c>
      <c r="L15" s="70" t="n">
        <f aca="false">IF(OR(K15="",J15=""),"",(J15-K15)*100)</f>
        <v>4.68604259350598</v>
      </c>
      <c r="M15" s="36" t="n">
        <v>1.84762040092345</v>
      </c>
      <c r="N15" s="36" t="n">
        <v>1.47617294631958</v>
      </c>
      <c r="O15" s="36" t="n">
        <f aca="false">SQRT(M15^2+N15^2)</f>
        <v>2.36490754858501</v>
      </c>
      <c r="P15" s="40" t="n">
        <f aca="false">IF(J15="","",MAX(0,J15-1.96*O15/100))</f>
        <v>0.265823977850843</v>
      </c>
      <c r="Q15" s="40" t="n">
        <f aca="false">IF(J15="","",MIN(1,J15+1.96*O15/100))</f>
        <v>0.358528353755375</v>
      </c>
      <c r="R15" s="32" t="str">
        <f aca="false">IF(L15="","",IF(ABS(L15)&lt;=O15,"Yes","No"))</f>
        <v>No</v>
      </c>
      <c r="S15" s="32" t="str">
        <f aca="false">IF(L15="","",IF(ABS(L15)&lt;=1.96*O15,"Yes","No"))</f>
        <v>No</v>
      </c>
      <c r="T15" s="60" t="n">
        <f aca="false">IF(D15="","",ROUND(SQRT(((D15+G15)*O15/100)^2+(J15*(D15+G15)*0.05992)^2),0))</f>
        <v>70</v>
      </c>
      <c r="U15" s="32" t="s">
        <v>426</v>
      </c>
    </row>
    <row r="16" customFormat="false" ht="15" hidden="false" customHeight="false" outlineLevel="0" collapsed="false">
      <c r="A16" s="32" t="s">
        <v>162</v>
      </c>
      <c r="B16" s="32" t="s">
        <v>182</v>
      </c>
      <c r="C16" s="32" t="s">
        <v>164</v>
      </c>
      <c r="D16" s="60" t="n">
        <v>730</v>
      </c>
      <c r="E16" s="60" t="n">
        <v>574</v>
      </c>
      <c r="F16" s="69" t="n">
        <f aca="false">IF(E16="","",D16-E16)</f>
        <v>156</v>
      </c>
      <c r="G16" s="60" t="n">
        <v>913</v>
      </c>
      <c r="H16" s="60" t="n">
        <v>963</v>
      </c>
      <c r="I16" s="69" t="n">
        <f aca="false">IF(H16="","",G16-H16)</f>
        <v>-50</v>
      </c>
      <c r="J16" s="40" t="n">
        <f aca="false">IF(OR(D16="",D16+G16=0),"",D16/(D16+G16))</f>
        <v>0.444309190505174</v>
      </c>
      <c r="K16" s="40" t="n">
        <f aca="false">IF(E16="","",E16/(E16+H16))</f>
        <v>0.373454782042941</v>
      </c>
      <c r="L16" s="70" t="n">
        <f aca="false">IF(OR(K16="",J16=""),"",(J16-K16)*100)</f>
        <v>7.08544084622327</v>
      </c>
      <c r="M16" s="36" t="n">
        <v>1.84762040092345</v>
      </c>
      <c r="N16" s="36" t="n">
        <v>1.47617294631958</v>
      </c>
      <c r="O16" s="36" t="n">
        <f aca="false">SQRT(M16^2+N16^2)</f>
        <v>2.36490754858501</v>
      </c>
      <c r="P16" s="40" t="n">
        <f aca="false">IF(J16="","",MAX(0,J16-1.96*O16/100))</f>
        <v>0.397957002552907</v>
      </c>
      <c r="Q16" s="40" t="n">
        <f aca="false">IF(J16="","",MIN(1,J16+1.96*O16/100))</f>
        <v>0.49066137845744</v>
      </c>
      <c r="R16" s="32" t="str">
        <f aca="false">IF(L16="","",IF(ABS(L16)&lt;=O16,"Yes","No"))</f>
        <v>No</v>
      </c>
      <c r="S16" s="32" t="str">
        <f aca="false">IF(L16="","",IF(ABS(L16)&lt;=1.96*O16,"Yes","No"))</f>
        <v>No</v>
      </c>
      <c r="T16" s="60" t="n">
        <f aca="false">IF(D16="","",ROUND(SQRT(((D16+G16)*O16/100)^2+(J16*(D16+G16)*0.05992)^2),0))</f>
        <v>59</v>
      </c>
      <c r="U16" s="32" t="s">
        <v>426</v>
      </c>
    </row>
    <row r="17" customFormat="false" ht="15" hidden="false" customHeight="false" outlineLevel="0" collapsed="false">
      <c r="A17" s="32" t="s">
        <v>162</v>
      </c>
      <c r="B17" s="32" t="s">
        <v>183</v>
      </c>
      <c r="C17" s="32" t="s">
        <v>164</v>
      </c>
      <c r="D17" s="60" t="n">
        <v>148</v>
      </c>
      <c r="E17" s="60" t="n">
        <v>109</v>
      </c>
      <c r="F17" s="69" t="n">
        <f aca="false">IF(E17="","",D17-E17)</f>
        <v>39</v>
      </c>
      <c r="G17" s="60" t="n">
        <v>540</v>
      </c>
      <c r="H17" s="60" t="n">
        <v>531</v>
      </c>
      <c r="I17" s="69" t="n">
        <f aca="false">IF(H17="","",G17-H17)</f>
        <v>9</v>
      </c>
      <c r="J17" s="40" t="n">
        <f aca="false">IF(OR(D17="",D17+G17=0),"",D17/(D17+G17))</f>
        <v>0.215116279069767</v>
      </c>
      <c r="K17" s="40" t="n">
        <f aca="false">IF(E17="","",E17/(E17+H17))</f>
        <v>0.1703125</v>
      </c>
      <c r="L17" s="70" t="n">
        <f aca="false">IF(OR(K17="",J17=""),"",(J17-K17)*100)</f>
        <v>4.48037790697674</v>
      </c>
      <c r="M17" s="36" t="n">
        <v>3.52076694862392</v>
      </c>
      <c r="N17" s="36" t="n">
        <v>1.47617294631958</v>
      </c>
      <c r="O17" s="36" t="n">
        <f aca="false">SQRT(M17^2+N17^2)</f>
        <v>3.81770696543992</v>
      </c>
      <c r="P17" s="40" t="n">
        <f aca="false">IF(J17="","",MAX(0,J17-1.96*O17/100))</f>
        <v>0.140289222547145</v>
      </c>
      <c r="Q17" s="40" t="n">
        <f aca="false">IF(J17="","",MIN(1,J17+1.96*O17/100))</f>
        <v>0.28994333559239</v>
      </c>
      <c r="R17" s="32" t="str">
        <f aca="false">IF(L17="","",IF(ABS(L17)&lt;=O17,"Yes","No"))</f>
        <v>No</v>
      </c>
      <c r="S17" s="32" t="str">
        <f aca="false">IF(L17="","",IF(ABS(L17)&lt;=1.96*O17,"Yes","No"))</f>
        <v>Yes</v>
      </c>
      <c r="T17" s="60" t="n">
        <f aca="false">IF(D17="","",ROUND(SQRT(((D17+G17)*O17/100)^2+(J17*(D17+G17)*0.07717)^2),0))</f>
        <v>29</v>
      </c>
      <c r="U17" s="32" t="s">
        <v>426</v>
      </c>
    </row>
    <row r="18" customFormat="false" ht="15" hidden="false" customHeight="false" outlineLevel="0" collapsed="false">
      <c r="A18" s="32" t="s">
        <v>162</v>
      </c>
      <c r="B18" s="32" t="s">
        <v>184</v>
      </c>
      <c r="C18" s="32" t="s">
        <v>164</v>
      </c>
      <c r="D18" s="60" t="n">
        <v>1099</v>
      </c>
      <c r="E18" s="60" t="n">
        <v>863</v>
      </c>
      <c r="F18" s="69" t="n">
        <f aca="false">IF(E18="","",D18-E18)</f>
        <v>236</v>
      </c>
      <c r="G18" s="60" t="n">
        <v>1599</v>
      </c>
      <c r="H18" s="60" t="n">
        <v>1676</v>
      </c>
      <c r="I18" s="69" t="n">
        <f aca="false">IF(H18="","",G18-H18)</f>
        <v>-77</v>
      </c>
      <c r="J18" s="40" t="n">
        <f aca="false">IF(OR(D18="",D18+G18=0),"",D18/(D18+G18))</f>
        <v>0.407338769458858</v>
      </c>
      <c r="K18" s="40" t="n">
        <f aca="false">IF(E18="","",E18/(E18+H18))</f>
        <v>0.339897597479323</v>
      </c>
      <c r="L18" s="70" t="n">
        <f aca="false">IF(OR(K18="",J18=""),"",(J18-K18)*100)</f>
        <v>6.74411719795359</v>
      </c>
      <c r="M18" s="36" t="n">
        <v>1.84762040092345</v>
      </c>
      <c r="N18" s="36" t="n">
        <v>1.47617294631958</v>
      </c>
      <c r="O18" s="36" t="n">
        <f aca="false">SQRT(M18^2+N18^2)</f>
        <v>2.36490754858501</v>
      </c>
      <c r="P18" s="40" t="n">
        <f aca="false">IF(J18="","",MAX(0,J18-1.96*O18/100))</f>
        <v>0.360986581506592</v>
      </c>
      <c r="Q18" s="40" t="n">
        <f aca="false">IF(J18="","",MIN(1,J18+1.96*O18/100))</f>
        <v>0.453690957411125</v>
      </c>
      <c r="R18" s="32" t="str">
        <f aca="false">IF(L18="","",IF(ABS(L18)&lt;=O18,"Yes","No"))</f>
        <v>No</v>
      </c>
      <c r="S18" s="32" t="str">
        <f aca="false">IF(L18="","",IF(ABS(L18)&lt;=1.96*O18,"Yes","No"))</f>
        <v>No</v>
      </c>
      <c r="T18" s="60" t="n">
        <f aca="false">IF(D18="","",ROUND(SQRT(((D18+G18)*O18/100)^2+(J18*(D18+G18)*0.05992)^2),0))</f>
        <v>92</v>
      </c>
      <c r="U18" s="32" t="s">
        <v>426</v>
      </c>
    </row>
    <row r="19" customFormat="false" ht="15" hidden="false" customHeight="false" outlineLevel="0" collapsed="false">
      <c r="A19" s="32" t="s">
        <v>162</v>
      </c>
      <c r="B19" s="32" t="s">
        <v>185</v>
      </c>
      <c r="C19" s="32" t="s">
        <v>164</v>
      </c>
      <c r="D19" s="60" t="n">
        <v>78</v>
      </c>
      <c r="E19" s="60" t="n">
        <v>52</v>
      </c>
      <c r="F19" s="69" t="n">
        <f aca="false">IF(E19="","",D19-E19)</f>
        <v>26</v>
      </c>
      <c r="G19" s="60" t="n">
        <v>163</v>
      </c>
      <c r="H19" s="60" t="n">
        <v>167</v>
      </c>
      <c r="I19" s="69" t="n">
        <f aca="false">IF(H19="","",G19-H19)</f>
        <v>-4</v>
      </c>
      <c r="J19" s="40" t="n">
        <f aca="false">IF(OR(D19="",D19+G19=0),"",D19/(D19+G19))</f>
        <v>0.323651452282158</v>
      </c>
      <c r="K19" s="40" t="n">
        <f aca="false">IF(E19="","",E19/(E19+H19))</f>
        <v>0.237442922374429</v>
      </c>
      <c r="L19" s="70" t="n">
        <f aca="false">IF(OR(K19="",J19=""),"",(J19-K19)*100)</f>
        <v>8.62085299077285</v>
      </c>
      <c r="M19" s="36" t="n">
        <v>3.52076694862392</v>
      </c>
      <c r="N19" s="36" t="n">
        <v>1.47617294631958</v>
      </c>
      <c r="O19" s="36" t="n">
        <f aca="false">SQRT(M19^2+N19^2)</f>
        <v>3.81770696543992</v>
      </c>
      <c r="P19" s="40" t="n">
        <f aca="false">IF(J19="","",MAX(0,J19-1.96*O19/100))</f>
        <v>0.248824395759535</v>
      </c>
      <c r="Q19" s="40" t="n">
        <f aca="false">IF(J19="","",MIN(1,J19+1.96*O19/100))</f>
        <v>0.39847850880478</v>
      </c>
      <c r="R19" s="32" t="str">
        <f aca="false">IF(L19="","",IF(ABS(L19)&lt;=O19,"Yes","No"))</f>
        <v>No</v>
      </c>
      <c r="S19" s="32" t="str">
        <f aca="false">IF(L19="","",IF(ABS(L19)&lt;=1.96*O19,"Yes","No"))</f>
        <v>No</v>
      </c>
      <c r="T19" s="60" t="n">
        <f aca="false">IF(D19="","",ROUND(SQRT(((D19+G19)*O19/100)^2+(J19*(D19+G19)*0.07717)^2),0))</f>
        <v>11</v>
      </c>
      <c r="U19" s="32" t="s">
        <v>426</v>
      </c>
    </row>
    <row r="20" customFormat="false" ht="15" hidden="false" customHeight="false" outlineLevel="0" collapsed="false">
      <c r="A20" s="32" t="s">
        <v>162</v>
      </c>
      <c r="B20" s="32" t="s">
        <v>186</v>
      </c>
      <c r="C20" s="32" t="s">
        <v>164</v>
      </c>
      <c r="D20" s="60" t="n">
        <v>2316</v>
      </c>
      <c r="E20" s="60" t="n">
        <v>1997</v>
      </c>
      <c r="F20" s="69" t="n">
        <f aca="false">IF(E20="","",D20-E20)</f>
        <v>319</v>
      </c>
      <c r="G20" s="60" t="n">
        <v>3695</v>
      </c>
      <c r="H20" s="60" t="n">
        <v>3474</v>
      </c>
      <c r="I20" s="69" t="n">
        <f aca="false">IF(H20="","",G20-H20)</f>
        <v>221</v>
      </c>
      <c r="J20" s="40" t="n">
        <f aca="false">IF(OR(D20="",D20+G20=0),"",D20/(D20+G20))</f>
        <v>0.385293628348029</v>
      </c>
      <c r="K20" s="40" t="n">
        <f aca="false">IF(E20="","",E20/(E20+H20))</f>
        <v>0.365015536464997</v>
      </c>
      <c r="L20" s="70" t="n">
        <f aca="false">IF(OR(K20="",J20=""),"",(J20-K20)*100)</f>
        <v>2.02780918830314</v>
      </c>
      <c r="M20" s="36" t="n">
        <v>2.38612924807294</v>
      </c>
      <c r="N20" s="36" t="n">
        <v>1.47617294631958</v>
      </c>
      <c r="O20" s="36" t="n">
        <f aca="false">SQRT(M20^2+N20^2)</f>
        <v>2.80583309481426</v>
      </c>
      <c r="P20" s="40" t="n">
        <f aca="false">IF(J20="","",MAX(0,J20-1.96*O20/100))</f>
        <v>0.330299299689669</v>
      </c>
      <c r="Q20" s="40" t="n">
        <f aca="false">IF(J20="","",MIN(1,J20+1.96*O20/100))</f>
        <v>0.440287957006388</v>
      </c>
      <c r="R20" s="32" t="str">
        <f aca="false">IF(L20="","",IF(ABS(L20)&lt;=O20,"Yes","No"))</f>
        <v>Yes</v>
      </c>
      <c r="S20" s="32" t="str">
        <f aca="false">IF(L20="","",IF(ABS(L20)&lt;=1.96*O20,"Yes","No"))</f>
        <v>Yes</v>
      </c>
      <c r="T20" s="60" t="n">
        <f aca="false">IF(D20="","",ROUND(SQRT(((D20+G20)*O20/100)^2+(J20*(D20+G20)*0.05437)^2),0))</f>
        <v>210</v>
      </c>
      <c r="U20" s="32" t="s">
        <v>426</v>
      </c>
    </row>
    <row r="21" customFormat="false" ht="15" hidden="false" customHeight="false" outlineLevel="0" collapsed="false">
      <c r="A21" s="32" t="s">
        <v>162</v>
      </c>
      <c r="B21" s="32" t="s">
        <v>188</v>
      </c>
      <c r="C21" s="32" t="s">
        <v>164</v>
      </c>
      <c r="D21" s="60" t="n">
        <v>771</v>
      </c>
      <c r="E21" s="60" t="n">
        <v>620</v>
      </c>
      <c r="F21" s="69" t="n">
        <f aca="false">IF(E21="","",D21-E21)</f>
        <v>151</v>
      </c>
      <c r="G21" s="60" t="n">
        <v>801</v>
      </c>
      <c r="H21" s="60" t="n">
        <v>917</v>
      </c>
      <c r="I21" s="69" t="n">
        <f aca="false">IF(H21="","",G21-H21)</f>
        <v>-116</v>
      </c>
      <c r="J21" s="40" t="n">
        <f aca="false">IF(OR(D21="",D21+G21=0),"",D21/(D21+G21))</f>
        <v>0.490458015267176</v>
      </c>
      <c r="K21" s="40" t="n">
        <f aca="false">IF(E21="","",E21/(E21+H21))</f>
        <v>0.403383214053351</v>
      </c>
      <c r="L21" s="70" t="n">
        <f aca="false">IF(OR(K21="",J21=""),"",(J21-K21)*100)</f>
        <v>8.70748012138249</v>
      </c>
      <c r="M21" s="36" t="n">
        <v>1.84762040092345</v>
      </c>
      <c r="N21" s="36" t="n">
        <v>1.47617294631958</v>
      </c>
      <c r="O21" s="36" t="n">
        <f aca="false">SQRT(M21^2+N21^2)</f>
        <v>2.36490754858501</v>
      </c>
      <c r="P21" s="40" t="n">
        <f aca="false">IF(J21="","",MAX(0,J21-1.96*O21/100))</f>
        <v>0.444105827314909</v>
      </c>
      <c r="Q21" s="40" t="n">
        <f aca="false">IF(J21="","",MIN(1,J21+1.96*O21/100))</f>
        <v>0.536810203219442</v>
      </c>
      <c r="R21" s="32" t="str">
        <f aca="false">IF(L21="","",IF(ABS(L21)&lt;=O21,"Yes","No"))</f>
        <v>No</v>
      </c>
      <c r="S21" s="32" t="str">
        <f aca="false">IF(L21="","",IF(ABS(L21)&lt;=1.96*O21,"Yes","No"))</f>
        <v>No</v>
      </c>
      <c r="T21" s="60" t="n">
        <f aca="false">IF(D21="","",ROUND(SQRT(((D21+G21)*O21/100)^2+(J21*(D21+G21)*0.05992)^2),0))</f>
        <v>59</v>
      </c>
      <c r="U21" s="32" t="s">
        <v>426</v>
      </c>
    </row>
    <row r="22" customFormat="false" ht="15" hidden="false" customHeight="false" outlineLevel="0" collapsed="false">
      <c r="A22" s="32" t="s">
        <v>162</v>
      </c>
      <c r="B22" s="32" t="s">
        <v>189</v>
      </c>
      <c r="C22" s="32" t="s">
        <v>164</v>
      </c>
      <c r="D22" s="60" t="n">
        <v>887</v>
      </c>
      <c r="E22" s="60" t="n">
        <v>723</v>
      </c>
      <c r="F22" s="69" t="n">
        <f aca="false">IF(E22="","",D22-E22)</f>
        <v>164</v>
      </c>
      <c r="G22" s="60" t="n">
        <v>1839</v>
      </c>
      <c r="H22" s="60" t="n">
        <v>1892</v>
      </c>
      <c r="I22" s="69" t="n">
        <f aca="false">IF(H22="","",G22-H22)</f>
        <v>-53</v>
      </c>
      <c r="J22" s="40" t="n">
        <f aca="false">IF(OR(D22="",D22+G22=0),"",D22/(D22+G22))</f>
        <v>0.32538517975055</v>
      </c>
      <c r="K22" s="40" t="n">
        <f aca="false">IF(E22="","",E22/(E22+H22))</f>
        <v>0.276481835564054</v>
      </c>
      <c r="L22" s="70" t="n">
        <f aca="false">IF(OR(K22="",J22=""),"",(J22-K22)*100)</f>
        <v>4.89033441864967</v>
      </c>
      <c r="M22" s="36" t="n">
        <v>1.84762040092345</v>
      </c>
      <c r="N22" s="36" t="n">
        <v>1.47617294631958</v>
      </c>
      <c r="O22" s="36" t="n">
        <f aca="false">SQRT(M22^2+N22^2)</f>
        <v>2.36490754858501</v>
      </c>
      <c r="P22" s="40" t="n">
        <f aca="false">IF(J22="","",MAX(0,J22-1.96*O22/100))</f>
        <v>0.279032991798284</v>
      </c>
      <c r="Q22" s="40" t="n">
        <f aca="false">IF(J22="","",MIN(1,J22+1.96*O22/100))</f>
        <v>0.371737367702817</v>
      </c>
      <c r="R22" s="32" t="str">
        <f aca="false">IF(L22="","",IF(ABS(L22)&lt;=O22,"Yes","No"))</f>
        <v>No</v>
      </c>
      <c r="S22" s="32" t="str">
        <f aca="false">IF(L22="","",IF(ABS(L22)&lt;=1.96*O22,"Yes","No"))</f>
        <v>No</v>
      </c>
      <c r="T22" s="60" t="n">
        <f aca="false">IF(D22="","",ROUND(SQRT(((D22+G22)*O22/100)^2+(J22*(D22+G22)*0.05992)^2),0))</f>
        <v>84</v>
      </c>
      <c r="U22" s="32" t="s">
        <v>426</v>
      </c>
    </row>
    <row r="23" customFormat="false" ht="15" hidden="false" customHeight="false" outlineLevel="0" collapsed="false">
      <c r="A23" s="32" t="s">
        <v>162</v>
      </c>
      <c r="B23" s="32" t="s">
        <v>190</v>
      </c>
      <c r="C23" s="32" t="s">
        <v>164</v>
      </c>
      <c r="D23" s="60" t="n">
        <v>382</v>
      </c>
      <c r="E23" s="60" t="n">
        <v>323</v>
      </c>
      <c r="F23" s="69" t="n">
        <f aca="false">IF(E23="","",D23-E23)</f>
        <v>59</v>
      </c>
      <c r="G23" s="60" t="n">
        <v>851</v>
      </c>
      <c r="H23" s="60" t="n">
        <v>898</v>
      </c>
      <c r="I23" s="69" t="n">
        <f aca="false">IF(H23="","",G23-H23)</f>
        <v>-47</v>
      </c>
      <c r="J23" s="40" t="n">
        <f aca="false">IF(OR(D23="",D23+G23=0),"",D23/(D23+G23))</f>
        <v>0.309813463098135</v>
      </c>
      <c r="K23" s="40" t="n">
        <f aca="false">IF(E23="","",E23/(E23+H23))</f>
        <v>0.264537264537265</v>
      </c>
      <c r="L23" s="70" t="n">
        <f aca="false">IF(OR(K23="",J23=""),"",(J23-K23)*100)</f>
        <v>4.52761985608701</v>
      </c>
      <c r="M23" s="36" t="n">
        <v>3.52076694862392</v>
      </c>
      <c r="N23" s="36" t="n">
        <v>1.47617294631958</v>
      </c>
      <c r="O23" s="36" t="n">
        <f aca="false">SQRT(M23^2+N23^2)</f>
        <v>3.81770696543992</v>
      </c>
      <c r="P23" s="40" t="n">
        <f aca="false">IF(J23="","",MAX(0,J23-1.96*O23/100))</f>
        <v>0.234986406575512</v>
      </c>
      <c r="Q23" s="40" t="n">
        <f aca="false">IF(J23="","",MIN(1,J23+1.96*O23/100))</f>
        <v>0.384640519620757</v>
      </c>
      <c r="R23" s="32" t="str">
        <f aca="false">IF(L23="","",IF(ABS(L23)&lt;=O23,"Yes","No"))</f>
        <v>No</v>
      </c>
      <c r="S23" s="32" t="str">
        <f aca="false">IF(L23="","",IF(ABS(L23)&lt;=1.96*O23,"Yes","No"))</f>
        <v>Yes</v>
      </c>
      <c r="T23" s="60" t="n">
        <f aca="false">IF(D23="","",ROUND(SQRT(((D23+G23)*O23/100)^2+(J23*(D23+G23)*0.07717)^2),0))</f>
        <v>56</v>
      </c>
      <c r="U23" s="32" t="s">
        <v>426</v>
      </c>
    </row>
    <row r="24" customFormat="false" ht="15" hidden="false" customHeight="false" outlineLevel="0" collapsed="false">
      <c r="A24" s="32" t="s">
        <v>162</v>
      </c>
      <c r="B24" s="32" t="s">
        <v>191</v>
      </c>
      <c r="C24" s="32" t="s">
        <v>164</v>
      </c>
      <c r="D24" s="60" t="n">
        <v>83</v>
      </c>
      <c r="E24" s="60" t="n">
        <v>62</v>
      </c>
      <c r="F24" s="69" t="n">
        <f aca="false">IF(E24="","",D24-E24)</f>
        <v>21</v>
      </c>
      <c r="G24" s="60" t="n">
        <v>91</v>
      </c>
      <c r="H24" s="60" t="n">
        <v>91</v>
      </c>
      <c r="I24" s="69" t="n">
        <f aca="false">IF(H24="","",G24-H24)</f>
        <v>0</v>
      </c>
      <c r="J24" s="40" t="n">
        <f aca="false">IF(OR(D24="",D24+G24=0),"",D24/(D24+G24))</f>
        <v>0.477011494252874</v>
      </c>
      <c r="K24" s="40" t="n">
        <f aca="false">IF(E24="","",E24/(E24+H24))</f>
        <v>0.405228758169935</v>
      </c>
      <c r="L24" s="70" t="n">
        <f aca="false">IF(OR(K24="",J24=""),"",(J24-K24)*100)</f>
        <v>7.17827360829389</v>
      </c>
      <c r="M24" s="36" t="n">
        <v>3.52076694862392</v>
      </c>
      <c r="N24" s="36" t="n">
        <v>1.47617294631958</v>
      </c>
      <c r="O24" s="36" t="n">
        <f aca="false">SQRT(M24^2+N24^2)</f>
        <v>3.81770696543992</v>
      </c>
      <c r="P24" s="40" t="n">
        <f aca="false">IF(J24="","",MAX(0,J24-1.96*O24/100))</f>
        <v>0.402184437730251</v>
      </c>
      <c r="Q24" s="40" t="n">
        <f aca="false">IF(J24="","",MIN(1,J24+1.96*O24/100))</f>
        <v>0.551838550775496</v>
      </c>
      <c r="R24" s="32" t="str">
        <f aca="false">IF(L24="","",IF(ABS(L24)&lt;=O24,"Yes","No"))</f>
        <v>No</v>
      </c>
      <c r="S24" s="32" t="str">
        <f aca="false">IF(L24="","",IF(ABS(L24)&lt;=1.96*O24,"Yes","No"))</f>
        <v>Yes</v>
      </c>
      <c r="T24" s="60" t="n">
        <f aca="false">IF(D24="","",ROUND(SQRT(((D24+G24)*O24/100)^2+(J24*(D24+G24)*0.07717)^2),0))</f>
        <v>9</v>
      </c>
      <c r="U24" s="32" t="s">
        <v>426</v>
      </c>
    </row>
    <row r="25" customFormat="false" ht="15" hidden="false" customHeight="false" outlineLevel="0" collapsed="false">
      <c r="A25" s="32" t="s">
        <v>192</v>
      </c>
      <c r="B25" s="32" t="s">
        <v>193</v>
      </c>
      <c r="C25" s="32" t="s">
        <v>164</v>
      </c>
      <c r="D25" s="60" t="n">
        <v>699</v>
      </c>
      <c r="E25" s="60" t="n">
        <v>644</v>
      </c>
      <c r="F25" s="69" t="n">
        <f aca="false">IF(E25="","",D25-E25)</f>
        <v>55</v>
      </c>
      <c r="G25" s="60" t="n">
        <v>634</v>
      </c>
      <c r="H25" s="60" t="n">
        <v>735</v>
      </c>
      <c r="I25" s="69" t="n">
        <f aca="false">IF(H25="","",G25-H25)</f>
        <v>-101</v>
      </c>
      <c r="J25" s="40" t="n">
        <f aca="false">IF(OR(D25="",D25+G25=0),"",D25/(D25+G25))</f>
        <v>0.524381095273819</v>
      </c>
      <c r="K25" s="40" t="n">
        <f aca="false">IF(E25="","",E25/(E25+H25))</f>
        <v>0.467005076142132</v>
      </c>
      <c r="L25" s="70" t="n">
        <f aca="false">IF(OR(K25="",J25=""),"",(J25-K25)*100)</f>
        <v>5.73760191316865</v>
      </c>
      <c r="M25" s="36" t="n">
        <v>3.52076694862392</v>
      </c>
      <c r="N25" s="36" t="n">
        <v>1.47617294631958</v>
      </c>
      <c r="O25" s="36" t="n">
        <f aca="false">SQRT(M25^2+N25^2)</f>
        <v>3.81770696543992</v>
      </c>
      <c r="P25" s="40" t="n">
        <f aca="false">IF(J25="","",MAX(0,J25-1.96*O25/100))</f>
        <v>0.449554038751196</v>
      </c>
      <c r="Q25" s="40" t="n">
        <f aca="false">IF(J25="","",MIN(1,J25+1.96*O25/100))</f>
        <v>0.599208151796441</v>
      </c>
      <c r="R25" s="32" t="str">
        <f aca="false">IF(L25="","",IF(ABS(L25)&lt;=O25,"Yes","No"))</f>
        <v>No</v>
      </c>
      <c r="S25" s="32" t="str">
        <f aca="false">IF(L25="","",IF(ABS(L25)&lt;=1.96*O25,"Yes","No"))</f>
        <v>Yes</v>
      </c>
      <c r="T25" s="60" t="n">
        <f aca="false">IF(D25="","",ROUND(SQRT(((D25+G25)*O25/100)^2+(J25*(D25+G25)*0.07717)^2),0))</f>
        <v>74</v>
      </c>
      <c r="U25" s="32"/>
    </row>
    <row r="26" customFormat="false" ht="15" hidden="false" customHeight="false" outlineLevel="0" collapsed="false">
      <c r="A26" s="32" t="s">
        <v>192</v>
      </c>
      <c r="B26" s="32" t="s">
        <v>194</v>
      </c>
      <c r="C26" s="32" t="s">
        <v>164</v>
      </c>
      <c r="D26" s="60" t="n">
        <v>29069</v>
      </c>
      <c r="E26" s="60" t="n">
        <v>27952</v>
      </c>
      <c r="F26" s="69" t="n">
        <f aca="false">IF(E26="","",D26-E26)</f>
        <v>1117</v>
      </c>
      <c r="G26" s="60" t="n">
        <v>11297</v>
      </c>
      <c r="H26" s="60" t="n">
        <v>12938</v>
      </c>
      <c r="I26" s="69" t="n">
        <f aca="false">IF(H26="","",G26-H26)</f>
        <v>-1641</v>
      </c>
      <c r="J26" s="40" t="n">
        <f aca="false">IF(OR(D26="",D26+G26=0),"",D26/(D26+G26))</f>
        <v>0.720135757815984</v>
      </c>
      <c r="K26" s="40" t="n">
        <f aca="false">IF(E26="","",E26/(E26+H26))</f>
        <v>0.6835901198337</v>
      </c>
      <c r="L26" s="70" t="n">
        <f aca="false">IF(OR(K26="",J26=""),"",(J26-K26)*100)</f>
        <v>3.65456379822835</v>
      </c>
      <c r="M26" s="36" t="n">
        <v>2.38612924807294</v>
      </c>
      <c r="N26" s="36" t="n">
        <v>1.47617294631958</v>
      </c>
      <c r="O26" s="36" t="n">
        <f aca="false">SQRT(M26^2+N26^2)</f>
        <v>2.80583309481426</v>
      </c>
      <c r="P26" s="40" t="n">
        <f aca="false">IF(J26="","",MAX(0,J26-1.96*O26/100))</f>
        <v>0.665141429157624</v>
      </c>
      <c r="Q26" s="40" t="n">
        <f aca="false">IF(J26="","",MIN(1,J26+1.96*O26/100))</f>
        <v>0.775130086474343</v>
      </c>
      <c r="R26" s="32" t="str">
        <f aca="false">IF(L26="","",IF(ABS(L26)&lt;=O26,"Yes","No"))</f>
        <v>No</v>
      </c>
      <c r="S26" s="32" t="str">
        <f aca="false">IF(L26="","",IF(ABS(L26)&lt;=1.96*O26,"Yes","No"))</f>
        <v>Yes</v>
      </c>
      <c r="T26" s="60" t="n">
        <f aca="false">IF(D26="","",ROUND(SQRT(((D26+G26)*O26/100)^2+(J26*(D26+G26)*0.05437)^2),0))</f>
        <v>1944</v>
      </c>
      <c r="U26" s="32"/>
    </row>
    <row r="27" customFormat="false" ht="15" hidden="false" customHeight="false" outlineLevel="0" collapsed="false">
      <c r="A27" s="32" t="s">
        <v>192</v>
      </c>
      <c r="B27" s="32" t="s">
        <v>195</v>
      </c>
      <c r="C27" s="32" t="s">
        <v>164</v>
      </c>
      <c r="D27" s="60" t="n">
        <v>6773</v>
      </c>
      <c r="E27" s="60" t="n">
        <v>6475</v>
      </c>
      <c r="F27" s="69" t="n">
        <f aca="false">IF(E27="","",D27-E27)</f>
        <v>298</v>
      </c>
      <c r="G27" s="60" t="n">
        <v>3299</v>
      </c>
      <c r="H27" s="60" t="n">
        <v>3784</v>
      </c>
      <c r="I27" s="69" t="n">
        <f aca="false">IF(H27="","",G27-H27)</f>
        <v>-485</v>
      </c>
      <c r="J27" s="40" t="n">
        <f aca="false">IF(OR(D27="",D27+G27=0),"",D27/(D27+G27))</f>
        <v>0.672458300238284</v>
      </c>
      <c r="K27" s="40" t="n">
        <f aca="false">IF(E27="","",E27/(E27+H27))</f>
        <v>0.631153133833707</v>
      </c>
      <c r="L27" s="70" t="n">
        <f aca="false">IF(OR(K27="",J27=""),"",(J27-K27)*100)</f>
        <v>4.13051664045774</v>
      </c>
      <c r="M27" s="36" t="n">
        <v>2.38612924807294</v>
      </c>
      <c r="N27" s="36" t="n">
        <v>1.47617294631958</v>
      </c>
      <c r="O27" s="36" t="n">
        <f aca="false">SQRT(M27^2+N27^2)</f>
        <v>2.80583309481426</v>
      </c>
      <c r="P27" s="40" t="n">
        <f aca="false">IF(J27="","",MAX(0,J27-1.96*O27/100))</f>
        <v>0.617463971579925</v>
      </c>
      <c r="Q27" s="40" t="n">
        <f aca="false">IF(J27="","",MIN(1,J27+1.96*O27/100))</f>
        <v>0.727452628896644</v>
      </c>
      <c r="R27" s="32" t="str">
        <f aca="false">IF(L27="","",IF(ABS(L27)&lt;=O27,"Yes","No"))</f>
        <v>No</v>
      </c>
      <c r="S27" s="32" t="str">
        <f aca="false">IF(L27="","",IF(ABS(L27)&lt;=1.96*O27,"Yes","No"))</f>
        <v>Yes</v>
      </c>
      <c r="T27" s="60" t="n">
        <f aca="false">IF(D27="","",ROUND(SQRT(((D27+G27)*O27/100)^2+(J27*(D27+G27)*0.05437)^2),0))</f>
        <v>464</v>
      </c>
      <c r="U27" s="32"/>
    </row>
    <row r="28" customFormat="false" ht="15" hidden="false" customHeight="false" outlineLevel="0" collapsed="false">
      <c r="A28" s="32" t="s">
        <v>192</v>
      </c>
      <c r="B28" s="32" t="s">
        <v>196</v>
      </c>
      <c r="C28" s="32" t="s">
        <v>164</v>
      </c>
      <c r="D28" s="60" t="n">
        <v>1749</v>
      </c>
      <c r="E28" s="60" t="n">
        <v>1582</v>
      </c>
      <c r="F28" s="69" t="n">
        <f aca="false">IF(E28="","",D28-E28)</f>
        <v>167</v>
      </c>
      <c r="G28" s="60" t="n">
        <v>1294</v>
      </c>
      <c r="H28" s="60" t="n">
        <v>1496</v>
      </c>
      <c r="I28" s="69" t="n">
        <f aca="false">IF(H28="","",G28-H28)</f>
        <v>-202</v>
      </c>
      <c r="J28" s="40" t="n">
        <f aca="false">IF(OR(D28="",D28+G28=0),"",D28/(D28+G28))</f>
        <v>0.574761748274729</v>
      </c>
      <c r="K28" s="40" t="n">
        <f aca="false">IF(E28="","",E28/(E28+H28))</f>
        <v>0.513970110461339</v>
      </c>
      <c r="L28" s="70" t="n">
        <f aca="false">IF(OR(K28="",J28=""),"",(J28-K28)*100)</f>
        <v>6.07916378133904</v>
      </c>
      <c r="M28" s="36" t="n">
        <v>1.84762040092345</v>
      </c>
      <c r="N28" s="36" t="n">
        <v>1.47617294631958</v>
      </c>
      <c r="O28" s="36" t="n">
        <f aca="false">SQRT(M28^2+N28^2)</f>
        <v>2.36490754858501</v>
      </c>
      <c r="P28" s="40" t="n">
        <f aca="false">IF(J28="","",MAX(0,J28-1.96*O28/100))</f>
        <v>0.528409560322463</v>
      </c>
      <c r="Q28" s="40" t="n">
        <f aca="false">IF(J28="","",MIN(1,J28+1.96*O28/100))</f>
        <v>0.621113936226995</v>
      </c>
      <c r="R28" s="32" t="str">
        <f aca="false">IF(L28="","",IF(ABS(L28)&lt;=O28,"Yes","No"))</f>
        <v>No</v>
      </c>
      <c r="S28" s="32" t="str">
        <f aca="false">IF(L28="","",IF(ABS(L28)&lt;=1.96*O28,"Yes","No"))</f>
        <v>No</v>
      </c>
      <c r="T28" s="60" t="n">
        <f aca="false">IF(D28="","",ROUND(SQRT(((D28+G28)*O28/100)^2+(J28*(D28+G28)*0.05992)^2),0))</f>
        <v>127</v>
      </c>
      <c r="U28" s="32"/>
    </row>
    <row r="29" customFormat="false" ht="15" hidden="false" customHeight="false" outlineLevel="0" collapsed="false">
      <c r="A29" s="32" t="s">
        <v>192</v>
      </c>
      <c r="B29" s="32" t="s">
        <v>197</v>
      </c>
      <c r="C29" s="32" t="s">
        <v>164</v>
      </c>
      <c r="D29" s="60" t="n">
        <v>760</v>
      </c>
      <c r="E29" s="60" t="n">
        <v>704</v>
      </c>
      <c r="F29" s="69" t="n">
        <f aca="false">IF(E29="","",D29-E29)</f>
        <v>56</v>
      </c>
      <c r="G29" s="60" t="n">
        <v>705</v>
      </c>
      <c r="H29" s="60" t="n">
        <v>791</v>
      </c>
      <c r="I29" s="69" t="n">
        <f aca="false">IF(H29="","",G29-H29)</f>
        <v>-86</v>
      </c>
      <c r="J29" s="40" t="n">
        <f aca="false">IF(OR(D29="",D29+G29=0),"",D29/(D29+G29))</f>
        <v>0.51877133105802</v>
      </c>
      <c r="K29" s="40" t="n">
        <f aca="false">IF(E29="","",E29/(E29+H29))</f>
        <v>0.470903010033445</v>
      </c>
      <c r="L29" s="70" t="n">
        <f aca="false">IF(OR(K29="",J29=""),"",(J29-K29)*100)</f>
        <v>4.78683210245756</v>
      </c>
      <c r="M29" s="36" t="n">
        <v>3.52076694862392</v>
      </c>
      <c r="N29" s="36" t="n">
        <v>1.47617294631958</v>
      </c>
      <c r="O29" s="36" t="n">
        <f aca="false">SQRT(M29^2+N29^2)</f>
        <v>3.81770696543992</v>
      </c>
      <c r="P29" s="40" t="n">
        <f aca="false">IF(J29="","",MAX(0,J29-1.96*O29/100))</f>
        <v>0.443944274535398</v>
      </c>
      <c r="Q29" s="40" t="n">
        <f aca="false">IF(J29="","",MIN(1,J29+1.96*O29/100))</f>
        <v>0.593598387580643</v>
      </c>
      <c r="R29" s="32" t="str">
        <f aca="false">IF(L29="","",IF(ABS(L29)&lt;=O29,"Yes","No"))</f>
        <v>No</v>
      </c>
      <c r="S29" s="32" t="str">
        <f aca="false">IF(L29="","",IF(ABS(L29)&lt;=1.96*O29,"Yes","No"))</f>
        <v>Yes</v>
      </c>
      <c r="T29" s="60" t="n">
        <f aca="false">IF(D29="","",ROUND(SQRT(((D29+G29)*O29/100)^2+(J29*(D29+G29)*0.07717)^2),0))</f>
        <v>81</v>
      </c>
      <c r="U29" s="32"/>
    </row>
    <row r="30" customFormat="false" ht="15" hidden="false" customHeight="false" outlineLevel="0" collapsed="false">
      <c r="A30" s="32" t="s">
        <v>192</v>
      </c>
      <c r="B30" s="32" t="s">
        <v>198</v>
      </c>
      <c r="C30" s="32" t="s">
        <v>164</v>
      </c>
      <c r="D30" s="60" t="n">
        <v>949</v>
      </c>
      <c r="E30" s="60" t="n">
        <v>878</v>
      </c>
      <c r="F30" s="69" t="n">
        <f aca="false">IF(E30="","",D30-E30)</f>
        <v>71</v>
      </c>
      <c r="G30" s="60" t="n">
        <v>761</v>
      </c>
      <c r="H30" s="60" t="n">
        <v>870</v>
      </c>
      <c r="I30" s="69" t="n">
        <f aca="false">IF(H30="","",G30-H30)</f>
        <v>-109</v>
      </c>
      <c r="J30" s="40" t="n">
        <f aca="false">IF(OR(D30="",D30+G30=0),"",D30/(D30+G30))</f>
        <v>0.554970760233918</v>
      </c>
      <c r="K30" s="40" t="n">
        <f aca="false">IF(E30="","",E30/(E30+H30))</f>
        <v>0.502288329519451</v>
      </c>
      <c r="L30" s="70" t="n">
        <f aca="false">IF(OR(K30="",J30=""),"",(J30-K30)*100)</f>
        <v>5.26824307144673</v>
      </c>
      <c r="M30" s="36" t="n">
        <v>1.84762040092345</v>
      </c>
      <c r="N30" s="36" t="n">
        <v>1.47617294631958</v>
      </c>
      <c r="O30" s="36" t="n">
        <f aca="false">SQRT(M30^2+N30^2)</f>
        <v>2.36490754858501</v>
      </c>
      <c r="P30" s="40" t="n">
        <f aca="false">IF(J30="","",MAX(0,J30-1.96*O30/100))</f>
        <v>0.508618572281652</v>
      </c>
      <c r="Q30" s="40" t="n">
        <f aca="false">IF(J30="","",MIN(1,J30+1.96*O30/100))</f>
        <v>0.601322948186184</v>
      </c>
      <c r="R30" s="32" t="str">
        <f aca="false">IF(L30="","",IF(ABS(L30)&lt;=O30,"Yes","No"))</f>
        <v>No</v>
      </c>
      <c r="S30" s="32" t="str">
        <f aca="false">IF(L30="","",IF(ABS(L30)&lt;=1.96*O30,"Yes","No"))</f>
        <v>No</v>
      </c>
      <c r="T30" s="60" t="n">
        <f aca="false">IF(D30="","",ROUND(SQRT(((D30+G30)*O30/100)^2+(J30*(D30+G30)*0.05992)^2),0))</f>
        <v>70</v>
      </c>
      <c r="U30" s="32"/>
    </row>
    <row r="31" customFormat="false" ht="15" hidden="false" customHeight="false" outlineLevel="0" collapsed="false">
      <c r="A31" s="32" t="s">
        <v>192</v>
      </c>
      <c r="B31" s="32" t="s">
        <v>199</v>
      </c>
      <c r="C31" s="32" t="s">
        <v>164</v>
      </c>
      <c r="D31" s="60" t="n">
        <v>3615</v>
      </c>
      <c r="E31" s="60" t="n">
        <v>3393</v>
      </c>
      <c r="F31" s="69" t="n">
        <f aca="false">IF(E31="","",D31-E31)</f>
        <v>222</v>
      </c>
      <c r="G31" s="60" t="n">
        <v>2894</v>
      </c>
      <c r="H31" s="60" t="n">
        <v>3078</v>
      </c>
      <c r="I31" s="69" t="n">
        <f aca="false">IF(H31="","",G31-H31)</f>
        <v>-184</v>
      </c>
      <c r="J31" s="40" t="n">
        <f aca="false">IF(OR(D31="",D31+G31=0),"",D31/(D31+G31))</f>
        <v>0.555384851743739</v>
      </c>
      <c r="K31" s="40" t="n">
        <f aca="false">IF(E31="","",E31/(E31+H31))</f>
        <v>0.524339360222531</v>
      </c>
      <c r="L31" s="70" t="n">
        <f aca="false">IF(OR(K31="",J31=""),"",(J31-K31)*100)</f>
        <v>3.10454915212082</v>
      </c>
      <c r="M31" s="36" t="n">
        <v>2.38612924807294</v>
      </c>
      <c r="N31" s="36" t="n">
        <v>1.47617294631958</v>
      </c>
      <c r="O31" s="36" t="n">
        <f aca="false">SQRT(M31^2+N31^2)</f>
        <v>2.80583309481426</v>
      </c>
      <c r="P31" s="40" t="n">
        <f aca="false">IF(J31="","",MAX(0,J31-1.96*O31/100))</f>
        <v>0.50039052308538</v>
      </c>
      <c r="Q31" s="40" t="n">
        <f aca="false">IF(J31="","",MIN(1,J31+1.96*O31/100))</f>
        <v>0.610379180402099</v>
      </c>
      <c r="R31" s="32" t="str">
        <f aca="false">IF(L31="","",IF(ABS(L31)&lt;=O31,"Yes","No"))</f>
        <v>No</v>
      </c>
      <c r="S31" s="32" t="str">
        <f aca="false">IF(L31="","",IF(ABS(L31)&lt;=1.96*O31,"Yes","No"))</f>
        <v>Yes</v>
      </c>
      <c r="T31" s="60" t="n">
        <f aca="false">IF(D31="","",ROUND(SQRT(((D31+G31)*O31/100)^2+(J31*(D31+G31)*0.05437)^2),0))</f>
        <v>268</v>
      </c>
      <c r="U31" s="32"/>
    </row>
    <row r="32" customFormat="false" ht="15" hidden="false" customHeight="false" outlineLevel="0" collapsed="false">
      <c r="A32" s="32" t="s">
        <v>192</v>
      </c>
      <c r="B32" s="32" t="s">
        <v>200</v>
      </c>
      <c r="C32" s="32" t="s">
        <v>164</v>
      </c>
      <c r="D32" s="60" t="n">
        <v>1491</v>
      </c>
      <c r="E32" s="60" t="n">
        <v>1481</v>
      </c>
      <c r="F32" s="69" t="n">
        <f aca="false">IF(E32="","",D32-E32)</f>
        <v>10</v>
      </c>
      <c r="G32" s="60" t="n">
        <v>618</v>
      </c>
      <c r="H32" s="60" t="n">
        <v>737</v>
      </c>
      <c r="I32" s="69" t="n">
        <f aca="false">IF(H32="","",G32-H32)</f>
        <v>-119</v>
      </c>
      <c r="J32" s="40" t="n">
        <f aca="false">IF(OR(D32="",D32+G32=0),"",D32/(D32+G32))</f>
        <v>0.70697012802276</v>
      </c>
      <c r="K32" s="40" t="n">
        <f aca="false">IF(E32="","",E32/(E32+H32))</f>
        <v>0.667718665464382</v>
      </c>
      <c r="L32" s="70" t="n">
        <f aca="false">IF(OR(K32="",J32=""),"",(J32-K32)*100)</f>
        <v>3.92514625583773</v>
      </c>
      <c r="M32" s="36" t="n">
        <v>1.84762040092345</v>
      </c>
      <c r="N32" s="36" t="n">
        <v>1.47617294631958</v>
      </c>
      <c r="O32" s="36" t="n">
        <f aca="false">SQRT(M32^2+N32^2)</f>
        <v>2.36490754858501</v>
      </c>
      <c r="P32" s="40" t="n">
        <f aca="false">IF(J32="","",MAX(0,J32-1.96*O32/100))</f>
        <v>0.660617940070493</v>
      </c>
      <c r="Q32" s="40" t="n">
        <f aca="false">IF(J32="","",MIN(1,J32+1.96*O32/100))</f>
        <v>0.753322315975026</v>
      </c>
      <c r="R32" s="32" t="str">
        <f aca="false">IF(L32="","",IF(ABS(L32)&lt;=O32,"Yes","No"))</f>
        <v>No</v>
      </c>
      <c r="S32" s="32" t="str">
        <f aca="false">IF(L32="","",IF(ABS(L32)&lt;=1.96*O32,"Yes","No"))</f>
        <v>Yes</v>
      </c>
      <c r="T32" s="60" t="n">
        <f aca="false">IF(D32="","",ROUND(SQRT(((D32+G32)*O32/100)^2+(J32*(D32+G32)*0.05992)^2),0))</f>
        <v>102</v>
      </c>
      <c r="U32" s="32"/>
    </row>
    <row r="33" customFormat="false" ht="15" hidden="false" customHeight="false" outlineLevel="0" collapsed="false">
      <c r="A33" s="32" t="s">
        <v>192</v>
      </c>
      <c r="B33" s="32" t="s">
        <v>201</v>
      </c>
      <c r="C33" s="32" t="s">
        <v>164</v>
      </c>
      <c r="D33" s="60" t="n">
        <v>404</v>
      </c>
      <c r="E33" s="60" t="n">
        <v>405</v>
      </c>
      <c r="F33" s="69" t="n">
        <f aca="false">IF(E33="","",D33-E33)</f>
        <v>-1</v>
      </c>
      <c r="G33" s="60" t="n">
        <v>276</v>
      </c>
      <c r="H33" s="60" t="n">
        <v>304</v>
      </c>
      <c r="I33" s="69" t="n">
        <f aca="false">IF(H33="","",G33-H33)</f>
        <v>-28</v>
      </c>
      <c r="J33" s="40" t="n">
        <f aca="false">IF(OR(D33="",D33+G33=0),"",D33/(D33+G33))</f>
        <v>0.594117647058824</v>
      </c>
      <c r="K33" s="40" t="n">
        <f aca="false">IF(E33="","",E33/(E33+H33))</f>
        <v>0.571227080394922</v>
      </c>
      <c r="L33" s="70" t="n">
        <f aca="false">IF(OR(K33="",J33=""),"",(J33-K33)*100)</f>
        <v>2.28905666639011</v>
      </c>
      <c r="M33" s="36" t="n">
        <v>3.52076694862392</v>
      </c>
      <c r="N33" s="36" t="n">
        <v>1.47617294631958</v>
      </c>
      <c r="O33" s="36" t="n">
        <f aca="false">SQRT(M33^2+N33^2)</f>
        <v>3.81770696543992</v>
      </c>
      <c r="P33" s="40" t="n">
        <f aca="false">IF(J33="","",MAX(0,J33-1.96*O33/100))</f>
        <v>0.519290590536201</v>
      </c>
      <c r="Q33" s="40" t="n">
        <f aca="false">IF(J33="","",MIN(1,J33+1.96*O33/100))</f>
        <v>0.668944703581446</v>
      </c>
      <c r="R33" s="32" t="str">
        <f aca="false">IF(L33="","",IF(ABS(L33)&lt;=O33,"Yes","No"))</f>
        <v>Yes</v>
      </c>
      <c r="S33" s="32" t="str">
        <f aca="false">IF(L33="","",IF(ABS(L33)&lt;=1.96*O33,"Yes","No"))</f>
        <v>Yes</v>
      </c>
      <c r="T33" s="60" t="n">
        <f aca="false">IF(D33="","",ROUND(SQRT(((D33+G33)*O33/100)^2+(J33*(D33+G33)*0.07717)^2),0))</f>
        <v>41</v>
      </c>
      <c r="U33" s="32"/>
    </row>
    <row r="34" customFormat="false" ht="15" hidden="false" customHeight="false" outlineLevel="0" collapsed="false">
      <c r="A34" s="32" t="s">
        <v>192</v>
      </c>
      <c r="B34" s="32" t="s">
        <v>202</v>
      </c>
      <c r="C34" s="32" t="s">
        <v>164</v>
      </c>
      <c r="D34" s="60" t="n">
        <v>667</v>
      </c>
      <c r="E34" s="60" t="n">
        <v>602</v>
      </c>
      <c r="F34" s="69" t="n">
        <f aca="false">IF(E34="","",D34-E34)</f>
        <v>65</v>
      </c>
      <c r="G34" s="60" t="n">
        <v>1311</v>
      </c>
      <c r="H34" s="60" t="n">
        <v>1339</v>
      </c>
      <c r="I34" s="69" t="n">
        <f aca="false">IF(H34="","",G34-H34)</f>
        <v>-28</v>
      </c>
      <c r="J34" s="40" t="n">
        <f aca="false">IF(OR(D34="",D34+G34=0),"",D34/(D34+G34))</f>
        <v>0.337209302325581</v>
      </c>
      <c r="K34" s="40" t="n">
        <f aca="false">IF(E34="","",E34/(E34+H34))</f>
        <v>0.310149407521896</v>
      </c>
      <c r="L34" s="70" t="n">
        <f aca="false">IF(OR(K34="",J34=""),"",(J34-K34)*100)</f>
        <v>2.70598948036855</v>
      </c>
      <c r="M34" s="36" t="n">
        <v>1.84762040092345</v>
      </c>
      <c r="N34" s="36" t="n">
        <v>1.47617294631958</v>
      </c>
      <c r="O34" s="36" t="n">
        <f aca="false">SQRT(M34^2+N34^2)</f>
        <v>2.36490754858501</v>
      </c>
      <c r="P34" s="40" t="n">
        <f aca="false">IF(J34="","",MAX(0,J34-1.96*O34/100))</f>
        <v>0.290857114373315</v>
      </c>
      <c r="Q34" s="40" t="n">
        <f aca="false">IF(J34="","",MIN(1,J34+1.96*O34/100))</f>
        <v>0.383561490277848</v>
      </c>
      <c r="R34" s="32" t="str">
        <f aca="false">IF(L34="","",IF(ABS(L34)&lt;=O34,"Yes","No"))</f>
        <v>No</v>
      </c>
      <c r="S34" s="32" t="str">
        <f aca="false">IF(L34="","",IF(ABS(L34)&lt;=1.96*O34,"Yes","No"))</f>
        <v>Yes</v>
      </c>
      <c r="T34" s="60" t="n">
        <f aca="false">IF(D34="","",ROUND(SQRT(((D34+G34)*O34/100)^2+(J34*(D34+G34)*0.05992)^2),0))</f>
        <v>62</v>
      </c>
      <c r="U34" s="32"/>
    </row>
    <row r="35" customFormat="false" ht="15" hidden="false" customHeight="false" outlineLevel="0" collapsed="false">
      <c r="A35" s="32" t="s">
        <v>192</v>
      </c>
      <c r="B35" s="32" t="s">
        <v>203</v>
      </c>
      <c r="C35" s="32" t="s">
        <v>164</v>
      </c>
      <c r="D35" s="60" t="n">
        <v>10110</v>
      </c>
      <c r="E35" s="60" t="n">
        <v>9782</v>
      </c>
      <c r="F35" s="69" t="n">
        <f aca="false">IF(E35="","",D35-E35)</f>
        <v>328</v>
      </c>
      <c r="G35" s="60" t="n">
        <v>9477</v>
      </c>
      <c r="H35" s="60" t="n">
        <v>10014</v>
      </c>
      <c r="I35" s="69" t="n">
        <f aca="false">IF(H35="","",G35-H35)</f>
        <v>-537</v>
      </c>
      <c r="J35" s="40" t="n">
        <f aca="false">IF(OR(D35="",D35+G35=0),"",D35/(D35+G35))</f>
        <v>0.516158676673304</v>
      </c>
      <c r="K35" s="40" t="n">
        <f aca="false">IF(E35="","",E35/(E35+H35))</f>
        <v>0.494140230349566</v>
      </c>
      <c r="L35" s="70" t="n">
        <f aca="false">IF(OR(K35="",J35=""),"",(J35-K35)*100)</f>
        <v>2.20184463237382</v>
      </c>
      <c r="M35" s="36" t="n">
        <v>2.38612924807294</v>
      </c>
      <c r="N35" s="36" t="n">
        <v>1.47617294631958</v>
      </c>
      <c r="O35" s="36" t="n">
        <f aca="false">SQRT(M35^2+N35^2)</f>
        <v>2.80583309481426</v>
      </c>
      <c r="P35" s="40" t="n">
        <f aca="false">IF(J35="","",MAX(0,J35-1.96*O35/100))</f>
        <v>0.461164348014944</v>
      </c>
      <c r="Q35" s="40" t="n">
        <f aca="false">IF(J35="","",MIN(1,J35+1.96*O35/100))</f>
        <v>0.571153005331663</v>
      </c>
      <c r="R35" s="32" t="str">
        <f aca="false">IF(L35="","",IF(ABS(L35)&lt;=O35,"Yes","No"))</f>
        <v>Yes</v>
      </c>
      <c r="S35" s="32" t="str">
        <f aca="false">IF(L35="","",IF(ABS(L35)&lt;=1.96*O35,"Yes","No"))</f>
        <v>Yes</v>
      </c>
      <c r="T35" s="60" t="n">
        <f aca="false">IF(D35="","",ROUND(SQRT(((D35+G35)*O35/100)^2+(J35*(D35+G35)*0.05437)^2),0))</f>
        <v>777</v>
      </c>
      <c r="U35" s="32"/>
    </row>
    <row r="36" customFormat="false" ht="15" hidden="false" customHeight="false" outlineLevel="0" collapsed="false">
      <c r="A36" s="32" t="s">
        <v>192</v>
      </c>
      <c r="B36" s="32" t="s">
        <v>204</v>
      </c>
      <c r="C36" s="32" t="s">
        <v>164</v>
      </c>
      <c r="D36" s="60" t="n">
        <v>934</v>
      </c>
      <c r="E36" s="60" t="n">
        <v>920</v>
      </c>
      <c r="F36" s="69" t="n">
        <f aca="false">IF(E36="","",D36-E36)</f>
        <v>14</v>
      </c>
      <c r="G36" s="60" t="n">
        <v>1553</v>
      </c>
      <c r="H36" s="60" t="n">
        <v>1596</v>
      </c>
      <c r="I36" s="69" t="n">
        <f aca="false">IF(H36="","",G36-H36)</f>
        <v>-43</v>
      </c>
      <c r="J36" s="40" t="n">
        <f aca="false">IF(OR(D36="",D36+G36=0),"",D36/(D36+G36))</f>
        <v>0.375552874949739</v>
      </c>
      <c r="K36" s="40" t="n">
        <f aca="false">IF(E36="","",E36/(E36+H36))</f>
        <v>0.365659777424483</v>
      </c>
      <c r="L36" s="70" t="n">
        <f aca="false">IF(OR(K36="",J36=""),"",(J36-K36)*100)</f>
        <v>0.989309752525536</v>
      </c>
      <c r="M36" s="36" t="n">
        <v>1.84762040092345</v>
      </c>
      <c r="N36" s="36" t="n">
        <v>1.47617294631958</v>
      </c>
      <c r="O36" s="36" t="n">
        <f aca="false">SQRT(M36^2+N36^2)</f>
        <v>2.36490754858501</v>
      </c>
      <c r="P36" s="40" t="n">
        <f aca="false">IF(J36="","",MAX(0,J36-1.96*O36/100))</f>
        <v>0.329200686997472</v>
      </c>
      <c r="Q36" s="40" t="n">
        <f aca="false">IF(J36="","",MIN(1,J36+1.96*O36/100))</f>
        <v>0.421905062902005</v>
      </c>
      <c r="R36" s="32" t="str">
        <f aca="false">IF(L36="","",IF(ABS(L36)&lt;=O36,"Yes","No"))</f>
        <v>Yes</v>
      </c>
      <c r="S36" s="32" t="str">
        <f aca="false">IF(L36="","",IF(ABS(L36)&lt;=1.96*O36,"Yes","No"))</f>
        <v>Yes</v>
      </c>
      <c r="T36" s="60" t="n">
        <f aca="false">IF(D36="","",ROUND(SQRT(((D36+G36)*O36/100)^2+(J36*(D36+G36)*0.05992)^2),0))</f>
        <v>81</v>
      </c>
      <c r="U36" s="32"/>
    </row>
    <row r="37" customFormat="false" ht="15" hidden="false" customHeight="false" outlineLevel="0" collapsed="false">
      <c r="A37" s="32" t="s">
        <v>192</v>
      </c>
      <c r="B37" s="32" t="s">
        <v>205</v>
      </c>
      <c r="C37" s="32" t="s">
        <v>164</v>
      </c>
      <c r="D37" s="60" t="n">
        <v>512</v>
      </c>
      <c r="E37" s="60" t="n">
        <v>533</v>
      </c>
      <c r="F37" s="69" t="n">
        <f aca="false">IF(E37="","",D37-E37)</f>
        <v>-21</v>
      </c>
      <c r="G37" s="60" t="n">
        <v>947</v>
      </c>
      <c r="H37" s="60" t="n">
        <v>955</v>
      </c>
      <c r="I37" s="69" t="n">
        <f aca="false">IF(H37="","",G37-H37)</f>
        <v>-8</v>
      </c>
      <c r="J37" s="40" t="n">
        <f aca="false">IF(OR(D37="",D37+G37=0),"",D37/(D37+G37))</f>
        <v>0.350925291295408</v>
      </c>
      <c r="K37" s="40" t="n">
        <f aca="false">IF(E37="","",E37/(E37+H37))</f>
        <v>0.358198924731183</v>
      </c>
      <c r="L37" s="70" t="n">
        <f aca="false">IF(OR(K37="",J37=""),"",(J37-K37)*100)</f>
        <v>-0.727363343577497</v>
      </c>
      <c r="M37" s="36" t="n">
        <v>3.52076694862392</v>
      </c>
      <c r="N37" s="36" t="n">
        <v>1.47617294631958</v>
      </c>
      <c r="O37" s="36" t="n">
        <f aca="false">SQRT(M37^2+N37^2)</f>
        <v>3.81770696543992</v>
      </c>
      <c r="P37" s="40" t="n">
        <f aca="false">IF(J37="","",MAX(0,J37-1.96*O37/100))</f>
        <v>0.276098234772786</v>
      </c>
      <c r="Q37" s="40" t="n">
        <f aca="false">IF(J37="","",MIN(1,J37+1.96*O37/100))</f>
        <v>0.42575234781803</v>
      </c>
      <c r="R37" s="32" t="str">
        <f aca="false">IF(L37="","",IF(ABS(L37)&lt;=O37,"Yes","No"))</f>
        <v>Yes</v>
      </c>
      <c r="S37" s="32" t="str">
        <f aca="false">IF(L37="","",IF(ABS(L37)&lt;=1.96*O37,"Yes","No"))</f>
        <v>Yes</v>
      </c>
      <c r="T37" s="60" t="n">
        <f aca="false">IF(D37="","",ROUND(SQRT(((D37+G37)*O37/100)^2+(J37*(D37+G37)*0.07717)^2),0))</f>
        <v>68</v>
      </c>
      <c r="U37" s="32"/>
    </row>
    <row r="38" customFormat="false" ht="15" hidden="false" customHeight="false" outlineLevel="0" collapsed="false">
      <c r="A38" s="32" t="s">
        <v>192</v>
      </c>
      <c r="B38" s="32" t="s">
        <v>206</v>
      </c>
      <c r="C38" s="32" t="s">
        <v>164</v>
      </c>
      <c r="D38" s="60" t="n">
        <v>825</v>
      </c>
      <c r="E38" s="60" t="n">
        <v>846</v>
      </c>
      <c r="F38" s="69" t="n">
        <f aca="false">IF(E38="","",D38-E38)</f>
        <v>-21</v>
      </c>
      <c r="G38" s="60" t="n">
        <v>1811</v>
      </c>
      <c r="H38" s="60" t="n">
        <v>1783</v>
      </c>
      <c r="I38" s="69" t="n">
        <f aca="false">IF(H38="","",G38-H38)</f>
        <v>28</v>
      </c>
      <c r="J38" s="40" t="n">
        <f aca="false">IF(OR(D38="",D38+G38=0),"",D38/(D38+G38))</f>
        <v>0.312974203338392</v>
      </c>
      <c r="K38" s="40" t="n">
        <f aca="false">IF(E38="","",E38/(E38+H38))</f>
        <v>0.321795359452263</v>
      </c>
      <c r="L38" s="70" t="n">
        <f aca="false">IF(OR(K38="",J38=""),"",(J38-K38)*100)</f>
        <v>-0.882115611387174</v>
      </c>
      <c r="M38" s="36" t="n">
        <v>1.84762040092345</v>
      </c>
      <c r="N38" s="36" t="n">
        <v>1.47617294631958</v>
      </c>
      <c r="O38" s="36" t="n">
        <f aca="false">SQRT(M38^2+N38^2)</f>
        <v>2.36490754858501</v>
      </c>
      <c r="P38" s="40" t="n">
        <f aca="false">IF(J38="","",MAX(0,J38-1.96*O38/100))</f>
        <v>0.266622015386125</v>
      </c>
      <c r="Q38" s="40" t="n">
        <f aca="false">IF(J38="","",MIN(1,J38+1.96*O38/100))</f>
        <v>0.359326391290658</v>
      </c>
      <c r="R38" s="32" t="str">
        <f aca="false">IF(L38="","",IF(ABS(L38)&lt;=O38,"Yes","No"))</f>
        <v>Yes</v>
      </c>
      <c r="S38" s="32" t="str">
        <f aca="false">IF(L38="","",IF(ABS(L38)&lt;=1.96*O38,"Yes","No"))</f>
        <v>Yes</v>
      </c>
      <c r="T38" s="60" t="n">
        <f aca="false">IF(D38="","",ROUND(SQRT(((D38+G38)*O38/100)^2+(J38*(D38+G38)*0.05992)^2),0))</f>
        <v>80</v>
      </c>
      <c r="U38" s="32"/>
    </row>
    <row r="39" customFormat="false" ht="15" hidden="false" customHeight="false" outlineLevel="0" collapsed="false">
      <c r="A39" s="32" t="s">
        <v>192</v>
      </c>
      <c r="B39" s="32" t="s">
        <v>207</v>
      </c>
      <c r="C39" s="32" t="s">
        <v>164</v>
      </c>
      <c r="D39" s="60" t="n">
        <v>973</v>
      </c>
      <c r="E39" s="60" t="n">
        <v>997</v>
      </c>
      <c r="F39" s="69" t="n">
        <f aca="false">IF(E39="","",D39-E39)</f>
        <v>-24</v>
      </c>
      <c r="G39" s="60" t="n">
        <v>844</v>
      </c>
      <c r="H39" s="60" t="n">
        <v>860</v>
      </c>
      <c r="I39" s="69" t="n">
        <f aca="false">IF(H39="","",G39-H39)</f>
        <v>-16</v>
      </c>
      <c r="J39" s="40" t="n">
        <f aca="false">IF(OR(D39="",D39+G39=0),"",D39/(D39+G39))</f>
        <v>0.535498073747936</v>
      </c>
      <c r="K39" s="40" t="n">
        <f aca="false">IF(E39="","",E39/(E39+H39))</f>
        <v>0.536887452880991</v>
      </c>
      <c r="L39" s="70" t="n">
        <f aca="false">IF(OR(K39="",J39=""),"",(J39-K39)*100)</f>
        <v>-0.13893791330547</v>
      </c>
      <c r="M39" s="36" t="n">
        <v>1.84762040092345</v>
      </c>
      <c r="N39" s="36" t="n">
        <v>1.47617294631958</v>
      </c>
      <c r="O39" s="36" t="n">
        <f aca="false">SQRT(M39^2+N39^2)</f>
        <v>2.36490754858501</v>
      </c>
      <c r="P39" s="40" t="n">
        <f aca="false">IF(J39="","",MAX(0,J39-1.96*O39/100))</f>
        <v>0.48914588579567</v>
      </c>
      <c r="Q39" s="40" t="n">
        <f aca="false">IF(J39="","",MIN(1,J39+1.96*O39/100))</f>
        <v>0.581850261700202</v>
      </c>
      <c r="R39" s="32" t="str">
        <f aca="false">IF(L39="","",IF(ABS(L39)&lt;=O39,"Yes","No"))</f>
        <v>Yes</v>
      </c>
      <c r="S39" s="32" t="str">
        <f aca="false">IF(L39="","",IF(ABS(L39)&lt;=1.96*O39,"Yes","No"))</f>
        <v>Yes</v>
      </c>
      <c r="T39" s="60" t="n">
        <f aca="false">IF(D39="","",ROUND(SQRT(((D39+G39)*O39/100)^2+(J39*(D39+G39)*0.05992)^2),0))</f>
        <v>72</v>
      </c>
      <c r="U39" s="32"/>
    </row>
    <row r="40" customFormat="false" ht="15" hidden="false" customHeight="false" outlineLevel="0" collapsed="false">
      <c r="A40" s="32" t="s">
        <v>192</v>
      </c>
      <c r="B40" s="32" t="s">
        <v>208</v>
      </c>
      <c r="C40" s="32" t="s">
        <v>164</v>
      </c>
      <c r="D40" s="60" t="n">
        <v>4059</v>
      </c>
      <c r="E40" s="60" t="n">
        <v>3900</v>
      </c>
      <c r="F40" s="69" t="n">
        <f aca="false">IF(E40="","",D40-E40)</f>
        <v>159</v>
      </c>
      <c r="G40" s="60" t="n">
        <v>5603</v>
      </c>
      <c r="H40" s="60" t="n">
        <v>5859</v>
      </c>
      <c r="I40" s="69" t="n">
        <f aca="false">IF(H40="","",G40-H40)</f>
        <v>-256</v>
      </c>
      <c r="J40" s="40" t="n">
        <f aca="false">IF(OR(D40="",D40+G40=0),"",D40/(D40+G40))</f>
        <v>0.420099358310909</v>
      </c>
      <c r="K40" s="40" t="n">
        <f aca="false">IF(E40="","",E40/(E40+H40))</f>
        <v>0.399631109744851</v>
      </c>
      <c r="L40" s="70" t="n">
        <f aca="false">IF(OR(K40="",J40=""),"",(J40-K40)*100)</f>
        <v>2.04682485660578</v>
      </c>
      <c r="M40" s="36" t="n">
        <v>2.38612924807294</v>
      </c>
      <c r="N40" s="36" t="n">
        <v>1.47617294631958</v>
      </c>
      <c r="O40" s="36" t="n">
        <f aca="false">SQRT(M40^2+N40^2)</f>
        <v>2.80583309481426</v>
      </c>
      <c r="P40" s="40" t="n">
        <f aca="false">IF(J40="","",MAX(0,J40-1.96*O40/100))</f>
        <v>0.365105029652549</v>
      </c>
      <c r="Q40" s="40" t="n">
        <f aca="false">IF(J40="","",MIN(1,J40+1.96*O40/100))</f>
        <v>0.475093686969268</v>
      </c>
      <c r="R40" s="32" t="str">
        <f aca="false">IF(L40="","",IF(ABS(L40)&lt;=O40,"Yes","No"))</f>
        <v>Yes</v>
      </c>
      <c r="S40" s="32" t="str">
        <f aca="false">IF(L40="","",IF(ABS(L40)&lt;=1.96*O40,"Yes","No"))</f>
        <v>Yes</v>
      </c>
      <c r="T40" s="60" t="n">
        <f aca="false">IF(D40="","",ROUND(SQRT(((D40+G40)*O40/100)^2+(J40*(D40+G40)*0.05437)^2),0))</f>
        <v>350</v>
      </c>
      <c r="U40" s="32"/>
    </row>
    <row r="41" customFormat="false" ht="15" hidden="false" customHeight="false" outlineLevel="0" collapsed="false">
      <c r="A41" s="32" t="s">
        <v>192</v>
      </c>
      <c r="B41" s="32" t="s">
        <v>209</v>
      </c>
      <c r="C41" s="32" t="s">
        <v>164</v>
      </c>
      <c r="D41" s="60" t="n">
        <v>4118</v>
      </c>
      <c r="E41" s="60" t="n">
        <v>4029</v>
      </c>
      <c r="F41" s="69" t="n">
        <f aca="false">IF(E41="","",D41-E41)</f>
        <v>89</v>
      </c>
      <c r="G41" s="60" t="n">
        <v>4002</v>
      </c>
      <c r="H41" s="60" t="n">
        <v>4143</v>
      </c>
      <c r="I41" s="69" t="n">
        <f aca="false">IF(H41="","",G41-H41)</f>
        <v>-141</v>
      </c>
      <c r="J41" s="40" t="n">
        <f aca="false">IF(OR(D41="",D41+G41=0),"",D41/(D41+G41))</f>
        <v>0.507142857142857</v>
      </c>
      <c r="K41" s="40" t="n">
        <f aca="false">IF(E41="","",E41/(E41+H41))</f>
        <v>0.49302496328928</v>
      </c>
      <c r="L41" s="70" t="n">
        <f aca="false">IF(OR(K41="",J41=""),"",(J41-K41)*100)</f>
        <v>1.41178938535766</v>
      </c>
      <c r="M41" s="36" t="n">
        <v>2.38612924807294</v>
      </c>
      <c r="N41" s="36" t="n">
        <v>1.47617294631958</v>
      </c>
      <c r="O41" s="36" t="n">
        <f aca="false">SQRT(M41^2+N41^2)</f>
        <v>2.80583309481426</v>
      </c>
      <c r="P41" s="40" t="n">
        <f aca="false">IF(J41="","",MAX(0,J41-1.96*O41/100))</f>
        <v>0.452148528484498</v>
      </c>
      <c r="Q41" s="40" t="n">
        <f aca="false">IF(J41="","",MIN(1,J41+1.96*O41/100))</f>
        <v>0.562137185801217</v>
      </c>
      <c r="R41" s="32" t="str">
        <f aca="false">IF(L41="","",IF(ABS(L41)&lt;=O41,"Yes","No"))</f>
        <v>Yes</v>
      </c>
      <c r="S41" s="32" t="str">
        <f aca="false">IF(L41="","",IF(ABS(L41)&lt;=1.96*O41,"Yes","No"))</f>
        <v>Yes</v>
      </c>
      <c r="T41" s="60" t="n">
        <f aca="false">IF(D41="","",ROUND(SQRT(((D41+G41)*O41/100)^2+(J41*(D41+G41)*0.05437)^2),0))</f>
        <v>319</v>
      </c>
      <c r="U41" s="32"/>
    </row>
    <row r="42" customFormat="false" ht="15" hidden="false" customHeight="false" outlineLevel="0" collapsed="false">
      <c r="A42" s="32" t="s">
        <v>192</v>
      </c>
      <c r="B42" s="32" t="s">
        <v>210</v>
      </c>
      <c r="C42" s="32" t="s">
        <v>164</v>
      </c>
      <c r="D42" s="60" t="n">
        <v>833</v>
      </c>
      <c r="E42" s="60" t="n">
        <v>748</v>
      </c>
      <c r="F42" s="69" t="n">
        <f aca="false">IF(E42="","",D42-E42)</f>
        <v>85</v>
      </c>
      <c r="G42" s="60" t="n">
        <v>1024</v>
      </c>
      <c r="H42" s="60" t="n">
        <v>1149</v>
      </c>
      <c r="I42" s="69" t="n">
        <f aca="false">IF(H42="","",G42-H42)</f>
        <v>-125</v>
      </c>
      <c r="J42" s="40" t="n">
        <f aca="false">IF(OR(D42="",D42+G42=0),"",D42/(D42+G42))</f>
        <v>0.448572967151319</v>
      </c>
      <c r="K42" s="40" t="n">
        <f aca="false">IF(E42="","",E42/(E42+H42))</f>
        <v>0.394306800210859</v>
      </c>
      <c r="L42" s="70" t="n">
        <f aca="false">IF(OR(K42="",J42=""),"",(J42-K42)*100)</f>
        <v>5.42661669404601</v>
      </c>
      <c r="M42" s="36" t="n">
        <v>1.84762040092345</v>
      </c>
      <c r="N42" s="36" t="n">
        <v>1.47617294631958</v>
      </c>
      <c r="O42" s="36" t="n">
        <f aca="false">SQRT(M42^2+N42^2)</f>
        <v>2.36490754858501</v>
      </c>
      <c r="P42" s="40" t="n">
        <f aca="false">IF(J42="","",MAX(0,J42-1.96*O42/100))</f>
        <v>0.402220779199053</v>
      </c>
      <c r="Q42" s="40" t="n">
        <f aca="false">IF(J42="","",MIN(1,J42+1.96*O42/100))</f>
        <v>0.494925155103586</v>
      </c>
      <c r="R42" s="32" t="str">
        <f aca="false">IF(L42="","",IF(ABS(L42)&lt;=O42,"Yes","No"))</f>
        <v>No</v>
      </c>
      <c r="S42" s="32" t="str">
        <f aca="false">IF(L42="","",IF(ABS(L42)&lt;=1.96*O42,"Yes","No"))</f>
        <v>No</v>
      </c>
      <c r="T42" s="60" t="n">
        <f aca="false">IF(D42="","",ROUND(SQRT(((D42+G42)*O42/100)^2+(J42*(D42+G42)*0.05992)^2),0))</f>
        <v>66</v>
      </c>
      <c r="U42" s="32"/>
    </row>
    <row r="43" customFormat="false" ht="15" hidden="false" customHeight="false" outlineLevel="0" collapsed="false">
      <c r="A43" s="32" t="s">
        <v>192</v>
      </c>
      <c r="B43" s="32" t="s">
        <v>211</v>
      </c>
      <c r="C43" s="32" t="s">
        <v>164</v>
      </c>
      <c r="D43" s="60" t="n">
        <v>6890</v>
      </c>
      <c r="E43" s="60" t="n">
        <v>6668</v>
      </c>
      <c r="F43" s="69" t="n">
        <f aca="false">IF(E43="","",D43-E43)</f>
        <v>222</v>
      </c>
      <c r="G43" s="60" t="n">
        <v>5568</v>
      </c>
      <c r="H43" s="60" t="n">
        <v>5856</v>
      </c>
      <c r="I43" s="69" t="n">
        <f aca="false">IF(H43="","",G43-H43)</f>
        <v>-288</v>
      </c>
      <c r="J43" s="40" t="n">
        <f aca="false">IF(OR(D43="",D43+G43=0),"",D43/(D43+G43))</f>
        <v>0.553058275806711</v>
      </c>
      <c r="K43" s="40" t="n">
        <f aca="false">IF(E43="","",E43/(E43+H43))</f>
        <v>0.532417757904823</v>
      </c>
      <c r="L43" s="70" t="n">
        <f aca="false">IF(OR(K43="",J43=""),"",(J43-K43)*100)</f>
        <v>2.06405179018878</v>
      </c>
      <c r="M43" s="36" t="n">
        <v>2.38612924807294</v>
      </c>
      <c r="N43" s="36" t="n">
        <v>1.47617294631958</v>
      </c>
      <c r="O43" s="36" t="n">
        <f aca="false">SQRT(M43^2+N43^2)</f>
        <v>2.80583309481426</v>
      </c>
      <c r="P43" s="40" t="n">
        <f aca="false">IF(J43="","",MAX(0,J43-1.96*O43/100))</f>
        <v>0.498063947148351</v>
      </c>
      <c r="Q43" s="40" t="n">
        <f aca="false">IF(J43="","",MIN(1,J43+1.96*O43/100))</f>
        <v>0.60805260446507</v>
      </c>
      <c r="R43" s="32" t="str">
        <f aca="false">IF(L43="","",IF(ABS(L43)&lt;=O43,"Yes","No"))</f>
        <v>Yes</v>
      </c>
      <c r="S43" s="32" t="str">
        <f aca="false">IF(L43="","",IF(ABS(L43)&lt;=1.96*O43,"Yes","No"))</f>
        <v>Yes</v>
      </c>
      <c r="T43" s="60" t="n">
        <f aca="false">IF(D43="","",ROUND(SQRT(((D43+G43)*O43/100)^2+(J43*(D43+G43)*0.05437)^2),0))</f>
        <v>512</v>
      </c>
      <c r="U43" s="32"/>
    </row>
    <row r="44" customFormat="false" ht="15" hidden="false" customHeight="false" outlineLevel="0" collapsed="false">
      <c r="A44" s="32" t="s">
        <v>192</v>
      </c>
      <c r="B44" s="32" t="s">
        <v>212</v>
      </c>
      <c r="C44" s="32" t="s">
        <v>164</v>
      </c>
      <c r="D44" s="60" t="n">
        <v>7492</v>
      </c>
      <c r="E44" s="60" t="n">
        <v>7495</v>
      </c>
      <c r="F44" s="69" t="n">
        <f aca="false">IF(E44="","",D44-E44)</f>
        <v>-3</v>
      </c>
      <c r="G44" s="60" t="n">
        <v>6711</v>
      </c>
      <c r="H44" s="60" t="n">
        <v>7011</v>
      </c>
      <c r="I44" s="69" t="n">
        <f aca="false">IF(H44="","",G44-H44)</f>
        <v>-300</v>
      </c>
      <c r="J44" s="40" t="n">
        <f aca="false">IF(OR(D44="",D44+G44=0),"",D44/(D44+G44))</f>
        <v>0.527494191368021</v>
      </c>
      <c r="K44" s="40" t="n">
        <f aca="false">IF(E44="","",E44/(E44+H44))</f>
        <v>0.516682751964704</v>
      </c>
      <c r="L44" s="70" t="n">
        <f aca="false">IF(OR(K44="",J44=""),"",(J44-K44)*100)</f>
        <v>1.08114394033166</v>
      </c>
      <c r="M44" s="36" t="n">
        <v>2.38612924807294</v>
      </c>
      <c r="N44" s="36" t="n">
        <v>1.47617294631958</v>
      </c>
      <c r="O44" s="36" t="n">
        <f aca="false">SQRT(M44^2+N44^2)</f>
        <v>2.80583309481426</v>
      </c>
      <c r="P44" s="40" t="n">
        <f aca="false">IF(J44="","",MAX(0,J44-1.96*O44/100))</f>
        <v>0.472499862709661</v>
      </c>
      <c r="Q44" s="40" t="n">
        <f aca="false">IF(J44="","",MIN(1,J44+1.96*O44/100))</f>
        <v>0.58248852002638</v>
      </c>
      <c r="R44" s="32" t="str">
        <f aca="false">IF(L44="","",IF(ABS(L44)&lt;=O44,"Yes","No"))</f>
        <v>Yes</v>
      </c>
      <c r="S44" s="32" t="str">
        <f aca="false">IF(L44="","",IF(ABS(L44)&lt;=1.96*O44,"Yes","No"))</f>
        <v>Yes</v>
      </c>
      <c r="T44" s="60" t="n">
        <f aca="false">IF(D44="","",ROUND(SQRT(((D44+G44)*O44/100)^2+(J44*(D44+G44)*0.05437)^2),0))</f>
        <v>570</v>
      </c>
      <c r="U44" s="32"/>
    </row>
    <row r="45" customFormat="false" ht="15" hidden="false" customHeight="false" outlineLevel="0" collapsed="false">
      <c r="A45" s="32" t="s">
        <v>192</v>
      </c>
      <c r="B45" s="32" t="s">
        <v>213</v>
      </c>
      <c r="C45" s="32" t="s">
        <v>164</v>
      </c>
      <c r="D45" s="60" t="n">
        <v>2322</v>
      </c>
      <c r="E45" s="60" t="n">
        <v>2222</v>
      </c>
      <c r="F45" s="69" t="n">
        <f aca="false">IF(E45="","",D45-E45)</f>
        <v>100</v>
      </c>
      <c r="G45" s="60" t="n">
        <v>2913</v>
      </c>
      <c r="H45" s="60" t="n">
        <v>2955</v>
      </c>
      <c r="I45" s="69" t="n">
        <f aca="false">IF(H45="","",G45-H45)</f>
        <v>-42</v>
      </c>
      <c r="J45" s="40" t="n">
        <f aca="false">IF(OR(D45="",D45+G45=0),"",D45/(D45+G45))</f>
        <v>0.443553008595989</v>
      </c>
      <c r="K45" s="40" t="n">
        <f aca="false">IF(E45="","",E45/(E45+H45))</f>
        <v>0.42920610392119</v>
      </c>
      <c r="L45" s="70" t="n">
        <f aca="false">IF(OR(K45="",J45=""),"",(J45-K45)*100)</f>
        <v>1.43469046747987</v>
      </c>
      <c r="M45" s="36" t="n">
        <v>2.38612924807294</v>
      </c>
      <c r="N45" s="36" t="n">
        <v>1.47617294631958</v>
      </c>
      <c r="O45" s="36" t="n">
        <f aca="false">SQRT(M45^2+N45^2)</f>
        <v>2.80583309481426</v>
      </c>
      <c r="P45" s="40" t="n">
        <f aca="false">IF(J45="","",MAX(0,J45-1.96*O45/100))</f>
        <v>0.388558679937629</v>
      </c>
      <c r="Q45" s="40" t="n">
        <f aca="false">IF(J45="","",MIN(1,J45+1.96*O45/100))</f>
        <v>0.498547337254348</v>
      </c>
      <c r="R45" s="32" t="str">
        <f aca="false">IF(L45="","",IF(ABS(L45)&lt;=O45,"Yes","No"))</f>
        <v>Yes</v>
      </c>
      <c r="S45" s="32" t="str">
        <f aca="false">IF(L45="","",IF(ABS(L45)&lt;=1.96*O45,"Yes","No"))</f>
        <v>Yes</v>
      </c>
      <c r="T45" s="60" t="n">
        <f aca="false">IF(D45="","",ROUND(SQRT(((D45+G45)*O45/100)^2+(J45*(D45+G45)*0.05437)^2),0))</f>
        <v>194</v>
      </c>
      <c r="U45" s="32"/>
    </row>
    <row r="46" customFormat="false" ht="15" hidden="false" customHeight="false" outlineLevel="0" collapsed="false">
      <c r="A46" s="32" t="s">
        <v>192</v>
      </c>
      <c r="B46" s="32" t="s">
        <v>214</v>
      </c>
      <c r="C46" s="32" t="s">
        <v>164</v>
      </c>
      <c r="D46" s="60" t="n">
        <v>5146</v>
      </c>
      <c r="E46" s="60" t="n">
        <v>4817</v>
      </c>
      <c r="F46" s="69" t="n">
        <f aca="false">IF(E46="","",D46-E46)</f>
        <v>329</v>
      </c>
      <c r="G46" s="60" t="n">
        <v>5187</v>
      </c>
      <c r="H46" s="60" t="n">
        <v>5501</v>
      </c>
      <c r="I46" s="69" t="n">
        <f aca="false">IF(H46="","",G46-H46)</f>
        <v>-314</v>
      </c>
      <c r="J46" s="40" t="n">
        <f aca="false">IF(OR(D46="",D46+G46=0),"",D46/(D46+G46))</f>
        <v>0.498016065034356</v>
      </c>
      <c r="K46" s="40" t="n">
        <f aca="false">IF(E46="","",E46/(E46+H46))</f>
        <v>0.466854041480907</v>
      </c>
      <c r="L46" s="70" t="n">
        <f aca="false">IF(OR(K46="",J46=""),"",(J46-K46)*100)</f>
        <v>3.11620235534488</v>
      </c>
      <c r="M46" s="36" t="n">
        <v>2.38612924807294</v>
      </c>
      <c r="N46" s="36" t="n">
        <v>1.47617294631958</v>
      </c>
      <c r="O46" s="36" t="n">
        <f aca="false">SQRT(M46^2+N46^2)</f>
        <v>2.80583309481426</v>
      </c>
      <c r="P46" s="40" t="n">
        <f aca="false">IF(J46="","",MAX(0,J46-1.96*O46/100))</f>
        <v>0.443021736375996</v>
      </c>
      <c r="Q46" s="40" t="n">
        <f aca="false">IF(J46="","",MIN(1,J46+1.96*O46/100))</f>
        <v>0.553010393692715</v>
      </c>
      <c r="R46" s="32" t="str">
        <f aca="false">IF(L46="","",IF(ABS(L46)&lt;=O46,"Yes","No"))</f>
        <v>No</v>
      </c>
      <c r="S46" s="32" t="str">
        <f aca="false">IF(L46="","",IF(ABS(L46)&lt;=1.96*O46,"Yes","No"))</f>
        <v>Yes</v>
      </c>
      <c r="T46" s="60" t="n">
        <f aca="false">IF(D46="","",ROUND(SQRT(((D46+G46)*O46/100)^2+(J46*(D46+G46)*0.05437)^2),0))</f>
        <v>403</v>
      </c>
      <c r="U46" s="32"/>
    </row>
    <row r="47" customFormat="false" ht="15" hidden="false" customHeight="false" outlineLevel="0" collapsed="false">
      <c r="A47" s="32" t="s">
        <v>192</v>
      </c>
      <c r="B47" s="32" t="s">
        <v>215</v>
      </c>
      <c r="C47" s="32" t="s">
        <v>164</v>
      </c>
      <c r="D47" s="60" t="n">
        <v>1355</v>
      </c>
      <c r="E47" s="60" t="n">
        <v>1231</v>
      </c>
      <c r="F47" s="69" t="n">
        <f aca="false">IF(E47="","",D47-E47)</f>
        <v>124</v>
      </c>
      <c r="G47" s="60" t="n">
        <v>2456</v>
      </c>
      <c r="H47" s="60" t="n">
        <v>2578</v>
      </c>
      <c r="I47" s="69" t="n">
        <f aca="false">IF(H47="","",G47-H47)</f>
        <v>-122</v>
      </c>
      <c r="J47" s="40" t="n">
        <f aca="false">IF(OR(D47="",D47+G47=0),"",D47/(D47+G47))</f>
        <v>0.355549724481763</v>
      </c>
      <c r="K47" s="40" t="n">
        <f aca="false">IF(E47="","",E47/(E47+H47))</f>
        <v>0.323181937516409</v>
      </c>
      <c r="L47" s="70" t="n">
        <f aca="false">IF(OR(K47="",J47=""),"",(J47-K47)*100)</f>
        <v>3.23677869653548</v>
      </c>
      <c r="M47" s="36" t="n">
        <v>2.38612924807294</v>
      </c>
      <c r="N47" s="36" t="n">
        <v>1.47617294631958</v>
      </c>
      <c r="O47" s="36" t="n">
        <f aca="false">SQRT(M47^2+N47^2)</f>
        <v>2.80583309481426</v>
      </c>
      <c r="P47" s="40" t="n">
        <f aca="false">IF(J47="","",MAX(0,J47-1.96*O47/100))</f>
        <v>0.300555395823404</v>
      </c>
      <c r="Q47" s="40" t="n">
        <f aca="false">IF(J47="","",MIN(1,J47+1.96*O47/100))</f>
        <v>0.410544053140123</v>
      </c>
      <c r="R47" s="32" t="str">
        <f aca="false">IF(L47="","",IF(ABS(L47)&lt;=O47,"Yes","No"))</f>
        <v>No</v>
      </c>
      <c r="S47" s="32" t="str">
        <f aca="false">IF(L47="","",IF(ABS(L47)&lt;=1.96*O47,"Yes","No"))</f>
        <v>Yes</v>
      </c>
      <c r="T47" s="60" t="n">
        <f aca="false">IF(D47="","",ROUND(SQRT(((D47+G47)*O47/100)^2+(J47*(D47+G47)*0.05437)^2),0))</f>
        <v>130</v>
      </c>
      <c r="U47" s="32"/>
    </row>
    <row r="48" customFormat="false" ht="15" hidden="false" customHeight="false" outlineLevel="0" collapsed="false">
      <c r="A48" s="32" t="s">
        <v>192</v>
      </c>
      <c r="B48" s="32" t="s">
        <v>216</v>
      </c>
      <c r="C48" s="32" t="s">
        <v>164</v>
      </c>
      <c r="D48" s="60" t="n">
        <v>1097</v>
      </c>
      <c r="E48" s="60" t="n">
        <v>1073</v>
      </c>
      <c r="F48" s="69" t="n">
        <f aca="false">IF(E48="","",D48-E48)</f>
        <v>24</v>
      </c>
      <c r="G48" s="60" t="n">
        <v>2128</v>
      </c>
      <c r="H48" s="60" t="n">
        <v>2156</v>
      </c>
      <c r="I48" s="69" t="n">
        <f aca="false">IF(H48="","",G48-H48)</f>
        <v>-28</v>
      </c>
      <c r="J48" s="40" t="n">
        <f aca="false">IF(OR(D48="",D48+G48=0),"",D48/(D48+G48))</f>
        <v>0.34015503875969</v>
      </c>
      <c r="K48" s="40" t="n">
        <f aca="false">IF(E48="","",E48/(E48+H48))</f>
        <v>0.332301021988232</v>
      </c>
      <c r="L48" s="70" t="n">
        <f aca="false">IF(OR(K48="",J48=""),"",(J48-K48)*100)</f>
        <v>0.785401677145831</v>
      </c>
      <c r="M48" s="36" t="n">
        <v>1.84762040092345</v>
      </c>
      <c r="N48" s="36" t="n">
        <v>1.47617294631958</v>
      </c>
      <c r="O48" s="36" t="n">
        <f aca="false">SQRT(M48^2+N48^2)</f>
        <v>2.36490754858501</v>
      </c>
      <c r="P48" s="40" t="n">
        <f aca="false">IF(J48="","",MAX(0,J48-1.96*O48/100))</f>
        <v>0.293802850807424</v>
      </c>
      <c r="Q48" s="40" t="n">
        <f aca="false">IF(J48="","",MIN(1,J48+1.96*O48/100))</f>
        <v>0.386507226711956</v>
      </c>
      <c r="R48" s="32" t="str">
        <f aca="false">IF(L48="","",IF(ABS(L48)&lt;=O48,"Yes","No"))</f>
        <v>Yes</v>
      </c>
      <c r="S48" s="32" t="str">
        <f aca="false">IF(L48="","",IF(ABS(L48)&lt;=1.96*O48,"Yes","No"))</f>
        <v>Yes</v>
      </c>
      <c r="T48" s="60" t="n">
        <f aca="false">IF(D48="","",ROUND(SQRT(((D48+G48)*O48/100)^2+(J48*(D48+G48)*0.05992)^2),0))</f>
        <v>101</v>
      </c>
      <c r="U48" s="32"/>
    </row>
    <row r="49" customFormat="false" ht="15" hidden="false" customHeight="false" outlineLevel="0" collapsed="false">
      <c r="A49" s="32" t="s">
        <v>192</v>
      </c>
      <c r="B49" s="32" t="s">
        <v>217</v>
      </c>
      <c r="C49" s="32" t="s">
        <v>164</v>
      </c>
      <c r="D49" s="60" t="n">
        <v>7848</v>
      </c>
      <c r="E49" s="60" t="n">
        <v>7458</v>
      </c>
      <c r="F49" s="69" t="n">
        <f aca="false">IF(E49="","",D49-E49)</f>
        <v>390</v>
      </c>
      <c r="G49" s="60" t="n">
        <v>6281</v>
      </c>
      <c r="H49" s="60" t="n">
        <v>6731</v>
      </c>
      <c r="I49" s="69" t="n">
        <f aca="false">IF(H49="","",G49-H49)</f>
        <v>-450</v>
      </c>
      <c r="J49" s="40" t="n">
        <f aca="false">IF(OR(D49="",D49+G49=0),"",D49/(D49+G49))</f>
        <v>0.555453322952792</v>
      </c>
      <c r="K49" s="40" t="n">
        <f aca="false">IF(E49="","",E49/(E49+H49))</f>
        <v>0.525618436817253</v>
      </c>
      <c r="L49" s="70" t="n">
        <f aca="false">IF(OR(K49="",J49=""),"",(J49-K49)*100)</f>
        <v>2.98348861355393</v>
      </c>
      <c r="M49" s="36" t="n">
        <v>2.38612924807294</v>
      </c>
      <c r="N49" s="36" t="n">
        <v>1.47617294631958</v>
      </c>
      <c r="O49" s="36" t="n">
        <f aca="false">SQRT(M49^2+N49^2)</f>
        <v>2.80583309481426</v>
      </c>
      <c r="P49" s="40" t="n">
        <f aca="false">IF(J49="","",MAX(0,J49-1.96*O49/100))</f>
        <v>0.500458994294433</v>
      </c>
      <c r="Q49" s="40" t="n">
        <f aca="false">IF(J49="","",MIN(1,J49+1.96*O49/100))</f>
        <v>0.610447651611152</v>
      </c>
      <c r="R49" s="32" t="str">
        <f aca="false">IF(L49="","",IF(ABS(L49)&lt;=O49,"Yes","No"))</f>
        <v>No</v>
      </c>
      <c r="S49" s="32" t="str">
        <f aca="false">IF(L49="","",IF(ABS(L49)&lt;=1.96*O49,"Yes","No"))</f>
        <v>Yes</v>
      </c>
      <c r="T49" s="60" t="n">
        <f aca="false">IF(D49="","",ROUND(SQRT(((D49+G49)*O49/100)^2+(J49*(D49+G49)*0.05437)^2),0))</f>
        <v>582</v>
      </c>
      <c r="U49" s="32"/>
    </row>
    <row r="50" customFormat="false" ht="15" hidden="false" customHeight="false" outlineLevel="0" collapsed="false">
      <c r="A50" s="32" t="s">
        <v>218</v>
      </c>
      <c r="B50" s="32" t="s">
        <v>219</v>
      </c>
      <c r="C50" s="32" t="s">
        <v>164</v>
      </c>
      <c r="D50" s="60" t="n">
        <v>500</v>
      </c>
      <c r="E50" s="60" t="n">
        <v>482</v>
      </c>
      <c r="F50" s="69" t="n">
        <f aca="false">IF(E50="","",D50-E50)</f>
        <v>18</v>
      </c>
      <c r="G50" s="60" t="n">
        <v>1018</v>
      </c>
      <c r="H50" s="60" t="n">
        <v>987</v>
      </c>
      <c r="I50" s="69" t="n">
        <f aca="false">IF(H50="","",G50-H50)</f>
        <v>31</v>
      </c>
      <c r="J50" s="40" t="n">
        <f aca="false">IF(OR(D50="",D50+G50=0),"",D50/(D50+G50))</f>
        <v>0.329380764163373</v>
      </c>
      <c r="K50" s="40" t="n">
        <f aca="false">IF(E50="","",E50/(E50+H50))</f>
        <v>0.328114363512594</v>
      </c>
      <c r="L50" s="70" t="n">
        <f aca="false">IF(OR(K50="",J50=""),"",(J50-K50)*100)</f>
        <v>0.126640065077926</v>
      </c>
      <c r="M50" s="36" t="n">
        <v>3.52076694862392</v>
      </c>
      <c r="N50" s="36" t="n">
        <v>1.47617294631958</v>
      </c>
      <c r="O50" s="36" t="n">
        <f aca="false">SQRT(M50^2+N50^2)</f>
        <v>3.81770696543992</v>
      </c>
      <c r="P50" s="40" t="n">
        <f aca="false">IF(J50="","",MAX(0,J50-1.96*O50/100))</f>
        <v>0.254553707640751</v>
      </c>
      <c r="Q50" s="40" t="n">
        <f aca="false">IF(J50="","",MIN(1,J50+1.96*O50/100))</f>
        <v>0.404207820685995</v>
      </c>
      <c r="R50" s="32" t="str">
        <f aca="false">IF(L50="","",IF(ABS(L50)&lt;=O50,"Yes","No"))</f>
        <v>Yes</v>
      </c>
      <c r="S50" s="32" t="str">
        <f aca="false">IF(L50="","",IF(ABS(L50)&lt;=1.96*O50,"Yes","No"))</f>
        <v>Yes</v>
      </c>
      <c r="T50" s="60" t="n">
        <f aca="false">IF(D50="","",ROUND(SQRT(((D50+G50)*O50/100)^2+(J50*(D50+G50)*0.07717)^2),0))</f>
        <v>70</v>
      </c>
      <c r="U50" s="32"/>
    </row>
    <row r="51" customFormat="false" ht="15" hidden="false" customHeight="false" outlineLevel="0" collapsed="false">
      <c r="A51" s="32" t="s">
        <v>218</v>
      </c>
      <c r="B51" s="32" t="s">
        <v>220</v>
      </c>
      <c r="C51" s="32" t="s">
        <v>164</v>
      </c>
      <c r="D51" s="60" t="n">
        <v>1514</v>
      </c>
      <c r="E51" s="60" t="n">
        <v>1425</v>
      </c>
      <c r="F51" s="69" t="n">
        <f aca="false">IF(E51="","",D51-E51)</f>
        <v>89</v>
      </c>
      <c r="G51" s="60" t="n">
        <v>2533</v>
      </c>
      <c r="H51" s="60" t="n">
        <v>2491</v>
      </c>
      <c r="I51" s="69" t="n">
        <f aca="false">IF(H51="","",G51-H51)</f>
        <v>42</v>
      </c>
      <c r="J51" s="40" t="n">
        <f aca="false">IF(OR(D51="",D51+G51=0),"",D51/(D51+G51))</f>
        <v>0.374104274771436</v>
      </c>
      <c r="K51" s="40" t="n">
        <f aca="false">IF(E51="","",E51/(E51+H51))</f>
        <v>0.363891726251277</v>
      </c>
      <c r="L51" s="70" t="n">
        <f aca="false">IF(OR(K51="",J51=""),"",(J51-K51)*100)</f>
        <v>1.02125485201588</v>
      </c>
      <c r="M51" s="36" t="n">
        <v>2.38612924807294</v>
      </c>
      <c r="N51" s="36" t="n">
        <v>1.47617294631958</v>
      </c>
      <c r="O51" s="36" t="n">
        <f aca="false">SQRT(M51^2+N51^2)</f>
        <v>2.80583309481426</v>
      </c>
      <c r="P51" s="40" t="n">
        <f aca="false">IF(J51="","",MAX(0,J51-1.96*O51/100))</f>
        <v>0.319109946113076</v>
      </c>
      <c r="Q51" s="40" t="n">
        <f aca="false">IF(J51="","",MIN(1,J51+1.96*O51/100))</f>
        <v>0.429098603429795</v>
      </c>
      <c r="R51" s="32" t="str">
        <f aca="false">IF(L51="","",IF(ABS(L51)&lt;=O51,"Yes","No"))</f>
        <v>Yes</v>
      </c>
      <c r="S51" s="32" t="str">
        <f aca="false">IF(L51="","",IF(ABS(L51)&lt;=1.96*O51,"Yes","No"))</f>
        <v>Yes</v>
      </c>
      <c r="T51" s="60" t="n">
        <f aca="false">IF(D51="","",ROUND(SQRT(((D51+G51)*O51/100)^2+(J51*(D51+G51)*0.05437)^2),0))</f>
        <v>140</v>
      </c>
      <c r="U51" s="32" t="s">
        <v>427</v>
      </c>
    </row>
    <row r="52" customFormat="false" ht="15" hidden="false" customHeight="false" outlineLevel="0" collapsed="false">
      <c r="A52" s="32" t="s">
        <v>218</v>
      </c>
      <c r="B52" s="32" t="s">
        <v>221</v>
      </c>
      <c r="C52" s="32" t="s">
        <v>164</v>
      </c>
      <c r="D52" s="60" t="n">
        <v>572</v>
      </c>
      <c r="E52" s="60" t="n">
        <v>502</v>
      </c>
      <c r="F52" s="69" t="n">
        <f aca="false">IF(E52="","",D52-E52)</f>
        <v>70</v>
      </c>
      <c r="G52" s="60" t="n">
        <v>931</v>
      </c>
      <c r="H52" s="60" t="n">
        <v>795</v>
      </c>
      <c r="I52" s="69" t="n">
        <f aca="false">IF(H52="","",G52-H52)</f>
        <v>136</v>
      </c>
      <c r="J52" s="40" t="n">
        <f aca="false">IF(OR(D52="",D52+G52=0),"",D52/(D52+G52))</f>
        <v>0.380572188955423</v>
      </c>
      <c r="K52" s="40" t="n">
        <f aca="false">IF(E52="","",E52/(E52+H52))</f>
        <v>0.387047031611411</v>
      </c>
      <c r="L52" s="70" t="n">
        <f aca="false">IF(OR(K52="",J52=""),"",(J52-K52)*100)</f>
        <v>-0.647484265598847</v>
      </c>
      <c r="M52" s="36" t="n">
        <v>3.52076694862392</v>
      </c>
      <c r="N52" s="36" t="n">
        <v>1.47617294631958</v>
      </c>
      <c r="O52" s="36" t="n">
        <f aca="false">SQRT(M52^2+N52^2)</f>
        <v>3.81770696543992</v>
      </c>
      <c r="P52" s="40" t="n">
        <f aca="false">IF(J52="","",MAX(0,J52-1.96*O52/100))</f>
        <v>0.3057451324328</v>
      </c>
      <c r="Q52" s="40" t="n">
        <f aca="false">IF(J52="","",MIN(1,J52+1.96*O52/100))</f>
        <v>0.455399245478045</v>
      </c>
      <c r="R52" s="32" t="str">
        <f aca="false">IF(L52="","",IF(ABS(L52)&lt;=O52,"Yes","No"))</f>
        <v>Yes</v>
      </c>
      <c r="S52" s="32" t="str">
        <f aca="false">IF(L52="","",IF(ABS(L52)&lt;=1.96*O52,"Yes","No"))</f>
        <v>Yes</v>
      </c>
      <c r="T52" s="60" t="n">
        <f aca="false">IF(D52="","",ROUND(SQRT(((D52+G52)*O52/100)^2+(J52*(D52+G52)*0.07717)^2),0))</f>
        <v>72</v>
      </c>
      <c r="U52" s="32" t="s">
        <v>428</v>
      </c>
    </row>
    <row r="53" customFormat="false" ht="15" hidden="false" customHeight="false" outlineLevel="0" collapsed="false">
      <c r="A53" s="32" t="s">
        <v>222</v>
      </c>
      <c r="B53" s="32" t="s">
        <v>223</v>
      </c>
      <c r="C53" s="32" t="s">
        <v>164</v>
      </c>
      <c r="D53" s="60" t="n">
        <v>1464</v>
      </c>
      <c r="E53" s="60" t="n">
        <v>1432</v>
      </c>
      <c r="F53" s="69" t="n">
        <f aca="false">IF(E53="","",D53-E53)</f>
        <v>32</v>
      </c>
      <c r="G53" s="60" t="n">
        <v>1912</v>
      </c>
      <c r="H53" s="60" t="n">
        <v>1882</v>
      </c>
      <c r="I53" s="69" t="n">
        <f aca="false">IF(H53="","",G53-H53)</f>
        <v>30</v>
      </c>
      <c r="J53" s="40" t="n">
        <f aca="false">IF(OR(D53="",D53+G53=0),"",D53/(D53+G53))</f>
        <v>0.433649289099526</v>
      </c>
      <c r="K53" s="40" t="n">
        <f aca="false">IF(E53="","",E53/(E53+H53))</f>
        <v>0.432106216053108</v>
      </c>
      <c r="L53" s="70" t="n">
        <f aca="false">IF(OR(K53="",J53=""),"",(J53-K53)*100)</f>
        <v>0.154307304641804</v>
      </c>
      <c r="M53" s="36" t="n">
        <v>1.84762040092345</v>
      </c>
      <c r="N53" s="36" t="n">
        <v>1.47617294631958</v>
      </c>
      <c r="O53" s="36" t="n">
        <f aca="false">SQRT(M53^2+N53^2)</f>
        <v>2.36490754858501</v>
      </c>
      <c r="P53" s="40" t="n">
        <f aca="false">IF(J53="","",MAX(0,J53-1.96*O53/100))</f>
        <v>0.38729710114726</v>
      </c>
      <c r="Q53" s="40" t="n">
        <f aca="false">IF(J53="","",MIN(1,J53+1.96*O53/100))</f>
        <v>0.480001477051792</v>
      </c>
      <c r="R53" s="32" t="str">
        <f aca="false">IF(L53="","",IF(ABS(L53)&lt;=O53,"Yes","No"))</f>
        <v>Yes</v>
      </c>
      <c r="S53" s="32" t="str">
        <f aca="false">IF(L53="","",IF(ABS(L53)&lt;=1.96*O53,"Yes","No"))</f>
        <v>Yes</v>
      </c>
      <c r="T53" s="60" t="n">
        <f aca="false">IF(D53="","",ROUND(SQRT(((D53+G53)*O53/100)^2+(J53*(D53+G53)*0.05992)^2),0))</f>
        <v>119</v>
      </c>
      <c r="U53" s="32"/>
    </row>
    <row r="54" customFormat="false" ht="15" hidden="false" customHeight="false" outlineLevel="0" collapsed="false">
      <c r="A54" s="32" t="s">
        <v>222</v>
      </c>
      <c r="B54" s="32" t="s">
        <v>224</v>
      </c>
      <c r="C54" s="32" t="s">
        <v>164</v>
      </c>
      <c r="D54" s="60" t="n">
        <v>1054</v>
      </c>
      <c r="E54" s="60" t="n">
        <v>965</v>
      </c>
      <c r="F54" s="69" t="n">
        <f aca="false">IF(E54="","",D54-E54)</f>
        <v>89</v>
      </c>
      <c r="G54" s="60" t="n">
        <v>1241</v>
      </c>
      <c r="H54" s="60" t="n">
        <v>1342</v>
      </c>
      <c r="I54" s="69" t="n">
        <f aca="false">IF(H54="","",G54-H54)</f>
        <v>-101</v>
      </c>
      <c r="J54" s="40" t="n">
        <f aca="false">IF(OR(D54="",D54+G54=0),"",D54/(D54+G54))</f>
        <v>0.459259259259259</v>
      </c>
      <c r="K54" s="40" t="n">
        <f aca="false">IF(E54="","",E54/(E54+H54))</f>
        <v>0.418292154312961</v>
      </c>
      <c r="L54" s="70" t="n">
        <f aca="false">IF(OR(K54="",J54=""),"",(J54-K54)*100)</f>
        <v>4.09671049462987</v>
      </c>
      <c r="M54" s="36" t="n">
        <v>1.84762040092345</v>
      </c>
      <c r="N54" s="36" t="n">
        <v>1.47617294631958</v>
      </c>
      <c r="O54" s="36" t="n">
        <f aca="false">SQRT(M54^2+N54^2)</f>
        <v>2.36490754858501</v>
      </c>
      <c r="P54" s="40" t="n">
        <f aca="false">IF(J54="","",MAX(0,J54-1.96*O54/100))</f>
        <v>0.412907071306993</v>
      </c>
      <c r="Q54" s="40" t="n">
        <f aca="false">IF(J54="","",MIN(1,J54+1.96*O54/100))</f>
        <v>0.505611447211526</v>
      </c>
      <c r="R54" s="32" t="str">
        <f aca="false">IF(L54="","",IF(ABS(L54)&lt;=O54,"Yes","No"))</f>
        <v>No</v>
      </c>
      <c r="S54" s="32" t="str">
        <f aca="false">IF(L54="","",IF(ABS(L54)&lt;=1.96*O54,"Yes","No"))</f>
        <v>Yes</v>
      </c>
      <c r="T54" s="60" t="n">
        <f aca="false">IF(D54="","",ROUND(SQRT(((D54+G54)*O54/100)^2+(J54*(D54+G54)*0.05992)^2),0))</f>
        <v>83</v>
      </c>
      <c r="U54" s="32"/>
    </row>
    <row r="55" customFormat="false" ht="15" hidden="false" customHeight="false" outlineLevel="0" collapsed="false">
      <c r="A55" s="32" t="s">
        <v>222</v>
      </c>
      <c r="B55" s="32" t="s">
        <v>225</v>
      </c>
      <c r="C55" s="32" t="s">
        <v>164</v>
      </c>
      <c r="D55" s="60" t="n">
        <v>588</v>
      </c>
      <c r="E55" s="60" t="n">
        <v>579</v>
      </c>
      <c r="F55" s="69" t="n">
        <f aca="false">IF(E55="","",D55-E55)</f>
        <v>9</v>
      </c>
      <c r="G55" s="60" t="n">
        <v>667</v>
      </c>
      <c r="H55" s="60" t="n">
        <v>695</v>
      </c>
      <c r="I55" s="69" t="n">
        <f aca="false">IF(H55="","",G55-H55)</f>
        <v>-28</v>
      </c>
      <c r="J55" s="40" t="n">
        <f aca="false">IF(OR(D55="",D55+G55=0),"",D55/(D55+G55))</f>
        <v>0.468525896414343</v>
      </c>
      <c r="K55" s="40" t="n">
        <f aca="false">IF(E55="","",E55/(E55+H55))</f>
        <v>0.45447409733124</v>
      </c>
      <c r="L55" s="70" t="n">
        <f aca="false">IF(OR(K55="",J55=""),"",(J55-K55)*100)</f>
        <v>1.40517990831024</v>
      </c>
      <c r="M55" s="36" t="n">
        <v>3.52076694862392</v>
      </c>
      <c r="N55" s="36" t="n">
        <v>1.47617294631958</v>
      </c>
      <c r="O55" s="36" t="n">
        <f aca="false">SQRT(M55^2+N55^2)</f>
        <v>3.81770696543992</v>
      </c>
      <c r="P55" s="40" t="n">
        <f aca="false">IF(J55="","",MAX(0,J55-1.96*O55/100))</f>
        <v>0.39369883989172</v>
      </c>
      <c r="Q55" s="40" t="n">
        <f aca="false">IF(J55="","",MIN(1,J55+1.96*O55/100))</f>
        <v>0.543352952936965</v>
      </c>
      <c r="R55" s="32" t="str">
        <f aca="false">IF(L55="","",IF(ABS(L55)&lt;=O55,"Yes","No"))</f>
        <v>Yes</v>
      </c>
      <c r="S55" s="32" t="str">
        <f aca="false">IF(L55="","",IF(ABS(L55)&lt;=1.96*O55,"Yes","No"))</f>
        <v>Yes</v>
      </c>
      <c r="T55" s="60" t="n">
        <f aca="false">IF(D55="","",ROUND(SQRT(((D55+G55)*O55/100)^2+(J55*(D55+G55)*0.07717)^2),0))</f>
        <v>66</v>
      </c>
      <c r="U55" s="32"/>
    </row>
    <row r="56" customFormat="false" ht="15" hidden="false" customHeight="false" outlineLevel="0" collapsed="false">
      <c r="A56" s="32" t="s">
        <v>222</v>
      </c>
      <c r="B56" s="32" t="s">
        <v>195</v>
      </c>
      <c r="C56" s="32" t="s">
        <v>164</v>
      </c>
      <c r="D56" s="60" t="n">
        <v>17876</v>
      </c>
      <c r="E56" s="60" t="n">
        <v>16692</v>
      </c>
      <c r="F56" s="69" t="n">
        <f aca="false">IF(E56="","",D56-E56)</f>
        <v>1184</v>
      </c>
      <c r="G56" s="60" t="n">
        <v>7452</v>
      </c>
      <c r="H56" s="60" t="n">
        <v>8176</v>
      </c>
      <c r="I56" s="69" t="n">
        <f aca="false">IF(H56="","",G56-H56)</f>
        <v>-724</v>
      </c>
      <c r="J56" s="40" t="n">
        <f aca="false">IF(OR(D56="",D56+G56=0),"",D56/(D56+G56))</f>
        <v>0.705780164245104</v>
      </c>
      <c r="K56" s="40" t="n">
        <f aca="false">IF(E56="","",E56/(E56+H56))</f>
        <v>0.671224063052919</v>
      </c>
      <c r="L56" s="70" t="n">
        <f aca="false">IF(OR(K56="",J56=""),"",(J56-K56)*100)</f>
        <v>3.45561011921849</v>
      </c>
      <c r="M56" s="36" t="n">
        <v>2.38612924807294</v>
      </c>
      <c r="N56" s="36" t="n">
        <v>1.47617294631958</v>
      </c>
      <c r="O56" s="36" t="n">
        <f aca="false">SQRT(M56^2+N56^2)</f>
        <v>2.80583309481426</v>
      </c>
      <c r="P56" s="40" t="n">
        <f aca="false">IF(J56="","",MAX(0,J56-1.96*O56/100))</f>
        <v>0.650785835586745</v>
      </c>
      <c r="Q56" s="40" t="n">
        <f aca="false">IF(J56="","",MIN(1,J56+1.96*O56/100))</f>
        <v>0.760774492903464</v>
      </c>
      <c r="R56" s="32" t="str">
        <f aca="false">IF(L56="","",IF(ABS(L56)&lt;=O56,"Yes","No"))</f>
        <v>No</v>
      </c>
      <c r="S56" s="32" t="str">
        <f aca="false">IF(L56="","",IF(ABS(L56)&lt;=1.96*O56,"Yes","No"))</f>
        <v>Yes</v>
      </c>
      <c r="T56" s="60" t="n">
        <f aca="false">IF(D56="","",ROUND(SQRT(((D56+G56)*O56/100)^2+(J56*(D56+G56)*0.05437)^2),0))</f>
        <v>1204</v>
      </c>
      <c r="U56" s="32"/>
    </row>
    <row r="57" customFormat="false" ht="15" hidden="false" customHeight="false" outlineLevel="0" collapsed="false">
      <c r="A57" s="32" t="s">
        <v>222</v>
      </c>
      <c r="B57" s="32" t="s">
        <v>226</v>
      </c>
      <c r="C57" s="32" t="s">
        <v>164</v>
      </c>
      <c r="D57" s="60" t="n">
        <v>8612</v>
      </c>
      <c r="E57" s="60" t="n">
        <v>8164</v>
      </c>
      <c r="F57" s="69" t="n">
        <f aca="false">IF(E57="","",D57-E57)</f>
        <v>448</v>
      </c>
      <c r="G57" s="60" t="n">
        <v>6928</v>
      </c>
      <c r="H57" s="60" t="n">
        <v>7277</v>
      </c>
      <c r="I57" s="69" t="n">
        <f aca="false">IF(H57="","",G57-H57)</f>
        <v>-349</v>
      </c>
      <c r="J57" s="40" t="n">
        <f aca="false">IF(OR(D57="",D57+G57=0),"",D57/(D57+G57))</f>
        <v>0.554182754182754</v>
      </c>
      <c r="K57" s="40" t="n">
        <f aca="false">IF(E57="","",E57/(E57+H57))</f>
        <v>0.528722233015996</v>
      </c>
      <c r="L57" s="70" t="n">
        <f aca="false">IF(OR(K57="",J57=""),"",(J57-K57)*100)</f>
        <v>2.54605211667578</v>
      </c>
      <c r="M57" s="36" t="n">
        <v>2.38612924807294</v>
      </c>
      <c r="N57" s="36" t="n">
        <v>1.47617294631958</v>
      </c>
      <c r="O57" s="36" t="n">
        <f aca="false">SQRT(M57^2+N57^2)</f>
        <v>2.80583309481426</v>
      </c>
      <c r="P57" s="40" t="n">
        <f aca="false">IF(J57="","",MAX(0,J57-1.96*O57/100))</f>
        <v>0.499188425524395</v>
      </c>
      <c r="Q57" s="40" t="n">
        <f aca="false">IF(J57="","",MIN(1,J57+1.96*O57/100))</f>
        <v>0.609177082841114</v>
      </c>
      <c r="R57" s="32" t="str">
        <f aca="false">IF(L57="","",IF(ABS(L57)&lt;=O57,"Yes","No"))</f>
        <v>Yes</v>
      </c>
      <c r="S57" s="32" t="str">
        <f aca="false">IF(L57="","",IF(ABS(L57)&lt;=1.96*O57,"Yes","No"))</f>
        <v>Yes</v>
      </c>
      <c r="T57" s="60" t="n">
        <f aca="false">IF(D57="","",ROUND(SQRT(((D57+G57)*O57/100)^2+(J57*(D57+G57)*0.05437)^2),0))</f>
        <v>640</v>
      </c>
      <c r="U57" s="32"/>
    </row>
    <row r="58" customFormat="false" ht="15" hidden="false" customHeight="false" outlineLevel="0" collapsed="false">
      <c r="A58" s="32" t="s">
        <v>222</v>
      </c>
      <c r="B58" s="32" t="s">
        <v>227</v>
      </c>
      <c r="C58" s="32" t="s">
        <v>164</v>
      </c>
      <c r="D58" s="60" t="n">
        <v>2061</v>
      </c>
      <c r="E58" s="60" t="n">
        <v>1988</v>
      </c>
      <c r="F58" s="69" t="n">
        <f aca="false">IF(E58="","",D58-E58)</f>
        <v>73</v>
      </c>
      <c r="G58" s="60" t="n">
        <v>3324</v>
      </c>
      <c r="H58" s="60" t="n">
        <v>3385</v>
      </c>
      <c r="I58" s="69" t="n">
        <f aca="false">IF(H58="","",G58-H58)</f>
        <v>-61</v>
      </c>
      <c r="J58" s="40" t="n">
        <f aca="false">IF(OR(D58="",D58+G58=0),"",D58/(D58+G58))</f>
        <v>0.382729805013928</v>
      </c>
      <c r="K58" s="40" t="n">
        <f aca="false">IF(E58="","",E58/(E58+H58))</f>
        <v>0.36999813884236</v>
      </c>
      <c r="L58" s="70" t="n">
        <f aca="false">IF(OR(K58="",J58=""),"",(J58-K58)*100)</f>
        <v>1.27316661715676</v>
      </c>
      <c r="M58" s="36" t="n">
        <v>2.38612924807294</v>
      </c>
      <c r="N58" s="36" t="n">
        <v>1.47617294631958</v>
      </c>
      <c r="O58" s="36" t="n">
        <f aca="false">SQRT(M58^2+N58^2)</f>
        <v>2.80583309481426</v>
      </c>
      <c r="P58" s="40" t="n">
        <f aca="false">IF(J58="","",MAX(0,J58-1.96*O58/100))</f>
        <v>0.327735476355568</v>
      </c>
      <c r="Q58" s="40" t="n">
        <f aca="false">IF(J58="","",MIN(1,J58+1.96*O58/100))</f>
        <v>0.437724133672287</v>
      </c>
      <c r="R58" s="32" t="str">
        <f aca="false">IF(L58="","",IF(ABS(L58)&lt;=O58,"Yes","No"))</f>
        <v>Yes</v>
      </c>
      <c r="S58" s="32" t="str">
        <f aca="false">IF(L58="","",IF(ABS(L58)&lt;=1.96*O58,"Yes","No"))</f>
        <v>Yes</v>
      </c>
      <c r="T58" s="60" t="n">
        <f aca="false">IF(D58="","",ROUND(SQRT(((D58+G58)*O58/100)^2+(J58*(D58+G58)*0.05437)^2),0))</f>
        <v>188</v>
      </c>
      <c r="U58" s="32"/>
    </row>
    <row r="59" customFormat="false" ht="15" hidden="false" customHeight="false" outlineLevel="0" collapsed="false">
      <c r="A59" s="32" t="s">
        <v>222</v>
      </c>
      <c r="B59" s="32" t="s">
        <v>228</v>
      </c>
      <c r="C59" s="32" t="s">
        <v>164</v>
      </c>
      <c r="D59" s="60" t="n">
        <v>47</v>
      </c>
      <c r="E59" s="60" t="n">
        <v>39</v>
      </c>
      <c r="F59" s="69" t="n">
        <f aca="false">IF(E59="","",D59-E59)</f>
        <v>8</v>
      </c>
      <c r="G59" s="60" t="n">
        <v>73</v>
      </c>
      <c r="H59" s="60" t="n">
        <v>79</v>
      </c>
      <c r="I59" s="69" t="n">
        <f aca="false">IF(H59="","",G59-H59)</f>
        <v>-6</v>
      </c>
      <c r="J59" s="40" t="n">
        <f aca="false">IF(OR(D59="",D59+G59=0),"",D59/(D59+G59))</f>
        <v>0.391666666666667</v>
      </c>
      <c r="K59" s="40" t="n">
        <f aca="false">IF(E59="","",E59/(E59+H59))</f>
        <v>0.330508474576271</v>
      </c>
      <c r="L59" s="70" t="n">
        <f aca="false">IF(OR(K59="",J59=""),"",(J59-K59)*100)</f>
        <v>6.11581920903955</v>
      </c>
      <c r="M59" s="36" t="n">
        <v>3.52076694862392</v>
      </c>
      <c r="N59" s="36" t="n">
        <v>1.47617294631958</v>
      </c>
      <c r="O59" s="36" t="n">
        <f aca="false">SQRT(M59^2+N59^2)</f>
        <v>3.81770696543992</v>
      </c>
      <c r="P59" s="40" t="n">
        <f aca="false">IF(J59="","",MAX(0,J59-1.96*O59/100))</f>
        <v>0.316839610144044</v>
      </c>
      <c r="Q59" s="40" t="n">
        <f aca="false">IF(J59="","",MIN(1,J59+1.96*O59/100))</f>
        <v>0.466493723189289</v>
      </c>
      <c r="R59" s="32" t="str">
        <f aca="false">IF(L59="","",IF(ABS(L59)&lt;=O59,"Yes","No"))</f>
        <v>No</v>
      </c>
      <c r="S59" s="32" t="str">
        <f aca="false">IF(L59="","",IF(ABS(L59)&lt;=1.96*O59,"Yes","No"))</f>
        <v>Yes</v>
      </c>
      <c r="T59" s="60" t="n">
        <f aca="false">IF(D59="","",ROUND(SQRT(((D59+G59)*O59/100)^2+(J59*(D59+G59)*0.07717)^2),0))</f>
        <v>6</v>
      </c>
      <c r="U59" s="32"/>
    </row>
    <row r="60" customFormat="false" ht="15" hidden="false" customHeight="false" outlineLevel="0" collapsed="false">
      <c r="A60" s="32" t="s">
        <v>222</v>
      </c>
      <c r="B60" s="32" t="s">
        <v>229</v>
      </c>
      <c r="C60" s="32" t="s">
        <v>164</v>
      </c>
      <c r="D60" s="60" t="n">
        <v>1300</v>
      </c>
      <c r="E60" s="60" t="n">
        <v>1215</v>
      </c>
      <c r="F60" s="69" t="n">
        <f aca="false">IF(E60="","",D60-E60)</f>
        <v>85</v>
      </c>
      <c r="G60" s="60" t="n">
        <v>1765</v>
      </c>
      <c r="H60" s="60" t="n">
        <v>1784</v>
      </c>
      <c r="I60" s="69" t="n">
        <f aca="false">IF(H60="","",G60-H60)</f>
        <v>-19</v>
      </c>
      <c r="J60" s="40" t="n">
        <f aca="false">IF(OR(D60="",D60+G60=0),"",D60/(D60+G60))</f>
        <v>0.424143556280587</v>
      </c>
      <c r="K60" s="40" t="n">
        <f aca="false">IF(E60="","",E60/(E60+H60))</f>
        <v>0.405135045015005</v>
      </c>
      <c r="L60" s="70" t="n">
        <f aca="false">IF(OR(K60="",J60=""),"",(J60-K60)*100)</f>
        <v>1.90085112655822</v>
      </c>
      <c r="M60" s="36" t="n">
        <v>1.84762040092345</v>
      </c>
      <c r="N60" s="36" t="n">
        <v>1.47617294631958</v>
      </c>
      <c r="O60" s="36" t="n">
        <f aca="false">SQRT(M60^2+N60^2)</f>
        <v>2.36490754858501</v>
      </c>
      <c r="P60" s="40" t="n">
        <f aca="false">IF(J60="","",MAX(0,J60-1.96*O60/100))</f>
        <v>0.377791368328321</v>
      </c>
      <c r="Q60" s="40" t="n">
        <f aca="false">IF(J60="","",MIN(1,J60+1.96*O60/100))</f>
        <v>0.470495744232854</v>
      </c>
      <c r="R60" s="32" t="str">
        <f aca="false">IF(L60="","",IF(ABS(L60)&lt;=O60,"Yes","No"))</f>
        <v>Yes</v>
      </c>
      <c r="S60" s="32" t="str">
        <f aca="false">IF(L60="","",IF(ABS(L60)&lt;=1.96*O60,"Yes","No"))</f>
        <v>Yes</v>
      </c>
      <c r="T60" s="60" t="n">
        <f aca="false">IF(D60="","",ROUND(SQRT(((D60+G60)*O60/100)^2+(J60*(D60+G60)*0.05992)^2),0))</f>
        <v>106</v>
      </c>
      <c r="U60" s="32"/>
    </row>
    <row r="61" customFormat="false" ht="15" hidden="false" customHeight="false" outlineLevel="0" collapsed="false">
      <c r="A61" s="32" t="s">
        <v>222</v>
      </c>
      <c r="B61" s="32" t="s">
        <v>230</v>
      </c>
      <c r="C61" s="32" t="s">
        <v>164</v>
      </c>
      <c r="D61" s="60" t="n">
        <v>211</v>
      </c>
      <c r="E61" s="60" t="n">
        <v>166</v>
      </c>
      <c r="F61" s="69" t="n">
        <f aca="false">IF(E61="","",D61-E61)</f>
        <v>45</v>
      </c>
      <c r="G61" s="60" t="n">
        <v>301</v>
      </c>
      <c r="H61" s="60" t="n">
        <v>332</v>
      </c>
      <c r="I61" s="69" t="n">
        <f aca="false">IF(H61="","",G61-H61)</f>
        <v>-31</v>
      </c>
      <c r="J61" s="40" t="n">
        <f aca="false">IF(OR(D61="",D61+G61=0),"",D61/(D61+G61))</f>
        <v>0.412109375</v>
      </c>
      <c r="K61" s="40" t="n">
        <f aca="false">IF(E61="","",E61/(E61+H61))</f>
        <v>0.333333333333333</v>
      </c>
      <c r="L61" s="70" t="n">
        <f aca="false">IF(OR(K61="",J61=""),"",(J61-K61)*100)</f>
        <v>7.87760416666667</v>
      </c>
      <c r="M61" s="36" t="n">
        <v>3.52076694862392</v>
      </c>
      <c r="N61" s="36" t="n">
        <v>1.47617294631958</v>
      </c>
      <c r="O61" s="36" t="n">
        <f aca="false">SQRT(M61^2+N61^2)</f>
        <v>3.81770696543992</v>
      </c>
      <c r="P61" s="40" t="n">
        <f aca="false">IF(J61="","",MAX(0,J61-1.96*O61/100))</f>
        <v>0.337282318477378</v>
      </c>
      <c r="Q61" s="40" t="n">
        <f aca="false">IF(J61="","",MIN(1,J61+1.96*O61/100))</f>
        <v>0.486936431522622</v>
      </c>
      <c r="R61" s="32" t="str">
        <f aca="false">IF(L61="","",IF(ABS(L61)&lt;=O61,"Yes","No"))</f>
        <v>No</v>
      </c>
      <c r="S61" s="32" t="str">
        <f aca="false">IF(L61="","",IF(ABS(L61)&lt;=1.96*O61,"Yes","No"))</f>
        <v>No</v>
      </c>
      <c r="T61" s="60" t="n">
        <f aca="false">IF(D61="","",ROUND(SQRT(((D61+G61)*O61/100)^2+(J61*(D61+G61)*0.07717)^2),0))</f>
        <v>25</v>
      </c>
      <c r="U61" s="32"/>
    </row>
    <row r="62" customFormat="false" ht="15" hidden="false" customHeight="false" outlineLevel="0" collapsed="false">
      <c r="A62" s="32" t="s">
        <v>222</v>
      </c>
      <c r="B62" s="32" t="s">
        <v>231</v>
      </c>
      <c r="C62" s="32" t="s">
        <v>164</v>
      </c>
      <c r="D62" s="60" t="n">
        <v>7678</v>
      </c>
      <c r="E62" s="60" t="n">
        <v>7095</v>
      </c>
      <c r="F62" s="69" t="n">
        <f aca="false">IF(E62="","",D62-E62)</f>
        <v>583</v>
      </c>
      <c r="G62" s="60" t="n">
        <v>2729</v>
      </c>
      <c r="H62" s="60" t="n">
        <v>2953</v>
      </c>
      <c r="I62" s="69" t="n">
        <f aca="false">IF(H62="","",G62-H62)</f>
        <v>-224</v>
      </c>
      <c r="J62" s="40" t="n">
        <f aca="false">IF(OR(D62="",D62+G62=0),"",D62/(D62+G62))</f>
        <v>0.737772653022005</v>
      </c>
      <c r="K62" s="40" t="n">
        <f aca="false">IF(E62="","",E62/(E62+H62))</f>
        <v>0.706110668789809</v>
      </c>
      <c r="L62" s="70" t="n">
        <f aca="false">IF(OR(K62="",J62=""),"",(J62-K62)*100)</f>
        <v>3.16619842321956</v>
      </c>
      <c r="M62" s="36" t="n">
        <v>2.38612924807294</v>
      </c>
      <c r="N62" s="36" t="n">
        <v>1.47617294631958</v>
      </c>
      <c r="O62" s="36" t="n">
        <f aca="false">SQRT(M62^2+N62^2)</f>
        <v>2.80583309481426</v>
      </c>
      <c r="P62" s="40" t="n">
        <f aca="false">IF(J62="","",MAX(0,J62-1.96*O62/100))</f>
        <v>0.682778324363645</v>
      </c>
      <c r="Q62" s="40" t="n">
        <f aca="false">IF(J62="","",MIN(1,J62+1.96*O62/100))</f>
        <v>0.792766981680364</v>
      </c>
      <c r="R62" s="32" t="str">
        <f aca="false">IF(L62="","",IF(ABS(L62)&lt;=O62,"Yes","No"))</f>
        <v>No</v>
      </c>
      <c r="S62" s="32" t="str">
        <f aca="false">IF(L62="","",IF(ABS(L62)&lt;=1.96*O62,"Yes","No"))</f>
        <v>Yes</v>
      </c>
      <c r="T62" s="60" t="n">
        <f aca="false">IF(D62="","",ROUND(SQRT(((D62+G62)*O62/100)^2+(J62*(D62+G62)*0.05437)^2),0))</f>
        <v>509</v>
      </c>
      <c r="U62" s="32"/>
    </row>
    <row r="63" customFormat="false" ht="15" hidden="false" customHeight="false" outlineLevel="0" collapsed="false">
      <c r="A63" s="32" t="s">
        <v>222</v>
      </c>
      <c r="B63" s="32" t="s">
        <v>232</v>
      </c>
      <c r="C63" s="32" t="s">
        <v>164</v>
      </c>
      <c r="D63" s="60" t="n">
        <v>5431</v>
      </c>
      <c r="E63" s="60" t="n">
        <v>5038</v>
      </c>
      <c r="F63" s="69" t="n">
        <f aca="false">IF(E63="","",D63-E63)</f>
        <v>393</v>
      </c>
      <c r="G63" s="60" t="n">
        <v>4524</v>
      </c>
      <c r="H63" s="60" t="n">
        <v>4815</v>
      </c>
      <c r="I63" s="69" t="n">
        <f aca="false">IF(H63="","",G63-H63)</f>
        <v>-291</v>
      </c>
      <c r="J63" s="40" t="n">
        <f aca="false">IF(OR(D63="",D63+G63=0),"",D63/(D63+G63))</f>
        <v>0.545554997488699</v>
      </c>
      <c r="K63" s="40" t="n">
        <f aca="false">IF(E63="","",E63/(E63+H63))</f>
        <v>0.511316350350147</v>
      </c>
      <c r="L63" s="70" t="n">
        <f aca="false">IF(OR(K63="",J63=""),"",(J63-K63)*100)</f>
        <v>3.42386471385521</v>
      </c>
      <c r="M63" s="36" t="n">
        <v>2.38612924807294</v>
      </c>
      <c r="N63" s="36" t="n">
        <v>1.47617294631958</v>
      </c>
      <c r="O63" s="36" t="n">
        <f aca="false">SQRT(M63^2+N63^2)</f>
        <v>2.80583309481426</v>
      </c>
      <c r="P63" s="40" t="n">
        <f aca="false">IF(J63="","",MAX(0,J63-1.96*O63/100))</f>
        <v>0.49056066883034</v>
      </c>
      <c r="Q63" s="40" t="n">
        <f aca="false">IF(J63="","",MIN(1,J63+1.96*O63/100))</f>
        <v>0.600549326147059</v>
      </c>
      <c r="R63" s="32" t="str">
        <f aca="false">IF(L63="","",IF(ABS(L63)&lt;=O63,"Yes","No"))</f>
        <v>No</v>
      </c>
      <c r="S63" s="32" t="str">
        <f aca="false">IF(L63="","",IF(ABS(L63)&lt;=1.96*O63,"Yes","No"))</f>
        <v>Yes</v>
      </c>
      <c r="T63" s="60" t="n">
        <f aca="false">IF(D63="","",ROUND(SQRT(((D63+G63)*O63/100)^2+(J63*(D63+G63)*0.05437)^2),0))</f>
        <v>406</v>
      </c>
      <c r="U63" s="32"/>
    </row>
    <row r="64" customFormat="false" ht="15" hidden="false" customHeight="false" outlineLevel="0" collapsed="false">
      <c r="A64" s="32" t="s">
        <v>222</v>
      </c>
      <c r="B64" s="32" t="s">
        <v>233</v>
      </c>
      <c r="C64" s="32" t="s">
        <v>164</v>
      </c>
      <c r="D64" s="60" t="n">
        <v>764</v>
      </c>
      <c r="E64" s="60" t="n">
        <v>768</v>
      </c>
      <c r="F64" s="69" t="n">
        <f aca="false">IF(E64="","",D64-E64)</f>
        <v>-4</v>
      </c>
      <c r="G64" s="60" t="n">
        <v>399</v>
      </c>
      <c r="H64" s="60" t="n">
        <v>460</v>
      </c>
      <c r="I64" s="69" t="n">
        <f aca="false">IF(H64="","",G64-H64)</f>
        <v>-61</v>
      </c>
      <c r="J64" s="40" t="n">
        <f aca="false">IF(OR(D64="",D64+G64=0),"",D64/(D64+G64))</f>
        <v>0.656921754084265</v>
      </c>
      <c r="K64" s="40" t="n">
        <f aca="false">IF(E64="","",E64/(E64+H64))</f>
        <v>0.625407166123778</v>
      </c>
      <c r="L64" s="70" t="n">
        <f aca="false">IF(OR(K64="",J64=""),"",(J64-K64)*100)</f>
        <v>3.15145879604863</v>
      </c>
      <c r="M64" s="36" t="n">
        <v>3.52076694862392</v>
      </c>
      <c r="N64" s="36" t="n">
        <v>1.47617294631958</v>
      </c>
      <c r="O64" s="36" t="n">
        <f aca="false">SQRT(M64^2+N64^2)</f>
        <v>3.81770696543992</v>
      </c>
      <c r="P64" s="40" t="n">
        <f aca="false">IF(J64="","",MAX(0,J64-1.96*O64/100))</f>
        <v>0.582094697561642</v>
      </c>
      <c r="Q64" s="40" t="n">
        <f aca="false">IF(J64="","",MIN(1,J64+1.96*O64/100))</f>
        <v>0.731748810606887</v>
      </c>
      <c r="R64" s="32" t="str">
        <f aca="false">IF(L64="","",IF(ABS(L64)&lt;=O64,"Yes","No"))</f>
        <v>Yes</v>
      </c>
      <c r="S64" s="32" t="str">
        <f aca="false">IF(L64="","",IF(ABS(L64)&lt;=1.96*O64,"Yes","No"))</f>
        <v>Yes</v>
      </c>
      <c r="T64" s="60" t="n">
        <f aca="false">IF(D64="","",ROUND(SQRT(((D64+G64)*O64/100)^2+(J64*(D64+G64)*0.07717)^2),0))</f>
        <v>74</v>
      </c>
      <c r="U64" s="32"/>
    </row>
    <row r="65" customFormat="false" ht="15" hidden="false" customHeight="false" outlineLevel="0" collapsed="false">
      <c r="A65" s="32" t="s">
        <v>222</v>
      </c>
      <c r="B65" s="32" t="s">
        <v>234</v>
      </c>
      <c r="C65" s="32" t="s">
        <v>164</v>
      </c>
      <c r="D65" s="60" t="n">
        <v>119</v>
      </c>
      <c r="E65" s="60" t="n">
        <v>101</v>
      </c>
      <c r="F65" s="69" t="n">
        <f aca="false">IF(E65="","",D65-E65)</f>
        <v>18</v>
      </c>
      <c r="G65" s="60" t="n">
        <v>83</v>
      </c>
      <c r="H65" s="60" t="n">
        <v>100</v>
      </c>
      <c r="I65" s="69" t="n">
        <f aca="false">IF(H65="","",G65-H65)</f>
        <v>-17</v>
      </c>
      <c r="J65" s="40" t="n">
        <f aca="false">IF(OR(D65="",D65+G65=0),"",D65/(D65+G65))</f>
        <v>0.589108910891089</v>
      </c>
      <c r="K65" s="40" t="n">
        <f aca="false">IF(E65="","",E65/(E65+H65))</f>
        <v>0.502487562189055</v>
      </c>
      <c r="L65" s="70" t="n">
        <f aca="false">IF(OR(K65="",J65=""),"",(J65-K65)*100)</f>
        <v>8.66213487020343</v>
      </c>
      <c r="M65" s="36" t="n">
        <v>3.52076694862392</v>
      </c>
      <c r="N65" s="36" t="n">
        <v>1.47617294631958</v>
      </c>
      <c r="O65" s="36" t="n">
        <f aca="false">SQRT(M65^2+N65^2)</f>
        <v>3.81770696543992</v>
      </c>
      <c r="P65" s="40" t="n">
        <f aca="false">IF(J65="","",MAX(0,J65-1.96*O65/100))</f>
        <v>0.514281854368467</v>
      </c>
      <c r="Q65" s="40" t="n">
        <f aca="false">IF(J65="","",MIN(1,J65+1.96*O65/100))</f>
        <v>0.663935967413711</v>
      </c>
      <c r="R65" s="32" t="str">
        <f aca="false">IF(L65="","",IF(ABS(L65)&lt;=O65,"Yes","No"))</f>
        <v>No</v>
      </c>
      <c r="S65" s="32" t="str">
        <f aca="false">IF(L65="","",IF(ABS(L65)&lt;=1.96*O65,"Yes","No"))</f>
        <v>No</v>
      </c>
      <c r="T65" s="60" t="n">
        <f aca="false">IF(D65="","",ROUND(SQRT(((D65+G65)*O65/100)^2+(J65*(D65+G65)*0.07717)^2),0))</f>
        <v>12</v>
      </c>
      <c r="U65" s="32"/>
    </row>
    <row r="66" customFormat="false" ht="15" hidden="false" customHeight="false" outlineLevel="0" collapsed="false">
      <c r="A66" s="32" t="s">
        <v>222</v>
      </c>
      <c r="B66" s="32" t="s">
        <v>201</v>
      </c>
      <c r="C66" s="32" t="s">
        <v>164</v>
      </c>
      <c r="D66" s="60" t="n">
        <v>4376</v>
      </c>
      <c r="E66" s="60" t="n">
        <v>4234</v>
      </c>
      <c r="F66" s="69" t="n">
        <f aca="false">IF(E66="","",D66-E66)</f>
        <v>142</v>
      </c>
      <c r="G66" s="60" t="n">
        <v>3569</v>
      </c>
      <c r="H66" s="60" t="n">
        <v>3699</v>
      </c>
      <c r="I66" s="69" t="n">
        <f aca="false">IF(H66="","",G66-H66)</f>
        <v>-130</v>
      </c>
      <c r="J66" s="40" t="n">
        <f aca="false">IF(OR(D66="",D66+G66=0),"",D66/(D66+G66))</f>
        <v>0.550786658275645</v>
      </c>
      <c r="K66" s="40" t="n">
        <f aca="false">IF(E66="","",E66/(E66+H66))</f>
        <v>0.533719904197655</v>
      </c>
      <c r="L66" s="70" t="n">
        <f aca="false">IF(OR(K66="",J66=""),"",(J66-K66)*100)</f>
        <v>1.70667540779897</v>
      </c>
      <c r="M66" s="36" t="n">
        <v>2.38612924807294</v>
      </c>
      <c r="N66" s="36" t="n">
        <v>1.47617294631958</v>
      </c>
      <c r="O66" s="36" t="n">
        <f aca="false">SQRT(M66^2+N66^2)</f>
        <v>2.80583309481426</v>
      </c>
      <c r="P66" s="40" t="n">
        <f aca="false">IF(J66="","",MAX(0,J66-1.96*O66/100))</f>
        <v>0.495792329617286</v>
      </c>
      <c r="Q66" s="40" t="n">
        <f aca="false">IF(J66="","",MIN(1,J66+1.96*O66/100))</f>
        <v>0.605780986934005</v>
      </c>
      <c r="R66" s="32" t="str">
        <f aca="false">IF(L66="","",IF(ABS(L66)&lt;=O66,"Yes","No"))</f>
        <v>Yes</v>
      </c>
      <c r="S66" s="32" t="str">
        <f aca="false">IF(L66="","",IF(ABS(L66)&lt;=1.96*O66,"Yes","No"))</f>
        <v>Yes</v>
      </c>
      <c r="T66" s="60" t="n">
        <f aca="false">IF(D66="","",ROUND(SQRT(((D66+G66)*O66/100)^2+(J66*(D66+G66)*0.05437)^2),0))</f>
        <v>326</v>
      </c>
      <c r="U66" s="32"/>
    </row>
    <row r="67" customFormat="false" ht="15" hidden="false" customHeight="false" outlineLevel="0" collapsed="false">
      <c r="A67" s="32" t="s">
        <v>222</v>
      </c>
      <c r="B67" s="32" t="s">
        <v>235</v>
      </c>
      <c r="C67" s="32" t="s">
        <v>164</v>
      </c>
      <c r="D67" s="60" t="n">
        <v>1831</v>
      </c>
      <c r="E67" s="60" t="n">
        <v>1646</v>
      </c>
      <c r="F67" s="69" t="n">
        <f aca="false">IF(E67="","",D67-E67)</f>
        <v>185</v>
      </c>
      <c r="G67" s="60" t="n">
        <v>1474</v>
      </c>
      <c r="H67" s="60" t="n">
        <v>1608</v>
      </c>
      <c r="I67" s="69" t="n">
        <f aca="false">IF(H67="","",G67-H67)</f>
        <v>-134</v>
      </c>
      <c r="J67" s="40" t="n">
        <f aca="false">IF(OR(D67="",D67+G67=0),"",D67/(D67+G67))</f>
        <v>0.554009077155825</v>
      </c>
      <c r="K67" s="40" t="n">
        <f aca="false">IF(E67="","",E67/(E67+H67))</f>
        <v>0.505838967424708</v>
      </c>
      <c r="L67" s="70" t="n">
        <f aca="false">IF(OR(K67="",J67=""),"",(J67-K67)*100)</f>
        <v>4.81701097311165</v>
      </c>
      <c r="M67" s="36" t="n">
        <v>1.84762040092345</v>
      </c>
      <c r="N67" s="36" t="n">
        <v>1.47617294631958</v>
      </c>
      <c r="O67" s="36" t="n">
        <f aca="false">SQRT(M67^2+N67^2)</f>
        <v>2.36490754858501</v>
      </c>
      <c r="P67" s="40" t="n">
        <f aca="false">IF(J67="","",MAX(0,J67-1.96*O67/100))</f>
        <v>0.507656889203558</v>
      </c>
      <c r="Q67" s="40" t="n">
        <f aca="false">IF(J67="","",MIN(1,J67+1.96*O67/100))</f>
        <v>0.600361265108091</v>
      </c>
      <c r="R67" s="32" t="str">
        <f aca="false">IF(L67="","",IF(ABS(L67)&lt;=O67,"Yes","No"))</f>
        <v>No</v>
      </c>
      <c r="S67" s="32" t="str">
        <f aca="false">IF(L67="","",IF(ABS(L67)&lt;=1.96*O67,"Yes","No"))</f>
        <v>No</v>
      </c>
      <c r="T67" s="60" t="n">
        <f aca="false">IF(D67="","",ROUND(SQRT(((D67+G67)*O67/100)^2+(J67*(D67+G67)*0.05992)^2),0))</f>
        <v>135</v>
      </c>
      <c r="U67" s="32"/>
    </row>
    <row r="68" customFormat="false" ht="15" hidden="false" customHeight="false" outlineLevel="0" collapsed="false">
      <c r="A68" s="32" t="s">
        <v>222</v>
      </c>
      <c r="B68" s="32" t="s">
        <v>236</v>
      </c>
      <c r="C68" s="32" t="s">
        <v>164</v>
      </c>
      <c r="D68" s="60" t="n">
        <v>2327</v>
      </c>
      <c r="E68" s="60" t="n">
        <v>2137</v>
      </c>
      <c r="F68" s="69" t="n">
        <f aca="false">IF(E68="","",D68-E68)</f>
        <v>190</v>
      </c>
      <c r="G68" s="60" t="n">
        <v>4100</v>
      </c>
      <c r="H68" s="60" t="n">
        <v>4258</v>
      </c>
      <c r="I68" s="69" t="n">
        <f aca="false">IF(H68="","",G68-H68)</f>
        <v>-158</v>
      </c>
      <c r="J68" s="40" t="n">
        <f aca="false">IF(OR(D68="",D68+G68=0),"",D68/(D68+G68))</f>
        <v>0.362066282869146</v>
      </c>
      <c r="K68" s="40" t="n">
        <f aca="false">IF(E68="","",E68/(E68+H68))</f>
        <v>0.334167318217357</v>
      </c>
      <c r="L68" s="70" t="n">
        <f aca="false">IF(OR(K68="",J68=""),"",(J68-K68)*100)</f>
        <v>2.78989646517885</v>
      </c>
      <c r="M68" s="36" t="n">
        <v>2.38612924807294</v>
      </c>
      <c r="N68" s="36" t="n">
        <v>1.47617294631958</v>
      </c>
      <c r="O68" s="36" t="n">
        <f aca="false">SQRT(M68^2+N68^2)</f>
        <v>2.80583309481426</v>
      </c>
      <c r="P68" s="40" t="n">
        <f aca="false">IF(J68="","",MAX(0,J68-1.96*O68/100))</f>
        <v>0.307071954210786</v>
      </c>
      <c r="Q68" s="40" t="n">
        <f aca="false">IF(J68="","",MIN(1,J68+1.96*O68/100))</f>
        <v>0.417060611527505</v>
      </c>
      <c r="R68" s="32" t="str">
        <f aca="false">IF(L68="","",IF(ABS(L68)&lt;=O68,"Yes","No"))</f>
        <v>Yes</v>
      </c>
      <c r="S68" s="32" t="str">
        <f aca="false">IF(L68="","",IF(ABS(L68)&lt;=1.96*O68,"Yes","No"))</f>
        <v>Yes</v>
      </c>
      <c r="T68" s="60" t="n">
        <f aca="false">IF(D68="","",ROUND(SQRT(((D68+G68)*O68/100)^2+(J68*(D68+G68)*0.05437)^2),0))</f>
        <v>220</v>
      </c>
      <c r="U68" s="32"/>
    </row>
    <row r="69" customFormat="false" ht="15" hidden="false" customHeight="false" outlineLevel="0" collapsed="false">
      <c r="A69" s="32" t="s">
        <v>222</v>
      </c>
      <c r="B69" s="32" t="s">
        <v>237</v>
      </c>
      <c r="C69" s="32" t="s">
        <v>164</v>
      </c>
      <c r="D69" s="60" t="n">
        <v>667</v>
      </c>
      <c r="E69" s="60" t="n">
        <v>580</v>
      </c>
      <c r="F69" s="69" t="n">
        <f aca="false">IF(E69="","",D69-E69)</f>
        <v>87</v>
      </c>
      <c r="G69" s="60" t="n">
        <v>1118</v>
      </c>
      <c r="H69" s="60" t="n">
        <v>1159</v>
      </c>
      <c r="I69" s="69" t="n">
        <f aca="false">IF(H69="","",G69-H69)</f>
        <v>-41</v>
      </c>
      <c r="J69" s="40" t="n">
        <f aca="false">IF(OR(D69="",D69+G69=0),"",D69/(D69+G69))</f>
        <v>0.373669467787115</v>
      </c>
      <c r="K69" s="40" t="n">
        <f aca="false">IF(E69="","",E69/(E69+H69))</f>
        <v>0.333525014376078</v>
      </c>
      <c r="L69" s="70" t="n">
        <f aca="false">IF(OR(K69="",J69=""),"",(J69-K69)*100)</f>
        <v>4.01444534110366</v>
      </c>
      <c r="M69" s="36" t="n">
        <v>1.84762040092345</v>
      </c>
      <c r="N69" s="36" t="n">
        <v>1.47617294631958</v>
      </c>
      <c r="O69" s="36" t="n">
        <f aca="false">SQRT(M69^2+N69^2)</f>
        <v>2.36490754858501</v>
      </c>
      <c r="P69" s="40" t="n">
        <f aca="false">IF(J69="","",MAX(0,J69-1.96*O69/100))</f>
        <v>0.327317279834849</v>
      </c>
      <c r="Q69" s="40" t="n">
        <f aca="false">IF(J69="","",MIN(1,J69+1.96*O69/100))</f>
        <v>0.420021655739381</v>
      </c>
      <c r="R69" s="32" t="str">
        <f aca="false">IF(L69="","",IF(ABS(L69)&lt;=O69,"Yes","No"))</f>
        <v>No</v>
      </c>
      <c r="S69" s="32" t="str">
        <f aca="false">IF(L69="","",IF(ABS(L69)&lt;=1.96*O69,"Yes","No"))</f>
        <v>Yes</v>
      </c>
      <c r="T69" s="60" t="n">
        <f aca="false">IF(D69="","",ROUND(SQRT(((D69+G69)*O69/100)^2+(J69*(D69+G69)*0.05992)^2),0))</f>
        <v>58</v>
      </c>
      <c r="U69" s="32"/>
    </row>
    <row r="70" customFormat="false" ht="15" hidden="false" customHeight="false" outlineLevel="0" collapsed="false">
      <c r="A70" s="32" t="s">
        <v>222</v>
      </c>
      <c r="B70" s="32" t="s">
        <v>238</v>
      </c>
      <c r="C70" s="32" t="s">
        <v>164</v>
      </c>
      <c r="D70" s="60" t="n">
        <v>2005</v>
      </c>
      <c r="E70" s="60" t="n">
        <v>1879</v>
      </c>
      <c r="F70" s="69" t="n">
        <f aca="false">IF(E70="","",D70-E70)</f>
        <v>126</v>
      </c>
      <c r="G70" s="60" t="n">
        <v>2430</v>
      </c>
      <c r="H70" s="60" t="n">
        <v>2565</v>
      </c>
      <c r="I70" s="69" t="n">
        <f aca="false">IF(H70="","",G70-H70)</f>
        <v>-135</v>
      </c>
      <c r="J70" s="40" t="n">
        <f aca="false">IF(OR(D70="",D70+G70=0),"",D70/(D70+G70))</f>
        <v>0.452085682074408</v>
      </c>
      <c r="K70" s="40" t="n">
        <f aca="false">IF(E70="","",E70/(E70+H70))</f>
        <v>0.422817281728173</v>
      </c>
      <c r="L70" s="70" t="n">
        <f aca="false">IF(OR(K70="",J70=""),"",(J70-K70)*100)</f>
        <v>2.92684003462353</v>
      </c>
      <c r="M70" s="36" t="n">
        <v>2.38612924807294</v>
      </c>
      <c r="N70" s="36" t="n">
        <v>1.47617294631958</v>
      </c>
      <c r="O70" s="36" t="n">
        <f aca="false">SQRT(M70^2+N70^2)</f>
        <v>2.80583309481426</v>
      </c>
      <c r="P70" s="40" t="n">
        <f aca="false">IF(J70="","",MAX(0,J70-1.96*O70/100))</f>
        <v>0.397091353416049</v>
      </c>
      <c r="Q70" s="40" t="n">
        <f aca="false">IF(J70="","",MIN(1,J70+1.96*O70/100))</f>
        <v>0.507080010732768</v>
      </c>
      <c r="R70" s="32" t="str">
        <f aca="false">IF(L70="","",IF(ABS(L70)&lt;=O70,"Yes","No"))</f>
        <v>No</v>
      </c>
      <c r="S70" s="32" t="str">
        <f aca="false">IF(L70="","",IF(ABS(L70)&lt;=1.96*O70,"Yes","No"))</f>
        <v>Yes</v>
      </c>
      <c r="T70" s="60" t="n">
        <f aca="false">IF(D70="","",ROUND(SQRT(((D70+G70)*O70/100)^2+(J70*(D70+G70)*0.05437)^2),0))</f>
        <v>165</v>
      </c>
      <c r="U70" s="32"/>
    </row>
    <row r="71" customFormat="false" ht="15" hidden="false" customHeight="false" outlineLevel="0" collapsed="false">
      <c r="A71" s="32" t="s">
        <v>222</v>
      </c>
      <c r="B71" s="32" t="s">
        <v>239</v>
      </c>
      <c r="C71" s="32" t="s">
        <v>164</v>
      </c>
      <c r="D71" s="60" t="n">
        <v>3610</v>
      </c>
      <c r="E71" s="60" t="n">
        <v>3370</v>
      </c>
      <c r="F71" s="69" t="n">
        <f aca="false">IF(E71="","",D71-E71)</f>
        <v>240</v>
      </c>
      <c r="G71" s="60" t="n">
        <v>3630</v>
      </c>
      <c r="H71" s="60" t="n">
        <v>3831</v>
      </c>
      <c r="I71" s="69" t="n">
        <f aca="false">IF(H71="","",G71-H71)</f>
        <v>-201</v>
      </c>
      <c r="J71" s="40" t="n">
        <f aca="false">IF(OR(D71="",D71+G71=0),"",D71/(D71+G71))</f>
        <v>0.498618784530387</v>
      </c>
      <c r="K71" s="40" t="n">
        <f aca="false">IF(E71="","",E71/(E71+H71))</f>
        <v>0.467990556867102</v>
      </c>
      <c r="L71" s="70" t="n">
        <f aca="false">IF(OR(K71="",J71=""),"",(J71-K71)*100)</f>
        <v>3.06282276632849</v>
      </c>
      <c r="M71" s="36" t="n">
        <v>2.38612924807294</v>
      </c>
      <c r="N71" s="36" t="n">
        <v>1.47617294631958</v>
      </c>
      <c r="O71" s="36" t="n">
        <f aca="false">SQRT(M71^2+N71^2)</f>
        <v>2.80583309481426</v>
      </c>
      <c r="P71" s="40" t="n">
        <f aca="false">IF(J71="","",MAX(0,J71-1.96*O71/100))</f>
        <v>0.443624455872027</v>
      </c>
      <c r="Q71" s="40" t="n">
        <f aca="false">IF(J71="","",MIN(1,J71+1.96*O71/100))</f>
        <v>0.553613113188746</v>
      </c>
      <c r="R71" s="32" t="str">
        <f aca="false">IF(L71="","",IF(ABS(L71)&lt;=O71,"Yes","No"))</f>
        <v>No</v>
      </c>
      <c r="S71" s="32" t="str">
        <f aca="false">IF(L71="","",IF(ABS(L71)&lt;=1.96*O71,"Yes","No"))</f>
        <v>Yes</v>
      </c>
      <c r="T71" s="60" t="n">
        <f aca="false">IF(D71="","",ROUND(SQRT(((D71+G71)*O71/100)^2+(J71*(D71+G71)*0.05437)^2),0))</f>
        <v>282</v>
      </c>
      <c r="U71" s="32"/>
    </row>
    <row r="72" customFormat="false" ht="15" hidden="false" customHeight="false" outlineLevel="0" collapsed="false">
      <c r="A72" s="32" t="s">
        <v>222</v>
      </c>
      <c r="B72" s="32" t="s">
        <v>240</v>
      </c>
      <c r="C72" s="32" t="s">
        <v>164</v>
      </c>
      <c r="D72" s="60" t="n">
        <v>2100</v>
      </c>
      <c r="E72" s="60" t="n">
        <v>1920</v>
      </c>
      <c r="F72" s="69" t="n">
        <f aca="false">IF(E72="","",D72-E72)</f>
        <v>180</v>
      </c>
      <c r="G72" s="60" t="n">
        <v>3797</v>
      </c>
      <c r="H72" s="60" t="n">
        <v>3865</v>
      </c>
      <c r="I72" s="69" t="n">
        <f aca="false">IF(H72="","",G72-H72)</f>
        <v>-68</v>
      </c>
      <c r="J72" s="40" t="n">
        <f aca="false">IF(OR(D72="",D72+G72=0),"",D72/(D72+G72))</f>
        <v>0.356113277937935</v>
      </c>
      <c r="K72" s="40" t="n">
        <f aca="false">IF(E72="","",E72/(E72+H72))</f>
        <v>0.331892826274849</v>
      </c>
      <c r="L72" s="70" t="n">
        <f aca="false">IF(OR(K72="",J72=""),"",(J72-K72)*100)</f>
        <v>2.42204516630858</v>
      </c>
      <c r="M72" s="36" t="n">
        <v>2.38612924807294</v>
      </c>
      <c r="N72" s="36" t="n">
        <v>1.47617294631958</v>
      </c>
      <c r="O72" s="36" t="n">
        <f aca="false">SQRT(M72^2+N72^2)</f>
        <v>2.80583309481426</v>
      </c>
      <c r="P72" s="40" t="n">
        <f aca="false">IF(J72="","",MAX(0,J72-1.96*O72/100))</f>
        <v>0.301118949279575</v>
      </c>
      <c r="Q72" s="40" t="n">
        <f aca="false">IF(J72="","",MIN(1,J72+1.96*O72/100))</f>
        <v>0.411107606596294</v>
      </c>
      <c r="R72" s="32" t="str">
        <f aca="false">IF(L72="","",IF(ABS(L72)&lt;=O72,"Yes","No"))</f>
        <v>Yes</v>
      </c>
      <c r="S72" s="32" t="str">
        <f aca="false">IF(L72="","",IF(ABS(L72)&lt;=1.96*O72,"Yes","No"))</f>
        <v>Yes</v>
      </c>
      <c r="T72" s="60" t="n">
        <f aca="false">IF(D72="","",ROUND(SQRT(((D72+G72)*O72/100)^2+(J72*(D72+G72)*0.05437)^2),0))</f>
        <v>201</v>
      </c>
      <c r="U72" s="32"/>
    </row>
    <row r="73" customFormat="false" ht="15" hidden="false" customHeight="false" outlineLevel="0" collapsed="false">
      <c r="A73" s="32" t="s">
        <v>222</v>
      </c>
      <c r="B73" s="32" t="s">
        <v>241</v>
      </c>
      <c r="C73" s="32" t="s">
        <v>164</v>
      </c>
      <c r="D73" s="60" t="n">
        <v>1693</v>
      </c>
      <c r="E73" s="60" t="n">
        <v>1490</v>
      </c>
      <c r="F73" s="69" t="n">
        <f aca="false">IF(E73="","",D73-E73)</f>
        <v>203</v>
      </c>
      <c r="G73" s="60" t="n">
        <v>1516</v>
      </c>
      <c r="H73" s="60" t="n">
        <v>1627</v>
      </c>
      <c r="I73" s="69" t="n">
        <f aca="false">IF(H73="","",G73-H73)</f>
        <v>-111</v>
      </c>
      <c r="J73" s="40" t="n">
        <f aca="false">IF(OR(D73="",D73+G73=0),"",D73/(D73+G73))</f>
        <v>0.527578684948582</v>
      </c>
      <c r="K73" s="40" t="n">
        <f aca="false">IF(E73="","",E73/(E73+H73))</f>
        <v>0.478023740776388</v>
      </c>
      <c r="L73" s="70" t="n">
        <f aca="false">IF(OR(K73="",J73=""),"",(J73-K73)*100)</f>
        <v>4.95549441721945</v>
      </c>
      <c r="M73" s="36" t="n">
        <v>1.84762040092345</v>
      </c>
      <c r="N73" s="36" t="n">
        <v>1.47617294631958</v>
      </c>
      <c r="O73" s="36" t="n">
        <f aca="false">SQRT(M73^2+N73^2)</f>
        <v>2.36490754858501</v>
      </c>
      <c r="P73" s="40" t="n">
        <f aca="false">IF(J73="","",MAX(0,J73-1.96*O73/100))</f>
        <v>0.481226496996316</v>
      </c>
      <c r="Q73" s="40" t="n">
        <f aca="false">IF(J73="","",MIN(1,J73+1.96*O73/100))</f>
        <v>0.573930872900848</v>
      </c>
      <c r="R73" s="32" t="str">
        <f aca="false">IF(L73="","",IF(ABS(L73)&lt;=O73,"Yes","No"))</f>
        <v>No</v>
      </c>
      <c r="S73" s="32" t="str">
        <f aca="false">IF(L73="","",IF(ABS(L73)&lt;=1.96*O73,"Yes","No"))</f>
        <v>No</v>
      </c>
      <c r="T73" s="60" t="n">
        <f aca="false">IF(D73="","",ROUND(SQRT(((D73+G73)*O73/100)^2+(J73*(D73+G73)*0.05992)^2),0))</f>
        <v>127</v>
      </c>
      <c r="U73" s="32"/>
    </row>
    <row r="74" customFormat="false" ht="15" hidden="false" customHeight="false" outlineLevel="0" collapsed="false">
      <c r="A74" s="32" t="s">
        <v>222</v>
      </c>
      <c r="B74" s="32" t="s">
        <v>242</v>
      </c>
      <c r="C74" s="32" t="s">
        <v>164</v>
      </c>
      <c r="D74" s="60" t="n">
        <v>788</v>
      </c>
      <c r="E74" s="60" t="n">
        <v>731</v>
      </c>
      <c r="F74" s="69" t="n">
        <f aca="false">IF(E74="","",D74-E74)</f>
        <v>57</v>
      </c>
      <c r="G74" s="60" t="n">
        <v>751</v>
      </c>
      <c r="H74" s="60" t="n">
        <v>843</v>
      </c>
      <c r="I74" s="69" t="n">
        <f aca="false">IF(H74="","",G74-H74)</f>
        <v>-92</v>
      </c>
      <c r="J74" s="40" t="n">
        <f aca="false">IF(OR(D74="",D74+G74=0),"",D74/(D74+G74))</f>
        <v>0.512020792722547</v>
      </c>
      <c r="K74" s="40" t="n">
        <f aca="false">IF(E74="","",E74/(E74+H74))</f>
        <v>0.464421855146125</v>
      </c>
      <c r="L74" s="70" t="n">
        <f aca="false">IF(OR(K74="",J74=""),"",(J74-K74)*100)</f>
        <v>4.75989375764226</v>
      </c>
      <c r="M74" s="36" t="n">
        <v>1.84762040092345</v>
      </c>
      <c r="N74" s="36" t="n">
        <v>1.47617294631958</v>
      </c>
      <c r="O74" s="36" t="n">
        <f aca="false">SQRT(M74^2+N74^2)</f>
        <v>2.36490754858501</v>
      </c>
      <c r="P74" s="40" t="n">
        <f aca="false">IF(J74="","",MAX(0,J74-1.96*O74/100))</f>
        <v>0.465668604770281</v>
      </c>
      <c r="Q74" s="40" t="n">
        <f aca="false">IF(J74="","",MIN(1,J74+1.96*O74/100))</f>
        <v>0.558372980674813</v>
      </c>
      <c r="R74" s="32" t="str">
        <f aca="false">IF(L74="","",IF(ABS(L74)&lt;=O74,"Yes","No"))</f>
        <v>No</v>
      </c>
      <c r="S74" s="32" t="str">
        <f aca="false">IF(L74="","",IF(ABS(L74)&lt;=1.96*O74,"Yes","No"))</f>
        <v>No</v>
      </c>
      <c r="T74" s="60" t="n">
        <f aca="false">IF(D74="","",ROUND(SQRT(((D74+G74)*O74/100)^2+(J74*(D74+G74)*0.05992)^2),0))</f>
        <v>60</v>
      </c>
      <c r="U74" s="32"/>
    </row>
    <row r="75" customFormat="false" ht="15" hidden="false" customHeight="false" outlineLevel="0" collapsed="false">
      <c r="A75" s="32" t="s">
        <v>222</v>
      </c>
      <c r="B75" s="32" t="s">
        <v>243</v>
      </c>
      <c r="C75" s="32" t="s">
        <v>164</v>
      </c>
      <c r="D75" s="60" t="n">
        <v>2647</v>
      </c>
      <c r="E75" s="60" t="n">
        <v>2355</v>
      </c>
      <c r="F75" s="69" t="n">
        <f aca="false">IF(E75="","",D75-E75)</f>
        <v>292</v>
      </c>
      <c r="G75" s="60" t="n">
        <v>2542</v>
      </c>
      <c r="H75" s="60" t="n">
        <v>2934</v>
      </c>
      <c r="I75" s="69" t="n">
        <f aca="false">IF(H75="","",G75-H75)</f>
        <v>-392</v>
      </c>
      <c r="J75" s="40" t="n">
        <f aca="false">IF(OR(D75="",D75+G75=0),"",D75/(D75+G75))</f>
        <v>0.510117556369243</v>
      </c>
      <c r="K75" s="40" t="n">
        <f aca="false">IF(E75="","",E75/(E75+H75))</f>
        <v>0.445263754963131</v>
      </c>
      <c r="L75" s="70" t="n">
        <f aca="false">IF(OR(K75="",J75=""),"",(J75-K75)*100)</f>
        <v>6.48538014061116</v>
      </c>
      <c r="M75" s="36" t="n">
        <v>2.38612924807294</v>
      </c>
      <c r="N75" s="36" t="n">
        <v>1.47617294631958</v>
      </c>
      <c r="O75" s="36" t="n">
        <f aca="false">SQRT(M75^2+N75^2)</f>
        <v>2.80583309481426</v>
      </c>
      <c r="P75" s="40" t="n">
        <f aca="false">IF(J75="","",MAX(0,J75-1.96*O75/100))</f>
        <v>0.455123227710883</v>
      </c>
      <c r="Q75" s="40" t="n">
        <f aca="false">IF(J75="","",MIN(1,J75+1.96*O75/100))</f>
        <v>0.565111885027602</v>
      </c>
      <c r="R75" s="32" t="str">
        <f aca="false">IF(L75="","",IF(ABS(L75)&lt;=O75,"Yes","No"))</f>
        <v>No</v>
      </c>
      <c r="S75" s="32" t="str">
        <f aca="false">IF(L75="","",IF(ABS(L75)&lt;=1.96*O75,"Yes","No"))</f>
        <v>No</v>
      </c>
      <c r="T75" s="60" t="n">
        <f aca="false">IF(D75="","",ROUND(SQRT(((D75+G75)*O75/100)^2+(J75*(D75+G75)*0.05437)^2),0))</f>
        <v>205</v>
      </c>
      <c r="U75" s="32"/>
    </row>
    <row r="76" customFormat="false" ht="15" hidden="false" customHeight="false" outlineLevel="0" collapsed="false">
      <c r="A76" s="32" t="s">
        <v>222</v>
      </c>
      <c r="B76" s="32" t="s">
        <v>244</v>
      </c>
      <c r="C76" s="32" t="s">
        <v>164</v>
      </c>
      <c r="D76" s="60" t="n">
        <v>7300</v>
      </c>
      <c r="E76" s="60" t="n">
        <v>6698</v>
      </c>
      <c r="F76" s="69" t="n">
        <f aca="false">IF(E76="","",D76-E76)</f>
        <v>602</v>
      </c>
      <c r="G76" s="60" t="n">
        <v>5947</v>
      </c>
      <c r="H76" s="60" t="n">
        <v>6630</v>
      </c>
      <c r="I76" s="69" t="n">
        <f aca="false">IF(H76="","",G76-H76)</f>
        <v>-683</v>
      </c>
      <c r="J76" s="40" t="n">
        <f aca="false">IF(OR(D76="",D76+G76=0),"",D76/(D76+G76))</f>
        <v>0.551068166377293</v>
      </c>
      <c r="K76" s="40" t="n">
        <f aca="false">IF(E76="","",E76/(E76+H76))</f>
        <v>0.502551020408163</v>
      </c>
      <c r="L76" s="70" t="n">
        <f aca="false">IF(OR(K76="",J76=""),"",(J76-K76)*100)</f>
        <v>4.85171459691297</v>
      </c>
      <c r="M76" s="36" t="n">
        <v>2.38612924807294</v>
      </c>
      <c r="N76" s="36" t="n">
        <v>1.47617294631958</v>
      </c>
      <c r="O76" s="36" t="n">
        <f aca="false">SQRT(M76^2+N76^2)</f>
        <v>2.80583309481426</v>
      </c>
      <c r="P76" s="40" t="n">
        <f aca="false">IF(J76="","",MAX(0,J76-1.96*O76/100))</f>
        <v>0.496073837718933</v>
      </c>
      <c r="Q76" s="40" t="n">
        <f aca="false">IF(J76="","",MIN(1,J76+1.96*O76/100))</f>
        <v>0.606062495035653</v>
      </c>
      <c r="R76" s="32" t="str">
        <f aca="false">IF(L76="","",IF(ABS(L76)&lt;=O76,"Yes","No"))</f>
        <v>No</v>
      </c>
      <c r="S76" s="32" t="str">
        <f aca="false">IF(L76="","",IF(ABS(L76)&lt;=1.96*O76,"Yes","No"))</f>
        <v>Yes</v>
      </c>
      <c r="T76" s="60" t="n">
        <f aca="false">IF(D76="","",ROUND(SQRT(((D76+G76)*O76/100)^2+(J76*(D76+G76)*0.05437)^2),0))</f>
        <v>544</v>
      </c>
      <c r="U76" s="32"/>
    </row>
    <row r="77" customFormat="false" ht="15" hidden="false" customHeight="false" outlineLevel="0" collapsed="false">
      <c r="A77" s="32" t="s">
        <v>222</v>
      </c>
      <c r="B77" s="32" t="s">
        <v>245</v>
      </c>
      <c r="C77" s="32" t="s">
        <v>164</v>
      </c>
      <c r="D77" s="60" t="n">
        <v>740</v>
      </c>
      <c r="E77" s="60" t="n">
        <v>678</v>
      </c>
      <c r="F77" s="69" t="n">
        <f aca="false">IF(E77="","",D77-E77)</f>
        <v>62</v>
      </c>
      <c r="G77" s="60" t="n">
        <v>1063</v>
      </c>
      <c r="H77" s="60" t="n">
        <v>1089</v>
      </c>
      <c r="I77" s="69" t="n">
        <f aca="false">IF(H77="","",G77-H77)</f>
        <v>-26</v>
      </c>
      <c r="J77" s="40" t="n">
        <f aca="false">IF(OR(D77="",D77+G77=0),"",D77/(D77+G77))</f>
        <v>0.410427066001109</v>
      </c>
      <c r="K77" s="40" t="n">
        <f aca="false">IF(E77="","",E77/(E77+H77))</f>
        <v>0.383701188455009</v>
      </c>
      <c r="L77" s="70" t="n">
        <f aca="false">IF(OR(K77="",J77=""),"",(J77-K77)*100)</f>
        <v>2.67258775461008</v>
      </c>
      <c r="M77" s="36" t="n">
        <v>1.84762040092345</v>
      </c>
      <c r="N77" s="36" t="n">
        <v>1.47617294631958</v>
      </c>
      <c r="O77" s="36" t="n">
        <f aca="false">SQRT(M77^2+N77^2)</f>
        <v>2.36490754858501</v>
      </c>
      <c r="P77" s="40" t="n">
        <f aca="false">IF(J77="","",MAX(0,J77-1.96*O77/100))</f>
        <v>0.364074878048843</v>
      </c>
      <c r="Q77" s="40" t="n">
        <f aca="false">IF(J77="","",MIN(1,J77+1.96*O77/100))</f>
        <v>0.456779253953376</v>
      </c>
      <c r="R77" s="32" t="str">
        <f aca="false">IF(L77="","",IF(ABS(L77)&lt;=O77,"Yes","No"))</f>
        <v>No</v>
      </c>
      <c r="S77" s="32" t="str">
        <f aca="false">IF(L77="","",IF(ABS(L77)&lt;=1.96*O77,"Yes","No"))</f>
        <v>Yes</v>
      </c>
      <c r="T77" s="60" t="n">
        <f aca="false">IF(D77="","",ROUND(SQRT(((D77+G77)*O77/100)^2+(J77*(D77+G77)*0.05992)^2),0))</f>
        <v>62</v>
      </c>
      <c r="U77" s="32"/>
    </row>
    <row r="78" customFormat="false" ht="15" hidden="false" customHeight="false" outlineLevel="0" collapsed="false">
      <c r="A78" s="32" t="s">
        <v>222</v>
      </c>
      <c r="B78" s="32" t="s">
        <v>246</v>
      </c>
      <c r="C78" s="32" t="s">
        <v>164</v>
      </c>
      <c r="D78" s="60" t="n">
        <v>1453</v>
      </c>
      <c r="E78" s="60" t="n">
        <v>1368</v>
      </c>
      <c r="F78" s="69" t="n">
        <f aca="false">IF(E78="","",D78-E78)</f>
        <v>85</v>
      </c>
      <c r="G78" s="60" t="n">
        <v>2407</v>
      </c>
      <c r="H78" s="60" t="n">
        <v>2520</v>
      </c>
      <c r="I78" s="69" t="n">
        <f aca="false">IF(H78="","",G78-H78)</f>
        <v>-113</v>
      </c>
      <c r="J78" s="40" t="n">
        <f aca="false">IF(OR(D78="",D78+G78=0),"",D78/(D78+G78))</f>
        <v>0.376424870466321</v>
      </c>
      <c r="K78" s="40" t="n">
        <f aca="false">IF(E78="","",E78/(E78+H78))</f>
        <v>0.351851851851852</v>
      </c>
      <c r="L78" s="70" t="n">
        <f aca="false">IF(OR(K78="",J78=""),"",(J78-K78)*100)</f>
        <v>2.45730186144694</v>
      </c>
      <c r="M78" s="36" t="n">
        <v>2.38612924807294</v>
      </c>
      <c r="N78" s="36" t="n">
        <v>1.47617294631958</v>
      </c>
      <c r="O78" s="36" t="n">
        <f aca="false">SQRT(M78^2+N78^2)</f>
        <v>2.80583309481426</v>
      </c>
      <c r="P78" s="40" t="n">
        <f aca="false">IF(J78="","",MAX(0,J78-1.96*O78/100))</f>
        <v>0.321430541807962</v>
      </c>
      <c r="Q78" s="40" t="n">
        <f aca="false">IF(J78="","",MIN(1,J78+1.96*O78/100))</f>
        <v>0.431419199124681</v>
      </c>
      <c r="R78" s="32" t="str">
        <f aca="false">IF(L78="","",IF(ABS(L78)&lt;=O78,"Yes","No"))</f>
        <v>Yes</v>
      </c>
      <c r="S78" s="32" t="str">
        <f aca="false">IF(L78="","",IF(ABS(L78)&lt;=1.96*O78,"Yes","No"))</f>
        <v>Yes</v>
      </c>
      <c r="T78" s="60" t="n">
        <f aca="false">IF(D78="","",ROUND(SQRT(((D78+G78)*O78/100)^2+(J78*(D78+G78)*0.05437)^2),0))</f>
        <v>134</v>
      </c>
      <c r="U78" s="32"/>
    </row>
    <row r="79" customFormat="false" ht="15" hidden="false" customHeight="false" outlineLevel="0" collapsed="false">
      <c r="A79" s="32" t="s">
        <v>222</v>
      </c>
      <c r="B79" s="32" t="s">
        <v>247</v>
      </c>
      <c r="C79" s="32" t="s">
        <v>164</v>
      </c>
      <c r="D79" s="60" t="n">
        <v>93</v>
      </c>
      <c r="E79" s="60" t="n">
        <v>82</v>
      </c>
      <c r="F79" s="69" t="n">
        <f aca="false">IF(E79="","",D79-E79)</f>
        <v>11</v>
      </c>
      <c r="G79" s="60" t="n">
        <v>170</v>
      </c>
      <c r="H79" s="60" t="n">
        <v>171</v>
      </c>
      <c r="I79" s="69" t="n">
        <f aca="false">IF(H79="","",G79-H79)</f>
        <v>-1</v>
      </c>
      <c r="J79" s="40" t="n">
        <f aca="false">IF(OR(D79="",D79+G79=0),"",D79/(D79+G79))</f>
        <v>0.35361216730038</v>
      </c>
      <c r="K79" s="40" t="n">
        <f aca="false">IF(E79="","",E79/(E79+H79))</f>
        <v>0.324110671936759</v>
      </c>
      <c r="L79" s="70" t="n">
        <f aca="false">IF(OR(K79="",J79=""),"",(J79-K79)*100)</f>
        <v>2.95014953636213</v>
      </c>
      <c r="M79" s="36" t="n">
        <v>3.52076694862392</v>
      </c>
      <c r="N79" s="36" t="n">
        <v>1.47617294631958</v>
      </c>
      <c r="O79" s="36" t="n">
        <f aca="false">SQRT(M79^2+N79^2)</f>
        <v>3.81770696543992</v>
      </c>
      <c r="P79" s="40" t="n">
        <f aca="false">IF(J79="","",MAX(0,J79-1.96*O79/100))</f>
        <v>0.278785110777758</v>
      </c>
      <c r="Q79" s="40" t="n">
        <f aca="false">IF(J79="","",MIN(1,J79+1.96*O79/100))</f>
        <v>0.428439223823003</v>
      </c>
      <c r="R79" s="32" t="str">
        <f aca="false">IF(L79="","",IF(ABS(L79)&lt;=O79,"Yes","No"))</f>
        <v>Yes</v>
      </c>
      <c r="S79" s="32" t="str">
        <f aca="false">IF(L79="","",IF(ABS(L79)&lt;=1.96*O79,"Yes","No"))</f>
        <v>Yes</v>
      </c>
      <c r="T79" s="60" t="n">
        <f aca="false">IF(D79="","",ROUND(SQRT(((D79+G79)*O79/100)^2+(J79*(D79+G79)*0.07717)^2),0))</f>
        <v>12</v>
      </c>
      <c r="U79" s="32"/>
    </row>
    <row r="80" customFormat="false" ht="15" hidden="false" customHeight="false" outlineLevel="0" collapsed="false">
      <c r="A80" s="32" t="s">
        <v>222</v>
      </c>
      <c r="B80" s="32" t="s">
        <v>248</v>
      </c>
      <c r="C80" s="32" t="s">
        <v>164</v>
      </c>
      <c r="D80" s="60" t="n">
        <v>378</v>
      </c>
      <c r="E80" s="60" t="n">
        <v>331</v>
      </c>
      <c r="F80" s="69" t="n">
        <f aca="false">IF(E80="","",D80-E80)</f>
        <v>47</v>
      </c>
      <c r="G80" s="60" t="n">
        <v>509</v>
      </c>
      <c r="H80" s="60" t="n">
        <v>571</v>
      </c>
      <c r="I80" s="69" t="n">
        <f aca="false">IF(H80="","",G80-H80)</f>
        <v>-62</v>
      </c>
      <c r="J80" s="40" t="n">
        <f aca="false">IF(OR(D80="",D80+G80=0),"",D80/(D80+G80))</f>
        <v>0.426155580608794</v>
      </c>
      <c r="K80" s="40" t="n">
        <f aca="false">IF(E80="","",E80/(E80+H80))</f>
        <v>0.366962305986696</v>
      </c>
      <c r="L80" s="70" t="n">
        <f aca="false">IF(OR(K80="",J80=""),"",(J80-K80)*100)</f>
        <v>5.91932746220975</v>
      </c>
      <c r="M80" s="36" t="n">
        <v>3.52076694862392</v>
      </c>
      <c r="N80" s="36" t="n">
        <v>1.47617294631958</v>
      </c>
      <c r="O80" s="36" t="n">
        <f aca="false">SQRT(M80^2+N80^2)</f>
        <v>3.81770696543992</v>
      </c>
      <c r="P80" s="40" t="n">
        <f aca="false">IF(J80="","",MAX(0,J80-1.96*O80/100))</f>
        <v>0.351328524086171</v>
      </c>
      <c r="Q80" s="40" t="n">
        <f aca="false">IF(J80="","",MIN(1,J80+1.96*O80/100))</f>
        <v>0.500982637131416</v>
      </c>
      <c r="R80" s="32" t="str">
        <f aca="false">IF(L80="","",IF(ABS(L80)&lt;=O80,"Yes","No"))</f>
        <v>No</v>
      </c>
      <c r="S80" s="32" t="str">
        <f aca="false">IF(L80="","",IF(ABS(L80)&lt;=1.96*O80,"Yes","No"))</f>
        <v>Yes</v>
      </c>
      <c r="T80" s="60" t="n">
        <f aca="false">IF(D80="","",ROUND(SQRT(((D80+G80)*O80/100)^2+(J80*(D80+G80)*0.07717)^2),0))</f>
        <v>45</v>
      </c>
      <c r="U80" s="32"/>
    </row>
    <row r="81" customFormat="false" ht="15" hidden="false" customHeight="false" outlineLevel="0" collapsed="false">
      <c r="A81" s="32" t="s">
        <v>222</v>
      </c>
      <c r="B81" s="32" t="s">
        <v>249</v>
      </c>
      <c r="C81" s="32" t="s">
        <v>164</v>
      </c>
      <c r="D81" s="60" t="n">
        <v>238</v>
      </c>
      <c r="E81" s="60" t="n">
        <v>212</v>
      </c>
      <c r="F81" s="69" t="n">
        <f aca="false">IF(E81="","",D81-E81)</f>
        <v>26</v>
      </c>
      <c r="G81" s="60" t="n">
        <v>287</v>
      </c>
      <c r="H81" s="60" t="n">
        <v>308</v>
      </c>
      <c r="I81" s="69" t="n">
        <f aca="false">IF(H81="","",G81-H81)</f>
        <v>-21</v>
      </c>
      <c r="J81" s="40" t="n">
        <f aca="false">IF(OR(D81="",D81+G81=0),"",D81/(D81+G81))</f>
        <v>0.453333333333333</v>
      </c>
      <c r="K81" s="40" t="n">
        <f aca="false">IF(E81="","",E81/(E81+H81))</f>
        <v>0.407692307692308</v>
      </c>
      <c r="L81" s="70" t="n">
        <f aca="false">IF(OR(K81="",J81=""),"",(J81-K81)*100)</f>
        <v>4.56410256410256</v>
      </c>
      <c r="M81" s="36" t="n">
        <v>3.52076694862392</v>
      </c>
      <c r="N81" s="36" t="n">
        <v>1.47617294631958</v>
      </c>
      <c r="O81" s="36" t="n">
        <f aca="false">SQRT(M81^2+N81^2)</f>
        <v>3.81770696543992</v>
      </c>
      <c r="P81" s="40" t="n">
        <f aca="false">IF(J81="","",MAX(0,J81-1.96*O81/100))</f>
        <v>0.378506276810711</v>
      </c>
      <c r="Q81" s="40" t="n">
        <f aca="false">IF(J81="","",MIN(1,J81+1.96*O81/100))</f>
        <v>0.528160389855956</v>
      </c>
      <c r="R81" s="32" t="str">
        <f aca="false">IF(L81="","",IF(ABS(L81)&lt;=O81,"Yes","No"))</f>
        <v>No</v>
      </c>
      <c r="S81" s="32" t="str">
        <f aca="false">IF(L81="","",IF(ABS(L81)&lt;=1.96*O81,"Yes","No"))</f>
        <v>Yes</v>
      </c>
      <c r="T81" s="60" t="n">
        <f aca="false">IF(D81="","",ROUND(SQRT(((D81+G81)*O81/100)^2+(J81*(D81+G81)*0.07717)^2),0))</f>
        <v>27</v>
      </c>
      <c r="U81" s="32"/>
    </row>
    <row r="82" customFormat="false" ht="15" hidden="false" customHeight="false" outlineLevel="0" collapsed="false">
      <c r="A82" s="32" t="s">
        <v>222</v>
      </c>
      <c r="B82" s="32" t="s">
        <v>250</v>
      </c>
      <c r="C82" s="32" t="s">
        <v>164</v>
      </c>
      <c r="D82" s="60" t="n">
        <v>304</v>
      </c>
      <c r="E82" s="60" t="n">
        <v>272</v>
      </c>
      <c r="F82" s="69" t="n">
        <f aca="false">IF(E82="","",D82-E82)</f>
        <v>32</v>
      </c>
      <c r="G82" s="60" t="n">
        <v>383</v>
      </c>
      <c r="H82" s="60" t="n">
        <v>400</v>
      </c>
      <c r="I82" s="69" t="n">
        <f aca="false">IF(H82="","",G82-H82)</f>
        <v>-17</v>
      </c>
      <c r="J82" s="40" t="n">
        <f aca="false">IF(OR(D82="",D82+G82=0),"",D82/(D82+G82))</f>
        <v>0.442503639010189</v>
      </c>
      <c r="K82" s="40" t="n">
        <f aca="false">IF(E82="","",E82/(E82+H82))</f>
        <v>0.404761904761905</v>
      </c>
      <c r="L82" s="70" t="n">
        <f aca="false">IF(OR(K82="",J82=""),"",(J82-K82)*100)</f>
        <v>3.77417342482845</v>
      </c>
      <c r="M82" s="36" t="n">
        <v>3.52076694862392</v>
      </c>
      <c r="N82" s="36" t="n">
        <v>1.47617294631958</v>
      </c>
      <c r="O82" s="36" t="n">
        <f aca="false">SQRT(M82^2+N82^2)</f>
        <v>3.81770696543992</v>
      </c>
      <c r="P82" s="40" t="n">
        <f aca="false">IF(J82="","",MAX(0,J82-1.96*O82/100))</f>
        <v>0.367676582487567</v>
      </c>
      <c r="Q82" s="40" t="n">
        <f aca="false">IF(J82="","",MIN(1,J82+1.96*O82/100))</f>
        <v>0.517330695532812</v>
      </c>
      <c r="R82" s="32" t="str">
        <f aca="false">IF(L82="","",IF(ABS(L82)&lt;=O82,"Yes","No"))</f>
        <v>Yes</v>
      </c>
      <c r="S82" s="32" t="str">
        <f aca="false">IF(L82="","",IF(ABS(L82)&lt;=1.96*O82,"Yes","No"))</f>
        <v>Yes</v>
      </c>
      <c r="T82" s="60" t="n">
        <f aca="false">IF(D82="","",ROUND(SQRT(((D82+G82)*O82/100)^2+(J82*(D82+G82)*0.07717)^2),0))</f>
        <v>35</v>
      </c>
      <c r="U82" s="32"/>
    </row>
    <row r="83" customFormat="false" ht="15" hidden="false" customHeight="false" outlineLevel="0" collapsed="false">
      <c r="A83" s="32" t="s">
        <v>222</v>
      </c>
      <c r="B83" s="32" t="s">
        <v>251</v>
      </c>
      <c r="C83" s="32" t="s">
        <v>164</v>
      </c>
      <c r="D83" s="60" t="n">
        <v>1342</v>
      </c>
      <c r="E83" s="60" t="n">
        <v>1207</v>
      </c>
      <c r="F83" s="69" t="n">
        <f aca="false">IF(E83="","",D83-E83)</f>
        <v>135</v>
      </c>
      <c r="G83" s="60" t="n">
        <v>2564</v>
      </c>
      <c r="H83" s="60" t="n">
        <v>2601</v>
      </c>
      <c r="I83" s="69" t="n">
        <f aca="false">IF(H83="","",G83-H83)</f>
        <v>-37</v>
      </c>
      <c r="J83" s="40" t="n">
        <f aca="false">IF(OR(D83="",D83+G83=0),"",D83/(D83+G83))</f>
        <v>0.343573988735279</v>
      </c>
      <c r="K83" s="40" t="n">
        <f aca="false">IF(E83="","",E83/(E83+H83))</f>
        <v>0.316964285714286</v>
      </c>
      <c r="L83" s="70" t="n">
        <f aca="false">IF(OR(K83="",J83=""),"",(J83-K83)*100)</f>
        <v>2.66097030209934</v>
      </c>
      <c r="M83" s="36" t="n">
        <v>2.38612924807294</v>
      </c>
      <c r="N83" s="36" t="n">
        <v>1.47617294631958</v>
      </c>
      <c r="O83" s="36" t="n">
        <f aca="false">SQRT(M83^2+N83^2)</f>
        <v>2.80583309481426</v>
      </c>
      <c r="P83" s="40" t="n">
        <f aca="false">IF(J83="","",MAX(0,J83-1.96*O83/100))</f>
        <v>0.28857966007692</v>
      </c>
      <c r="Q83" s="40" t="n">
        <f aca="false">IF(J83="","",MIN(1,J83+1.96*O83/100))</f>
        <v>0.398568317393639</v>
      </c>
      <c r="R83" s="32" t="str">
        <f aca="false">IF(L83="","",IF(ABS(L83)&lt;=O83,"Yes","No"))</f>
        <v>Yes</v>
      </c>
      <c r="S83" s="32" t="str">
        <f aca="false">IF(L83="","",IF(ABS(L83)&lt;=1.96*O83,"Yes","No"))</f>
        <v>Yes</v>
      </c>
      <c r="T83" s="60" t="n">
        <f aca="false">IF(D83="","",ROUND(SQRT(((D83+G83)*O83/100)^2+(J83*(D83+G83)*0.05437)^2),0))</f>
        <v>132</v>
      </c>
      <c r="U83" s="32"/>
    </row>
    <row r="84" customFormat="false" ht="15" hidden="false" customHeight="false" outlineLevel="0" collapsed="false">
      <c r="A84" s="32" t="s">
        <v>222</v>
      </c>
      <c r="B84" s="32" t="s">
        <v>252</v>
      </c>
      <c r="C84" s="32" t="s">
        <v>164</v>
      </c>
      <c r="D84" s="60" t="n">
        <v>2004</v>
      </c>
      <c r="E84" s="60" t="n">
        <v>1838</v>
      </c>
      <c r="F84" s="69" t="n">
        <f aca="false">IF(E84="","",D84-E84)</f>
        <v>166</v>
      </c>
      <c r="G84" s="60" t="n">
        <v>1986</v>
      </c>
      <c r="H84" s="60" t="n">
        <v>2112</v>
      </c>
      <c r="I84" s="69" t="n">
        <f aca="false">IF(H84="","",G84-H84)</f>
        <v>-126</v>
      </c>
      <c r="J84" s="40" t="n">
        <f aca="false">IF(OR(D84="",D84+G84=0),"",D84/(D84+G84))</f>
        <v>0.502255639097744</v>
      </c>
      <c r="K84" s="40" t="n">
        <f aca="false">IF(E84="","",E84/(E84+H84))</f>
        <v>0.465316455696203</v>
      </c>
      <c r="L84" s="70" t="n">
        <f aca="false">IF(OR(K84="",J84=""),"",(J84-K84)*100)</f>
        <v>3.69391834015418</v>
      </c>
      <c r="M84" s="36" t="n">
        <v>2.38612924807294</v>
      </c>
      <c r="N84" s="36" t="n">
        <v>1.47617294631958</v>
      </c>
      <c r="O84" s="36" t="n">
        <f aca="false">SQRT(M84^2+N84^2)</f>
        <v>2.80583309481426</v>
      </c>
      <c r="P84" s="40" t="n">
        <f aca="false">IF(J84="","",MAX(0,J84-1.96*O84/100))</f>
        <v>0.447261310439385</v>
      </c>
      <c r="Q84" s="40" t="n">
        <f aca="false">IF(J84="","",MIN(1,J84+1.96*O84/100))</f>
        <v>0.557249967756104</v>
      </c>
      <c r="R84" s="32" t="str">
        <f aca="false">IF(L84="","",IF(ABS(L84)&lt;=O84,"Yes","No"))</f>
        <v>No</v>
      </c>
      <c r="S84" s="32" t="str">
        <f aca="false">IF(L84="","",IF(ABS(L84)&lt;=1.96*O84,"Yes","No"))</f>
        <v>Yes</v>
      </c>
      <c r="T84" s="60" t="n">
        <f aca="false">IF(D84="","",ROUND(SQRT(((D84+G84)*O84/100)^2+(J84*(D84+G84)*0.05437)^2),0))</f>
        <v>156</v>
      </c>
      <c r="U84" s="32"/>
    </row>
    <row r="85" customFormat="false" ht="15" hidden="false" customHeight="false" outlineLevel="0" collapsed="false">
      <c r="A85" s="32" t="s">
        <v>222</v>
      </c>
      <c r="B85" s="32" t="s">
        <v>253</v>
      </c>
      <c r="C85" s="32" t="s">
        <v>164</v>
      </c>
      <c r="D85" s="60" t="n">
        <v>422</v>
      </c>
      <c r="E85" s="60" t="n">
        <v>379</v>
      </c>
      <c r="F85" s="69" t="n">
        <f aca="false">IF(E85="","",D85-E85)</f>
        <v>43</v>
      </c>
      <c r="G85" s="60" t="n">
        <v>574</v>
      </c>
      <c r="H85" s="60" t="n">
        <v>605</v>
      </c>
      <c r="I85" s="69" t="n">
        <f aca="false">IF(H85="","",G85-H85)</f>
        <v>-31</v>
      </c>
      <c r="J85" s="40" t="n">
        <f aca="false">IF(OR(D85="",D85+G85=0),"",D85/(D85+G85))</f>
        <v>0.423694779116466</v>
      </c>
      <c r="K85" s="40" t="n">
        <f aca="false">IF(E85="","",E85/(E85+H85))</f>
        <v>0.385162601626016</v>
      </c>
      <c r="L85" s="70" t="n">
        <f aca="false">IF(OR(K85="",J85=""),"",(J85-K85)*100)</f>
        <v>3.85321774904496</v>
      </c>
      <c r="M85" s="36" t="n">
        <v>3.52076694862392</v>
      </c>
      <c r="N85" s="36" t="n">
        <v>1.47617294631958</v>
      </c>
      <c r="O85" s="36" t="n">
        <f aca="false">SQRT(M85^2+N85^2)</f>
        <v>3.81770696543992</v>
      </c>
      <c r="P85" s="40" t="n">
        <f aca="false">IF(J85="","",MAX(0,J85-1.96*O85/100))</f>
        <v>0.348867722593844</v>
      </c>
      <c r="Q85" s="40" t="n">
        <f aca="false">IF(J85="","",MIN(1,J85+1.96*O85/100))</f>
        <v>0.498521835639088</v>
      </c>
      <c r="R85" s="32" t="str">
        <f aca="false">IF(L85="","",IF(ABS(L85)&lt;=O85,"Yes","No"))</f>
        <v>No</v>
      </c>
      <c r="S85" s="32" t="str">
        <f aca="false">IF(L85="","",IF(ABS(L85)&lt;=1.96*O85,"Yes","No"))</f>
        <v>Yes</v>
      </c>
      <c r="T85" s="60" t="n">
        <f aca="false">IF(D85="","",ROUND(SQRT(((D85+G85)*O85/100)^2+(J85*(D85+G85)*0.07717)^2),0))</f>
        <v>50</v>
      </c>
      <c r="U85" s="32"/>
    </row>
    <row r="86" customFormat="false" ht="15" hidden="false" customHeight="false" outlineLevel="0" collapsed="false">
      <c r="A86" s="32" t="s">
        <v>222</v>
      </c>
      <c r="B86" s="32" t="s">
        <v>215</v>
      </c>
      <c r="C86" s="32" t="s">
        <v>164</v>
      </c>
      <c r="D86" s="60" t="n">
        <v>1131</v>
      </c>
      <c r="E86" s="60" t="n">
        <v>1032</v>
      </c>
      <c r="F86" s="69" t="n">
        <f aca="false">IF(E86="","",D86-E86)</f>
        <v>99</v>
      </c>
      <c r="G86" s="60" t="n">
        <v>1923</v>
      </c>
      <c r="H86" s="60" t="n">
        <v>1971</v>
      </c>
      <c r="I86" s="69" t="n">
        <f aca="false">IF(H86="","",G86-H86)</f>
        <v>-48</v>
      </c>
      <c r="J86" s="40" t="n">
        <f aca="false">IF(OR(D86="",D86+G86=0),"",D86/(D86+G86))</f>
        <v>0.370333988212181</v>
      </c>
      <c r="K86" s="40" t="n">
        <f aca="false">IF(E86="","",E86/(E86+H86))</f>
        <v>0.343656343656344</v>
      </c>
      <c r="L86" s="70" t="n">
        <f aca="false">IF(OR(K86="",J86=""),"",(J86-K86)*100)</f>
        <v>2.6677644555837</v>
      </c>
      <c r="M86" s="36" t="n">
        <v>1.84762040092345</v>
      </c>
      <c r="N86" s="36" t="n">
        <v>1.47617294631958</v>
      </c>
      <c r="O86" s="36" t="n">
        <f aca="false">SQRT(M86^2+N86^2)</f>
        <v>2.36490754858501</v>
      </c>
      <c r="P86" s="40" t="n">
        <f aca="false">IF(J86="","",MAX(0,J86-1.96*O86/100))</f>
        <v>0.323981800259914</v>
      </c>
      <c r="Q86" s="40" t="n">
        <f aca="false">IF(J86="","",MIN(1,J86+1.96*O86/100))</f>
        <v>0.416686176164447</v>
      </c>
      <c r="R86" s="32" t="str">
        <f aca="false">IF(L86="","",IF(ABS(L86)&lt;=O86,"Yes","No"))</f>
        <v>No</v>
      </c>
      <c r="S86" s="32" t="str">
        <f aca="false">IF(L86="","",IF(ABS(L86)&lt;=1.96*O86,"Yes","No"))</f>
        <v>Yes</v>
      </c>
      <c r="T86" s="60" t="n">
        <f aca="false">IF(D86="","",ROUND(SQRT(((D86+G86)*O86/100)^2+(J86*(D86+G86)*0.05992)^2),0))</f>
        <v>99</v>
      </c>
      <c r="U86" s="32"/>
    </row>
    <row r="87" customFormat="false" ht="15" hidden="false" customHeight="false" outlineLevel="0" collapsed="false">
      <c r="A87" s="32" t="s">
        <v>222</v>
      </c>
      <c r="B87" s="32" t="s">
        <v>254</v>
      </c>
      <c r="C87" s="32" t="s">
        <v>164</v>
      </c>
      <c r="D87" s="60" t="n">
        <v>299</v>
      </c>
      <c r="E87" s="60" t="n">
        <v>249</v>
      </c>
      <c r="F87" s="69" t="n">
        <f aca="false">IF(E87="","",D87-E87)</f>
        <v>50</v>
      </c>
      <c r="G87" s="60" t="n">
        <v>261</v>
      </c>
      <c r="H87" s="60" t="n">
        <v>326</v>
      </c>
      <c r="I87" s="69" t="n">
        <f aca="false">IF(H87="","",G87-H87)</f>
        <v>-65</v>
      </c>
      <c r="J87" s="40" t="n">
        <f aca="false">IF(OR(D87="",D87+G87=0),"",D87/(D87+G87))</f>
        <v>0.533928571428571</v>
      </c>
      <c r="K87" s="40" t="n">
        <f aca="false">IF(E87="","",E87/(E87+H87))</f>
        <v>0.43304347826087</v>
      </c>
      <c r="L87" s="70" t="n">
        <f aca="false">IF(OR(K87="",J87=""),"",(J87-K87)*100)</f>
        <v>10.0885093167702</v>
      </c>
      <c r="M87" s="36" t="n">
        <v>3.52076694862392</v>
      </c>
      <c r="N87" s="36" t="n">
        <v>1.47617294631958</v>
      </c>
      <c r="O87" s="36" t="n">
        <f aca="false">SQRT(M87^2+N87^2)</f>
        <v>3.81770696543992</v>
      </c>
      <c r="P87" s="40" t="n">
        <f aca="false">IF(J87="","",MAX(0,J87-1.96*O87/100))</f>
        <v>0.459101514905949</v>
      </c>
      <c r="Q87" s="40" t="n">
        <f aca="false">IF(J87="","",MIN(1,J87+1.96*O87/100))</f>
        <v>0.608755627951194</v>
      </c>
      <c r="R87" s="32" t="str">
        <f aca="false">IF(L87="","",IF(ABS(L87)&lt;=O87,"Yes","No"))</f>
        <v>No</v>
      </c>
      <c r="S87" s="32" t="str">
        <f aca="false">IF(L87="","",IF(ABS(L87)&lt;=1.96*O87,"Yes","No"))</f>
        <v>No</v>
      </c>
      <c r="T87" s="60" t="n">
        <f aca="false">IF(D87="","",ROUND(SQRT(((D87+G87)*O87/100)^2+(J87*(D87+G87)*0.07717)^2),0))</f>
        <v>31</v>
      </c>
      <c r="U87" s="32"/>
    </row>
    <row r="88" customFormat="false" ht="15" hidden="false" customHeight="false" outlineLevel="0" collapsed="false">
      <c r="A88" s="32" t="s">
        <v>222</v>
      </c>
      <c r="B88" s="32" t="s">
        <v>255</v>
      </c>
      <c r="C88" s="32" t="s">
        <v>164</v>
      </c>
      <c r="D88" s="60" t="n">
        <v>1902</v>
      </c>
      <c r="E88" s="60" t="n">
        <v>1767</v>
      </c>
      <c r="F88" s="69" t="n">
        <f aca="false">IF(E88="","",D88-E88)</f>
        <v>135</v>
      </c>
      <c r="G88" s="60" t="n">
        <v>2302</v>
      </c>
      <c r="H88" s="60" t="n">
        <v>2379</v>
      </c>
      <c r="I88" s="69" t="n">
        <f aca="false">IF(H88="","",G88-H88)</f>
        <v>-77</v>
      </c>
      <c r="J88" s="40" t="n">
        <f aca="false">IF(OR(D88="",D88+G88=0),"",D88/(D88+G88))</f>
        <v>0.452426260704091</v>
      </c>
      <c r="K88" s="40" t="n">
        <f aca="false">IF(E88="","",E88/(E88+H88))</f>
        <v>0.426193921852388</v>
      </c>
      <c r="L88" s="70" t="n">
        <f aca="false">IF(OR(K88="",J88=""),"",(J88-K88)*100)</f>
        <v>2.62323388517035</v>
      </c>
      <c r="M88" s="36" t="n">
        <v>2.38612924807294</v>
      </c>
      <c r="N88" s="36" t="n">
        <v>1.47617294631958</v>
      </c>
      <c r="O88" s="36" t="n">
        <f aca="false">SQRT(M88^2+N88^2)</f>
        <v>2.80583309481426</v>
      </c>
      <c r="P88" s="40" t="n">
        <f aca="false">IF(J88="","",MAX(0,J88-1.96*O88/100))</f>
        <v>0.397431932045732</v>
      </c>
      <c r="Q88" s="40" t="n">
        <f aca="false">IF(J88="","",MIN(1,J88+1.96*O88/100))</f>
        <v>0.507420589362451</v>
      </c>
      <c r="R88" s="32" t="str">
        <f aca="false">IF(L88="","",IF(ABS(L88)&lt;=O88,"Yes","No"))</f>
        <v>Yes</v>
      </c>
      <c r="S88" s="32" t="str">
        <f aca="false">IF(L88="","",IF(ABS(L88)&lt;=1.96*O88,"Yes","No"))</f>
        <v>Yes</v>
      </c>
      <c r="T88" s="60" t="n">
        <f aca="false">IF(D88="","",ROUND(SQRT(((D88+G88)*O88/100)^2+(J88*(D88+G88)*0.05437)^2),0))</f>
        <v>157</v>
      </c>
      <c r="U88" s="32"/>
    </row>
    <row r="89" customFormat="false" ht="15" hidden="false" customHeight="false" outlineLevel="0" collapsed="false">
      <c r="A89" s="32" t="s">
        <v>222</v>
      </c>
      <c r="B89" s="32" t="s">
        <v>256</v>
      </c>
      <c r="C89" s="32" t="s">
        <v>164</v>
      </c>
      <c r="D89" s="60" t="n">
        <v>2054</v>
      </c>
      <c r="E89" s="60" t="n">
        <v>1908</v>
      </c>
      <c r="F89" s="69" t="n">
        <f aca="false">IF(E89="","",D89-E89)</f>
        <v>146</v>
      </c>
      <c r="G89" s="60" t="n">
        <v>1401</v>
      </c>
      <c r="H89" s="60" t="n">
        <v>1518</v>
      </c>
      <c r="I89" s="69" t="n">
        <f aca="false">IF(H89="","",G89-H89)</f>
        <v>-117</v>
      </c>
      <c r="J89" s="40" t="n">
        <f aca="false">IF(OR(D89="",D89+G89=0),"",D89/(D89+G89))</f>
        <v>0.594500723589001</v>
      </c>
      <c r="K89" s="40" t="n">
        <f aca="false">IF(E89="","",E89/(E89+H89))</f>
        <v>0.5569176882662</v>
      </c>
      <c r="L89" s="70" t="n">
        <f aca="false">IF(OR(K89="",J89=""),"",(J89-K89)*100)</f>
        <v>3.75830353228017</v>
      </c>
      <c r="M89" s="36" t="n">
        <v>1.84762040092345</v>
      </c>
      <c r="N89" s="36" t="n">
        <v>1.47617294631958</v>
      </c>
      <c r="O89" s="36" t="n">
        <f aca="false">SQRT(M89^2+N89^2)</f>
        <v>2.36490754858501</v>
      </c>
      <c r="P89" s="40" t="n">
        <f aca="false">IF(J89="","",MAX(0,J89-1.96*O89/100))</f>
        <v>0.548148535636735</v>
      </c>
      <c r="Q89" s="40" t="n">
        <f aca="false">IF(J89="","",MIN(1,J89+1.96*O89/100))</f>
        <v>0.640852911541268</v>
      </c>
      <c r="R89" s="32" t="str">
        <f aca="false">IF(L89="","",IF(ABS(L89)&lt;=O89,"Yes","No"))</f>
        <v>No</v>
      </c>
      <c r="S89" s="32" t="str">
        <f aca="false">IF(L89="","",IF(ABS(L89)&lt;=1.96*O89,"Yes","No"))</f>
        <v>Yes</v>
      </c>
      <c r="T89" s="60" t="n">
        <f aca="false">IF(D89="","",ROUND(SQRT(((D89+G89)*O89/100)^2+(J89*(D89+G89)*0.05992)^2),0))</f>
        <v>148</v>
      </c>
      <c r="U89" s="32"/>
    </row>
    <row r="90" customFormat="false" ht="15" hidden="false" customHeight="false" outlineLevel="0" collapsed="false">
      <c r="A90" s="32" t="s">
        <v>222</v>
      </c>
      <c r="B90" s="32" t="s">
        <v>257</v>
      </c>
      <c r="C90" s="32" t="s">
        <v>164</v>
      </c>
      <c r="D90" s="60" t="n">
        <v>567</v>
      </c>
      <c r="E90" s="60" t="n">
        <v>508</v>
      </c>
      <c r="F90" s="69" t="n">
        <f aca="false">IF(E90="","",D90-E90)</f>
        <v>59</v>
      </c>
      <c r="G90" s="60" t="n">
        <v>701</v>
      </c>
      <c r="H90" s="60" t="n">
        <v>791</v>
      </c>
      <c r="I90" s="69" t="n">
        <f aca="false">IF(H90="","",G90-H90)</f>
        <v>-90</v>
      </c>
      <c r="J90" s="40" t="n">
        <f aca="false">IF(OR(D90="",D90+G90=0),"",D90/(D90+G90))</f>
        <v>0.447160883280757</v>
      </c>
      <c r="K90" s="40" t="n">
        <f aca="false">IF(E90="","",E90/(E90+H90))</f>
        <v>0.391070053887606</v>
      </c>
      <c r="L90" s="70" t="n">
        <f aca="false">IF(OR(K90="",J90=""),"",(J90-K90)*100)</f>
        <v>5.60908293931512</v>
      </c>
      <c r="M90" s="36" t="n">
        <v>3.52076694862392</v>
      </c>
      <c r="N90" s="36" t="n">
        <v>1.47617294631958</v>
      </c>
      <c r="O90" s="36" t="n">
        <f aca="false">SQRT(M90^2+N90^2)</f>
        <v>3.81770696543992</v>
      </c>
      <c r="P90" s="40" t="n">
        <f aca="false">IF(J90="","",MAX(0,J90-1.96*O90/100))</f>
        <v>0.372333826758135</v>
      </c>
      <c r="Q90" s="40" t="n">
        <f aca="false">IF(J90="","",MIN(1,J90+1.96*O90/100))</f>
        <v>0.521987939803379</v>
      </c>
      <c r="R90" s="32" t="str">
        <f aca="false">IF(L90="","",IF(ABS(L90)&lt;=O90,"Yes","No"))</f>
        <v>No</v>
      </c>
      <c r="S90" s="32" t="str">
        <f aca="false">IF(L90="","",IF(ABS(L90)&lt;=1.96*O90,"Yes","No"))</f>
        <v>Yes</v>
      </c>
      <c r="T90" s="60" t="n">
        <f aca="false">IF(D90="","",ROUND(SQRT(((D90+G90)*O90/100)^2+(J90*(D90+G90)*0.07717)^2),0))</f>
        <v>65</v>
      </c>
      <c r="U90" s="32"/>
    </row>
    <row r="92" customFormat="false" ht="15" hidden="false" customHeight="false" outlineLevel="0" collapsed="false">
      <c r="A92" s="20" t="s">
        <v>377</v>
      </c>
      <c r="B92" s="71"/>
      <c r="C92" s="71"/>
      <c r="D92" s="72" t="n">
        <f aca="false">SUMIF(E2:E90,"&lt;&gt;",D2:D90)</f>
        <v>206039</v>
      </c>
      <c r="E92" s="72" t="n">
        <f aca="false">SUM(E2:E90)</f>
        <v>193125</v>
      </c>
      <c r="F92" s="73" t="n">
        <f aca="false">D92-E92</f>
        <v>12914</v>
      </c>
      <c r="G92" s="72" t="n">
        <f aca="false">SUMIF(H2:H90,"&lt;&gt;",G2:G90)</f>
        <v>184716</v>
      </c>
      <c r="H92" s="72" t="n">
        <f aca="false">SUM(H2:H90)</f>
        <v>195380</v>
      </c>
      <c r="I92" s="73" t="n">
        <f aca="false">G92-H92</f>
        <v>-10664</v>
      </c>
      <c r="J92" s="74" t="n">
        <f aca="false">D92/(D92+G92)</f>
        <v>0.52728435976507</v>
      </c>
      <c r="K92" s="74" t="n">
        <f aca="false">E92/(E92+H92)</f>
        <v>0.497097849448527</v>
      </c>
      <c r="L92" s="75" t="n">
        <f aca="false">(J92-K92)*100</f>
        <v>3.01865103165431</v>
      </c>
      <c r="M92" s="76" t="n">
        <v>0</v>
      </c>
      <c r="N92" s="76" t="n">
        <v>1.47617294631958</v>
      </c>
      <c r="O92" s="76" t="n">
        <f aca="false">SQRT(M92^2+N92^2)</f>
        <v>1.47617294631958</v>
      </c>
      <c r="P92" s="74" t="n">
        <f aca="false">J92-1.96*O92/100</f>
        <v>0.498351370017206</v>
      </c>
      <c r="Q92" s="74" t="n">
        <f aca="false">J92+1.96*O92/100</f>
        <v>0.556217349512934</v>
      </c>
      <c r="R92" s="71" t="str">
        <f aca="false">IF(ABS(L92)&lt;=O92,"Yes","No")</f>
        <v>No</v>
      </c>
      <c r="S92" s="71" t="str">
        <f aca="false">IF(ABS(L92)&lt;=1.96*O92,"Yes","No")</f>
        <v>No</v>
      </c>
      <c r="T92" s="72" t="n">
        <f aca="false">ROUND(SQRT(((D92+G92)*O92/100)^2+(J92*(D92+G92)*0.04267)^2),0)</f>
        <v>10515</v>
      </c>
    </row>
    <row r="93" customFormat="false" ht="15" hidden="false" customHeight="false" outlineLevel="0" collapsed="false">
      <c r="A93" s="20" t="s">
        <v>378</v>
      </c>
      <c r="B93" s="71"/>
      <c r="C93" s="71"/>
      <c r="D93" s="72" t="n">
        <f aca="false">SUM(D2:D90)</f>
        <v>206039</v>
      </c>
      <c r="E93" s="72"/>
      <c r="F93" s="73"/>
      <c r="G93" s="72" t="n">
        <f aca="false">SUM(G2:G90)</f>
        <v>184716</v>
      </c>
      <c r="H93" s="72"/>
      <c r="I93" s="73"/>
      <c r="J93" s="74" t="n">
        <f aca="false">D93/(D93+G93)</f>
        <v>0.52728435976507</v>
      </c>
      <c r="K93" s="74"/>
      <c r="L93" s="75"/>
      <c r="M93" s="76"/>
      <c r="N93" s="76"/>
      <c r="O93" s="76"/>
      <c r="P93" s="74"/>
      <c r="Q93" s="74"/>
      <c r="R93" s="71"/>
      <c r="S93" s="71"/>
      <c r="T93" s="72"/>
    </row>
    <row r="95" customFormat="false" ht="15" hidden="false" customHeight="false" outlineLevel="0" collapsed="false">
      <c r="A95" s="2" t="s">
        <v>379</v>
      </c>
      <c r="F95" s="77" t="n">
        <f aca="false">(SUMIF(F2:F90,"&gt;0")-SUMIF(F2:F90,"&lt;0"))/COUNT(F2:F90)</f>
        <v>146.76404494382</v>
      </c>
    </row>
    <row r="96" customFormat="false" ht="15" hidden="false" customHeight="false" outlineLevel="0" collapsed="false">
      <c r="A96" s="2" t="s">
        <v>380</v>
      </c>
      <c r="F96" s="77" t="n">
        <f aca="false">(SUMIF(I2:I90,"&gt;0")-SUMIF(I2:I90,"&lt;0"))/COUNT(I2:I90)</f>
        <v>132.157303370787</v>
      </c>
    </row>
    <row r="97" customFormat="false" ht="15" hidden="false" customHeight="false" outlineLevel="0" collapsed="false">
      <c r="A97" s="2" t="s">
        <v>381</v>
      </c>
      <c r="F97" s="78" t="n">
        <f aca="false">(SUMIF(L2:L90,"&gt;0")-SUMIF(L2:L90,"&lt;0"))/COUNT(L2:L90)</f>
        <v>3.92497142900327</v>
      </c>
    </row>
    <row r="98" customFormat="false" ht="15" hidden="false" customHeight="false" outlineLevel="0" collapsed="false">
      <c r="A98" s="5" t="s">
        <v>382</v>
      </c>
      <c r="F98" s="79" t="n">
        <f aca="false">SQRT(SUMSQ(L2:L90)/COUNT(L2:L90))</f>
        <v>4.56090816438336</v>
      </c>
    </row>
    <row r="99" customFormat="false" ht="15" hidden="false" customHeight="false" outlineLevel="0" collapsed="false">
      <c r="A99" s="5" t="s">
        <v>383</v>
      </c>
      <c r="F99" s="80" t="n">
        <f aca="false">L92</f>
        <v>3.01865103165431</v>
      </c>
    </row>
    <row r="100" customFormat="false" ht="15" hidden="false" customHeight="false" outlineLevel="0" collapsed="false">
      <c r="A100" s="5" t="s">
        <v>384</v>
      </c>
      <c r="F100" s="79" t="n">
        <f aca="false">SQRT((SUMSQ(L2:L90)-2*L92*SUM(L2:L90)+COUNT(L2:L90)*L92^2)/COUNT(L2:L90))</f>
        <v>2.57208205428727</v>
      </c>
    </row>
    <row r="101" customFormat="false" ht="15" hidden="false" customHeight="false" outlineLevel="0" collapsed="false">
      <c r="A101" s="2" t="s">
        <v>385</v>
      </c>
      <c r="F101" s="81" t="n">
        <f aca="false">D92/E92-1</f>
        <v>0.0668686084142396</v>
      </c>
    </row>
    <row r="102" customFormat="false" ht="15" hidden="false" customHeight="false" outlineLevel="0" collapsed="false">
      <c r="A102" s="5" t="s">
        <v>386</v>
      </c>
      <c r="F102" s="82" t="n">
        <f aca="false">G92/H92-1</f>
        <v>-0.0545808168696899</v>
      </c>
    </row>
    <row r="103" customFormat="false" ht="15" hidden="false" customHeight="false" outlineLevel="0" collapsed="false">
      <c r="A103" s="2" t="s">
        <v>387</v>
      </c>
      <c r="F103" s="81" t="n">
        <f aca="false">(D92+G92)/(E92+H92)-1</f>
        <v>0.00579143125571102</v>
      </c>
    </row>
    <row r="104" customFormat="false" ht="15" hidden="false" customHeight="false" outlineLevel="0" collapsed="false">
      <c r="A104" s="2" t="s">
        <v>388</v>
      </c>
      <c r="F104" s="78" t="n">
        <f aca="false">AVERAGE(O2:O90)</f>
        <v>3.00324180580439</v>
      </c>
    </row>
    <row r="105" customFormat="false" ht="15" hidden="false" customHeight="false" outlineLevel="0" collapsed="false">
      <c r="A105" s="5" t="s">
        <v>389</v>
      </c>
      <c r="F105" s="83" t="n">
        <f aca="false">COUNTIF(R2:R90,"Yes")/(COUNTIF(R2:R90,"Yes")+COUNTIF(R2:R90,"No"))</f>
        <v>0.370786516853933</v>
      </c>
    </row>
    <row r="106" customFormat="false" ht="15" hidden="false" customHeight="false" outlineLevel="0" collapsed="false">
      <c r="A106" s="5" t="s">
        <v>390</v>
      </c>
      <c r="F106" s="83" t="n">
        <f aca="false">COUNTIF(S2:S90,"Yes")/(COUNTIF(S2:S90,"Yes")+COUNTIF(S2:S90,"No"))</f>
        <v>0.764044943820225</v>
      </c>
    </row>
    <row r="107" customFormat="false" ht="15" hidden="false" customHeight="false" outlineLevel="0" collapsed="false">
      <c r="A107" s="2" t="s">
        <v>391</v>
      </c>
      <c r="F107" s="84" t="n">
        <f aca="false">COUNTIFS(L2:L90,"&gt;=-3",L2:L90,"&lt;=3")/COUNT(L2:L90)</f>
        <v>0.393258426966292</v>
      </c>
    </row>
    <row r="108" customFormat="false" ht="15" hidden="false" customHeight="false" outlineLevel="0" collapsed="false">
      <c r="A108" s="2" t="s">
        <v>429</v>
      </c>
      <c r="F108" s="85" t="n">
        <f aca="false">COUNT(E2:E90)</f>
        <v>89</v>
      </c>
    </row>
    <row r="109" customFormat="false" ht="15" hidden="false" customHeight="false" outlineLevel="0" collapsed="false">
      <c r="A109" s="2" t="s">
        <v>393</v>
      </c>
      <c r="F109" s="85" t="n">
        <f aca="false">COUNTA(A2:A90)</f>
        <v>89</v>
      </c>
    </row>
    <row r="110" customFormat="false" ht="15" hidden="false" customHeight="false" outlineLevel="0" collapsed="false">
      <c r="A110" s="5" t="s">
        <v>394</v>
      </c>
    </row>
    <row r="111" customFormat="false" ht="15" hidden="false" customHeight="false" outlineLevel="0" collapsed="false">
      <c r="A111" s="2" t="s">
        <v>395</v>
      </c>
      <c r="F111" s="86" t="n">
        <f aca="false">((D92+G92)-(E92+H92))*K92</f>
        <v>1118.47016125919</v>
      </c>
    </row>
    <row r="112" customFormat="false" ht="15" hidden="false" customHeight="false" outlineLevel="0" collapsed="false">
      <c r="A112" s="2" t="s">
        <v>396</v>
      </c>
      <c r="F112" s="86" t="n">
        <f aca="false">F92-((D92+G92)-(E92+H92))*K92</f>
        <v>11795.5298387408</v>
      </c>
    </row>
    <row r="113" customFormat="false" ht="15" hidden="false" customHeight="false" outlineLevel="0" collapsed="false">
      <c r="A113" s="2" t="s">
        <v>397</v>
      </c>
      <c r="F113" s="86" t="n">
        <f aca="false">((D92+G92)-(E92+H92))*(1-K92)</f>
        <v>1131.52983874081</v>
      </c>
    </row>
    <row r="114" customFormat="false" ht="15" hidden="false" customHeight="false" outlineLevel="0" collapsed="false">
      <c r="A114" s="2" t="s">
        <v>398</v>
      </c>
      <c r="F114" s="86" t="n">
        <f aca="false">I92-((D92+G92)-(E92+H92))*(1-K92)</f>
        <v>-11795.5298387408</v>
      </c>
    </row>
    <row r="115" customFormat="false" ht="15" hidden="false" customHeight="false" outlineLevel="0" collapsed="false">
      <c r="A115" s="2" t="s">
        <v>399</v>
      </c>
      <c r="F115" s="81" t="n">
        <f aca="false">(F92-((D92+G92)-(E92+H92))*K92)/E92</f>
        <v>0.0610771771585285</v>
      </c>
    </row>
    <row r="116" customFormat="false" ht="15" hidden="false" customHeight="false" outlineLevel="0" collapsed="false">
      <c r="A116" s="2" t="s">
        <v>400</v>
      </c>
      <c r="F116" s="81" t="n">
        <f aca="false">(I92-((D92+G92)-(E92+H92))*(1-K92))/H92</f>
        <v>-0.0603722481254008</v>
      </c>
    </row>
    <row r="118" customFormat="false" ht="15" hidden="false" customHeight="false" outlineLevel="0" collapsed="false">
      <c r="U118" s="5" t="s">
        <v>139</v>
      </c>
    </row>
    <row r="119" customFormat="false" ht="41.75" hidden="false" customHeight="false" outlineLevel="0" collapsed="false">
      <c r="U119" s="68" t="s">
        <v>430</v>
      </c>
    </row>
    <row r="120" customFormat="false" ht="41.75" hidden="false" customHeight="false" outlineLevel="0" collapsed="false">
      <c r="U120" s="68" t="s">
        <v>431</v>
      </c>
    </row>
    <row r="121" customFormat="false" ht="41.75" hidden="false" customHeight="false" outlineLevel="0" collapsed="false">
      <c r="U121" s="68" t="s">
        <v>411</v>
      </c>
    </row>
    <row r="122" customFormat="false" ht="28.35" hidden="false" customHeight="false" outlineLevel="0" collapsed="false">
      <c r="U122" s="68" t="s">
        <v>433</v>
      </c>
    </row>
    <row r="123" customFormat="false" ht="28.35" hidden="false" customHeight="false" outlineLevel="0" collapsed="false">
      <c r="U123" s="68" t="s">
        <v>434</v>
      </c>
    </row>
    <row r="124" customFormat="false" ht="28.35" hidden="false" customHeight="false" outlineLevel="0" collapsed="false">
      <c r="U124" s="68" t="s">
        <v>435</v>
      </c>
    </row>
    <row r="125" customFormat="false" ht="28.35" hidden="false" customHeight="false" outlineLevel="0" collapsed="false">
      <c r="U125" s="68" t="s">
        <v>407</v>
      </c>
    </row>
    <row r="126" customFormat="false" ht="41.75" hidden="false" customHeight="false" outlineLevel="0" collapsed="false">
      <c r="U126" s="68" t="s">
        <v>436</v>
      </c>
    </row>
    <row r="127" customFormat="false" ht="15" hidden="false" customHeight="false" outlineLevel="0" collapsed="false">
      <c r="U127" s="68" t="s">
        <v>437</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87" t="s">
        <v>439</v>
      </c>
    </row>
    <row r="2" customFormat="false" ht="28.35" hidden="false" customHeight="false" outlineLevel="0" collapsed="false">
      <c r="A2" s="68" t="s">
        <v>440</v>
      </c>
    </row>
    <row r="3" customFormat="false" ht="41.75" hidden="false" customHeight="false" outlineLevel="0" collapsed="false">
      <c r="A3" s="68" t="s">
        <v>441</v>
      </c>
    </row>
    <row r="4" customFormat="false" ht="15" hidden="false" customHeight="false" outlineLevel="0" collapsed="false">
      <c r="A4" s="68" t="s">
        <v>442</v>
      </c>
    </row>
    <row r="5" customFormat="false" ht="41.75" hidden="false" customHeight="false" outlineLevel="0" collapsed="false">
      <c r="A5" s="68" t="s">
        <v>443</v>
      </c>
    </row>
    <row r="6" customFormat="false" ht="28.35" hidden="false" customHeight="false" outlineLevel="0" collapsed="false">
      <c r="A6" s="68" t="s">
        <v>444</v>
      </c>
    </row>
    <row r="7" customFormat="false" ht="41.75" hidden="false" customHeight="false" outlineLevel="0" collapsed="false">
      <c r="A7" s="68" t="s">
        <v>445</v>
      </c>
    </row>
    <row r="8" customFormat="false" ht="15" hidden="false" customHeight="false" outlineLevel="0" collapsed="false">
      <c r="A8" s="68"/>
    </row>
    <row r="9" customFormat="false" ht="15" hidden="false" customHeight="false" outlineLevel="0" collapsed="false">
      <c r="A9" s="87" t="s">
        <v>446</v>
      </c>
    </row>
    <row r="10" customFormat="false" ht="41.75" hidden="false" customHeight="false" outlineLevel="0" collapsed="false">
      <c r="A10" s="68" t="s">
        <v>447</v>
      </c>
    </row>
    <row r="11" customFormat="false" ht="28.35" hidden="false" customHeight="false" outlineLevel="0" collapsed="false">
      <c r="A11" s="68" t="s">
        <v>448</v>
      </c>
    </row>
    <row r="12" customFormat="false" ht="15" hidden="false" customHeight="false" outlineLevel="0" collapsed="false">
      <c r="A12" s="68"/>
    </row>
    <row r="13" customFormat="false" ht="15" hidden="false" customHeight="false" outlineLevel="0" collapsed="false">
      <c r="A13" s="87" t="s">
        <v>449</v>
      </c>
    </row>
    <row r="14" customFormat="false" ht="28.35" hidden="false" customHeight="false" outlineLevel="0" collapsed="false">
      <c r="A14" s="68" t="s">
        <v>450</v>
      </c>
    </row>
    <row r="15" customFormat="false" ht="15" hidden="false" customHeight="false" outlineLevel="0" collapsed="false">
      <c r="A15" s="68"/>
    </row>
    <row r="16" customFormat="false" ht="15" hidden="false" customHeight="false" outlineLevel="0" collapsed="false">
      <c r="A16" s="87" t="s">
        <v>451</v>
      </c>
    </row>
    <row r="17" customFormat="false" ht="28.35" hidden="false" customHeight="false" outlineLevel="0" collapsed="false">
      <c r="A17" s="68" t="s">
        <v>452</v>
      </c>
    </row>
    <row r="18" customFormat="false" ht="28.35" hidden="false" customHeight="false" outlineLevel="0" collapsed="false">
      <c r="A18" s="68" t="s">
        <v>453</v>
      </c>
    </row>
    <row r="19" customFormat="false" ht="15" hidden="false" customHeight="false" outlineLevel="0" collapsed="false">
      <c r="A19" s="68" t="s">
        <v>454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2026-10-06T10:10:45Z</dcterms:created>
  <dc:creator>openpyxl</dc:creator>
  <dc:description/>
  <dc:language>en-US</dc:language>
  <cp:lastModifiedBy/>
  <dcterms:modified xsi:type="dcterms:W3CDTF">2026-10-06T10:10:46Z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